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Dashboard" sheetId="3" state="visible" r:id="rId3"/>
    <sheet name="Calc" sheetId="4" state="visible" r:id="rId4"/>
    <sheet name="KPI_Monthly" sheetId="5" state="visible" r:id="rId5"/>
    <sheet name="EDWaits" sheetId="6" state="visible" r:id="rId6"/>
    <sheet name="Targets" sheetId="7" state="visible" r:id="rId7"/>
    <sheet name="Lists" sheetId="8" state="visible" r:id="rId8"/>
    <sheet name="Board" sheetId="9" state="visible" r:id="rId9"/>
    <sheet name="Bonus" sheetId="10" state="visible" r:id="rId10"/>
    <sheet name="Answer Key" sheetId="11" state="hidden" r:id="rId11"/>
    <sheet name="Bonus Key" sheetId="12" state="hidden" r:id="rId12"/>
    <sheet name="Dashboard Key" sheetId="13" state="hidden" r:id="rId13"/>
  </sheets>
  <definedNames>
    <definedName name="SelFacility">Dashboard!$C$4</definedName>
    <definedName name="SelMonth">Dashboard!$C$5</definedName>
    <definedName name="_xlnm.Print_Area" localSheetId="12">'Dashboard Key'!$A$1:$L$34</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11">
    <numFmt numFmtId="164" formatCode="yyyy-mm-dd"/>
    <numFmt numFmtId="165" formatCode="mmm yyyy"/>
    <numFmt numFmtId="166" formatCode="0.0%"/>
    <numFmt numFmtId="167" formatCode="0.0"/>
    <numFmt numFmtId="168" formatCode="yyyy-mm-dd h:mm:ss"/>
    <numFmt numFmtId="169" formatCode="mm/dd/yyyy hh:mm"/>
    <numFmt numFmtId="170" formatCode="mm/dd/yyyy"/>
    <numFmt numFmtId="171" formatCode="&quot;▲ &quot;0.0%;&quot;▼ &quot;0.0%;&quot;▬ &quot;0.0%"/>
    <numFmt numFmtId="172" formatCode="mmm yy"/>
    <numFmt numFmtId="173" formatCode="0.0&quot; min&quot;"/>
    <numFmt numFmtId="174" formatCode="0.00&quot; days&quot;"/>
  </numFmts>
  <fonts count="27">
    <font>
      <name val="Calibri"/>
      <family val="2"/>
      <color theme="1"/>
      <sz val="11"/>
      <scheme val="minor"/>
    </font>
    <font>
      <b val="1"/>
      <color rgb="001F4E79"/>
      <sz val="13"/>
    </font>
    <font>
      <i val="1"/>
      <color rgb="00595959"/>
      <sz val="10"/>
    </font>
    <font>
      <b val="1"/>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1F4E79"/>
      <sz val="18"/>
    </font>
    <font>
      <b val="1"/>
      <sz val="12"/>
    </font>
    <font>
      <b val="1"/>
      <color rgb="001F4E79"/>
      <sz val="24"/>
    </font>
    <font>
      <b val="1"/>
      <color rgb="001F4E79"/>
      <sz val="20"/>
    </font>
    <font>
      <b val="1"/>
      <color rgb="007B2C2C"/>
    </font>
    <font>
      <b val="1"/>
      <color rgb="001F4E79"/>
    </font>
    <font>
      <i val="1"/>
      <sz val="8"/>
    </font>
    <font>
      <color rgb="00595959"/>
      <sz val="9"/>
    </font>
    <font>
      <sz val="12"/>
    </font>
  </fonts>
  <fills count="9">
    <fill>
      <patternFill/>
    </fill>
    <fill>
      <patternFill patternType="gray125"/>
    </fill>
    <fill>
      <patternFill patternType="solid">
        <fgColor rgb="007B2C2C"/>
      </patternFill>
    </fill>
    <fill>
      <patternFill patternType="solid">
        <fgColor rgb="001F4E79"/>
      </patternFill>
    </fill>
    <fill>
      <patternFill patternType="solid">
        <fgColor rgb="00FFF2CC"/>
      </patternFill>
    </fill>
    <fill>
      <patternFill patternType="solid">
        <fgColor rgb="00EDEDED"/>
      </patternFill>
    </fill>
    <fill>
      <patternFill patternType="solid">
        <fgColor rgb="00C6EFCE"/>
      </patternFill>
    </fill>
    <fill>
      <patternFill patternType="solid">
        <fgColor rgb="00FFC7CE"/>
      </patternFill>
    </fill>
    <fill>
      <patternFill patternType="solid">
        <fgColor rgb="00F2F2F2"/>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102">
    <xf numFmtId="0" fontId="0" fillId="0" borderId="0" pivotButton="0" quotePrefix="0" xfId="0"/>
    <xf numFmtId="0" fontId="14" fillId="0" borderId="0" pivotButton="0" quotePrefix="0" xfId="0"/>
    <xf numFmtId="0" fontId="15" fillId="0" borderId="0" pivotButton="0" quotePrefix="0" xfId="0"/>
    <xf numFmtId="0" fontId="5" fillId="0" borderId="0" pivotButton="0" quotePrefix="0" xfId="0"/>
    <xf numFmtId="0" fontId="16" fillId="3" borderId="0" pivotButton="0" quotePrefix="0" xfId="0"/>
    <xf numFmtId="0" fontId="0" fillId="3" borderId="0" pivotButton="0" quotePrefix="0" xfId="0"/>
    <xf numFmtId="0" fontId="17"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6" fillId="3"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1" fillId="0" borderId="1" applyAlignment="1" pivotButton="0" quotePrefix="0" xfId="0">
      <alignment vertical="top" wrapText="1"/>
    </xf>
    <xf numFmtId="0" fontId="0" fillId="4" borderId="2" applyAlignment="1" pivotButton="0" quotePrefix="0" xfId="0">
      <alignment horizontal="right" vertical="top"/>
    </xf>
    <xf numFmtId="0" fontId="3" fillId="0" borderId="1" applyAlignment="1" pivotButton="0" quotePrefix="0" xfId="0">
      <alignment vertical="top"/>
    </xf>
    <xf numFmtId="10" fontId="0" fillId="4" borderId="2" applyAlignment="1" pivotButton="0" quotePrefix="0" xfId="0">
      <alignment horizontal="right" vertical="top"/>
    </xf>
    <xf numFmtId="166" fontId="0" fillId="4" borderId="2" applyAlignment="1" pivotButton="0" quotePrefix="0" xfId="0">
      <alignment horizontal="right" vertical="top"/>
    </xf>
    <xf numFmtId="0" fontId="26" fillId="4" borderId="2" applyAlignment="1" pivotButton="0" quotePrefix="0" xfId="0">
      <alignment horizontal="center" vertical="top"/>
    </xf>
    <xf numFmtId="167" fontId="0" fillId="4" borderId="2" applyAlignment="1" pivotButton="0" quotePrefix="0" xfId="0">
      <alignment horizontal="right" vertical="top"/>
    </xf>
    <xf numFmtId="0" fontId="12" fillId="5" borderId="1" applyAlignment="1" pivotButton="0" quotePrefix="0" xfId="0">
      <alignment horizontal="right" vertical="top"/>
    </xf>
    <xf numFmtId="0" fontId="18" fillId="0" borderId="0" pivotButton="0" quotePrefix="0" xfId="0"/>
    <xf numFmtId="0" fontId="3" fillId="0" borderId="0" applyAlignment="1" pivotButton="0" quotePrefix="0" xfId="0">
      <alignment vertical="center"/>
    </xf>
    <xf numFmtId="0" fontId="19" fillId="4" borderId="2" applyAlignment="1" pivotButton="0" quotePrefix="0" xfId="0">
      <alignment horizontal="left" vertical="center"/>
    </xf>
    <xf numFmtId="165" fontId="19" fillId="4" borderId="2" applyAlignment="1" pivotButton="0" quotePrefix="0" xfId="0">
      <alignment horizontal="left" vertical="center"/>
    </xf>
    <xf numFmtId="0" fontId="6" fillId="3" borderId="1" pivotButton="0" quotePrefix="0" xfId="0"/>
    <xf numFmtId="0" fontId="0" fillId="3" borderId="1" pivotButton="0" quotePrefix="0" xfId="0"/>
    <xf numFmtId="3" fontId="20" fillId="8" borderId="1" applyAlignment="1" pivotButton="0" quotePrefix="0" xfId="0">
      <alignment horizontal="center" vertical="center"/>
    </xf>
    <xf numFmtId="0" fontId="0" fillId="8" borderId="1" pivotButton="0" quotePrefix="0" xfId="0"/>
    <xf numFmtId="3" fontId="0" fillId="8" borderId="1" applyAlignment="1" pivotButton="0" quotePrefix="0" xfId="0">
      <alignment horizontal="right"/>
    </xf>
    <xf numFmtId="171" fontId="0" fillId="8" borderId="1" applyAlignment="1" pivotButton="0" quotePrefix="0" xfId="0">
      <alignment horizontal="right"/>
    </xf>
    <xf numFmtId="0" fontId="11" fillId="0" borderId="0" pivotButton="0" quotePrefix="0" xfId="0"/>
    <xf numFmtId="0" fontId="0" fillId="0" borderId="1" pivotButton="0" quotePrefix="0" xfId="0"/>
    <xf numFmtId="0" fontId="0" fillId="5" borderId="1" applyAlignment="1" pivotButton="0" quotePrefix="0" xfId="0">
      <alignment horizontal="left"/>
    </xf>
    <xf numFmtId="165" fontId="0" fillId="5" borderId="1" applyAlignment="1" pivotButton="0" quotePrefix="0" xfId="0">
      <alignment horizontal="left"/>
    </xf>
    <xf numFmtId="0" fontId="0" fillId="4" borderId="2" applyAlignment="1" pivotButton="0" quotePrefix="0" xfId="0">
      <alignment horizontal="left"/>
    </xf>
    <xf numFmtId="0" fontId="0" fillId="5" borderId="1" pivotButton="0" quotePrefix="0" xfId="0"/>
    <xf numFmtId="0" fontId="3" fillId="0" borderId="1" pivotButton="0" quotePrefix="0" xfId="0"/>
    <xf numFmtId="165" fontId="0" fillId="4" borderId="2" applyAlignment="1" pivotButton="0" quotePrefix="0" xfId="0">
      <alignment horizontal="right"/>
    </xf>
    <xf numFmtId="3" fontId="0" fillId="4" borderId="2" applyAlignment="1" pivotButton="0" quotePrefix="0" xfId="0">
      <alignment horizontal="right"/>
    </xf>
    <xf numFmtId="0" fontId="1" fillId="0" borderId="0" pivotButton="0" quotePrefix="0" xfId="0"/>
    <xf numFmtId="0" fontId="2" fillId="0" borderId="0" pivotButton="0" quotePrefix="0" xfId="0"/>
    <xf numFmtId="0" fontId="3"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4" fontId="0" fillId="0" borderId="0" pivotButton="0" quotePrefix="0" xfId="0"/>
    <xf numFmtId="2" fontId="0" fillId="0" borderId="0" pivotButton="0" quotePrefix="0" xfId="0"/>
    <xf numFmtId="3" fontId="0" fillId="0" borderId="0" pivotButton="0" quotePrefix="0" xfId="0"/>
    <xf numFmtId="169" fontId="0" fillId="0" borderId="0" pivotButton="0" quotePrefix="0" xfId="0"/>
    <xf numFmtId="166" fontId="0" fillId="0" borderId="0" applyAlignment="1" pivotButton="0" quotePrefix="0" xfId="0">
      <alignment vertical="top" wrapText="1"/>
    </xf>
    <xf numFmtId="1" fontId="0" fillId="0" borderId="0" applyAlignment="1" pivotButton="0" quotePrefix="0" xfId="0">
      <alignment vertical="top" wrapText="1"/>
    </xf>
    <xf numFmtId="167" fontId="0" fillId="0" borderId="0" applyAlignment="1" pivotButton="0" quotePrefix="0" xfId="0">
      <alignment vertical="top" wrapText="1"/>
    </xf>
    <xf numFmtId="165" fontId="0" fillId="0" borderId="1" applyAlignment="1" pivotButton="0" quotePrefix="0" xfId="0">
      <alignment horizontal="left"/>
    </xf>
    <xf numFmtId="0" fontId="0" fillId="4" borderId="2" applyAlignment="1" pivotButton="0" quotePrefix="0" xfId="0">
      <alignment horizontal="left" vertical="top"/>
    </xf>
    <xf numFmtId="170" fontId="0" fillId="4" borderId="2" applyAlignment="1" pivotButton="0" quotePrefix="0" xfId="0">
      <alignment horizontal="right" vertical="top"/>
    </xf>
    <xf numFmtId="0" fontId="4" fillId="0" borderId="0" pivotButton="0" quotePrefix="0" xfId="0"/>
    <xf numFmtId="0" fontId="5" fillId="0" borderId="0" applyAlignment="1" pivotButton="0" quotePrefix="0" xfId="0">
      <alignment vertical="top" wrapText="1"/>
    </xf>
    <xf numFmtId="0" fontId="6" fillId="2" borderId="1" pivotButton="0" quotePrefix="0" xfId="0"/>
    <xf numFmtId="0" fontId="3" fillId="0" borderId="1" applyAlignment="1" pivotButton="0" quotePrefix="0" xfId="0">
      <alignment vertical="top" wrapText="1"/>
    </xf>
    <xf numFmtId="0" fontId="7" fillId="0" borderId="1" applyAlignment="1" pivotButton="0" quotePrefix="1" xfId="0">
      <alignment vertical="top" wrapText="1"/>
    </xf>
    <xf numFmtId="0" fontId="0" fillId="0" borderId="1" applyAlignment="1" pivotButton="0" quotePrefix="0" xfId="0">
      <alignment vertical="top"/>
    </xf>
    <xf numFmtId="10" fontId="3" fillId="0" borderId="1" applyAlignment="1" pivotButton="0" quotePrefix="0" xfId="0">
      <alignment vertical="top" wrapText="1"/>
    </xf>
    <xf numFmtId="10" fontId="0" fillId="0" borderId="1" applyAlignment="1" pivotButton="0" quotePrefix="0" xfId="0">
      <alignment vertical="top"/>
    </xf>
    <xf numFmtId="166" fontId="3" fillId="0" borderId="1" applyAlignment="1" pivotButton="0" quotePrefix="0" xfId="0">
      <alignment vertical="top" wrapText="1"/>
    </xf>
    <xf numFmtId="166" fontId="0" fillId="0" borderId="1" applyAlignment="1" pivotButton="0" quotePrefix="0" xfId="0">
      <alignment vertical="top"/>
    </xf>
    <xf numFmtId="167" fontId="3" fillId="0" borderId="1" applyAlignment="1" pivotButton="0" quotePrefix="0" xfId="0">
      <alignment vertical="top" wrapText="1"/>
    </xf>
    <xf numFmtId="167" fontId="0" fillId="0" borderId="1" applyAlignment="1" pivotButton="0" quotePrefix="0" xfId="0">
      <alignment vertical="top"/>
    </xf>
    <xf numFmtId="170" fontId="3" fillId="0" borderId="1" applyAlignment="1" pivotButton="0" quotePrefix="0" xfId="0">
      <alignment vertical="top" wrapText="1"/>
    </xf>
    <xf numFmtId="170" fontId="0" fillId="0" borderId="1" applyAlignment="1" pivotButton="0" quotePrefix="0" xfId="0">
      <alignment vertical="top"/>
    </xf>
    <xf numFmtId="0" fontId="21" fillId="0" borderId="0" pivotButton="0" quotePrefix="0" xfId="0"/>
    <xf numFmtId="0" fontId="22" fillId="0" borderId="0" pivotButton="0" quotePrefix="0" xfId="0"/>
    <xf numFmtId="0" fontId="19" fillId="4" borderId="2" applyAlignment="1" applyProtection="1" pivotButton="0" quotePrefix="0" xfId="0">
      <alignment horizontal="left" vertical="center"/>
      <protection locked="0" hidden="0"/>
    </xf>
    <xf numFmtId="0" fontId="18" fillId="8" borderId="0" applyAlignment="1" pivotButton="0" quotePrefix="0" xfId="0">
      <alignment horizontal="center" vertical="center"/>
    </xf>
    <xf numFmtId="165" fontId="0" fillId="0" borderId="1" pivotButton="0" quotePrefix="0" xfId="0"/>
    <xf numFmtId="165" fontId="19" fillId="4" borderId="2" applyAlignment="1" applyProtection="1" pivotButton="0" quotePrefix="0" xfId="0">
      <alignment horizontal="left" vertical="center"/>
      <protection locked="0" hidden="0"/>
    </xf>
    <xf numFmtId="170" fontId="0" fillId="0" borderId="1" pivotButton="0" quotePrefix="0" xfId="0"/>
    <xf numFmtId="3" fontId="15" fillId="8" borderId="1" applyAlignment="1" pivotButton="0" quotePrefix="0" xfId="0">
      <alignment horizontal="center" vertical="center"/>
    </xf>
    <xf numFmtId="0" fontId="0" fillId="8" borderId="1" applyAlignment="1" pivotButton="0" quotePrefix="0" xfId="0">
      <alignment horizontal="center"/>
    </xf>
    <xf numFmtId="166" fontId="15" fillId="8" borderId="1" applyAlignment="1" pivotButton="0" quotePrefix="0" xfId="0">
      <alignment horizontal="center" vertical="center"/>
    </xf>
    <xf numFmtId="173" fontId="15" fillId="8" borderId="1" applyAlignment="1" pivotButton="0" quotePrefix="0" xfId="0">
      <alignment horizontal="center" vertical="center"/>
    </xf>
    <xf numFmtId="174" fontId="15" fillId="8" borderId="1" applyAlignment="1" pivotButton="0" quotePrefix="0" xfId="0">
      <alignment horizontal="center" vertical="center"/>
    </xf>
    <xf numFmtId="0" fontId="25" fillId="8" borderId="1" pivotButton="0" quotePrefix="0" xfId="0"/>
    <xf numFmtId="0" fontId="0" fillId="8" borderId="1" applyAlignment="1" pivotButton="0" quotePrefix="0" xfId="0">
      <alignment horizontal="right"/>
    </xf>
    <xf numFmtId="3" fontId="0" fillId="0" borderId="1" pivotButton="0" quotePrefix="0" xfId="0"/>
    <xf numFmtId="166" fontId="0" fillId="0" borderId="1" pivotButton="0" quotePrefix="0" xfId="0"/>
    <xf numFmtId="167" fontId="0" fillId="0" borderId="1" pivotButton="0" quotePrefix="0" xfId="0"/>
    <xf numFmtId="2" fontId="0" fillId="0" borderId="1" pivotButton="0" quotePrefix="0" xfId="0"/>
    <xf numFmtId="0" fontId="5" fillId="0" borderId="1" pivotButton="0" quotePrefix="0" xfId="0"/>
    <xf numFmtId="0" fontId="23" fillId="0" borderId="0" pivotButton="0" quotePrefix="0" xfId="0"/>
    <xf numFmtId="172" fontId="0" fillId="0" borderId="1" pivotButton="0" quotePrefix="0" xfId="0"/>
    <xf numFmtId="170" fontId="3" fillId="0" borderId="1" pivotButton="0" quotePrefix="0" xfId="0"/>
    <xf numFmtId="0" fontId="6" fillId="3" borderId="1" applyAlignment="1" pivotButton="0" quotePrefix="0" xfId="0">
      <alignment vertical="top" wrapText="1"/>
    </xf>
    <xf numFmtId="1" fontId="0" fillId="0" borderId="1" pivotButton="0" quotePrefix="0" xfId="0"/>
    <xf numFmtId="0" fontId="24" fillId="0" borderId="1" pivotButton="0" quotePrefix="0" xfId="0"/>
  </cellXfs>
  <cellStyles count="1">
    <cellStyle name="Normal" xfId="0" builtinId="0" hidden="0"/>
  </cellStyles>
  <dxfs count="6">
    <dxf>
      <font>
        <b val="1"/>
        <color rgb="00006100"/>
      </font>
      <fill>
        <patternFill patternType="solid">
          <fgColor rgb="00C6EFCE"/>
        </patternFill>
      </fill>
    </dxf>
    <dxf>
      <font>
        <b val="1"/>
        <color rgb="009C0006"/>
      </font>
      <fill>
        <patternFill patternType="solid">
          <fgColor rgb="00FFC7CE"/>
        </patternFill>
      </fill>
    </dxf>
    <dxf>
      <fill>
        <patternFill patternType="solid">
          <fgColor rgb="00C6EFCE"/>
        </patternFill>
      </fill>
    </dxf>
    <dxf>
      <fill>
        <patternFill patternType="solid">
          <fgColor rgb="00FFC7CE"/>
        </patternFill>
      </fill>
    </dxf>
    <dxf>
      <font>
        <color rgb="00006100"/>
      </font>
    </dxf>
    <dxf>
      <font>
        <color rgb="009C000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 Id="rIdXlcMeta" Type="http://schemas.openxmlformats.org/officeDocument/2006/relationships/sheetMetadata" Target="metadata.xml"/></Relationships>
</file>

<file path=xl/charts/chart1.xml><?xml version="1.0" encoding="utf-8"?>
<chartSpace xmlns:a="http://schemas.openxmlformats.org/drawingml/2006/main" xmlns="http://schemas.openxmlformats.org/drawingml/2006/chart">
  <chart>
    <title>
      <tx>
        <strRef>
          <f>'Dashboard Key'!$O$19</f>
          <strCache>
            <ptCount val="1"/>
            <pt idx="0">
              <v>ED visits, 12 months to Oct 2025 · All facilities</v>
            </pt>
          </strCache>
        </strRef>
      </tx>
      <overlay val="0"/>
      <txPr>
        <a:bodyPr/>
        <a:p>
          <a:pPr>
            <a:defRPr sz="1100" b="1"/>
          </a:pPr>
          <a:endParaRPr sz="1100" b="1"/>
        </a:p>
      </txPr>
    </title>
    <plotArea>
      <barChart>
        <barDir val="col"/>
        <grouping val="clustered"/>
        <ser>
          <idx val="0"/>
          <order val="0"/>
          <tx>
            <strRef>
              <f>'Dashboard Key'!O22</f>
            </strRef>
          </tx>
          <spPr>
            <a:solidFill>
              <a:srgbClr val="2E75B6"/>
            </a:solidFill>
            <a:ln>
              <a:solidFill>
                <a:srgbClr val="2E75B6"/>
              </a:solidFill>
              <a:prstDash val="solid"/>
            </a:ln>
          </spPr>
          <cat>
            <numRef>
              <f>'Dashboard Key'!$N$23:$N$34</f>
            </numRef>
          </cat>
          <val>
            <numRef>
              <f>'Dashboard Key'!$O$23:$O$34</f>
            </numRef>
          </val>
        </ser>
        <gapWidth val="150"/>
        <axId val="10"/>
        <axId val="100"/>
      </barChart>
      <catAx>
        <axId val="10"/>
        <scaling>
          <orientation val="minMax"/>
        </scaling>
        <delete val="0"/>
        <axPos val="l"/>
        <numFmt formatCode="mmm yy" sourceLinked="0"/>
        <majorTickMark val="none"/>
        <minorTickMark val="none"/>
        <crossAx val="100"/>
        <lblOffset val="100"/>
      </catAx>
      <valAx>
        <axId val="100"/>
        <scaling>
          <orientation val="minMax"/>
          <min val="0"/>
        </scaling>
        <delete val="0"/>
        <axPos val="l"/>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strRef>
          <f>'Dashboard Key'!$O$20</f>
          <strCache>
            <ptCount val="1"/>
            <pt idx="0">
              <v>LWBS % vs target, 12 months to Oct 2025 · All facilities</v>
            </pt>
          </strCache>
        </strRef>
      </tx>
      <overlay val="0"/>
      <txPr>
        <a:bodyPr/>
        <a:p>
          <a:pPr>
            <a:defRPr sz="1100" b="1"/>
          </a:pPr>
          <a:endParaRPr sz="1100" b="1"/>
        </a:p>
      </txPr>
    </title>
    <plotArea>
      <lineChart>
        <grouping val="standard"/>
        <ser>
          <idx val="0"/>
          <order val="0"/>
          <tx>
            <strRef>
              <f>'Dashboard Key'!P22</f>
            </strRef>
          </tx>
          <spPr>
            <a:ln w="28000">
              <a:solidFill>
                <a:srgbClr val="1F4E79"/>
              </a:solidFill>
              <a:prstDash val="solid"/>
            </a:ln>
          </spPr>
          <marker>
            <symbol val="none"/>
            <spPr>
              <a:ln>
                <a:prstDash val="solid"/>
              </a:ln>
            </spPr>
          </marker>
          <cat>
            <numRef>
              <f>'Dashboard Key'!$N$23:$N$34</f>
            </numRef>
          </cat>
          <val>
            <numRef>
              <f>'Dashboard Key'!$P$23:$P$34</f>
            </numRef>
          </val>
          <smooth val="0"/>
        </ser>
        <ser>
          <idx val="1"/>
          <order val="1"/>
          <tx>
            <strRef>
              <f>'Dashboard Key'!Q22</f>
            </strRef>
          </tx>
          <spPr>
            <a:ln>
              <a:solidFill>
                <a:srgbClr val="C00000"/>
              </a:solidFill>
              <a:prstDash val="dash"/>
            </a:ln>
          </spPr>
          <marker>
            <symbol val="none"/>
            <spPr>
              <a:ln>
                <a:prstDash val="solid"/>
              </a:ln>
            </spPr>
          </marker>
          <cat>
            <numRef>
              <f>'Dashboard Key'!$N$23:$N$34</f>
            </numRef>
          </cat>
          <val>
            <numRef>
              <f>'Dashboard Key'!$Q$23:$Q$34</f>
            </numRef>
          </val>
          <smooth val="0"/>
        </ser>
        <axId val="10"/>
        <axId val="100"/>
      </lineChart>
      <catAx>
        <axId val="10"/>
        <scaling>
          <orientation val="minMax"/>
        </scaling>
        <delete val="0"/>
        <axPos val="l"/>
        <numFmt formatCode="mmm yy" sourceLinked="0"/>
        <majorTickMark val="none"/>
        <minorTickMark val="none"/>
        <crossAx val="100"/>
        <lblOffset val="100"/>
      </catAx>
      <valAx>
        <axId val="100"/>
        <scaling>
          <orientation val="minMax"/>
          <min val="0"/>
        </scaling>
        <delete val="0"/>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18</row>
      <rowOff>0</rowOff>
    </from>
    <ext cx="5688000" cy="2592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18</row>
      <rowOff>0</rowOff>
    </from>
    <ext cx="5688000" cy="2592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KPI" displayName="tblKPI" ref="A5:U77" headerRowCount="1">
  <autoFilter ref="A5:U77"/>
  <tableColumns count="21">
    <tableColumn id="1" name="Month"/>
    <tableColumn id="2" name="Facility"/>
    <tableColumn id="3" name="EDVisits"/>
    <tableColumn id="4" name="LWBS"/>
    <tableColumn id="5" name="LWBSRate"/>
    <tableColumn id="6" name="MedianDTP"/>
    <tableColumn id="7" name="IPDischarges"/>
    <tableColumn id="8" name="LOSDays"/>
    <tableColumn id="9" name="ALOS"/>
    <tableColumn id="10" name="IndexStays"/>
    <tableColumn id="11" name="Readmits"/>
    <tableColumn id="12" name="ReadmitRate"/>
    <tableColumn id="13" name="PatientDays"/>
    <tableColumn id="14" name="BedDays"/>
    <tableColumn id="15" name="Occupancy"/>
    <tableColumn id="16" name="Surveys"/>
    <tableColumn id="17" name="TopBox"/>
    <tableColumn id="18" name="TopBoxRate"/>
    <tableColumn id="19" name="ClaimsAdjudicated"/>
    <tableColumn id="20" name="ClaimsDenied"/>
    <tableColumn id="21" name="DenialRate"/>
  </tableColumns>
  <tableStyleInfo name="TableStyleMedium2" showRowStripes="1"/>
</table>
</file>

<file path=xl/tables/table2.xml><?xml version="1.0" encoding="utf-8"?>
<table xmlns="http://schemas.openxmlformats.org/spreadsheetml/2006/main" id="2" name="tblEDWaits" displayName="tblEDWaits" ref="A4:D12059" headerRowCount="1">
  <autoFilter ref="A4:D12059"/>
  <tableColumns count="4">
    <tableColumn id="1" name="EDVisitID"/>
    <tableColumn id="2" name="ArrivalDateTime"/>
    <tableColumn id="3" name="Facility"/>
    <tableColumn id="4" name="DoorToProviderMin"/>
  </tableColumns>
  <tableStyleInfo name="TableStyleMedium2" showRowStripes="1"/>
</table>
</file>

<file path=xl/tables/table3.xml><?xml version="1.0" encoding="utf-8"?>
<table xmlns="http://schemas.openxmlformats.org/spreadsheetml/2006/main" id="3" name="tblTargets" displayName="tblTargets" ref="A3:G10" headerRowCount="1">
  <autoFilter ref="A3:G10"/>
  <tableColumns count="7">
    <tableColumn id="1" name="KPI"/>
    <tableColumn id="2" name="Unit"/>
    <tableColumn id="3" name="Question"/>
    <tableColumn id="4" name="Definition"/>
    <tableColumn id="5" name="Direction"/>
    <tableColumn id="6" name="Target"/>
    <tableColumn id="7" name="Owne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1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79"/>
    <outlinePr summaryBelow="1" summaryRight="1"/>
    <pageSetUpPr fitToPage="1"/>
  </sheetPr>
  <dimension ref="B2:C34"/>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4.6</t>
        </is>
      </c>
    </row>
    <row r="3">
      <c r="B3" s="2" t="inlineStr">
        <is>
          <t>Building Interactive Dashboards</t>
        </is>
      </c>
    </row>
    <row r="4">
      <c r="B4" s="3" t="inlineStr">
        <is>
          <t>Advanced  ·  about 70 minutes  ·  Bluestone Health System (fictional)</t>
        </is>
      </c>
    </row>
    <row r="6">
      <c r="B6" s="4" t="inlineStr">
        <is>
          <t>What you'll learn</t>
        </is>
      </c>
      <c r="C6" s="5" t="n"/>
    </row>
    <row r="7" ht="18" customHeight="1">
      <c r="B7" s="6" t="inlineStr">
        <is>
          <t>•</t>
        </is>
      </c>
      <c r="C7" s="7" t="inlineStr">
        <is>
          <t>Plan a dashboard around audience, questions, and KPIs</t>
        </is>
      </c>
    </row>
    <row r="8" ht="18" customHeight="1">
      <c r="B8" s="6" t="inlineStr">
        <is>
          <t>•</t>
        </is>
      </c>
      <c r="C8" s="7" t="inlineStr">
        <is>
          <t>Build KPI cards and selector-driven formulas</t>
        </is>
      </c>
    </row>
    <row r="9" ht="18" customHeight="1">
      <c r="B9" s="6" t="inlineStr">
        <is>
          <t>•</t>
        </is>
      </c>
      <c r="C9" s="7" t="inlineStr">
        <is>
          <t>Connect slicers to multiple PivotTables and drive charts from selections</t>
        </is>
      </c>
    </row>
    <row r="10" ht="18" customHeight="1">
      <c r="B10" s="6" t="inlineStr">
        <is>
          <t>•</t>
        </is>
      </c>
      <c r="C10" s="7" t="inlineStr">
        <is>
          <t>Polish layout, interactivity, and performance</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https://github.com/lmansf/learn-excel/tree/main/04-advanced-analysis/06-dashboards</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48" customHeight="1">
      <c r="B18" s="8" t="inlineStr">
        <is>
          <t>Note</t>
        </is>
      </c>
      <c r="C18" s="7" t="inlineStr">
        <is>
          <t>The Dashboard sheet's yellow selectors are named SelFacility (Dashboard!C4) and SelMonth (Dashboard!C5). They start at Cedar Ridge Medical Center and Nov 2025. Tasks 1–9 and 11 are checked against that selection, so set it back if you've been exploring.</t>
        </is>
      </c>
    </row>
    <row r="19" ht="33" customHeight="1">
      <c r="B19" s="8" t="inlineStr">
        <is>
          <t>Note</t>
        </is>
      </c>
      <c r="C19" s="7" t="inlineStr">
        <is>
          <t>Needs Microsoft 365 or Excel 2021+ for XLOOKUP, LET, and FILTER. The guide shows alternatives for older versions. Form Controls (task 10) need Excel for Windows or Mac, not Excel for the web.</t>
        </is>
      </c>
    </row>
    <row r="20" ht="48" customHeight="1">
      <c r="B20" s="8" t="inlineStr">
        <is>
          <t>Note</t>
        </is>
      </c>
      <c r="C20" s="7" t="inlineStr">
        <is>
          <t>Dashboard Key (hidden) is a finished reference dashboard set to the bonus selection. It's protected without a password so its selectors are the only cells you can change. Review → Unprotect Sheet lets you edit it.</t>
        </is>
      </c>
    </row>
    <row r="21" ht="33" customHeight="1">
      <c r="B21" s="8" t="inlineStr">
        <is>
          <t>Note</t>
        </is>
      </c>
      <c r="C21" s="7" t="inlineStr">
        <is>
          <t>KPI_Monthly leaves readmission, survey, and claims numbers blank for December 2025 on purpose: those numbers aren't final yet.</t>
        </is>
      </c>
    </row>
    <row r="23">
      <c r="B23" s="4" t="inlineStr">
        <is>
          <t>Color legend</t>
        </is>
      </c>
      <c r="C23" s="5" t="n"/>
    </row>
    <row r="24" ht="18" customHeight="1">
      <c r="B24" s="9" t="inlineStr">
        <is>
          <t>Yellow cell</t>
        </is>
      </c>
      <c r="C24" s="7" t="inlineStr">
        <is>
          <t>Your answer goes here.</t>
        </is>
      </c>
    </row>
    <row r="25" ht="18" customHeight="1">
      <c r="B25" s="10" t="inlineStr">
        <is>
          <t>Gray cell</t>
        </is>
      </c>
      <c r="C25" s="7" t="inlineStr">
        <is>
          <t>Pre-filled summary formula — it reads the work you did on another sheet.</t>
        </is>
      </c>
    </row>
    <row r="26" ht="18" customHeight="1">
      <c r="B26" s="11" t="inlineStr">
        <is>
          <t>✔ Correct</t>
        </is>
      </c>
      <c r="C26" s="7" t="inlineStr">
        <is>
          <t>Your answer matches the key.</t>
        </is>
      </c>
    </row>
    <row r="27" ht="18" customHeight="1">
      <c r="B27" s="12" t="inlineStr">
        <is>
          <t>✘ Not yet</t>
        </is>
      </c>
      <c r="C27" s="7" t="inlineStr">
        <is>
          <t>Not matching yet — check the hint and try again.</t>
        </is>
      </c>
    </row>
    <row r="29">
      <c r="B29" s="4" t="inlineStr">
        <is>
          <t>Sheets in this workbook</t>
        </is>
      </c>
      <c r="C29" s="5" t="n"/>
    </row>
    <row r="30" ht="18" customHeight="1">
      <c r="B30" s="8" t="inlineStr">
        <is>
          <t>KPI_Monthly</t>
        </is>
      </c>
      <c r="C30" s="7" t="inlineStr">
        <is>
          <t>Data: 72 rows — Excel Table 'tblKPI'</t>
        </is>
      </c>
    </row>
    <row r="31" ht="18" customHeight="1">
      <c r="B31" s="8" t="inlineStr">
        <is>
          <t>EDWaits</t>
        </is>
      </c>
      <c r="C31" s="7" t="inlineStr">
        <is>
          <t>Data: 12,055 rows — Excel Table 'tblEDWaits'</t>
        </is>
      </c>
    </row>
    <row r="32" ht="18" customHeight="1">
      <c r="B32" s="8" t="inlineStr">
        <is>
          <t>Targets</t>
        </is>
      </c>
      <c r="C32" s="7" t="inlineStr">
        <is>
          <t>Data: 7 rows — Excel Table 'tblTargets'</t>
        </is>
      </c>
    </row>
    <row r="33" ht="33" customHeight="1">
      <c r="B33" s="8" t="inlineStr">
        <is>
          <t>About the data</t>
        </is>
      </c>
      <c r="C33" s="7" t="inlineStr">
        <is>
          <t>Monthly KPIs for Bluestone Health's three hospitals, Jan 2024 – Dec 2025 (72 hospital-months), every ED visit's door-to-provider time, and a KPI dictionary with targets and owners.</t>
        </is>
      </c>
    </row>
    <row r="34" ht="18" customHeight="1">
      <c r="B34" s="8" t="inlineStr">
        <is>
          <t>Disclaimer</t>
        </is>
      </c>
      <c r="C34"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4.6 · Practice</t>
        </is>
      </c>
    </row>
    <row r="2" ht="49" customHeight="1">
      <c r="A2" s="14" t="inlineStr">
        <is>
          <t>The yellow selectors on the Dashboard sheet are named SelFacility (Dashboard!C4) and SelMonth (Dashboard!C5). They start at Cedar Ridge Medical Center and Nov 2025. Write every formula with SelFacility and SelMonth, never typed-in names or dates, and keep that selection while you check your answers. (Change it afterwards and watch your formulas follow.) Tasks 1–9 go in the yellow cells below. Tasks 10–13 have you build on other sheets.</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36" customHeight="1">
      <c r="A6" s="18" t="inlineStr">
        <is>
          <t>1</t>
        </is>
      </c>
      <c r="B6" s="19" t="inlineStr">
        <is>
          <t>Write a formula that returns the number of ED visits for the selected facility and month (the EDVisits column of tblKPI).</t>
        </is>
      </c>
      <c r="C6" s="20" t="inlineStr">
        <is>
          <t>SUMIFS with two criteria: Facility = SelFacility and Month = SelMonth</t>
        </is>
      </c>
      <c r="D6" s="21" t="n"/>
      <c r="E6" s="22">
        <f>IF(IFERROR(D6="",FALSE),"",IF(IFERROR(AND(ISNUMBER(D6),OR(ABS(D6-'Answer Key'!$C$5)&lt;=0.0001)),FALSE),"✔ Correct","✘ Not yet"))</f>
        <v/>
      </c>
    </row>
    <row r="7" ht="51" customHeight="1">
      <c r="A7" s="18" t="inlineStr">
        <is>
          <t>2</t>
        </is>
      </c>
      <c r="B7" s="19" t="inlineStr">
        <is>
          <t>Return the LWBS % (left without being seen) for the selection. Build it from its components, LWBS ÷ EDVisits, instead of reading the LWBSRate column. Enter it as a percentage.</t>
        </is>
      </c>
      <c r="C7" s="20" t="inlineStr">
        <is>
          <t>One SUMIFS for the numerator divided by one SUMIFS for the denominator</t>
        </is>
      </c>
      <c r="D7" s="23" t="n"/>
      <c r="E7" s="22">
        <f>IF(IFERROR(D7="",FALSE),"",IF(IFERROR(AND(ISNUMBER(D7),OR(ABS(D7-'Answer Key'!$C$6)&lt;=0.00051,ABS(D7-'Answer Key'!$C$6*100)&lt;=0.051000000000000004)),FALSE),"✔ Correct","✘ Not yet"))</f>
        <v/>
      </c>
    </row>
    <row r="8" ht="66" customHeight="1">
      <c r="A8" s="18" t="inlineStr">
        <is>
          <t>3</t>
        </is>
      </c>
      <c r="B8" s="19" t="inlineStr">
        <is>
          <t>LWBS variance to target: the selected LWBS % minus the LWBS % target from tblTargets. Look the target up with a formula instead of typing 2%. Enter the result as a percentage. A positive result means the hospital is above (worse than) this lower-is-better target.</t>
        </is>
      </c>
      <c r="C8" s="20" t="inlineStr">
        <is>
          <t>XLOOKUP("LWBS %", tblTargets[KPI], tblTargets[Target])</t>
        </is>
      </c>
      <c r="D8" s="23" t="n"/>
      <c r="E8" s="22">
        <f>IF(IFERROR(D8="",FALSE),"",IF(IFERROR(AND(ISNUMBER(D8),OR(ABS(D8-'Answer Key'!$C$7)&lt;=0.00051,ABS(D8-'Answer Key'!$C$7*100)&lt;=0.051000000000000004)),FALSE),"✔ Correct","✘ Not yet"))</f>
        <v/>
      </c>
    </row>
    <row r="9" ht="51" customHeight="1">
      <c r="A9" s="18" t="inlineStr">
        <is>
          <t>4</t>
        </is>
      </c>
      <c r="B9" s="19" t="inlineStr">
        <is>
          <t>ED visits change versus the same month last year: this year ÷ last year − 1. Find last year's month with EDATE so the formula works for any selected month. Enter it as a percentage.</t>
        </is>
      </c>
      <c r="C9" s="20" t="inlineStr">
        <is>
          <t>EDATE(SelMonth,-12) is the same month one year earlier</t>
        </is>
      </c>
      <c r="D9" s="24" t="n"/>
      <c r="E9" s="22">
        <f>IF(IFERROR(D9="",FALSE),"",IF(IFERROR(AND(ISNUMBER(D9),OR(ABS(D9-'Answer Key'!$C$8)&lt;=0.00051,ABS(D9-'Answer Key'!$C$8*100)&lt;=0.051000000000000004)),FALSE),"✔ Correct","✘ Not yet"))</f>
        <v/>
      </c>
    </row>
    <row r="10" ht="51" customHeight="1">
      <c r="A10" s="18" t="inlineStr">
        <is>
          <t>5</t>
        </is>
      </c>
      <c r="B10" s="19" t="inlineStr">
        <is>
          <t>Occupancy trend arrow. Compare the selected month's occupancy (PatientDays ÷ BedDays) with the previous month's. Return ▲ with UNICHAR(9650) if it rose, ▼ with UNICHAR(9660) if it fell, or ▬ with UNICHAR(9644) if it didn't change.</t>
        </is>
      </c>
      <c r="C10" s="20" t="inlineStr">
        <is>
          <t>LET(cur, …, prev, …, IF(cur&gt;prev, UNICHAR(9650), …)). EDATE(SelMonth,-1) is the previous month</t>
        </is>
      </c>
      <c r="D10" s="25" t="n"/>
      <c r="E10" s="22">
        <f>IF(IFERROR(D10="",FALSE),"",IF(IFERROR(OR(LOWER(TRIM(D10&amp;""))=LOWER(TRIM('Answer Key'!$C$9&amp;""))),FALSE),"✔ Correct","✘ Not yet"))</f>
        <v/>
      </c>
    </row>
    <row r="11" ht="66" customHeight="1">
      <c r="A11" s="18" t="inlineStr">
        <is>
          <t>6</t>
        </is>
      </c>
      <c r="B11" s="19" t="inlineStr">
        <is>
          <t>Status cell for median door-to-provider: return the text On target or Off target for the selection. Read the target and the Direction of "Median door-to-provider" from tblTargets, so the same pattern works for any KPI. A median isn't additive, so look up the hospital's MedianDTP value instead of adding it up.</t>
        </is>
      </c>
      <c r="C11" s="20" t="inlineStr">
        <is>
          <t>LET + XLOOKUP(1, (tblKPI[Facility]=SelFacility)*(tblKPI[Month]=SelMonth), tblKPI[MedianDTP]); then IF on the direction</t>
        </is>
      </c>
      <c r="D11" s="25" t="n"/>
      <c r="E11" s="22">
        <f>IF(IFERROR(D11="",FALSE),"",IF(IFERROR(OR(LOWER(TRIM(D11&amp;""))=LOWER(TRIM('Answer Key'!$C$10&amp;""))),FALSE),"✔ Correct","✘ Not yet"))</f>
        <v/>
      </c>
    </row>
    <row r="12" ht="51" customHeight="1">
      <c r="A12" s="18" t="inlineStr">
        <is>
          <t>7</t>
        </is>
      </c>
      <c r="B12" s="19" t="inlineStr">
        <is>
          <t>System-wide LWBS % for the selected month: all three hospitals combined, ignoring the facility selector. Divide total LWBS by total ED visits instead of averaging the three hospitals' rates. Enter it as a percentage.</t>
        </is>
      </c>
      <c r="C12" s="20" t="inlineStr">
        <is>
          <t>Drop the Facility criterion from both SUMIFS</t>
        </is>
      </c>
      <c r="D12" s="23" t="n"/>
      <c r="E12" s="22">
        <f>IF(IFERROR(D12="",FALSE),"",IF(IFERROR(AND(ISNUMBER(D12),OR(ABS(D12-'Answer Key'!$C$11)&lt;=0.00051,ABS(D12-'Answer Key'!$C$11*100)&lt;=0.051000000000000004)),FALSE),"✔ Correct","✘ Not yet"))</f>
        <v/>
      </c>
    </row>
    <row r="13" ht="66" customHeight="1">
      <c r="A13" s="18" t="inlineStr">
        <is>
          <t>8</t>
        </is>
      </c>
      <c r="B13" s="19" t="inlineStr">
        <is>
          <t>System-wide median door-to-provider, in minutes, for the selected month. Medians can't be added or averaged across hospitals, so compute it from the visit-level table: the MEDIAN of DoorToProviderMin for every tblEDWaits visit whose ArrivalDateTime falls in the selected month. Keep one decimal place.</t>
        </is>
      </c>
      <c r="C13" s="20" t="inlineStr">
        <is>
          <t>MEDIAN(FILTER(…)) with ArrivalDateTime &gt;= SelMonth and &lt; EDATE(SelMonth,1)</t>
        </is>
      </c>
      <c r="D13" s="26" t="n"/>
      <c r="E13" s="22">
        <f>IF(IFERROR(D13="",FALSE),"",IF(IFERROR(AND(ISNUMBER(D13),OR(ABS(D13-'Answer Key'!$C$12)&lt;=0.0051)),FALSE),"✔ Correct","✘ Not yet"))</f>
        <v/>
      </c>
    </row>
    <row r="14" ht="51" customHeight="1">
      <c r="A14" s="18" t="inlineStr">
        <is>
          <t>9</t>
        </is>
      </c>
      <c r="B14" s="19" t="inlineStr">
        <is>
          <t>Rolling 3-month ED visits for the selected facility: the selected month plus the two months before it (Sep–Nov 2025 for the default selection). Use one SUMIFS with a date window, not OFFSET.</t>
        </is>
      </c>
      <c r="C14" s="20" t="inlineStr">
        <is>
          <t>Two criteria on the Month column: "&gt;="&amp;EDATE(SelMonth,-2) and "&lt;="&amp;SelMonth</t>
        </is>
      </c>
      <c r="D14" s="21" t="n"/>
      <c r="E14" s="22">
        <f>IF(IFERROR(D14="",FALSE),"",IF(IFERROR(AND(ISNUMBER(D14),OR(ABS(D14-'Answer Key'!$C$13)&lt;=0.0001)),FALSE),"✔ Correct","✘ Not yet"))</f>
        <v/>
      </c>
    </row>
    <row r="15" ht="66" customHeight="1">
      <c r="A15" s="18" t="inlineStr">
        <is>
          <t>10</t>
        </is>
      </c>
      <c r="B15" s="19" t="inlineStr">
        <is>
          <t>Insert a Form Controls combo box on the Dashboard. In Format Control, set its Input range to Lists!$A$2:$A$5 and its Cell link to Calc!$C$12. Then choose Ashby Falls Community Hospital in the combo box. The gray cell shows the number your combo box writes to the cell link.</t>
        </is>
      </c>
      <c r="C15" s="20" t="inlineStr">
        <is>
          <t>Developer → Insert → Combo Box (Form Control), then right-click it → Format Control → Control tab</t>
        </is>
      </c>
      <c r="D15" cm="1" s="27">
        <f t="array" ref="D15">IF(Calc!C12="","",Calc!C12)</f>
        <v/>
      </c>
      <c r="E15" s="22">
        <f>IF(IFERROR(D15="",FALSE),"",IF(IFERROR(AND(ISNUMBER(D15),OR(ABS(D15-'Answer Key'!$C$14)&lt;=0.0001)),FALSE),"✔ Correct","✘ Not yet"))</f>
        <v/>
      </c>
    </row>
    <row r="16" ht="81" customHeight="1">
      <c r="A16" s="18" t="inlineStr">
        <is>
          <t>11</t>
        </is>
      </c>
      <c r="B16" s="19" t="inlineStr">
        <is>
          <t>On the Calc sheet, fill the yellow 12-month trend block. In B17:B28, return the 12 months ending at SelMonth, oldest first (use EDATE). In C17:C28, return ED visits for SelFacility in each of those months. Then select B16:C28, insert a line chart, and move it to the Dashboard. The gray cell totals your block: the trailing-12-month ED visits.</t>
        </is>
      </c>
      <c r="C16" s="20" t="inlineStr">
        <is>
          <t>EDATE(SelMonth,-11) is the oldest month. A counter such as ROWS(B$17:B17) lets one formula step forward as you copy it down</t>
        </is>
      </c>
      <c r="D16" cm="1" s="27">
        <f t="array" ref="D16">IF(COUNT(Calc!$C$17:$C$28)=0,"",SUM(Calc!$C$17:$C$28))</f>
        <v/>
      </c>
      <c r="E16" s="22">
        <f>IF(IFERROR(D16="",FALSE),"",IF(IFERROR(AND(ISNUMBER(D16),OR(ABS(D16-'Answer Key'!$C$15)&lt;=0.0001)),FALSE),"✔ Correct","✘ Not yet"))</f>
        <v/>
      </c>
    </row>
    <row r="17" ht="81" customHeight="1">
      <c r="A17" s="18" t="inlineStr">
        <is>
          <t>12</t>
        </is>
      </c>
      <c r="B17" s="19" t="inlineStr">
        <is>
          <t>Insert a new sheet named Pivots. Build PivotTable 1 from tblKPI with Month in Rows and Sum of EDVisits in Values. Insert a Facility slicer and a Month timeline for it. Select Ashby Falls Community Hospital in the slicer, and select 2025 Q3 in the timeline (switch it to QUARTERS). What is PivotTable 1's grand total?</t>
        </is>
      </c>
      <c r="C17" s="20" t="inlineStr">
        <is>
          <t>PivotTable Analyze → Insert Slicer, and PivotTable Analyze → Insert Timeline</t>
        </is>
      </c>
      <c r="D17" s="21" t="n"/>
      <c r="E17" s="22">
        <f>IF(IFERROR(D17="",FALSE),"",IF(IFERROR(AND(ISNUMBER(D17),OR(ABS(D17-'Answer Key'!$C$16)&lt;=0.0001)),FALSE),"✔ Correct","✘ Not yet"))</f>
        <v/>
      </c>
    </row>
    <row r="18" ht="81" customHeight="1">
      <c r="A18" s="18" t="inlineStr">
        <is>
          <t>13</t>
        </is>
      </c>
      <c r="B18" s="19" t="inlineStr">
        <is>
          <t>On the Pivots sheet, build PivotTable 2 from tblKPI with Facility in Rows, plus Sum of LWBS and Sum of EDVisits in Values. Connect the slicer and the timeline to it (Report Connections). Then add a calculated field LWBSPct = LWBS / EDVisits. With Ashby Falls and 2025 Q3 still selected, what LWBS % does PivotTable 2 show? Enter it as a percentage.</t>
        </is>
      </c>
      <c r="C18" s="20" t="inlineStr">
        <is>
          <t>Select the slicer → Slicer → Report Connections. Then PivotTable Analyze → Fields, Items &amp; Sets → Calculated Field</t>
        </is>
      </c>
      <c r="D18" s="23" t="n"/>
      <c r="E18" s="22">
        <f>IF(IFERROR(D18="",FALSE),"",IF(IFERROR(AND(ISNUMBER(D18),OR(ABS(D18-'Answer Key'!$C$17)&lt;=0.00051,ABS(D18-'Answer Key'!$C$17*100)&lt;=0.051000000000000004)),FALSE),"✔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1F4E79"/>
    <outlinePr summaryBelow="1" summaryRight="1"/>
    <pageSetUpPr fitToPage="1"/>
  </sheetPr>
  <dimension ref="B1:E15"/>
  <sheetViews>
    <sheetView tabSelected="0" workbookViewId="0">
      <pane ySplit="5" topLeftCell="A6" activePane="bottomLeft" state="frozen"/>
      <selection pane="bottomLeft" activeCell="A1" sqref="A1"/>
    </sheetView>
  </sheetViews>
  <sheetFormatPr baseColWidth="8" defaultRowHeight="15"/>
  <cols>
    <col width="2" customWidth="1" min="1" max="1"/>
    <col width="26" customWidth="1" min="2" max="2"/>
    <col width="34" customWidth="1" min="3" max="3"/>
    <col width="3" customWidth="1" min="4" max="4"/>
    <col width="70" customWidth="1" min="5" max="5"/>
  </cols>
  <sheetData>
    <row r="1">
      <c r="B1" s="28" t="inlineStr">
        <is>
          <t>Hospital Operations Dashboard · practice canvas</t>
        </is>
      </c>
    </row>
    <row r="2">
      <c r="B2" s="3" t="inlineStr">
        <is>
          <t>Change the yellow selectors. Every number on this sheet, and your Practice formulas, should follow them.</t>
        </is>
      </c>
    </row>
    <row r="4" ht="20" customHeight="1">
      <c r="B4" s="29" t="inlineStr">
        <is>
          <t>Facility  (named SelFacility)</t>
        </is>
      </c>
      <c r="C4" s="30" t="inlineStr">
        <is>
          <t>Cedar Ridge Medical Center</t>
        </is>
      </c>
    </row>
    <row r="5" ht="20" customHeight="1">
      <c r="B5" s="29" t="inlineStr">
        <is>
          <t>Month  (named SelMonth)</t>
        </is>
      </c>
      <c r="C5" s="31" t="n">
        <v>45962</v>
      </c>
    </row>
    <row r="7">
      <c r="B7" s="32" t="inlineStr">
        <is>
          <t>INPATIENT DISCHARGES  ·  example card</t>
        </is>
      </c>
      <c r="C7" s="33" t="n"/>
      <c r="E7" s="3" t="inlineStr">
        <is>
          <t>← A finished card. Click each cell and read its formula in the formula bar.</t>
        </is>
      </c>
    </row>
    <row r="8" ht="36" customHeight="1">
      <c r="B8" s="34">
        <f>SUMIFS(tblKPI[IPDischarges],tblKPI[Facility],SelFacility,tblKPI[Month],SelMonth)</f>
        <v/>
      </c>
      <c r="C8" s="35" t="n"/>
      <c r="E8" s="3" t="inlineStr">
        <is>
          <t>Big number: SUMIFS on the selectors.  Context: the same month last year (EDATE(SelMonth,-12)).</t>
        </is>
      </c>
    </row>
    <row r="9">
      <c r="B9" s="35" t="inlineStr">
        <is>
          <t>Same month last year</t>
        </is>
      </c>
      <c r="C9" s="36">
        <f>SUMIFS(tblKPI[IPDischarges],tblKPI[Facility],SelFacility,tblKPI[Month],EDATE(SelMonth,-12))</f>
        <v/>
      </c>
      <c r="E9" s="3" t="inlineStr">
        <is>
          <t>The ▲/▼ comes from a custom number format, "▲ "0.0%;"▼ "0.0%;"▬ "0.0%, so the cell is still a number.</t>
        </is>
      </c>
    </row>
    <row r="10">
      <c r="B10" s="35" t="inlineStr">
        <is>
          <t>Change vs last year</t>
        </is>
      </c>
      <c r="C10" s="37">
        <f>IFERROR(B8/C9-1,"n/a")</f>
        <v/>
      </c>
      <c r="E10" s="3" t="inlineStr">
        <is>
          <t>It isn't colored: more discharges are neither good nor bad, so color would mislead.</t>
        </is>
      </c>
    </row>
    <row r="13">
      <c r="B13" s="38" t="inlineStr">
        <is>
          <t>▸ Task 10: put your combo box here.</t>
        </is>
      </c>
    </row>
    <row r="15">
      <c r="B15" s="38" t="inlineStr">
        <is>
          <t>▸ Task 11: paste your 12-month trend chart here (it reads Calc!B16:C28).</t>
        </is>
      </c>
    </row>
  </sheetData>
  <mergeCells count="2">
    <mergeCell ref="B8:C8"/>
    <mergeCell ref="B7:C7"/>
  </mergeCells>
  <dataValidations count="2">
    <dataValidation sqref="C4" showDropDown="0" showInputMessage="0" showErrorMessage="1" allowBlank="0" errorTitle="Pick from the list" error="Choose a value from the dropdown list." type="list">
      <formula1>Lists!$A$2:$A$5</formula1>
    </dataValidation>
    <dataValidation sqref="C5" showDropDown="0" showInputMessage="0" showErrorMessage="1" allowBlank="0" errorTitle="Pick from the list" error="Choose a value from the dropdown list." type="list">
      <formula1>Lists!$C$2:$C$25</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548235"/>
    <outlinePr summaryBelow="1" summaryRight="1"/>
    <pageSetUpPr fitToPage="1"/>
  </sheetPr>
  <dimension ref="B1:E28"/>
  <sheetViews>
    <sheetView tabSelected="0" workbookViewId="0">
      <pane ySplit="3" topLeftCell="A4" activePane="bottomLeft" state="frozen"/>
      <selection pane="bottomLeft" activeCell="A1" sqref="A1"/>
    </sheetView>
  </sheetViews>
  <sheetFormatPr baseColWidth="8" defaultRowHeight="15"/>
  <cols>
    <col width="2" customWidth="1" min="1" max="1"/>
    <col width="36" customWidth="1" min="2" max="2"/>
    <col width="30" customWidth="1" min="3" max="3"/>
    <col width="3" customWidth="1" min="4" max="4"/>
    <col width="80" customWidth="1" min="5" max="5"/>
  </cols>
  <sheetData>
    <row r="1">
      <c r="B1" s="13" t="inlineStr">
        <is>
          <t>Calc · the model layer</t>
        </is>
      </c>
    </row>
    <row r="2">
      <c r="B2" s="3" t="inlineStr">
        <is>
          <t>Formulas here turn the selectors into the numbers the Dashboard shows. Viewers never need to see this sheet, so a finished dashboard usually hides it.</t>
        </is>
      </c>
    </row>
    <row r="4">
      <c r="B4" s="32" t="inlineStr">
        <is>
          <t>Selection (read from the Dashboard)</t>
        </is>
      </c>
      <c r="C4" s="33" t="n"/>
    </row>
    <row r="5">
      <c r="B5" s="39" t="inlineStr">
        <is>
          <t>Facility</t>
        </is>
      </c>
      <c r="C5" s="40">
        <f>SelFacility</f>
        <v/>
      </c>
    </row>
    <row r="6">
      <c r="B6" s="39" t="inlineStr">
        <is>
          <t>Month</t>
        </is>
      </c>
      <c r="C6" s="41">
        <f>SelMonth</f>
        <v/>
      </c>
    </row>
    <row r="7">
      <c r="B7" s="39" t="inlineStr">
        <is>
          <t>Prior month</t>
        </is>
      </c>
      <c r="C7" s="41">
        <f>EDATE(SelMonth,-1)</f>
        <v/>
      </c>
    </row>
    <row r="8">
      <c r="B8" s="39" t="inlineStr">
        <is>
          <t>Same month last year</t>
        </is>
      </c>
      <c r="C8" s="41">
        <f>EDATE(SelMonth,-12)</f>
        <v/>
      </c>
    </row>
    <row r="9">
      <c r="B9" s="39" t="inlineStr">
        <is>
          <t>Facility criterion for SUMIFS</t>
        </is>
      </c>
      <c r="C9" s="40">
        <f>IF(SelFacility="All facilities","*",SelFacility)</f>
        <v/>
      </c>
      <c r="E9" s="3" t="inlineStr">
        <is>
          <t>Turns "All facilities" into the wildcard *, which SUMIFS matches to every hospital.</t>
        </is>
      </c>
    </row>
    <row r="11">
      <c r="B11" s="32" t="inlineStr">
        <is>
          <t>Form control (task 10)</t>
        </is>
      </c>
      <c r="C11" s="33" t="n"/>
    </row>
    <row r="12">
      <c r="B12" s="39" t="inlineStr">
        <is>
          <t>Combo box cell link</t>
        </is>
      </c>
      <c r="C12" s="42" t="n"/>
      <c r="E12" s="3" t="inlineStr">
        <is>
          <t>Your combo box writes the position of the chosen item here (1 = first item in the list).</t>
        </is>
      </c>
    </row>
    <row r="13">
      <c r="B13" s="39" t="inlineStr">
        <is>
          <t>Facility picked in the combo box</t>
        </is>
      </c>
      <c r="C13" s="43">
        <f>IF(C12="","",INDEX(Lists!$A$2:$A$5,C12))</f>
        <v/>
      </c>
      <c r="E13" s="3" t="inlineStr">
        <is>
          <t>INDEX turns the position back into the facility name.</t>
        </is>
      </c>
    </row>
    <row r="15">
      <c r="B15" s="32" t="inlineStr">
        <is>
          <t>12-month trend for the chart (task 11)</t>
        </is>
      </c>
      <c r="C15" s="33" t="n"/>
    </row>
    <row r="16">
      <c r="B16" s="39" t="n"/>
      <c r="C16" s="44" t="inlineStr">
        <is>
          <t>ED visits</t>
        </is>
      </c>
      <c r="E16" s="3" t="inlineStr">
        <is>
          <t>B16 stays blank on purpose: with an empty corner cell, Excel uses column B as the chart's axis.</t>
        </is>
      </c>
    </row>
    <row r="17">
      <c r="B17" s="45" t="n"/>
      <c r="C17" s="46" t="n"/>
      <c r="E17" s="3" t="inlineStr">
        <is>
          <t>B: the 12 months ending at SelMonth, oldest first.  C: ED visits for SelFacility in each month.</t>
        </is>
      </c>
    </row>
    <row r="18">
      <c r="B18" s="45" t="n"/>
      <c r="C18" s="46" t="n"/>
    </row>
    <row r="19">
      <c r="B19" s="45" t="n"/>
      <c r="C19" s="46" t="n"/>
    </row>
    <row r="20">
      <c r="B20" s="45" t="n"/>
      <c r="C20" s="46" t="n"/>
    </row>
    <row r="21">
      <c r="B21" s="45" t="n"/>
      <c r="C21" s="46" t="n"/>
    </row>
    <row r="22">
      <c r="B22" s="45" t="n"/>
      <c r="C22" s="46" t="n"/>
    </row>
    <row r="23">
      <c r="B23" s="45" t="n"/>
      <c r="C23" s="46" t="n"/>
    </row>
    <row r="24">
      <c r="B24" s="45" t="n"/>
      <c r="C24" s="46" t="n"/>
    </row>
    <row r="25">
      <c r="B25" s="45" t="n"/>
      <c r="C25" s="46" t="n"/>
    </row>
    <row r="26">
      <c r="B26" s="45" t="n"/>
      <c r="C26" s="46" t="n"/>
    </row>
    <row r="27">
      <c r="B27" s="45" t="n"/>
      <c r="C27" s="46" t="n"/>
    </row>
    <row r="28">
      <c r="B28" s="45" t="n"/>
      <c r="C28" s="46" t="n"/>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U77"/>
  <sheetViews>
    <sheetView tabSelected="0" workbookViewId="0">
      <pane ySplit="5" topLeftCell="A6" activePane="bottomLeft" state="frozen"/>
      <selection pane="bottomLeft" activeCell="A1" sqref="A1"/>
    </sheetView>
  </sheetViews>
  <sheetFormatPr baseColWidth="8" defaultRowHeight="15"/>
  <cols>
    <col width="11" customWidth="1" min="1" max="1"/>
    <col width="31" customWidth="1" min="2" max="2"/>
    <col width="10" customWidth="1" min="3" max="3"/>
    <col width="9" customWidth="1" min="4" max="4"/>
    <col width="22" customWidth="1" min="5" max="5"/>
    <col width="11" customWidth="1" min="6" max="6"/>
    <col width="14" customWidth="1" min="7" max="7"/>
    <col width="9" customWidth="1" min="8" max="8"/>
    <col width="20" customWidth="1" min="9" max="9"/>
    <col width="12" customWidth="1" min="10" max="10"/>
    <col width="10" customWidth="1" min="11" max="11"/>
    <col width="22" customWidth="1" min="12" max="12"/>
    <col width="13" customWidth="1" min="13" max="13"/>
    <col width="9" customWidth="1" min="14" max="14"/>
    <col width="20" customWidth="1" min="15" max="15"/>
    <col width="9" customWidth="1" min="16" max="16"/>
    <col width="9" customWidth="1" min="17" max="17"/>
    <col width="21" customWidth="1" min="18" max="18"/>
    <col width="19" customWidth="1" min="19" max="19"/>
    <col width="14" customWidth="1" min="20" max="20"/>
    <col width="22" customWidth="1" min="21" max="21"/>
  </cols>
  <sheetData>
    <row r="1">
      <c r="A1" s="47" t="inlineStr">
        <is>
          <t>KPI_Monthly · one row per hospital per month, January 2024 – December 2025</t>
        </is>
      </c>
    </row>
    <row r="2">
      <c r="A2" s="48" t="inlineStr">
        <is>
          <t>Count and day columns are additive: SUMIFS them across hospitals and months. Rate and median columns are not: rebuild a rate from its two components, and compute a roll-up median from EDWaits.</t>
        </is>
      </c>
    </row>
    <row r="3">
      <c r="A3" s="48" t="inlineStr">
        <is>
          <t>Readmission, survey, and claims columns are blank for December 2025 because those numbers aren't final yet (the 30-day window is still open, surveys are still arriving, and most claims are pending).</t>
        </is>
      </c>
    </row>
    <row r="5">
      <c r="A5" s="49" t="inlineStr">
        <is>
          <t>Month</t>
        </is>
      </c>
      <c r="B5" s="49" t="inlineStr">
        <is>
          <t>Facility</t>
        </is>
      </c>
      <c r="C5" s="49" t="inlineStr">
        <is>
          <t>EDVisits</t>
        </is>
      </c>
      <c r="D5" s="49" t="inlineStr">
        <is>
          <t>LWBS</t>
        </is>
      </c>
      <c r="E5" s="49" t="inlineStr">
        <is>
          <t>LWBSRate</t>
        </is>
      </c>
      <c r="F5" s="49" t="inlineStr">
        <is>
          <t>MedianDTP</t>
        </is>
      </c>
      <c r="G5" s="49" t="inlineStr">
        <is>
          <t>IPDischarges</t>
        </is>
      </c>
      <c r="H5" s="49" t="inlineStr">
        <is>
          <t>LOSDays</t>
        </is>
      </c>
      <c r="I5" s="49" t="inlineStr">
        <is>
          <t>ALOS</t>
        </is>
      </c>
      <c r="J5" s="49" t="inlineStr">
        <is>
          <t>IndexStays</t>
        </is>
      </c>
      <c r="K5" s="49" t="inlineStr">
        <is>
          <t>Readmits</t>
        </is>
      </c>
      <c r="L5" s="49" t="inlineStr">
        <is>
          <t>ReadmitRate</t>
        </is>
      </c>
      <c r="M5" s="49" t="inlineStr">
        <is>
          <t>PatientDays</t>
        </is>
      </c>
      <c r="N5" s="49" t="inlineStr">
        <is>
          <t>BedDays</t>
        </is>
      </c>
      <c r="O5" s="49" t="inlineStr">
        <is>
          <t>Occupancy</t>
        </is>
      </c>
      <c r="P5" s="49" t="inlineStr">
        <is>
          <t>Surveys</t>
        </is>
      </c>
      <c r="Q5" s="49" t="inlineStr">
        <is>
          <t>TopBox</t>
        </is>
      </c>
      <c r="R5" s="49" t="inlineStr">
        <is>
          <t>TopBoxRate</t>
        </is>
      </c>
      <c r="S5" s="49" t="inlineStr">
        <is>
          <t>ClaimsAdjudicated</t>
        </is>
      </c>
      <c r="T5" s="49" t="inlineStr">
        <is>
          <t>ClaimsDenied</t>
        </is>
      </c>
      <c r="U5" s="49" t="inlineStr">
        <is>
          <t>DenialRate</t>
        </is>
      </c>
    </row>
    <row r="6">
      <c r="A6" s="50" t="n">
        <v>45292</v>
      </c>
      <c r="B6" t="inlineStr">
        <is>
          <t>Bluestone Memorial Hospital</t>
        </is>
      </c>
      <c r="C6" t="n">
        <v>405</v>
      </c>
      <c r="D6" t="n">
        <v>12</v>
      </c>
      <c r="E6" s="51" t="n">
        <v>0.02962962962962963</v>
      </c>
      <c r="F6" s="52" t="n">
        <v>37</v>
      </c>
      <c r="G6" t="n">
        <v>172</v>
      </c>
      <c r="H6" s="53" t="n">
        <v>748.77</v>
      </c>
      <c r="I6" s="54" t="n">
        <v>4.353313953488372</v>
      </c>
      <c r="J6" t="n">
        <v>168</v>
      </c>
      <c r="K6" t="n">
        <v>19</v>
      </c>
      <c r="L6" s="51" t="n">
        <v>0.1130952380952381</v>
      </c>
      <c r="M6" s="55" t="n">
        <v>5661</v>
      </c>
      <c r="N6" s="55" t="n">
        <v>6820</v>
      </c>
      <c r="O6" s="51" t="n">
        <v>0.830058651026393</v>
      </c>
      <c r="P6" t="n">
        <v>47</v>
      </c>
      <c r="Q6" t="n">
        <v>18</v>
      </c>
      <c r="R6" s="51" t="n">
        <v>0.3829787234042553</v>
      </c>
      <c r="S6" t="n">
        <v>448</v>
      </c>
      <c r="T6" t="n">
        <v>54</v>
      </c>
      <c r="U6" s="51" t="n">
        <v>0.1205357142857143</v>
      </c>
    </row>
    <row r="7">
      <c r="A7" s="50" t="n">
        <v>45292</v>
      </c>
      <c r="B7" t="inlineStr">
        <is>
          <t>Ashby Falls Community Hospital</t>
        </is>
      </c>
      <c r="C7" t="n">
        <v>85</v>
      </c>
      <c r="D7" t="n">
        <v>2</v>
      </c>
      <c r="E7" s="51" t="n">
        <v>0.02352941176470588</v>
      </c>
      <c r="F7" s="52" t="n">
        <v>45</v>
      </c>
      <c r="G7" t="n">
        <v>26</v>
      </c>
      <c r="H7" s="53" t="n">
        <v>107.21</v>
      </c>
      <c r="I7" s="54" t="n">
        <v>4.123461538461538</v>
      </c>
      <c r="J7" t="n">
        <v>25</v>
      </c>
      <c r="K7" t="n">
        <v>2</v>
      </c>
      <c r="L7" s="51" t="n">
        <v>0.08</v>
      </c>
      <c r="M7" s="55" t="n">
        <v>1224</v>
      </c>
      <c r="N7" s="55" t="n">
        <v>1426</v>
      </c>
      <c r="O7" s="51" t="n">
        <v>0.8583450210378681</v>
      </c>
      <c r="P7" t="n">
        <v>12</v>
      </c>
      <c r="Q7" t="n">
        <v>4</v>
      </c>
      <c r="R7" s="51" t="n">
        <v>0.3333333333333333</v>
      </c>
      <c r="S7" t="n">
        <v>91</v>
      </c>
      <c r="T7" t="n">
        <v>13</v>
      </c>
      <c r="U7" s="51" t="n">
        <v>0.1428571428571428</v>
      </c>
    </row>
    <row r="8">
      <c r="A8" s="50" t="n">
        <v>45292</v>
      </c>
      <c r="B8" t="inlineStr">
        <is>
          <t>Cedar Ridge Medical Center</t>
        </is>
      </c>
      <c r="C8" t="n">
        <v>90</v>
      </c>
      <c r="D8" t="n">
        <v>1</v>
      </c>
      <c r="E8" s="51" t="n">
        <v>0.01111111111111111</v>
      </c>
      <c r="F8" s="52" t="n">
        <v>45</v>
      </c>
      <c r="G8" t="n">
        <v>35</v>
      </c>
      <c r="H8" s="53" t="n">
        <v>164.75</v>
      </c>
      <c r="I8" s="54" t="n">
        <v>4.707142857142857</v>
      </c>
      <c r="J8" t="n">
        <v>33</v>
      </c>
      <c r="K8" t="n">
        <v>4</v>
      </c>
      <c r="L8" s="51" t="n">
        <v>0.1212121212121212</v>
      </c>
      <c r="M8" s="55" t="n">
        <v>1920</v>
      </c>
      <c r="N8" s="55" t="n">
        <v>2232</v>
      </c>
      <c r="O8" s="51" t="n">
        <v>0.8602150537634409</v>
      </c>
      <c r="P8" t="n">
        <v>12</v>
      </c>
      <c r="Q8" t="n">
        <v>6</v>
      </c>
      <c r="R8" s="51" t="n">
        <v>0.5</v>
      </c>
      <c r="S8" t="n">
        <v>94</v>
      </c>
      <c r="T8" t="n">
        <v>9</v>
      </c>
      <c r="U8" s="51" t="n">
        <v>0.09574468085106383</v>
      </c>
    </row>
    <row r="9">
      <c r="A9" s="50" t="n">
        <v>45323</v>
      </c>
      <c r="B9" t="inlineStr">
        <is>
          <t>Bluestone Memorial Hospital</t>
        </is>
      </c>
      <c r="C9" t="n">
        <v>408</v>
      </c>
      <c r="D9" t="n">
        <v>16</v>
      </c>
      <c r="E9" s="51" t="n">
        <v>0.0392156862745098</v>
      </c>
      <c r="F9" s="52" t="n">
        <v>42.5</v>
      </c>
      <c r="G9" t="n">
        <v>149</v>
      </c>
      <c r="H9" s="53" t="n">
        <v>676.8200000000001</v>
      </c>
      <c r="I9" s="54" t="n">
        <v>4.542416107382551</v>
      </c>
      <c r="J9" t="n">
        <v>145</v>
      </c>
      <c r="K9" t="n">
        <v>22</v>
      </c>
      <c r="L9" s="51" t="n">
        <v>0.1517241379310345</v>
      </c>
      <c r="M9" s="55" t="n">
        <v>5244</v>
      </c>
      <c r="N9" s="55" t="n">
        <v>6380</v>
      </c>
      <c r="O9" s="51" t="n">
        <v>0.8219435736677116</v>
      </c>
      <c r="P9" t="n">
        <v>58</v>
      </c>
      <c r="Q9" t="n">
        <v>25</v>
      </c>
      <c r="R9" s="51" t="n">
        <v>0.4310344827586207</v>
      </c>
      <c r="S9" t="n">
        <v>442</v>
      </c>
      <c r="T9" t="n">
        <v>46</v>
      </c>
      <c r="U9" s="51" t="n">
        <v>0.1040723981900453</v>
      </c>
    </row>
    <row r="10">
      <c r="A10" s="50" t="n">
        <v>45323</v>
      </c>
      <c r="B10" t="inlineStr">
        <is>
          <t>Ashby Falls Community Hospital</t>
        </is>
      </c>
      <c r="C10" t="n">
        <v>85</v>
      </c>
      <c r="D10" t="n">
        <v>0</v>
      </c>
      <c r="E10" s="51" t="n">
        <v>0</v>
      </c>
      <c r="F10" s="52" t="n">
        <v>47</v>
      </c>
      <c r="G10" t="n">
        <v>38</v>
      </c>
      <c r="H10" s="53" t="n">
        <v>213.03</v>
      </c>
      <c r="I10" s="54" t="n">
        <v>5.606052631578947</v>
      </c>
      <c r="J10" t="n">
        <v>37</v>
      </c>
      <c r="K10" t="n">
        <v>6</v>
      </c>
      <c r="L10" s="51" t="n">
        <v>0.1621621621621622</v>
      </c>
      <c r="M10" s="55" t="n">
        <v>1055</v>
      </c>
      <c r="N10" s="55" t="n">
        <v>1334</v>
      </c>
      <c r="O10" s="51" t="n">
        <v>0.7908545727136432</v>
      </c>
      <c r="P10" t="n">
        <v>11</v>
      </c>
      <c r="Q10" t="n">
        <v>5</v>
      </c>
      <c r="R10" s="51" t="n">
        <v>0.4545454545454545</v>
      </c>
      <c r="S10" t="n">
        <v>94</v>
      </c>
      <c r="T10" t="n">
        <v>9</v>
      </c>
      <c r="U10" s="51" t="n">
        <v>0.09574468085106383</v>
      </c>
    </row>
    <row r="11">
      <c r="A11" s="50" t="n">
        <v>45323</v>
      </c>
      <c r="B11" t="inlineStr">
        <is>
          <t>Cedar Ridge Medical Center</t>
        </is>
      </c>
      <c r="C11" t="n">
        <v>93</v>
      </c>
      <c r="D11" t="n">
        <v>5</v>
      </c>
      <c r="E11" s="51" t="n">
        <v>0.05376344086021505</v>
      </c>
      <c r="F11" s="52" t="n">
        <v>41.5</v>
      </c>
      <c r="G11" t="n">
        <v>41</v>
      </c>
      <c r="H11" s="53" t="n">
        <v>182.26</v>
      </c>
      <c r="I11" s="54" t="n">
        <v>4.445365853658537</v>
      </c>
      <c r="J11" t="n">
        <v>40</v>
      </c>
      <c r="K11" t="n">
        <v>9</v>
      </c>
      <c r="L11" s="51" t="n">
        <v>0.225</v>
      </c>
      <c r="M11" s="55" t="n">
        <v>1806</v>
      </c>
      <c r="N11" s="55" t="n">
        <v>2088</v>
      </c>
      <c r="O11" s="51" t="n">
        <v>0.8649425287356322</v>
      </c>
      <c r="P11" t="n">
        <v>17</v>
      </c>
      <c r="Q11" t="n">
        <v>10</v>
      </c>
      <c r="R11" s="51" t="n">
        <v>0.5882352941176471</v>
      </c>
      <c r="S11" t="n">
        <v>101</v>
      </c>
      <c r="T11" t="n">
        <v>12</v>
      </c>
      <c r="U11" s="51" t="n">
        <v>0.1188118811881188</v>
      </c>
    </row>
    <row r="12">
      <c r="A12" s="50" t="n">
        <v>45352</v>
      </c>
      <c r="B12" t="inlineStr">
        <is>
          <t>Bluestone Memorial Hospital</t>
        </is>
      </c>
      <c r="C12" t="n">
        <v>411</v>
      </c>
      <c r="D12" t="n">
        <v>9</v>
      </c>
      <c r="E12" s="51" t="n">
        <v>0.0218978102189781</v>
      </c>
      <c r="F12" s="52" t="n">
        <v>37</v>
      </c>
      <c r="G12" t="n">
        <v>198</v>
      </c>
      <c r="H12" s="53" t="n">
        <v>896.17</v>
      </c>
      <c r="I12" s="54" t="n">
        <v>4.526111111111111</v>
      </c>
      <c r="J12" t="n">
        <v>196</v>
      </c>
      <c r="K12" t="n">
        <v>25</v>
      </c>
      <c r="L12" s="51" t="n">
        <v>0.1275510204081633</v>
      </c>
      <c r="M12" s="55" t="n">
        <v>5498</v>
      </c>
      <c r="N12" s="55" t="n">
        <v>6820</v>
      </c>
      <c r="O12" s="51" t="n">
        <v>0.806158357771261</v>
      </c>
      <c r="P12" t="n">
        <v>76</v>
      </c>
      <c r="Q12" t="n">
        <v>26</v>
      </c>
      <c r="R12" s="51" t="n">
        <v>0.3421052631578947</v>
      </c>
      <c r="S12" t="n">
        <v>479</v>
      </c>
      <c r="T12" t="n">
        <v>49</v>
      </c>
      <c r="U12" s="51" t="n">
        <v>0.1022964509394572</v>
      </c>
    </row>
    <row r="13">
      <c r="A13" s="50" t="n">
        <v>45352</v>
      </c>
      <c r="B13" t="inlineStr">
        <is>
          <t>Ashby Falls Community Hospital</t>
        </is>
      </c>
      <c r="C13" t="n">
        <v>69</v>
      </c>
      <c r="D13" t="n">
        <v>1</v>
      </c>
      <c r="E13" s="51" t="n">
        <v>0.01449275362318841</v>
      </c>
      <c r="F13" s="52" t="n">
        <v>38.5</v>
      </c>
      <c r="G13" t="n">
        <v>25</v>
      </c>
      <c r="H13" s="53" t="n">
        <v>91.48</v>
      </c>
      <c r="I13" s="54" t="n">
        <v>3.6592</v>
      </c>
      <c r="J13" t="n">
        <v>25</v>
      </c>
      <c r="K13" t="n">
        <v>2</v>
      </c>
      <c r="L13" s="51" t="n">
        <v>0.08</v>
      </c>
      <c r="M13" s="55" t="n">
        <v>1083</v>
      </c>
      <c r="N13" s="55" t="n">
        <v>1426</v>
      </c>
      <c r="O13" s="51" t="n">
        <v>0.7594670406732118</v>
      </c>
      <c r="P13" t="n">
        <v>13</v>
      </c>
      <c r="Q13" t="n">
        <v>4</v>
      </c>
      <c r="R13" s="51" t="n">
        <v>0.3076923076923077</v>
      </c>
      <c r="S13" t="n">
        <v>72</v>
      </c>
      <c r="T13" t="n">
        <v>7</v>
      </c>
      <c r="U13" s="51" t="n">
        <v>0.09722222222222222</v>
      </c>
    </row>
    <row r="14">
      <c r="A14" s="50" t="n">
        <v>45352</v>
      </c>
      <c r="B14" t="inlineStr">
        <is>
          <t>Cedar Ridge Medical Center</t>
        </is>
      </c>
      <c r="C14" t="n">
        <v>99</v>
      </c>
      <c r="D14" t="n">
        <v>4</v>
      </c>
      <c r="E14" s="51" t="n">
        <v>0.04040404040404041</v>
      </c>
      <c r="F14" s="52" t="n">
        <v>37</v>
      </c>
      <c r="G14" t="n">
        <v>33</v>
      </c>
      <c r="H14" s="53" t="n">
        <v>131.54</v>
      </c>
      <c r="I14" s="54" t="n">
        <v>3.986060606060606</v>
      </c>
      <c r="J14" t="n">
        <v>32</v>
      </c>
      <c r="K14" t="n">
        <v>6</v>
      </c>
      <c r="L14" s="51" t="n">
        <v>0.1875</v>
      </c>
      <c r="M14" s="55" t="n">
        <v>1785</v>
      </c>
      <c r="N14" s="55" t="n">
        <v>2232</v>
      </c>
      <c r="O14" s="51" t="n">
        <v>0.7997311827956989</v>
      </c>
      <c r="P14" t="n">
        <v>15</v>
      </c>
      <c r="Q14" t="n">
        <v>8</v>
      </c>
      <c r="R14" s="51" t="n">
        <v>0.5333333333333333</v>
      </c>
      <c r="S14" t="n">
        <v>111</v>
      </c>
      <c r="T14" t="n">
        <v>14</v>
      </c>
      <c r="U14" s="51" t="n">
        <v>0.1261261261261261</v>
      </c>
    </row>
    <row r="15">
      <c r="A15" s="50" t="n">
        <v>45383</v>
      </c>
      <c r="B15" t="inlineStr">
        <is>
          <t>Bluestone Memorial Hospital</t>
        </is>
      </c>
      <c r="C15" t="n">
        <v>340</v>
      </c>
      <c r="D15" t="n">
        <v>8</v>
      </c>
      <c r="E15" s="51" t="n">
        <v>0.02352941176470588</v>
      </c>
      <c r="F15" s="52" t="n">
        <v>40</v>
      </c>
      <c r="G15" t="n">
        <v>143</v>
      </c>
      <c r="H15" s="53" t="n">
        <v>652.34</v>
      </c>
      <c r="I15" s="54" t="n">
        <v>4.561818181818182</v>
      </c>
      <c r="J15" t="n">
        <v>140</v>
      </c>
      <c r="K15" t="n">
        <v>18</v>
      </c>
      <c r="L15" s="51" t="n">
        <v>0.1285714285714286</v>
      </c>
      <c r="M15" s="55" t="n">
        <v>5150</v>
      </c>
      <c r="N15" s="55" t="n">
        <v>6600</v>
      </c>
      <c r="O15" s="51" t="n">
        <v>0.7803030303030303</v>
      </c>
      <c r="P15" t="n">
        <v>47</v>
      </c>
      <c r="Q15" t="n">
        <v>21</v>
      </c>
      <c r="R15" s="51" t="n">
        <v>0.4468085106382979</v>
      </c>
      <c r="S15" t="n">
        <v>372</v>
      </c>
      <c r="T15" t="n">
        <v>38</v>
      </c>
      <c r="U15" s="51" t="n">
        <v>0.1021505376344086</v>
      </c>
    </row>
    <row r="16">
      <c r="A16" s="50" t="n">
        <v>45383</v>
      </c>
      <c r="B16" t="inlineStr">
        <is>
          <t>Ashby Falls Community Hospital</t>
        </is>
      </c>
      <c r="C16" t="n">
        <v>56</v>
      </c>
      <c r="D16" t="n">
        <v>0</v>
      </c>
      <c r="E16" s="51" t="n">
        <v>0</v>
      </c>
      <c r="F16" s="52" t="n">
        <v>39.5</v>
      </c>
      <c r="G16" t="n">
        <v>23</v>
      </c>
      <c r="H16" s="53" t="n">
        <v>112.97</v>
      </c>
      <c r="I16" s="54" t="n">
        <v>4.911739130434783</v>
      </c>
      <c r="J16" t="n">
        <v>23</v>
      </c>
      <c r="K16" t="n">
        <v>1</v>
      </c>
      <c r="L16" s="51" t="n">
        <v>0.04347826086956522</v>
      </c>
      <c r="M16" s="55" t="n">
        <v>1026</v>
      </c>
      <c r="N16" s="55" t="n">
        <v>1380</v>
      </c>
      <c r="O16" s="51" t="n">
        <v>0.7434782608695653</v>
      </c>
      <c r="P16" t="n">
        <v>10</v>
      </c>
      <c r="Q16" t="n">
        <v>5</v>
      </c>
      <c r="R16" s="51" t="n">
        <v>0.5</v>
      </c>
      <c r="S16" t="n">
        <v>66</v>
      </c>
      <c r="T16" t="n">
        <v>11</v>
      </c>
      <c r="U16" s="51" t="n">
        <v>0.1666666666666667</v>
      </c>
    </row>
    <row r="17">
      <c r="A17" s="50" t="n">
        <v>45383</v>
      </c>
      <c r="B17" t="inlineStr">
        <is>
          <t>Cedar Ridge Medical Center</t>
        </is>
      </c>
      <c r="C17" t="n">
        <v>70</v>
      </c>
      <c r="D17" t="n">
        <v>2</v>
      </c>
      <c r="E17" s="51" t="n">
        <v>0.02857142857142857</v>
      </c>
      <c r="F17" s="52" t="n">
        <v>42</v>
      </c>
      <c r="G17" t="n">
        <v>34</v>
      </c>
      <c r="H17" s="53" t="n">
        <v>156.03</v>
      </c>
      <c r="I17" s="54" t="n">
        <v>4.589117647058823</v>
      </c>
      <c r="J17" t="n">
        <v>33</v>
      </c>
      <c r="K17" t="n">
        <v>3</v>
      </c>
      <c r="L17" s="51" t="n">
        <v>0.09090909090909091</v>
      </c>
      <c r="M17" s="55" t="n">
        <v>1681</v>
      </c>
      <c r="N17" s="55" t="n">
        <v>2160</v>
      </c>
      <c r="O17" s="51" t="n">
        <v>0.7782407407407408</v>
      </c>
      <c r="P17" t="n">
        <v>17</v>
      </c>
      <c r="Q17" t="n">
        <v>9</v>
      </c>
      <c r="R17" s="51" t="n">
        <v>0.5294117647058824</v>
      </c>
      <c r="S17" t="n">
        <v>79</v>
      </c>
      <c r="T17" t="n">
        <v>8</v>
      </c>
      <c r="U17" s="51" t="n">
        <v>0.1012658227848101</v>
      </c>
    </row>
    <row r="18">
      <c r="A18" s="50" t="n">
        <v>45413</v>
      </c>
      <c r="B18" t="inlineStr">
        <is>
          <t>Bluestone Memorial Hospital</t>
        </is>
      </c>
      <c r="C18" t="n">
        <v>338</v>
      </c>
      <c r="D18" t="n">
        <v>9</v>
      </c>
      <c r="E18" s="51" t="n">
        <v>0.02662721893491124</v>
      </c>
      <c r="F18" s="52" t="n">
        <v>35</v>
      </c>
      <c r="G18" t="n">
        <v>172</v>
      </c>
      <c r="H18" s="53" t="n">
        <v>748.88</v>
      </c>
      <c r="I18" s="54" t="n">
        <v>4.353953488372093</v>
      </c>
      <c r="J18" t="n">
        <v>167</v>
      </c>
      <c r="K18" t="n">
        <v>18</v>
      </c>
      <c r="L18" s="51" t="n">
        <v>0.1077844311377246</v>
      </c>
      <c r="M18" s="55" t="n">
        <v>5193</v>
      </c>
      <c r="N18" s="55" t="n">
        <v>6820</v>
      </c>
      <c r="O18" s="51" t="n">
        <v>0.7614369501466276</v>
      </c>
      <c r="P18" t="n">
        <v>53</v>
      </c>
      <c r="Q18" t="n">
        <v>20</v>
      </c>
      <c r="R18" s="51" t="n">
        <v>0.3773584905660378</v>
      </c>
      <c r="S18" t="n">
        <v>392</v>
      </c>
      <c r="T18" t="n">
        <v>62</v>
      </c>
      <c r="U18" s="51" t="n">
        <v>0.1581632653061225</v>
      </c>
    </row>
    <row r="19">
      <c r="A19" s="50" t="n">
        <v>45413</v>
      </c>
      <c r="B19" t="inlineStr">
        <is>
          <t>Ashby Falls Community Hospital</t>
        </is>
      </c>
      <c r="C19" t="n">
        <v>73</v>
      </c>
      <c r="D19" t="n">
        <v>0</v>
      </c>
      <c r="E19" s="51" t="n">
        <v>0</v>
      </c>
      <c r="F19" s="52" t="n">
        <v>32</v>
      </c>
      <c r="G19" t="n">
        <v>32</v>
      </c>
      <c r="H19" s="53" t="n">
        <v>115.66</v>
      </c>
      <c r="I19" s="54" t="n">
        <v>3.614375</v>
      </c>
      <c r="J19" t="n">
        <v>32</v>
      </c>
      <c r="K19" t="n">
        <v>3</v>
      </c>
      <c r="L19" s="51" t="n">
        <v>0.09375</v>
      </c>
      <c r="M19" s="55" t="n">
        <v>1078</v>
      </c>
      <c r="N19" s="55" t="n">
        <v>1426</v>
      </c>
      <c r="O19" s="51" t="n">
        <v>0.7559607293127629</v>
      </c>
      <c r="P19" t="n">
        <v>14</v>
      </c>
      <c r="Q19" t="n">
        <v>8</v>
      </c>
      <c r="R19" s="51" t="n">
        <v>0.5714285714285714</v>
      </c>
      <c r="S19" t="n">
        <v>79</v>
      </c>
      <c r="T19" t="n">
        <v>7</v>
      </c>
      <c r="U19" s="51" t="n">
        <v>0.08860759493670886</v>
      </c>
    </row>
    <row r="20">
      <c r="A20" s="50" t="n">
        <v>45413</v>
      </c>
      <c r="B20" t="inlineStr">
        <is>
          <t>Cedar Ridge Medical Center</t>
        </is>
      </c>
      <c r="C20" t="n">
        <v>66</v>
      </c>
      <c r="D20" t="n">
        <v>0</v>
      </c>
      <c r="E20" s="51" t="n">
        <v>0</v>
      </c>
      <c r="F20" s="52" t="n">
        <v>33.5</v>
      </c>
      <c r="G20" t="n">
        <v>23</v>
      </c>
      <c r="H20" s="53" t="n">
        <v>101.26</v>
      </c>
      <c r="I20" s="54" t="n">
        <v>4.402608695652174</v>
      </c>
      <c r="J20" t="n">
        <v>23</v>
      </c>
      <c r="K20" t="n">
        <v>2</v>
      </c>
      <c r="L20" s="51" t="n">
        <v>0.08695652173913043</v>
      </c>
      <c r="M20" s="55" t="n">
        <v>1761</v>
      </c>
      <c r="N20" s="55" t="n">
        <v>2232</v>
      </c>
      <c r="O20" s="51" t="n">
        <v>0.7889784946236559</v>
      </c>
      <c r="P20" t="n">
        <v>7</v>
      </c>
      <c r="Q20" t="n">
        <v>4</v>
      </c>
      <c r="R20" s="51" t="n">
        <v>0.5714285714285714</v>
      </c>
      <c r="S20" t="n">
        <v>71</v>
      </c>
      <c r="T20" t="n">
        <v>6</v>
      </c>
      <c r="U20" s="51" t="n">
        <v>0.08450704225352113</v>
      </c>
    </row>
    <row r="21">
      <c r="A21" s="50" t="n">
        <v>45444</v>
      </c>
      <c r="B21" t="inlineStr">
        <is>
          <t>Bluestone Memorial Hospital</t>
        </is>
      </c>
      <c r="C21" t="n">
        <v>300</v>
      </c>
      <c r="D21" t="n">
        <v>2</v>
      </c>
      <c r="E21" s="51" t="n">
        <v>0.006666666666666667</v>
      </c>
      <c r="F21" s="52" t="n">
        <v>39</v>
      </c>
      <c r="G21" t="n">
        <v>148</v>
      </c>
      <c r="H21" s="53" t="n">
        <v>665.52</v>
      </c>
      <c r="I21" s="54" t="n">
        <v>4.496756756756756</v>
      </c>
      <c r="J21" t="n">
        <v>147</v>
      </c>
      <c r="K21" t="n">
        <v>23</v>
      </c>
      <c r="L21" s="51" t="n">
        <v>0.1564625850340136</v>
      </c>
      <c r="M21" s="55" t="n">
        <v>5192</v>
      </c>
      <c r="N21" s="55" t="n">
        <v>6600</v>
      </c>
      <c r="O21" s="51" t="n">
        <v>0.7866666666666666</v>
      </c>
      <c r="P21" t="n">
        <v>38</v>
      </c>
      <c r="Q21" t="n">
        <v>20</v>
      </c>
      <c r="R21" s="51" t="n">
        <v>0.5263157894736842</v>
      </c>
      <c r="S21" t="n">
        <v>355</v>
      </c>
      <c r="T21" t="n">
        <v>44</v>
      </c>
      <c r="U21" s="51" t="n">
        <v>0.123943661971831</v>
      </c>
    </row>
    <row r="22">
      <c r="A22" s="50" t="n">
        <v>45444</v>
      </c>
      <c r="B22" t="inlineStr">
        <is>
          <t>Ashby Falls Community Hospital</t>
        </is>
      </c>
      <c r="C22" t="n">
        <v>55</v>
      </c>
      <c r="D22" t="n">
        <v>0</v>
      </c>
      <c r="E22" s="51" t="n">
        <v>0</v>
      </c>
      <c r="F22" s="52" t="n">
        <v>47</v>
      </c>
      <c r="G22" t="n">
        <v>17</v>
      </c>
      <c r="H22" s="53" t="n">
        <v>83.69</v>
      </c>
      <c r="I22" s="54" t="n">
        <v>4.922941176470588</v>
      </c>
      <c r="J22" t="n">
        <v>16</v>
      </c>
      <c r="K22" t="n">
        <v>2</v>
      </c>
      <c r="L22" s="51" t="n">
        <v>0.125</v>
      </c>
      <c r="M22" s="55" t="n">
        <v>968</v>
      </c>
      <c r="N22" s="55" t="n">
        <v>1380</v>
      </c>
      <c r="O22" s="51" t="n">
        <v>0.7014492753623188</v>
      </c>
      <c r="P22" t="n">
        <v>8</v>
      </c>
      <c r="Q22" t="n">
        <v>4</v>
      </c>
      <c r="R22" s="51" t="n">
        <v>0.5</v>
      </c>
      <c r="S22" t="n">
        <v>59</v>
      </c>
      <c r="T22" t="n">
        <v>3</v>
      </c>
      <c r="U22" s="51" t="n">
        <v>0.05084745762711865</v>
      </c>
    </row>
    <row r="23">
      <c r="A23" s="50" t="n">
        <v>45444</v>
      </c>
      <c r="B23" t="inlineStr">
        <is>
          <t>Cedar Ridge Medical Center</t>
        </is>
      </c>
      <c r="C23" t="n">
        <v>67</v>
      </c>
      <c r="D23" t="n">
        <v>1</v>
      </c>
      <c r="E23" s="51" t="n">
        <v>0.01492537313432836</v>
      </c>
      <c r="F23" s="52" t="n">
        <v>29.5</v>
      </c>
      <c r="G23" t="n">
        <v>23</v>
      </c>
      <c r="H23" s="53" t="n">
        <v>90.62</v>
      </c>
      <c r="I23" s="54" t="n">
        <v>3.94</v>
      </c>
      <c r="J23" t="n">
        <v>23</v>
      </c>
      <c r="K23" t="n">
        <v>3</v>
      </c>
      <c r="L23" s="51" t="n">
        <v>0.1304347826086956</v>
      </c>
      <c r="M23" s="55" t="n">
        <v>1661</v>
      </c>
      <c r="N23" s="55" t="n">
        <v>2160</v>
      </c>
      <c r="O23" s="51" t="n">
        <v>0.7689814814814815</v>
      </c>
      <c r="P23" t="n">
        <v>11</v>
      </c>
      <c r="Q23" t="n">
        <v>4</v>
      </c>
      <c r="R23" s="51" t="n">
        <v>0.3636363636363636</v>
      </c>
      <c r="S23" t="n">
        <v>67</v>
      </c>
      <c r="T23" t="n">
        <v>2</v>
      </c>
      <c r="U23" s="51" t="n">
        <v>0.02985074626865672</v>
      </c>
    </row>
    <row r="24">
      <c r="A24" s="50" t="n">
        <v>45474</v>
      </c>
      <c r="B24" t="inlineStr">
        <is>
          <t>Bluestone Memorial Hospital</t>
        </is>
      </c>
      <c r="C24" t="n">
        <v>321</v>
      </c>
      <c r="D24" t="n">
        <v>5</v>
      </c>
      <c r="E24" s="51" t="n">
        <v>0.01557632398753894</v>
      </c>
      <c r="F24" s="52" t="n">
        <v>32</v>
      </c>
      <c r="G24" t="n">
        <v>184</v>
      </c>
      <c r="H24" s="53" t="n">
        <v>815.85</v>
      </c>
      <c r="I24" s="54" t="n">
        <v>4.433967391304348</v>
      </c>
      <c r="J24" t="n">
        <v>184</v>
      </c>
      <c r="K24" t="n">
        <v>17</v>
      </c>
      <c r="L24" s="51" t="n">
        <v>0.09239130434782608</v>
      </c>
      <c r="M24" s="55" t="n">
        <v>5254</v>
      </c>
      <c r="N24" s="55" t="n">
        <v>6820</v>
      </c>
      <c r="O24" s="51" t="n">
        <v>0.7703812316715543</v>
      </c>
      <c r="P24" t="n">
        <v>52</v>
      </c>
      <c r="Q24" t="n">
        <v>17</v>
      </c>
      <c r="R24" s="51" t="n">
        <v>0.3269230769230769</v>
      </c>
      <c r="S24" t="n">
        <v>385</v>
      </c>
      <c r="T24" t="n">
        <v>34</v>
      </c>
      <c r="U24" s="51" t="n">
        <v>0.08831168831168831</v>
      </c>
    </row>
    <row r="25">
      <c r="A25" s="50" t="n">
        <v>45474</v>
      </c>
      <c r="B25" t="inlineStr">
        <is>
          <t>Ashby Falls Community Hospital</t>
        </is>
      </c>
      <c r="C25" t="n">
        <v>52</v>
      </c>
      <c r="D25" t="n">
        <v>0</v>
      </c>
      <c r="E25" s="51" t="n">
        <v>0</v>
      </c>
      <c r="F25" s="52" t="n">
        <v>42.5</v>
      </c>
      <c r="G25" t="n">
        <v>24</v>
      </c>
      <c r="H25" s="53" t="n">
        <v>101.5</v>
      </c>
      <c r="I25" s="54" t="n">
        <v>4.229166666666667</v>
      </c>
      <c r="J25" t="n">
        <v>23</v>
      </c>
      <c r="K25" t="n">
        <v>2</v>
      </c>
      <c r="L25" s="51" t="n">
        <v>0.08695652173913043</v>
      </c>
      <c r="M25" s="55" t="n">
        <v>1059</v>
      </c>
      <c r="N25" s="55" t="n">
        <v>1426</v>
      </c>
      <c r="O25" s="51" t="n">
        <v>0.7426367461430575</v>
      </c>
      <c r="P25" t="n">
        <v>11</v>
      </c>
      <c r="Q25" t="n">
        <v>6</v>
      </c>
      <c r="R25" s="51" t="n">
        <v>0.5454545454545454</v>
      </c>
      <c r="S25" t="n">
        <v>66</v>
      </c>
      <c r="T25" t="n">
        <v>9</v>
      </c>
      <c r="U25" s="51" t="n">
        <v>0.1363636363636364</v>
      </c>
    </row>
    <row r="26">
      <c r="A26" s="50" t="n">
        <v>45474</v>
      </c>
      <c r="B26" t="inlineStr">
        <is>
          <t>Cedar Ridge Medical Center</t>
        </is>
      </c>
      <c r="C26" t="n">
        <v>71</v>
      </c>
      <c r="D26" t="n">
        <v>2</v>
      </c>
      <c r="E26" s="51" t="n">
        <v>0.02816901408450704</v>
      </c>
      <c r="F26" s="52" t="n">
        <v>42</v>
      </c>
      <c r="G26" t="n">
        <v>27</v>
      </c>
      <c r="H26" s="53" t="n">
        <v>122.32</v>
      </c>
      <c r="I26" s="54" t="n">
        <v>4.53037037037037</v>
      </c>
      <c r="J26" t="n">
        <v>26</v>
      </c>
      <c r="K26" t="n">
        <v>4</v>
      </c>
      <c r="L26" s="51" t="n">
        <v>0.1538461538461539</v>
      </c>
      <c r="M26" s="55" t="n">
        <v>1762</v>
      </c>
      <c r="N26" s="55" t="n">
        <v>2232</v>
      </c>
      <c r="O26" s="51" t="n">
        <v>0.7894265232974911</v>
      </c>
      <c r="P26" t="n">
        <v>10</v>
      </c>
      <c r="Q26" t="n">
        <v>8</v>
      </c>
      <c r="R26" s="51" t="n">
        <v>0.8</v>
      </c>
      <c r="S26" t="n">
        <v>75</v>
      </c>
      <c r="T26" t="n">
        <v>12</v>
      </c>
      <c r="U26" s="51" t="n">
        <v>0.16</v>
      </c>
    </row>
    <row r="27">
      <c r="A27" s="50" t="n">
        <v>45505</v>
      </c>
      <c r="B27" t="inlineStr">
        <is>
          <t>Bluestone Memorial Hospital</t>
        </is>
      </c>
      <c r="C27" t="n">
        <v>318</v>
      </c>
      <c r="D27" t="n">
        <v>7</v>
      </c>
      <c r="E27" s="51" t="n">
        <v>0.0220125786163522</v>
      </c>
      <c r="F27" s="52" t="n">
        <v>40</v>
      </c>
      <c r="G27" t="n">
        <v>149</v>
      </c>
      <c r="H27" s="53" t="n">
        <v>700.63</v>
      </c>
      <c r="I27" s="54" t="n">
        <v>4.702214765100671</v>
      </c>
      <c r="J27" t="n">
        <v>146</v>
      </c>
      <c r="K27" t="n">
        <v>24</v>
      </c>
      <c r="L27" s="51" t="n">
        <v>0.1643835616438356</v>
      </c>
      <c r="M27" s="55" t="n">
        <v>5340</v>
      </c>
      <c r="N27" s="55" t="n">
        <v>6820</v>
      </c>
      <c r="O27" s="51" t="n">
        <v>0.782991202346041</v>
      </c>
      <c r="P27" t="n">
        <v>55</v>
      </c>
      <c r="Q27" t="n">
        <v>21</v>
      </c>
      <c r="R27" s="51" t="n">
        <v>0.3818181818181818</v>
      </c>
      <c r="S27" t="n">
        <v>373</v>
      </c>
      <c r="T27" t="n">
        <v>40</v>
      </c>
      <c r="U27" s="51" t="n">
        <v>0.1072386058981233</v>
      </c>
    </row>
    <row r="28">
      <c r="A28" s="50" t="n">
        <v>45505</v>
      </c>
      <c r="B28" t="inlineStr">
        <is>
          <t>Ashby Falls Community Hospital</t>
        </is>
      </c>
      <c r="C28" t="n">
        <v>71</v>
      </c>
      <c r="D28" t="n">
        <v>1</v>
      </c>
      <c r="E28" s="51" t="n">
        <v>0.01408450704225352</v>
      </c>
      <c r="F28" s="52" t="n">
        <v>44.5</v>
      </c>
      <c r="G28" t="n">
        <v>26</v>
      </c>
      <c r="H28" s="53" t="n">
        <v>115.01</v>
      </c>
      <c r="I28" s="54" t="n">
        <v>4.423461538461539</v>
      </c>
      <c r="J28" t="n">
        <v>26</v>
      </c>
      <c r="K28" t="n">
        <v>7</v>
      </c>
      <c r="L28" s="51" t="n">
        <v>0.2692307692307692</v>
      </c>
      <c r="M28" s="55" t="n">
        <v>1063</v>
      </c>
      <c r="N28" s="55" t="n">
        <v>1426</v>
      </c>
      <c r="O28" s="51" t="n">
        <v>0.7454417952314165</v>
      </c>
      <c r="P28" t="n">
        <v>9</v>
      </c>
      <c r="Q28" t="n">
        <v>7</v>
      </c>
      <c r="R28" s="51" t="n">
        <v>0.7777777777777778</v>
      </c>
      <c r="S28" t="n">
        <v>76</v>
      </c>
      <c r="T28" t="n">
        <v>9</v>
      </c>
      <c r="U28" s="51" t="n">
        <v>0.1184210526315789</v>
      </c>
    </row>
    <row r="29">
      <c r="A29" s="50" t="n">
        <v>45505</v>
      </c>
      <c r="B29" t="inlineStr">
        <is>
          <t>Cedar Ridge Medical Center</t>
        </is>
      </c>
      <c r="C29" t="n">
        <v>80</v>
      </c>
      <c r="D29" t="n">
        <v>1</v>
      </c>
      <c r="E29" s="51" t="n">
        <v>0.0125</v>
      </c>
      <c r="F29" s="52" t="n">
        <v>40</v>
      </c>
      <c r="G29" t="n">
        <v>31</v>
      </c>
      <c r="H29" s="53" t="n">
        <v>160.92</v>
      </c>
      <c r="I29" s="54" t="n">
        <v>5.190967741935483</v>
      </c>
      <c r="J29" t="n">
        <v>31</v>
      </c>
      <c r="K29" t="n">
        <v>7</v>
      </c>
      <c r="L29" s="51" t="n">
        <v>0.2258064516129032</v>
      </c>
      <c r="M29" s="55" t="n">
        <v>1771</v>
      </c>
      <c r="N29" s="55" t="n">
        <v>2232</v>
      </c>
      <c r="O29" s="51" t="n">
        <v>0.7934587813620072</v>
      </c>
      <c r="P29" t="n">
        <v>7</v>
      </c>
      <c r="Q29" t="n">
        <v>3</v>
      </c>
      <c r="R29" s="51" t="n">
        <v>0.4285714285714285</v>
      </c>
      <c r="S29" t="n">
        <v>83</v>
      </c>
      <c r="T29" t="n">
        <v>8</v>
      </c>
      <c r="U29" s="51" t="n">
        <v>0.0963855421686747</v>
      </c>
    </row>
    <row r="30">
      <c r="A30" s="50" t="n">
        <v>45536</v>
      </c>
      <c r="B30" t="inlineStr">
        <is>
          <t>Bluestone Memorial Hospital</t>
        </is>
      </c>
      <c r="C30" t="n">
        <v>287</v>
      </c>
      <c r="D30" t="n">
        <v>10</v>
      </c>
      <c r="E30" s="51" t="n">
        <v>0.03484320557491289</v>
      </c>
      <c r="F30" s="52" t="n">
        <v>37</v>
      </c>
      <c r="G30" t="n">
        <v>130</v>
      </c>
      <c r="H30" s="53" t="n">
        <v>617.53</v>
      </c>
      <c r="I30" s="54" t="n">
        <v>4.750230769230769</v>
      </c>
      <c r="J30" t="n">
        <v>124</v>
      </c>
      <c r="K30" t="n">
        <v>18</v>
      </c>
      <c r="L30" s="51" t="n">
        <v>0.1451612903225807</v>
      </c>
      <c r="M30" s="55" t="n">
        <v>5229</v>
      </c>
      <c r="N30" s="55" t="n">
        <v>6600</v>
      </c>
      <c r="O30" s="51" t="n">
        <v>0.7922727272727272</v>
      </c>
      <c r="P30" t="n">
        <v>48</v>
      </c>
      <c r="Q30" t="n">
        <v>18</v>
      </c>
      <c r="R30" s="51" t="n">
        <v>0.375</v>
      </c>
      <c r="S30" t="n">
        <v>328</v>
      </c>
      <c r="T30" t="n">
        <v>43</v>
      </c>
      <c r="U30" s="51" t="n">
        <v>0.1310975609756098</v>
      </c>
    </row>
    <row r="31">
      <c r="A31" s="50" t="n">
        <v>45536</v>
      </c>
      <c r="B31" t="inlineStr">
        <is>
          <t>Ashby Falls Community Hospital</t>
        </is>
      </c>
      <c r="C31" t="n">
        <v>56</v>
      </c>
      <c r="D31" t="n">
        <v>2</v>
      </c>
      <c r="E31" s="51" t="n">
        <v>0.03571428571428571</v>
      </c>
      <c r="F31" s="52" t="n">
        <v>37.5</v>
      </c>
      <c r="G31" t="n">
        <v>24</v>
      </c>
      <c r="H31" s="53" t="n">
        <v>126.89</v>
      </c>
      <c r="I31" s="54" t="n">
        <v>5.287083333333333</v>
      </c>
      <c r="J31" t="n">
        <v>24</v>
      </c>
      <c r="K31" t="n">
        <v>3</v>
      </c>
      <c r="L31" s="51" t="n">
        <v>0.125</v>
      </c>
      <c r="M31" s="55" t="n">
        <v>1025</v>
      </c>
      <c r="N31" s="55" t="n">
        <v>1380</v>
      </c>
      <c r="O31" s="51" t="n">
        <v>0.7427536231884058</v>
      </c>
      <c r="P31" t="n">
        <v>11</v>
      </c>
      <c r="Q31" t="n">
        <v>6</v>
      </c>
      <c r="R31" s="51" t="n">
        <v>0.5454545454545454</v>
      </c>
      <c r="S31" t="n">
        <v>68</v>
      </c>
      <c r="T31" t="n">
        <v>5</v>
      </c>
      <c r="U31" s="51" t="n">
        <v>0.07352941176470588</v>
      </c>
    </row>
    <row r="32">
      <c r="A32" s="50" t="n">
        <v>45536</v>
      </c>
      <c r="B32" t="inlineStr">
        <is>
          <t>Cedar Ridge Medical Center</t>
        </is>
      </c>
      <c r="C32" t="n">
        <v>60</v>
      </c>
      <c r="D32" t="n">
        <v>3</v>
      </c>
      <c r="E32" s="51" t="n">
        <v>0.05</v>
      </c>
      <c r="F32" s="52" t="n">
        <v>39</v>
      </c>
      <c r="G32" t="n">
        <v>29</v>
      </c>
      <c r="H32" s="53" t="n">
        <v>124.9</v>
      </c>
      <c r="I32" s="54" t="n">
        <v>4.306896551724138</v>
      </c>
      <c r="J32" t="n">
        <v>29</v>
      </c>
      <c r="K32" t="n">
        <v>4</v>
      </c>
      <c r="L32" s="51" t="n">
        <v>0.1379310344827586</v>
      </c>
      <c r="M32" s="55" t="n">
        <v>1718</v>
      </c>
      <c r="N32" s="55" t="n">
        <v>2160</v>
      </c>
      <c r="O32" s="51" t="n">
        <v>0.7953703703703704</v>
      </c>
      <c r="P32" t="n">
        <v>11</v>
      </c>
      <c r="Q32" t="n">
        <v>3</v>
      </c>
      <c r="R32" s="51" t="n">
        <v>0.2727272727272727</v>
      </c>
      <c r="S32" t="n">
        <v>72</v>
      </c>
      <c r="T32" t="n">
        <v>7</v>
      </c>
      <c r="U32" s="51" t="n">
        <v>0.09722222222222222</v>
      </c>
    </row>
    <row r="33">
      <c r="A33" s="50" t="n">
        <v>45566</v>
      </c>
      <c r="B33" t="inlineStr">
        <is>
          <t>Bluestone Memorial Hospital</t>
        </is>
      </c>
      <c r="C33" t="n">
        <v>333</v>
      </c>
      <c r="D33" t="n">
        <v>5</v>
      </c>
      <c r="E33" s="51" t="n">
        <v>0.01501501501501501</v>
      </c>
      <c r="F33" s="52" t="n">
        <v>36</v>
      </c>
      <c r="G33" t="n">
        <v>172</v>
      </c>
      <c r="H33" s="53" t="n">
        <v>762.01</v>
      </c>
      <c r="I33" s="54" t="n">
        <v>4.430290697674419</v>
      </c>
      <c r="J33" t="n">
        <v>168</v>
      </c>
      <c r="K33" t="n">
        <v>28</v>
      </c>
      <c r="L33" s="51" t="n">
        <v>0.1666666666666667</v>
      </c>
      <c r="M33" s="55" t="n">
        <v>5305</v>
      </c>
      <c r="N33" s="55" t="n">
        <v>6820</v>
      </c>
      <c r="O33" s="51" t="n">
        <v>0.7778592375366569</v>
      </c>
      <c r="P33" t="n">
        <v>51</v>
      </c>
      <c r="Q33" t="n">
        <v>21</v>
      </c>
      <c r="R33" s="51" t="n">
        <v>0.4117647058823529</v>
      </c>
      <c r="S33" t="n">
        <v>390</v>
      </c>
      <c r="T33" t="n">
        <v>42</v>
      </c>
      <c r="U33" s="51" t="n">
        <v>0.1076923076923077</v>
      </c>
    </row>
    <row r="34">
      <c r="A34" s="50" t="n">
        <v>45566</v>
      </c>
      <c r="B34" t="inlineStr">
        <is>
          <t>Ashby Falls Community Hospital</t>
        </is>
      </c>
      <c r="C34" t="n">
        <v>64</v>
      </c>
      <c r="D34" t="n">
        <v>3</v>
      </c>
      <c r="E34" s="51" t="n">
        <v>0.046875</v>
      </c>
      <c r="F34" s="52" t="n">
        <v>36</v>
      </c>
      <c r="G34" t="n">
        <v>22</v>
      </c>
      <c r="H34" s="53" t="n">
        <v>105.96</v>
      </c>
      <c r="I34" s="54" t="n">
        <v>4.816363636363636</v>
      </c>
      <c r="J34" t="n">
        <v>20</v>
      </c>
      <c r="K34" t="n">
        <v>4</v>
      </c>
      <c r="L34" s="51" t="n">
        <v>0.2</v>
      </c>
      <c r="M34" s="55" t="n">
        <v>1087</v>
      </c>
      <c r="N34" s="55" t="n">
        <v>1426</v>
      </c>
      <c r="O34" s="51" t="n">
        <v>0.7622720897615708</v>
      </c>
      <c r="P34" t="n">
        <v>7</v>
      </c>
      <c r="Q34" t="n">
        <v>2</v>
      </c>
      <c r="R34" s="51" t="n">
        <v>0.2857142857142857</v>
      </c>
      <c r="S34" t="n">
        <v>65</v>
      </c>
      <c r="T34" t="n">
        <v>6</v>
      </c>
      <c r="U34" s="51" t="n">
        <v>0.09230769230769231</v>
      </c>
    </row>
    <row r="35">
      <c r="A35" s="50" t="n">
        <v>45566</v>
      </c>
      <c r="B35" t="inlineStr">
        <is>
          <t>Cedar Ridge Medical Center</t>
        </is>
      </c>
      <c r="C35" t="n">
        <v>69</v>
      </c>
      <c r="D35" t="n">
        <v>0</v>
      </c>
      <c r="E35" s="51" t="n">
        <v>0</v>
      </c>
      <c r="F35" s="52" t="n">
        <v>42</v>
      </c>
      <c r="G35" t="n">
        <v>31</v>
      </c>
      <c r="H35" s="53" t="n">
        <v>125.3</v>
      </c>
      <c r="I35" s="54" t="n">
        <v>4.041935483870968</v>
      </c>
      <c r="J35" t="n">
        <v>31</v>
      </c>
      <c r="K35" t="n">
        <v>4</v>
      </c>
      <c r="L35" s="51" t="n">
        <v>0.1290322580645161</v>
      </c>
      <c r="M35" s="55" t="n">
        <v>1808</v>
      </c>
      <c r="N35" s="55" t="n">
        <v>2232</v>
      </c>
      <c r="O35" s="51" t="n">
        <v>0.8100358422939068</v>
      </c>
      <c r="P35" t="n">
        <v>11</v>
      </c>
      <c r="Q35" t="n">
        <v>3</v>
      </c>
      <c r="R35" s="51" t="n">
        <v>0.2727272727272727</v>
      </c>
      <c r="S35" t="n">
        <v>82</v>
      </c>
      <c r="T35" t="n">
        <v>9</v>
      </c>
      <c r="U35" s="51" t="n">
        <v>0.1097560975609756</v>
      </c>
    </row>
    <row r="36">
      <c r="A36" s="50" t="n">
        <v>45597</v>
      </c>
      <c r="B36" t="inlineStr">
        <is>
          <t>Bluestone Memorial Hospital</t>
        </is>
      </c>
      <c r="C36" t="n">
        <v>413</v>
      </c>
      <c r="D36" t="n">
        <v>6</v>
      </c>
      <c r="E36" s="51" t="n">
        <v>0.01452784503631961</v>
      </c>
      <c r="F36" s="52" t="n">
        <v>37</v>
      </c>
      <c r="G36" t="n">
        <v>173</v>
      </c>
      <c r="H36" s="53" t="n">
        <v>837.41</v>
      </c>
      <c r="I36" s="54" t="n">
        <v>4.840520231213873</v>
      </c>
      <c r="J36" t="n">
        <v>169</v>
      </c>
      <c r="K36" t="n">
        <v>29</v>
      </c>
      <c r="L36" s="51" t="n">
        <v>0.1715976331360947</v>
      </c>
      <c r="M36" s="55" t="n">
        <v>5307</v>
      </c>
      <c r="N36" s="55" t="n">
        <v>6600</v>
      </c>
      <c r="O36" s="51" t="n">
        <v>0.8040909090909091</v>
      </c>
      <c r="P36" t="n">
        <v>67</v>
      </c>
      <c r="Q36" t="n">
        <v>28</v>
      </c>
      <c r="R36" s="51" t="n">
        <v>0.417910447761194</v>
      </c>
      <c r="S36" t="n">
        <v>454</v>
      </c>
      <c r="T36" t="n">
        <v>42</v>
      </c>
      <c r="U36" s="51" t="n">
        <v>0.09251101321585903</v>
      </c>
    </row>
    <row r="37">
      <c r="A37" s="50" t="n">
        <v>45597</v>
      </c>
      <c r="B37" t="inlineStr">
        <is>
          <t>Ashby Falls Community Hospital</t>
        </is>
      </c>
      <c r="C37" t="n">
        <v>63</v>
      </c>
      <c r="D37" t="n">
        <v>2</v>
      </c>
      <c r="E37" s="51" t="n">
        <v>0.03174603174603174</v>
      </c>
      <c r="F37" s="52" t="n">
        <v>37</v>
      </c>
      <c r="G37" t="n">
        <v>31</v>
      </c>
      <c r="H37" s="53" t="n">
        <v>145.56</v>
      </c>
      <c r="I37" s="54" t="n">
        <v>4.695483870967742</v>
      </c>
      <c r="J37" t="n">
        <v>30</v>
      </c>
      <c r="K37" t="n">
        <v>6</v>
      </c>
      <c r="L37" s="51" t="n">
        <v>0.2</v>
      </c>
      <c r="M37" s="55" t="n">
        <v>1048</v>
      </c>
      <c r="N37" s="55" t="n">
        <v>1380</v>
      </c>
      <c r="O37" s="51" t="n">
        <v>0.7594202898550725</v>
      </c>
      <c r="P37" t="n">
        <v>13</v>
      </c>
      <c r="Q37" t="n">
        <v>9</v>
      </c>
      <c r="R37" s="51" t="n">
        <v>0.6923076923076923</v>
      </c>
      <c r="S37" t="n">
        <v>72</v>
      </c>
      <c r="T37" t="n">
        <v>11</v>
      </c>
      <c r="U37" s="51" t="n">
        <v>0.1527777777777778</v>
      </c>
    </row>
    <row r="38">
      <c r="A38" s="50" t="n">
        <v>45597</v>
      </c>
      <c r="B38" t="inlineStr">
        <is>
          <t>Cedar Ridge Medical Center</t>
        </is>
      </c>
      <c r="C38" t="n">
        <v>86</v>
      </c>
      <c r="D38" t="n">
        <v>0</v>
      </c>
      <c r="E38" s="51" t="n">
        <v>0</v>
      </c>
      <c r="F38" s="52" t="n">
        <v>41</v>
      </c>
      <c r="G38" t="n">
        <v>29</v>
      </c>
      <c r="H38" s="53" t="n">
        <v>141.53</v>
      </c>
      <c r="I38" s="54" t="n">
        <v>4.880344827586207</v>
      </c>
      <c r="J38" t="n">
        <v>27</v>
      </c>
      <c r="K38" t="n">
        <v>5</v>
      </c>
      <c r="L38" s="51" t="n">
        <v>0.1851851851851852</v>
      </c>
      <c r="M38" s="55" t="n">
        <v>1772</v>
      </c>
      <c r="N38" s="55" t="n">
        <v>2160</v>
      </c>
      <c r="O38" s="51" t="n">
        <v>0.8203703703703704</v>
      </c>
      <c r="P38" t="n">
        <v>9</v>
      </c>
      <c r="Q38" t="n">
        <v>7</v>
      </c>
      <c r="R38" s="51" t="n">
        <v>0.7777777777777778</v>
      </c>
      <c r="S38" t="n">
        <v>85</v>
      </c>
      <c r="T38" t="n">
        <v>7</v>
      </c>
      <c r="U38" s="51" t="n">
        <v>0.08235294117647059</v>
      </c>
    </row>
    <row r="39">
      <c r="A39" s="50" t="n">
        <v>45627</v>
      </c>
      <c r="B39" t="inlineStr">
        <is>
          <t>Bluestone Memorial Hospital</t>
        </is>
      </c>
      <c r="C39" t="n">
        <v>435</v>
      </c>
      <c r="D39" t="n">
        <v>11</v>
      </c>
      <c r="E39" s="51" t="n">
        <v>0.02528735632183908</v>
      </c>
      <c r="F39" s="52" t="n">
        <v>39.5</v>
      </c>
      <c r="G39" t="n">
        <v>195</v>
      </c>
      <c r="H39" s="53" t="n">
        <v>1007.24</v>
      </c>
      <c r="I39" s="54" t="n">
        <v>5.165333333333334</v>
      </c>
      <c r="J39" t="n">
        <v>191</v>
      </c>
      <c r="K39" t="n">
        <v>28</v>
      </c>
      <c r="L39" s="51" t="n">
        <v>0.1465968586387434</v>
      </c>
      <c r="M39" s="55" t="n">
        <v>5697</v>
      </c>
      <c r="N39" s="55" t="n">
        <v>6820</v>
      </c>
      <c r="O39" s="51" t="n">
        <v>0.8353372434017595</v>
      </c>
      <c r="P39" t="n">
        <v>50</v>
      </c>
      <c r="Q39" t="n">
        <v>24</v>
      </c>
      <c r="R39" s="51" t="n">
        <v>0.48</v>
      </c>
      <c r="S39" t="n">
        <v>490</v>
      </c>
      <c r="T39" t="n">
        <v>57</v>
      </c>
      <c r="U39" s="51" t="n">
        <v>0.1163265306122449</v>
      </c>
    </row>
    <row r="40">
      <c r="A40" s="50" t="n">
        <v>45627</v>
      </c>
      <c r="B40" t="inlineStr">
        <is>
          <t>Ashby Falls Community Hospital</t>
        </is>
      </c>
      <c r="C40" t="n">
        <v>106</v>
      </c>
      <c r="D40" t="n">
        <v>7</v>
      </c>
      <c r="E40" s="51" t="n">
        <v>0.0660377358490566</v>
      </c>
      <c r="F40" s="52" t="n">
        <v>42</v>
      </c>
      <c r="G40" t="n">
        <v>39</v>
      </c>
      <c r="H40" s="53" t="n">
        <v>201.65</v>
      </c>
      <c r="I40" s="54" t="n">
        <v>5.170512820512821</v>
      </c>
      <c r="J40" t="n">
        <v>38</v>
      </c>
      <c r="K40" t="n">
        <v>4</v>
      </c>
      <c r="L40" s="51" t="n">
        <v>0.1052631578947368</v>
      </c>
      <c r="M40" s="55" t="n">
        <v>1137</v>
      </c>
      <c r="N40" s="55" t="n">
        <v>1426</v>
      </c>
      <c r="O40" s="51" t="n">
        <v>0.7973352033660589</v>
      </c>
      <c r="P40" t="n">
        <v>9</v>
      </c>
      <c r="Q40" t="n">
        <v>6</v>
      </c>
      <c r="R40" s="51" t="n">
        <v>0.6666666666666666</v>
      </c>
      <c r="S40" t="n">
        <v>117</v>
      </c>
      <c r="T40" t="n">
        <v>19</v>
      </c>
      <c r="U40" s="51" t="n">
        <v>0.1623931623931624</v>
      </c>
    </row>
    <row r="41">
      <c r="A41" s="50" t="n">
        <v>45627</v>
      </c>
      <c r="B41" t="inlineStr">
        <is>
          <t>Cedar Ridge Medical Center</t>
        </is>
      </c>
      <c r="C41" t="n">
        <v>80</v>
      </c>
      <c r="D41" t="n">
        <v>0</v>
      </c>
      <c r="E41" s="51" t="n">
        <v>0</v>
      </c>
      <c r="F41" s="52" t="n">
        <v>37.5</v>
      </c>
      <c r="G41" t="n">
        <v>33</v>
      </c>
      <c r="H41" s="53" t="n">
        <v>177.94</v>
      </c>
      <c r="I41" s="54" t="n">
        <v>5.392121212121212</v>
      </c>
      <c r="J41" t="n">
        <v>32</v>
      </c>
      <c r="K41" t="n">
        <v>5</v>
      </c>
      <c r="L41" s="51" t="n">
        <v>0.15625</v>
      </c>
      <c r="M41" s="55" t="n">
        <v>1857</v>
      </c>
      <c r="N41" s="55" t="n">
        <v>2232</v>
      </c>
      <c r="O41" s="51" t="n">
        <v>0.831989247311828</v>
      </c>
      <c r="P41" t="n">
        <v>9</v>
      </c>
      <c r="Q41" t="n">
        <v>3</v>
      </c>
      <c r="R41" s="51" t="n">
        <v>0.3333333333333333</v>
      </c>
      <c r="S41" t="n">
        <v>90</v>
      </c>
      <c r="T41" t="n">
        <v>14</v>
      </c>
      <c r="U41" s="51" t="n">
        <v>0.1555555555555556</v>
      </c>
    </row>
    <row r="42">
      <c r="A42" s="50" t="n">
        <v>45658</v>
      </c>
      <c r="B42" t="inlineStr">
        <is>
          <t>Bluestone Memorial Hospital</t>
        </is>
      </c>
      <c r="C42" t="n">
        <v>473</v>
      </c>
      <c r="D42" t="n">
        <v>6</v>
      </c>
      <c r="E42" s="51" t="n">
        <v>0.01268498942917548</v>
      </c>
      <c r="F42" s="52" t="n">
        <v>41</v>
      </c>
      <c r="G42" t="n">
        <v>207</v>
      </c>
      <c r="H42" s="53" t="n">
        <v>947.05</v>
      </c>
      <c r="I42" s="54" t="n">
        <v>4.575120772946859</v>
      </c>
      <c r="J42" t="n">
        <v>201</v>
      </c>
      <c r="K42" t="n">
        <v>34</v>
      </c>
      <c r="L42" s="51" t="n">
        <v>0.1691542288557214</v>
      </c>
      <c r="M42" s="55" t="n">
        <v>5742</v>
      </c>
      <c r="N42" s="55" t="n">
        <v>6820</v>
      </c>
      <c r="O42" s="51" t="n">
        <v>0.8419354838709677</v>
      </c>
      <c r="P42" t="n">
        <v>62</v>
      </c>
      <c r="Q42" t="n">
        <v>26</v>
      </c>
      <c r="R42" s="51" t="n">
        <v>0.4193548387096774</v>
      </c>
      <c r="S42" t="n">
        <v>526</v>
      </c>
      <c r="T42" t="n">
        <v>59</v>
      </c>
      <c r="U42" s="51" t="n">
        <v>0.1121673003802281</v>
      </c>
    </row>
    <row r="43">
      <c r="A43" s="50" t="n">
        <v>45658</v>
      </c>
      <c r="B43" t="inlineStr">
        <is>
          <t>Ashby Falls Community Hospital</t>
        </is>
      </c>
      <c r="C43" t="n">
        <v>79</v>
      </c>
      <c r="D43" t="n">
        <v>2</v>
      </c>
      <c r="E43" s="51" t="n">
        <v>0.02531645569620253</v>
      </c>
      <c r="F43" s="52" t="n">
        <v>46</v>
      </c>
      <c r="G43" t="n">
        <v>35</v>
      </c>
      <c r="H43" s="53" t="n">
        <v>140.06</v>
      </c>
      <c r="I43" s="54" t="n">
        <v>4.001714285714286</v>
      </c>
      <c r="J43" t="n">
        <v>35</v>
      </c>
      <c r="K43" t="n">
        <v>5</v>
      </c>
      <c r="L43" s="51" t="n">
        <v>0.1428571428571428</v>
      </c>
      <c r="M43" s="55" t="n">
        <v>1199</v>
      </c>
      <c r="N43" s="55" t="n">
        <v>1426</v>
      </c>
      <c r="O43" s="51" t="n">
        <v>0.8408134642356241</v>
      </c>
      <c r="P43" t="n">
        <v>14</v>
      </c>
      <c r="Q43" t="n">
        <v>9</v>
      </c>
      <c r="R43" s="51" t="n">
        <v>0.6428571428571429</v>
      </c>
      <c r="S43" t="n">
        <v>86</v>
      </c>
      <c r="T43" t="n">
        <v>8</v>
      </c>
      <c r="U43" s="51" t="n">
        <v>0.09302325581395349</v>
      </c>
    </row>
    <row r="44">
      <c r="A44" s="50" t="n">
        <v>45658</v>
      </c>
      <c r="B44" t="inlineStr">
        <is>
          <t>Cedar Ridge Medical Center</t>
        </is>
      </c>
      <c r="C44" t="n">
        <v>79</v>
      </c>
      <c r="D44" t="n">
        <v>3</v>
      </c>
      <c r="E44" s="51" t="n">
        <v>0.0379746835443038</v>
      </c>
      <c r="F44" s="52" t="n">
        <v>43.5</v>
      </c>
      <c r="G44" t="n">
        <v>45</v>
      </c>
      <c r="H44" s="53" t="n">
        <v>209.92</v>
      </c>
      <c r="I44" s="54" t="n">
        <v>4.664888888888888</v>
      </c>
      <c r="J44" t="n">
        <v>45</v>
      </c>
      <c r="K44" t="n">
        <v>11</v>
      </c>
      <c r="L44" s="51" t="n">
        <v>0.2444444444444444</v>
      </c>
      <c r="M44" s="55" t="n">
        <v>1891</v>
      </c>
      <c r="N44" s="55" t="n">
        <v>2232</v>
      </c>
      <c r="O44" s="51" t="n">
        <v>0.8472222222222222</v>
      </c>
      <c r="P44" t="n">
        <v>18</v>
      </c>
      <c r="Q44" t="n">
        <v>9</v>
      </c>
      <c r="R44" s="51" t="n">
        <v>0.5</v>
      </c>
      <c r="S44" t="n">
        <v>99</v>
      </c>
      <c r="T44" t="n">
        <v>5</v>
      </c>
      <c r="U44" s="51" t="n">
        <v>0.0505050505050505</v>
      </c>
    </row>
    <row r="45">
      <c r="A45" s="50" t="n">
        <v>45689</v>
      </c>
      <c r="B45" t="inlineStr">
        <is>
          <t>Bluestone Memorial Hospital</t>
        </is>
      </c>
      <c r="C45" t="n">
        <v>413</v>
      </c>
      <c r="D45" t="n">
        <v>11</v>
      </c>
      <c r="E45" s="51" t="n">
        <v>0.02663438256658596</v>
      </c>
      <c r="F45" s="52" t="n">
        <v>38</v>
      </c>
      <c r="G45" t="n">
        <v>209</v>
      </c>
      <c r="H45" s="53" t="n">
        <v>989.53</v>
      </c>
      <c r="I45" s="54" t="n">
        <v>4.734593301435407</v>
      </c>
      <c r="J45" t="n">
        <v>207</v>
      </c>
      <c r="K45" t="n">
        <v>43</v>
      </c>
      <c r="L45" s="51" t="n">
        <v>0.2077294685990338</v>
      </c>
      <c r="M45" s="55" t="n">
        <v>5222</v>
      </c>
      <c r="N45" s="55" t="n">
        <v>6160</v>
      </c>
      <c r="O45" s="51" t="n">
        <v>0.8477272727272728</v>
      </c>
      <c r="P45" t="n">
        <v>81</v>
      </c>
      <c r="Q45" t="n">
        <v>37</v>
      </c>
      <c r="R45" s="51" t="n">
        <v>0.4567901234567901</v>
      </c>
      <c r="S45" t="n">
        <v>481</v>
      </c>
      <c r="T45" t="n">
        <v>43</v>
      </c>
      <c r="U45" s="51" t="n">
        <v>0.0893970893970894</v>
      </c>
    </row>
    <row r="46">
      <c r="A46" s="50" t="n">
        <v>45689</v>
      </c>
      <c r="B46" t="inlineStr">
        <is>
          <t>Ashby Falls Community Hospital</t>
        </is>
      </c>
      <c r="C46" t="n">
        <v>72</v>
      </c>
      <c r="D46" t="n">
        <v>0</v>
      </c>
      <c r="E46" s="51" t="n">
        <v>0</v>
      </c>
      <c r="F46" s="52" t="n">
        <v>40</v>
      </c>
      <c r="G46" t="n">
        <v>34</v>
      </c>
      <c r="H46" s="53" t="n">
        <v>164.17</v>
      </c>
      <c r="I46" s="54" t="n">
        <v>4.828529411764706</v>
      </c>
      <c r="J46" t="n">
        <v>34</v>
      </c>
      <c r="K46" t="n">
        <v>5</v>
      </c>
      <c r="L46" s="51" t="n">
        <v>0.1470588235294118</v>
      </c>
      <c r="M46" s="55" t="n">
        <v>1029</v>
      </c>
      <c r="N46" s="55" t="n">
        <v>1288</v>
      </c>
      <c r="O46" s="51" t="n">
        <v>0.7989130434782609</v>
      </c>
      <c r="P46" t="n">
        <v>9</v>
      </c>
      <c r="Q46" t="n">
        <v>5</v>
      </c>
      <c r="R46" s="51" t="n">
        <v>0.5555555555555556</v>
      </c>
      <c r="S46" t="n">
        <v>78</v>
      </c>
      <c r="T46" t="n">
        <v>11</v>
      </c>
      <c r="U46" s="51" t="n">
        <v>0.141025641025641</v>
      </c>
    </row>
    <row r="47">
      <c r="A47" s="50" t="n">
        <v>45689</v>
      </c>
      <c r="B47" t="inlineStr">
        <is>
          <t>Cedar Ridge Medical Center</t>
        </is>
      </c>
      <c r="C47" t="n">
        <v>87</v>
      </c>
      <c r="D47" t="n">
        <v>1</v>
      </c>
      <c r="E47" s="51" t="n">
        <v>0.01149425287356322</v>
      </c>
      <c r="F47" s="52" t="n">
        <v>44.5</v>
      </c>
      <c r="G47" t="n">
        <v>43</v>
      </c>
      <c r="H47" s="53" t="n">
        <v>200.13</v>
      </c>
      <c r="I47" s="54" t="n">
        <v>4.654186046511628</v>
      </c>
      <c r="J47" t="n">
        <v>41</v>
      </c>
      <c r="K47" t="n">
        <v>6</v>
      </c>
      <c r="L47" s="51" t="n">
        <v>0.1463414634146341</v>
      </c>
      <c r="M47" s="55" t="n">
        <v>1751</v>
      </c>
      <c r="N47" s="55" t="n">
        <v>2016</v>
      </c>
      <c r="O47" s="51" t="n">
        <v>0.8685515873015873</v>
      </c>
      <c r="P47" t="n">
        <v>12</v>
      </c>
      <c r="Q47" t="n">
        <v>7</v>
      </c>
      <c r="R47" s="51" t="n">
        <v>0.5833333333333334</v>
      </c>
      <c r="S47" t="n">
        <v>104</v>
      </c>
      <c r="T47" t="n">
        <v>8</v>
      </c>
      <c r="U47" s="51" t="n">
        <v>0.07692307692307693</v>
      </c>
    </row>
    <row r="48">
      <c r="A48" s="50" t="n">
        <v>45717</v>
      </c>
      <c r="B48" t="inlineStr">
        <is>
          <t>Bluestone Memorial Hospital</t>
        </is>
      </c>
      <c r="C48" t="n">
        <v>380</v>
      </c>
      <c r="D48" t="n">
        <v>5</v>
      </c>
      <c r="E48" s="51" t="n">
        <v>0.0131578947368421</v>
      </c>
      <c r="F48" s="52" t="n">
        <v>36</v>
      </c>
      <c r="G48" t="n">
        <v>172</v>
      </c>
      <c r="H48" s="53" t="n">
        <v>853.34</v>
      </c>
      <c r="I48" s="54" t="n">
        <v>4.961279069767442</v>
      </c>
      <c r="J48" t="n">
        <v>168</v>
      </c>
      <c r="K48" t="n">
        <v>26</v>
      </c>
      <c r="L48" s="51" t="n">
        <v>0.1547619047619048</v>
      </c>
      <c r="M48" s="55" t="n">
        <v>5475</v>
      </c>
      <c r="N48" s="55" t="n">
        <v>6820</v>
      </c>
      <c r="O48" s="51" t="n">
        <v>0.8027859237536656</v>
      </c>
      <c r="P48" t="n">
        <v>71</v>
      </c>
      <c r="Q48" t="n">
        <v>31</v>
      </c>
      <c r="R48" s="51" t="n">
        <v>0.4366197183098591</v>
      </c>
      <c r="S48" t="n">
        <v>433</v>
      </c>
      <c r="T48" t="n">
        <v>50</v>
      </c>
      <c r="U48" s="51" t="n">
        <v>0.115473441108545</v>
      </c>
    </row>
    <row r="49">
      <c r="A49" s="50" t="n">
        <v>45717</v>
      </c>
      <c r="B49" t="inlineStr">
        <is>
          <t>Ashby Falls Community Hospital</t>
        </is>
      </c>
      <c r="C49" t="n">
        <v>80</v>
      </c>
      <c r="D49" t="n">
        <v>2</v>
      </c>
      <c r="E49" s="51" t="n">
        <v>0.025</v>
      </c>
      <c r="F49" s="52" t="n">
        <v>37</v>
      </c>
      <c r="G49" t="n">
        <v>40</v>
      </c>
      <c r="H49" s="53" t="n">
        <v>231.98</v>
      </c>
      <c r="I49" s="54" t="n">
        <v>5.7995</v>
      </c>
      <c r="J49" t="n">
        <v>39</v>
      </c>
      <c r="K49" t="n">
        <v>8</v>
      </c>
      <c r="L49" s="51" t="n">
        <v>0.2051282051282051</v>
      </c>
      <c r="M49" s="55" t="n">
        <v>1151</v>
      </c>
      <c r="N49" s="55" t="n">
        <v>1426</v>
      </c>
      <c r="O49" s="51" t="n">
        <v>0.8071528751753155</v>
      </c>
      <c r="P49" t="n">
        <v>14</v>
      </c>
      <c r="Q49" t="n">
        <v>7</v>
      </c>
      <c r="R49" s="51" t="n">
        <v>0.5</v>
      </c>
      <c r="S49" t="n">
        <v>92</v>
      </c>
      <c r="T49" t="n">
        <v>7</v>
      </c>
      <c r="U49" s="51" t="n">
        <v>0.07608695652173914</v>
      </c>
    </row>
    <row r="50">
      <c r="A50" s="50" t="n">
        <v>45717</v>
      </c>
      <c r="B50" t="inlineStr">
        <is>
          <t>Cedar Ridge Medical Center</t>
        </is>
      </c>
      <c r="C50" t="n">
        <v>86</v>
      </c>
      <c r="D50" t="n">
        <v>0</v>
      </c>
      <c r="E50" s="51" t="n">
        <v>0</v>
      </c>
      <c r="F50" s="52" t="n">
        <v>34</v>
      </c>
      <c r="G50" t="n">
        <v>44</v>
      </c>
      <c r="H50" s="53" t="n">
        <v>199.11</v>
      </c>
      <c r="I50" s="54" t="n">
        <v>4.525227272727273</v>
      </c>
      <c r="J50" t="n">
        <v>41</v>
      </c>
      <c r="K50" t="n">
        <v>10</v>
      </c>
      <c r="L50" s="51" t="n">
        <v>0.2439024390243902</v>
      </c>
      <c r="M50" s="55" t="n">
        <v>1848</v>
      </c>
      <c r="N50" s="55" t="n">
        <v>2232</v>
      </c>
      <c r="O50" s="51" t="n">
        <v>0.8279569892473119</v>
      </c>
      <c r="P50" t="n">
        <v>13</v>
      </c>
      <c r="Q50" t="n">
        <v>7</v>
      </c>
      <c r="R50" s="51" t="n">
        <v>0.5384615384615384</v>
      </c>
      <c r="S50" t="n">
        <v>101</v>
      </c>
      <c r="T50" t="n">
        <v>9</v>
      </c>
      <c r="U50" s="51" t="n">
        <v>0.0891089108910891</v>
      </c>
    </row>
    <row r="51">
      <c r="A51" s="50" t="n">
        <v>45748</v>
      </c>
      <c r="B51" t="inlineStr">
        <is>
          <t>Bluestone Memorial Hospital</t>
        </is>
      </c>
      <c r="C51" t="n">
        <v>299</v>
      </c>
      <c r="D51" t="n">
        <v>5</v>
      </c>
      <c r="E51" s="51" t="n">
        <v>0.01672240802675585</v>
      </c>
      <c r="F51" s="52" t="n">
        <v>36</v>
      </c>
      <c r="G51" t="n">
        <v>153</v>
      </c>
      <c r="H51" s="53" t="n">
        <v>732.1900000000001</v>
      </c>
      <c r="I51" s="54" t="n">
        <v>4.785555555555556</v>
      </c>
      <c r="J51" t="n">
        <v>151</v>
      </c>
      <c r="K51" t="n">
        <v>19</v>
      </c>
      <c r="L51" s="51" t="n">
        <v>0.1258278145695364</v>
      </c>
      <c r="M51" s="55" t="n">
        <v>5208</v>
      </c>
      <c r="N51" s="55" t="n">
        <v>6600</v>
      </c>
      <c r="O51" s="51" t="n">
        <v>0.7890909090909091</v>
      </c>
      <c r="P51" t="n">
        <v>40</v>
      </c>
      <c r="Q51" t="n">
        <v>17</v>
      </c>
      <c r="R51" s="51" t="n">
        <v>0.425</v>
      </c>
      <c r="S51" t="n">
        <v>348</v>
      </c>
      <c r="T51" t="n">
        <v>38</v>
      </c>
      <c r="U51" s="51" t="n">
        <v>0.1091954022988506</v>
      </c>
    </row>
    <row r="52">
      <c r="A52" s="50" t="n">
        <v>45748</v>
      </c>
      <c r="B52" t="inlineStr">
        <is>
          <t>Ashby Falls Community Hospital</t>
        </is>
      </c>
      <c r="C52" t="n">
        <v>65</v>
      </c>
      <c r="D52" t="n">
        <v>0</v>
      </c>
      <c r="E52" s="51" t="n">
        <v>0</v>
      </c>
      <c r="F52" s="52" t="n">
        <v>38</v>
      </c>
      <c r="G52" t="n">
        <v>27</v>
      </c>
      <c r="H52" s="53" t="n">
        <v>124.51</v>
      </c>
      <c r="I52" s="54" t="n">
        <v>4.611481481481482</v>
      </c>
      <c r="J52" t="n">
        <v>25</v>
      </c>
      <c r="K52" t="n">
        <v>3</v>
      </c>
      <c r="L52" s="51" t="n">
        <v>0.12</v>
      </c>
      <c r="M52" s="55" t="n">
        <v>1014</v>
      </c>
      <c r="N52" s="55" t="n">
        <v>1380</v>
      </c>
      <c r="O52" s="51" t="n">
        <v>0.7347826086956522</v>
      </c>
      <c r="P52" t="n">
        <v>9</v>
      </c>
      <c r="Q52" t="n">
        <v>7</v>
      </c>
      <c r="R52" s="51" t="n">
        <v>0.7777777777777778</v>
      </c>
      <c r="S52" t="n">
        <v>74</v>
      </c>
      <c r="T52" t="n">
        <v>6</v>
      </c>
      <c r="U52" s="51" t="n">
        <v>0.08108108108108109</v>
      </c>
    </row>
    <row r="53">
      <c r="A53" s="50" t="n">
        <v>45748</v>
      </c>
      <c r="B53" t="inlineStr">
        <is>
          <t>Cedar Ridge Medical Center</t>
        </is>
      </c>
      <c r="C53" t="n">
        <v>72</v>
      </c>
      <c r="D53" t="n">
        <v>1</v>
      </c>
      <c r="E53" s="51" t="n">
        <v>0.01388888888888889</v>
      </c>
      <c r="F53" s="52" t="n">
        <v>32</v>
      </c>
      <c r="G53" t="n">
        <v>43</v>
      </c>
      <c r="H53" s="53" t="n">
        <v>184.79</v>
      </c>
      <c r="I53" s="54" t="n">
        <v>4.297441860465116</v>
      </c>
      <c r="J53" t="n">
        <v>41</v>
      </c>
      <c r="K53" t="n">
        <v>4</v>
      </c>
      <c r="L53" s="51" t="n">
        <v>0.0975609756097561</v>
      </c>
      <c r="M53" s="55" t="n">
        <v>1748</v>
      </c>
      <c r="N53" s="55" t="n">
        <v>2160</v>
      </c>
      <c r="O53" s="51" t="n">
        <v>0.8092592592592592</v>
      </c>
      <c r="P53" t="n">
        <v>15</v>
      </c>
      <c r="Q53" t="n">
        <v>7</v>
      </c>
      <c r="R53" s="51" t="n">
        <v>0.4666666666666667</v>
      </c>
      <c r="S53" t="n">
        <v>89</v>
      </c>
      <c r="T53" t="n">
        <v>15</v>
      </c>
      <c r="U53" s="51" t="n">
        <v>0.1685393258426966</v>
      </c>
    </row>
    <row r="54">
      <c r="A54" s="50" t="n">
        <v>45778</v>
      </c>
      <c r="B54" t="inlineStr">
        <is>
          <t>Bluestone Memorial Hospital</t>
        </is>
      </c>
      <c r="C54" t="n">
        <v>367</v>
      </c>
      <c r="D54" t="n">
        <v>4</v>
      </c>
      <c r="E54" s="51" t="n">
        <v>0.0108991825613079</v>
      </c>
      <c r="F54" s="52" t="n">
        <v>36</v>
      </c>
      <c r="G54" t="n">
        <v>194</v>
      </c>
      <c r="H54" s="53" t="n">
        <v>942.97</v>
      </c>
      <c r="I54" s="54" t="n">
        <v>4.860670103092784</v>
      </c>
      <c r="J54" t="n">
        <v>188</v>
      </c>
      <c r="K54" t="n">
        <v>29</v>
      </c>
      <c r="L54" s="51" t="n">
        <v>0.1542553191489362</v>
      </c>
      <c r="M54" s="55" t="n">
        <v>5429</v>
      </c>
      <c r="N54" s="55" t="n">
        <v>6820</v>
      </c>
      <c r="O54" s="51" t="n">
        <v>0.7960410557184751</v>
      </c>
      <c r="P54" t="n">
        <v>56</v>
      </c>
      <c r="Q54" t="n">
        <v>23</v>
      </c>
      <c r="R54" s="51" t="n">
        <v>0.4107142857142857</v>
      </c>
      <c r="S54" t="n">
        <v>421</v>
      </c>
      <c r="T54" t="n">
        <v>62</v>
      </c>
      <c r="U54" s="51" t="n">
        <v>0.1472684085510689</v>
      </c>
    </row>
    <row r="55">
      <c r="A55" s="50" t="n">
        <v>45778</v>
      </c>
      <c r="B55" t="inlineStr">
        <is>
          <t>Ashby Falls Community Hospital</t>
        </is>
      </c>
      <c r="C55" t="n">
        <v>68</v>
      </c>
      <c r="D55" t="n">
        <v>0</v>
      </c>
      <c r="E55" s="51" t="n">
        <v>0</v>
      </c>
      <c r="F55" s="52" t="n">
        <v>34.5</v>
      </c>
      <c r="G55" t="n">
        <v>28</v>
      </c>
      <c r="H55" s="53" t="n">
        <v>108.37</v>
      </c>
      <c r="I55" s="54" t="n">
        <v>3.870357142857143</v>
      </c>
      <c r="J55" t="n">
        <v>27</v>
      </c>
      <c r="K55" t="n">
        <v>5</v>
      </c>
      <c r="L55" s="51" t="n">
        <v>0.1851851851851852</v>
      </c>
      <c r="M55" s="55" t="n">
        <v>1072</v>
      </c>
      <c r="N55" s="55" t="n">
        <v>1426</v>
      </c>
      <c r="O55" s="51" t="n">
        <v>0.7517531556802244</v>
      </c>
      <c r="P55" t="n">
        <v>7</v>
      </c>
      <c r="Q55" t="n">
        <v>4</v>
      </c>
      <c r="R55" s="51" t="n">
        <v>0.5714285714285714</v>
      </c>
      <c r="S55" t="n">
        <v>77</v>
      </c>
      <c r="T55" t="n">
        <v>10</v>
      </c>
      <c r="U55" s="51" t="n">
        <v>0.1298701298701299</v>
      </c>
    </row>
    <row r="56">
      <c r="A56" s="50" t="n">
        <v>45778</v>
      </c>
      <c r="B56" t="inlineStr">
        <is>
          <t>Cedar Ridge Medical Center</t>
        </is>
      </c>
      <c r="C56" t="n">
        <v>64</v>
      </c>
      <c r="D56" t="n">
        <v>1</v>
      </c>
      <c r="E56" s="51" t="n">
        <v>0.015625</v>
      </c>
      <c r="F56" s="52" t="n">
        <v>42</v>
      </c>
      <c r="G56" t="n">
        <v>29</v>
      </c>
      <c r="H56" s="53" t="n">
        <v>134.22</v>
      </c>
      <c r="I56" s="54" t="n">
        <v>4.628275862068966</v>
      </c>
      <c r="J56" t="n">
        <v>29</v>
      </c>
      <c r="K56" t="n">
        <v>2</v>
      </c>
      <c r="L56" s="51" t="n">
        <v>0.06896551724137931</v>
      </c>
      <c r="M56" s="55" t="n">
        <v>1815</v>
      </c>
      <c r="N56" s="55" t="n">
        <v>2232</v>
      </c>
      <c r="O56" s="51" t="n">
        <v>0.8131720430107527</v>
      </c>
      <c r="P56" t="n">
        <v>7</v>
      </c>
      <c r="Q56" t="n">
        <v>3</v>
      </c>
      <c r="R56" s="51" t="n">
        <v>0.4285714285714285</v>
      </c>
      <c r="S56" t="n">
        <v>71</v>
      </c>
      <c r="T56" t="n">
        <v>6</v>
      </c>
      <c r="U56" s="51" t="n">
        <v>0.08450704225352113</v>
      </c>
    </row>
    <row r="57">
      <c r="A57" s="50" t="n">
        <v>45809</v>
      </c>
      <c r="B57" t="inlineStr">
        <is>
          <t>Bluestone Memorial Hospital</t>
        </is>
      </c>
      <c r="C57" t="n">
        <v>364</v>
      </c>
      <c r="D57" t="n">
        <v>5</v>
      </c>
      <c r="E57" s="51" t="n">
        <v>0.01373626373626374</v>
      </c>
      <c r="F57" s="52" t="n">
        <v>37</v>
      </c>
      <c r="G57" t="n">
        <v>144</v>
      </c>
      <c r="H57" s="53" t="n">
        <v>670.05</v>
      </c>
      <c r="I57" s="54" t="n">
        <v>4.653124999999999</v>
      </c>
      <c r="J57" t="n">
        <v>142</v>
      </c>
      <c r="K57" t="n">
        <v>25</v>
      </c>
      <c r="L57" s="51" t="n">
        <v>0.176056338028169</v>
      </c>
      <c r="M57" s="55" t="n">
        <v>5137</v>
      </c>
      <c r="N57" s="55" t="n">
        <v>6600</v>
      </c>
      <c r="O57" s="51" t="n">
        <v>0.7783333333333333</v>
      </c>
      <c r="P57" t="n">
        <v>46</v>
      </c>
      <c r="Q57" t="n">
        <v>15</v>
      </c>
      <c r="R57" s="51" t="n">
        <v>0.3260869565217391</v>
      </c>
      <c r="S57" t="n">
        <v>400</v>
      </c>
      <c r="T57" t="n">
        <v>37</v>
      </c>
      <c r="U57" s="51" t="n">
        <v>0.0925</v>
      </c>
    </row>
    <row r="58">
      <c r="A58" s="50" t="n">
        <v>45809</v>
      </c>
      <c r="B58" t="inlineStr">
        <is>
          <t>Ashby Falls Community Hospital</t>
        </is>
      </c>
      <c r="C58" t="n">
        <v>64</v>
      </c>
      <c r="D58" t="n">
        <v>0</v>
      </c>
      <c r="E58" s="51" t="n">
        <v>0</v>
      </c>
      <c r="F58" s="52" t="n">
        <v>45.5</v>
      </c>
      <c r="G58" t="n">
        <v>18</v>
      </c>
      <c r="H58" s="53" t="n">
        <v>55.67</v>
      </c>
      <c r="I58" s="54" t="n">
        <v>3.092777777777778</v>
      </c>
      <c r="J58" t="n">
        <v>18</v>
      </c>
      <c r="K58" t="n">
        <v>6</v>
      </c>
      <c r="L58" s="51" t="n">
        <v>0.3333333333333333</v>
      </c>
      <c r="M58" s="55" t="n">
        <v>1056</v>
      </c>
      <c r="N58" s="55" t="n">
        <v>1380</v>
      </c>
      <c r="O58" s="51" t="n">
        <v>0.7652173913043478</v>
      </c>
      <c r="P58" t="n">
        <v>7</v>
      </c>
      <c r="Q58" t="n">
        <v>2</v>
      </c>
      <c r="R58" s="51" t="n">
        <v>0.2857142857142857</v>
      </c>
      <c r="S58" t="n">
        <v>66</v>
      </c>
      <c r="T58" t="n">
        <v>6</v>
      </c>
      <c r="U58" s="51" t="n">
        <v>0.09090909090909091</v>
      </c>
    </row>
    <row r="59">
      <c r="A59" s="50" t="n">
        <v>45809</v>
      </c>
      <c r="B59" t="inlineStr">
        <is>
          <t>Cedar Ridge Medical Center</t>
        </is>
      </c>
      <c r="C59" t="n">
        <v>85</v>
      </c>
      <c r="D59" t="n">
        <v>2</v>
      </c>
      <c r="E59" s="51" t="n">
        <v>0.02352941176470588</v>
      </c>
      <c r="F59" s="52" t="n">
        <v>45</v>
      </c>
      <c r="G59" t="n">
        <v>36</v>
      </c>
      <c r="H59" s="53" t="n">
        <v>149.32</v>
      </c>
      <c r="I59" s="54" t="n">
        <v>4.147777777777778</v>
      </c>
      <c r="J59" t="n">
        <v>35</v>
      </c>
      <c r="K59" t="n">
        <v>5</v>
      </c>
      <c r="L59" s="51" t="n">
        <v>0.1428571428571428</v>
      </c>
      <c r="M59" s="55" t="n">
        <v>1719</v>
      </c>
      <c r="N59" s="55" t="n">
        <v>2160</v>
      </c>
      <c r="O59" s="51" t="n">
        <v>0.7958333333333333</v>
      </c>
      <c r="P59" t="n">
        <v>16</v>
      </c>
      <c r="Q59" t="n">
        <v>9</v>
      </c>
      <c r="R59" s="51" t="n">
        <v>0.5625</v>
      </c>
      <c r="S59" t="n">
        <v>94</v>
      </c>
      <c r="T59" t="n">
        <v>8</v>
      </c>
      <c r="U59" s="51" t="n">
        <v>0.0851063829787234</v>
      </c>
    </row>
    <row r="60">
      <c r="A60" s="50" t="n">
        <v>45839</v>
      </c>
      <c r="B60" t="inlineStr">
        <is>
          <t>Bluestone Memorial Hospital</t>
        </is>
      </c>
      <c r="C60" t="n">
        <v>358</v>
      </c>
      <c r="D60" t="n">
        <v>4</v>
      </c>
      <c r="E60" s="51" t="n">
        <v>0.0111731843575419</v>
      </c>
      <c r="F60" s="52" t="n">
        <v>35.5</v>
      </c>
      <c r="G60" t="n">
        <v>141</v>
      </c>
      <c r="H60" s="53" t="n">
        <v>651.24</v>
      </c>
      <c r="I60" s="54" t="n">
        <v>4.618723404255319</v>
      </c>
      <c r="J60" t="n">
        <v>139</v>
      </c>
      <c r="K60" t="n">
        <v>23</v>
      </c>
      <c r="L60" s="51" t="n">
        <v>0.1654676258992806</v>
      </c>
      <c r="M60" s="55" t="n">
        <v>5430</v>
      </c>
      <c r="N60" s="55" t="n">
        <v>6820</v>
      </c>
      <c r="O60" s="51" t="n">
        <v>0.7961876832844574</v>
      </c>
      <c r="P60" t="n">
        <v>58</v>
      </c>
      <c r="Q60" t="n">
        <v>25</v>
      </c>
      <c r="R60" s="51" t="n">
        <v>0.4310344827586207</v>
      </c>
      <c r="S60" t="n">
        <v>395</v>
      </c>
      <c r="T60" t="n">
        <v>51</v>
      </c>
      <c r="U60" s="51" t="n">
        <v>0.1291139240506329</v>
      </c>
    </row>
    <row r="61">
      <c r="A61" s="50" t="n">
        <v>45839</v>
      </c>
      <c r="B61" t="inlineStr">
        <is>
          <t>Ashby Falls Community Hospital</t>
        </is>
      </c>
      <c r="C61" t="n">
        <v>69</v>
      </c>
      <c r="D61" t="n">
        <v>1</v>
      </c>
      <c r="E61" s="51" t="n">
        <v>0.01449275362318841</v>
      </c>
      <c r="F61" s="52" t="n">
        <v>46</v>
      </c>
      <c r="G61" t="n">
        <v>29</v>
      </c>
      <c r="H61" s="53" t="n">
        <v>137.83</v>
      </c>
      <c r="I61" s="54" t="n">
        <v>4.752758620689655</v>
      </c>
      <c r="J61" t="n">
        <v>27</v>
      </c>
      <c r="K61" t="n">
        <v>3</v>
      </c>
      <c r="L61" s="51" t="n">
        <v>0.1111111111111111</v>
      </c>
      <c r="M61" s="55" t="n">
        <v>1053</v>
      </c>
      <c r="N61" s="55" t="n">
        <v>1426</v>
      </c>
      <c r="O61" s="51" t="n">
        <v>0.738429172510519</v>
      </c>
      <c r="P61" t="n">
        <v>9</v>
      </c>
      <c r="Q61" t="n">
        <v>6</v>
      </c>
      <c r="R61" s="51" t="n">
        <v>0.6666666666666666</v>
      </c>
      <c r="S61" t="n">
        <v>85</v>
      </c>
      <c r="T61" t="n">
        <v>11</v>
      </c>
      <c r="U61" s="51" t="n">
        <v>0.1294117647058824</v>
      </c>
    </row>
    <row r="62">
      <c r="A62" s="50" t="n">
        <v>45839</v>
      </c>
      <c r="B62" t="inlineStr">
        <is>
          <t>Cedar Ridge Medical Center</t>
        </is>
      </c>
      <c r="C62" t="n">
        <v>72</v>
      </c>
      <c r="D62" t="n">
        <v>2</v>
      </c>
      <c r="E62" s="51" t="n">
        <v>0.02777777777777778</v>
      </c>
      <c r="F62" s="52" t="n">
        <v>32.5</v>
      </c>
      <c r="G62" t="n">
        <v>33</v>
      </c>
      <c r="H62" s="53" t="n">
        <v>186.99</v>
      </c>
      <c r="I62" s="54" t="n">
        <v>5.666363636363637</v>
      </c>
      <c r="J62" t="n">
        <v>32</v>
      </c>
      <c r="K62" t="n">
        <v>3</v>
      </c>
      <c r="L62" s="51" t="n">
        <v>0.09375</v>
      </c>
      <c r="M62" s="55" t="n">
        <v>1810</v>
      </c>
      <c r="N62" s="55" t="n">
        <v>2232</v>
      </c>
      <c r="O62" s="51" t="n">
        <v>0.8109318996415771</v>
      </c>
      <c r="P62" t="n">
        <v>8</v>
      </c>
      <c r="Q62" t="n">
        <v>3</v>
      </c>
      <c r="R62" s="51" t="n">
        <v>0.375</v>
      </c>
      <c r="S62" t="n">
        <v>84</v>
      </c>
      <c r="T62" t="n">
        <v>11</v>
      </c>
      <c r="U62" s="51" t="n">
        <v>0.130952380952381</v>
      </c>
    </row>
    <row r="63">
      <c r="A63" s="50" t="n">
        <v>45870</v>
      </c>
      <c r="B63" t="inlineStr">
        <is>
          <t>Bluestone Memorial Hospital</t>
        </is>
      </c>
      <c r="C63" t="n">
        <v>302</v>
      </c>
      <c r="D63" t="n">
        <v>5</v>
      </c>
      <c r="E63" s="51" t="n">
        <v>0.01655629139072848</v>
      </c>
      <c r="F63" s="52" t="n">
        <v>39</v>
      </c>
      <c r="G63" t="n">
        <v>169</v>
      </c>
      <c r="H63" s="53" t="n">
        <v>796.29</v>
      </c>
      <c r="I63" s="54" t="n">
        <v>4.711775147928994</v>
      </c>
      <c r="J63" t="n">
        <v>166</v>
      </c>
      <c r="K63" t="n">
        <v>20</v>
      </c>
      <c r="L63" s="51" t="n">
        <v>0.1204819277108434</v>
      </c>
      <c r="M63" s="55" t="n">
        <v>5396</v>
      </c>
      <c r="N63" s="55" t="n">
        <v>6820</v>
      </c>
      <c r="O63" s="51" t="n">
        <v>0.7912023460410558</v>
      </c>
      <c r="P63" t="n">
        <v>62</v>
      </c>
      <c r="Q63" t="n">
        <v>20</v>
      </c>
      <c r="R63" s="51" t="n">
        <v>0.3225806451612903</v>
      </c>
      <c r="S63" t="n">
        <v>367</v>
      </c>
      <c r="T63" t="n">
        <v>44</v>
      </c>
      <c r="U63" s="51" t="n">
        <v>0.1198910081743869</v>
      </c>
    </row>
    <row r="64">
      <c r="A64" s="50" t="n">
        <v>45870</v>
      </c>
      <c r="B64" t="inlineStr">
        <is>
          <t>Ashby Falls Community Hospital</t>
        </is>
      </c>
      <c r="C64" t="n">
        <v>63</v>
      </c>
      <c r="D64" t="n">
        <v>2</v>
      </c>
      <c r="E64" s="51" t="n">
        <v>0.03174603174603174</v>
      </c>
      <c r="F64" s="52" t="n">
        <v>32</v>
      </c>
      <c r="G64" t="n">
        <v>28</v>
      </c>
      <c r="H64" s="53" t="n">
        <v>112.4</v>
      </c>
      <c r="I64" s="54" t="n">
        <v>4.014285714285714</v>
      </c>
      <c r="J64" t="n">
        <v>28</v>
      </c>
      <c r="K64" t="n">
        <v>2</v>
      </c>
      <c r="L64" s="51" t="n">
        <v>0.07142857142857142</v>
      </c>
      <c r="M64" s="55" t="n">
        <v>1054</v>
      </c>
      <c r="N64" s="55" t="n">
        <v>1426</v>
      </c>
      <c r="O64" s="51" t="n">
        <v>0.7391304347826086</v>
      </c>
      <c r="P64" t="n">
        <v>9</v>
      </c>
      <c r="Q64" t="n">
        <v>6</v>
      </c>
      <c r="R64" s="51" t="n">
        <v>0.6666666666666666</v>
      </c>
      <c r="S64" t="n">
        <v>70</v>
      </c>
      <c r="T64" t="n">
        <v>1</v>
      </c>
      <c r="U64" s="51" t="n">
        <v>0.01428571428571429</v>
      </c>
    </row>
    <row r="65">
      <c r="A65" s="50" t="n">
        <v>45870</v>
      </c>
      <c r="B65" t="inlineStr">
        <is>
          <t>Cedar Ridge Medical Center</t>
        </is>
      </c>
      <c r="C65" t="n">
        <v>78</v>
      </c>
      <c r="D65" t="n">
        <v>1</v>
      </c>
      <c r="E65" s="51" t="n">
        <v>0.01282051282051282</v>
      </c>
      <c r="F65" s="52" t="n">
        <v>41</v>
      </c>
      <c r="G65" t="n">
        <v>32</v>
      </c>
      <c r="H65" s="53" t="n">
        <v>178.09</v>
      </c>
      <c r="I65" s="54" t="n">
        <v>5.5653125</v>
      </c>
      <c r="J65" t="n">
        <v>32</v>
      </c>
      <c r="K65" t="n">
        <v>7</v>
      </c>
      <c r="L65" s="51" t="n">
        <v>0.21875</v>
      </c>
      <c r="M65" s="55" t="n">
        <v>1747</v>
      </c>
      <c r="N65" s="55" t="n">
        <v>2232</v>
      </c>
      <c r="O65" s="51" t="n">
        <v>0.7827060931899642</v>
      </c>
      <c r="P65" t="n">
        <v>15</v>
      </c>
      <c r="Q65" t="n">
        <v>6</v>
      </c>
      <c r="R65" s="51" t="n">
        <v>0.4</v>
      </c>
      <c r="S65" t="n">
        <v>88</v>
      </c>
      <c r="T65" t="n">
        <v>7</v>
      </c>
      <c r="U65" s="51" t="n">
        <v>0.07954545454545454</v>
      </c>
    </row>
    <row r="66">
      <c r="A66" s="50" t="n">
        <v>45901</v>
      </c>
      <c r="B66" t="inlineStr">
        <is>
          <t>Bluestone Memorial Hospital</t>
        </is>
      </c>
      <c r="C66" t="n">
        <v>329</v>
      </c>
      <c r="D66" t="n">
        <v>3</v>
      </c>
      <c r="E66" s="51" t="n">
        <v>0.00911854103343465</v>
      </c>
      <c r="F66" s="52" t="n">
        <v>36</v>
      </c>
      <c r="G66" t="n">
        <v>151</v>
      </c>
      <c r="H66" s="53" t="n">
        <v>698.95</v>
      </c>
      <c r="I66" s="54" t="n">
        <v>4.628807947019868</v>
      </c>
      <c r="J66" t="n">
        <v>147</v>
      </c>
      <c r="K66" t="n">
        <v>14</v>
      </c>
      <c r="L66" s="51" t="n">
        <v>0.09523809523809523</v>
      </c>
      <c r="M66" s="55" t="n">
        <v>5263</v>
      </c>
      <c r="N66" s="55" t="n">
        <v>6600</v>
      </c>
      <c r="O66" s="51" t="n">
        <v>0.7974242424242424</v>
      </c>
      <c r="P66" t="n">
        <v>54</v>
      </c>
      <c r="Q66" t="n">
        <v>28</v>
      </c>
      <c r="R66" s="51" t="n">
        <v>0.5185185185185185</v>
      </c>
      <c r="S66" t="n">
        <v>379</v>
      </c>
      <c r="T66" t="n">
        <v>40</v>
      </c>
      <c r="U66" s="51" t="n">
        <v>0.1055408970976253</v>
      </c>
    </row>
    <row r="67">
      <c r="A67" s="50" t="n">
        <v>45901</v>
      </c>
      <c r="B67" t="inlineStr">
        <is>
          <t>Ashby Falls Community Hospital</t>
        </is>
      </c>
      <c r="C67" t="n">
        <v>53</v>
      </c>
      <c r="D67" t="n">
        <v>0</v>
      </c>
      <c r="E67" s="51" t="n">
        <v>0</v>
      </c>
      <c r="F67" s="52" t="n">
        <v>41</v>
      </c>
      <c r="G67" t="n">
        <v>22</v>
      </c>
      <c r="H67" s="53" t="n">
        <v>101.15</v>
      </c>
      <c r="I67" s="54" t="n">
        <v>4.597727272727273</v>
      </c>
      <c r="J67" t="n">
        <v>22</v>
      </c>
      <c r="K67" t="n">
        <v>6</v>
      </c>
      <c r="L67" s="51" t="n">
        <v>0.2727272727272727</v>
      </c>
      <c r="M67" s="55" t="n">
        <v>1031</v>
      </c>
      <c r="N67" s="55" t="n">
        <v>1380</v>
      </c>
      <c r="O67" s="51" t="n">
        <v>0.7471014492753624</v>
      </c>
      <c r="P67" t="n">
        <v>8</v>
      </c>
      <c r="Q67" t="n">
        <v>3</v>
      </c>
      <c r="R67" s="51" t="n">
        <v>0.375</v>
      </c>
      <c r="S67" t="n">
        <v>59</v>
      </c>
      <c r="T67" t="n">
        <v>3</v>
      </c>
      <c r="U67" s="51" t="n">
        <v>0.05084745762711865</v>
      </c>
    </row>
    <row r="68">
      <c r="A68" s="50" t="n">
        <v>45901</v>
      </c>
      <c r="B68" t="inlineStr">
        <is>
          <t>Cedar Ridge Medical Center</t>
        </is>
      </c>
      <c r="C68" t="n">
        <v>68</v>
      </c>
      <c r="D68" t="n">
        <v>0</v>
      </c>
      <c r="E68" s="51" t="n">
        <v>0</v>
      </c>
      <c r="F68" s="52" t="n">
        <v>43.5</v>
      </c>
      <c r="G68" t="n">
        <v>22</v>
      </c>
      <c r="H68" s="53" t="n">
        <v>79.16</v>
      </c>
      <c r="I68" s="54" t="n">
        <v>3.598181818181818</v>
      </c>
      <c r="J68" t="n">
        <v>22</v>
      </c>
      <c r="K68" t="n">
        <v>5</v>
      </c>
      <c r="L68" s="51" t="n">
        <v>0.2272727272727273</v>
      </c>
      <c r="M68" s="55" t="n">
        <v>1800</v>
      </c>
      <c r="N68" s="55" t="n">
        <v>2160</v>
      </c>
      <c r="O68" s="51" t="n">
        <v>0.8333333333333334</v>
      </c>
      <c r="P68" t="n">
        <v>8</v>
      </c>
      <c r="Q68" t="n">
        <v>2</v>
      </c>
      <c r="R68" s="51" t="n">
        <v>0.25</v>
      </c>
      <c r="S68" t="n">
        <v>69</v>
      </c>
      <c r="T68" t="n">
        <v>7</v>
      </c>
      <c r="U68" s="51" t="n">
        <v>0.1014492753623188</v>
      </c>
    </row>
    <row r="69">
      <c r="A69" s="50" t="n">
        <v>45931</v>
      </c>
      <c r="B69" t="inlineStr">
        <is>
          <t>Bluestone Memorial Hospital</t>
        </is>
      </c>
      <c r="C69" t="n">
        <v>371</v>
      </c>
      <c r="D69" t="n">
        <v>5</v>
      </c>
      <c r="E69" s="51" t="n">
        <v>0.01347708894878706</v>
      </c>
      <c r="F69" s="52" t="n">
        <v>39.5</v>
      </c>
      <c r="G69" t="n">
        <v>153</v>
      </c>
      <c r="H69" s="53" t="n">
        <v>731.45</v>
      </c>
      <c r="I69" s="54" t="n">
        <v>4.780718954248366</v>
      </c>
      <c r="J69" t="n">
        <v>152</v>
      </c>
      <c r="K69" t="n">
        <v>24</v>
      </c>
      <c r="L69" s="51" t="n">
        <v>0.1578947368421053</v>
      </c>
      <c r="M69" s="55" t="n">
        <v>5349</v>
      </c>
      <c r="N69" s="55" t="n">
        <v>6820</v>
      </c>
      <c r="O69" s="51" t="n">
        <v>0.7843108504398827</v>
      </c>
      <c r="P69" t="n">
        <v>63</v>
      </c>
      <c r="Q69" t="n">
        <v>27</v>
      </c>
      <c r="R69" s="51" t="n">
        <v>0.4285714285714285</v>
      </c>
      <c r="S69" t="n">
        <v>402</v>
      </c>
      <c r="T69" t="n">
        <v>64</v>
      </c>
      <c r="U69" s="51" t="n">
        <v>0.1592039800995025</v>
      </c>
    </row>
    <row r="70">
      <c r="A70" s="50" t="n">
        <v>45931</v>
      </c>
      <c r="B70" t="inlineStr">
        <is>
          <t>Ashby Falls Community Hospital</t>
        </is>
      </c>
      <c r="C70" t="n">
        <v>67</v>
      </c>
      <c r="D70" t="n">
        <v>2</v>
      </c>
      <c r="E70" s="51" t="n">
        <v>0.02985074626865672</v>
      </c>
      <c r="F70" s="52" t="n">
        <v>25</v>
      </c>
      <c r="G70" t="n">
        <v>33</v>
      </c>
      <c r="H70" s="53" t="n">
        <v>127.8</v>
      </c>
      <c r="I70" s="54" t="n">
        <v>3.872727272727273</v>
      </c>
      <c r="J70" t="n">
        <v>32</v>
      </c>
      <c r="K70" t="n">
        <v>11</v>
      </c>
      <c r="L70" s="51" t="n">
        <v>0.34375</v>
      </c>
      <c r="M70" s="55" t="n">
        <v>1122</v>
      </c>
      <c r="N70" s="55" t="n">
        <v>1426</v>
      </c>
      <c r="O70" s="51" t="n">
        <v>0.7868162692847125</v>
      </c>
      <c r="P70" t="n">
        <v>12</v>
      </c>
      <c r="Q70" t="n">
        <v>8</v>
      </c>
      <c r="R70" s="51" t="n">
        <v>0.6666666666666666</v>
      </c>
      <c r="S70" t="n">
        <v>69</v>
      </c>
      <c r="T70" t="n">
        <v>6</v>
      </c>
      <c r="U70" s="51" t="n">
        <v>0.08695652173913043</v>
      </c>
    </row>
    <row r="71">
      <c r="A71" s="50" t="n">
        <v>45931</v>
      </c>
      <c r="B71" t="inlineStr">
        <is>
          <t>Cedar Ridge Medical Center</t>
        </is>
      </c>
      <c r="C71" t="n">
        <v>73</v>
      </c>
      <c r="D71" t="n">
        <v>0</v>
      </c>
      <c r="E71" s="51" t="n">
        <v>0</v>
      </c>
      <c r="F71" s="52" t="n">
        <v>39</v>
      </c>
      <c r="G71" t="n">
        <v>27</v>
      </c>
      <c r="H71" s="53" t="n">
        <v>106.99</v>
      </c>
      <c r="I71" s="54" t="n">
        <v>3.962592592592592</v>
      </c>
      <c r="J71" t="n">
        <v>27</v>
      </c>
      <c r="K71" t="n">
        <v>5</v>
      </c>
      <c r="L71" s="51" t="n">
        <v>0.1851851851851852</v>
      </c>
      <c r="M71" s="55" t="n">
        <v>1820</v>
      </c>
      <c r="N71" s="55" t="n">
        <v>2232</v>
      </c>
      <c r="O71" s="51" t="n">
        <v>0.8154121863799283</v>
      </c>
      <c r="P71" t="n">
        <v>11</v>
      </c>
      <c r="Q71" t="n">
        <v>8</v>
      </c>
      <c r="R71" s="51" t="n">
        <v>0.7272727272727273</v>
      </c>
      <c r="S71" t="n">
        <v>75</v>
      </c>
      <c r="T71" t="n">
        <v>8</v>
      </c>
      <c r="U71" s="51" t="n">
        <v>0.1066666666666667</v>
      </c>
    </row>
    <row r="72">
      <c r="A72" s="50" t="n">
        <v>45962</v>
      </c>
      <c r="B72" t="inlineStr">
        <is>
          <t>Bluestone Memorial Hospital</t>
        </is>
      </c>
      <c r="C72" t="n">
        <v>362</v>
      </c>
      <c r="D72" t="n">
        <v>5</v>
      </c>
      <c r="E72" s="51" t="n">
        <v>0.0138121546961326</v>
      </c>
      <c r="F72" s="52" t="n">
        <v>34</v>
      </c>
      <c r="G72" t="n">
        <v>188</v>
      </c>
      <c r="H72" s="53" t="n">
        <v>863.02</v>
      </c>
      <c r="I72" s="54" t="n">
        <v>4.590531914893617</v>
      </c>
      <c r="J72" t="n">
        <v>184</v>
      </c>
      <c r="K72" t="n">
        <v>34</v>
      </c>
      <c r="L72" s="51" t="n">
        <v>0.1847826086956522</v>
      </c>
      <c r="M72" s="55" t="n">
        <v>5391</v>
      </c>
      <c r="N72" s="55" t="n">
        <v>6600</v>
      </c>
      <c r="O72" s="51" t="n">
        <v>0.8168181818181818</v>
      </c>
      <c r="P72" t="n">
        <v>57</v>
      </c>
      <c r="Q72" t="n">
        <v>28</v>
      </c>
      <c r="R72" s="51" t="n">
        <v>0.4912280701754386</v>
      </c>
      <c r="S72" t="n">
        <v>350</v>
      </c>
      <c r="T72" t="n">
        <v>41</v>
      </c>
      <c r="U72" s="51" t="n">
        <v>0.1171428571428571</v>
      </c>
    </row>
    <row r="73">
      <c r="A73" s="50" t="n">
        <v>45962</v>
      </c>
      <c r="B73" t="inlineStr">
        <is>
          <t>Ashby Falls Community Hospital</t>
        </is>
      </c>
      <c r="C73" t="n">
        <v>80</v>
      </c>
      <c r="D73" t="n">
        <v>0</v>
      </c>
      <c r="E73" s="51" t="n">
        <v>0</v>
      </c>
      <c r="F73" s="52" t="n">
        <v>38.5</v>
      </c>
      <c r="G73" t="n">
        <v>36</v>
      </c>
      <c r="H73" s="53" t="n">
        <v>183.97</v>
      </c>
      <c r="I73" s="54" t="n">
        <v>5.110277777777778</v>
      </c>
      <c r="J73" t="n">
        <v>36</v>
      </c>
      <c r="K73" t="n">
        <v>4</v>
      </c>
      <c r="L73" s="51" t="n">
        <v>0.1111111111111111</v>
      </c>
      <c r="M73" s="55" t="n">
        <v>1058</v>
      </c>
      <c r="N73" s="55" t="n">
        <v>1380</v>
      </c>
      <c r="O73" s="51" t="n">
        <v>0.7666666666666667</v>
      </c>
      <c r="P73" t="n">
        <v>14</v>
      </c>
      <c r="Q73" t="n">
        <v>10</v>
      </c>
      <c r="R73" s="51" t="n">
        <v>0.7142857142857143</v>
      </c>
      <c r="S73" t="n">
        <v>78</v>
      </c>
      <c r="T73" t="n">
        <v>15</v>
      </c>
      <c r="U73" s="51" t="n">
        <v>0.1923076923076923</v>
      </c>
    </row>
    <row r="74">
      <c r="A74" s="50" t="n">
        <v>45962</v>
      </c>
      <c r="B74" t="inlineStr">
        <is>
          <t>Cedar Ridge Medical Center</t>
        </is>
      </c>
      <c r="C74" t="n">
        <v>80</v>
      </c>
      <c r="D74" t="n">
        <v>3</v>
      </c>
      <c r="E74" s="51" t="n">
        <v>0.0375</v>
      </c>
      <c r="F74" s="52" t="n">
        <v>31</v>
      </c>
      <c r="G74" t="n">
        <v>30</v>
      </c>
      <c r="H74" s="53" t="n">
        <v>117.45</v>
      </c>
      <c r="I74" s="54" t="n">
        <v>3.915</v>
      </c>
      <c r="J74" t="n">
        <v>30</v>
      </c>
      <c r="K74" t="n">
        <v>3</v>
      </c>
      <c r="L74" s="51" t="n">
        <v>0.1</v>
      </c>
      <c r="M74" s="55" t="n">
        <v>1829</v>
      </c>
      <c r="N74" s="55" t="n">
        <v>2160</v>
      </c>
      <c r="O74" s="51" t="n">
        <v>0.8467592592592592</v>
      </c>
      <c r="P74" t="n">
        <v>12</v>
      </c>
      <c r="Q74" t="n">
        <v>8</v>
      </c>
      <c r="R74" s="51" t="n">
        <v>0.6666666666666666</v>
      </c>
      <c r="S74" t="n">
        <v>73</v>
      </c>
      <c r="T74" t="n">
        <v>13</v>
      </c>
      <c r="U74" s="51" t="n">
        <v>0.1780821917808219</v>
      </c>
    </row>
    <row r="75">
      <c r="A75" s="50" t="n">
        <v>45992</v>
      </c>
      <c r="B75" t="inlineStr">
        <is>
          <t>Bluestone Memorial Hospital</t>
        </is>
      </c>
      <c r="C75" t="n">
        <v>423</v>
      </c>
      <c r="D75" t="n">
        <v>11</v>
      </c>
      <c r="E75" s="51" t="n">
        <v>0.02600472813238771</v>
      </c>
      <c r="F75" s="52" t="n">
        <v>43.5</v>
      </c>
      <c r="G75" t="n">
        <v>232</v>
      </c>
      <c r="H75" s="53" t="n">
        <v>1123.56</v>
      </c>
      <c r="I75" s="54" t="n">
        <v>4.842931034482758</v>
      </c>
      <c r="L75" s="51" t="n"/>
      <c r="M75" s="55" t="n">
        <v>5762</v>
      </c>
      <c r="N75" s="55" t="n">
        <v>6820</v>
      </c>
      <c r="O75" s="51" t="n">
        <v>0.8448680351906158</v>
      </c>
      <c r="R75" s="51" t="n"/>
      <c r="U75" s="51" t="n"/>
    </row>
    <row r="76">
      <c r="A76" s="50" t="n">
        <v>45992</v>
      </c>
      <c r="B76" t="inlineStr">
        <is>
          <t>Ashby Falls Community Hospital</t>
        </is>
      </c>
      <c r="C76" t="n">
        <v>79</v>
      </c>
      <c r="D76" t="n">
        <v>7</v>
      </c>
      <c r="E76" s="51" t="n">
        <v>0.08860759493670886</v>
      </c>
      <c r="F76" s="52" t="n">
        <v>46</v>
      </c>
      <c r="G76" t="n">
        <v>44</v>
      </c>
      <c r="H76" s="53" t="n">
        <v>209.96</v>
      </c>
      <c r="I76" s="54" t="n">
        <v>4.771818181818182</v>
      </c>
      <c r="L76" s="51" t="n"/>
      <c r="M76" s="55" t="n">
        <v>1184</v>
      </c>
      <c r="N76" s="55" t="n">
        <v>1426</v>
      </c>
      <c r="O76" s="51" t="n">
        <v>0.8302945301542777</v>
      </c>
      <c r="R76" s="51" t="n"/>
      <c r="U76" s="51" t="n"/>
    </row>
    <row r="77">
      <c r="A77" s="50" t="n">
        <v>45992</v>
      </c>
      <c r="B77" t="inlineStr">
        <is>
          <t>Cedar Ridge Medical Center</t>
        </is>
      </c>
      <c r="C77" t="n">
        <v>93</v>
      </c>
      <c r="D77" t="n">
        <v>1</v>
      </c>
      <c r="E77" s="51" t="n">
        <v>0.01075268817204301</v>
      </c>
      <c r="F77" s="52" t="n">
        <v>44</v>
      </c>
      <c r="G77" t="n">
        <v>34</v>
      </c>
      <c r="H77" s="53" t="n">
        <v>161.29</v>
      </c>
      <c r="I77" s="54" t="n">
        <v>4.743823529411764</v>
      </c>
      <c r="L77" s="51" t="n"/>
      <c r="M77" s="55" t="n">
        <v>1913</v>
      </c>
      <c r="N77" s="55" t="n">
        <v>2232</v>
      </c>
      <c r="O77" s="51" t="n">
        <v>0.857078853046595</v>
      </c>
      <c r="R77" s="51" t="n"/>
      <c r="U77" s="51" t="n"/>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2059"/>
  <sheetViews>
    <sheetView tabSelected="0" workbookViewId="0">
      <pane ySplit="4" topLeftCell="A5" activePane="bottomLeft" state="frozen"/>
      <selection pane="bottomLeft" activeCell="A1" sqref="A1"/>
    </sheetView>
  </sheetViews>
  <sheetFormatPr baseColWidth="8" defaultRowHeight="15"/>
  <cols>
    <col width="11" customWidth="1" min="1" max="1"/>
    <col width="18" customWidth="1" min="2" max="2"/>
    <col width="31" customWidth="1" min="3" max="3"/>
    <col width="19" customWidth="1" min="4" max="4"/>
  </cols>
  <sheetData>
    <row r="1">
      <c r="A1" s="47" t="inlineStr">
        <is>
          <t>EDWaits · every 2024–2025 ED visit that was seen by a provider</t>
        </is>
      </c>
    </row>
    <row r="2">
      <c r="A2" s="48" t="inlineStr">
        <is>
          <t>DoorToProviderMin = minutes from arrival to first provider contact. Visits that left without being seen (LWBS) have no provider time, so they aren't listed. Use this table for medians across hospitals or months.</t>
        </is>
      </c>
    </row>
    <row r="4">
      <c r="A4" s="49" t="inlineStr">
        <is>
          <t>EDVisitID</t>
        </is>
      </c>
      <c r="B4" s="49" t="inlineStr">
        <is>
          <t>ArrivalDateTime</t>
        </is>
      </c>
      <c r="C4" s="49" t="inlineStr">
        <is>
          <t>Facility</t>
        </is>
      </c>
      <c r="D4" s="49" t="inlineStr">
        <is>
          <t>DoorToProviderMin</t>
        </is>
      </c>
    </row>
    <row r="5">
      <c r="A5" t="inlineStr">
        <is>
          <t>ED200001</t>
        </is>
      </c>
      <c r="B5" s="56" t="n">
        <v>45292.08194444444</v>
      </c>
      <c r="C5" t="inlineStr">
        <is>
          <t>Bluestone Memorial Hospital</t>
        </is>
      </c>
      <c r="D5" t="n">
        <v>16</v>
      </c>
    </row>
    <row r="6">
      <c r="A6" t="inlineStr">
        <is>
          <t>ED200002</t>
        </is>
      </c>
      <c r="B6" s="56" t="n">
        <v>45292.12152777778</v>
      </c>
      <c r="C6" t="inlineStr">
        <is>
          <t>Bluestone Memorial Hospital</t>
        </is>
      </c>
      <c r="D6" t="n">
        <v>95</v>
      </c>
    </row>
    <row r="7">
      <c r="A7" t="inlineStr">
        <is>
          <t>ED200003</t>
        </is>
      </c>
      <c r="B7" s="56" t="n">
        <v>45292.16666666666</v>
      </c>
      <c r="C7" t="inlineStr">
        <is>
          <t>Bluestone Memorial Hospital</t>
        </is>
      </c>
      <c r="D7" t="n">
        <v>21</v>
      </c>
    </row>
    <row r="8">
      <c r="A8" t="inlineStr">
        <is>
          <t>ED200004</t>
        </is>
      </c>
      <c r="B8" s="56" t="n">
        <v>45292.34861111111</v>
      </c>
      <c r="C8" t="inlineStr">
        <is>
          <t>Bluestone Memorial Hospital</t>
        </is>
      </c>
      <c r="D8" t="n">
        <v>48</v>
      </c>
    </row>
    <row r="9">
      <c r="A9" t="inlineStr">
        <is>
          <t>ED200005</t>
        </is>
      </c>
      <c r="B9" s="56" t="n">
        <v>45292.41875</v>
      </c>
      <c r="C9" t="inlineStr">
        <is>
          <t>Bluestone Memorial Hospital</t>
        </is>
      </c>
      <c r="D9" t="n">
        <v>26</v>
      </c>
    </row>
    <row r="10">
      <c r="A10" t="inlineStr">
        <is>
          <t>ED200006</t>
        </is>
      </c>
      <c r="B10" s="56" t="n">
        <v>45292.43541666667</v>
      </c>
      <c r="C10" t="inlineStr">
        <is>
          <t>Bluestone Memorial Hospital</t>
        </is>
      </c>
      <c r="D10" t="n">
        <v>25</v>
      </c>
    </row>
    <row r="11">
      <c r="A11" t="inlineStr">
        <is>
          <t>ED200008</t>
        </is>
      </c>
      <c r="B11" s="56" t="n">
        <v>45292.47083333333</v>
      </c>
      <c r="C11" t="inlineStr">
        <is>
          <t>Cedar Ridge Medical Center</t>
        </is>
      </c>
      <c r="D11" t="n">
        <v>52</v>
      </c>
    </row>
    <row r="12">
      <c r="A12" t="inlineStr">
        <is>
          <t>ED200009</t>
        </is>
      </c>
      <c r="B12" s="56" t="n">
        <v>45292.47569444445</v>
      </c>
      <c r="C12" t="inlineStr">
        <is>
          <t>Bluestone Memorial Hospital</t>
        </is>
      </c>
      <c r="D12" t="n">
        <v>68</v>
      </c>
    </row>
    <row r="13">
      <c r="A13" t="inlineStr">
        <is>
          <t>ED200010</t>
        </is>
      </c>
      <c r="B13" s="56" t="n">
        <v>45292.56527777778</v>
      </c>
      <c r="C13" t="inlineStr">
        <is>
          <t>Bluestone Memorial Hospital</t>
        </is>
      </c>
      <c r="D13" t="n">
        <v>54</v>
      </c>
    </row>
    <row r="14">
      <c r="A14" t="inlineStr">
        <is>
          <t>ED200011</t>
        </is>
      </c>
      <c r="B14" s="56" t="n">
        <v>45292.58611111111</v>
      </c>
      <c r="C14" t="inlineStr">
        <is>
          <t>Bluestone Memorial Hospital</t>
        </is>
      </c>
      <c r="D14" t="n">
        <v>18</v>
      </c>
    </row>
    <row r="15">
      <c r="A15" t="inlineStr">
        <is>
          <t>ED200012</t>
        </is>
      </c>
      <c r="B15" s="56" t="n">
        <v>45292.60347222222</v>
      </c>
      <c r="C15" t="inlineStr">
        <is>
          <t>Ashby Falls Community Hospital</t>
        </is>
      </c>
      <c r="D15" t="n">
        <v>96</v>
      </c>
    </row>
    <row r="16">
      <c r="A16" t="inlineStr">
        <is>
          <t>ED200013</t>
        </is>
      </c>
      <c r="B16" s="56" t="n">
        <v>45292.61458333334</v>
      </c>
      <c r="C16" t="inlineStr">
        <is>
          <t>Cedar Ridge Medical Center</t>
        </is>
      </c>
      <c r="D16" t="n">
        <v>47</v>
      </c>
    </row>
    <row r="17">
      <c r="A17" t="inlineStr">
        <is>
          <t>ED200014</t>
        </is>
      </c>
      <c r="B17" s="56" t="n">
        <v>45292.66458333333</v>
      </c>
      <c r="C17" t="inlineStr">
        <is>
          <t>Bluestone Memorial Hospital</t>
        </is>
      </c>
      <c r="D17" t="n">
        <v>114</v>
      </c>
    </row>
    <row r="18">
      <c r="A18" t="inlineStr">
        <is>
          <t>ED200015</t>
        </is>
      </c>
      <c r="B18" s="56" t="n">
        <v>45292.70208333333</v>
      </c>
      <c r="C18" t="inlineStr">
        <is>
          <t>Bluestone Memorial Hospital</t>
        </is>
      </c>
      <c r="D18" t="n">
        <v>5</v>
      </c>
    </row>
    <row r="19">
      <c r="A19" t="inlineStr">
        <is>
          <t>ED200016</t>
        </is>
      </c>
      <c r="B19" s="56" t="n">
        <v>45292.73472222222</v>
      </c>
      <c r="C19" t="inlineStr">
        <is>
          <t>Bluestone Memorial Hospital</t>
        </is>
      </c>
      <c r="D19" t="n">
        <v>33</v>
      </c>
    </row>
    <row r="20">
      <c r="A20" t="inlineStr">
        <is>
          <t>ED200017</t>
        </is>
      </c>
      <c r="B20" s="56" t="n">
        <v>45292.81805555556</v>
      </c>
      <c r="C20" t="inlineStr">
        <is>
          <t>Cedar Ridge Medical Center</t>
        </is>
      </c>
      <c r="D20" t="n">
        <v>70</v>
      </c>
    </row>
    <row r="21">
      <c r="A21" t="inlineStr">
        <is>
          <t>ED200018</t>
        </is>
      </c>
      <c r="B21" s="56" t="n">
        <v>45293.27083333334</v>
      </c>
      <c r="C21" t="inlineStr">
        <is>
          <t>Bluestone Memorial Hospital</t>
        </is>
      </c>
      <c r="D21" t="n">
        <v>32</v>
      </c>
    </row>
    <row r="22">
      <c r="A22" t="inlineStr">
        <is>
          <t>ED200019</t>
        </is>
      </c>
      <c r="B22" s="56" t="n">
        <v>45293.29236111111</v>
      </c>
      <c r="C22" t="inlineStr">
        <is>
          <t>Bluestone Memorial Hospital</t>
        </is>
      </c>
      <c r="D22" t="n">
        <v>42</v>
      </c>
    </row>
    <row r="23">
      <c r="A23" t="inlineStr">
        <is>
          <t>ED200020</t>
        </is>
      </c>
      <c r="B23" s="56" t="n">
        <v>45293.32291666666</v>
      </c>
      <c r="C23" t="inlineStr">
        <is>
          <t>Bluestone Memorial Hospital</t>
        </is>
      </c>
      <c r="D23" t="n">
        <v>91</v>
      </c>
    </row>
    <row r="24">
      <c r="A24" t="inlineStr">
        <is>
          <t>ED200021</t>
        </is>
      </c>
      <c r="B24" s="56" t="n">
        <v>45293.32916666667</v>
      </c>
      <c r="C24" t="inlineStr">
        <is>
          <t>Cedar Ridge Medical Center</t>
        </is>
      </c>
      <c r="D24" t="n">
        <v>35</v>
      </c>
    </row>
    <row r="25">
      <c r="A25" t="inlineStr">
        <is>
          <t>ED200022</t>
        </is>
      </c>
      <c r="B25" s="56" t="n">
        <v>45293.35694444444</v>
      </c>
      <c r="C25" t="inlineStr">
        <is>
          <t>Ashby Falls Community Hospital</t>
        </is>
      </c>
      <c r="D25" t="n">
        <v>45</v>
      </c>
    </row>
    <row r="26">
      <c r="A26" t="inlineStr">
        <is>
          <t>ED200023</t>
        </is>
      </c>
      <c r="B26" s="56" t="n">
        <v>45293.41597222222</v>
      </c>
      <c r="C26" t="inlineStr">
        <is>
          <t>Ashby Falls Community Hospital</t>
        </is>
      </c>
      <c r="D26" t="n">
        <v>72</v>
      </c>
    </row>
    <row r="27">
      <c r="A27" t="inlineStr">
        <is>
          <t>ED200024</t>
        </is>
      </c>
      <c r="B27" s="56" t="n">
        <v>45293.41944444444</v>
      </c>
      <c r="C27" t="inlineStr">
        <is>
          <t>Bluestone Memorial Hospital</t>
        </is>
      </c>
      <c r="D27" t="n">
        <v>38</v>
      </c>
    </row>
    <row r="28">
      <c r="A28" t="inlineStr">
        <is>
          <t>ED200025</t>
        </is>
      </c>
      <c r="B28" s="56" t="n">
        <v>45293.47291666667</v>
      </c>
      <c r="C28" t="inlineStr">
        <is>
          <t>Bluestone Memorial Hospital</t>
        </is>
      </c>
      <c r="D28" t="n">
        <v>83</v>
      </c>
    </row>
    <row r="29">
      <c r="A29" t="inlineStr">
        <is>
          <t>ED200026</t>
        </is>
      </c>
      <c r="B29" s="56" t="n">
        <v>45293.56527777778</v>
      </c>
      <c r="C29" t="inlineStr">
        <is>
          <t>Bluestone Memorial Hospital</t>
        </is>
      </c>
      <c r="D29" t="n">
        <v>76</v>
      </c>
    </row>
    <row r="30">
      <c r="A30" t="inlineStr">
        <is>
          <t>ED200027</t>
        </is>
      </c>
      <c r="B30" s="56" t="n">
        <v>45293.57430555556</v>
      </c>
      <c r="C30" t="inlineStr">
        <is>
          <t>Bluestone Memorial Hospital</t>
        </is>
      </c>
      <c r="D30" t="n">
        <v>3</v>
      </c>
    </row>
    <row r="31">
      <c r="A31" t="inlineStr">
        <is>
          <t>ED200028</t>
        </is>
      </c>
      <c r="B31" s="56" t="n">
        <v>45293.62291666667</v>
      </c>
      <c r="C31" t="inlineStr">
        <is>
          <t>Bluestone Memorial Hospital</t>
        </is>
      </c>
      <c r="D31" t="n">
        <v>70</v>
      </c>
    </row>
    <row r="32">
      <c r="A32" t="inlineStr">
        <is>
          <t>ED200029</t>
        </is>
      </c>
      <c r="B32" s="56" t="n">
        <v>45293.65347222222</v>
      </c>
      <c r="C32" t="inlineStr">
        <is>
          <t>Bluestone Memorial Hospital</t>
        </is>
      </c>
      <c r="D32" t="n">
        <v>103</v>
      </c>
    </row>
    <row r="33">
      <c r="A33" t="inlineStr">
        <is>
          <t>ED200030</t>
        </is>
      </c>
      <c r="B33" s="56" t="n">
        <v>45293.70763888889</v>
      </c>
      <c r="C33" t="inlineStr">
        <is>
          <t>Ashby Falls Community Hospital</t>
        </is>
      </c>
      <c r="D33" t="n">
        <v>84</v>
      </c>
    </row>
    <row r="34">
      <c r="A34" t="inlineStr">
        <is>
          <t>ED200031</t>
        </is>
      </c>
      <c r="B34" s="56" t="n">
        <v>45293.76041666666</v>
      </c>
      <c r="C34" t="inlineStr">
        <is>
          <t>Bluestone Memorial Hospital</t>
        </is>
      </c>
      <c r="D34" t="n">
        <v>57</v>
      </c>
    </row>
    <row r="35">
      <c r="A35" t="inlineStr">
        <is>
          <t>ED200032</t>
        </is>
      </c>
      <c r="B35" s="56" t="n">
        <v>45293.76666666667</v>
      </c>
      <c r="C35" t="inlineStr">
        <is>
          <t>Cedar Ridge Medical Center</t>
        </is>
      </c>
      <c r="D35" t="n">
        <v>56</v>
      </c>
    </row>
    <row r="36">
      <c r="A36" t="inlineStr">
        <is>
          <t>ED200033</t>
        </is>
      </c>
      <c r="B36" s="56" t="n">
        <v>45293.83680555555</v>
      </c>
      <c r="C36" t="inlineStr">
        <is>
          <t>Bluestone Memorial Hospital</t>
        </is>
      </c>
      <c r="D36" t="n">
        <v>38</v>
      </c>
    </row>
    <row r="37">
      <c r="A37" t="inlineStr">
        <is>
          <t>ED200034</t>
        </is>
      </c>
      <c r="B37" s="56" t="n">
        <v>45293.84166666667</v>
      </c>
      <c r="C37" t="inlineStr">
        <is>
          <t>Bluestone Memorial Hospital</t>
        </is>
      </c>
      <c r="D37" t="n">
        <v>27</v>
      </c>
    </row>
    <row r="38">
      <c r="A38" t="inlineStr">
        <is>
          <t>ED200035</t>
        </is>
      </c>
      <c r="B38" s="56" t="n">
        <v>45293.89305555556</v>
      </c>
      <c r="C38" t="inlineStr">
        <is>
          <t>Bluestone Memorial Hospital</t>
        </is>
      </c>
      <c r="D38" t="n">
        <v>10</v>
      </c>
    </row>
    <row r="39">
      <c r="A39" t="inlineStr">
        <is>
          <t>ED200036</t>
        </is>
      </c>
      <c r="B39" s="56" t="n">
        <v>45293.89375</v>
      </c>
      <c r="C39" t="inlineStr">
        <is>
          <t>Bluestone Memorial Hospital</t>
        </is>
      </c>
      <c r="D39" t="n">
        <v>43</v>
      </c>
    </row>
    <row r="40">
      <c r="A40" t="inlineStr">
        <is>
          <t>ED200037</t>
        </is>
      </c>
      <c r="B40" s="56" t="n">
        <v>45293.94930555556</v>
      </c>
      <c r="C40" t="inlineStr">
        <is>
          <t>Bluestone Memorial Hospital</t>
        </is>
      </c>
      <c r="D40" t="n">
        <v>11</v>
      </c>
    </row>
    <row r="41">
      <c r="A41" t="inlineStr">
        <is>
          <t>ED200038</t>
        </is>
      </c>
      <c r="B41" s="56" t="n">
        <v>45293.95138888889</v>
      </c>
      <c r="C41" t="inlineStr">
        <is>
          <t>Ashby Falls Community Hospital</t>
        </is>
      </c>
      <c r="D41" t="n">
        <v>16</v>
      </c>
    </row>
    <row r="42">
      <c r="A42" t="inlineStr">
        <is>
          <t>ED200039</t>
        </is>
      </c>
      <c r="B42" s="56" t="n">
        <v>45293.97986111111</v>
      </c>
      <c r="C42" t="inlineStr">
        <is>
          <t>Bluestone Memorial Hospital</t>
        </is>
      </c>
      <c r="D42" t="n">
        <v>36</v>
      </c>
    </row>
    <row r="43">
      <c r="A43" t="inlineStr">
        <is>
          <t>ED200040</t>
        </is>
      </c>
      <c r="B43" s="56" t="n">
        <v>45294</v>
      </c>
      <c r="C43" t="inlineStr">
        <is>
          <t>Bluestone Memorial Hospital</t>
        </is>
      </c>
      <c r="D43" t="n">
        <v>17</v>
      </c>
    </row>
    <row r="44">
      <c r="A44" t="inlineStr">
        <is>
          <t>ED200041</t>
        </is>
      </c>
      <c r="B44" s="56" t="n">
        <v>45294.05416666667</v>
      </c>
      <c r="C44" t="inlineStr">
        <is>
          <t>Bluestone Memorial Hospital</t>
        </is>
      </c>
      <c r="D44" t="n">
        <v>8</v>
      </c>
    </row>
    <row r="45">
      <c r="A45" t="inlineStr">
        <is>
          <t>ED200042</t>
        </is>
      </c>
      <c r="B45" s="56" t="n">
        <v>45294.11736111111</v>
      </c>
      <c r="C45" t="inlineStr">
        <is>
          <t>Bluestone Memorial Hospital</t>
        </is>
      </c>
      <c r="D45" t="n">
        <v>17</v>
      </c>
    </row>
    <row r="46">
      <c r="A46" t="inlineStr">
        <is>
          <t>ED200043</t>
        </is>
      </c>
      <c r="B46" s="56" t="n">
        <v>45294.23472222222</v>
      </c>
      <c r="C46" t="inlineStr">
        <is>
          <t>Bluestone Memorial Hospital</t>
        </is>
      </c>
      <c r="D46" t="n">
        <v>31</v>
      </c>
    </row>
    <row r="47">
      <c r="A47" t="inlineStr">
        <is>
          <t>ED200044</t>
        </is>
      </c>
      <c r="B47" s="56" t="n">
        <v>45294.34583333333</v>
      </c>
      <c r="C47" t="inlineStr">
        <is>
          <t>Bluestone Memorial Hospital</t>
        </is>
      </c>
      <c r="D47" t="n">
        <v>72</v>
      </c>
    </row>
    <row r="48">
      <c r="A48" t="inlineStr">
        <is>
          <t>ED200045</t>
        </is>
      </c>
      <c r="B48" s="56" t="n">
        <v>45294.35694444444</v>
      </c>
      <c r="C48" t="inlineStr">
        <is>
          <t>Bluestone Memorial Hospital</t>
        </is>
      </c>
      <c r="D48" t="n">
        <v>15</v>
      </c>
    </row>
    <row r="49">
      <c r="A49" t="inlineStr">
        <is>
          <t>ED200046</t>
        </is>
      </c>
      <c r="B49" s="56" t="n">
        <v>45294.44305555556</v>
      </c>
      <c r="C49" t="inlineStr">
        <is>
          <t>Bluestone Memorial Hospital</t>
        </is>
      </c>
      <c r="D49" t="n">
        <v>3</v>
      </c>
    </row>
    <row r="50">
      <c r="A50" t="inlineStr">
        <is>
          <t>ED200047</t>
        </is>
      </c>
      <c r="B50" s="56" t="n">
        <v>45294.45625</v>
      </c>
      <c r="C50" t="inlineStr">
        <is>
          <t>Bluestone Memorial Hospital</t>
        </is>
      </c>
      <c r="D50" t="n">
        <v>29</v>
      </c>
    </row>
    <row r="51">
      <c r="A51" t="inlineStr">
        <is>
          <t>ED200048</t>
        </is>
      </c>
      <c r="B51" s="56" t="n">
        <v>45294.45902777778</v>
      </c>
      <c r="C51" t="inlineStr">
        <is>
          <t>Bluestone Memorial Hospital</t>
        </is>
      </c>
      <c r="D51" t="n">
        <v>11</v>
      </c>
    </row>
    <row r="52">
      <c r="A52" t="inlineStr">
        <is>
          <t>ED200049</t>
        </is>
      </c>
      <c r="B52" s="56" t="n">
        <v>45294.48055555556</v>
      </c>
      <c r="C52" t="inlineStr">
        <is>
          <t>Bluestone Memorial Hospital</t>
        </is>
      </c>
      <c r="D52" t="n">
        <v>112</v>
      </c>
    </row>
    <row r="53">
      <c r="A53" t="inlineStr">
        <is>
          <t>ED200050</t>
        </is>
      </c>
      <c r="B53" s="56" t="n">
        <v>45294.51111111111</v>
      </c>
      <c r="C53" t="inlineStr">
        <is>
          <t>Bluestone Memorial Hospital</t>
        </is>
      </c>
      <c r="D53" t="n">
        <v>20</v>
      </c>
    </row>
    <row r="54">
      <c r="A54" t="inlineStr">
        <is>
          <t>ED200052</t>
        </is>
      </c>
      <c r="B54" s="56" t="n">
        <v>45294.63125</v>
      </c>
      <c r="C54" t="inlineStr">
        <is>
          <t>Cedar Ridge Medical Center</t>
        </is>
      </c>
      <c r="D54" t="n">
        <v>109</v>
      </c>
    </row>
    <row r="55">
      <c r="A55" t="inlineStr">
        <is>
          <t>ED200053</t>
        </is>
      </c>
      <c r="B55" s="56" t="n">
        <v>45294.65277777778</v>
      </c>
      <c r="C55" t="inlineStr">
        <is>
          <t>Ashby Falls Community Hospital</t>
        </is>
      </c>
      <c r="D55" t="n">
        <v>141</v>
      </c>
    </row>
    <row r="56">
      <c r="A56" t="inlineStr">
        <is>
          <t>ED200054</t>
        </is>
      </c>
      <c r="B56" s="56" t="n">
        <v>45294.7</v>
      </c>
      <c r="C56" t="inlineStr">
        <is>
          <t>Bluestone Memorial Hospital</t>
        </is>
      </c>
      <c r="D56" t="n">
        <v>94</v>
      </c>
    </row>
    <row r="57">
      <c r="A57" t="inlineStr">
        <is>
          <t>ED200055</t>
        </is>
      </c>
      <c r="B57" s="56" t="n">
        <v>45294.70833333334</v>
      </c>
      <c r="C57" t="inlineStr">
        <is>
          <t>Bluestone Memorial Hospital</t>
        </is>
      </c>
      <c r="D57" t="n">
        <v>135</v>
      </c>
    </row>
    <row r="58">
      <c r="A58" t="inlineStr">
        <is>
          <t>ED200056</t>
        </is>
      </c>
      <c r="B58" s="56" t="n">
        <v>45294.74027777778</v>
      </c>
      <c r="C58" t="inlineStr">
        <is>
          <t>Ashby Falls Community Hospital</t>
        </is>
      </c>
      <c r="D58" t="n">
        <v>87</v>
      </c>
    </row>
    <row r="59">
      <c r="A59" t="inlineStr">
        <is>
          <t>ED200057</t>
        </is>
      </c>
      <c r="B59" s="56" t="n">
        <v>45294.74652777778</v>
      </c>
      <c r="C59" t="inlineStr">
        <is>
          <t>Bluestone Memorial Hospital</t>
        </is>
      </c>
      <c r="D59" t="n">
        <v>11</v>
      </c>
    </row>
    <row r="60">
      <c r="A60" t="inlineStr">
        <is>
          <t>ED200058</t>
        </is>
      </c>
      <c r="B60" s="56" t="n">
        <v>45294.77708333333</v>
      </c>
      <c r="C60" t="inlineStr">
        <is>
          <t>Bluestone Memorial Hospital</t>
        </is>
      </c>
      <c r="D60" t="n">
        <v>71</v>
      </c>
    </row>
    <row r="61">
      <c r="A61" t="inlineStr">
        <is>
          <t>ED200059</t>
        </is>
      </c>
      <c r="B61" s="56" t="n">
        <v>45294.77986111111</v>
      </c>
      <c r="C61" t="inlineStr">
        <is>
          <t>Bluestone Memorial Hospital</t>
        </is>
      </c>
      <c r="D61" t="n">
        <v>33</v>
      </c>
    </row>
    <row r="62">
      <c r="A62" t="inlineStr">
        <is>
          <t>ED200060</t>
        </is>
      </c>
      <c r="B62" s="56" t="n">
        <v>45294.82986111111</v>
      </c>
      <c r="C62" t="inlineStr">
        <is>
          <t>Bluestone Memorial Hospital</t>
        </is>
      </c>
      <c r="D62" t="n">
        <v>53</v>
      </c>
    </row>
    <row r="63">
      <c r="A63" t="inlineStr">
        <is>
          <t>ED200061</t>
        </is>
      </c>
      <c r="B63" s="56" t="n">
        <v>45294.88125</v>
      </c>
      <c r="C63" t="inlineStr">
        <is>
          <t>Bluestone Memorial Hospital</t>
        </is>
      </c>
      <c r="D63" t="n">
        <v>70</v>
      </c>
    </row>
    <row r="64">
      <c r="A64" t="inlineStr">
        <is>
          <t>ED200062</t>
        </is>
      </c>
      <c r="B64" s="56" t="n">
        <v>45294.89583333334</v>
      </c>
      <c r="C64" t="inlineStr">
        <is>
          <t>Bluestone Memorial Hospital</t>
        </is>
      </c>
      <c r="D64" t="n">
        <v>33</v>
      </c>
    </row>
    <row r="65">
      <c r="A65" t="inlineStr">
        <is>
          <t>ED200063</t>
        </is>
      </c>
      <c r="B65" s="56" t="n">
        <v>45294.92847222222</v>
      </c>
      <c r="C65" t="inlineStr">
        <is>
          <t>Bluestone Memorial Hospital</t>
        </is>
      </c>
      <c r="D65" t="n">
        <v>45</v>
      </c>
    </row>
    <row r="66">
      <c r="A66" t="inlineStr">
        <is>
          <t>ED200064</t>
        </is>
      </c>
      <c r="B66" s="56" t="n">
        <v>45294.93055555555</v>
      </c>
      <c r="C66" t="inlineStr">
        <is>
          <t>Cedar Ridge Medical Center</t>
        </is>
      </c>
      <c r="D66" t="n">
        <v>17</v>
      </c>
    </row>
    <row r="67">
      <c r="A67" t="inlineStr">
        <is>
          <t>ED200065</t>
        </is>
      </c>
      <c r="B67" s="56" t="n">
        <v>45295.08194444444</v>
      </c>
      <c r="C67" t="inlineStr">
        <is>
          <t>Bluestone Memorial Hospital</t>
        </is>
      </c>
      <c r="D67" t="n">
        <v>11</v>
      </c>
    </row>
    <row r="68">
      <c r="A68" t="inlineStr">
        <is>
          <t>ED200066</t>
        </is>
      </c>
      <c r="B68" s="56" t="n">
        <v>45295.33472222222</v>
      </c>
      <c r="C68" t="inlineStr">
        <is>
          <t>Bluestone Memorial Hospital</t>
        </is>
      </c>
      <c r="D68" t="n">
        <v>48</v>
      </c>
    </row>
    <row r="69">
      <c r="A69" t="inlineStr">
        <is>
          <t>ED200067</t>
        </is>
      </c>
      <c r="B69" s="56" t="n">
        <v>45295.34583333333</v>
      </c>
      <c r="C69" t="inlineStr">
        <is>
          <t>Ashby Falls Community Hospital</t>
        </is>
      </c>
      <c r="D69" t="n">
        <v>16</v>
      </c>
    </row>
    <row r="70">
      <c r="A70" t="inlineStr">
        <is>
          <t>ED200068</t>
        </is>
      </c>
      <c r="B70" s="56" t="n">
        <v>45295.45416666667</v>
      </c>
      <c r="C70" t="inlineStr">
        <is>
          <t>Bluestone Memorial Hospital</t>
        </is>
      </c>
      <c r="D70" t="n">
        <v>225</v>
      </c>
    </row>
    <row r="71">
      <c r="A71" t="inlineStr">
        <is>
          <t>ED200070</t>
        </is>
      </c>
      <c r="B71" s="56" t="n">
        <v>45295.47638888889</v>
      </c>
      <c r="C71" t="inlineStr">
        <is>
          <t>Bluestone Memorial Hospital</t>
        </is>
      </c>
      <c r="D71" t="n">
        <v>171</v>
      </c>
    </row>
    <row r="72">
      <c r="A72" t="inlineStr">
        <is>
          <t>ED200071</t>
        </is>
      </c>
      <c r="B72" s="56" t="n">
        <v>45295.48125</v>
      </c>
      <c r="C72" t="inlineStr">
        <is>
          <t>Ashby Falls Community Hospital</t>
        </is>
      </c>
      <c r="D72" t="n">
        <v>3</v>
      </c>
    </row>
    <row r="73">
      <c r="A73" t="inlineStr">
        <is>
          <t>ED200072</t>
        </is>
      </c>
      <c r="B73" s="56" t="n">
        <v>45295.52569444444</v>
      </c>
      <c r="C73" t="inlineStr">
        <is>
          <t>Bluestone Memorial Hospital</t>
        </is>
      </c>
      <c r="D73" t="n">
        <v>8</v>
      </c>
    </row>
    <row r="74">
      <c r="A74" t="inlineStr">
        <is>
          <t>ED200073</t>
        </is>
      </c>
      <c r="B74" s="56" t="n">
        <v>45295.54722222222</v>
      </c>
      <c r="C74" t="inlineStr">
        <is>
          <t>Bluestone Memorial Hospital</t>
        </is>
      </c>
      <c r="D74" t="n">
        <v>30</v>
      </c>
    </row>
    <row r="75">
      <c r="A75" t="inlineStr">
        <is>
          <t>ED200074</t>
        </is>
      </c>
      <c r="B75" s="56" t="n">
        <v>45295.56736111111</v>
      </c>
      <c r="C75" t="inlineStr">
        <is>
          <t>Bluestone Memorial Hospital</t>
        </is>
      </c>
      <c r="D75" t="n">
        <v>55</v>
      </c>
    </row>
    <row r="76">
      <c r="A76" t="inlineStr">
        <is>
          <t>ED200075</t>
        </is>
      </c>
      <c r="B76" s="56" t="n">
        <v>45295.62986111111</v>
      </c>
      <c r="C76" t="inlineStr">
        <is>
          <t>Bluestone Memorial Hospital</t>
        </is>
      </c>
      <c r="D76" t="n">
        <v>38</v>
      </c>
    </row>
    <row r="77">
      <c r="A77" t="inlineStr">
        <is>
          <t>ED200076</t>
        </is>
      </c>
      <c r="B77" s="56" t="n">
        <v>45295.62986111111</v>
      </c>
      <c r="C77" t="inlineStr">
        <is>
          <t>Cedar Ridge Medical Center</t>
        </is>
      </c>
      <c r="D77" t="n">
        <v>79</v>
      </c>
    </row>
    <row r="78">
      <c r="A78" t="inlineStr">
        <is>
          <t>ED200077</t>
        </is>
      </c>
      <c r="B78" s="56" t="n">
        <v>45295.63680555556</v>
      </c>
      <c r="C78" t="inlineStr">
        <is>
          <t>Bluestone Memorial Hospital</t>
        </is>
      </c>
      <c r="D78" t="n">
        <v>16</v>
      </c>
    </row>
    <row r="79">
      <c r="A79" t="inlineStr">
        <is>
          <t>ED200078</t>
        </is>
      </c>
      <c r="B79" s="56" t="n">
        <v>45295.65625</v>
      </c>
      <c r="C79" t="inlineStr">
        <is>
          <t>Bluestone Memorial Hospital</t>
        </is>
      </c>
      <c r="D79" t="n">
        <v>108</v>
      </c>
    </row>
    <row r="80">
      <c r="A80" t="inlineStr">
        <is>
          <t>ED200079</t>
        </is>
      </c>
      <c r="B80" s="56" t="n">
        <v>45295.68194444444</v>
      </c>
      <c r="C80" t="inlineStr">
        <is>
          <t>Bluestone Memorial Hospital</t>
        </is>
      </c>
      <c r="D80" t="n">
        <v>100</v>
      </c>
    </row>
    <row r="81">
      <c r="A81" t="inlineStr">
        <is>
          <t>ED200080</t>
        </is>
      </c>
      <c r="B81" s="56" t="n">
        <v>45295.68680555555</v>
      </c>
      <c r="C81" t="inlineStr">
        <is>
          <t>Bluestone Memorial Hospital</t>
        </is>
      </c>
      <c r="D81" t="n">
        <v>29</v>
      </c>
    </row>
    <row r="82">
      <c r="A82" t="inlineStr">
        <is>
          <t>ED200081</t>
        </is>
      </c>
      <c r="B82" s="56" t="n">
        <v>45295.80694444444</v>
      </c>
      <c r="C82" t="inlineStr">
        <is>
          <t>Ashby Falls Community Hospital</t>
        </is>
      </c>
      <c r="D82" t="n">
        <v>48</v>
      </c>
    </row>
    <row r="83">
      <c r="A83" t="inlineStr">
        <is>
          <t>ED200082</t>
        </is>
      </c>
      <c r="B83" s="56" t="n">
        <v>45295.82083333333</v>
      </c>
      <c r="C83" t="inlineStr">
        <is>
          <t>Bluestone Memorial Hospital</t>
        </is>
      </c>
      <c r="D83" t="n">
        <v>59</v>
      </c>
    </row>
    <row r="84">
      <c r="A84" t="inlineStr">
        <is>
          <t>ED200083</t>
        </is>
      </c>
      <c r="B84" s="56" t="n">
        <v>45295.82152777778</v>
      </c>
      <c r="C84" t="inlineStr">
        <is>
          <t>Bluestone Memorial Hospital</t>
        </is>
      </c>
      <c r="D84" t="n">
        <v>38</v>
      </c>
    </row>
    <row r="85">
      <c r="A85" t="inlineStr">
        <is>
          <t>ED200084</t>
        </is>
      </c>
      <c r="B85" s="56" t="n">
        <v>45295.85277777778</v>
      </c>
      <c r="C85" t="inlineStr">
        <is>
          <t>Bluestone Memorial Hospital</t>
        </is>
      </c>
      <c r="D85" t="n">
        <v>19</v>
      </c>
    </row>
    <row r="86">
      <c r="A86" t="inlineStr">
        <is>
          <t>ED200085</t>
        </is>
      </c>
      <c r="B86" s="56" t="n">
        <v>45295.85833333333</v>
      </c>
      <c r="C86" t="inlineStr">
        <is>
          <t>Bluestone Memorial Hospital</t>
        </is>
      </c>
      <c r="D86" t="n">
        <v>22</v>
      </c>
    </row>
    <row r="87">
      <c r="A87" t="inlineStr">
        <is>
          <t>ED200086</t>
        </is>
      </c>
      <c r="B87" s="56" t="n">
        <v>45295.86180555556</v>
      </c>
      <c r="C87" t="inlineStr">
        <is>
          <t>Bluestone Memorial Hospital</t>
        </is>
      </c>
      <c r="D87" t="n">
        <v>70</v>
      </c>
    </row>
    <row r="88">
      <c r="A88" t="inlineStr">
        <is>
          <t>ED200087</t>
        </is>
      </c>
      <c r="B88" s="56" t="n">
        <v>45295.96041666667</v>
      </c>
      <c r="C88" t="inlineStr">
        <is>
          <t>Bluestone Memorial Hospital</t>
        </is>
      </c>
      <c r="D88" t="n">
        <v>14</v>
      </c>
    </row>
    <row r="89">
      <c r="A89" t="inlineStr">
        <is>
          <t>ED200088</t>
        </is>
      </c>
      <c r="B89" s="56" t="n">
        <v>45296.46458333333</v>
      </c>
      <c r="C89" t="inlineStr">
        <is>
          <t>Ashby Falls Community Hospital</t>
        </is>
      </c>
      <c r="D89" t="n">
        <v>39</v>
      </c>
    </row>
    <row r="90">
      <c r="A90" t="inlineStr">
        <is>
          <t>ED200089</t>
        </is>
      </c>
      <c r="B90" s="56" t="n">
        <v>45296.46736111111</v>
      </c>
      <c r="C90" t="inlineStr">
        <is>
          <t>Cedar Ridge Medical Center</t>
        </is>
      </c>
      <c r="D90" t="n">
        <v>66</v>
      </c>
    </row>
    <row r="91">
      <c r="A91" t="inlineStr">
        <is>
          <t>ED200090</t>
        </is>
      </c>
      <c r="B91" s="56" t="n">
        <v>45296.47986111111</v>
      </c>
      <c r="C91" t="inlineStr">
        <is>
          <t>Bluestone Memorial Hospital</t>
        </is>
      </c>
      <c r="D91" t="n">
        <v>30</v>
      </c>
    </row>
    <row r="92">
      <c r="A92" t="inlineStr">
        <is>
          <t>ED200091</t>
        </is>
      </c>
      <c r="B92" s="56" t="n">
        <v>45296.48333333333</v>
      </c>
      <c r="C92" t="inlineStr">
        <is>
          <t>Bluestone Memorial Hospital</t>
        </is>
      </c>
      <c r="D92" t="n">
        <v>129</v>
      </c>
    </row>
    <row r="93">
      <c r="A93" t="inlineStr">
        <is>
          <t>ED200092</t>
        </is>
      </c>
      <c r="B93" s="56" t="n">
        <v>45296.49097222222</v>
      </c>
      <c r="C93" t="inlineStr">
        <is>
          <t>Bluestone Memorial Hospital</t>
        </is>
      </c>
      <c r="D93" t="n">
        <v>16</v>
      </c>
    </row>
    <row r="94">
      <c r="A94" t="inlineStr">
        <is>
          <t>ED200093</t>
        </is>
      </c>
      <c r="B94" s="56" t="n">
        <v>45296.50555555556</v>
      </c>
      <c r="C94" t="inlineStr">
        <is>
          <t>Bluestone Memorial Hospital</t>
        </is>
      </c>
      <c r="D94" t="n">
        <v>24</v>
      </c>
    </row>
    <row r="95">
      <c r="A95" t="inlineStr">
        <is>
          <t>ED200094</t>
        </is>
      </c>
      <c r="B95" s="56" t="n">
        <v>45296.55833333333</v>
      </c>
      <c r="C95" t="inlineStr">
        <is>
          <t>Cedar Ridge Medical Center</t>
        </is>
      </c>
      <c r="D95" t="n">
        <v>62</v>
      </c>
    </row>
    <row r="96">
      <c r="A96" t="inlineStr">
        <is>
          <t>ED200095</t>
        </is>
      </c>
      <c r="B96" s="56" t="n">
        <v>45296.55972222222</v>
      </c>
      <c r="C96" t="inlineStr">
        <is>
          <t>Ashby Falls Community Hospital</t>
        </is>
      </c>
      <c r="D96" t="n">
        <v>80</v>
      </c>
    </row>
    <row r="97">
      <c r="A97" t="inlineStr">
        <is>
          <t>ED200096</t>
        </is>
      </c>
      <c r="B97" s="56" t="n">
        <v>45296.56875</v>
      </c>
      <c r="C97" t="inlineStr">
        <is>
          <t>Bluestone Memorial Hospital</t>
        </is>
      </c>
      <c r="D97" t="n">
        <v>25</v>
      </c>
    </row>
    <row r="98">
      <c r="A98" t="inlineStr">
        <is>
          <t>ED200097</t>
        </is>
      </c>
      <c r="B98" s="56" t="n">
        <v>45296.59097222222</v>
      </c>
      <c r="C98" t="inlineStr">
        <is>
          <t>Bluestone Memorial Hospital</t>
        </is>
      </c>
      <c r="D98" t="n">
        <v>50</v>
      </c>
    </row>
    <row r="99">
      <c r="A99" t="inlineStr">
        <is>
          <t>ED200098</t>
        </is>
      </c>
      <c r="B99" s="56" t="n">
        <v>45296.60069444445</v>
      </c>
      <c r="C99" t="inlineStr">
        <is>
          <t>Bluestone Memorial Hospital</t>
        </is>
      </c>
      <c r="D99" t="n">
        <v>103</v>
      </c>
    </row>
    <row r="100">
      <c r="A100" t="inlineStr">
        <is>
          <t>ED200099</t>
        </is>
      </c>
      <c r="B100" s="56" t="n">
        <v>45296.60486111111</v>
      </c>
      <c r="C100" t="inlineStr">
        <is>
          <t>Bluestone Memorial Hospital</t>
        </is>
      </c>
      <c r="D100" t="n">
        <v>61</v>
      </c>
    </row>
    <row r="101">
      <c r="A101" t="inlineStr">
        <is>
          <t>ED200100</t>
        </is>
      </c>
      <c r="B101" s="56" t="n">
        <v>45296.63472222222</v>
      </c>
      <c r="C101" t="inlineStr">
        <is>
          <t>Bluestone Memorial Hospital</t>
        </is>
      </c>
      <c r="D101" t="n">
        <v>57</v>
      </c>
    </row>
    <row r="102">
      <c r="A102" t="inlineStr">
        <is>
          <t>ED200101</t>
        </is>
      </c>
      <c r="B102" s="56" t="n">
        <v>45296.72291666667</v>
      </c>
      <c r="C102" t="inlineStr">
        <is>
          <t>Bluestone Memorial Hospital</t>
        </is>
      </c>
      <c r="D102" t="n">
        <v>133</v>
      </c>
    </row>
    <row r="103">
      <c r="A103" t="inlineStr">
        <is>
          <t>ED200102</t>
        </is>
      </c>
      <c r="B103" s="56" t="n">
        <v>45296.74305555555</v>
      </c>
      <c r="C103" t="inlineStr">
        <is>
          <t>Ashby Falls Community Hospital</t>
        </is>
      </c>
      <c r="D103" t="n">
        <v>101</v>
      </c>
    </row>
    <row r="104">
      <c r="A104" t="inlineStr">
        <is>
          <t>ED200103</t>
        </is>
      </c>
      <c r="B104" s="56" t="n">
        <v>45296.75833333333</v>
      </c>
      <c r="C104" t="inlineStr">
        <is>
          <t>Ashby Falls Community Hospital</t>
        </is>
      </c>
      <c r="D104" t="n">
        <v>45</v>
      </c>
    </row>
    <row r="105">
      <c r="A105" t="inlineStr">
        <is>
          <t>ED200104</t>
        </is>
      </c>
      <c r="B105" s="56" t="n">
        <v>45296.76944444444</v>
      </c>
      <c r="C105" t="inlineStr">
        <is>
          <t>Cedar Ridge Medical Center</t>
        </is>
      </c>
      <c r="D105" t="n">
        <v>54</v>
      </c>
    </row>
    <row r="106">
      <c r="A106" t="inlineStr">
        <is>
          <t>ED200105</t>
        </is>
      </c>
      <c r="B106" s="56" t="n">
        <v>45296.78888888889</v>
      </c>
      <c r="C106" t="inlineStr">
        <is>
          <t>Bluestone Memorial Hospital</t>
        </is>
      </c>
      <c r="D106" t="n">
        <v>69</v>
      </c>
    </row>
    <row r="107">
      <c r="A107" t="inlineStr">
        <is>
          <t>ED200106</t>
        </is>
      </c>
      <c r="B107" s="56" t="n">
        <v>45296.79305555556</v>
      </c>
      <c r="C107" t="inlineStr">
        <is>
          <t>Cedar Ridge Medical Center</t>
        </is>
      </c>
      <c r="D107" t="n">
        <v>29</v>
      </c>
    </row>
    <row r="108">
      <c r="A108" t="inlineStr">
        <is>
          <t>ED200107</t>
        </is>
      </c>
      <c r="B108" s="56" t="n">
        <v>45296.81041666667</v>
      </c>
      <c r="C108" t="inlineStr">
        <is>
          <t>Cedar Ridge Medical Center</t>
        </is>
      </c>
      <c r="D108" t="n">
        <v>50</v>
      </c>
    </row>
    <row r="109">
      <c r="A109" t="inlineStr">
        <is>
          <t>ED200108</t>
        </is>
      </c>
      <c r="B109" s="56" t="n">
        <v>45296.83541666667</v>
      </c>
      <c r="C109" t="inlineStr">
        <is>
          <t>Ashby Falls Community Hospital</t>
        </is>
      </c>
      <c r="D109" t="n">
        <v>70</v>
      </c>
    </row>
    <row r="110">
      <c r="A110" t="inlineStr">
        <is>
          <t>ED200109</t>
        </is>
      </c>
      <c r="B110" s="56" t="n">
        <v>45296.84097222222</v>
      </c>
      <c r="C110" t="inlineStr">
        <is>
          <t>Cedar Ridge Medical Center</t>
        </is>
      </c>
      <c r="D110" t="n">
        <v>32</v>
      </c>
    </row>
    <row r="111">
      <c r="A111" t="inlineStr">
        <is>
          <t>ED200110</t>
        </is>
      </c>
      <c r="B111" s="56" t="n">
        <v>45296.95</v>
      </c>
      <c r="C111" t="inlineStr">
        <is>
          <t>Ashby Falls Community Hospital</t>
        </is>
      </c>
      <c r="D111" t="n">
        <v>50</v>
      </c>
    </row>
    <row r="112">
      <c r="A112" t="inlineStr">
        <is>
          <t>ED200111</t>
        </is>
      </c>
      <c r="B112" s="56" t="n">
        <v>45297.02708333333</v>
      </c>
      <c r="C112" t="inlineStr">
        <is>
          <t>Bluestone Memorial Hospital</t>
        </is>
      </c>
      <c r="D112" t="n">
        <v>32</v>
      </c>
    </row>
    <row r="113">
      <c r="A113" t="inlineStr">
        <is>
          <t>ED200112</t>
        </is>
      </c>
      <c r="B113" s="56" t="n">
        <v>45297.37986111111</v>
      </c>
      <c r="C113" t="inlineStr">
        <is>
          <t>Bluestone Memorial Hospital</t>
        </is>
      </c>
      <c r="D113" t="n">
        <v>61</v>
      </c>
    </row>
    <row r="114">
      <c r="A114" t="inlineStr">
        <is>
          <t>ED200113</t>
        </is>
      </c>
      <c r="B114" s="56" t="n">
        <v>45297.38055555556</v>
      </c>
      <c r="C114" t="inlineStr">
        <is>
          <t>Bluestone Memorial Hospital</t>
        </is>
      </c>
      <c r="D114" t="n">
        <v>26</v>
      </c>
    </row>
    <row r="115">
      <c r="A115" t="inlineStr">
        <is>
          <t>ED200114</t>
        </is>
      </c>
      <c r="B115" s="56" t="n">
        <v>45297.38263888889</v>
      </c>
      <c r="C115" t="inlineStr">
        <is>
          <t>Bluestone Memorial Hospital</t>
        </is>
      </c>
      <c r="D115" t="n">
        <v>14</v>
      </c>
    </row>
    <row r="116">
      <c r="A116" t="inlineStr">
        <is>
          <t>ED200115</t>
        </is>
      </c>
      <c r="B116" s="56" t="n">
        <v>45297.39236111111</v>
      </c>
      <c r="C116" t="inlineStr">
        <is>
          <t>Ashby Falls Community Hospital</t>
        </is>
      </c>
      <c r="D116" t="n">
        <v>18</v>
      </c>
    </row>
    <row r="117">
      <c r="A117" t="inlineStr">
        <is>
          <t>ED200116</t>
        </is>
      </c>
      <c r="B117" s="56" t="n">
        <v>45297.46458333333</v>
      </c>
      <c r="C117" t="inlineStr">
        <is>
          <t>Bluestone Memorial Hospital</t>
        </is>
      </c>
      <c r="D117" t="n">
        <v>10</v>
      </c>
    </row>
    <row r="118">
      <c r="A118" t="inlineStr">
        <is>
          <t>ED200117</t>
        </is>
      </c>
      <c r="B118" s="56" t="n">
        <v>45297.5</v>
      </c>
      <c r="C118" t="inlineStr">
        <is>
          <t>Bluestone Memorial Hospital</t>
        </is>
      </c>
      <c r="D118" t="n">
        <v>43</v>
      </c>
    </row>
    <row r="119">
      <c r="A119" t="inlineStr">
        <is>
          <t>ED200119</t>
        </is>
      </c>
      <c r="B119" s="56" t="n">
        <v>45297.52152777778</v>
      </c>
      <c r="C119" t="inlineStr">
        <is>
          <t>Bluestone Memorial Hospital</t>
        </is>
      </c>
      <c r="D119" t="n">
        <v>57</v>
      </c>
    </row>
    <row r="120">
      <c r="A120" t="inlineStr">
        <is>
          <t>ED200120</t>
        </is>
      </c>
      <c r="B120" s="56" t="n">
        <v>45297.5375</v>
      </c>
      <c r="C120" t="inlineStr">
        <is>
          <t>Bluestone Memorial Hospital</t>
        </is>
      </c>
      <c r="D120" t="n">
        <v>47</v>
      </c>
    </row>
    <row r="121">
      <c r="A121" t="inlineStr">
        <is>
          <t>ED200121</t>
        </is>
      </c>
      <c r="B121" s="56" t="n">
        <v>45297.62569444445</v>
      </c>
      <c r="C121" t="inlineStr">
        <is>
          <t>Bluestone Memorial Hospital</t>
        </is>
      </c>
      <c r="D121" t="n">
        <v>47</v>
      </c>
    </row>
    <row r="122">
      <c r="A122" t="inlineStr">
        <is>
          <t>ED200122</t>
        </is>
      </c>
      <c r="B122" s="56" t="n">
        <v>45297.62847222222</v>
      </c>
      <c r="C122" t="inlineStr">
        <is>
          <t>Cedar Ridge Medical Center</t>
        </is>
      </c>
      <c r="D122" t="n">
        <v>30</v>
      </c>
    </row>
    <row r="123">
      <c r="A123" t="inlineStr">
        <is>
          <t>ED200123</t>
        </is>
      </c>
      <c r="B123" s="56" t="n">
        <v>45297.65</v>
      </c>
      <c r="C123" t="inlineStr">
        <is>
          <t>Bluestone Memorial Hospital</t>
        </is>
      </c>
      <c r="D123" t="n">
        <v>27</v>
      </c>
    </row>
    <row r="124">
      <c r="A124" t="inlineStr">
        <is>
          <t>ED200124</t>
        </is>
      </c>
      <c r="B124" s="56" t="n">
        <v>45297.65763888889</v>
      </c>
      <c r="C124" t="inlineStr">
        <is>
          <t>Bluestone Memorial Hospital</t>
        </is>
      </c>
      <c r="D124" t="n">
        <v>104</v>
      </c>
    </row>
    <row r="125">
      <c r="A125" t="inlineStr">
        <is>
          <t>ED200125</t>
        </is>
      </c>
      <c r="B125" s="56" t="n">
        <v>45297.70277777778</v>
      </c>
      <c r="C125" t="inlineStr">
        <is>
          <t>Bluestone Memorial Hospital</t>
        </is>
      </c>
      <c r="D125" t="n">
        <v>3</v>
      </c>
    </row>
    <row r="126">
      <c r="A126" t="inlineStr">
        <is>
          <t>ED200126</t>
        </is>
      </c>
      <c r="B126" s="56" t="n">
        <v>45297.71180555555</v>
      </c>
      <c r="C126" t="inlineStr">
        <is>
          <t>Bluestone Memorial Hospital</t>
        </is>
      </c>
      <c r="D126" t="n">
        <v>24</v>
      </c>
    </row>
    <row r="127">
      <c r="A127" t="inlineStr">
        <is>
          <t>ED200127</t>
        </is>
      </c>
      <c r="B127" s="56" t="n">
        <v>45297.84861111111</v>
      </c>
      <c r="C127" t="inlineStr">
        <is>
          <t>Bluestone Memorial Hospital</t>
        </is>
      </c>
      <c r="D127" t="n">
        <v>44</v>
      </c>
    </row>
    <row r="128">
      <c r="A128" t="inlineStr">
        <is>
          <t>ED200128</t>
        </is>
      </c>
      <c r="B128" s="56" t="n">
        <v>45297.94097222222</v>
      </c>
      <c r="C128" t="inlineStr">
        <is>
          <t>Ashby Falls Community Hospital</t>
        </is>
      </c>
      <c r="D128" t="n">
        <v>70</v>
      </c>
    </row>
    <row r="129">
      <c r="A129" t="inlineStr">
        <is>
          <t>ED200129</t>
        </is>
      </c>
      <c r="B129" s="56" t="n">
        <v>45298.05138888889</v>
      </c>
      <c r="C129" t="inlineStr">
        <is>
          <t>Ashby Falls Community Hospital</t>
        </is>
      </c>
      <c r="D129" t="n">
        <v>34</v>
      </c>
    </row>
    <row r="130">
      <c r="A130" t="inlineStr">
        <is>
          <t>ED200130</t>
        </is>
      </c>
      <c r="B130" s="56" t="n">
        <v>45298.07986111111</v>
      </c>
      <c r="C130" t="inlineStr">
        <is>
          <t>Bluestone Memorial Hospital</t>
        </is>
      </c>
      <c r="D130" t="n">
        <v>15</v>
      </c>
    </row>
    <row r="131">
      <c r="A131" t="inlineStr">
        <is>
          <t>ED200131</t>
        </is>
      </c>
      <c r="B131" s="56" t="n">
        <v>45298.14305555556</v>
      </c>
      <c r="C131" t="inlineStr">
        <is>
          <t>Bluestone Memorial Hospital</t>
        </is>
      </c>
      <c r="D131" t="n">
        <v>31</v>
      </c>
    </row>
    <row r="132">
      <c r="A132" t="inlineStr">
        <is>
          <t>ED200132</t>
        </is>
      </c>
      <c r="B132" s="56" t="n">
        <v>45298.43402777778</v>
      </c>
      <c r="C132" t="inlineStr">
        <is>
          <t>Ashby Falls Community Hospital</t>
        </is>
      </c>
      <c r="D132" t="n">
        <v>58</v>
      </c>
    </row>
    <row r="133">
      <c r="A133" t="inlineStr">
        <is>
          <t>ED200133</t>
        </is>
      </c>
      <c r="B133" s="56" t="n">
        <v>45298.48680555556</v>
      </c>
      <c r="C133" t="inlineStr">
        <is>
          <t>Cedar Ridge Medical Center</t>
        </is>
      </c>
      <c r="D133" t="n">
        <v>3</v>
      </c>
    </row>
    <row r="134">
      <c r="A134" t="inlineStr">
        <is>
          <t>ED200134</t>
        </is>
      </c>
      <c r="B134" s="56" t="n">
        <v>45298.51875</v>
      </c>
      <c r="C134" t="inlineStr">
        <is>
          <t>Bluestone Memorial Hospital</t>
        </is>
      </c>
      <c r="D134" t="n">
        <v>54</v>
      </c>
    </row>
    <row r="135">
      <c r="A135" t="inlineStr">
        <is>
          <t>ED200135</t>
        </is>
      </c>
      <c r="B135" s="56" t="n">
        <v>45298.54305555556</v>
      </c>
      <c r="C135" t="inlineStr">
        <is>
          <t>Bluestone Memorial Hospital</t>
        </is>
      </c>
      <c r="D135" t="n">
        <v>153</v>
      </c>
    </row>
    <row r="136">
      <c r="A136" t="inlineStr">
        <is>
          <t>ED200136</t>
        </is>
      </c>
      <c r="B136" s="56" t="n">
        <v>45298.58958333333</v>
      </c>
      <c r="C136" t="inlineStr">
        <is>
          <t>Bluestone Memorial Hospital</t>
        </is>
      </c>
      <c r="D136" t="n">
        <v>47</v>
      </c>
    </row>
    <row r="137">
      <c r="A137" t="inlineStr">
        <is>
          <t>ED200137</t>
        </is>
      </c>
      <c r="B137" s="56" t="n">
        <v>45298.68125</v>
      </c>
      <c r="C137" t="inlineStr">
        <is>
          <t>Bluestone Memorial Hospital</t>
        </is>
      </c>
      <c r="D137" t="n">
        <v>9</v>
      </c>
    </row>
    <row r="138">
      <c r="A138" t="inlineStr">
        <is>
          <t>ED200138</t>
        </is>
      </c>
      <c r="B138" s="56" t="n">
        <v>45298.74305555555</v>
      </c>
      <c r="C138" t="inlineStr">
        <is>
          <t>Ashby Falls Community Hospital</t>
        </is>
      </c>
      <c r="D138" t="n">
        <v>90</v>
      </c>
    </row>
    <row r="139">
      <c r="A139" t="inlineStr">
        <is>
          <t>ED200139</t>
        </is>
      </c>
      <c r="B139" s="56" t="n">
        <v>45298.79027777778</v>
      </c>
      <c r="C139" t="inlineStr">
        <is>
          <t>Bluestone Memorial Hospital</t>
        </is>
      </c>
      <c r="D139" t="n">
        <v>110</v>
      </c>
    </row>
    <row r="140">
      <c r="A140" t="inlineStr">
        <is>
          <t>ED200140</t>
        </is>
      </c>
      <c r="B140" s="56" t="n">
        <v>45298.79930555556</v>
      </c>
      <c r="C140" t="inlineStr">
        <is>
          <t>Ashby Falls Community Hospital</t>
        </is>
      </c>
      <c r="D140" t="n">
        <v>27</v>
      </c>
    </row>
    <row r="141">
      <c r="A141" t="inlineStr">
        <is>
          <t>ED200141</t>
        </is>
      </c>
      <c r="B141" s="56" t="n">
        <v>45298.81319444445</v>
      </c>
      <c r="C141" t="inlineStr">
        <is>
          <t>Bluestone Memorial Hospital</t>
        </is>
      </c>
      <c r="D141" t="n">
        <v>23</v>
      </c>
    </row>
    <row r="142">
      <c r="A142" t="inlineStr">
        <is>
          <t>ED200142</t>
        </is>
      </c>
      <c r="B142" s="56" t="n">
        <v>45298.82291666666</v>
      </c>
      <c r="C142" t="inlineStr">
        <is>
          <t>Bluestone Memorial Hospital</t>
        </is>
      </c>
      <c r="D142" t="n">
        <v>21</v>
      </c>
    </row>
    <row r="143">
      <c r="A143" t="inlineStr">
        <is>
          <t>ED200143</t>
        </is>
      </c>
      <c r="B143" s="56" t="n">
        <v>45298.8875</v>
      </c>
      <c r="C143" t="inlineStr">
        <is>
          <t>Bluestone Memorial Hospital</t>
        </is>
      </c>
      <c r="D143" t="n">
        <v>1</v>
      </c>
    </row>
    <row r="144">
      <c r="A144" t="inlineStr">
        <is>
          <t>ED200144</t>
        </is>
      </c>
      <c r="B144" s="56" t="n">
        <v>45298.93402777778</v>
      </c>
      <c r="C144" t="inlineStr">
        <is>
          <t>Bluestone Memorial Hospital</t>
        </is>
      </c>
      <c r="D144" t="n">
        <v>35</v>
      </c>
    </row>
    <row r="145">
      <c r="A145" t="inlineStr">
        <is>
          <t>ED200145</t>
        </is>
      </c>
      <c r="B145" s="56" t="n">
        <v>45298.95208333333</v>
      </c>
      <c r="C145" t="inlineStr">
        <is>
          <t>Bluestone Memorial Hospital</t>
        </is>
      </c>
      <c r="D145" t="n">
        <v>16</v>
      </c>
    </row>
    <row r="146">
      <c r="A146" t="inlineStr">
        <is>
          <t>ED200146</t>
        </is>
      </c>
      <c r="B146" s="56" t="n">
        <v>45298.97847222222</v>
      </c>
      <c r="C146" t="inlineStr">
        <is>
          <t>Bluestone Memorial Hospital</t>
        </is>
      </c>
      <c r="D146" t="n">
        <v>12</v>
      </c>
    </row>
    <row r="147">
      <c r="A147" t="inlineStr">
        <is>
          <t>ED200147</t>
        </is>
      </c>
      <c r="B147" s="56" t="n">
        <v>45298.97916666666</v>
      </c>
      <c r="C147" t="inlineStr">
        <is>
          <t>Ashby Falls Community Hospital</t>
        </is>
      </c>
      <c r="D147" t="n">
        <v>46</v>
      </c>
    </row>
    <row r="148">
      <c r="A148" t="inlineStr">
        <is>
          <t>ED200148</t>
        </is>
      </c>
      <c r="B148" s="56" t="n">
        <v>45299</v>
      </c>
      <c r="C148" t="inlineStr">
        <is>
          <t>Bluestone Memorial Hospital</t>
        </is>
      </c>
      <c r="D148" t="n">
        <v>82</v>
      </c>
    </row>
    <row r="149">
      <c r="A149" t="inlineStr">
        <is>
          <t>ED200149</t>
        </is>
      </c>
      <c r="B149" s="56" t="n">
        <v>45299.17291666667</v>
      </c>
      <c r="C149" t="inlineStr">
        <is>
          <t>Bluestone Memorial Hospital</t>
        </is>
      </c>
      <c r="D149" t="n">
        <v>12</v>
      </c>
    </row>
    <row r="150">
      <c r="A150" t="inlineStr">
        <is>
          <t>ED200150</t>
        </is>
      </c>
      <c r="B150" s="56" t="n">
        <v>45299.175</v>
      </c>
      <c r="C150" t="inlineStr">
        <is>
          <t>Bluestone Memorial Hospital</t>
        </is>
      </c>
      <c r="D150" t="n">
        <v>12</v>
      </c>
    </row>
    <row r="151">
      <c r="A151" t="inlineStr">
        <is>
          <t>ED200151</t>
        </is>
      </c>
      <c r="B151" s="56" t="n">
        <v>45299.18472222222</v>
      </c>
      <c r="C151" t="inlineStr">
        <is>
          <t>Bluestone Memorial Hospital</t>
        </is>
      </c>
      <c r="D151" t="n">
        <v>16</v>
      </c>
    </row>
    <row r="152">
      <c r="A152" t="inlineStr">
        <is>
          <t>ED200152</t>
        </is>
      </c>
      <c r="B152" s="56" t="n">
        <v>45299.35902777778</v>
      </c>
      <c r="C152" t="inlineStr">
        <is>
          <t>Cedar Ridge Medical Center</t>
        </is>
      </c>
      <c r="D152" t="n">
        <v>62</v>
      </c>
    </row>
    <row r="153">
      <c r="A153" t="inlineStr">
        <is>
          <t>ED200153</t>
        </is>
      </c>
      <c r="B153" s="56" t="n">
        <v>45299.40208333333</v>
      </c>
      <c r="C153" t="inlineStr">
        <is>
          <t>Bluestone Memorial Hospital</t>
        </is>
      </c>
      <c r="D153" t="n">
        <v>54</v>
      </c>
    </row>
    <row r="154">
      <c r="A154" t="inlineStr">
        <is>
          <t>ED200154</t>
        </is>
      </c>
      <c r="B154" s="56" t="n">
        <v>45299.40902777778</v>
      </c>
      <c r="C154" t="inlineStr">
        <is>
          <t>Bluestone Memorial Hospital</t>
        </is>
      </c>
      <c r="D154" t="n">
        <v>43</v>
      </c>
    </row>
    <row r="155">
      <c r="A155" t="inlineStr">
        <is>
          <t>ED200155</t>
        </is>
      </c>
      <c r="B155" s="56" t="n">
        <v>45299.43611111111</v>
      </c>
      <c r="C155" t="inlineStr">
        <is>
          <t>Bluestone Memorial Hospital</t>
        </is>
      </c>
      <c r="D155" t="n">
        <v>24</v>
      </c>
    </row>
    <row r="156">
      <c r="A156" t="inlineStr">
        <is>
          <t>ED200156</t>
        </is>
      </c>
      <c r="B156" s="56" t="n">
        <v>45299.45416666667</v>
      </c>
      <c r="C156" t="inlineStr">
        <is>
          <t>Bluestone Memorial Hospital</t>
        </is>
      </c>
      <c r="D156" t="n">
        <v>18</v>
      </c>
    </row>
    <row r="157">
      <c r="A157" t="inlineStr">
        <is>
          <t>ED200157</t>
        </is>
      </c>
      <c r="B157" s="56" t="n">
        <v>45299.48819444444</v>
      </c>
      <c r="C157" t="inlineStr">
        <is>
          <t>Bluestone Memorial Hospital</t>
        </is>
      </c>
      <c r="D157" t="n">
        <v>49</v>
      </c>
    </row>
    <row r="158">
      <c r="A158" t="inlineStr">
        <is>
          <t>ED200158</t>
        </is>
      </c>
      <c r="B158" s="56" t="n">
        <v>45299.51458333333</v>
      </c>
      <c r="C158" t="inlineStr">
        <is>
          <t>Ashby Falls Community Hospital</t>
        </is>
      </c>
      <c r="D158" t="n">
        <v>129</v>
      </c>
    </row>
    <row r="159">
      <c r="A159" t="inlineStr">
        <is>
          <t>ED200159</t>
        </is>
      </c>
      <c r="B159" s="56" t="n">
        <v>45299.51736111111</v>
      </c>
      <c r="C159" t="inlineStr">
        <is>
          <t>Ashby Falls Community Hospital</t>
        </is>
      </c>
      <c r="D159" t="n">
        <v>33</v>
      </c>
    </row>
    <row r="160">
      <c r="A160" t="inlineStr">
        <is>
          <t>ED200160</t>
        </is>
      </c>
      <c r="B160" s="56" t="n">
        <v>45299.51875</v>
      </c>
      <c r="C160" t="inlineStr">
        <is>
          <t>Bluestone Memorial Hospital</t>
        </is>
      </c>
      <c r="D160" t="n">
        <v>50</v>
      </c>
    </row>
    <row r="161">
      <c r="A161" t="inlineStr">
        <is>
          <t>ED200161</t>
        </is>
      </c>
      <c r="B161" s="56" t="n">
        <v>45299.55972222222</v>
      </c>
      <c r="C161" t="inlineStr">
        <is>
          <t>Bluestone Memorial Hospital</t>
        </is>
      </c>
      <c r="D161" t="n">
        <v>15</v>
      </c>
    </row>
    <row r="162">
      <c r="A162" t="inlineStr">
        <is>
          <t>ED200162</t>
        </is>
      </c>
      <c r="B162" s="56" t="n">
        <v>45299.56597222222</v>
      </c>
      <c r="C162" t="inlineStr">
        <is>
          <t>Bluestone Memorial Hospital</t>
        </is>
      </c>
      <c r="D162" t="n">
        <v>76</v>
      </c>
    </row>
    <row r="163">
      <c r="A163" t="inlineStr">
        <is>
          <t>ED200164</t>
        </is>
      </c>
      <c r="B163" s="56" t="n">
        <v>45299.75347222222</v>
      </c>
      <c r="C163" t="inlineStr">
        <is>
          <t>Bluestone Memorial Hospital</t>
        </is>
      </c>
      <c r="D163" t="n">
        <v>80</v>
      </c>
    </row>
    <row r="164">
      <c r="A164" t="inlineStr">
        <is>
          <t>ED200165</t>
        </is>
      </c>
      <c r="B164" s="56" t="n">
        <v>45299.82777777778</v>
      </c>
      <c r="C164" t="inlineStr">
        <is>
          <t>Bluestone Memorial Hospital</t>
        </is>
      </c>
      <c r="D164" t="n">
        <v>65</v>
      </c>
    </row>
    <row r="165">
      <c r="A165" t="inlineStr">
        <is>
          <t>ED200166</t>
        </is>
      </c>
      <c r="B165" s="56" t="n">
        <v>45299.90555555555</v>
      </c>
      <c r="C165" t="inlineStr">
        <is>
          <t>Ashby Falls Community Hospital</t>
        </is>
      </c>
      <c r="D165" t="n">
        <v>62</v>
      </c>
    </row>
    <row r="166">
      <c r="A166" t="inlineStr">
        <is>
          <t>ED200167</t>
        </is>
      </c>
      <c r="B166" s="56" t="n">
        <v>45299.94444444445</v>
      </c>
      <c r="C166" t="inlineStr">
        <is>
          <t>Bluestone Memorial Hospital</t>
        </is>
      </c>
      <c r="D166" t="n">
        <v>83</v>
      </c>
    </row>
    <row r="167">
      <c r="A167" t="inlineStr">
        <is>
          <t>ED200169</t>
        </is>
      </c>
      <c r="B167" s="56" t="n">
        <v>45299.96319444444</v>
      </c>
      <c r="C167" t="inlineStr">
        <is>
          <t>Cedar Ridge Medical Center</t>
        </is>
      </c>
      <c r="D167" t="n">
        <v>22</v>
      </c>
    </row>
    <row r="168">
      <c r="A168" t="inlineStr">
        <is>
          <t>ED200170</t>
        </is>
      </c>
      <c r="B168" s="56" t="n">
        <v>45299.99583333333</v>
      </c>
      <c r="C168" t="inlineStr">
        <is>
          <t>Ashby Falls Community Hospital</t>
        </is>
      </c>
      <c r="D168" t="n">
        <v>98</v>
      </c>
    </row>
    <row r="169">
      <c r="A169" t="inlineStr">
        <is>
          <t>ED200171</t>
        </is>
      </c>
      <c r="B169" s="56" t="n">
        <v>45300.41527777778</v>
      </c>
      <c r="C169" t="inlineStr">
        <is>
          <t>Ashby Falls Community Hospital</t>
        </is>
      </c>
      <c r="D169" t="n">
        <v>19</v>
      </c>
    </row>
    <row r="170">
      <c r="A170" t="inlineStr">
        <is>
          <t>ED200172</t>
        </is>
      </c>
      <c r="B170" s="56" t="n">
        <v>45300.42291666667</v>
      </c>
      <c r="C170" t="inlineStr">
        <is>
          <t>Ashby Falls Community Hospital</t>
        </is>
      </c>
      <c r="D170" t="n">
        <v>65</v>
      </c>
    </row>
    <row r="171">
      <c r="A171" t="inlineStr">
        <is>
          <t>ED200173</t>
        </is>
      </c>
      <c r="B171" s="56" t="n">
        <v>45300.53888888889</v>
      </c>
      <c r="C171" t="inlineStr">
        <is>
          <t>Bluestone Memorial Hospital</t>
        </is>
      </c>
      <c r="D171" t="n">
        <v>70</v>
      </c>
    </row>
    <row r="172">
      <c r="A172" t="inlineStr">
        <is>
          <t>ED200174</t>
        </is>
      </c>
      <c r="B172" s="56" t="n">
        <v>45300.60208333333</v>
      </c>
      <c r="C172" t="inlineStr">
        <is>
          <t>Bluestone Memorial Hospital</t>
        </is>
      </c>
      <c r="D172" t="n">
        <v>42</v>
      </c>
    </row>
    <row r="173">
      <c r="A173" t="inlineStr">
        <is>
          <t>ED200175</t>
        </is>
      </c>
      <c r="B173" s="56" t="n">
        <v>45300.64583333334</v>
      </c>
      <c r="C173" t="inlineStr">
        <is>
          <t>Cedar Ridge Medical Center</t>
        </is>
      </c>
      <c r="D173" t="n">
        <v>80</v>
      </c>
    </row>
    <row r="174">
      <c r="A174" t="inlineStr">
        <is>
          <t>ED200177</t>
        </is>
      </c>
      <c r="B174" s="56" t="n">
        <v>45300.675</v>
      </c>
      <c r="C174" t="inlineStr">
        <is>
          <t>Bluestone Memorial Hospital</t>
        </is>
      </c>
      <c r="D174" t="n">
        <v>5</v>
      </c>
    </row>
    <row r="175">
      <c r="A175" t="inlineStr">
        <is>
          <t>ED200178</t>
        </is>
      </c>
      <c r="B175" s="56" t="n">
        <v>45300.68611111111</v>
      </c>
      <c r="C175" t="inlineStr">
        <is>
          <t>Bluestone Memorial Hospital</t>
        </is>
      </c>
      <c r="D175" t="n">
        <v>18</v>
      </c>
    </row>
    <row r="176">
      <c r="A176" t="inlineStr">
        <is>
          <t>ED200179</t>
        </is>
      </c>
      <c r="B176" s="56" t="n">
        <v>45300.72083333333</v>
      </c>
      <c r="C176" t="inlineStr">
        <is>
          <t>Ashby Falls Community Hospital</t>
        </is>
      </c>
      <c r="D176" t="n">
        <v>81</v>
      </c>
    </row>
    <row r="177">
      <c r="A177" t="inlineStr">
        <is>
          <t>ED200180</t>
        </is>
      </c>
      <c r="B177" s="56" t="n">
        <v>45300.76944444444</v>
      </c>
      <c r="C177" t="inlineStr">
        <is>
          <t>Bluestone Memorial Hospital</t>
        </is>
      </c>
      <c r="D177" t="n">
        <v>83</v>
      </c>
    </row>
    <row r="178">
      <c r="A178" t="inlineStr">
        <is>
          <t>ED200181</t>
        </is>
      </c>
      <c r="B178" s="56" t="n">
        <v>45300.79444444444</v>
      </c>
      <c r="C178" t="inlineStr">
        <is>
          <t>Bluestone Memorial Hospital</t>
        </is>
      </c>
      <c r="D178" t="n">
        <v>12</v>
      </c>
    </row>
    <row r="179">
      <c r="A179" t="inlineStr">
        <is>
          <t>ED200182</t>
        </is>
      </c>
      <c r="B179" s="56" t="n">
        <v>45300.82083333333</v>
      </c>
      <c r="C179" t="inlineStr">
        <is>
          <t>Bluestone Memorial Hospital</t>
        </is>
      </c>
      <c r="D179" t="n">
        <v>46</v>
      </c>
    </row>
    <row r="180">
      <c r="A180" t="inlineStr">
        <is>
          <t>ED200183</t>
        </is>
      </c>
      <c r="B180" s="56" t="n">
        <v>45300.88958333333</v>
      </c>
      <c r="C180" t="inlineStr">
        <is>
          <t>Bluestone Memorial Hospital</t>
        </is>
      </c>
      <c r="D180" t="n">
        <v>31</v>
      </c>
    </row>
    <row r="181">
      <c r="A181" t="inlineStr">
        <is>
          <t>ED200184</t>
        </is>
      </c>
      <c r="B181" s="56" t="n">
        <v>45300.91041666667</v>
      </c>
      <c r="C181" t="inlineStr">
        <is>
          <t>Ashby Falls Community Hospital</t>
        </is>
      </c>
      <c r="D181" t="n">
        <v>7</v>
      </c>
    </row>
    <row r="182">
      <c r="A182" t="inlineStr">
        <is>
          <t>ED200185</t>
        </is>
      </c>
      <c r="B182" s="56" t="n">
        <v>45300.96527777778</v>
      </c>
      <c r="C182" t="inlineStr">
        <is>
          <t>Bluestone Memorial Hospital</t>
        </is>
      </c>
      <c r="D182" t="n">
        <v>58</v>
      </c>
    </row>
    <row r="183">
      <c r="A183" t="inlineStr">
        <is>
          <t>ED200186</t>
        </is>
      </c>
      <c r="B183" s="56" t="n">
        <v>45301.02569444444</v>
      </c>
      <c r="C183" t="inlineStr">
        <is>
          <t>Bluestone Memorial Hospital</t>
        </is>
      </c>
      <c r="D183" t="n">
        <v>30</v>
      </c>
    </row>
    <row r="184">
      <c r="A184" t="inlineStr">
        <is>
          <t>ED200187</t>
        </is>
      </c>
      <c r="B184" s="56" t="n">
        <v>45301.19930555556</v>
      </c>
      <c r="C184" t="inlineStr">
        <is>
          <t>Bluestone Memorial Hospital</t>
        </is>
      </c>
      <c r="D184" t="n">
        <v>26</v>
      </c>
    </row>
    <row r="185">
      <c r="A185" t="inlineStr">
        <is>
          <t>ED200188</t>
        </is>
      </c>
      <c r="B185" s="56" t="n">
        <v>45301.40069444444</v>
      </c>
      <c r="C185" t="inlineStr">
        <is>
          <t>Cedar Ridge Medical Center</t>
        </is>
      </c>
      <c r="D185" t="n">
        <v>33</v>
      </c>
    </row>
    <row r="186">
      <c r="A186" t="inlineStr">
        <is>
          <t>ED200189</t>
        </is>
      </c>
      <c r="B186" s="56" t="n">
        <v>45301.44513888889</v>
      </c>
      <c r="C186" t="inlineStr">
        <is>
          <t>Bluestone Memorial Hospital</t>
        </is>
      </c>
      <c r="D186" t="n">
        <v>52</v>
      </c>
    </row>
    <row r="187">
      <c r="A187" t="inlineStr">
        <is>
          <t>ED200190</t>
        </is>
      </c>
      <c r="B187" s="56" t="n">
        <v>45301.57291666666</v>
      </c>
      <c r="C187" t="inlineStr">
        <is>
          <t>Ashby Falls Community Hospital</t>
        </is>
      </c>
      <c r="D187" t="n">
        <v>56</v>
      </c>
    </row>
    <row r="188">
      <c r="A188" t="inlineStr">
        <is>
          <t>ED200191</t>
        </is>
      </c>
      <c r="B188" s="56" t="n">
        <v>45301.58819444444</v>
      </c>
      <c r="C188" t="inlineStr">
        <is>
          <t>Bluestone Memorial Hospital</t>
        </is>
      </c>
      <c r="D188" t="n">
        <v>11</v>
      </c>
    </row>
    <row r="189">
      <c r="A189" t="inlineStr">
        <is>
          <t>ED200192</t>
        </is>
      </c>
      <c r="B189" s="56" t="n">
        <v>45301.59722222222</v>
      </c>
      <c r="C189" t="inlineStr">
        <is>
          <t>Ashby Falls Community Hospital</t>
        </is>
      </c>
      <c r="D189" t="n">
        <v>98</v>
      </c>
    </row>
    <row r="190">
      <c r="A190" t="inlineStr">
        <is>
          <t>ED200193</t>
        </is>
      </c>
      <c r="B190" s="56" t="n">
        <v>45301.64444444444</v>
      </c>
      <c r="C190" t="inlineStr">
        <is>
          <t>Bluestone Memorial Hospital</t>
        </is>
      </c>
      <c r="D190" t="n">
        <v>25</v>
      </c>
    </row>
    <row r="191">
      <c r="A191" t="inlineStr">
        <is>
          <t>ED200194</t>
        </is>
      </c>
      <c r="B191" s="56" t="n">
        <v>45301.74236111111</v>
      </c>
      <c r="C191" t="inlineStr">
        <is>
          <t>Bluestone Memorial Hospital</t>
        </is>
      </c>
      <c r="D191" t="n">
        <v>33</v>
      </c>
    </row>
    <row r="192">
      <c r="A192" t="inlineStr">
        <is>
          <t>ED200195</t>
        </is>
      </c>
      <c r="B192" s="56" t="n">
        <v>45301.78402777778</v>
      </c>
      <c r="C192" t="inlineStr">
        <is>
          <t>Cedar Ridge Medical Center</t>
        </is>
      </c>
      <c r="D192" t="n">
        <v>76</v>
      </c>
    </row>
    <row r="193">
      <c r="A193" t="inlineStr">
        <is>
          <t>ED200196</t>
        </is>
      </c>
      <c r="B193" s="56" t="n">
        <v>45301.85833333333</v>
      </c>
      <c r="C193" t="inlineStr">
        <is>
          <t>Bluestone Memorial Hospital</t>
        </is>
      </c>
      <c r="D193" t="n">
        <v>40</v>
      </c>
    </row>
    <row r="194">
      <c r="A194" t="inlineStr">
        <is>
          <t>ED200197</t>
        </is>
      </c>
      <c r="B194" s="56" t="n">
        <v>45301.9</v>
      </c>
      <c r="C194" t="inlineStr">
        <is>
          <t>Cedar Ridge Medical Center</t>
        </is>
      </c>
      <c r="D194" t="n">
        <v>55</v>
      </c>
    </row>
    <row r="195">
      <c r="A195" t="inlineStr">
        <is>
          <t>ED200198</t>
        </is>
      </c>
      <c r="B195" s="56" t="n">
        <v>45302.01666666667</v>
      </c>
      <c r="C195" t="inlineStr">
        <is>
          <t>Ashby Falls Community Hospital</t>
        </is>
      </c>
      <c r="D195" t="n">
        <v>59</v>
      </c>
    </row>
    <row r="196">
      <c r="A196" t="inlineStr">
        <is>
          <t>ED200199</t>
        </is>
      </c>
      <c r="B196" s="56" t="n">
        <v>45302.02222222222</v>
      </c>
      <c r="C196" t="inlineStr">
        <is>
          <t>Bluestone Memorial Hospital</t>
        </is>
      </c>
      <c r="D196" t="n">
        <v>7</v>
      </c>
    </row>
    <row r="197">
      <c r="A197" t="inlineStr">
        <is>
          <t>ED200200</t>
        </is>
      </c>
      <c r="B197" s="56" t="n">
        <v>45302.05972222222</v>
      </c>
      <c r="C197" t="inlineStr">
        <is>
          <t>Bluestone Memorial Hospital</t>
        </is>
      </c>
      <c r="D197" t="n">
        <v>28</v>
      </c>
    </row>
    <row r="198">
      <c r="A198" t="inlineStr">
        <is>
          <t>ED200201</t>
        </is>
      </c>
      <c r="B198" s="56" t="n">
        <v>45302.29791666667</v>
      </c>
      <c r="C198" t="inlineStr">
        <is>
          <t>Bluestone Memorial Hospital</t>
        </is>
      </c>
      <c r="D198" t="n">
        <v>54</v>
      </c>
    </row>
    <row r="199">
      <c r="A199" t="inlineStr">
        <is>
          <t>ED200202</t>
        </is>
      </c>
      <c r="B199" s="56" t="n">
        <v>45302.36666666667</v>
      </c>
      <c r="C199" t="inlineStr">
        <is>
          <t>Bluestone Memorial Hospital</t>
        </is>
      </c>
      <c r="D199" t="n">
        <v>29</v>
      </c>
    </row>
    <row r="200">
      <c r="A200" t="inlineStr">
        <is>
          <t>ED200203</t>
        </is>
      </c>
      <c r="B200" s="56" t="n">
        <v>45302.40416666667</v>
      </c>
      <c r="C200" t="inlineStr">
        <is>
          <t>Cedar Ridge Medical Center</t>
        </is>
      </c>
      <c r="D200" t="n">
        <v>18</v>
      </c>
    </row>
    <row r="201">
      <c r="A201" t="inlineStr">
        <is>
          <t>ED200204</t>
        </is>
      </c>
      <c r="B201" s="56" t="n">
        <v>45302.41388888889</v>
      </c>
      <c r="C201" t="inlineStr">
        <is>
          <t>Cedar Ridge Medical Center</t>
        </is>
      </c>
      <c r="D201" t="n">
        <v>56</v>
      </c>
    </row>
    <row r="202">
      <c r="A202" t="inlineStr">
        <is>
          <t>ED200205</t>
        </is>
      </c>
      <c r="B202" s="56" t="n">
        <v>45302.42916666667</v>
      </c>
      <c r="C202" t="inlineStr">
        <is>
          <t>Cedar Ridge Medical Center</t>
        </is>
      </c>
      <c r="D202" t="n">
        <v>21</v>
      </c>
    </row>
    <row r="203">
      <c r="A203" t="inlineStr">
        <is>
          <t>ED200206</t>
        </is>
      </c>
      <c r="B203" s="56" t="n">
        <v>45302.52638888889</v>
      </c>
      <c r="C203" t="inlineStr">
        <is>
          <t>Bluestone Memorial Hospital</t>
        </is>
      </c>
      <c r="D203" t="n">
        <v>45</v>
      </c>
    </row>
    <row r="204">
      <c r="A204" t="inlineStr">
        <is>
          <t>ED200207</t>
        </is>
      </c>
      <c r="B204" s="56" t="n">
        <v>45302.68055555555</v>
      </c>
      <c r="C204" t="inlineStr">
        <is>
          <t>Ashby Falls Community Hospital</t>
        </is>
      </c>
      <c r="D204" t="n">
        <v>45</v>
      </c>
    </row>
    <row r="205">
      <c r="A205" t="inlineStr">
        <is>
          <t>ED200208</t>
        </is>
      </c>
      <c r="B205" s="56" t="n">
        <v>45302.68819444445</v>
      </c>
      <c r="C205" t="inlineStr">
        <is>
          <t>Cedar Ridge Medical Center</t>
        </is>
      </c>
      <c r="D205" t="n">
        <v>73</v>
      </c>
    </row>
    <row r="206">
      <c r="A206" t="inlineStr">
        <is>
          <t>ED200209</t>
        </is>
      </c>
      <c r="B206" s="56" t="n">
        <v>45302.72638888889</v>
      </c>
      <c r="C206" t="inlineStr">
        <is>
          <t>Bluestone Memorial Hospital</t>
        </is>
      </c>
      <c r="D206" t="n">
        <v>31</v>
      </c>
    </row>
    <row r="207">
      <c r="A207" t="inlineStr">
        <is>
          <t>ED200210</t>
        </is>
      </c>
      <c r="B207" s="56" t="n">
        <v>45302.74444444444</v>
      </c>
      <c r="C207" t="inlineStr">
        <is>
          <t>Cedar Ridge Medical Center</t>
        </is>
      </c>
      <c r="D207" t="n">
        <v>14</v>
      </c>
    </row>
    <row r="208">
      <c r="A208" t="inlineStr">
        <is>
          <t>ED200211</t>
        </is>
      </c>
      <c r="B208" s="56" t="n">
        <v>45302.80625</v>
      </c>
      <c r="C208" t="inlineStr">
        <is>
          <t>Bluestone Memorial Hospital</t>
        </is>
      </c>
      <c r="D208" t="n">
        <v>9</v>
      </c>
    </row>
    <row r="209">
      <c r="A209" t="inlineStr">
        <is>
          <t>ED200212</t>
        </is>
      </c>
      <c r="B209" s="56" t="n">
        <v>45302.85833333333</v>
      </c>
      <c r="C209" t="inlineStr">
        <is>
          <t>Bluestone Memorial Hospital</t>
        </is>
      </c>
      <c r="D209" t="n">
        <v>52</v>
      </c>
    </row>
    <row r="210">
      <c r="A210" t="inlineStr">
        <is>
          <t>ED200213</t>
        </is>
      </c>
      <c r="B210" s="56" t="n">
        <v>45303.14583333334</v>
      </c>
      <c r="C210" t="inlineStr">
        <is>
          <t>Cedar Ridge Medical Center</t>
        </is>
      </c>
      <c r="D210" t="n">
        <v>8</v>
      </c>
    </row>
    <row r="211">
      <c r="A211" t="inlineStr">
        <is>
          <t>ED200214</t>
        </is>
      </c>
      <c r="B211" s="56" t="n">
        <v>45303.15763888889</v>
      </c>
      <c r="C211" t="inlineStr">
        <is>
          <t>Bluestone Memorial Hospital</t>
        </is>
      </c>
      <c r="D211" t="n">
        <v>53</v>
      </c>
    </row>
    <row r="212">
      <c r="A212" t="inlineStr">
        <is>
          <t>ED200215</t>
        </is>
      </c>
      <c r="B212" s="56" t="n">
        <v>45303.19513888889</v>
      </c>
      <c r="C212" t="inlineStr">
        <is>
          <t>Bluestone Memorial Hospital</t>
        </is>
      </c>
      <c r="D212" t="n">
        <v>32</v>
      </c>
    </row>
    <row r="213">
      <c r="A213" t="inlineStr">
        <is>
          <t>ED200216</t>
        </is>
      </c>
      <c r="B213" s="56" t="n">
        <v>45303.30625</v>
      </c>
      <c r="C213" t="inlineStr">
        <is>
          <t>Bluestone Memorial Hospital</t>
        </is>
      </c>
      <c r="D213" t="n">
        <v>16</v>
      </c>
    </row>
    <row r="214">
      <c r="A214" t="inlineStr">
        <is>
          <t>ED200217</t>
        </is>
      </c>
      <c r="B214" s="56" t="n">
        <v>45303.33819444444</v>
      </c>
      <c r="C214" t="inlineStr">
        <is>
          <t>Bluestone Memorial Hospital</t>
        </is>
      </c>
      <c r="D214" t="n">
        <v>35</v>
      </c>
    </row>
    <row r="215">
      <c r="A215" t="inlineStr">
        <is>
          <t>ED200218</t>
        </is>
      </c>
      <c r="B215" s="56" t="n">
        <v>45303.41527777778</v>
      </c>
      <c r="C215" t="inlineStr">
        <is>
          <t>Bluestone Memorial Hospital</t>
        </is>
      </c>
      <c r="D215" t="n">
        <v>101</v>
      </c>
    </row>
    <row r="216">
      <c r="A216" t="inlineStr">
        <is>
          <t>ED200219</t>
        </is>
      </c>
      <c r="B216" s="56" t="n">
        <v>45303.44652777778</v>
      </c>
      <c r="C216" t="inlineStr">
        <is>
          <t>Bluestone Memorial Hospital</t>
        </is>
      </c>
      <c r="D216" t="n">
        <v>93</v>
      </c>
    </row>
    <row r="217">
      <c r="A217" t="inlineStr">
        <is>
          <t>ED200220</t>
        </is>
      </c>
      <c r="B217" s="56" t="n">
        <v>45303.48194444444</v>
      </c>
      <c r="C217" t="inlineStr">
        <is>
          <t>Bluestone Memorial Hospital</t>
        </is>
      </c>
      <c r="D217" t="n">
        <v>37</v>
      </c>
    </row>
    <row r="218">
      <c r="A218" t="inlineStr">
        <is>
          <t>ED200221</t>
        </is>
      </c>
      <c r="B218" s="56" t="n">
        <v>45303.50277777778</v>
      </c>
      <c r="C218" t="inlineStr">
        <is>
          <t>Cedar Ridge Medical Center</t>
        </is>
      </c>
      <c r="D218" t="n">
        <v>106</v>
      </c>
    </row>
    <row r="219">
      <c r="A219" t="inlineStr">
        <is>
          <t>ED200222</t>
        </is>
      </c>
      <c r="B219" s="56" t="n">
        <v>45303.59444444445</v>
      </c>
      <c r="C219" t="inlineStr">
        <is>
          <t>Bluestone Memorial Hospital</t>
        </is>
      </c>
      <c r="D219" t="n">
        <v>36</v>
      </c>
    </row>
    <row r="220">
      <c r="A220" t="inlineStr">
        <is>
          <t>ED200223</t>
        </is>
      </c>
      <c r="B220" s="56" t="n">
        <v>45303.63611111111</v>
      </c>
      <c r="C220" t="inlineStr">
        <is>
          <t>Ashby Falls Community Hospital</t>
        </is>
      </c>
      <c r="D220" t="n">
        <v>53</v>
      </c>
    </row>
    <row r="221">
      <c r="A221" t="inlineStr">
        <is>
          <t>ED200224</t>
        </is>
      </c>
      <c r="B221" s="56" t="n">
        <v>45303.64236111111</v>
      </c>
      <c r="C221" t="inlineStr">
        <is>
          <t>Bluestone Memorial Hospital</t>
        </is>
      </c>
      <c r="D221" t="n">
        <v>28</v>
      </c>
    </row>
    <row r="222">
      <c r="A222" t="inlineStr">
        <is>
          <t>ED200225</t>
        </is>
      </c>
      <c r="B222" s="56" t="n">
        <v>45303.64861111111</v>
      </c>
      <c r="C222" t="inlineStr">
        <is>
          <t>Cedar Ridge Medical Center</t>
        </is>
      </c>
      <c r="D222" t="n">
        <v>29</v>
      </c>
    </row>
    <row r="223">
      <c r="A223" t="inlineStr">
        <is>
          <t>ED200226</t>
        </is>
      </c>
      <c r="B223" s="56" t="n">
        <v>45303.67847222222</v>
      </c>
      <c r="C223" t="inlineStr">
        <is>
          <t>Cedar Ridge Medical Center</t>
        </is>
      </c>
      <c r="D223" t="n">
        <v>28</v>
      </c>
    </row>
    <row r="224">
      <c r="A224" t="inlineStr">
        <is>
          <t>ED200227</t>
        </is>
      </c>
      <c r="B224" s="56" t="n">
        <v>45303.69722222222</v>
      </c>
      <c r="C224" t="inlineStr">
        <is>
          <t>Cedar Ridge Medical Center</t>
        </is>
      </c>
      <c r="D224" t="n">
        <v>66</v>
      </c>
    </row>
    <row r="225">
      <c r="A225" t="inlineStr">
        <is>
          <t>ED200228</t>
        </is>
      </c>
      <c r="B225" s="56" t="n">
        <v>45303.75416666667</v>
      </c>
      <c r="C225" t="inlineStr">
        <is>
          <t>Bluestone Memorial Hospital</t>
        </is>
      </c>
      <c r="D225" t="n">
        <v>18</v>
      </c>
    </row>
    <row r="226">
      <c r="A226" t="inlineStr">
        <is>
          <t>ED200229</t>
        </is>
      </c>
      <c r="B226" s="56" t="n">
        <v>45303.83055555556</v>
      </c>
      <c r="C226" t="inlineStr">
        <is>
          <t>Bluestone Memorial Hospital</t>
        </is>
      </c>
      <c r="D226" t="n">
        <v>69</v>
      </c>
    </row>
    <row r="227">
      <c r="A227" t="inlineStr">
        <is>
          <t>ED200230</t>
        </is>
      </c>
      <c r="B227" s="56" t="n">
        <v>45303.85694444444</v>
      </c>
      <c r="C227" t="inlineStr">
        <is>
          <t>Bluestone Memorial Hospital</t>
        </is>
      </c>
      <c r="D227" t="n">
        <v>102</v>
      </c>
    </row>
    <row r="228">
      <c r="A228" t="inlineStr">
        <is>
          <t>ED200231</t>
        </is>
      </c>
      <c r="B228" s="56" t="n">
        <v>45303.96180555555</v>
      </c>
      <c r="C228" t="inlineStr">
        <is>
          <t>Bluestone Memorial Hospital</t>
        </is>
      </c>
      <c r="D228" t="n">
        <v>43</v>
      </c>
    </row>
    <row r="229">
      <c r="A229" t="inlineStr">
        <is>
          <t>ED200232</t>
        </is>
      </c>
      <c r="B229" s="56" t="n">
        <v>45304.04027777778</v>
      </c>
      <c r="C229" t="inlineStr">
        <is>
          <t>Bluestone Memorial Hospital</t>
        </is>
      </c>
      <c r="D229" t="n">
        <v>25</v>
      </c>
    </row>
    <row r="230">
      <c r="A230" t="inlineStr">
        <is>
          <t>ED200233</t>
        </is>
      </c>
      <c r="B230" s="56" t="n">
        <v>45304.09861111111</v>
      </c>
      <c r="C230" t="inlineStr">
        <is>
          <t>Cedar Ridge Medical Center</t>
        </is>
      </c>
      <c r="D230" t="n">
        <v>28</v>
      </c>
    </row>
    <row r="231">
      <c r="A231" t="inlineStr">
        <is>
          <t>ED200234</t>
        </is>
      </c>
      <c r="B231" s="56" t="n">
        <v>45304.13680555556</v>
      </c>
      <c r="C231" t="inlineStr">
        <is>
          <t>Cedar Ridge Medical Center</t>
        </is>
      </c>
      <c r="D231" t="n">
        <v>35</v>
      </c>
    </row>
    <row r="232">
      <c r="A232" t="inlineStr">
        <is>
          <t>ED200235</t>
        </is>
      </c>
      <c r="B232" s="56" t="n">
        <v>45304.29722222222</v>
      </c>
      <c r="C232" t="inlineStr">
        <is>
          <t>Ashby Falls Community Hospital</t>
        </is>
      </c>
      <c r="D232" t="n">
        <v>54</v>
      </c>
    </row>
    <row r="233">
      <c r="A233" t="inlineStr">
        <is>
          <t>ED200236</t>
        </is>
      </c>
      <c r="B233" s="56" t="n">
        <v>45304.31041666667</v>
      </c>
      <c r="C233" t="inlineStr">
        <is>
          <t>Bluestone Memorial Hospital</t>
        </is>
      </c>
      <c r="D233" t="n">
        <v>20</v>
      </c>
    </row>
    <row r="234">
      <c r="A234" t="inlineStr">
        <is>
          <t>ED200237</t>
        </is>
      </c>
      <c r="B234" s="56" t="n">
        <v>45304.31805555556</v>
      </c>
      <c r="C234" t="inlineStr">
        <is>
          <t>Bluestone Memorial Hospital</t>
        </is>
      </c>
      <c r="D234" t="n">
        <v>38</v>
      </c>
    </row>
    <row r="235">
      <c r="A235" t="inlineStr">
        <is>
          <t>ED200238</t>
        </is>
      </c>
      <c r="B235" s="56" t="n">
        <v>45304.32986111111</v>
      </c>
      <c r="C235" t="inlineStr">
        <is>
          <t>Bluestone Memorial Hospital</t>
        </is>
      </c>
      <c r="D235" t="n">
        <v>113</v>
      </c>
    </row>
    <row r="236">
      <c r="A236" t="inlineStr">
        <is>
          <t>ED200239</t>
        </is>
      </c>
      <c r="B236" s="56" t="n">
        <v>45304.39097222222</v>
      </c>
      <c r="C236" t="inlineStr">
        <is>
          <t>Cedar Ridge Medical Center</t>
        </is>
      </c>
      <c r="D236" t="n">
        <v>65</v>
      </c>
    </row>
    <row r="237">
      <c r="A237" t="inlineStr">
        <is>
          <t>ED200240</t>
        </is>
      </c>
      <c r="B237" s="56" t="n">
        <v>45304.44166666667</v>
      </c>
      <c r="C237" t="inlineStr">
        <is>
          <t>Bluestone Memorial Hospital</t>
        </is>
      </c>
      <c r="D237" t="n">
        <v>16</v>
      </c>
    </row>
    <row r="238">
      <c r="A238" t="inlineStr">
        <is>
          <t>ED200241</t>
        </is>
      </c>
      <c r="B238" s="56" t="n">
        <v>45304.45277777778</v>
      </c>
      <c r="C238" t="inlineStr">
        <is>
          <t>Cedar Ridge Medical Center</t>
        </is>
      </c>
      <c r="D238" t="n">
        <v>78</v>
      </c>
    </row>
    <row r="239">
      <c r="A239" t="inlineStr">
        <is>
          <t>ED200242</t>
        </is>
      </c>
      <c r="B239" s="56" t="n">
        <v>45304.45347222222</v>
      </c>
      <c r="C239" t="inlineStr">
        <is>
          <t>Bluestone Memorial Hospital</t>
        </is>
      </c>
      <c r="D239" t="n">
        <v>114</v>
      </c>
    </row>
    <row r="240">
      <c r="A240" t="inlineStr">
        <is>
          <t>ED200243</t>
        </is>
      </c>
      <c r="B240" s="56" t="n">
        <v>45304.48125</v>
      </c>
      <c r="C240" t="inlineStr">
        <is>
          <t>Bluestone Memorial Hospital</t>
        </is>
      </c>
      <c r="D240" t="n">
        <v>57</v>
      </c>
    </row>
    <row r="241">
      <c r="A241" t="inlineStr">
        <is>
          <t>ED200244</t>
        </is>
      </c>
      <c r="B241" s="56" t="n">
        <v>45304.5</v>
      </c>
      <c r="C241" t="inlineStr">
        <is>
          <t>Cedar Ridge Medical Center</t>
        </is>
      </c>
      <c r="D241" t="n">
        <v>69</v>
      </c>
    </row>
    <row r="242">
      <c r="A242" t="inlineStr">
        <is>
          <t>ED200245</t>
        </is>
      </c>
      <c r="B242" s="56" t="n">
        <v>45304.50347222222</v>
      </c>
      <c r="C242" t="inlineStr">
        <is>
          <t>Ashby Falls Community Hospital</t>
        </is>
      </c>
      <c r="D242" t="n">
        <v>35</v>
      </c>
    </row>
    <row r="243">
      <c r="A243" t="inlineStr">
        <is>
          <t>ED200246</t>
        </is>
      </c>
      <c r="B243" s="56" t="n">
        <v>45304.54444444444</v>
      </c>
      <c r="C243" t="inlineStr">
        <is>
          <t>Bluestone Memorial Hospital</t>
        </is>
      </c>
      <c r="D243" t="n">
        <v>49</v>
      </c>
    </row>
    <row r="244">
      <c r="A244" t="inlineStr">
        <is>
          <t>ED200247</t>
        </is>
      </c>
      <c r="B244" s="56" t="n">
        <v>45304.62569444445</v>
      </c>
      <c r="C244" t="inlineStr">
        <is>
          <t>Ashby Falls Community Hospital</t>
        </is>
      </c>
      <c r="D244" t="n">
        <v>59</v>
      </c>
    </row>
    <row r="245">
      <c r="A245" t="inlineStr">
        <is>
          <t>ED200248</t>
        </is>
      </c>
      <c r="B245" s="56" t="n">
        <v>45304.63958333333</v>
      </c>
      <c r="C245" t="inlineStr">
        <is>
          <t>Bluestone Memorial Hospital</t>
        </is>
      </c>
      <c r="D245" t="n">
        <v>26</v>
      </c>
    </row>
    <row r="246">
      <c r="A246" t="inlineStr">
        <is>
          <t>ED200249</t>
        </is>
      </c>
      <c r="B246" s="56" t="n">
        <v>45304.65763888889</v>
      </c>
      <c r="C246" t="inlineStr">
        <is>
          <t>Bluestone Memorial Hospital</t>
        </is>
      </c>
      <c r="D246" t="n">
        <v>16</v>
      </c>
    </row>
    <row r="247">
      <c r="A247" t="inlineStr">
        <is>
          <t>ED200250</t>
        </is>
      </c>
      <c r="B247" s="56" t="n">
        <v>45304.78888888889</v>
      </c>
      <c r="C247" t="inlineStr">
        <is>
          <t>Bluestone Memorial Hospital</t>
        </is>
      </c>
      <c r="D247" t="n">
        <v>84</v>
      </c>
    </row>
    <row r="248">
      <c r="A248" t="inlineStr">
        <is>
          <t>ED200251</t>
        </is>
      </c>
      <c r="B248" s="56" t="n">
        <v>45304.79236111111</v>
      </c>
      <c r="C248" t="inlineStr">
        <is>
          <t>Bluestone Memorial Hospital</t>
        </is>
      </c>
      <c r="D248" t="n">
        <v>23</v>
      </c>
    </row>
    <row r="249">
      <c r="A249" t="inlineStr">
        <is>
          <t>ED200252</t>
        </is>
      </c>
      <c r="B249" s="56" t="n">
        <v>45304.82430555556</v>
      </c>
      <c r="C249" t="inlineStr">
        <is>
          <t>Bluestone Memorial Hospital</t>
        </is>
      </c>
      <c r="D249" t="n">
        <v>84</v>
      </c>
    </row>
    <row r="250">
      <c r="A250" t="inlineStr">
        <is>
          <t>ED200253</t>
        </is>
      </c>
      <c r="B250" s="56" t="n">
        <v>45304.86666666667</v>
      </c>
      <c r="C250" t="inlineStr">
        <is>
          <t>Cedar Ridge Medical Center</t>
        </is>
      </c>
      <c r="D250" t="n">
        <v>4</v>
      </c>
    </row>
    <row r="251">
      <c r="A251" t="inlineStr">
        <is>
          <t>ED200254</t>
        </is>
      </c>
      <c r="B251" s="56" t="n">
        <v>45304.91805555556</v>
      </c>
      <c r="C251" t="inlineStr">
        <is>
          <t>Ashby Falls Community Hospital</t>
        </is>
      </c>
      <c r="D251" t="n">
        <v>23</v>
      </c>
    </row>
    <row r="252">
      <c r="A252" t="inlineStr">
        <is>
          <t>ED200255</t>
        </is>
      </c>
      <c r="B252" s="56" t="n">
        <v>45304.93611111111</v>
      </c>
      <c r="C252" t="inlineStr">
        <is>
          <t>Bluestone Memorial Hospital</t>
        </is>
      </c>
      <c r="D252" t="n">
        <v>14</v>
      </c>
    </row>
    <row r="253">
      <c r="A253" t="inlineStr">
        <is>
          <t>ED200256</t>
        </is>
      </c>
      <c r="B253" s="56" t="n">
        <v>45304.97083333333</v>
      </c>
      <c r="C253" t="inlineStr">
        <is>
          <t>Bluestone Memorial Hospital</t>
        </is>
      </c>
      <c r="D253" t="n">
        <v>161</v>
      </c>
    </row>
    <row r="254">
      <c r="A254" t="inlineStr">
        <is>
          <t>ED200257</t>
        </is>
      </c>
      <c r="B254" s="56" t="n">
        <v>45305.10069444445</v>
      </c>
      <c r="C254" t="inlineStr">
        <is>
          <t>Cedar Ridge Medical Center</t>
        </is>
      </c>
      <c r="D254" t="n">
        <v>17</v>
      </c>
    </row>
    <row r="255">
      <c r="A255" t="inlineStr">
        <is>
          <t>ED200258</t>
        </is>
      </c>
      <c r="B255" s="56" t="n">
        <v>45305.17777777778</v>
      </c>
      <c r="C255" t="inlineStr">
        <is>
          <t>Bluestone Memorial Hospital</t>
        </is>
      </c>
      <c r="D255" t="n">
        <v>27</v>
      </c>
    </row>
    <row r="256">
      <c r="A256" t="inlineStr">
        <is>
          <t>ED200259</t>
        </is>
      </c>
      <c r="B256" s="56" t="n">
        <v>45305.32638888889</v>
      </c>
      <c r="C256" t="inlineStr">
        <is>
          <t>Bluestone Memorial Hospital</t>
        </is>
      </c>
      <c r="D256" t="n">
        <v>29</v>
      </c>
    </row>
    <row r="257">
      <c r="A257" t="inlineStr">
        <is>
          <t>ED200260</t>
        </is>
      </c>
      <c r="B257" s="56" t="n">
        <v>45305.41527777778</v>
      </c>
      <c r="C257" t="inlineStr">
        <is>
          <t>Bluestone Memorial Hospital</t>
        </is>
      </c>
      <c r="D257" t="n">
        <v>20</v>
      </c>
    </row>
    <row r="258">
      <c r="A258" t="inlineStr">
        <is>
          <t>ED200261</t>
        </is>
      </c>
      <c r="B258" s="56" t="n">
        <v>45305.42430555556</v>
      </c>
      <c r="C258" t="inlineStr">
        <is>
          <t>Bluestone Memorial Hospital</t>
        </is>
      </c>
      <c r="D258" t="n">
        <v>54</v>
      </c>
    </row>
    <row r="259">
      <c r="A259" t="inlineStr">
        <is>
          <t>ED200262</t>
        </is>
      </c>
      <c r="B259" s="56" t="n">
        <v>45305.425</v>
      </c>
      <c r="C259" t="inlineStr">
        <is>
          <t>Bluestone Memorial Hospital</t>
        </is>
      </c>
      <c r="D259" t="n">
        <v>38</v>
      </c>
    </row>
    <row r="260">
      <c r="A260" t="inlineStr">
        <is>
          <t>ED200263</t>
        </is>
      </c>
      <c r="B260" s="56" t="n">
        <v>45305.47569444445</v>
      </c>
      <c r="C260" t="inlineStr">
        <is>
          <t>Bluestone Memorial Hospital</t>
        </is>
      </c>
      <c r="D260" t="n">
        <v>39</v>
      </c>
    </row>
    <row r="261">
      <c r="A261" t="inlineStr">
        <is>
          <t>ED200264</t>
        </is>
      </c>
      <c r="B261" s="56" t="n">
        <v>45305.50833333333</v>
      </c>
      <c r="C261" t="inlineStr">
        <is>
          <t>Bluestone Memorial Hospital</t>
        </is>
      </c>
      <c r="D261" t="n">
        <v>37</v>
      </c>
    </row>
    <row r="262">
      <c r="A262" t="inlineStr">
        <is>
          <t>ED200265</t>
        </is>
      </c>
      <c r="B262" s="56" t="n">
        <v>45305.51458333333</v>
      </c>
      <c r="C262" t="inlineStr">
        <is>
          <t>Bluestone Memorial Hospital</t>
        </is>
      </c>
      <c r="D262" t="n">
        <v>16</v>
      </c>
    </row>
    <row r="263">
      <c r="A263" t="inlineStr">
        <is>
          <t>ED200266</t>
        </is>
      </c>
      <c r="B263" s="56" t="n">
        <v>45305.57430555556</v>
      </c>
      <c r="C263" t="inlineStr">
        <is>
          <t>Cedar Ridge Medical Center</t>
        </is>
      </c>
      <c r="D263" t="n">
        <v>49</v>
      </c>
    </row>
    <row r="264">
      <c r="A264" t="inlineStr">
        <is>
          <t>ED200267</t>
        </is>
      </c>
      <c r="B264" s="56" t="n">
        <v>45305.61666666667</v>
      </c>
      <c r="C264" t="inlineStr">
        <is>
          <t>Bluestone Memorial Hospital</t>
        </is>
      </c>
      <c r="D264" t="n">
        <v>148</v>
      </c>
    </row>
    <row r="265">
      <c r="A265" t="inlineStr">
        <is>
          <t>ED200268</t>
        </is>
      </c>
      <c r="B265" s="56" t="n">
        <v>45305.67847222222</v>
      </c>
      <c r="C265" t="inlineStr">
        <is>
          <t>Bluestone Memorial Hospital</t>
        </is>
      </c>
      <c r="D265" t="n">
        <v>26</v>
      </c>
    </row>
    <row r="266">
      <c r="A266" t="inlineStr">
        <is>
          <t>ED200269</t>
        </is>
      </c>
      <c r="B266" s="56" t="n">
        <v>45305.73263888889</v>
      </c>
      <c r="C266" t="inlineStr">
        <is>
          <t>Bluestone Memorial Hospital</t>
        </is>
      </c>
      <c r="D266" t="n">
        <v>172</v>
      </c>
    </row>
    <row r="267">
      <c r="A267" t="inlineStr">
        <is>
          <t>ED200270</t>
        </is>
      </c>
      <c r="B267" s="56" t="n">
        <v>45305.80555555555</v>
      </c>
      <c r="C267" t="inlineStr">
        <is>
          <t>Bluestone Memorial Hospital</t>
        </is>
      </c>
      <c r="D267" t="n">
        <v>48</v>
      </c>
    </row>
    <row r="268">
      <c r="A268" t="inlineStr">
        <is>
          <t>ED200271</t>
        </is>
      </c>
      <c r="B268" s="56" t="n">
        <v>45305.85208333333</v>
      </c>
      <c r="C268" t="inlineStr">
        <is>
          <t>Bluestone Memorial Hospital</t>
        </is>
      </c>
      <c r="D268" t="n">
        <v>16</v>
      </c>
    </row>
    <row r="269">
      <c r="A269" t="inlineStr">
        <is>
          <t>ED200272</t>
        </is>
      </c>
      <c r="B269" s="56" t="n">
        <v>45305.86736111111</v>
      </c>
      <c r="C269" t="inlineStr">
        <is>
          <t>Bluestone Memorial Hospital</t>
        </is>
      </c>
      <c r="D269" t="n">
        <v>37</v>
      </c>
    </row>
    <row r="270">
      <c r="A270" t="inlineStr">
        <is>
          <t>ED200273</t>
        </is>
      </c>
      <c r="B270" s="56" t="n">
        <v>45305.87222222222</v>
      </c>
      <c r="C270" t="inlineStr">
        <is>
          <t>Bluestone Memorial Hospital</t>
        </is>
      </c>
      <c r="D270" t="n">
        <v>81</v>
      </c>
    </row>
    <row r="271">
      <c r="A271" t="inlineStr">
        <is>
          <t>ED200274</t>
        </is>
      </c>
      <c r="B271" s="56" t="n">
        <v>45305.91041666667</v>
      </c>
      <c r="C271" t="inlineStr">
        <is>
          <t>Bluestone Memorial Hospital</t>
        </is>
      </c>
      <c r="D271" t="n">
        <v>67</v>
      </c>
    </row>
    <row r="272">
      <c r="A272" t="inlineStr">
        <is>
          <t>ED200275</t>
        </is>
      </c>
      <c r="B272" s="56" t="n">
        <v>45305.94513888889</v>
      </c>
      <c r="C272" t="inlineStr">
        <is>
          <t>Bluestone Memorial Hospital</t>
        </is>
      </c>
      <c r="D272" t="n">
        <v>41</v>
      </c>
    </row>
    <row r="273">
      <c r="A273" t="inlineStr">
        <is>
          <t>ED200276</t>
        </is>
      </c>
      <c r="B273" s="56" t="n">
        <v>45305.99930555555</v>
      </c>
      <c r="C273" t="inlineStr">
        <is>
          <t>Bluestone Memorial Hospital</t>
        </is>
      </c>
      <c r="D273" t="n">
        <v>11</v>
      </c>
    </row>
    <row r="274">
      <c r="A274" t="inlineStr">
        <is>
          <t>ED200277</t>
        </is>
      </c>
      <c r="B274" s="56" t="n">
        <v>45306.01666666667</v>
      </c>
      <c r="C274" t="inlineStr">
        <is>
          <t>Bluestone Memorial Hospital</t>
        </is>
      </c>
      <c r="D274" t="n">
        <v>43</v>
      </c>
    </row>
    <row r="275">
      <c r="A275" t="inlineStr">
        <is>
          <t>ED200278</t>
        </is>
      </c>
      <c r="B275" s="56" t="n">
        <v>45306.08888888889</v>
      </c>
      <c r="C275" t="inlineStr">
        <is>
          <t>Bluestone Memorial Hospital</t>
        </is>
      </c>
      <c r="D275" t="n">
        <v>3</v>
      </c>
    </row>
    <row r="276">
      <c r="A276" t="inlineStr">
        <is>
          <t>ED200279</t>
        </is>
      </c>
      <c r="B276" s="56" t="n">
        <v>45306.18819444445</v>
      </c>
      <c r="C276" t="inlineStr">
        <is>
          <t>Cedar Ridge Medical Center</t>
        </is>
      </c>
      <c r="D276" t="n">
        <v>46</v>
      </c>
    </row>
    <row r="277">
      <c r="A277" t="inlineStr">
        <is>
          <t>ED200280</t>
        </is>
      </c>
      <c r="B277" s="56" t="n">
        <v>45306.20833333334</v>
      </c>
      <c r="C277" t="inlineStr">
        <is>
          <t>Ashby Falls Community Hospital</t>
        </is>
      </c>
      <c r="D277" t="n">
        <v>28</v>
      </c>
    </row>
    <row r="278">
      <c r="A278" t="inlineStr">
        <is>
          <t>ED200281</t>
        </is>
      </c>
      <c r="B278" s="56" t="n">
        <v>45306.22777777778</v>
      </c>
      <c r="C278" t="inlineStr">
        <is>
          <t>Bluestone Memorial Hospital</t>
        </is>
      </c>
      <c r="D278" t="n">
        <v>5</v>
      </c>
    </row>
    <row r="279">
      <c r="A279" t="inlineStr">
        <is>
          <t>ED200282</t>
        </is>
      </c>
      <c r="B279" s="56" t="n">
        <v>45306.27152777778</v>
      </c>
      <c r="C279" t="inlineStr">
        <is>
          <t>Bluestone Memorial Hospital</t>
        </is>
      </c>
      <c r="D279" t="n">
        <v>48</v>
      </c>
    </row>
    <row r="280">
      <c r="A280" t="inlineStr">
        <is>
          <t>ED200283</t>
        </is>
      </c>
      <c r="B280" s="56" t="n">
        <v>45306.38333333333</v>
      </c>
      <c r="C280" t="inlineStr">
        <is>
          <t>Bluestone Memorial Hospital</t>
        </is>
      </c>
      <c r="D280" t="n">
        <v>39</v>
      </c>
    </row>
    <row r="281">
      <c r="A281" t="inlineStr">
        <is>
          <t>ED200284</t>
        </is>
      </c>
      <c r="B281" s="56" t="n">
        <v>45306.40347222222</v>
      </c>
      <c r="C281" t="inlineStr">
        <is>
          <t>Cedar Ridge Medical Center</t>
        </is>
      </c>
      <c r="D281" t="n">
        <v>45</v>
      </c>
    </row>
    <row r="282">
      <c r="A282" t="inlineStr">
        <is>
          <t>ED200285</t>
        </is>
      </c>
      <c r="B282" s="56" t="n">
        <v>45306.42847222222</v>
      </c>
      <c r="C282" t="inlineStr">
        <is>
          <t>Cedar Ridge Medical Center</t>
        </is>
      </c>
      <c r="D282" t="n">
        <v>16</v>
      </c>
    </row>
    <row r="283">
      <c r="A283" t="inlineStr">
        <is>
          <t>ED200286</t>
        </is>
      </c>
      <c r="B283" s="56" t="n">
        <v>45306.43958333333</v>
      </c>
      <c r="C283" t="inlineStr">
        <is>
          <t>Ashby Falls Community Hospital</t>
        </is>
      </c>
      <c r="D283" t="n">
        <v>41</v>
      </c>
    </row>
    <row r="284">
      <c r="A284" t="inlineStr">
        <is>
          <t>ED200287</t>
        </is>
      </c>
      <c r="B284" s="56" t="n">
        <v>45306.48263888889</v>
      </c>
      <c r="C284" t="inlineStr">
        <is>
          <t>Bluestone Memorial Hospital</t>
        </is>
      </c>
      <c r="D284" t="n">
        <v>62</v>
      </c>
    </row>
    <row r="285">
      <c r="A285" t="inlineStr">
        <is>
          <t>ED200289</t>
        </is>
      </c>
      <c r="B285" s="56" t="n">
        <v>45306.52083333334</v>
      </c>
      <c r="C285" t="inlineStr">
        <is>
          <t>Cedar Ridge Medical Center</t>
        </is>
      </c>
      <c r="D285" t="n">
        <v>66</v>
      </c>
    </row>
    <row r="286">
      <c r="A286" t="inlineStr">
        <is>
          <t>ED200290</t>
        </is>
      </c>
      <c r="B286" s="56" t="n">
        <v>45306.55486111111</v>
      </c>
      <c r="C286" t="inlineStr">
        <is>
          <t>Bluestone Memorial Hospital</t>
        </is>
      </c>
      <c r="D286" t="n">
        <v>59</v>
      </c>
    </row>
    <row r="287">
      <c r="A287" t="inlineStr">
        <is>
          <t>ED200291</t>
        </is>
      </c>
      <c r="B287" s="56" t="n">
        <v>45306.58472222222</v>
      </c>
      <c r="C287" t="inlineStr">
        <is>
          <t>Ashby Falls Community Hospital</t>
        </is>
      </c>
      <c r="D287" t="n">
        <v>38</v>
      </c>
    </row>
    <row r="288">
      <c r="A288" t="inlineStr">
        <is>
          <t>ED200292</t>
        </is>
      </c>
      <c r="B288" s="56" t="n">
        <v>45306.62847222222</v>
      </c>
      <c r="C288" t="inlineStr">
        <is>
          <t>Cedar Ridge Medical Center</t>
        </is>
      </c>
      <c r="D288" t="n">
        <v>42</v>
      </c>
    </row>
    <row r="289">
      <c r="A289" t="inlineStr">
        <is>
          <t>ED200293</t>
        </is>
      </c>
      <c r="B289" s="56" t="n">
        <v>45306.74513888889</v>
      </c>
      <c r="C289" t="inlineStr">
        <is>
          <t>Ashby Falls Community Hospital</t>
        </is>
      </c>
      <c r="D289" t="n">
        <v>129</v>
      </c>
    </row>
    <row r="290">
      <c r="A290" t="inlineStr">
        <is>
          <t>ED200294</t>
        </is>
      </c>
      <c r="B290" s="56" t="n">
        <v>45306.74652777778</v>
      </c>
      <c r="C290" t="inlineStr">
        <is>
          <t>Bluestone Memorial Hospital</t>
        </is>
      </c>
      <c r="D290" t="n">
        <v>28</v>
      </c>
    </row>
    <row r="291">
      <c r="A291" t="inlineStr">
        <is>
          <t>ED200295</t>
        </is>
      </c>
      <c r="B291" s="56" t="n">
        <v>45306.74930555555</v>
      </c>
      <c r="C291" t="inlineStr">
        <is>
          <t>Bluestone Memorial Hospital</t>
        </is>
      </c>
      <c r="D291" t="n">
        <v>39</v>
      </c>
    </row>
    <row r="292">
      <c r="A292" t="inlineStr">
        <is>
          <t>ED200296</t>
        </is>
      </c>
      <c r="B292" s="56" t="n">
        <v>45306.77708333333</v>
      </c>
      <c r="C292" t="inlineStr">
        <is>
          <t>Bluestone Memorial Hospital</t>
        </is>
      </c>
      <c r="D292" t="n">
        <v>52</v>
      </c>
    </row>
    <row r="293">
      <c r="A293" t="inlineStr">
        <is>
          <t>ED200297</t>
        </is>
      </c>
      <c r="B293" s="56" t="n">
        <v>45306.8</v>
      </c>
      <c r="C293" t="inlineStr">
        <is>
          <t>Bluestone Memorial Hospital</t>
        </is>
      </c>
      <c r="D293" t="n">
        <v>95</v>
      </c>
    </row>
    <row r="294">
      <c r="A294" t="inlineStr">
        <is>
          <t>ED200298</t>
        </is>
      </c>
      <c r="B294" s="56" t="n">
        <v>45306.81597222222</v>
      </c>
      <c r="C294" t="inlineStr">
        <is>
          <t>Bluestone Memorial Hospital</t>
        </is>
      </c>
      <c r="D294" t="n">
        <v>15</v>
      </c>
    </row>
    <row r="295">
      <c r="A295" t="inlineStr">
        <is>
          <t>ED200299</t>
        </is>
      </c>
      <c r="B295" s="56" t="n">
        <v>45306.81666666667</v>
      </c>
      <c r="C295" t="inlineStr">
        <is>
          <t>Bluestone Memorial Hospital</t>
        </is>
      </c>
      <c r="D295" t="n">
        <v>66</v>
      </c>
    </row>
    <row r="296">
      <c r="A296" t="inlineStr">
        <is>
          <t>ED200300</t>
        </is>
      </c>
      <c r="B296" s="56" t="n">
        <v>45306.82847222222</v>
      </c>
      <c r="C296" t="inlineStr">
        <is>
          <t>Bluestone Memorial Hospital</t>
        </is>
      </c>
      <c r="D296" t="n">
        <v>11</v>
      </c>
    </row>
    <row r="297">
      <c r="A297" t="inlineStr">
        <is>
          <t>ED200301</t>
        </is>
      </c>
      <c r="B297" s="56" t="n">
        <v>45306.82916666667</v>
      </c>
      <c r="C297" t="inlineStr">
        <is>
          <t>Bluestone Memorial Hospital</t>
        </is>
      </c>
      <c r="D297" t="n">
        <v>113</v>
      </c>
    </row>
    <row r="298">
      <c r="A298" t="inlineStr">
        <is>
          <t>ED200302</t>
        </is>
      </c>
      <c r="B298" s="56" t="n">
        <v>45306.88888888889</v>
      </c>
      <c r="C298" t="inlineStr">
        <is>
          <t>Bluestone Memorial Hospital</t>
        </is>
      </c>
      <c r="D298" t="n">
        <v>86</v>
      </c>
    </row>
    <row r="299">
      <c r="A299" t="inlineStr">
        <is>
          <t>ED200303</t>
        </is>
      </c>
      <c r="B299" s="56" t="n">
        <v>45306.90486111111</v>
      </c>
      <c r="C299" t="inlineStr">
        <is>
          <t>Bluestone Memorial Hospital</t>
        </is>
      </c>
      <c r="D299" t="n">
        <v>40</v>
      </c>
    </row>
    <row r="300">
      <c r="A300" t="inlineStr">
        <is>
          <t>ED200304</t>
        </is>
      </c>
      <c r="B300" s="56" t="n">
        <v>45306.90972222222</v>
      </c>
      <c r="C300" t="inlineStr">
        <is>
          <t>Bluestone Memorial Hospital</t>
        </is>
      </c>
      <c r="D300" t="n">
        <v>47</v>
      </c>
    </row>
    <row r="301">
      <c r="A301" t="inlineStr">
        <is>
          <t>ED200305</t>
        </is>
      </c>
      <c r="B301" s="56" t="n">
        <v>45307.14513888889</v>
      </c>
      <c r="C301" t="inlineStr">
        <is>
          <t>Bluestone Memorial Hospital</t>
        </is>
      </c>
      <c r="D301" t="n">
        <v>29</v>
      </c>
    </row>
    <row r="302">
      <c r="A302" t="inlineStr">
        <is>
          <t>ED200306</t>
        </is>
      </c>
      <c r="B302" s="56" t="n">
        <v>45307.37083333333</v>
      </c>
      <c r="C302" t="inlineStr">
        <is>
          <t>Bluestone Memorial Hospital</t>
        </is>
      </c>
      <c r="D302" t="n">
        <v>25</v>
      </c>
    </row>
    <row r="303">
      <c r="A303" t="inlineStr">
        <is>
          <t>ED200307</t>
        </is>
      </c>
      <c r="B303" s="56" t="n">
        <v>45307.38402777778</v>
      </c>
      <c r="C303" t="inlineStr">
        <is>
          <t>Cedar Ridge Medical Center</t>
        </is>
      </c>
      <c r="D303" t="n">
        <v>39</v>
      </c>
    </row>
    <row r="304">
      <c r="A304" t="inlineStr">
        <is>
          <t>ED200308</t>
        </is>
      </c>
      <c r="B304" s="56" t="n">
        <v>45307.41666666666</v>
      </c>
      <c r="C304" t="inlineStr">
        <is>
          <t>Bluestone Memorial Hospital</t>
        </is>
      </c>
      <c r="D304" t="n">
        <v>61</v>
      </c>
    </row>
    <row r="305">
      <c r="A305" t="inlineStr">
        <is>
          <t>ED200309</t>
        </is>
      </c>
      <c r="B305" s="56" t="n">
        <v>45307.45486111111</v>
      </c>
      <c r="C305" t="inlineStr">
        <is>
          <t>Cedar Ridge Medical Center</t>
        </is>
      </c>
      <c r="D305" t="n">
        <v>52</v>
      </c>
    </row>
    <row r="306">
      <c r="A306" t="inlineStr">
        <is>
          <t>ED200310</t>
        </is>
      </c>
      <c r="B306" s="56" t="n">
        <v>45307.50208333333</v>
      </c>
      <c r="C306" t="inlineStr">
        <is>
          <t>Bluestone Memorial Hospital</t>
        </is>
      </c>
      <c r="D306" t="n">
        <v>142</v>
      </c>
    </row>
    <row r="307">
      <c r="A307" t="inlineStr">
        <is>
          <t>ED200312</t>
        </is>
      </c>
      <c r="B307" s="56" t="n">
        <v>45307.53055555555</v>
      </c>
      <c r="C307" t="inlineStr">
        <is>
          <t>Bluestone Memorial Hospital</t>
        </is>
      </c>
      <c r="D307" t="n">
        <v>33</v>
      </c>
    </row>
    <row r="308">
      <c r="A308" t="inlineStr">
        <is>
          <t>ED200313</t>
        </is>
      </c>
      <c r="B308" s="56" t="n">
        <v>45307.53680555556</v>
      </c>
      <c r="C308" t="inlineStr">
        <is>
          <t>Bluestone Memorial Hospital</t>
        </is>
      </c>
      <c r="D308" t="n">
        <v>47</v>
      </c>
    </row>
    <row r="309">
      <c r="A309" t="inlineStr">
        <is>
          <t>ED200314</t>
        </is>
      </c>
      <c r="B309" s="56" t="n">
        <v>45307.59444444445</v>
      </c>
      <c r="C309" t="inlineStr">
        <is>
          <t>Bluestone Memorial Hospital</t>
        </is>
      </c>
      <c r="D309" t="n">
        <v>225</v>
      </c>
    </row>
    <row r="310">
      <c r="A310" t="inlineStr">
        <is>
          <t>ED200315</t>
        </is>
      </c>
      <c r="B310" s="56" t="n">
        <v>45307.62708333333</v>
      </c>
      <c r="C310" t="inlineStr">
        <is>
          <t>Bluestone Memorial Hospital</t>
        </is>
      </c>
      <c r="D310" t="n">
        <v>28</v>
      </c>
    </row>
    <row r="311">
      <c r="A311" t="inlineStr">
        <is>
          <t>ED200316</t>
        </is>
      </c>
      <c r="B311" s="56" t="n">
        <v>45307.65416666667</v>
      </c>
      <c r="C311" t="inlineStr">
        <is>
          <t>Ashby Falls Community Hospital</t>
        </is>
      </c>
      <c r="D311" t="n">
        <v>21</v>
      </c>
    </row>
    <row r="312">
      <c r="A312" t="inlineStr">
        <is>
          <t>ED200317</t>
        </is>
      </c>
      <c r="B312" s="56" t="n">
        <v>45307.67708333334</v>
      </c>
      <c r="C312" t="inlineStr">
        <is>
          <t>Ashby Falls Community Hospital</t>
        </is>
      </c>
      <c r="D312" t="n">
        <v>81</v>
      </c>
    </row>
    <row r="313">
      <c r="A313" t="inlineStr">
        <is>
          <t>ED200318</t>
        </is>
      </c>
      <c r="B313" s="56" t="n">
        <v>45307.67986111111</v>
      </c>
      <c r="C313" t="inlineStr">
        <is>
          <t>Bluestone Memorial Hospital</t>
        </is>
      </c>
      <c r="D313" t="n">
        <v>41</v>
      </c>
    </row>
    <row r="314">
      <c r="A314" t="inlineStr">
        <is>
          <t>ED200319</t>
        </is>
      </c>
      <c r="B314" s="56" t="n">
        <v>45307.72361111111</v>
      </c>
      <c r="C314" t="inlineStr">
        <is>
          <t>Bluestone Memorial Hospital</t>
        </is>
      </c>
      <c r="D314" t="n">
        <v>39</v>
      </c>
    </row>
    <row r="315">
      <c r="A315" t="inlineStr">
        <is>
          <t>ED200320</t>
        </is>
      </c>
      <c r="B315" s="56" t="n">
        <v>45307.775</v>
      </c>
      <c r="C315" t="inlineStr">
        <is>
          <t>Bluestone Memorial Hospital</t>
        </is>
      </c>
      <c r="D315" t="n">
        <v>42</v>
      </c>
    </row>
    <row r="316">
      <c r="A316" t="inlineStr">
        <is>
          <t>ED200321</t>
        </is>
      </c>
      <c r="B316" s="56" t="n">
        <v>45307.80416666667</v>
      </c>
      <c r="C316" t="inlineStr">
        <is>
          <t>Bluestone Memorial Hospital</t>
        </is>
      </c>
      <c r="D316" t="n">
        <v>28</v>
      </c>
    </row>
    <row r="317">
      <c r="A317" t="inlineStr">
        <is>
          <t>ED200322</t>
        </is>
      </c>
      <c r="B317" s="56" t="n">
        <v>45307.88055555556</v>
      </c>
      <c r="C317" t="inlineStr">
        <is>
          <t>Ashby Falls Community Hospital</t>
        </is>
      </c>
      <c r="D317" t="n">
        <v>72</v>
      </c>
    </row>
    <row r="318">
      <c r="A318" t="inlineStr">
        <is>
          <t>ED200323</t>
        </is>
      </c>
      <c r="B318" s="56" t="n">
        <v>45307.99583333333</v>
      </c>
      <c r="C318" t="inlineStr">
        <is>
          <t>Bluestone Memorial Hospital</t>
        </is>
      </c>
      <c r="D318" t="n">
        <v>17</v>
      </c>
    </row>
    <row r="319">
      <c r="A319" t="inlineStr">
        <is>
          <t>ED200324</t>
        </is>
      </c>
      <c r="B319" s="56" t="n">
        <v>45308.02222222222</v>
      </c>
      <c r="C319" t="inlineStr">
        <is>
          <t>Ashby Falls Community Hospital</t>
        </is>
      </c>
      <c r="D319" t="n">
        <v>25</v>
      </c>
    </row>
    <row r="320">
      <c r="A320" t="inlineStr">
        <is>
          <t>ED200325</t>
        </is>
      </c>
      <c r="B320" s="56" t="n">
        <v>45308.0375</v>
      </c>
      <c r="C320" t="inlineStr">
        <is>
          <t>Bluestone Memorial Hospital</t>
        </is>
      </c>
      <c r="D320" t="n">
        <v>52</v>
      </c>
    </row>
    <row r="321">
      <c r="A321" t="inlineStr">
        <is>
          <t>ED200326</t>
        </is>
      </c>
      <c r="B321" s="56" t="n">
        <v>45308.05069444444</v>
      </c>
      <c r="C321" t="inlineStr">
        <is>
          <t>Bluestone Memorial Hospital</t>
        </is>
      </c>
      <c r="D321" t="n">
        <v>89</v>
      </c>
    </row>
    <row r="322">
      <c r="A322" t="inlineStr">
        <is>
          <t>ED200327</t>
        </is>
      </c>
      <c r="B322" s="56" t="n">
        <v>45308.14861111111</v>
      </c>
      <c r="C322" t="inlineStr">
        <is>
          <t>Ashby Falls Community Hospital</t>
        </is>
      </c>
      <c r="D322" t="n">
        <v>27</v>
      </c>
    </row>
    <row r="323">
      <c r="A323" t="inlineStr">
        <is>
          <t>ED200328</t>
        </is>
      </c>
      <c r="B323" s="56" t="n">
        <v>45308.33333333334</v>
      </c>
      <c r="C323" t="inlineStr">
        <is>
          <t>Bluestone Memorial Hospital</t>
        </is>
      </c>
      <c r="D323" t="n">
        <v>65</v>
      </c>
    </row>
    <row r="324">
      <c r="A324" t="inlineStr">
        <is>
          <t>ED200329</t>
        </is>
      </c>
      <c r="B324" s="56" t="n">
        <v>45308.37777777778</v>
      </c>
      <c r="C324" t="inlineStr">
        <is>
          <t>Bluestone Memorial Hospital</t>
        </is>
      </c>
      <c r="D324" t="n">
        <v>84</v>
      </c>
    </row>
    <row r="325">
      <c r="A325" t="inlineStr">
        <is>
          <t>ED200330</t>
        </is>
      </c>
      <c r="B325" s="56" t="n">
        <v>45308.46527777778</v>
      </c>
      <c r="C325" t="inlineStr">
        <is>
          <t>Bluestone Memorial Hospital</t>
        </is>
      </c>
      <c r="D325" t="n">
        <v>35</v>
      </c>
    </row>
    <row r="326">
      <c r="A326" t="inlineStr">
        <is>
          <t>ED200331</t>
        </is>
      </c>
      <c r="B326" s="56" t="n">
        <v>45308.48888888889</v>
      </c>
      <c r="C326" t="inlineStr">
        <is>
          <t>Bluestone Memorial Hospital</t>
        </is>
      </c>
      <c r="D326" t="n">
        <v>37</v>
      </c>
    </row>
    <row r="327">
      <c r="A327" t="inlineStr">
        <is>
          <t>ED200332</t>
        </is>
      </c>
      <c r="B327" s="56" t="n">
        <v>45308.52222222222</v>
      </c>
      <c r="C327" t="inlineStr">
        <is>
          <t>Bluestone Memorial Hospital</t>
        </is>
      </c>
      <c r="D327" t="n">
        <v>27</v>
      </c>
    </row>
    <row r="328">
      <c r="A328" t="inlineStr">
        <is>
          <t>ED200333</t>
        </is>
      </c>
      <c r="B328" s="56" t="n">
        <v>45308.55</v>
      </c>
      <c r="C328" t="inlineStr">
        <is>
          <t>Bluestone Memorial Hospital</t>
        </is>
      </c>
      <c r="D328" t="n">
        <v>162</v>
      </c>
    </row>
    <row r="329">
      <c r="A329" t="inlineStr">
        <is>
          <t>ED200334</t>
        </is>
      </c>
      <c r="B329" s="56" t="n">
        <v>45308.56944444445</v>
      </c>
      <c r="C329" t="inlineStr">
        <is>
          <t>Cedar Ridge Medical Center</t>
        </is>
      </c>
      <c r="D329" t="n">
        <v>68</v>
      </c>
    </row>
    <row r="330">
      <c r="A330" t="inlineStr">
        <is>
          <t>ED200335</t>
        </is>
      </c>
      <c r="B330" s="56" t="n">
        <v>45308.58611111111</v>
      </c>
      <c r="C330" t="inlineStr">
        <is>
          <t>Bluestone Memorial Hospital</t>
        </is>
      </c>
      <c r="D330" t="n">
        <v>15</v>
      </c>
    </row>
    <row r="331">
      <c r="A331" t="inlineStr">
        <is>
          <t>ED200336</t>
        </is>
      </c>
      <c r="B331" s="56" t="n">
        <v>45308.58958333333</v>
      </c>
      <c r="C331" t="inlineStr">
        <is>
          <t>Bluestone Memorial Hospital</t>
        </is>
      </c>
      <c r="D331" t="n">
        <v>30</v>
      </c>
    </row>
    <row r="332">
      <c r="A332" t="inlineStr">
        <is>
          <t>ED200337</t>
        </is>
      </c>
      <c r="B332" s="56" t="n">
        <v>45308.64236111111</v>
      </c>
      <c r="C332" t="inlineStr">
        <is>
          <t>Cedar Ridge Medical Center</t>
        </is>
      </c>
      <c r="D332" t="n">
        <v>9</v>
      </c>
    </row>
    <row r="333">
      <c r="A333" t="inlineStr">
        <is>
          <t>ED200338</t>
        </is>
      </c>
      <c r="B333" s="56" t="n">
        <v>45308.71527777778</v>
      </c>
      <c r="C333" t="inlineStr">
        <is>
          <t>Ashby Falls Community Hospital</t>
        </is>
      </c>
      <c r="D333" t="n">
        <v>15</v>
      </c>
    </row>
    <row r="334">
      <c r="A334" t="inlineStr">
        <is>
          <t>ED200339</t>
        </is>
      </c>
      <c r="B334" s="56" t="n">
        <v>45308.73263888889</v>
      </c>
      <c r="C334" t="inlineStr">
        <is>
          <t>Bluestone Memorial Hospital</t>
        </is>
      </c>
      <c r="D334" t="n">
        <v>44</v>
      </c>
    </row>
    <row r="335">
      <c r="A335" t="inlineStr">
        <is>
          <t>ED200341</t>
        </is>
      </c>
      <c r="B335" s="56" t="n">
        <v>45308.76597222222</v>
      </c>
      <c r="C335" t="inlineStr">
        <is>
          <t>Bluestone Memorial Hospital</t>
        </is>
      </c>
      <c r="D335" t="n">
        <v>67</v>
      </c>
    </row>
    <row r="336">
      <c r="A336" t="inlineStr">
        <is>
          <t>ED200342</t>
        </is>
      </c>
      <c r="B336" s="56" t="n">
        <v>45308.78472222222</v>
      </c>
      <c r="C336" t="inlineStr">
        <is>
          <t>Bluestone Memorial Hospital</t>
        </is>
      </c>
      <c r="D336" t="n">
        <v>68</v>
      </c>
    </row>
    <row r="337">
      <c r="A337" t="inlineStr">
        <is>
          <t>ED200343</t>
        </is>
      </c>
      <c r="B337" s="56" t="n">
        <v>45308.81041666667</v>
      </c>
      <c r="C337" t="inlineStr">
        <is>
          <t>Cedar Ridge Medical Center</t>
        </is>
      </c>
      <c r="D337" t="n">
        <v>59</v>
      </c>
    </row>
    <row r="338">
      <c r="A338" t="inlineStr">
        <is>
          <t>ED200344</t>
        </is>
      </c>
      <c r="B338" s="56" t="n">
        <v>45308.84930555556</v>
      </c>
      <c r="C338" t="inlineStr">
        <is>
          <t>Bluestone Memorial Hospital</t>
        </is>
      </c>
      <c r="D338" t="n">
        <v>16</v>
      </c>
    </row>
    <row r="339">
      <c r="A339" t="inlineStr">
        <is>
          <t>ED200345</t>
        </is>
      </c>
      <c r="B339" s="56" t="n">
        <v>45308.87291666667</v>
      </c>
      <c r="C339" t="inlineStr">
        <is>
          <t>Bluestone Memorial Hospital</t>
        </is>
      </c>
      <c r="D339" t="n">
        <v>16</v>
      </c>
    </row>
    <row r="340">
      <c r="A340" t="inlineStr">
        <is>
          <t>ED200346</t>
        </is>
      </c>
      <c r="B340" s="56" t="n">
        <v>45308.94722222222</v>
      </c>
      <c r="C340" t="inlineStr">
        <is>
          <t>Bluestone Memorial Hospital</t>
        </is>
      </c>
      <c r="D340" t="n">
        <v>57</v>
      </c>
    </row>
    <row r="341">
      <c r="A341" t="inlineStr">
        <is>
          <t>ED200347</t>
        </is>
      </c>
      <c r="B341" s="56" t="n">
        <v>45309.03402777778</v>
      </c>
      <c r="C341" t="inlineStr">
        <is>
          <t>Bluestone Memorial Hospital</t>
        </is>
      </c>
      <c r="D341" t="n">
        <v>29</v>
      </c>
    </row>
    <row r="342">
      <c r="A342" t="inlineStr">
        <is>
          <t>ED200348</t>
        </is>
      </c>
      <c r="B342" s="56" t="n">
        <v>45309.14097222222</v>
      </c>
      <c r="C342" t="inlineStr">
        <is>
          <t>Bluestone Memorial Hospital</t>
        </is>
      </c>
      <c r="D342" t="n">
        <v>3</v>
      </c>
    </row>
    <row r="343">
      <c r="A343" t="inlineStr">
        <is>
          <t>ED200349</t>
        </is>
      </c>
      <c r="B343" s="56" t="n">
        <v>45309.14652777778</v>
      </c>
      <c r="C343" t="inlineStr">
        <is>
          <t>Bluestone Memorial Hospital</t>
        </is>
      </c>
      <c r="D343" t="n">
        <v>39</v>
      </c>
    </row>
    <row r="344">
      <c r="A344" t="inlineStr">
        <is>
          <t>ED200350</t>
        </is>
      </c>
      <c r="B344" s="56" t="n">
        <v>45309.35416666666</v>
      </c>
      <c r="C344" t="inlineStr">
        <is>
          <t>Bluestone Memorial Hospital</t>
        </is>
      </c>
      <c r="D344" t="n">
        <v>21</v>
      </c>
    </row>
    <row r="345">
      <c r="A345" t="inlineStr">
        <is>
          <t>ED200351</t>
        </is>
      </c>
      <c r="B345" s="56" t="n">
        <v>45309.38055555556</v>
      </c>
      <c r="C345" t="inlineStr">
        <is>
          <t>Bluestone Memorial Hospital</t>
        </is>
      </c>
      <c r="D345" t="n">
        <v>19</v>
      </c>
    </row>
    <row r="346">
      <c r="A346" t="inlineStr">
        <is>
          <t>ED200352</t>
        </is>
      </c>
      <c r="B346" s="56" t="n">
        <v>45309.39791666667</v>
      </c>
      <c r="C346" t="inlineStr">
        <is>
          <t>Bluestone Memorial Hospital</t>
        </is>
      </c>
      <c r="D346" t="n">
        <v>16</v>
      </c>
    </row>
    <row r="347">
      <c r="A347" t="inlineStr">
        <is>
          <t>ED200353</t>
        </is>
      </c>
      <c r="B347" s="56" t="n">
        <v>45309.40416666667</v>
      </c>
      <c r="C347" t="inlineStr">
        <is>
          <t>Bluestone Memorial Hospital</t>
        </is>
      </c>
      <c r="D347" t="n">
        <v>57</v>
      </c>
    </row>
    <row r="348">
      <c r="A348" t="inlineStr">
        <is>
          <t>ED200354</t>
        </is>
      </c>
      <c r="B348" s="56" t="n">
        <v>45309.41180555556</v>
      </c>
      <c r="C348" t="inlineStr">
        <is>
          <t>Cedar Ridge Medical Center</t>
        </is>
      </c>
      <c r="D348" t="n">
        <v>110</v>
      </c>
    </row>
    <row r="349">
      <c r="A349" t="inlineStr">
        <is>
          <t>ED200355</t>
        </is>
      </c>
      <c r="B349" s="56" t="n">
        <v>45309.47777777778</v>
      </c>
      <c r="C349" t="inlineStr">
        <is>
          <t>Ashby Falls Community Hospital</t>
        </is>
      </c>
      <c r="D349" t="n">
        <v>104</v>
      </c>
    </row>
    <row r="350">
      <c r="A350" t="inlineStr">
        <is>
          <t>ED200356</t>
        </is>
      </c>
      <c r="B350" s="56" t="n">
        <v>45309.51388888889</v>
      </c>
      <c r="C350" t="inlineStr">
        <is>
          <t>Ashby Falls Community Hospital</t>
        </is>
      </c>
      <c r="D350" t="n">
        <v>67</v>
      </c>
    </row>
    <row r="351">
      <c r="A351" t="inlineStr">
        <is>
          <t>ED200357</t>
        </is>
      </c>
      <c r="B351" s="56" t="n">
        <v>45309.58680555555</v>
      </c>
      <c r="C351" t="inlineStr">
        <is>
          <t>Bluestone Memorial Hospital</t>
        </is>
      </c>
      <c r="D351" t="n">
        <v>23</v>
      </c>
    </row>
    <row r="352">
      <c r="A352" t="inlineStr">
        <is>
          <t>ED200358</t>
        </is>
      </c>
      <c r="B352" s="56" t="n">
        <v>45309.59791666667</v>
      </c>
      <c r="C352" t="inlineStr">
        <is>
          <t>Cedar Ridge Medical Center</t>
        </is>
      </c>
      <c r="D352" t="n">
        <v>57</v>
      </c>
    </row>
    <row r="353">
      <c r="A353" t="inlineStr">
        <is>
          <t>ED200359</t>
        </is>
      </c>
      <c r="B353" s="56" t="n">
        <v>45309.62013888889</v>
      </c>
      <c r="C353" t="inlineStr">
        <is>
          <t>Cedar Ridge Medical Center</t>
        </is>
      </c>
      <c r="D353" t="n">
        <v>37</v>
      </c>
    </row>
    <row r="354">
      <c r="A354" t="inlineStr">
        <is>
          <t>ED200360</t>
        </is>
      </c>
      <c r="B354" s="56" t="n">
        <v>45309.675</v>
      </c>
      <c r="C354" t="inlineStr">
        <is>
          <t>Bluestone Memorial Hospital</t>
        </is>
      </c>
      <c r="D354" t="n">
        <v>10</v>
      </c>
    </row>
    <row r="355">
      <c r="A355" t="inlineStr">
        <is>
          <t>ED200361</t>
        </is>
      </c>
      <c r="B355" s="56" t="n">
        <v>45309.75208333333</v>
      </c>
      <c r="C355" t="inlineStr">
        <is>
          <t>Bluestone Memorial Hospital</t>
        </is>
      </c>
      <c r="D355" t="n">
        <v>8</v>
      </c>
    </row>
    <row r="356">
      <c r="A356" t="inlineStr">
        <is>
          <t>ED200362</t>
        </is>
      </c>
      <c r="B356" s="56" t="n">
        <v>45309.75416666667</v>
      </c>
      <c r="C356" t="inlineStr">
        <is>
          <t>Bluestone Memorial Hospital</t>
        </is>
      </c>
      <c r="D356" t="n">
        <v>23</v>
      </c>
    </row>
    <row r="357">
      <c r="A357" t="inlineStr">
        <is>
          <t>ED200363</t>
        </is>
      </c>
      <c r="B357" s="56" t="n">
        <v>45309.82777777778</v>
      </c>
      <c r="C357" t="inlineStr">
        <is>
          <t>Bluestone Memorial Hospital</t>
        </is>
      </c>
      <c r="D357" t="n">
        <v>22</v>
      </c>
    </row>
    <row r="358">
      <c r="A358" t="inlineStr">
        <is>
          <t>ED200364</t>
        </is>
      </c>
      <c r="B358" s="56" t="n">
        <v>45309.87291666667</v>
      </c>
      <c r="C358" t="inlineStr">
        <is>
          <t>Bluestone Memorial Hospital</t>
        </is>
      </c>
      <c r="D358" t="n">
        <v>70</v>
      </c>
    </row>
    <row r="359">
      <c r="A359" t="inlineStr">
        <is>
          <t>ED200365</t>
        </is>
      </c>
      <c r="B359" s="56" t="n">
        <v>45309.97569444445</v>
      </c>
      <c r="C359" t="inlineStr">
        <is>
          <t>Bluestone Memorial Hospital</t>
        </is>
      </c>
      <c r="D359" t="n">
        <v>6</v>
      </c>
    </row>
    <row r="360">
      <c r="A360" t="inlineStr">
        <is>
          <t>ED200366</t>
        </is>
      </c>
      <c r="B360" s="56" t="n">
        <v>45309.98263888889</v>
      </c>
      <c r="C360" t="inlineStr">
        <is>
          <t>Cedar Ridge Medical Center</t>
        </is>
      </c>
      <c r="D360" t="n">
        <v>34</v>
      </c>
    </row>
    <row r="361">
      <c r="A361" t="inlineStr">
        <is>
          <t>ED200367</t>
        </is>
      </c>
      <c r="B361" s="56" t="n">
        <v>45309.99513888889</v>
      </c>
      <c r="C361" t="inlineStr">
        <is>
          <t>Bluestone Memorial Hospital</t>
        </is>
      </c>
      <c r="D361" t="n">
        <v>23</v>
      </c>
    </row>
    <row r="362">
      <c r="A362" t="inlineStr">
        <is>
          <t>ED200368</t>
        </is>
      </c>
      <c r="B362" s="56" t="n">
        <v>45310.21944444445</v>
      </c>
      <c r="C362" t="inlineStr">
        <is>
          <t>Ashby Falls Community Hospital</t>
        </is>
      </c>
      <c r="D362" t="n">
        <v>21</v>
      </c>
    </row>
    <row r="363">
      <c r="A363" t="inlineStr">
        <is>
          <t>ED200369</t>
        </is>
      </c>
      <c r="B363" s="56" t="n">
        <v>45310.38125</v>
      </c>
      <c r="C363" t="inlineStr">
        <is>
          <t>Ashby Falls Community Hospital</t>
        </is>
      </c>
      <c r="D363" t="n">
        <v>33</v>
      </c>
    </row>
    <row r="364">
      <c r="A364" t="inlineStr">
        <is>
          <t>ED200370</t>
        </is>
      </c>
      <c r="B364" s="56" t="n">
        <v>45310.56597222222</v>
      </c>
      <c r="C364" t="inlineStr">
        <is>
          <t>Cedar Ridge Medical Center</t>
        </is>
      </c>
      <c r="D364" t="n">
        <v>70</v>
      </c>
    </row>
    <row r="365">
      <c r="A365" t="inlineStr">
        <is>
          <t>ED200371</t>
        </is>
      </c>
      <c r="B365" s="56" t="n">
        <v>45310.56805555556</v>
      </c>
      <c r="C365" t="inlineStr">
        <is>
          <t>Bluestone Memorial Hospital</t>
        </is>
      </c>
      <c r="D365" t="n">
        <v>87</v>
      </c>
    </row>
    <row r="366">
      <c r="A366" t="inlineStr">
        <is>
          <t>ED200372</t>
        </is>
      </c>
      <c r="B366" s="56" t="n">
        <v>45310.70763888889</v>
      </c>
      <c r="C366" t="inlineStr">
        <is>
          <t>Bluestone Memorial Hospital</t>
        </is>
      </c>
      <c r="D366" t="n">
        <v>70</v>
      </c>
    </row>
    <row r="367">
      <c r="A367" t="inlineStr">
        <is>
          <t>ED200373</t>
        </is>
      </c>
      <c r="B367" s="56" t="n">
        <v>45310.78541666667</v>
      </c>
      <c r="C367" t="inlineStr">
        <is>
          <t>Bluestone Memorial Hospital</t>
        </is>
      </c>
      <c r="D367" t="n">
        <v>12</v>
      </c>
    </row>
    <row r="368">
      <c r="A368" t="inlineStr">
        <is>
          <t>ED200374</t>
        </is>
      </c>
      <c r="B368" s="56" t="n">
        <v>45310.80138888889</v>
      </c>
      <c r="C368" t="inlineStr">
        <is>
          <t>Bluestone Memorial Hospital</t>
        </is>
      </c>
      <c r="D368" t="n">
        <v>128</v>
      </c>
    </row>
    <row r="369">
      <c r="A369" t="inlineStr">
        <is>
          <t>ED200375</t>
        </is>
      </c>
      <c r="B369" s="56" t="n">
        <v>45310.80138888889</v>
      </c>
      <c r="C369" t="inlineStr">
        <is>
          <t>Bluestone Memorial Hospital</t>
        </is>
      </c>
      <c r="D369" t="n">
        <v>5</v>
      </c>
    </row>
    <row r="370">
      <c r="A370" t="inlineStr">
        <is>
          <t>ED200376</t>
        </is>
      </c>
      <c r="B370" s="56" t="n">
        <v>45310.90138888889</v>
      </c>
      <c r="C370" t="inlineStr">
        <is>
          <t>Bluestone Memorial Hospital</t>
        </is>
      </c>
      <c r="D370" t="n">
        <v>14</v>
      </c>
    </row>
    <row r="371">
      <c r="A371" t="inlineStr">
        <is>
          <t>ED200377</t>
        </is>
      </c>
      <c r="B371" s="56" t="n">
        <v>45310.91736111111</v>
      </c>
      <c r="C371" t="inlineStr">
        <is>
          <t>Bluestone Memorial Hospital</t>
        </is>
      </c>
      <c r="D371" t="n">
        <v>2</v>
      </c>
    </row>
    <row r="372">
      <c r="A372" t="inlineStr">
        <is>
          <t>ED200378</t>
        </is>
      </c>
      <c r="B372" s="56" t="n">
        <v>45311.05277777778</v>
      </c>
      <c r="C372" t="inlineStr">
        <is>
          <t>Bluestone Memorial Hospital</t>
        </is>
      </c>
      <c r="D372" t="n">
        <v>25</v>
      </c>
    </row>
    <row r="373">
      <c r="A373" t="inlineStr">
        <is>
          <t>ED200379</t>
        </is>
      </c>
      <c r="B373" s="56" t="n">
        <v>45311.40069444444</v>
      </c>
      <c r="C373" t="inlineStr">
        <is>
          <t>Bluestone Memorial Hospital</t>
        </is>
      </c>
      <c r="D373" t="n">
        <v>35</v>
      </c>
    </row>
    <row r="374">
      <c r="A374" t="inlineStr">
        <is>
          <t>ED200380</t>
        </is>
      </c>
      <c r="B374" s="56" t="n">
        <v>45311.42638888889</v>
      </c>
      <c r="C374" t="inlineStr">
        <is>
          <t>Bluestone Memorial Hospital</t>
        </is>
      </c>
      <c r="D374" t="n">
        <v>88</v>
      </c>
    </row>
    <row r="375">
      <c r="A375" t="inlineStr">
        <is>
          <t>ED200381</t>
        </is>
      </c>
      <c r="B375" s="56" t="n">
        <v>45311.45</v>
      </c>
      <c r="C375" t="inlineStr">
        <is>
          <t>Bluestone Memorial Hospital</t>
        </is>
      </c>
      <c r="D375" t="n">
        <v>27</v>
      </c>
    </row>
    <row r="376">
      <c r="A376" t="inlineStr">
        <is>
          <t>ED200382</t>
        </is>
      </c>
      <c r="B376" s="56" t="n">
        <v>45311.49583333333</v>
      </c>
      <c r="C376" t="inlineStr">
        <is>
          <t>Bluestone Memorial Hospital</t>
        </is>
      </c>
      <c r="D376" t="n">
        <v>15</v>
      </c>
    </row>
    <row r="377">
      <c r="A377" t="inlineStr">
        <is>
          <t>ED200383</t>
        </is>
      </c>
      <c r="B377" s="56" t="n">
        <v>45311.53263888889</v>
      </c>
      <c r="C377" t="inlineStr">
        <is>
          <t>Ashby Falls Community Hospital</t>
        </is>
      </c>
      <c r="D377" t="n">
        <v>11</v>
      </c>
    </row>
    <row r="378">
      <c r="A378" t="inlineStr">
        <is>
          <t>ED200384</t>
        </is>
      </c>
      <c r="B378" s="56" t="n">
        <v>45311.54583333333</v>
      </c>
      <c r="C378" t="inlineStr">
        <is>
          <t>Ashby Falls Community Hospital</t>
        </is>
      </c>
      <c r="D378" t="n">
        <v>53</v>
      </c>
    </row>
    <row r="379">
      <c r="A379" t="inlineStr">
        <is>
          <t>ED200385</t>
        </is>
      </c>
      <c r="B379" s="56" t="n">
        <v>45311.59305555555</v>
      </c>
      <c r="C379" t="inlineStr">
        <is>
          <t>Bluestone Memorial Hospital</t>
        </is>
      </c>
      <c r="D379" t="n">
        <v>36</v>
      </c>
    </row>
    <row r="380">
      <c r="A380" t="inlineStr">
        <is>
          <t>ED200386</t>
        </is>
      </c>
      <c r="B380" s="56" t="n">
        <v>45311.59375</v>
      </c>
      <c r="C380" t="inlineStr">
        <is>
          <t>Bluestone Memorial Hospital</t>
        </is>
      </c>
      <c r="D380" t="n">
        <v>19</v>
      </c>
    </row>
    <row r="381">
      <c r="A381" t="inlineStr">
        <is>
          <t>ED200387</t>
        </is>
      </c>
      <c r="B381" s="56" t="n">
        <v>45311.66111111111</v>
      </c>
      <c r="C381" t="inlineStr">
        <is>
          <t>Ashby Falls Community Hospital</t>
        </is>
      </c>
      <c r="D381" t="n">
        <v>41</v>
      </c>
    </row>
    <row r="382">
      <c r="A382" t="inlineStr">
        <is>
          <t>ED200388</t>
        </is>
      </c>
      <c r="B382" s="56" t="n">
        <v>45311.75138888889</v>
      </c>
      <c r="C382" t="inlineStr">
        <is>
          <t>Bluestone Memorial Hospital</t>
        </is>
      </c>
      <c r="D382" t="n">
        <v>18</v>
      </c>
    </row>
    <row r="383">
      <c r="A383" t="inlineStr">
        <is>
          <t>ED200389</t>
        </is>
      </c>
      <c r="B383" s="56" t="n">
        <v>45311.76041666666</v>
      </c>
      <c r="C383" t="inlineStr">
        <is>
          <t>Bluestone Memorial Hospital</t>
        </is>
      </c>
      <c r="D383" t="n">
        <v>75</v>
      </c>
    </row>
    <row r="384">
      <c r="A384" t="inlineStr">
        <is>
          <t>ED200390</t>
        </is>
      </c>
      <c r="B384" s="56" t="n">
        <v>45311.77847222222</v>
      </c>
      <c r="C384" t="inlineStr">
        <is>
          <t>Bluestone Memorial Hospital</t>
        </is>
      </c>
      <c r="D384" t="n">
        <v>50</v>
      </c>
    </row>
    <row r="385">
      <c r="A385" t="inlineStr">
        <is>
          <t>ED200391</t>
        </is>
      </c>
      <c r="B385" s="56" t="n">
        <v>45311.7875</v>
      </c>
      <c r="C385" t="inlineStr">
        <is>
          <t>Bluestone Memorial Hospital</t>
        </is>
      </c>
      <c r="D385" t="n">
        <v>41</v>
      </c>
    </row>
    <row r="386">
      <c r="A386" t="inlineStr">
        <is>
          <t>ED200392</t>
        </is>
      </c>
      <c r="B386" s="56" t="n">
        <v>45311.83055555556</v>
      </c>
      <c r="C386" t="inlineStr">
        <is>
          <t>Bluestone Memorial Hospital</t>
        </is>
      </c>
      <c r="D386" t="n">
        <v>82</v>
      </c>
    </row>
    <row r="387">
      <c r="A387" t="inlineStr">
        <is>
          <t>ED200393</t>
        </is>
      </c>
      <c r="B387" s="56" t="n">
        <v>45312.01736111111</v>
      </c>
      <c r="C387" t="inlineStr">
        <is>
          <t>Bluestone Memorial Hospital</t>
        </is>
      </c>
      <c r="D387" t="n">
        <v>48</v>
      </c>
    </row>
    <row r="388">
      <c r="A388" t="inlineStr">
        <is>
          <t>ED200394</t>
        </is>
      </c>
      <c r="B388" s="56" t="n">
        <v>45312.05972222222</v>
      </c>
      <c r="C388" t="inlineStr">
        <is>
          <t>Bluestone Memorial Hospital</t>
        </is>
      </c>
      <c r="D388" t="n">
        <v>29</v>
      </c>
    </row>
    <row r="389">
      <c r="A389" t="inlineStr">
        <is>
          <t>ED200395</t>
        </is>
      </c>
      <c r="B389" s="56" t="n">
        <v>45312.31666666667</v>
      </c>
      <c r="C389" t="inlineStr">
        <is>
          <t>Ashby Falls Community Hospital</t>
        </is>
      </c>
      <c r="D389" t="n">
        <v>261</v>
      </c>
    </row>
    <row r="390">
      <c r="A390" t="inlineStr">
        <is>
          <t>ED200396</t>
        </is>
      </c>
      <c r="B390" s="56" t="n">
        <v>45312.32708333333</v>
      </c>
      <c r="C390" t="inlineStr">
        <is>
          <t>Cedar Ridge Medical Center</t>
        </is>
      </c>
      <c r="D390" t="n">
        <v>80</v>
      </c>
    </row>
    <row r="391">
      <c r="A391" t="inlineStr">
        <is>
          <t>ED200397</t>
        </is>
      </c>
      <c r="B391" s="56" t="n">
        <v>45312.36111111111</v>
      </c>
      <c r="C391" t="inlineStr">
        <is>
          <t>Bluestone Memorial Hospital</t>
        </is>
      </c>
      <c r="D391" t="n">
        <v>48</v>
      </c>
    </row>
    <row r="392">
      <c r="A392" t="inlineStr">
        <is>
          <t>ED200398</t>
        </is>
      </c>
      <c r="B392" s="56" t="n">
        <v>45312.37916666667</v>
      </c>
      <c r="C392" t="inlineStr">
        <is>
          <t>Ashby Falls Community Hospital</t>
        </is>
      </c>
      <c r="D392" t="n">
        <v>10</v>
      </c>
    </row>
    <row r="393">
      <c r="A393" t="inlineStr">
        <is>
          <t>ED200399</t>
        </is>
      </c>
      <c r="B393" s="56" t="n">
        <v>45312.39930555555</v>
      </c>
      <c r="C393" t="inlineStr">
        <is>
          <t>Cedar Ridge Medical Center</t>
        </is>
      </c>
      <c r="D393" t="n">
        <v>30</v>
      </c>
    </row>
    <row r="394">
      <c r="A394" t="inlineStr">
        <is>
          <t>ED200400</t>
        </is>
      </c>
      <c r="B394" s="56" t="n">
        <v>45312.45069444444</v>
      </c>
      <c r="C394" t="inlineStr">
        <is>
          <t>Ashby Falls Community Hospital</t>
        </is>
      </c>
      <c r="D394" t="n">
        <v>31</v>
      </c>
    </row>
    <row r="395">
      <c r="A395" t="inlineStr">
        <is>
          <t>ED200401</t>
        </is>
      </c>
      <c r="B395" s="56" t="n">
        <v>45312.65486111111</v>
      </c>
      <c r="C395" t="inlineStr">
        <is>
          <t>Bluestone Memorial Hospital</t>
        </is>
      </c>
      <c r="D395" t="n">
        <v>26</v>
      </c>
    </row>
    <row r="396">
      <c r="A396" t="inlineStr">
        <is>
          <t>ED200402</t>
        </is>
      </c>
      <c r="B396" s="56" t="n">
        <v>45312.74097222222</v>
      </c>
      <c r="C396" t="inlineStr">
        <is>
          <t>Ashby Falls Community Hospital</t>
        </is>
      </c>
      <c r="D396" t="n">
        <v>37</v>
      </c>
    </row>
    <row r="397">
      <c r="A397" t="inlineStr">
        <is>
          <t>ED200403</t>
        </is>
      </c>
      <c r="B397" s="56" t="n">
        <v>45312.89444444444</v>
      </c>
      <c r="C397" t="inlineStr">
        <is>
          <t>Bluestone Memorial Hospital</t>
        </is>
      </c>
      <c r="D397" t="n">
        <v>39</v>
      </c>
    </row>
    <row r="398">
      <c r="A398" t="inlineStr">
        <is>
          <t>ED200404</t>
        </is>
      </c>
      <c r="B398" s="56" t="n">
        <v>45312.95763888889</v>
      </c>
      <c r="C398" t="inlineStr">
        <is>
          <t>Bluestone Memorial Hospital</t>
        </is>
      </c>
      <c r="D398" t="n">
        <v>23</v>
      </c>
    </row>
    <row r="399">
      <c r="A399" t="inlineStr">
        <is>
          <t>ED200405</t>
        </is>
      </c>
      <c r="B399" s="56" t="n">
        <v>45312.99027777778</v>
      </c>
      <c r="C399" t="inlineStr">
        <is>
          <t>Bluestone Memorial Hospital</t>
        </is>
      </c>
      <c r="D399" t="n">
        <v>36</v>
      </c>
    </row>
    <row r="400">
      <c r="A400" t="inlineStr">
        <is>
          <t>ED200406</t>
        </is>
      </c>
      <c r="B400" s="56" t="n">
        <v>45313.10416666666</v>
      </c>
      <c r="C400" t="inlineStr">
        <is>
          <t>Cedar Ridge Medical Center</t>
        </is>
      </c>
      <c r="D400" t="n">
        <v>16</v>
      </c>
    </row>
    <row r="401">
      <c r="A401" t="inlineStr">
        <is>
          <t>ED200407</t>
        </is>
      </c>
      <c r="B401" s="56" t="n">
        <v>45313.12847222222</v>
      </c>
      <c r="C401" t="inlineStr">
        <is>
          <t>Cedar Ridge Medical Center</t>
        </is>
      </c>
      <c r="D401" t="n">
        <v>18</v>
      </c>
    </row>
    <row r="402">
      <c r="A402" t="inlineStr">
        <is>
          <t>ED200408</t>
        </is>
      </c>
      <c r="B402" s="56" t="n">
        <v>45313.36736111111</v>
      </c>
      <c r="C402" t="inlineStr">
        <is>
          <t>Cedar Ridge Medical Center</t>
        </is>
      </c>
      <c r="D402" t="n">
        <v>29</v>
      </c>
    </row>
    <row r="403">
      <c r="A403" t="inlineStr">
        <is>
          <t>ED200409</t>
        </is>
      </c>
      <c r="B403" s="56" t="n">
        <v>45313.45277777778</v>
      </c>
      <c r="C403" t="inlineStr">
        <is>
          <t>Bluestone Memorial Hospital</t>
        </is>
      </c>
      <c r="D403" t="n">
        <v>15</v>
      </c>
    </row>
    <row r="404">
      <c r="A404" t="inlineStr">
        <is>
          <t>ED200411</t>
        </is>
      </c>
      <c r="B404" s="56" t="n">
        <v>45313.50416666667</v>
      </c>
      <c r="C404" t="inlineStr">
        <is>
          <t>Bluestone Memorial Hospital</t>
        </is>
      </c>
      <c r="D404" t="n">
        <v>71</v>
      </c>
    </row>
    <row r="405">
      <c r="A405" t="inlineStr">
        <is>
          <t>ED200412</t>
        </is>
      </c>
      <c r="B405" s="56" t="n">
        <v>45313.53541666667</v>
      </c>
      <c r="C405" t="inlineStr">
        <is>
          <t>Bluestone Memorial Hospital</t>
        </is>
      </c>
      <c r="D405" t="n">
        <v>73</v>
      </c>
    </row>
    <row r="406">
      <c r="A406" t="inlineStr">
        <is>
          <t>ED200413</t>
        </is>
      </c>
      <c r="B406" s="56" t="n">
        <v>45313.56875</v>
      </c>
      <c r="C406" t="inlineStr">
        <is>
          <t>Bluestone Memorial Hospital</t>
        </is>
      </c>
      <c r="D406" t="n">
        <v>83</v>
      </c>
    </row>
    <row r="407">
      <c r="A407" t="inlineStr">
        <is>
          <t>ED200414</t>
        </is>
      </c>
      <c r="B407" s="56" t="n">
        <v>45313.66388888889</v>
      </c>
      <c r="C407" t="inlineStr">
        <is>
          <t>Bluestone Memorial Hospital</t>
        </is>
      </c>
      <c r="D407" t="n">
        <v>40</v>
      </c>
    </row>
    <row r="408">
      <c r="A408" t="inlineStr">
        <is>
          <t>ED200415</t>
        </is>
      </c>
      <c r="B408" s="56" t="n">
        <v>45313.73680555556</v>
      </c>
      <c r="C408" t="inlineStr">
        <is>
          <t>Bluestone Memorial Hospital</t>
        </is>
      </c>
      <c r="D408" t="n">
        <v>91</v>
      </c>
    </row>
    <row r="409">
      <c r="A409" t="inlineStr">
        <is>
          <t>ED200416</t>
        </is>
      </c>
      <c r="B409" s="56" t="n">
        <v>45313.75902777778</v>
      </c>
      <c r="C409" t="inlineStr">
        <is>
          <t>Bluestone Memorial Hospital</t>
        </is>
      </c>
      <c r="D409" t="n">
        <v>85</v>
      </c>
    </row>
    <row r="410">
      <c r="A410" t="inlineStr">
        <is>
          <t>ED200417</t>
        </is>
      </c>
      <c r="B410" s="56" t="n">
        <v>45313.90555555555</v>
      </c>
      <c r="C410" t="inlineStr">
        <is>
          <t>Bluestone Memorial Hospital</t>
        </is>
      </c>
      <c r="D410" t="n">
        <v>28</v>
      </c>
    </row>
    <row r="411">
      <c r="A411" t="inlineStr">
        <is>
          <t>ED200418</t>
        </is>
      </c>
      <c r="B411" s="56" t="n">
        <v>45313.94861111111</v>
      </c>
      <c r="C411" t="inlineStr">
        <is>
          <t>Bluestone Memorial Hospital</t>
        </is>
      </c>
      <c r="D411" t="n">
        <v>105</v>
      </c>
    </row>
    <row r="412">
      <c r="A412" t="inlineStr">
        <is>
          <t>ED200419</t>
        </is>
      </c>
      <c r="B412" s="56" t="n">
        <v>45313.99583333333</v>
      </c>
      <c r="C412" t="inlineStr">
        <is>
          <t>Bluestone Memorial Hospital</t>
        </is>
      </c>
      <c r="D412" t="n">
        <v>19</v>
      </c>
    </row>
    <row r="413">
      <c r="A413" t="inlineStr">
        <is>
          <t>ED200420</t>
        </is>
      </c>
      <c r="B413" s="56" t="n">
        <v>45314.15138888889</v>
      </c>
      <c r="C413" t="inlineStr">
        <is>
          <t>Ashby Falls Community Hospital</t>
        </is>
      </c>
      <c r="D413" t="n">
        <v>15</v>
      </c>
    </row>
    <row r="414">
      <c r="A414" t="inlineStr">
        <is>
          <t>ED200421</t>
        </is>
      </c>
      <c r="B414" s="56" t="n">
        <v>45314.21180555555</v>
      </c>
      <c r="C414" t="inlineStr">
        <is>
          <t>Bluestone Memorial Hospital</t>
        </is>
      </c>
      <c r="D414" t="n">
        <v>9</v>
      </c>
    </row>
    <row r="415">
      <c r="A415" t="inlineStr">
        <is>
          <t>ED200422</t>
        </is>
      </c>
      <c r="B415" s="56" t="n">
        <v>45314.30347222222</v>
      </c>
      <c r="C415" t="inlineStr">
        <is>
          <t>Cedar Ridge Medical Center</t>
        </is>
      </c>
      <c r="D415" t="n">
        <v>22</v>
      </c>
    </row>
    <row r="416">
      <c r="A416" t="inlineStr">
        <is>
          <t>ED200423</t>
        </is>
      </c>
      <c r="B416" s="56" t="n">
        <v>45314.34444444445</v>
      </c>
      <c r="C416" t="inlineStr">
        <is>
          <t>Bluestone Memorial Hospital</t>
        </is>
      </c>
      <c r="D416" t="n">
        <v>26</v>
      </c>
    </row>
    <row r="417">
      <c r="A417" t="inlineStr">
        <is>
          <t>ED200424</t>
        </is>
      </c>
      <c r="B417" s="56" t="n">
        <v>45314.63958333333</v>
      </c>
      <c r="C417" t="inlineStr">
        <is>
          <t>Bluestone Memorial Hospital</t>
        </is>
      </c>
      <c r="D417" t="n">
        <v>41</v>
      </c>
    </row>
    <row r="418">
      <c r="A418" t="inlineStr">
        <is>
          <t>ED200425</t>
        </is>
      </c>
      <c r="B418" s="56" t="n">
        <v>45314.66041666667</v>
      </c>
      <c r="C418" t="inlineStr">
        <is>
          <t>Ashby Falls Community Hospital</t>
        </is>
      </c>
      <c r="D418" t="n">
        <v>72</v>
      </c>
    </row>
    <row r="419">
      <c r="A419" t="inlineStr">
        <is>
          <t>ED200427</t>
        </is>
      </c>
      <c r="B419" s="56" t="n">
        <v>45314.67430555556</v>
      </c>
      <c r="C419" t="inlineStr">
        <is>
          <t>Bluestone Memorial Hospital</t>
        </is>
      </c>
      <c r="D419" t="n">
        <v>67</v>
      </c>
    </row>
    <row r="420">
      <c r="A420" t="inlineStr">
        <is>
          <t>ED200428</t>
        </is>
      </c>
      <c r="B420" s="56" t="n">
        <v>45314.67569444444</v>
      </c>
      <c r="C420" t="inlineStr">
        <is>
          <t>Bluestone Memorial Hospital</t>
        </is>
      </c>
      <c r="D420" t="n">
        <v>60</v>
      </c>
    </row>
    <row r="421">
      <c r="A421" t="inlineStr">
        <is>
          <t>ED200429</t>
        </is>
      </c>
      <c r="B421" s="56" t="n">
        <v>45314.69027777778</v>
      </c>
      <c r="C421" t="inlineStr">
        <is>
          <t>Bluestone Memorial Hospital</t>
        </is>
      </c>
      <c r="D421" t="n">
        <v>85</v>
      </c>
    </row>
    <row r="422">
      <c r="A422" t="inlineStr">
        <is>
          <t>ED200430</t>
        </is>
      </c>
      <c r="B422" s="56" t="n">
        <v>45314.70902777778</v>
      </c>
      <c r="C422" t="inlineStr">
        <is>
          <t>Bluestone Memorial Hospital</t>
        </is>
      </c>
      <c r="D422" t="n">
        <v>32</v>
      </c>
    </row>
    <row r="423">
      <c r="A423" t="inlineStr">
        <is>
          <t>ED200431</t>
        </is>
      </c>
      <c r="B423" s="56" t="n">
        <v>45314.71319444444</v>
      </c>
      <c r="C423" t="inlineStr">
        <is>
          <t>Cedar Ridge Medical Center</t>
        </is>
      </c>
      <c r="D423" t="n">
        <v>128</v>
      </c>
    </row>
    <row r="424">
      <c r="A424" t="inlineStr">
        <is>
          <t>ED200432</t>
        </is>
      </c>
      <c r="B424" s="56" t="n">
        <v>45314.73958333334</v>
      </c>
      <c r="C424" t="inlineStr">
        <is>
          <t>Bluestone Memorial Hospital</t>
        </is>
      </c>
      <c r="D424" t="n">
        <v>387</v>
      </c>
    </row>
    <row r="425">
      <c r="A425" t="inlineStr">
        <is>
          <t>ED200433</t>
        </is>
      </c>
      <c r="B425" s="56" t="n">
        <v>45314.78541666667</v>
      </c>
      <c r="C425" t="inlineStr">
        <is>
          <t>Ashby Falls Community Hospital</t>
        </is>
      </c>
      <c r="D425" t="n">
        <v>35</v>
      </c>
    </row>
    <row r="426">
      <c r="A426" t="inlineStr">
        <is>
          <t>ED200434</t>
        </is>
      </c>
      <c r="B426" s="56" t="n">
        <v>45314.87013888889</v>
      </c>
      <c r="C426" t="inlineStr">
        <is>
          <t>Bluestone Memorial Hospital</t>
        </is>
      </c>
      <c r="D426" t="n">
        <v>34</v>
      </c>
    </row>
    <row r="427">
      <c r="A427" t="inlineStr">
        <is>
          <t>ED200435</t>
        </is>
      </c>
      <c r="B427" s="56" t="n">
        <v>45314.91805555556</v>
      </c>
      <c r="C427" t="inlineStr">
        <is>
          <t>Bluestone Memorial Hospital</t>
        </is>
      </c>
      <c r="D427" t="n">
        <v>21</v>
      </c>
    </row>
    <row r="428">
      <c r="A428" t="inlineStr">
        <is>
          <t>ED200436</t>
        </is>
      </c>
      <c r="B428" s="56" t="n">
        <v>45315.04652777778</v>
      </c>
      <c r="C428" t="inlineStr">
        <is>
          <t>Bluestone Memorial Hospital</t>
        </is>
      </c>
      <c r="D428" t="n">
        <v>36</v>
      </c>
    </row>
    <row r="429">
      <c r="A429" t="inlineStr">
        <is>
          <t>ED200437</t>
        </is>
      </c>
      <c r="B429" s="56" t="n">
        <v>45315.08472222222</v>
      </c>
      <c r="C429" t="inlineStr">
        <is>
          <t>Bluestone Memorial Hospital</t>
        </is>
      </c>
      <c r="D429" t="n">
        <v>24</v>
      </c>
    </row>
    <row r="430">
      <c r="A430" t="inlineStr">
        <is>
          <t>ED200438</t>
        </is>
      </c>
      <c r="B430" s="56" t="n">
        <v>45315.25763888889</v>
      </c>
      <c r="C430" t="inlineStr">
        <is>
          <t>Bluestone Memorial Hospital</t>
        </is>
      </c>
      <c r="D430" t="n">
        <v>67</v>
      </c>
    </row>
    <row r="431">
      <c r="A431" t="inlineStr">
        <is>
          <t>ED200440</t>
        </is>
      </c>
      <c r="B431" s="56" t="n">
        <v>45315.36597222222</v>
      </c>
      <c r="C431" t="inlineStr">
        <is>
          <t>Bluestone Memorial Hospital</t>
        </is>
      </c>
      <c r="D431" t="n">
        <v>56</v>
      </c>
    </row>
    <row r="432">
      <c r="A432" t="inlineStr">
        <is>
          <t>ED200441</t>
        </is>
      </c>
      <c r="B432" s="56" t="n">
        <v>45315.37013888889</v>
      </c>
      <c r="C432" t="inlineStr">
        <is>
          <t>Bluestone Memorial Hospital</t>
        </is>
      </c>
      <c r="D432" t="n">
        <v>33</v>
      </c>
    </row>
    <row r="433">
      <c r="A433" t="inlineStr">
        <is>
          <t>ED200442</t>
        </is>
      </c>
      <c r="B433" s="56" t="n">
        <v>45315.41597222222</v>
      </c>
      <c r="C433" t="inlineStr">
        <is>
          <t>Ashby Falls Community Hospital</t>
        </is>
      </c>
      <c r="D433" t="n">
        <v>29</v>
      </c>
    </row>
    <row r="434">
      <c r="A434" t="inlineStr">
        <is>
          <t>ED200443</t>
        </is>
      </c>
      <c r="B434" s="56" t="n">
        <v>45315.42361111111</v>
      </c>
      <c r="C434" t="inlineStr">
        <is>
          <t>Bluestone Memorial Hospital</t>
        </is>
      </c>
      <c r="D434" t="n">
        <v>18</v>
      </c>
    </row>
    <row r="435">
      <c r="A435" t="inlineStr">
        <is>
          <t>ED200444</t>
        </is>
      </c>
      <c r="B435" s="56" t="n">
        <v>45315.43402777778</v>
      </c>
      <c r="C435" t="inlineStr">
        <is>
          <t>Cedar Ridge Medical Center</t>
        </is>
      </c>
      <c r="D435" t="n">
        <v>30</v>
      </c>
    </row>
    <row r="436">
      <c r="A436" t="inlineStr">
        <is>
          <t>ED200445</t>
        </is>
      </c>
      <c r="B436" s="56" t="n">
        <v>45315.43958333333</v>
      </c>
      <c r="C436" t="inlineStr">
        <is>
          <t>Cedar Ridge Medical Center</t>
        </is>
      </c>
      <c r="D436" t="n">
        <v>13</v>
      </c>
    </row>
    <row r="437">
      <c r="A437" t="inlineStr">
        <is>
          <t>ED200446</t>
        </is>
      </c>
      <c r="B437" s="56" t="n">
        <v>45315.45763888889</v>
      </c>
      <c r="C437" t="inlineStr">
        <is>
          <t>Bluestone Memorial Hospital</t>
        </is>
      </c>
      <c r="D437" t="n">
        <v>20</v>
      </c>
    </row>
    <row r="438">
      <c r="A438" t="inlineStr">
        <is>
          <t>ED200447</t>
        </is>
      </c>
      <c r="B438" s="56" t="n">
        <v>45315.46666666667</v>
      </c>
      <c r="C438" t="inlineStr">
        <is>
          <t>Bluestone Memorial Hospital</t>
        </is>
      </c>
      <c r="D438" t="n">
        <v>22</v>
      </c>
    </row>
    <row r="439">
      <c r="A439" t="inlineStr">
        <is>
          <t>ED200448</t>
        </is>
      </c>
      <c r="B439" s="56" t="n">
        <v>45315.46736111111</v>
      </c>
      <c r="C439" t="inlineStr">
        <is>
          <t>Bluestone Memorial Hospital</t>
        </is>
      </c>
      <c r="D439" t="n">
        <v>3</v>
      </c>
    </row>
    <row r="440">
      <c r="A440" t="inlineStr">
        <is>
          <t>ED200449</t>
        </is>
      </c>
      <c r="B440" s="56" t="n">
        <v>45315.51805555556</v>
      </c>
      <c r="C440" t="inlineStr">
        <is>
          <t>Bluestone Memorial Hospital</t>
        </is>
      </c>
      <c r="D440" t="n">
        <v>72</v>
      </c>
    </row>
    <row r="441">
      <c r="A441" t="inlineStr">
        <is>
          <t>ED200450</t>
        </is>
      </c>
      <c r="B441" s="56" t="n">
        <v>45315.52777777778</v>
      </c>
      <c r="C441" t="inlineStr">
        <is>
          <t>Bluestone Memorial Hospital</t>
        </is>
      </c>
      <c r="D441" t="n">
        <v>69</v>
      </c>
    </row>
    <row r="442">
      <c r="A442" t="inlineStr">
        <is>
          <t>ED200451</t>
        </is>
      </c>
      <c r="B442" s="56" t="n">
        <v>45315.52916666667</v>
      </c>
      <c r="C442" t="inlineStr">
        <is>
          <t>Cedar Ridge Medical Center</t>
        </is>
      </c>
      <c r="D442" t="n">
        <v>89</v>
      </c>
    </row>
    <row r="443">
      <c r="A443" t="inlineStr">
        <is>
          <t>ED200452</t>
        </is>
      </c>
      <c r="B443" s="56" t="n">
        <v>45315.52986111111</v>
      </c>
      <c r="C443" t="inlineStr">
        <is>
          <t>Bluestone Memorial Hospital</t>
        </is>
      </c>
      <c r="D443" t="n">
        <v>34</v>
      </c>
    </row>
    <row r="444">
      <c r="A444" t="inlineStr">
        <is>
          <t>ED200453</t>
        </is>
      </c>
      <c r="B444" s="56" t="n">
        <v>45315.55555555555</v>
      </c>
      <c r="C444" t="inlineStr">
        <is>
          <t>Bluestone Memorial Hospital</t>
        </is>
      </c>
      <c r="D444" t="n">
        <v>37</v>
      </c>
    </row>
    <row r="445">
      <c r="A445" t="inlineStr">
        <is>
          <t>ED200454</t>
        </is>
      </c>
      <c r="B445" s="56" t="n">
        <v>45315.67083333333</v>
      </c>
      <c r="C445" t="inlineStr">
        <is>
          <t>Ashby Falls Community Hospital</t>
        </is>
      </c>
      <c r="D445" t="n">
        <v>65</v>
      </c>
    </row>
    <row r="446">
      <c r="A446" t="inlineStr">
        <is>
          <t>ED200455</t>
        </is>
      </c>
      <c r="B446" s="56" t="n">
        <v>45315.68055555555</v>
      </c>
      <c r="C446" t="inlineStr">
        <is>
          <t>Bluestone Memorial Hospital</t>
        </is>
      </c>
      <c r="D446" t="n">
        <v>47</v>
      </c>
    </row>
    <row r="447">
      <c r="A447" t="inlineStr">
        <is>
          <t>ED200456</t>
        </is>
      </c>
      <c r="B447" s="56" t="n">
        <v>45315.68333333333</v>
      </c>
      <c r="C447" t="inlineStr">
        <is>
          <t>Cedar Ridge Medical Center</t>
        </is>
      </c>
      <c r="D447" t="n">
        <v>19</v>
      </c>
    </row>
    <row r="448">
      <c r="A448" t="inlineStr">
        <is>
          <t>ED200457</t>
        </is>
      </c>
      <c r="B448" s="56" t="n">
        <v>45315.70069444444</v>
      </c>
      <c r="C448" t="inlineStr">
        <is>
          <t>Bluestone Memorial Hospital</t>
        </is>
      </c>
      <c r="D448" t="n">
        <v>59</v>
      </c>
    </row>
    <row r="449">
      <c r="A449" t="inlineStr">
        <is>
          <t>ED200458</t>
        </is>
      </c>
      <c r="B449" s="56" t="n">
        <v>45315.71319444444</v>
      </c>
      <c r="C449" t="inlineStr">
        <is>
          <t>Bluestone Memorial Hospital</t>
        </is>
      </c>
      <c r="D449" t="n">
        <v>55</v>
      </c>
    </row>
    <row r="450">
      <c r="A450" t="inlineStr">
        <is>
          <t>ED200459</t>
        </is>
      </c>
      <c r="B450" s="56" t="n">
        <v>45315.76597222222</v>
      </c>
      <c r="C450" t="inlineStr">
        <is>
          <t>Bluestone Memorial Hospital</t>
        </is>
      </c>
      <c r="D450" t="n">
        <v>68</v>
      </c>
    </row>
    <row r="451">
      <c r="A451" t="inlineStr">
        <is>
          <t>ED200460</t>
        </is>
      </c>
      <c r="B451" s="56" t="n">
        <v>45315.77430555555</v>
      </c>
      <c r="C451" t="inlineStr">
        <is>
          <t>Bluestone Memorial Hospital</t>
        </is>
      </c>
      <c r="D451" t="n">
        <v>12</v>
      </c>
    </row>
    <row r="452">
      <c r="A452" t="inlineStr">
        <is>
          <t>ED200461</t>
        </is>
      </c>
      <c r="B452" s="56" t="n">
        <v>45315.78125</v>
      </c>
      <c r="C452" t="inlineStr">
        <is>
          <t>Ashby Falls Community Hospital</t>
        </is>
      </c>
      <c r="D452" t="n">
        <v>108</v>
      </c>
    </row>
    <row r="453">
      <c r="A453" t="inlineStr">
        <is>
          <t>ED200462</t>
        </is>
      </c>
      <c r="B453" s="56" t="n">
        <v>45315.79652777778</v>
      </c>
      <c r="C453" t="inlineStr">
        <is>
          <t>Bluestone Memorial Hospital</t>
        </is>
      </c>
      <c r="D453" t="n">
        <v>69</v>
      </c>
    </row>
    <row r="454">
      <c r="A454" t="inlineStr">
        <is>
          <t>ED200463</t>
        </is>
      </c>
      <c r="B454" s="56" t="n">
        <v>45315.80486111111</v>
      </c>
      <c r="C454" t="inlineStr">
        <is>
          <t>Bluestone Memorial Hospital</t>
        </is>
      </c>
      <c r="D454" t="n">
        <v>12</v>
      </c>
    </row>
    <row r="455">
      <c r="A455" t="inlineStr">
        <is>
          <t>ED200464</t>
        </is>
      </c>
      <c r="B455" s="56" t="n">
        <v>45315.81388888889</v>
      </c>
      <c r="C455" t="inlineStr">
        <is>
          <t>Cedar Ridge Medical Center</t>
        </is>
      </c>
      <c r="D455" t="n">
        <v>78</v>
      </c>
    </row>
    <row r="456">
      <c r="A456" t="inlineStr">
        <is>
          <t>ED200465</t>
        </is>
      </c>
      <c r="B456" s="56" t="n">
        <v>45315.88333333333</v>
      </c>
      <c r="C456" t="inlineStr">
        <is>
          <t>Bluestone Memorial Hospital</t>
        </is>
      </c>
      <c r="D456" t="n">
        <v>75</v>
      </c>
    </row>
    <row r="457">
      <c r="A457" t="inlineStr">
        <is>
          <t>ED200466</t>
        </is>
      </c>
      <c r="B457" s="56" t="n">
        <v>45315.9</v>
      </c>
      <c r="C457" t="inlineStr">
        <is>
          <t>Cedar Ridge Medical Center</t>
        </is>
      </c>
      <c r="D457" t="n">
        <v>2</v>
      </c>
    </row>
    <row r="458">
      <c r="A458" t="inlineStr">
        <is>
          <t>ED200467</t>
        </is>
      </c>
      <c r="B458" s="56" t="n">
        <v>45316.39652777778</v>
      </c>
      <c r="C458" t="inlineStr">
        <is>
          <t>Bluestone Memorial Hospital</t>
        </is>
      </c>
      <c r="D458" t="n">
        <v>64</v>
      </c>
    </row>
    <row r="459">
      <c r="A459" t="inlineStr">
        <is>
          <t>ED200468</t>
        </is>
      </c>
      <c r="B459" s="56" t="n">
        <v>45316.42569444444</v>
      </c>
      <c r="C459" t="inlineStr">
        <is>
          <t>Bluestone Memorial Hospital</t>
        </is>
      </c>
      <c r="D459" t="n">
        <v>53</v>
      </c>
    </row>
    <row r="460">
      <c r="A460" t="inlineStr">
        <is>
          <t>ED200469</t>
        </is>
      </c>
      <c r="B460" s="56" t="n">
        <v>45316.44652777778</v>
      </c>
      <c r="C460" t="inlineStr">
        <is>
          <t>Bluestone Memorial Hospital</t>
        </is>
      </c>
      <c r="D460" t="n">
        <v>3</v>
      </c>
    </row>
    <row r="461">
      <c r="A461" t="inlineStr">
        <is>
          <t>ED200470</t>
        </is>
      </c>
      <c r="B461" s="56" t="n">
        <v>45316.45833333334</v>
      </c>
      <c r="C461" t="inlineStr">
        <is>
          <t>Cedar Ridge Medical Center</t>
        </is>
      </c>
      <c r="D461" t="n">
        <v>26</v>
      </c>
    </row>
    <row r="462">
      <c r="A462" t="inlineStr">
        <is>
          <t>ED200471</t>
        </is>
      </c>
      <c r="B462" s="56" t="n">
        <v>45316.49861111111</v>
      </c>
      <c r="C462" t="inlineStr">
        <is>
          <t>Bluestone Memorial Hospital</t>
        </is>
      </c>
      <c r="D462" t="n">
        <v>14</v>
      </c>
    </row>
    <row r="463">
      <c r="A463" t="inlineStr">
        <is>
          <t>ED200472</t>
        </is>
      </c>
      <c r="B463" s="56" t="n">
        <v>45316.54027777778</v>
      </c>
      <c r="C463" t="inlineStr">
        <is>
          <t>Bluestone Memorial Hospital</t>
        </is>
      </c>
      <c r="D463" t="n">
        <v>18</v>
      </c>
    </row>
    <row r="464">
      <c r="A464" t="inlineStr">
        <is>
          <t>ED200473</t>
        </is>
      </c>
      <c r="B464" s="56" t="n">
        <v>45316.55</v>
      </c>
      <c r="C464" t="inlineStr">
        <is>
          <t>Bluestone Memorial Hospital</t>
        </is>
      </c>
      <c r="D464" t="n">
        <v>21</v>
      </c>
    </row>
    <row r="465">
      <c r="A465" t="inlineStr">
        <is>
          <t>ED200474</t>
        </is>
      </c>
      <c r="B465" s="56" t="n">
        <v>45316.62013888889</v>
      </c>
      <c r="C465" t="inlineStr">
        <is>
          <t>Bluestone Memorial Hospital</t>
        </is>
      </c>
      <c r="D465" t="n">
        <v>163</v>
      </c>
    </row>
    <row r="466">
      <c r="A466" t="inlineStr">
        <is>
          <t>ED200475</t>
        </is>
      </c>
      <c r="B466" s="56" t="n">
        <v>45316.63194444445</v>
      </c>
      <c r="C466" t="inlineStr">
        <is>
          <t>Bluestone Memorial Hospital</t>
        </is>
      </c>
      <c r="D466" t="n">
        <v>89</v>
      </c>
    </row>
    <row r="467">
      <c r="A467" t="inlineStr">
        <is>
          <t>ED200476</t>
        </is>
      </c>
      <c r="B467" s="56" t="n">
        <v>45316.64722222222</v>
      </c>
      <c r="C467" t="inlineStr">
        <is>
          <t>Bluestone Memorial Hospital</t>
        </is>
      </c>
      <c r="D467" t="n">
        <v>94</v>
      </c>
    </row>
    <row r="468">
      <c r="A468" t="inlineStr">
        <is>
          <t>ED200477</t>
        </is>
      </c>
      <c r="B468" s="56" t="n">
        <v>45316.69444444445</v>
      </c>
      <c r="C468" t="inlineStr">
        <is>
          <t>Bluestone Memorial Hospital</t>
        </is>
      </c>
      <c r="D468" t="n">
        <v>18</v>
      </c>
    </row>
    <row r="469">
      <c r="A469" t="inlineStr">
        <is>
          <t>ED200478</t>
        </is>
      </c>
      <c r="B469" s="56" t="n">
        <v>45316.70763888889</v>
      </c>
      <c r="C469" t="inlineStr">
        <is>
          <t>Bluestone Memorial Hospital</t>
        </is>
      </c>
      <c r="D469" t="n">
        <v>10</v>
      </c>
    </row>
    <row r="470">
      <c r="A470" t="inlineStr">
        <is>
          <t>ED200479</t>
        </is>
      </c>
      <c r="B470" s="56" t="n">
        <v>45316.71319444444</v>
      </c>
      <c r="C470" t="inlineStr">
        <is>
          <t>Bluestone Memorial Hospital</t>
        </is>
      </c>
      <c r="D470" t="n">
        <v>6</v>
      </c>
    </row>
    <row r="471">
      <c r="A471" t="inlineStr">
        <is>
          <t>ED200480</t>
        </is>
      </c>
      <c r="B471" s="56" t="n">
        <v>45316.74791666667</v>
      </c>
      <c r="C471" t="inlineStr">
        <is>
          <t>Bluestone Memorial Hospital</t>
        </is>
      </c>
      <c r="D471" t="n">
        <v>59</v>
      </c>
    </row>
    <row r="472">
      <c r="A472" t="inlineStr">
        <is>
          <t>ED200481</t>
        </is>
      </c>
      <c r="B472" s="56" t="n">
        <v>45316.87430555555</v>
      </c>
      <c r="C472" t="inlineStr">
        <is>
          <t>Bluestone Memorial Hospital</t>
        </is>
      </c>
      <c r="D472" t="n">
        <v>17</v>
      </c>
    </row>
    <row r="473">
      <c r="A473" t="inlineStr">
        <is>
          <t>ED200482</t>
        </is>
      </c>
      <c r="B473" s="56" t="n">
        <v>45316.95625</v>
      </c>
      <c r="C473" t="inlineStr">
        <is>
          <t>Cedar Ridge Medical Center</t>
        </is>
      </c>
      <c r="D473" t="n">
        <v>13</v>
      </c>
    </row>
    <row r="474">
      <c r="A474" t="inlineStr">
        <is>
          <t>ED200483</t>
        </is>
      </c>
      <c r="B474" s="56" t="n">
        <v>45316.99583333333</v>
      </c>
      <c r="C474" t="inlineStr">
        <is>
          <t>Cedar Ridge Medical Center</t>
        </is>
      </c>
      <c r="D474" t="n">
        <v>130</v>
      </c>
    </row>
    <row r="475">
      <c r="A475" t="inlineStr">
        <is>
          <t>ED200484</t>
        </is>
      </c>
      <c r="B475" s="56" t="n">
        <v>45316.99652777778</v>
      </c>
      <c r="C475" t="inlineStr">
        <is>
          <t>Bluestone Memorial Hospital</t>
        </is>
      </c>
      <c r="D475" t="n">
        <v>24</v>
      </c>
    </row>
    <row r="476">
      <c r="A476" t="inlineStr">
        <is>
          <t>ED200485</t>
        </is>
      </c>
      <c r="B476" s="56" t="n">
        <v>45317.07986111111</v>
      </c>
      <c r="C476" t="inlineStr">
        <is>
          <t>Ashby Falls Community Hospital</t>
        </is>
      </c>
      <c r="D476" t="n">
        <v>19</v>
      </c>
    </row>
    <row r="477">
      <c r="A477" t="inlineStr">
        <is>
          <t>ED200486</t>
        </is>
      </c>
      <c r="B477" s="56" t="n">
        <v>45317.08472222222</v>
      </c>
      <c r="C477" t="inlineStr">
        <is>
          <t>Bluestone Memorial Hospital</t>
        </is>
      </c>
      <c r="D477" t="n">
        <v>24</v>
      </c>
    </row>
    <row r="478">
      <c r="A478" t="inlineStr">
        <is>
          <t>ED200487</t>
        </is>
      </c>
      <c r="B478" s="56" t="n">
        <v>45317.17430555556</v>
      </c>
      <c r="C478" t="inlineStr">
        <is>
          <t>Bluestone Memorial Hospital</t>
        </is>
      </c>
      <c r="D478" t="n">
        <v>75</v>
      </c>
    </row>
    <row r="479">
      <c r="A479" t="inlineStr">
        <is>
          <t>ED200488</t>
        </is>
      </c>
      <c r="B479" s="56" t="n">
        <v>45317.40486111111</v>
      </c>
      <c r="C479" t="inlineStr">
        <is>
          <t>Bluestone Memorial Hospital</t>
        </is>
      </c>
      <c r="D479" t="n">
        <v>45</v>
      </c>
    </row>
    <row r="480">
      <c r="A480" t="inlineStr">
        <is>
          <t>ED200489</t>
        </is>
      </c>
      <c r="B480" s="56" t="n">
        <v>45317.42013888889</v>
      </c>
      <c r="C480" t="inlineStr">
        <is>
          <t>Bluestone Memorial Hospital</t>
        </is>
      </c>
      <c r="D480" t="n">
        <v>40</v>
      </c>
    </row>
    <row r="481">
      <c r="A481" t="inlineStr">
        <is>
          <t>ED200490</t>
        </is>
      </c>
      <c r="B481" s="56" t="n">
        <v>45317.44097222222</v>
      </c>
      <c r="C481" t="inlineStr">
        <is>
          <t>Cedar Ridge Medical Center</t>
        </is>
      </c>
      <c r="D481" t="n">
        <v>29</v>
      </c>
    </row>
    <row r="482">
      <c r="A482" t="inlineStr">
        <is>
          <t>ED200491</t>
        </is>
      </c>
      <c r="B482" s="56" t="n">
        <v>45317.69444444445</v>
      </c>
      <c r="C482" t="inlineStr">
        <is>
          <t>Bluestone Memorial Hospital</t>
        </is>
      </c>
      <c r="D482" t="n">
        <v>81</v>
      </c>
    </row>
    <row r="483">
      <c r="A483" t="inlineStr">
        <is>
          <t>ED200492</t>
        </is>
      </c>
      <c r="B483" s="56" t="n">
        <v>45317.72777777778</v>
      </c>
      <c r="C483" t="inlineStr">
        <is>
          <t>Bluestone Memorial Hospital</t>
        </is>
      </c>
      <c r="D483" t="n">
        <v>137</v>
      </c>
    </row>
    <row r="484">
      <c r="A484" t="inlineStr">
        <is>
          <t>ED200493</t>
        </is>
      </c>
      <c r="B484" s="56" t="n">
        <v>45317.85138888889</v>
      </c>
      <c r="C484" t="inlineStr">
        <is>
          <t>Cedar Ridge Medical Center</t>
        </is>
      </c>
      <c r="D484" t="n">
        <v>47</v>
      </c>
    </row>
    <row r="485">
      <c r="A485" t="inlineStr">
        <is>
          <t>ED200494</t>
        </is>
      </c>
      <c r="B485" s="56" t="n">
        <v>45317.98611111111</v>
      </c>
      <c r="C485" t="inlineStr">
        <is>
          <t>Bluestone Memorial Hospital</t>
        </is>
      </c>
      <c r="D485" t="n">
        <v>93</v>
      </c>
    </row>
    <row r="486">
      <c r="A486" t="inlineStr">
        <is>
          <t>ED200495</t>
        </is>
      </c>
      <c r="B486" s="56" t="n">
        <v>45318.19513888889</v>
      </c>
      <c r="C486" t="inlineStr">
        <is>
          <t>Bluestone Memorial Hospital</t>
        </is>
      </c>
      <c r="D486" t="n">
        <v>25</v>
      </c>
    </row>
    <row r="487">
      <c r="A487" t="inlineStr">
        <is>
          <t>ED200496</t>
        </is>
      </c>
      <c r="B487" s="56" t="n">
        <v>45318.35972222222</v>
      </c>
      <c r="C487" t="inlineStr">
        <is>
          <t>Bluestone Memorial Hospital</t>
        </is>
      </c>
      <c r="D487" t="n">
        <v>58</v>
      </c>
    </row>
    <row r="488">
      <c r="A488" t="inlineStr">
        <is>
          <t>ED200497</t>
        </is>
      </c>
      <c r="B488" s="56" t="n">
        <v>45318.43125</v>
      </c>
      <c r="C488" t="inlineStr">
        <is>
          <t>Bluestone Memorial Hospital</t>
        </is>
      </c>
      <c r="D488" t="n">
        <v>17</v>
      </c>
    </row>
    <row r="489">
      <c r="A489" t="inlineStr">
        <is>
          <t>ED200498</t>
        </is>
      </c>
      <c r="B489" s="56" t="n">
        <v>45318.44930555556</v>
      </c>
      <c r="C489" t="inlineStr">
        <is>
          <t>Bluestone Memorial Hospital</t>
        </is>
      </c>
      <c r="D489" t="n">
        <v>50</v>
      </c>
    </row>
    <row r="490">
      <c r="A490" t="inlineStr">
        <is>
          <t>ED200499</t>
        </is>
      </c>
      <c r="B490" s="56" t="n">
        <v>45318.48680555556</v>
      </c>
      <c r="C490" t="inlineStr">
        <is>
          <t>Bluestone Memorial Hospital</t>
        </is>
      </c>
      <c r="D490" t="n">
        <v>62</v>
      </c>
    </row>
    <row r="491">
      <c r="A491" t="inlineStr">
        <is>
          <t>ED200500</t>
        </is>
      </c>
      <c r="B491" s="56" t="n">
        <v>45318.58402777778</v>
      </c>
      <c r="C491" t="inlineStr">
        <is>
          <t>Cedar Ridge Medical Center</t>
        </is>
      </c>
      <c r="D491" t="n">
        <v>59</v>
      </c>
    </row>
    <row r="492">
      <c r="A492" t="inlineStr">
        <is>
          <t>ED200501</t>
        </is>
      </c>
      <c r="B492" s="56" t="n">
        <v>45318.65069444444</v>
      </c>
      <c r="C492" t="inlineStr">
        <is>
          <t>Bluestone Memorial Hospital</t>
        </is>
      </c>
      <c r="D492" t="n">
        <v>97</v>
      </c>
    </row>
    <row r="493">
      <c r="A493" t="inlineStr">
        <is>
          <t>ED200502</t>
        </is>
      </c>
      <c r="B493" s="56" t="n">
        <v>45318.65694444445</v>
      </c>
      <c r="C493" t="inlineStr">
        <is>
          <t>Bluestone Memorial Hospital</t>
        </is>
      </c>
      <c r="D493" t="n">
        <v>109</v>
      </c>
    </row>
    <row r="494">
      <c r="A494" t="inlineStr">
        <is>
          <t>ED200503</t>
        </is>
      </c>
      <c r="B494" s="56" t="n">
        <v>45318.66458333333</v>
      </c>
      <c r="C494" t="inlineStr">
        <is>
          <t>Bluestone Memorial Hospital</t>
        </is>
      </c>
      <c r="D494" t="n">
        <v>24</v>
      </c>
    </row>
    <row r="495">
      <c r="A495" t="inlineStr">
        <is>
          <t>ED200504</t>
        </is>
      </c>
      <c r="B495" s="56" t="n">
        <v>45318.66597222222</v>
      </c>
      <c r="C495" t="inlineStr">
        <is>
          <t>Bluestone Memorial Hospital</t>
        </is>
      </c>
      <c r="D495" t="n">
        <v>47</v>
      </c>
    </row>
    <row r="496">
      <c r="A496" t="inlineStr">
        <is>
          <t>ED200505</t>
        </is>
      </c>
      <c r="B496" s="56" t="n">
        <v>45318.72083333333</v>
      </c>
      <c r="C496" t="inlineStr">
        <is>
          <t>Ashby Falls Community Hospital</t>
        </is>
      </c>
      <c r="D496" t="n">
        <v>14</v>
      </c>
    </row>
    <row r="497">
      <c r="A497" t="inlineStr">
        <is>
          <t>ED200506</t>
        </is>
      </c>
      <c r="B497" s="56" t="n">
        <v>45318.725</v>
      </c>
      <c r="C497" t="inlineStr">
        <is>
          <t>Cedar Ridge Medical Center</t>
        </is>
      </c>
      <c r="D497" t="n">
        <v>89</v>
      </c>
    </row>
    <row r="498">
      <c r="A498" t="inlineStr">
        <is>
          <t>ED200507</t>
        </is>
      </c>
      <c r="B498" s="56" t="n">
        <v>45318.73888888889</v>
      </c>
      <c r="C498" t="inlineStr">
        <is>
          <t>Bluestone Memorial Hospital</t>
        </is>
      </c>
      <c r="D498" t="n">
        <v>217</v>
      </c>
    </row>
    <row r="499">
      <c r="A499" t="inlineStr">
        <is>
          <t>ED200508</t>
        </is>
      </c>
      <c r="B499" s="56" t="n">
        <v>45318.75694444445</v>
      </c>
      <c r="C499" t="inlineStr">
        <is>
          <t>Bluestone Memorial Hospital</t>
        </is>
      </c>
      <c r="D499" t="n">
        <v>2</v>
      </c>
    </row>
    <row r="500">
      <c r="A500" t="inlineStr">
        <is>
          <t>ED200509</t>
        </is>
      </c>
      <c r="B500" s="56" t="n">
        <v>45318.79930555556</v>
      </c>
      <c r="C500" t="inlineStr">
        <is>
          <t>Bluestone Memorial Hospital</t>
        </is>
      </c>
      <c r="D500" t="n">
        <v>85</v>
      </c>
    </row>
    <row r="501">
      <c r="A501" t="inlineStr">
        <is>
          <t>ED200510</t>
        </is>
      </c>
      <c r="B501" s="56" t="n">
        <v>45318.82847222222</v>
      </c>
      <c r="C501" t="inlineStr">
        <is>
          <t>Bluestone Memorial Hospital</t>
        </is>
      </c>
      <c r="D501" t="n">
        <v>45</v>
      </c>
    </row>
    <row r="502">
      <c r="A502" t="inlineStr">
        <is>
          <t>ED200511</t>
        </is>
      </c>
      <c r="B502" s="56" t="n">
        <v>45318.83402777778</v>
      </c>
      <c r="C502" t="inlineStr">
        <is>
          <t>Bluestone Memorial Hospital</t>
        </is>
      </c>
      <c r="D502" t="n">
        <v>18</v>
      </c>
    </row>
    <row r="503">
      <c r="A503" t="inlineStr">
        <is>
          <t>ED200512</t>
        </is>
      </c>
      <c r="B503" s="56" t="n">
        <v>45318.86111111111</v>
      </c>
      <c r="C503" t="inlineStr">
        <is>
          <t>Cedar Ridge Medical Center</t>
        </is>
      </c>
      <c r="D503" t="n">
        <v>19</v>
      </c>
    </row>
    <row r="504">
      <c r="A504" t="inlineStr">
        <is>
          <t>ED200513</t>
        </is>
      </c>
      <c r="B504" s="56" t="n">
        <v>45318.93333333333</v>
      </c>
      <c r="C504" t="inlineStr">
        <is>
          <t>Ashby Falls Community Hospital</t>
        </is>
      </c>
      <c r="D504" t="n">
        <v>21</v>
      </c>
    </row>
    <row r="505">
      <c r="A505" t="inlineStr">
        <is>
          <t>ED200514</t>
        </is>
      </c>
      <c r="B505" s="56" t="n">
        <v>45318.95347222222</v>
      </c>
      <c r="C505" t="inlineStr">
        <is>
          <t>Bluestone Memorial Hospital</t>
        </is>
      </c>
      <c r="D505" t="n">
        <v>11</v>
      </c>
    </row>
    <row r="506">
      <c r="A506" t="inlineStr">
        <is>
          <t>ED200515</t>
        </is>
      </c>
      <c r="B506" s="56" t="n">
        <v>45318.9625</v>
      </c>
      <c r="C506" t="inlineStr">
        <is>
          <t>Bluestone Memorial Hospital</t>
        </is>
      </c>
      <c r="D506" t="n">
        <v>51</v>
      </c>
    </row>
    <row r="507">
      <c r="A507" t="inlineStr">
        <is>
          <t>ED200516</t>
        </is>
      </c>
      <c r="B507" s="56" t="n">
        <v>45319.01458333333</v>
      </c>
      <c r="C507" t="inlineStr">
        <is>
          <t>Ashby Falls Community Hospital</t>
        </is>
      </c>
      <c r="D507" t="n">
        <v>9</v>
      </c>
    </row>
    <row r="508">
      <c r="A508" t="inlineStr">
        <is>
          <t>ED200517</t>
        </is>
      </c>
      <c r="B508" s="56" t="n">
        <v>45319.01944444444</v>
      </c>
      <c r="C508" t="inlineStr">
        <is>
          <t>Ashby Falls Community Hospital</t>
        </is>
      </c>
      <c r="D508" t="n">
        <v>130</v>
      </c>
    </row>
    <row r="509">
      <c r="A509" t="inlineStr">
        <is>
          <t>ED200518</t>
        </is>
      </c>
      <c r="B509" s="56" t="n">
        <v>45319.06597222222</v>
      </c>
      <c r="C509" t="inlineStr">
        <is>
          <t>Bluestone Memorial Hospital</t>
        </is>
      </c>
      <c r="D509" t="n">
        <v>13</v>
      </c>
    </row>
    <row r="510">
      <c r="A510" t="inlineStr">
        <is>
          <t>ED200519</t>
        </is>
      </c>
      <c r="B510" s="56" t="n">
        <v>45319.07569444444</v>
      </c>
      <c r="C510" t="inlineStr">
        <is>
          <t>Bluestone Memorial Hospital</t>
        </is>
      </c>
      <c r="D510" t="n">
        <v>18</v>
      </c>
    </row>
    <row r="511">
      <c r="A511" t="inlineStr">
        <is>
          <t>ED200520</t>
        </is>
      </c>
      <c r="B511" s="56" t="n">
        <v>45319.26597222222</v>
      </c>
      <c r="C511" t="inlineStr">
        <is>
          <t>Bluestone Memorial Hospital</t>
        </is>
      </c>
      <c r="D511" t="n">
        <v>35</v>
      </c>
    </row>
    <row r="512">
      <c r="A512" t="inlineStr">
        <is>
          <t>ED200521</t>
        </is>
      </c>
      <c r="B512" s="56" t="n">
        <v>45319.39930555555</v>
      </c>
      <c r="C512" t="inlineStr">
        <is>
          <t>Bluestone Memorial Hospital</t>
        </is>
      </c>
      <c r="D512" t="n">
        <v>35</v>
      </c>
    </row>
    <row r="513">
      <c r="A513" t="inlineStr">
        <is>
          <t>ED200522</t>
        </is>
      </c>
      <c r="B513" s="56" t="n">
        <v>45319.41527777778</v>
      </c>
      <c r="C513" t="inlineStr">
        <is>
          <t>Ashby Falls Community Hospital</t>
        </is>
      </c>
      <c r="D513" t="n">
        <v>91</v>
      </c>
    </row>
    <row r="514">
      <c r="A514" t="inlineStr">
        <is>
          <t>ED200524</t>
        </is>
      </c>
      <c r="B514" s="56" t="n">
        <v>45319.44305555556</v>
      </c>
      <c r="C514" t="inlineStr">
        <is>
          <t>Bluestone Memorial Hospital</t>
        </is>
      </c>
      <c r="D514" t="n">
        <v>47</v>
      </c>
    </row>
    <row r="515">
      <c r="A515" t="inlineStr">
        <is>
          <t>ED200525</t>
        </is>
      </c>
      <c r="B515" s="56" t="n">
        <v>45319.44305555556</v>
      </c>
      <c r="C515" t="inlineStr">
        <is>
          <t>Cedar Ridge Medical Center</t>
        </is>
      </c>
      <c r="D515" t="n">
        <v>100</v>
      </c>
    </row>
    <row r="516">
      <c r="A516" t="inlineStr">
        <is>
          <t>ED200526</t>
        </is>
      </c>
      <c r="B516" s="56" t="n">
        <v>45319.47916666666</v>
      </c>
      <c r="C516" t="inlineStr">
        <is>
          <t>Ashby Falls Community Hospital</t>
        </is>
      </c>
      <c r="D516" t="n">
        <v>22</v>
      </c>
    </row>
    <row r="517">
      <c r="A517" t="inlineStr">
        <is>
          <t>ED200527</t>
        </is>
      </c>
      <c r="B517" s="56" t="n">
        <v>45319.50069444445</v>
      </c>
      <c r="C517" t="inlineStr">
        <is>
          <t>Bluestone Memorial Hospital</t>
        </is>
      </c>
      <c r="D517" t="n">
        <v>83</v>
      </c>
    </row>
    <row r="518">
      <c r="A518" t="inlineStr">
        <is>
          <t>ED200528</t>
        </is>
      </c>
      <c r="B518" s="56" t="n">
        <v>45319.55486111111</v>
      </c>
      <c r="C518" t="inlineStr">
        <is>
          <t>Bluestone Memorial Hospital</t>
        </is>
      </c>
      <c r="D518" t="n">
        <v>34</v>
      </c>
    </row>
    <row r="519">
      <c r="A519" t="inlineStr">
        <is>
          <t>ED200529</t>
        </is>
      </c>
      <c r="B519" s="56" t="n">
        <v>45319.58611111111</v>
      </c>
      <c r="C519" t="inlineStr">
        <is>
          <t>Bluestone Memorial Hospital</t>
        </is>
      </c>
      <c r="D519" t="n">
        <v>50</v>
      </c>
    </row>
    <row r="520">
      <c r="A520" t="inlineStr">
        <is>
          <t>ED200530</t>
        </is>
      </c>
      <c r="B520" s="56" t="n">
        <v>45319.65277777778</v>
      </c>
      <c r="C520" t="inlineStr">
        <is>
          <t>Bluestone Memorial Hospital</t>
        </is>
      </c>
      <c r="D520" t="n">
        <v>58</v>
      </c>
    </row>
    <row r="521">
      <c r="A521" t="inlineStr">
        <is>
          <t>ED200531</t>
        </is>
      </c>
      <c r="B521" s="56" t="n">
        <v>45319.74583333333</v>
      </c>
      <c r="C521" t="inlineStr">
        <is>
          <t>Bluestone Memorial Hospital</t>
        </is>
      </c>
      <c r="D521" t="n">
        <v>20</v>
      </c>
    </row>
    <row r="522">
      <c r="A522" t="inlineStr">
        <is>
          <t>ED200532</t>
        </is>
      </c>
      <c r="B522" s="56" t="n">
        <v>45319.86319444444</v>
      </c>
      <c r="C522" t="inlineStr">
        <is>
          <t>Bluestone Memorial Hospital</t>
        </is>
      </c>
      <c r="D522" t="n">
        <v>17</v>
      </c>
    </row>
    <row r="523">
      <c r="A523" t="inlineStr">
        <is>
          <t>ED200533</t>
        </is>
      </c>
      <c r="B523" s="56" t="n">
        <v>45320.07291666666</v>
      </c>
      <c r="C523" t="inlineStr">
        <is>
          <t>Bluestone Memorial Hospital</t>
        </is>
      </c>
      <c r="D523" t="n">
        <v>13</v>
      </c>
    </row>
    <row r="524">
      <c r="A524" t="inlineStr">
        <is>
          <t>ED200534</t>
        </is>
      </c>
      <c r="B524" s="56" t="n">
        <v>45320.32013888889</v>
      </c>
      <c r="C524" t="inlineStr">
        <is>
          <t>Bluestone Memorial Hospital</t>
        </is>
      </c>
      <c r="D524" t="n">
        <v>10</v>
      </c>
    </row>
    <row r="525">
      <c r="A525" t="inlineStr">
        <is>
          <t>ED200535</t>
        </is>
      </c>
      <c r="B525" s="56" t="n">
        <v>45320.34513888889</v>
      </c>
      <c r="C525" t="inlineStr">
        <is>
          <t>Cedar Ridge Medical Center</t>
        </is>
      </c>
      <c r="D525" t="n">
        <v>8</v>
      </c>
    </row>
    <row r="526">
      <c r="A526" t="inlineStr">
        <is>
          <t>ED200536</t>
        </is>
      </c>
      <c r="B526" s="56" t="n">
        <v>45320.44305555556</v>
      </c>
      <c r="C526" t="inlineStr">
        <is>
          <t>Bluestone Memorial Hospital</t>
        </is>
      </c>
      <c r="D526" t="n">
        <v>53</v>
      </c>
    </row>
    <row r="527">
      <c r="A527" t="inlineStr">
        <is>
          <t>ED200537</t>
        </is>
      </c>
      <c r="B527" s="56" t="n">
        <v>45320.45416666667</v>
      </c>
      <c r="C527" t="inlineStr">
        <is>
          <t>Ashby Falls Community Hospital</t>
        </is>
      </c>
      <c r="D527" t="n">
        <v>36</v>
      </c>
    </row>
    <row r="528">
      <c r="A528" t="inlineStr">
        <is>
          <t>ED200538</t>
        </is>
      </c>
      <c r="B528" s="56" t="n">
        <v>45320.49305555555</v>
      </c>
      <c r="C528" t="inlineStr">
        <is>
          <t>Bluestone Memorial Hospital</t>
        </is>
      </c>
      <c r="D528" t="n">
        <v>27</v>
      </c>
    </row>
    <row r="529">
      <c r="A529" t="inlineStr">
        <is>
          <t>ED200539</t>
        </is>
      </c>
      <c r="B529" s="56" t="n">
        <v>45320.55625</v>
      </c>
      <c r="C529" t="inlineStr">
        <is>
          <t>Bluestone Memorial Hospital</t>
        </is>
      </c>
      <c r="D529" t="n">
        <v>27</v>
      </c>
    </row>
    <row r="530">
      <c r="A530" t="inlineStr">
        <is>
          <t>ED200540</t>
        </is>
      </c>
      <c r="B530" s="56" t="n">
        <v>45320.55833333333</v>
      </c>
      <c r="C530" t="inlineStr">
        <is>
          <t>Cedar Ridge Medical Center</t>
        </is>
      </c>
      <c r="D530" t="n">
        <v>42</v>
      </c>
    </row>
    <row r="531">
      <c r="A531" t="inlineStr">
        <is>
          <t>ED200541</t>
        </is>
      </c>
      <c r="B531" s="56" t="n">
        <v>45320.56111111111</v>
      </c>
      <c r="C531" t="inlineStr">
        <is>
          <t>Bluestone Memorial Hospital</t>
        </is>
      </c>
      <c r="D531" t="n">
        <v>102</v>
      </c>
    </row>
    <row r="532">
      <c r="A532" t="inlineStr">
        <is>
          <t>ED200542</t>
        </is>
      </c>
      <c r="B532" s="56" t="n">
        <v>45320.60972222222</v>
      </c>
      <c r="C532" t="inlineStr">
        <is>
          <t>Cedar Ridge Medical Center</t>
        </is>
      </c>
      <c r="D532" t="n">
        <v>55</v>
      </c>
    </row>
    <row r="533">
      <c r="A533" t="inlineStr">
        <is>
          <t>ED200543</t>
        </is>
      </c>
      <c r="B533" s="56" t="n">
        <v>45320.62013888889</v>
      </c>
      <c r="C533" t="inlineStr">
        <is>
          <t>Ashby Falls Community Hospital</t>
        </is>
      </c>
      <c r="D533" t="n">
        <v>27</v>
      </c>
    </row>
    <row r="534">
      <c r="A534" t="inlineStr">
        <is>
          <t>ED200544</t>
        </is>
      </c>
      <c r="B534" s="56" t="n">
        <v>45320.75416666667</v>
      </c>
      <c r="C534" t="inlineStr">
        <is>
          <t>Cedar Ridge Medical Center</t>
        </is>
      </c>
      <c r="D534" t="n">
        <v>36</v>
      </c>
    </row>
    <row r="535">
      <c r="A535" t="inlineStr">
        <is>
          <t>ED200545</t>
        </is>
      </c>
      <c r="B535" s="56" t="n">
        <v>45320.84166666667</v>
      </c>
      <c r="C535" t="inlineStr">
        <is>
          <t>Ashby Falls Community Hospital</t>
        </is>
      </c>
      <c r="D535" t="n">
        <v>82</v>
      </c>
    </row>
    <row r="536">
      <c r="A536" t="inlineStr">
        <is>
          <t>ED200546</t>
        </is>
      </c>
      <c r="B536" s="56" t="n">
        <v>45320.89583333334</v>
      </c>
      <c r="C536" t="inlineStr">
        <is>
          <t>Cedar Ridge Medical Center</t>
        </is>
      </c>
      <c r="D536" t="n">
        <v>33</v>
      </c>
    </row>
    <row r="537">
      <c r="A537" t="inlineStr">
        <is>
          <t>ED200547</t>
        </is>
      </c>
      <c r="B537" s="56" t="n">
        <v>45321.01805555556</v>
      </c>
      <c r="C537" t="inlineStr">
        <is>
          <t>Bluestone Memorial Hospital</t>
        </is>
      </c>
      <c r="D537" t="n">
        <v>18</v>
      </c>
    </row>
    <row r="538">
      <c r="A538" t="inlineStr">
        <is>
          <t>ED200548</t>
        </is>
      </c>
      <c r="B538" s="56" t="n">
        <v>45321.03472222222</v>
      </c>
      <c r="C538" t="inlineStr">
        <is>
          <t>Bluestone Memorial Hospital</t>
        </is>
      </c>
      <c r="D538" t="n">
        <v>28</v>
      </c>
    </row>
    <row r="539">
      <c r="A539" t="inlineStr">
        <is>
          <t>ED200549</t>
        </is>
      </c>
      <c r="B539" s="56" t="n">
        <v>45321.04513888889</v>
      </c>
      <c r="C539" t="inlineStr">
        <is>
          <t>Cedar Ridge Medical Center</t>
        </is>
      </c>
      <c r="D539" t="n">
        <v>76</v>
      </c>
    </row>
    <row r="540">
      <c r="A540" t="inlineStr">
        <is>
          <t>ED200550</t>
        </is>
      </c>
      <c r="B540" s="56" t="n">
        <v>45321.09791666667</v>
      </c>
      <c r="C540" t="inlineStr">
        <is>
          <t>Bluestone Memorial Hospital</t>
        </is>
      </c>
      <c r="D540" t="n">
        <v>7</v>
      </c>
    </row>
    <row r="541">
      <c r="A541" t="inlineStr">
        <is>
          <t>ED200551</t>
        </is>
      </c>
      <c r="B541" s="56" t="n">
        <v>45321.3</v>
      </c>
      <c r="C541" t="inlineStr">
        <is>
          <t>Ashby Falls Community Hospital</t>
        </is>
      </c>
      <c r="D541" t="n">
        <v>22</v>
      </c>
    </row>
    <row r="542">
      <c r="A542" t="inlineStr">
        <is>
          <t>ED200552</t>
        </is>
      </c>
      <c r="B542" s="56" t="n">
        <v>45321.41319444445</v>
      </c>
      <c r="C542" t="inlineStr">
        <is>
          <t>Ashby Falls Community Hospital</t>
        </is>
      </c>
      <c r="D542" t="n">
        <v>25</v>
      </c>
    </row>
    <row r="543">
      <c r="A543" t="inlineStr">
        <is>
          <t>ED200553</t>
        </is>
      </c>
      <c r="B543" s="56" t="n">
        <v>45321.55763888889</v>
      </c>
      <c r="C543" t="inlineStr">
        <is>
          <t>Bluestone Memorial Hospital</t>
        </is>
      </c>
      <c r="D543" t="n">
        <v>15</v>
      </c>
    </row>
    <row r="544">
      <c r="A544" t="inlineStr">
        <is>
          <t>ED200554</t>
        </is>
      </c>
      <c r="B544" s="56" t="n">
        <v>45321.63263888889</v>
      </c>
      <c r="C544" t="inlineStr">
        <is>
          <t>Bluestone Memorial Hospital</t>
        </is>
      </c>
      <c r="D544" t="n">
        <v>14</v>
      </c>
    </row>
    <row r="545">
      <c r="A545" t="inlineStr">
        <is>
          <t>ED200555</t>
        </is>
      </c>
      <c r="B545" s="56" t="n">
        <v>45321.69305555556</v>
      </c>
      <c r="C545" t="inlineStr">
        <is>
          <t>Ashby Falls Community Hospital</t>
        </is>
      </c>
      <c r="D545" t="n">
        <v>22</v>
      </c>
    </row>
    <row r="546">
      <c r="A546" t="inlineStr">
        <is>
          <t>ED200556</t>
        </is>
      </c>
      <c r="B546" s="56" t="n">
        <v>45321.71041666667</v>
      </c>
      <c r="C546" t="inlineStr">
        <is>
          <t>Cedar Ridge Medical Center</t>
        </is>
      </c>
      <c r="D546" t="n">
        <v>42</v>
      </c>
    </row>
    <row r="547">
      <c r="A547" t="inlineStr">
        <is>
          <t>ED200557</t>
        </is>
      </c>
      <c r="B547" s="56" t="n">
        <v>45321.78611111111</v>
      </c>
      <c r="C547" t="inlineStr">
        <is>
          <t>Bluestone Memorial Hospital</t>
        </is>
      </c>
      <c r="D547" t="n">
        <v>60</v>
      </c>
    </row>
    <row r="548">
      <c r="A548" t="inlineStr">
        <is>
          <t>ED200558</t>
        </is>
      </c>
      <c r="B548" s="56" t="n">
        <v>45321.84652777778</v>
      </c>
      <c r="C548" t="inlineStr">
        <is>
          <t>Bluestone Memorial Hospital</t>
        </is>
      </c>
      <c r="D548" t="n">
        <v>95</v>
      </c>
    </row>
    <row r="549">
      <c r="A549" t="inlineStr">
        <is>
          <t>ED200559</t>
        </is>
      </c>
      <c r="B549" s="56" t="n">
        <v>45321.87430555555</v>
      </c>
      <c r="C549" t="inlineStr">
        <is>
          <t>Bluestone Memorial Hospital</t>
        </is>
      </c>
      <c r="D549" t="n">
        <v>55</v>
      </c>
    </row>
    <row r="550">
      <c r="A550" t="inlineStr">
        <is>
          <t>ED200560</t>
        </is>
      </c>
      <c r="B550" s="56" t="n">
        <v>45321.88888888889</v>
      </c>
      <c r="C550" t="inlineStr">
        <is>
          <t>Bluestone Memorial Hospital</t>
        </is>
      </c>
      <c r="D550" t="n">
        <v>18</v>
      </c>
    </row>
    <row r="551">
      <c r="A551" t="inlineStr">
        <is>
          <t>ED200561</t>
        </is>
      </c>
      <c r="B551" s="56" t="n">
        <v>45321.89166666667</v>
      </c>
      <c r="C551" t="inlineStr">
        <is>
          <t>Cedar Ridge Medical Center</t>
        </is>
      </c>
      <c r="D551" t="n">
        <v>24</v>
      </c>
    </row>
    <row r="552">
      <c r="A552" t="inlineStr">
        <is>
          <t>ED200562</t>
        </is>
      </c>
      <c r="B552" s="56" t="n">
        <v>45321.9625</v>
      </c>
      <c r="C552" t="inlineStr">
        <is>
          <t>Bluestone Memorial Hospital</t>
        </is>
      </c>
      <c r="D552" t="n">
        <v>24</v>
      </c>
    </row>
    <row r="553">
      <c r="A553" t="inlineStr">
        <is>
          <t>ED200563</t>
        </is>
      </c>
      <c r="B553" s="56" t="n">
        <v>45321.98263888889</v>
      </c>
      <c r="C553" t="inlineStr">
        <is>
          <t>Bluestone Memorial Hospital</t>
        </is>
      </c>
      <c r="D553" t="n">
        <v>12</v>
      </c>
    </row>
    <row r="554">
      <c r="A554" t="inlineStr">
        <is>
          <t>ED200564</t>
        </is>
      </c>
      <c r="B554" s="56" t="n">
        <v>45322.06597222222</v>
      </c>
      <c r="C554" t="inlineStr">
        <is>
          <t>Bluestone Memorial Hospital</t>
        </is>
      </c>
      <c r="D554" t="n">
        <v>47</v>
      </c>
    </row>
    <row r="555">
      <c r="A555" t="inlineStr">
        <is>
          <t>ED200565</t>
        </is>
      </c>
      <c r="B555" s="56" t="n">
        <v>45322.25069444445</v>
      </c>
      <c r="C555" t="inlineStr">
        <is>
          <t>Bluestone Memorial Hospital</t>
        </is>
      </c>
      <c r="D555" t="n">
        <v>9</v>
      </c>
    </row>
    <row r="556">
      <c r="A556" t="inlineStr">
        <is>
          <t>ED200566</t>
        </is>
      </c>
      <c r="B556" s="56" t="n">
        <v>45322.3375</v>
      </c>
      <c r="C556" t="inlineStr">
        <is>
          <t>Ashby Falls Community Hospital</t>
        </is>
      </c>
      <c r="D556" t="n">
        <v>34</v>
      </c>
    </row>
    <row r="557">
      <c r="A557" t="inlineStr">
        <is>
          <t>ED200567</t>
        </is>
      </c>
      <c r="B557" s="56" t="n">
        <v>45322.35</v>
      </c>
      <c r="C557" t="inlineStr">
        <is>
          <t>Bluestone Memorial Hospital</t>
        </is>
      </c>
      <c r="D557" t="n">
        <v>28</v>
      </c>
    </row>
    <row r="558">
      <c r="A558" t="inlineStr">
        <is>
          <t>ED200568</t>
        </is>
      </c>
      <c r="B558" s="56" t="n">
        <v>45322.47569444445</v>
      </c>
      <c r="C558" t="inlineStr">
        <is>
          <t>Cedar Ridge Medical Center</t>
        </is>
      </c>
      <c r="D558" t="n">
        <v>22</v>
      </c>
    </row>
    <row r="559">
      <c r="A559" t="inlineStr">
        <is>
          <t>ED200569</t>
        </is>
      </c>
      <c r="B559" s="56" t="n">
        <v>45322.49027777778</v>
      </c>
      <c r="C559" t="inlineStr">
        <is>
          <t>Cedar Ridge Medical Center</t>
        </is>
      </c>
      <c r="D559" t="n">
        <v>45</v>
      </c>
    </row>
    <row r="560">
      <c r="A560" t="inlineStr">
        <is>
          <t>ED200570</t>
        </is>
      </c>
      <c r="B560" s="56" t="n">
        <v>45322.49305555555</v>
      </c>
      <c r="C560" t="inlineStr">
        <is>
          <t>Bluestone Memorial Hospital</t>
        </is>
      </c>
      <c r="D560" t="n">
        <v>191</v>
      </c>
    </row>
    <row r="561">
      <c r="A561" t="inlineStr">
        <is>
          <t>ED200571</t>
        </is>
      </c>
      <c r="B561" s="56" t="n">
        <v>45322.51875</v>
      </c>
      <c r="C561" t="inlineStr">
        <is>
          <t>Bluestone Memorial Hospital</t>
        </is>
      </c>
      <c r="D561" t="n">
        <v>97</v>
      </c>
    </row>
    <row r="562">
      <c r="A562" t="inlineStr">
        <is>
          <t>ED200572</t>
        </is>
      </c>
      <c r="B562" s="56" t="n">
        <v>45322.66319444445</v>
      </c>
      <c r="C562" t="inlineStr">
        <is>
          <t>Cedar Ridge Medical Center</t>
        </is>
      </c>
      <c r="D562" t="n">
        <v>48</v>
      </c>
    </row>
    <row r="563">
      <c r="A563" t="inlineStr">
        <is>
          <t>ED200573</t>
        </is>
      </c>
      <c r="B563" s="56" t="n">
        <v>45322.6875</v>
      </c>
      <c r="C563" t="inlineStr">
        <is>
          <t>Bluestone Memorial Hospital</t>
        </is>
      </c>
      <c r="D563" t="n">
        <v>130</v>
      </c>
    </row>
    <row r="564">
      <c r="A564" t="inlineStr">
        <is>
          <t>ED200574</t>
        </is>
      </c>
      <c r="B564" s="56" t="n">
        <v>45322.72847222222</v>
      </c>
      <c r="C564" t="inlineStr">
        <is>
          <t>Bluestone Memorial Hospital</t>
        </is>
      </c>
      <c r="D564" t="n">
        <v>57</v>
      </c>
    </row>
    <row r="565">
      <c r="A565" t="inlineStr">
        <is>
          <t>ED200575</t>
        </is>
      </c>
      <c r="B565" s="56" t="n">
        <v>45322.73333333333</v>
      </c>
      <c r="C565" t="inlineStr">
        <is>
          <t>Ashby Falls Community Hospital</t>
        </is>
      </c>
      <c r="D565" t="n">
        <v>50</v>
      </c>
    </row>
    <row r="566">
      <c r="A566" t="inlineStr">
        <is>
          <t>ED200576</t>
        </is>
      </c>
      <c r="B566" s="56" t="n">
        <v>45322.76111111111</v>
      </c>
      <c r="C566" t="inlineStr">
        <is>
          <t>Cedar Ridge Medical Center</t>
        </is>
      </c>
      <c r="D566" t="n">
        <v>58</v>
      </c>
    </row>
    <row r="567">
      <c r="A567" t="inlineStr">
        <is>
          <t>ED200577</t>
        </is>
      </c>
      <c r="B567" s="56" t="n">
        <v>45322.76527777778</v>
      </c>
      <c r="C567" t="inlineStr">
        <is>
          <t>Bluestone Memorial Hospital</t>
        </is>
      </c>
      <c r="D567" t="n">
        <v>51</v>
      </c>
    </row>
    <row r="568">
      <c r="A568" t="inlineStr">
        <is>
          <t>ED200578</t>
        </is>
      </c>
      <c r="B568" s="56" t="n">
        <v>45322.77986111111</v>
      </c>
      <c r="C568" t="inlineStr">
        <is>
          <t>Ashby Falls Community Hospital</t>
        </is>
      </c>
      <c r="D568" t="n">
        <v>141</v>
      </c>
    </row>
    <row r="569">
      <c r="A569" t="inlineStr">
        <is>
          <t>ED200580</t>
        </is>
      </c>
      <c r="B569" s="56" t="n">
        <v>45322.80694444444</v>
      </c>
      <c r="C569" t="inlineStr">
        <is>
          <t>Bluestone Memorial Hospital</t>
        </is>
      </c>
      <c r="D569" t="n">
        <v>21</v>
      </c>
    </row>
    <row r="570">
      <c r="A570" t="inlineStr">
        <is>
          <t>ED200581</t>
        </is>
      </c>
      <c r="B570" s="56" t="n">
        <v>45323.09166666667</v>
      </c>
      <c r="C570" t="inlineStr">
        <is>
          <t>Bluestone Memorial Hospital</t>
        </is>
      </c>
      <c r="D570" t="n">
        <v>28</v>
      </c>
    </row>
    <row r="571">
      <c r="A571" t="inlineStr">
        <is>
          <t>ED200582</t>
        </is>
      </c>
      <c r="B571" s="56" t="n">
        <v>45323.35069444445</v>
      </c>
      <c r="C571" t="inlineStr">
        <is>
          <t>Cedar Ridge Medical Center</t>
        </is>
      </c>
      <c r="D571" t="n">
        <v>14</v>
      </c>
    </row>
    <row r="572">
      <c r="A572" t="inlineStr">
        <is>
          <t>ED200583</t>
        </is>
      </c>
      <c r="B572" s="56" t="n">
        <v>45323.37569444445</v>
      </c>
      <c r="C572" t="inlineStr">
        <is>
          <t>Bluestone Memorial Hospital</t>
        </is>
      </c>
      <c r="D572" t="n">
        <v>55</v>
      </c>
    </row>
    <row r="573">
      <c r="A573" t="inlineStr">
        <is>
          <t>ED200584</t>
        </is>
      </c>
      <c r="B573" s="56" t="n">
        <v>45323.39652777778</v>
      </c>
      <c r="C573" t="inlineStr">
        <is>
          <t>Bluestone Memorial Hospital</t>
        </is>
      </c>
      <c r="D573" t="n">
        <v>36</v>
      </c>
    </row>
    <row r="574">
      <c r="A574" t="inlineStr">
        <is>
          <t>ED200585</t>
        </is>
      </c>
      <c r="B574" s="56" t="n">
        <v>45323.43611111111</v>
      </c>
      <c r="C574" t="inlineStr">
        <is>
          <t>Bluestone Memorial Hospital</t>
        </is>
      </c>
      <c r="D574" t="n">
        <v>8</v>
      </c>
    </row>
    <row r="575">
      <c r="A575" t="inlineStr">
        <is>
          <t>ED200586</t>
        </is>
      </c>
      <c r="B575" s="56" t="n">
        <v>45323.52291666667</v>
      </c>
      <c r="C575" t="inlineStr">
        <is>
          <t>Bluestone Memorial Hospital</t>
        </is>
      </c>
      <c r="D575" t="n">
        <v>26</v>
      </c>
    </row>
    <row r="576">
      <c r="A576" t="inlineStr">
        <is>
          <t>ED200587</t>
        </is>
      </c>
      <c r="B576" s="56" t="n">
        <v>45323.53333333333</v>
      </c>
      <c r="C576" t="inlineStr">
        <is>
          <t>Cedar Ridge Medical Center</t>
        </is>
      </c>
      <c r="D576" t="n">
        <v>25</v>
      </c>
    </row>
    <row r="577">
      <c r="A577" t="inlineStr">
        <is>
          <t>ED200588</t>
        </is>
      </c>
      <c r="B577" s="56" t="n">
        <v>45323.55416666667</v>
      </c>
      <c r="C577" t="inlineStr">
        <is>
          <t>Bluestone Memorial Hospital</t>
        </is>
      </c>
      <c r="D577" t="n">
        <v>10</v>
      </c>
    </row>
    <row r="578">
      <c r="A578" t="inlineStr">
        <is>
          <t>ED200589</t>
        </is>
      </c>
      <c r="B578" s="56" t="n">
        <v>45323.57708333333</v>
      </c>
      <c r="C578" t="inlineStr">
        <is>
          <t>Bluestone Memorial Hospital</t>
        </is>
      </c>
      <c r="D578" t="n">
        <v>56</v>
      </c>
    </row>
    <row r="579">
      <c r="A579" t="inlineStr">
        <is>
          <t>ED200590</t>
        </is>
      </c>
      <c r="B579" s="56" t="n">
        <v>45323.64513888889</v>
      </c>
      <c r="C579" t="inlineStr">
        <is>
          <t>Cedar Ridge Medical Center</t>
        </is>
      </c>
      <c r="D579" t="n">
        <v>6</v>
      </c>
    </row>
    <row r="580">
      <c r="A580" t="inlineStr">
        <is>
          <t>ED200591</t>
        </is>
      </c>
      <c r="B580" s="56" t="n">
        <v>45323.64791666667</v>
      </c>
      <c r="C580" t="inlineStr">
        <is>
          <t>Bluestone Memorial Hospital</t>
        </is>
      </c>
      <c r="D580" t="n">
        <v>39</v>
      </c>
    </row>
    <row r="581">
      <c r="A581" t="inlineStr">
        <is>
          <t>ED200593</t>
        </is>
      </c>
      <c r="B581" s="56" t="n">
        <v>45323.76180555556</v>
      </c>
      <c r="C581" t="inlineStr">
        <is>
          <t>Bluestone Memorial Hospital</t>
        </is>
      </c>
      <c r="D581" t="n">
        <v>90</v>
      </c>
    </row>
    <row r="582">
      <c r="A582" t="inlineStr">
        <is>
          <t>ED200595</t>
        </is>
      </c>
      <c r="B582" s="56" t="n">
        <v>45323.85902777778</v>
      </c>
      <c r="C582" t="inlineStr">
        <is>
          <t>Ashby Falls Community Hospital</t>
        </is>
      </c>
      <c r="D582" t="n">
        <v>54</v>
      </c>
    </row>
    <row r="583">
      <c r="A583" t="inlineStr">
        <is>
          <t>ED200596</t>
        </is>
      </c>
      <c r="B583" s="56" t="n">
        <v>45323.86597222222</v>
      </c>
      <c r="C583" t="inlineStr">
        <is>
          <t>Bluestone Memorial Hospital</t>
        </is>
      </c>
      <c r="D583" t="n">
        <v>50</v>
      </c>
    </row>
    <row r="584">
      <c r="A584" t="inlineStr">
        <is>
          <t>ED200597</t>
        </is>
      </c>
      <c r="B584" s="56" t="n">
        <v>45323.92222222222</v>
      </c>
      <c r="C584" t="inlineStr">
        <is>
          <t>Bluestone Memorial Hospital</t>
        </is>
      </c>
      <c r="D584" t="n">
        <v>70</v>
      </c>
    </row>
    <row r="585">
      <c r="A585" t="inlineStr">
        <is>
          <t>ED200598</t>
        </is>
      </c>
      <c r="B585" s="56" t="n">
        <v>45323.96111111111</v>
      </c>
      <c r="C585" t="inlineStr">
        <is>
          <t>Bluestone Memorial Hospital</t>
        </is>
      </c>
      <c r="D585" t="n">
        <v>36</v>
      </c>
    </row>
    <row r="586">
      <c r="A586" t="inlineStr">
        <is>
          <t>ED200599</t>
        </is>
      </c>
      <c r="B586" s="56" t="n">
        <v>45323.96805555555</v>
      </c>
      <c r="C586" t="inlineStr">
        <is>
          <t>Bluestone Memorial Hospital</t>
        </is>
      </c>
      <c r="D586" t="n">
        <v>10</v>
      </c>
    </row>
    <row r="587">
      <c r="A587" t="inlineStr">
        <is>
          <t>ED200600</t>
        </is>
      </c>
      <c r="B587" s="56" t="n">
        <v>45324.05833333333</v>
      </c>
      <c r="C587" t="inlineStr">
        <is>
          <t>Ashby Falls Community Hospital</t>
        </is>
      </c>
      <c r="D587" t="n">
        <v>19</v>
      </c>
    </row>
    <row r="588">
      <c r="A588" t="inlineStr">
        <is>
          <t>ED200601</t>
        </is>
      </c>
      <c r="B588" s="56" t="n">
        <v>45324.31180555555</v>
      </c>
      <c r="C588" t="inlineStr">
        <is>
          <t>Bluestone Memorial Hospital</t>
        </is>
      </c>
      <c r="D588" t="n">
        <v>36</v>
      </c>
    </row>
    <row r="589">
      <c r="A589" t="inlineStr">
        <is>
          <t>ED200602</t>
        </is>
      </c>
      <c r="B589" s="56" t="n">
        <v>45324.32222222222</v>
      </c>
      <c r="C589" t="inlineStr">
        <is>
          <t>Bluestone Memorial Hospital</t>
        </is>
      </c>
      <c r="D589" t="n">
        <v>35</v>
      </c>
    </row>
    <row r="590">
      <c r="A590" t="inlineStr">
        <is>
          <t>ED200603</t>
        </is>
      </c>
      <c r="B590" s="56" t="n">
        <v>45324.36944444444</v>
      </c>
      <c r="C590" t="inlineStr">
        <is>
          <t>Bluestone Memorial Hospital</t>
        </is>
      </c>
      <c r="D590" t="n">
        <v>55</v>
      </c>
    </row>
    <row r="591">
      <c r="A591" t="inlineStr">
        <is>
          <t>ED200604</t>
        </is>
      </c>
      <c r="B591" s="56" t="n">
        <v>45324.46111111111</v>
      </c>
      <c r="C591" t="inlineStr">
        <is>
          <t>Ashby Falls Community Hospital</t>
        </is>
      </c>
      <c r="D591" t="n">
        <v>47</v>
      </c>
    </row>
    <row r="592">
      <c r="A592" t="inlineStr">
        <is>
          <t>ED200605</t>
        </is>
      </c>
      <c r="B592" s="56" t="n">
        <v>45324.48958333334</v>
      </c>
      <c r="C592" t="inlineStr">
        <is>
          <t>Bluestone Memorial Hospital</t>
        </is>
      </c>
      <c r="D592" t="n">
        <v>68</v>
      </c>
    </row>
    <row r="593">
      <c r="A593" t="inlineStr">
        <is>
          <t>ED200607</t>
        </is>
      </c>
      <c r="B593" s="56" t="n">
        <v>45324.70208333333</v>
      </c>
      <c r="C593" t="inlineStr">
        <is>
          <t>Bluestone Memorial Hospital</t>
        </is>
      </c>
      <c r="D593" t="n">
        <v>44</v>
      </c>
    </row>
    <row r="594">
      <c r="A594" t="inlineStr">
        <is>
          <t>ED200608</t>
        </is>
      </c>
      <c r="B594" s="56" t="n">
        <v>45324.75208333333</v>
      </c>
      <c r="C594" t="inlineStr">
        <is>
          <t>Bluestone Memorial Hospital</t>
        </is>
      </c>
      <c r="D594" t="n">
        <v>31</v>
      </c>
    </row>
    <row r="595">
      <c r="A595" t="inlineStr">
        <is>
          <t>ED200609</t>
        </is>
      </c>
      <c r="B595" s="56" t="n">
        <v>45324.76944444444</v>
      </c>
      <c r="C595" t="inlineStr">
        <is>
          <t>Ashby Falls Community Hospital</t>
        </is>
      </c>
      <c r="D595" t="n">
        <v>76</v>
      </c>
    </row>
    <row r="596">
      <c r="A596" t="inlineStr">
        <is>
          <t>ED200610</t>
        </is>
      </c>
      <c r="B596" s="56" t="n">
        <v>45324.93680555555</v>
      </c>
      <c r="C596" t="inlineStr">
        <is>
          <t>Cedar Ridge Medical Center</t>
        </is>
      </c>
      <c r="D596" t="n">
        <v>3</v>
      </c>
    </row>
    <row r="597">
      <c r="A597" t="inlineStr">
        <is>
          <t>ED200611</t>
        </is>
      </c>
      <c r="B597" s="56" t="n">
        <v>45325.29861111111</v>
      </c>
      <c r="C597" t="inlineStr">
        <is>
          <t>Bluestone Memorial Hospital</t>
        </is>
      </c>
      <c r="D597" t="n">
        <v>11</v>
      </c>
    </row>
    <row r="598">
      <c r="A598" t="inlineStr">
        <is>
          <t>ED200612</t>
        </is>
      </c>
      <c r="B598" s="56" t="n">
        <v>45325.36597222222</v>
      </c>
      <c r="C598" t="inlineStr">
        <is>
          <t>Cedar Ridge Medical Center</t>
        </is>
      </c>
      <c r="D598" t="n">
        <v>11</v>
      </c>
    </row>
    <row r="599">
      <c r="A599" t="inlineStr">
        <is>
          <t>ED200613</t>
        </is>
      </c>
      <c r="B599" s="56" t="n">
        <v>45325.43055555555</v>
      </c>
      <c r="C599" t="inlineStr">
        <is>
          <t>Bluestone Memorial Hospital</t>
        </is>
      </c>
      <c r="D599" t="n">
        <v>7</v>
      </c>
    </row>
    <row r="600">
      <c r="A600" t="inlineStr">
        <is>
          <t>ED200614</t>
        </is>
      </c>
      <c r="B600" s="56" t="n">
        <v>45325.55</v>
      </c>
      <c r="C600" t="inlineStr">
        <is>
          <t>Bluestone Memorial Hospital</t>
        </is>
      </c>
      <c r="D600" t="n">
        <v>4</v>
      </c>
    </row>
    <row r="601">
      <c r="A601" t="inlineStr">
        <is>
          <t>ED200615</t>
        </is>
      </c>
      <c r="B601" s="56" t="n">
        <v>45325.63888888889</v>
      </c>
      <c r="C601" t="inlineStr">
        <is>
          <t>Bluestone Memorial Hospital</t>
        </is>
      </c>
      <c r="D601" t="n">
        <v>37</v>
      </c>
    </row>
    <row r="602">
      <c r="A602" t="inlineStr">
        <is>
          <t>ED200616</t>
        </is>
      </c>
      <c r="B602" s="56" t="n">
        <v>45325.68958333333</v>
      </c>
      <c r="C602" t="inlineStr">
        <is>
          <t>Bluestone Memorial Hospital</t>
        </is>
      </c>
      <c r="D602" t="n">
        <v>83</v>
      </c>
    </row>
    <row r="603">
      <c r="A603" t="inlineStr">
        <is>
          <t>ED200617</t>
        </is>
      </c>
      <c r="B603" s="56" t="n">
        <v>45325.70972222222</v>
      </c>
      <c r="C603" t="inlineStr">
        <is>
          <t>Bluestone Memorial Hospital</t>
        </is>
      </c>
      <c r="D603" t="n">
        <v>66</v>
      </c>
    </row>
    <row r="604">
      <c r="A604" t="inlineStr">
        <is>
          <t>ED200618</t>
        </is>
      </c>
      <c r="B604" s="56" t="n">
        <v>45325.75138888889</v>
      </c>
      <c r="C604" t="inlineStr">
        <is>
          <t>Bluestone Memorial Hospital</t>
        </is>
      </c>
      <c r="D604" t="n">
        <v>23</v>
      </c>
    </row>
    <row r="605">
      <c r="A605" t="inlineStr">
        <is>
          <t>ED200619</t>
        </is>
      </c>
      <c r="B605" s="56" t="n">
        <v>45325.75347222222</v>
      </c>
      <c r="C605" t="inlineStr">
        <is>
          <t>Bluestone Memorial Hospital</t>
        </is>
      </c>
      <c r="D605" t="n">
        <v>30</v>
      </c>
    </row>
    <row r="606">
      <c r="A606" t="inlineStr">
        <is>
          <t>ED200620</t>
        </is>
      </c>
      <c r="B606" s="56" t="n">
        <v>45325.75486111111</v>
      </c>
      <c r="C606" t="inlineStr">
        <is>
          <t>Bluestone Memorial Hospital</t>
        </is>
      </c>
      <c r="D606" t="n">
        <v>102</v>
      </c>
    </row>
    <row r="607">
      <c r="A607" t="inlineStr">
        <is>
          <t>ED200622</t>
        </is>
      </c>
      <c r="B607" s="56" t="n">
        <v>45325.78055555555</v>
      </c>
      <c r="C607" t="inlineStr">
        <is>
          <t>Bluestone Memorial Hospital</t>
        </is>
      </c>
      <c r="D607" t="n">
        <v>87</v>
      </c>
    </row>
    <row r="608">
      <c r="A608" t="inlineStr">
        <is>
          <t>ED200623</t>
        </is>
      </c>
      <c r="B608" s="56" t="n">
        <v>45325.78263888889</v>
      </c>
      <c r="C608" t="inlineStr">
        <is>
          <t>Bluestone Memorial Hospital</t>
        </is>
      </c>
      <c r="D608" t="n">
        <v>45</v>
      </c>
    </row>
    <row r="609">
      <c r="A609" t="inlineStr">
        <is>
          <t>ED200624</t>
        </is>
      </c>
      <c r="B609" s="56" t="n">
        <v>45325.85763888889</v>
      </c>
      <c r="C609" t="inlineStr">
        <is>
          <t>Cedar Ridge Medical Center</t>
        </is>
      </c>
      <c r="D609" t="n">
        <v>84</v>
      </c>
    </row>
    <row r="610">
      <c r="A610" t="inlineStr">
        <is>
          <t>ED200625</t>
        </is>
      </c>
      <c r="B610" s="56" t="n">
        <v>45325.86527777778</v>
      </c>
      <c r="C610" t="inlineStr">
        <is>
          <t>Bluestone Memorial Hospital</t>
        </is>
      </c>
      <c r="D610" t="n">
        <v>39</v>
      </c>
    </row>
    <row r="611">
      <c r="A611" t="inlineStr">
        <is>
          <t>ED200626</t>
        </is>
      </c>
      <c r="B611" s="56" t="n">
        <v>45325.95486111111</v>
      </c>
      <c r="C611" t="inlineStr">
        <is>
          <t>Ashby Falls Community Hospital</t>
        </is>
      </c>
      <c r="D611" t="n">
        <v>54</v>
      </c>
    </row>
    <row r="612">
      <c r="A612" t="inlineStr">
        <is>
          <t>ED200627</t>
        </is>
      </c>
      <c r="B612" s="56" t="n">
        <v>45326.32638888889</v>
      </c>
      <c r="C612" t="inlineStr">
        <is>
          <t>Cedar Ridge Medical Center</t>
        </is>
      </c>
      <c r="D612" t="n">
        <v>52</v>
      </c>
    </row>
    <row r="613">
      <c r="A613" t="inlineStr">
        <is>
          <t>ED200628</t>
        </is>
      </c>
      <c r="B613" s="56" t="n">
        <v>45326.34166666667</v>
      </c>
      <c r="C613" t="inlineStr">
        <is>
          <t>Bluestone Memorial Hospital</t>
        </is>
      </c>
      <c r="D613" t="n">
        <v>100</v>
      </c>
    </row>
    <row r="614">
      <c r="A614" t="inlineStr">
        <is>
          <t>ED200629</t>
        </is>
      </c>
      <c r="B614" s="56" t="n">
        <v>45326.34305555555</v>
      </c>
      <c r="C614" t="inlineStr">
        <is>
          <t>Bluestone Memorial Hospital</t>
        </is>
      </c>
      <c r="D614" t="n">
        <v>10</v>
      </c>
    </row>
    <row r="615">
      <c r="A615" t="inlineStr">
        <is>
          <t>ED200630</t>
        </is>
      </c>
      <c r="B615" s="56" t="n">
        <v>45326.38680555556</v>
      </c>
      <c r="C615" t="inlineStr">
        <is>
          <t>Ashby Falls Community Hospital</t>
        </is>
      </c>
      <c r="D615" t="n">
        <v>30</v>
      </c>
    </row>
    <row r="616">
      <c r="A616" t="inlineStr">
        <is>
          <t>ED200631</t>
        </is>
      </c>
      <c r="B616" s="56" t="n">
        <v>45326.49791666667</v>
      </c>
      <c r="C616" t="inlineStr">
        <is>
          <t>Bluestone Memorial Hospital</t>
        </is>
      </c>
      <c r="D616" t="n">
        <v>31</v>
      </c>
    </row>
    <row r="617">
      <c r="A617" t="inlineStr">
        <is>
          <t>ED200632</t>
        </is>
      </c>
      <c r="B617" s="56" t="n">
        <v>45326.52291666667</v>
      </c>
      <c r="C617" t="inlineStr">
        <is>
          <t>Ashby Falls Community Hospital</t>
        </is>
      </c>
      <c r="D617" t="n">
        <v>26</v>
      </c>
    </row>
    <row r="618">
      <c r="A618" t="inlineStr">
        <is>
          <t>ED200633</t>
        </is>
      </c>
      <c r="B618" s="56" t="n">
        <v>45326.65972222222</v>
      </c>
      <c r="C618" t="inlineStr">
        <is>
          <t>Cedar Ridge Medical Center</t>
        </is>
      </c>
      <c r="D618" t="n">
        <v>48</v>
      </c>
    </row>
    <row r="619">
      <c r="A619" t="inlineStr">
        <is>
          <t>ED200634</t>
        </is>
      </c>
      <c r="B619" s="56" t="n">
        <v>45326.68541666667</v>
      </c>
      <c r="C619" t="inlineStr">
        <is>
          <t>Ashby Falls Community Hospital</t>
        </is>
      </c>
      <c r="D619" t="n">
        <v>6</v>
      </c>
    </row>
    <row r="620">
      <c r="A620" t="inlineStr">
        <is>
          <t>ED200635</t>
        </is>
      </c>
      <c r="B620" s="56" t="n">
        <v>45326.69652777778</v>
      </c>
      <c r="C620" t="inlineStr">
        <is>
          <t>Bluestone Memorial Hospital</t>
        </is>
      </c>
      <c r="D620" t="n">
        <v>152</v>
      </c>
    </row>
    <row r="621">
      <c r="A621" t="inlineStr">
        <is>
          <t>ED200636</t>
        </is>
      </c>
      <c r="B621" s="56" t="n">
        <v>45326.75138888889</v>
      </c>
      <c r="C621" t="inlineStr">
        <is>
          <t>Bluestone Memorial Hospital</t>
        </is>
      </c>
      <c r="D621" t="n">
        <v>22</v>
      </c>
    </row>
    <row r="622">
      <c r="A622" t="inlineStr">
        <is>
          <t>ED200637</t>
        </is>
      </c>
      <c r="B622" s="56" t="n">
        <v>45326.77083333334</v>
      </c>
      <c r="C622" t="inlineStr">
        <is>
          <t>Bluestone Memorial Hospital</t>
        </is>
      </c>
      <c r="D622" t="n">
        <v>92</v>
      </c>
    </row>
    <row r="623">
      <c r="A623" t="inlineStr">
        <is>
          <t>ED200638</t>
        </is>
      </c>
      <c r="B623" s="56" t="n">
        <v>45326.79513888889</v>
      </c>
      <c r="C623" t="inlineStr">
        <is>
          <t>Bluestone Memorial Hospital</t>
        </is>
      </c>
      <c r="D623" t="n">
        <v>5</v>
      </c>
    </row>
    <row r="624">
      <c r="A624" t="inlineStr">
        <is>
          <t>ED200639</t>
        </is>
      </c>
      <c r="B624" s="56" t="n">
        <v>45326.92152777778</v>
      </c>
      <c r="C624" t="inlineStr">
        <is>
          <t>Bluestone Memorial Hospital</t>
        </is>
      </c>
      <c r="D624" t="n">
        <v>11</v>
      </c>
    </row>
    <row r="625">
      <c r="A625" t="inlineStr">
        <is>
          <t>ED200640</t>
        </is>
      </c>
      <c r="B625" s="56" t="n">
        <v>45326.93125</v>
      </c>
      <c r="C625" t="inlineStr">
        <is>
          <t>Ashby Falls Community Hospital</t>
        </is>
      </c>
      <c r="D625" t="n">
        <v>43</v>
      </c>
    </row>
    <row r="626">
      <c r="A626" t="inlineStr">
        <is>
          <t>ED200641</t>
        </is>
      </c>
      <c r="B626" s="56" t="n">
        <v>45326.94027777778</v>
      </c>
      <c r="C626" t="inlineStr">
        <is>
          <t>Bluestone Memorial Hospital</t>
        </is>
      </c>
      <c r="D626" t="n">
        <v>35</v>
      </c>
    </row>
    <row r="627">
      <c r="A627" t="inlineStr">
        <is>
          <t>ED200642</t>
        </is>
      </c>
      <c r="B627" s="56" t="n">
        <v>45326.97638888889</v>
      </c>
      <c r="C627" t="inlineStr">
        <is>
          <t>Bluestone Memorial Hospital</t>
        </is>
      </c>
      <c r="D627" t="n">
        <v>31</v>
      </c>
    </row>
    <row r="628">
      <c r="A628" t="inlineStr">
        <is>
          <t>ED200643</t>
        </is>
      </c>
      <c r="B628" s="56" t="n">
        <v>45327.0375</v>
      </c>
      <c r="C628" t="inlineStr">
        <is>
          <t>Cedar Ridge Medical Center</t>
        </is>
      </c>
      <c r="D628" t="n">
        <v>8</v>
      </c>
    </row>
    <row r="629">
      <c r="A629" t="inlineStr">
        <is>
          <t>ED200644</t>
        </is>
      </c>
      <c r="B629" s="56" t="n">
        <v>45327.04305555556</v>
      </c>
      <c r="C629" t="inlineStr">
        <is>
          <t>Ashby Falls Community Hospital</t>
        </is>
      </c>
      <c r="D629" t="n">
        <v>14</v>
      </c>
    </row>
    <row r="630">
      <c r="A630" t="inlineStr">
        <is>
          <t>ED200645</t>
        </is>
      </c>
      <c r="B630" s="56" t="n">
        <v>45327.30902777778</v>
      </c>
      <c r="C630" t="inlineStr">
        <is>
          <t>Bluestone Memorial Hospital</t>
        </is>
      </c>
      <c r="D630" t="n">
        <v>33</v>
      </c>
    </row>
    <row r="631">
      <c r="A631" t="inlineStr">
        <is>
          <t>ED200646</t>
        </is>
      </c>
      <c r="B631" s="56" t="n">
        <v>45327.35</v>
      </c>
      <c r="C631" t="inlineStr">
        <is>
          <t>Bluestone Memorial Hospital</t>
        </is>
      </c>
      <c r="D631" t="n">
        <v>72</v>
      </c>
    </row>
    <row r="632">
      <c r="A632" t="inlineStr">
        <is>
          <t>ED200647</t>
        </is>
      </c>
      <c r="B632" s="56" t="n">
        <v>45327.36666666667</v>
      </c>
      <c r="C632" t="inlineStr">
        <is>
          <t>Bluestone Memorial Hospital</t>
        </is>
      </c>
      <c r="D632" t="n">
        <v>105</v>
      </c>
    </row>
    <row r="633">
      <c r="A633" t="inlineStr">
        <is>
          <t>ED200648</t>
        </is>
      </c>
      <c r="B633" s="56" t="n">
        <v>45327.38333333333</v>
      </c>
      <c r="C633" t="inlineStr">
        <is>
          <t>Bluestone Memorial Hospital</t>
        </is>
      </c>
      <c r="D633" t="n">
        <v>152</v>
      </c>
    </row>
    <row r="634">
      <c r="A634" t="inlineStr">
        <is>
          <t>ED200649</t>
        </is>
      </c>
      <c r="B634" s="56" t="n">
        <v>45327.3875</v>
      </c>
      <c r="C634" t="inlineStr">
        <is>
          <t>Bluestone Memorial Hospital</t>
        </is>
      </c>
      <c r="D634" t="n">
        <v>66</v>
      </c>
    </row>
    <row r="635">
      <c r="A635" t="inlineStr">
        <is>
          <t>ED200650</t>
        </is>
      </c>
      <c r="B635" s="56" t="n">
        <v>45327.43194444444</v>
      </c>
      <c r="C635" t="inlineStr">
        <is>
          <t>Ashby Falls Community Hospital</t>
        </is>
      </c>
      <c r="D635" t="n">
        <v>44</v>
      </c>
    </row>
    <row r="636">
      <c r="A636" t="inlineStr">
        <is>
          <t>ED200651</t>
        </is>
      </c>
      <c r="B636" s="56" t="n">
        <v>45327.46319444444</v>
      </c>
      <c r="C636" t="inlineStr">
        <is>
          <t>Ashby Falls Community Hospital</t>
        </is>
      </c>
      <c r="D636" t="n">
        <v>41</v>
      </c>
    </row>
    <row r="637">
      <c r="A637" t="inlineStr">
        <is>
          <t>ED200652</t>
        </is>
      </c>
      <c r="B637" s="56" t="n">
        <v>45327.49444444444</v>
      </c>
      <c r="C637" t="inlineStr">
        <is>
          <t>Bluestone Memorial Hospital</t>
        </is>
      </c>
      <c r="D637" t="n">
        <v>31</v>
      </c>
    </row>
    <row r="638">
      <c r="A638" t="inlineStr">
        <is>
          <t>ED200653</t>
        </is>
      </c>
      <c r="B638" s="56" t="n">
        <v>45327.57083333333</v>
      </c>
      <c r="C638" t="inlineStr">
        <is>
          <t>Bluestone Memorial Hospital</t>
        </is>
      </c>
      <c r="D638" t="n">
        <v>54</v>
      </c>
    </row>
    <row r="639">
      <c r="A639" t="inlineStr">
        <is>
          <t>ED200654</t>
        </is>
      </c>
      <c r="B639" s="56" t="n">
        <v>45327.61805555555</v>
      </c>
      <c r="C639" t="inlineStr">
        <is>
          <t>Bluestone Memorial Hospital</t>
        </is>
      </c>
      <c r="D639" t="n">
        <v>11</v>
      </c>
    </row>
    <row r="640">
      <c r="A640" t="inlineStr">
        <is>
          <t>ED200655</t>
        </is>
      </c>
      <c r="B640" s="56" t="n">
        <v>45327.63680555556</v>
      </c>
      <c r="C640" t="inlineStr">
        <is>
          <t>Bluestone Memorial Hospital</t>
        </is>
      </c>
      <c r="D640" t="n">
        <v>99</v>
      </c>
    </row>
    <row r="641">
      <c r="A641" t="inlineStr">
        <is>
          <t>ED200656</t>
        </is>
      </c>
      <c r="B641" s="56" t="n">
        <v>45327.72430555556</v>
      </c>
      <c r="C641" t="inlineStr">
        <is>
          <t>Ashby Falls Community Hospital</t>
        </is>
      </c>
      <c r="D641" t="n">
        <v>55</v>
      </c>
    </row>
    <row r="642">
      <c r="A642" t="inlineStr">
        <is>
          <t>ED200657</t>
        </is>
      </c>
      <c r="B642" s="56" t="n">
        <v>45327.74027777778</v>
      </c>
      <c r="C642" t="inlineStr">
        <is>
          <t>Bluestone Memorial Hospital</t>
        </is>
      </c>
      <c r="D642" t="n">
        <v>49</v>
      </c>
    </row>
    <row r="643">
      <c r="A643" t="inlineStr">
        <is>
          <t>ED200658</t>
        </is>
      </c>
      <c r="B643" s="56" t="n">
        <v>45327.75694444445</v>
      </c>
      <c r="C643" t="inlineStr">
        <is>
          <t>Cedar Ridge Medical Center</t>
        </is>
      </c>
      <c r="D643" t="n">
        <v>83</v>
      </c>
    </row>
    <row r="644">
      <c r="A644" t="inlineStr">
        <is>
          <t>ED200659</t>
        </is>
      </c>
      <c r="B644" s="56" t="n">
        <v>45327.76666666667</v>
      </c>
      <c r="C644" t="inlineStr">
        <is>
          <t>Bluestone Memorial Hospital</t>
        </is>
      </c>
      <c r="D644" t="n">
        <v>67</v>
      </c>
    </row>
    <row r="645">
      <c r="A645" t="inlineStr">
        <is>
          <t>ED200660</t>
        </is>
      </c>
      <c r="B645" s="56" t="n">
        <v>45327.79166666666</v>
      </c>
      <c r="C645" t="inlineStr">
        <is>
          <t>Ashby Falls Community Hospital</t>
        </is>
      </c>
      <c r="D645" t="n">
        <v>116</v>
      </c>
    </row>
    <row r="646">
      <c r="A646" t="inlineStr">
        <is>
          <t>ED200661</t>
        </is>
      </c>
      <c r="B646" s="56" t="n">
        <v>45327.79305555556</v>
      </c>
      <c r="C646" t="inlineStr">
        <is>
          <t>Bluestone Memorial Hospital</t>
        </is>
      </c>
      <c r="D646" t="n">
        <v>77</v>
      </c>
    </row>
    <row r="647">
      <c r="A647" t="inlineStr">
        <is>
          <t>ED200662</t>
        </is>
      </c>
      <c r="B647" s="56" t="n">
        <v>45327.80763888889</v>
      </c>
      <c r="C647" t="inlineStr">
        <is>
          <t>Ashby Falls Community Hospital</t>
        </is>
      </c>
      <c r="D647" t="n">
        <v>58</v>
      </c>
    </row>
    <row r="648">
      <c r="A648" t="inlineStr">
        <is>
          <t>ED200663</t>
        </is>
      </c>
      <c r="B648" s="56" t="n">
        <v>45327.80972222222</v>
      </c>
      <c r="C648" t="inlineStr">
        <is>
          <t>Bluestone Memorial Hospital</t>
        </is>
      </c>
      <c r="D648" t="n">
        <v>40</v>
      </c>
    </row>
    <row r="649">
      <c r="A649" t="inlineStr">
        <is>
          <t>ED200664</t>
        </is>
      </c>
      <c r="B649" s="56" t="n">
        <v>45327.82708333333</v>
      </c>
      <c r="C649" t="inlineStr">
        <is>
          <t>Bluestone Memorial Hospital</t>
        </is>
      </c>
      <c r="D649" t="n">
        <v>89</v>
      </c>
    </row>
    <row r="650">
      <c r="A650" t="inlineStr">
        <is>
          <t>ED200665</t>
        </is>
      </c>
      <c r="B650" s="56" t="n">
        <v>45327.96736111111</v>
      </c>
      <c r="C650" t="inlineStr">
        <is>
          <t>Bluestone Memorial Hospital</t>
        </is>
      </c>
      <c r="D650" t="n">
        <v>53</v>
      </c>
    </row>
    <row r="651">
      <c r="A651" t="inlineStr">
        <is>
          <t>ED200666</t>
        </is>
      </c>
      <c r="B651" s="56" t="n">
        <v>45328.22361111111</v>
      </c>
      <c r="C651" t="inlineStr">
        <is>
          <t>Ashby Falls Community Hospital</t>
        </is>
      </c>
      <c r="D651" t="n">
        <v>82</v>
      </c>
    </row>
    <row r="652">
      <c r="A652" t="inlineStr">
        <is>
          <t>ED200667</t>
        </is>
      </c>
      <c r="B652" s="56" t="n">
        <v>45328.25902777778</v>
      </c>
      <c r="C652" t="inlineStr">
        <is>
          <t>Ashby Falls Community Hospital</t>
        </is>
      </c>
      <c r="D652" t="n">
        <v>149</v>
      </c>
    </row>
    <row r="653">
      <c r="A653" t="inlineStr">
        <is>
          <t>ED200668</t>
        </is>
      </c>
      <c r="B653" s="56" t="n">
        <v>45328.2625</v>
      </c>
      <c r="C653" t="inlineStr">
        <is>
          <t>Ashby Falls Community Hospital</t>
        </is>
      </c>
      <c r="D653" t="n">
        <v>93</v>
      </c>
    </row>
    <row r="654">
      <c r="A654" t="inlineStr">
        <is>
          <t>ED200669</t>
        </is>
      </c>
      <c r="B654" s="56" t="n">
        <v>45328.36944444444</v>
      </c>
      <c r="C654" t="inlineStr">
        <is>
          <t>Bluestone Memorial Hospital</t>
        </is>
      </c>
      <c r="D654" t="n">
        <v>23</v>
      </c>
    </row>
    <row r="655">
      <c r="A655" t="inlineStr">
        <is>
          <t>ED200670</t>
        </is>
      </c>
      <c r="B655" s="56" t="n">
        <v>45328.38888888889</v>
      </c>
      <c r="C655" t="inlineStr">
        <is>
          <t>Ashby Falls Community Hospital</t>
        </is>
      </c>
      <c r="D655" t="n">
        <v>35</v>
      </c>
    </row>
    <row r="656">
      <c r="A656" t="inlineStr">
        <is>
          <t>ED200671</t>
        </is>
      </c>
      <c r="B656" s="56" t="n">
        <v>45328.49236111111</v>
      </c>
      <c r="C656" t="inlineStr">
        <is>
          <t>Bluestone Memorial Hospital</t>
        </is>
      </c>
      <c r="D656" t="n">
        <v>10</v>
      </c>
    </row>
    <row r="657">
      <c r="A657" t="inlineStr">
        <is>
          <t>ED200672</t>
        </is>
      </c>
      <c r="B657" s="56" t="n">
        <v>45328.49583333333</v>
      </c>
      <c r="C657" t="inlineStr">
        <is>
          <t>Bluestone Memorial Hospital</t>
        </is>
      </c>
      <c r="D657" t="n">
        <v>76</v>
      </c>
    </row>
    <row r="658">
      <c r="A658" t="inlineStr">
        <is>
          <t>ED200673</t>
        </is>
      </c>
      <c r="B658" s="56" t="n">
        <v>45328.49652777778</v>
      </c>
      <c r="C658" t="inlineStr">
        <is>
          <t>Bluestone Memorial Hospital</t>
        </is>
      </c>
      <c r="D658" t="n">
        <v>59</v>
      </c>
    </row>
    <row r="659">
      <c r="A659" t="inlineStr">
        <is>
          <t>ED200674</t>
        </is>
      </c>
      <c r="B659" s="56" t="n">
        <v>45328.50416666667</v>
      </c>
      <c r="C659" t="inlineStr">
        <is>
          <t>Bluestone Memorial Hospital</t>
        </is>
      </c>
      <c r="D659" t="n">
        <v>2</v>
      </c>
    </row>
    <row r="660">
      <c r="A660" t="inlineStr">
        <is>
          <t>ED200675</t>
        </is>
      </c>
      <c r="B660" s="56" t="n">
        <v>45328.51527777778</v>
      </c>
      <c r="C660" t="inlineStr">
        <is>
          <t>Bluestone Memorial Hospital</t>
        </is>
      </c>
      <c r="D660" t="n">
        <v>24</v>
      </c>
    </row>
    <row r="661">
      <c r="A661" t="inlineStr">
        <is>
          <t>ED200676</t>
        </is>
      </c>
      <c r="B661" s="56" t="n">
        <v>45328.58541666667</v>
      </c>
      <c r="C661" t="inlineStr">
        <is>
          <t>Ashby Falls Community Hospital</t>
        </is>
      </c>
      <c r="D661" t="n">
        <v>31</v>
      </c>
    </row>
    <row r="662">
      <c r="A662" t="inlineStr">
        <is>
          <t>ED200677</t>
        </is>
      </c>
      <c r="B662" s="56" t="n">
        <v>45328.59027777778</v>
      </c>
      <c r="C662" t="inlineStr">
        <is>
          <t>Cedar Ridge Medical Center</t>
        </is>
      </c>
      <c r="D662" t="n">
        <v>49</v>
      </c>
    </row>
    <row r="663">
      <c r="A663" t="inlineStr">
        <is>
          <t>ED200678</t>
        </is>
      </c>
      <c r="B663" s="56" t="n">
        <v>45328.59444444445</v>
      </c>
      <c r="C663" t="inlineStr">
        <is>
          <t>Ashby Falls Community Hospital</t>
        </is>
      </c>
      <c r="D663" t="n">
        <v>60</v>
      </c>
    </row>
    <row r="664">
      <c r="A664" t="inlineStr">
        <is>
          <t>ED200679</t>
        </is>
      </c>
      <c r="B664" s="56" t="n">
        <v>45328.6125</v>
      </c>
      <c r="C664" t="inlineStr">
        <is>
          <t>Bluestone Memorial Hospital</t>
        </is>
      </c>
      <c r="D664" t="n">
        <v>3</v>
      </c>
    </row>
    <row r="665">
      <c r="A665" t="inlineStr">
        <is>
          <t>ED200681</t>
        </is>
      </c>
      <c r="B665" s="56" t="n">
        <v>45328.65069444444</v>
      </c>
      <c r="C665" t="inlineStr">
        <is>
          <t>Bluestone Memorial Hospital</t>
        </is>
      </c>
      <c r="D665" t="n">
        <v>178</v>
      </c>
    </row>
    <row r="666">
      <c r="A666" t="inlineStr">
        <is>
          <t>ED200682</t>
        </is>
      </c>
      <c r="B666" s="56" t="n">
        <v>45328.67013888889</v>
      </c>
      <c r="C666" t="inlineStr">
        <is>
          <t>Bluestone Memorial Hospital</t>
        </is>
      </c>
      <c r="D666" t="n">
        <v>81</v>
      </c>
    </row>
    <row r="667">
      <c r="A667" t="inlineStr">
        <is>
          <t>ED200683</t>
        </is>
      </c>
      <c r="B667" s="56" t="n">
        <v>45328.69861111111</v>
      </c>
      <c r="C667" t="inlineStr">
        <is>
          <t>Bluestone Memorial Hospital</t>
        </is>
      </c>
      <c r="D667" t="n">
        <v>41</v>
      </c>
    </row>
    <row r="668">
      <c r="A668" t="inlineStr">
        <is>
          <t>ED200684</t>
        </is>
      </c>
      <c r="B668" s="56" t="n">
        <v>45328.70347222222</v>
      </c>
      <c r="C668" t="inlineStr">
        <is>
          <t>Ashby Falls Community Hospital</t>
        </is>
      </c>
      <c r="D668" t="n">
        <v>83</v>
      </c>
    </row>
    <row r="669">
      <c r="A669" t="inlineStr">
        <is>
          <t>ED200685</t>
        </is>
      </c>
      <c r="B669" s="56" t="n">
        <v>45328.70694444444</v>
      </c>
      <c r="C669" t="inlineStr">
        <is>
          <t>Bluestone Memorial Hospital</t>
        </is>
      </c>
      <c r="D669" t="n">
        <v>16</v>
      </c>
    </row>
    <row r="670">
      <c r="A670" t="inlineStr">
        <is>
          <t>ED200686</t>
        </is>
      </c>
      <c r="B670" s="56" t="n">
        <v>45328.82013888889</v>
      </c>
      <c r="C670" t="inlineStr">
        <is>
          <t>Bluestone Memorial Hospital</t>
        </is>
      </c>
      <c r="D670" t="n">
        <v>69</v>
      </c>
    </row>
    <row r="671">
      <c r="A671" t="inlineStr">
        <is>
          <t>ED200687</t>
        </is>
      </c>
      <c r="B671" s="56" t="n">
        <v>45328.89097222222</v>
      </c>
      <c r="C671" t="inlineStr">
        <is>
          <t>Cedar Ridge Medical Center</t>
        </is>
      </c>
      <c r="D671" t="n">
        <v>115</v>
      </c>
    </row>
    <row r="672">
      <c r="A672" t="inlineStr">
        <is>
          <t>ED200688</t>
        </is>
      </c>
      <c r="B672" s="56" t="n">
        <v>45328.97986111111</v>
      </c>
      <c r="C672" t="inlineStr">
        <is>
          <t>Bluestone Memorial Hospital</t>
        </is>
      </c>
      <c r="D672" t="n">
        <v>22</v>
      </c>
    </row>
    <row r="673">
      <c r="A673" t="inlineStr">
        <is>
          <t>ED200689</t>
        </is>
      </c>
      <c r="B673" s="56" t="n">
        <v>45328.98333333333</v>
      </c>
      <c r="C673" t="inlineStr">
        <is>
          <t>Bluestone Memorial Hospital</t>
        </is>
      </c>
      <c r="D673" t="n">
        <v>10</v>
      </c>
    </row>
    <row r="674">
      <c r="A674" t="inlineStr">
        <is>
          <t>ED200690</t>
        </is>
      </c>
      <c r="B674" s="56" t="n">
        <v>45328.99236111111</v>
      </c>
      <c r="C674" t="inlineStr">
        <is>
          <t>Bluestone Memorial Hospital</t>
        </is>
      </c>
      <c r="D674" t="n">
        <v>52</v>
      </c>
    </row>
    <row r="675">
      <c r="A675" t="inlineStr">
        <is>
          <t>ED200691</t>
        </is>
      </c>
      <c r="B675" s="56" t="n">
        <v>45329.13611111111</v>
      </c>
      <c r="C675" t="inlineStr">
        <is>
          <t>Cedar Ridge Medical Center</t>
        </is>
      </c>
      <c r="D675" t="n">
        <v>20</v>
      </c>
    </row>
    <row r="676">
      <c r="A676" t="inlineStr">
        <is>
          <t>ED200692</t>
        </is>
      </c>
      <c r="B676" s="56" t="n">
        <v>45329.24236111111</v>
      </c>
      <c r="C676" t="inlineStr">
        <is>
          <t>Cedar Ridge Medical Center</t>
        </is>
      </c>
      <c r="D676" t="n">
        <v>11</v>
      </c>
    </row>
    <row r="677">
      <c r="A677" t="inlineStr">
        <is>
          <t>ED200693</t>
        </is>
      </c>
      <c r="B677" s="56" t="n">
        <v>45329.30486111111</v>
      </c>
      <c r="C677" t="inlineStr">
        <is>
          <t>Bluestone Memorial Hospital</t>
        </is>
      </c>
      <c r="D677" t="n">
        <v>40</v>
      </c>
    </row>
    <row r="678">
      <c r="A678" t="inlineStr">
        <is>
          <t>ED200694</t>
        </is>
      </c>
      <c r="B678" s="56" t="n">
        <v>45329.30833333333</v>
      </c>
      <c r="C678" t="inlineStr">
        <is>
          <t>Bluestone Memorial Hospital</t>
        </is>
      </c>
      <c r="D678" t="n">
        <v>54</v>
      </c>
    </row>
    <row r="679">
      <c r="A679" t="inlineStr">
        <is>
          <t>ED200695</t>
        </is>
      </c>
      <c r="B679" s="56" t="n">
        <v>45329.45972222222</v>
      </c>
      <c r="C679" t="inlineStr">
        <is>
          <t>Ashby Falls Community Hospital</t>
        </is>
      </c>
      <c r="D679" t="n">
        <v>85</v>
      </c>
    </row>
    <row r="680">
      <c r="A680" t="inlineStr">
        <is>
          <t>ED200696</t>
        </is>
      </c>
      <c r="B680" s="56" t="n">
        <v>45329.48055555556</v>
      </c>
      <c r="C680" t="inlineStr">
        <is>
          <t>Ashby Falls Community Hospital</t>
        </is>
      </c>
      <c r="D680" t="n">
        <v>145</v>
      </c>
    </row>
    <row r="681">
      <c r="A681" t="inlineStr">
        <is>
          <t>ED200697</t>
        </is>
      </c>
      <c r="B681" s="56" t="n">
        <v>45329.52986111111</v>
      </c>
      <c r="C681" t="inlineStr">
        <is>
          <t>Bluestone Memorial Hospital</t>
        </is>
      </c>
      <c r="D681" t="n">
        <v>33</v>
      </c>
    </row>
    <row r="682">
      <c r="A682" t="inlineStr">
        <is>
          <t>ED200698</t>
        </is>
      </c>
      <c r="B682" s="56" t="n">
        <v>45329.62916666667</v>
      </c>
      <c r="C682" t="inlineStr">
        <is>
          <t>Bluestone Memorial Hospital</t>
        </is>
      </c>
      <c r="D682" t="n">
        <v>44</v>
      </c>
    </row>
    <row r="683">
      <c r="A683" t="inlineStr">
        <is>
          <t>ED200699</t>
        </is>
      </c>
      <c r="B683" s="56" t="n">
        <v>45329.7625</v>
      </c>
      <c r="C683" t="inlineStr">
        <is>
          <t>Bluestone Memorial Hospital</t>
        </is>
      </c>
      <c r="D683" t="n">
        <v>50</v>
      </c>
    </row>
    <row r="684">
      <c r="A684" t="inlineStr">
        <is>
          <t>ED200700</t>
        </is>
      </c>
      <c r="B684" s="56" t="n">
        <v>45329.77291666667</v>
      </c>
      <c r="C684" t="inlineStr">
        <is>
          <t>Bluestone Memorial Hospital</t>
        </is>
      </c>
      <c r="D684" t="n">
        <v>74</v>
      </c>
    </row>
    <row r="685">
      <c r="A685" t="inlineStr">
        <is>
          <t>ED200701</t>
        </is>
      </c>
      <c r="B685" s="56" t="n">
        <v>45329.80833333333</v>
      </c>
      <c r="C685" t="inlineStr">
        <is>
          <t>Bluestone Memorial Hospital</t>
        </is>
      </c>
      <c r="D685" t="n">
        <v>74</v>
      </c>
    </row>
    <row r="686">
      <c r="A686" t="inlineStr">
        <is>
          <t>ED200703</t>
        </is>
      </c>
      <c r="B686" s="56" t="n">
        <v>45329.825</v>
      </c>
      <c r="C686" t="inlineStr">
        <is>
          <t>Bluestone Memorial Hospital</t>
        </is>
      </c>
      <c r="D686" t="n">
        <v>34</v>
      </c>
    </row>
    <row r="687">
      <c r="A687" t="inlineStr">
        <is>
          <t>ED200704</t>
        </is>
      </c>
      <c r="B687" s="56" t="n">
        <v>45329.84513888889</v>
      </c>
      <c r="C687" t="inlineStr">
        <is>
          <t>Bluestone Memorial Hospital</t>
        </is>
      </c>
      <c r="D687" t="n">
        <v>58</v>
      </c>
    </row>
    <row r="688">
      <c r="A688" t="inlineStr">
        <is>
          <t>ED200705</t>
        </is>
      </c>
      <c r="B688" s="56" t="n">
        <v>45329.91666666666</v>
      </c>
      <c r="C688" t="inlineStr">
        <is>
          <t>Bluestone Memorial Hospital</t>
        </is>
      </c>
      <c r="D688" t="n">
        <v>29</v>
      </c>
    </row>
    <row r="689">
      <c r="A689" t="inlineStr">
        <is>
          <t>ED200706</t>
        </is>
      </c>
      <c r="B689" s="56" t="n">
        <v>45330.27291666667</v>
      </c>
      <c r="C689" t="inlineStr">
        <is>
          <t>Bluestone Memorial Hospital</t>
        </is>
      </c>
      <c r="D689" t="n">
        <v>36</v>
      </c>
    </row>
    <row r="690">
      <c r="A690" t="inlineStr">
        <is>
          <t>ED200707</t>
        </is>
      </c>
      <c r="B690" s="56" t="n">
        <v>45330.28055555555</v>
      </c>
      <c r="C690" t="inlineStr">
        <is>
          <t>Cedar Ridge Medical Center</t>
        </is>
      </c>
      <c r="D690" t="n">
        <v>22</v>
      </c>
    </row>
    <row r="691">
      <c r="A691" t="inlineStr">
        <is>
          <t>ED200708</t>
        </is>
      </c>
      <c r="B691" s="56" t="n">
        <v>45330.37083333333</v>
      </c>
      <c r="C691" t="inlineStr">
        <is>
          <t>Bluestone Memorial Hospital</t>
        </is>
      </c>
      <c r="D691" t="n">
        <v>25</v>
      </c>
    </row>
    <row r="692">
      <c r="A692" t="inlineStr">
        <is>
          <t>ED200709</t>
        </is>
      </c>
      <c r="B692" s="56" t="n">
        <v>45330.46458333333</v>
      </c>
      <c r="C692" t="inlineStr">
        <is>
          <t>Bluestone Memorial Hospital</t>
        </is>
      </c>
      <c r="D692" t="n">
        <v>23</v>
      </c>
    </row>
    <row r="693">
      <c r="A693" t="inlineStr">
        <is>
          <t>ED200710</t>
        </is>
      </c>
      <c r="B693" s="56" t="n">
        <v>45330.46736111111</v>
      </c>
      <c r="C693" t="inlineStr">
        <is>
          <t>Bluestone Memorial Hospital</t>
        </is>
      </c>
      <c r="D693" t="n">
        <v>44</v>
      </c>
    </row>
    <row r="694">
      <c r="A694" t="inlineStr">
        <is>
          <t>ED200711</t>
        </is>
      </c>
      <c r="B694" s="56" t="n">
        <v>45330.47222222222</v>
      </c>
      <c r="C694" t="inlineStr">
        <is>
          <t>Cedar Ridge Medical Center</t>
        </is>
      </c>
      <c r="D694" t="n">
        <v>99</v>
      </c>
    </row>
    <row r="695">
      <c r="A695" t="inlineStr">
        <is>
          <t>ED200712</t>
        </is>
      </c>
      <c r="B695" s="56" t="n">
        <v>45330.49513888889</v>
      </c>
      <c r="C695" t="inlineStr">
        <is>
          <t>Bluestone Memorial Hospital</t>
        </is>
      </c>
      <c r="D695" t="n">
        <v>69</v>
      </c>
    </row>
    <row r="696">
      <c r="A696" t="inlineStr">
        <is>
          <t>ED200713</t>
        </is>
      </c>
      <c r="B696" s="56" t="n">
        <v>45330.51111111111</v>
      </c>
      <c r="C696" t="inlineStr">
        <is>
          <t>Cedar Ridge Medical Center</t>
        </is>
      </c>
      <c r="D696" t="n">
        <v>73</v>
      </c>
    </row>
    <row r="697">
      <c r="A697" t="inlineStr">
        <is>
          <t>ED200714</t>
        </is>
      </c>
      <c r="B697" s="56" t="n">
        <v>45330.52291666667</v>
      </c>
      <c r="C697" t="inlineStr">
        <is>
          <t>Bluestone Memorial Hospital</t>
        </is>
      </c>
      <c r="D697" t="n">
        <v>101</v>
      </c>
    </row>
    <row r="698">
      <c r="A698" t="inlineStr">
        <is>
          <t>ED200715</t>
        </is>
      </c>
      <c r="B698" s="56" t="n">
        <v>45330.52291666667</v>
      </c>
      <c r="C698" t="inlineStr">
        <is>
          <t>Bluestone Memorial Hospital</t>
        </is>
      </c>
      <c r="D698" t="n">
        <v>32</v>
      </c>
    </row>
    <row r="699">
      <c r="A699" t="inlineStr">
        <is>
          <t>ED200716</t>
        </is>
      </c>
      <c r="B699" s="56" t="n">
        <v>45330.58541666667</v>
      </c>
      <c r="C699" t="inlineStr">
        <is>
          <t>Bluestone Memorial Hospital</t>
        </is>
      </c>
      <c r="D699" t="n">
        <v>59</v>
      </c>
    </row>
    <row r="700">
      <c r="A700" t="inlineStr">
        <is>
          <t>ED200717</t>
        </is>
      </c>
      <c r="B700" s="56" t="n">
        <v>45330.61875</v>
      </c>
      <c r="C700" t="inlineStr">
        <is>
          <t>Bluestone Memorial Hospital</t>
        </is>
      </c>
      <c r="D700" t="n">
        <v>47</v>
      </c>
    </row>
    <row r="701">
      <c r="A701" t="inlineStr">
        <is>
          <t>ED200718</t>
        </is>
      </c>
      <c r="B701" s="56" t="n">
        <v>45330.65694444445</v>
      </c>
      <c r="C701" t="inlineStr">
        <is>
          <t>Bluestone Memorial Hospital</t>
        </is>
      </c>
      <c r="D701" t="n">
        <v>69</v>
      </c>
    </row>
    <row r="702">
      <c r="A702" t="inlineStr">
        <is>
          <t>ED200719</t>
        </is>
      </c>
      <c r="B702" s="56" t="n">
        <v>45330.68472222222</v>
      </c>
      <c r="C702" t="inlineStr">
        <is>
          <t>Cedar Ridge Medical Center</t>
        </is>
      </c>
      <c r="D702" t="n">
        <v>39</v>
      </c>
    </row>
    <row r="703">
      <c r="A703" t="inlineStr">
        <is>
          <t>ED200720</t>
        </is>
      </c>
      <c r="B703" s="56" t="n">
        <v>45330.69236111111</v>
      </c>
      <c r="C703" t="inlineStr">
        <is>
          <t>Bluestone Memorial Hospital</t>
        </is>
      </c>
      <c r="D703" t="n">
        <v>21</v>
      </c>
    </row>
    <row r="704">
      <c r="A704" t="inlineStr">
        <is>
          <t>ED200721</t>
        </is>
      </c>
      <c r="B704" s="56" t="n">
        <v>45330.70208333333</v>
      </c>
      <c r="C704" t="inlineStr">
        <is>
          <t>Cedar Ridge Medical Center</t>
        </is>
      </c>
      <c r="D704" t="n">
        <v>53</v>
      </c>
    </row>
    <row r="705">
      <c r="A705" t="inlineStr">
        <is>
          <t>ED200722</t>
        </is>
      </c>
      <c r="B705" s="56" t="n">
        <v>45330.70347222222</v>
      </c>
      <c r="C705" t="inlineStr">
        <is>
          <t>Bluestone Memorial Hospital</t>
        </is>
      </c>
      <c r="D705" t="n">
        <v>16</v>
      </c>
    </row>
    <row r="706">
      <c r="A706" t="inlineStr">
        <is>
          <t>ED200723</t>
        </is>
      </c>
      <c r="B706" s="56" t="n">
        <v>45330.71458333333</v>
      </c>
      <c r="C706" t="inlineStr">
        <is>
          <t>Bluestone Memorial Hospital</t>
        </is>
      </c>
      <c r="D706" t="n">
        <v>66</v>
      </c>
    </row>
    <row r="707">
      <c r="A707" t="inlineStr">
        <is>
          <t>ED200724</t>
        </is>
      </c>
      <c r="B707" s="56" t="n">
        <v>45330.76736111111</v>
      </c>
      <c r="C707" t="inlineStr">
        <is>
          <t>Bluestone Memorial Hospital</t>
        </is>
      </c>
      <c r="D707" t="n">
        <v>21</v>
      </c>
    </row>
    <row r="708">
      <c r="A708" t="inlineStr">
        <is>
          <t>ED200725</t>
        </is>
      </c>
      <c r="B708" s="56" t="n">
        <v>45330.77777777778</v>
      </c>
      <c r="C708" t="inlineStr">
        <is>
          <t>Bluestone Memorial Hospital</t>
        </is>
      </c>
      <c r="D708" t="n">
        <v>34</v>
      </c>
    </row>
    <row r="709">
      <c r="A709" t="inlineStr">
        <is>
          <t>ED200726</t>
        </is>
      </c>
      <c r="B709" s="56" t="n">
        <v>45330.82361111111</v>
      </c>
      <c r="C709" t="inlineStr">
        <is>
          <t>Ashby Falls Community Hospital</t>
        </is>
      </c>
      <c r="D709" t="n">
        <v>11</v>
      </c>
    </row>
    <row r="710">
      <c r="A710" t="inlineStr">
        <is>
          <t>ED200727</t>
        </is>
      </c>
      <c r="B710" s="56" t="n">
        <v>45330.86666666667</v>
      </c>
      <c r="C710" t="inlineStr">
        <is>
          <t>Bluestone Memorial Hospital</t>
        </is>
      </c>
      <c r="D710" t="n">
        <v>24</v>
      </c>
    </row>
    <row r="711">
      <c r="A711" t="inlineStr">
        <is>
          <t>ED200728</t>
        </is>
      </c>
      <c r="B711" s="56" t="n">
        <v>45330.97152777778</v>
      </c>
      <c r="C711" t="inlineStr">
        <is>
          <t>Bluestone Memorial Hospital</t>
        </is>
      </c>
      <c r="D711" t="n">
        <v>39</v>
      </c>
    </row>
    <row r="712">
      <c r="A712" t="inlineStr">
        <is>
          <t>ED200729</t>
        </is>
      </c>
      <c r="B712" s="56" t="n">
        <v>45331.02916666667</v>
      </c>
      <c r="C712" t="inlineStr">
        <is>
          <t>Ashby Falls Community Hospital</t>
        </is>
      </c>
      <c r="D712" t="n">
        <v>136</v>
      </c>
    </row>
    <row r="713">
      <c r="A713" t="inlineStr">
        <is>
          <t>ED200730</t>
        </is>
      </c>
      <c r="B713" s="56" t="n">
        <v>45331.0375</v>
      </c>
      <c r="C713" t="inlineStr">
        <is>
          <t>Bluestone Memorial Hospital</t>
        </is>
      </c>
      <c r="D713" t="n">
        <v>23</v>
      </c>
    </row>
    <row r="714">
      <c r="A714" t="inlineStr">
        <is>
          <t>ED200731</t>
        </is>
      </c>
      <c r="B714" s="56" t="n">
        <v>45331.33263888889</v>
      </c>
      <c r="C714" t="inlineStr">
        <is>
          <t>Bluestone Memorial Hospital</t>
        </is>
      </c>
      <c r="D714" t="n">
        <v>92</v>
      </c>
    </row>
    <row r="715">
      <c r="A715" t="inlineStr">
        <is>
          <t>ED200732</t>
        </is>
      </c>
      <c r="B715" s="56" t="n">
        <v>45331.37777777778</v>
      </c>
      <c r="C715" t="inlineStr">
        <is>
          <t>Bluestone Memorial Hospital</t>
        </is>
      </c>
      <c r="D715" t="n">
        <v>13</v>
      </c>
    </row>
    <row r="716">
      <c r="A716" t="inlineStr">
        <is>
          <t>ED200733</t>
        </is>
      </c>
      <c r="B716" s="56" t="n">
        <v>45331.38472222222</v>
      </c>
      <c r="C716" t="inlineStr">
        <is>
          <t>Cedar Ridge Medical Center</t>
        </is>
      </c>
      <c r="D716" t="n">
        <v>44</v>
      </c>
    </row>
    <row r="717">
      <c r="A717" t="inlineStr">
        <is>
          <t>ED200734</t>
        </is>
      </c>
      <c r="B717" s="56" t="n">
        <v>45331.3875</v>
      </c>
      <c r="C717" t="inlineStr">
        <is>
          <t>Bluestone Memorial Hospital</t>
        </is>
      </c>
      <c r="D717" t="n">
        <v>44</v>
      </c>
    </row>
    <row r="718">
      <c r="A718" t="inlineStr">
        <is>
          <t>ED200735</t>
        </is>
      </c>
      <c r="B718" s="56" t="n">
        <v>45331.38958333333</v>
      </c>
      <c r="C718" t="inlineStr">
        <is>
          <t>Cedar Ridge Medical Center</t>
        </is>
      </c>
      <c r="D718" t="n">
        <v>68</v>
      </c>
    </row>
    <row r="719">
      <c r="A719" t="inlineStr">
        <is>
          <t>ED200736</t>
        </is>
      </c>
      <c r="B719" s="56" t="n">
        <v>45331.41180555556</v>
      </c>
      <c r="C719" t="inlineStr">
        <is>
          <t>Bluestone Memorial Hospital</t>
        </is>
      </c>
      <c r="D719" t="n">
        <v>82</v>
      </c>
    </row>
    <row r="720">
      <c r="A720" t="inlineStr">
        <is>
          <t>ED200737</t>
        </is>
      </c>
      <c r="B720" s="56" t="n">
        <v>45331.42847222222</v>
      </c>
      <c r="C720" t="inlineStr">
        <is>
          <t>Bluestone Memorial Hospital</t>
        </is>
      </c>
      <c r="D720" t="n">
        <v>124</v>
      </c>
    </row>
    <row r="721">
      <c r="A721" t="inlineStr">
        <is>
          <t>ED200738</t>
        </is>
      </c>
      <c r="B721" s="56" t="n">
        <v>45331.44791666666</v>
      </c>
      <c r="C721" t="inlineStr">
        <is>
          <t>Bluestone Memorial Hospital</t>
        </is>
      </c>
      <c r="D721" t="n">
        <v>41</v>
      </c>
    </row>
    <row r="722">
      <c r="A722" t="inlineStr">
        <is>
          <t>ED200739</t>
        </is>
      </c>
      <c r="B722" s="56" t="n">
        <v>45331.46111111111</v>
      </c>
      <c r="C722" t="inlineStr">
        <is>
          <t>Bluestone Memorial Hospital</t>
        </is>
      </c>
      <c r="D722" t="n">
        <v>12</v>
      </c>
    </row>
    <row r="723">
      <c r="A723" t="inlineStr">
        <is>
          <t>ED200740</t>
        </is>
      </c>
      <c r="B723" s="56" t="n">
        <v>45331.49236111111</v>
      </c>
      <c r="C723" t="inlineStr">
        <is>
          <t>Ashby Falls Community Hospital</t>
        </is>
      </c>
      <c r="D723" t="n">
        <v>17</v>
      </c>
    </row>
    <row r="724">
      <c r="A724" t="inlineStr">
        <is>
          <t>ED200741</t>
        </is>
      </c>
      <c r="B724" s="56" t="n">
        <v>45331.49305555555</v>
      </c>
      <c r="C724" t="inlineStr">
        <is>
          <t>Ashby Falls Community Hospital</t>
        </is>
      </c>
      <c r="D724" t="n">
        <v>168</v>
      </c>
    </row>
    <row r="725">
      <c r="A725" t="inlineStr">
        <is>
          <t>ED200742</t>
        </is>
      </c>
      <c r="B725" s="56" t="n">
        <v>45331.49791666667</v>
      </c>
      <c r="C725" t="inlineStr">
        <is>
          <t>Bluestone Memorial Hospital</t>
        </is>
      </c>
      <c r="D725" t="n">
        <v>83</v>
      </c>
    </row>
    <row r="726">
      <c r="A726" t="inlineStr">
        <is>
          <t>ED200743</t>
        </is>
      </c>
      <c r="B726" s="56" t="n">
        <v>45331.51527777778</v>
      </c>
      <c r="C726" t="inlineStr">
        <is>
          <t>Bluestone Memorial Hospital</t>
        </is>
      </c>
      <c r="D726" t="n">
        <v>106</v>
      </c>
    </row>
    <row r="727">
      <c r="A727" t="inlineStr">
        <is>
          <t>ED200744</t>
        </is>
      </c>
      <c r="B727" s="56" t="n">
        <v>45331.54930555556</v>
      </c>
      <c r="C727" t="inlineStr">
        <is>
          <t>Bluestone Memorial Hospital</t>
        </is>
      </c>
      <c r="D727" t="n">
        <v>78</v>
      </c>
    </row>
    <row r="728">
      <c r="A728" t="inlineStr">
        <is>
          <t>ED200745</t>
        </is>
      </c>
      <c r="B728" s="56" t="n">
        <v>45331.55208333334</v>
      </c>
      <c r="C728" t="inlineStr">
        <is>
          <t>Bluestone Memorial Hospital</t>
        </is>
      </c>
      <c r="D728" t="n">
        <v>7</v>
      </c>
    </row>
    <row r="729">
      <c r="A729" t="inlineStr">
        <is>
          <t>ED200746</t>
        </is>
      </c>
      <c r="B729" s="56" t="n">
        <v>45331.55555555555</v>
      </c>
      <c r="C729" t="inlineStr">
        <is>
          <t>Ashby Falls Community Hospital</t>
        </is>
      </c>
      <c r="D729" t="n">
        <v>73</v>
      </c>
    </row>
    <row r="730">
      <c r="A730" t="inlineStr">
        <is>
          <t>ED200747</t>
        </is>
      </c>
      <c r="B730" s="56" t="n">
        <v>45331.60069444445</v>
      </c>
      <c r="C730" t="inlineStr">
        <is>
          <t>Bluestone Memorial Hospital</t>
        </is>
      </c>
      <c r="D730" t="n">
        <v>38</v>
      </c>
    </row>
    <row r="731">
      <c r="A731" t="inlineStr">
        <is>
          <t>ED200748</t>
        </is>
      </c>
      <c r="B731" s="56" t="n">
        <v>45331.62708333333</v>
      </c>
      <c r="C731" t="inlineStr">
        <is>
          <t>Bluestone Memorial Hospital</t>
        </is>
      </c>
      <c r="D731" t="n">
        <v>49</v>
      </c>
    </row>
    <row r="732">
      <c r="A732" t="inlineStr">
        <is>
          <t>ED200749</t>
        </is>
      </c>
      <c r="B732" s="56" t="n">
        <v>45331.62916666667</v>
      </c>
      <c r="C732" t="inlineStr">
        <is>
          <t>Bluestone Memorial Hospital</t>
        </is>
      </c>
      <c r="D732" t="n">
        <v>52</v>
      </c>
    </row>
    <row r="733">
      <c r="A733" t="inlineStr">
        <is>
          <t>ED200750</t>
        </is>
      </c>
      <c r="B733" s="56" t="n">
        <v>45331.72013888889</v>
      </c>
      <c r="C733" t="inlineStr">
        <is>
          <t>Cedar Ridge Medical Center</t>
        </is>
      </c>
      <c r="D733" t="n">
        <v>11</v>
      </c>
    </row>
    <row r="734">
      <c r="A734" t="inlineStr">
        <is>
          <t>ED200751</t>
        </is>
      </c>
      <c r="B734" s="56" t="n">
        <v>45331.72638888889</v>
      </c>
      <c r="C734" t="inlineStr">
        <is>
          <t>Bluestone Memorial Hospital</t>
        </is>
      </c>
      <c r="D734" t="n">
        <v>42</v>
      </c>
    </row>
    <row r="735">
      <c r="A735" t="inlineStr">
        <is>
          <t>ED200752</t>
        </is>
      </c>
      <c r="B735" s="56" t="n">
        <v>45331.73333333333</v>
      </c>
      <c r="C735" t="inlineStr">
        <is>
          <t>Cedar Ridge Medical Center</t>
        </is>
      </c>
      <c r="D735" t="n">
        <v>149</v>
      </c>
    </row>
    <row r="736">
      <c r="A736" t="inlineStr">
        <is>
          <t>ED200753</t>
        </is>
      </c>
      <c r="B736" s="56" t="n">
        <v>45331.75763888889</v>
      </c>
      <c r="C736" t="inlineStr">
        <is>
          <t>Bluestone Memorial Hospital</t>
        </is>
      </c>
      <c r="D736" t="n">
        <v>77</v>
      </c>
    </row>
    <row r="737">
      <c r="A737" t="inlineStr">
        <is>
          <t>ED200754</t>
        </is>
      </c>
      <c r="B737" s="56" t="n">
        <v>45331.78125</v>
      </c>
      <c r="C737" t="inlineStr">
        <is>
          <t>Cedar Ridge Medical Center</t>
        </is>
      </c>
      <c r="D737" t="n">
        <v>55</v>
      </c>
    </row>
    <row r="738">
      <c r="A738" t="inlineStr">
        <is>
          <t>ED200755</t>
        </is>
      </c>
      <c r="B738" s="56" t="n">
        <v>45331.79166666666</v>
      </c>
      <c r="C738" t="inlineStr">
        <is>
          <t>Bluestone Memorial Hospital</t>
        </is>
      </c>
      <c r="D738" t="n">
        <v>114</v>
      </c>
    </row>
    <row r="739">
      <c r="A739" t="inlineStr">
        <is>
          <t>ED200756</t>
        </is>
      </c>
      <c r="B739" s="56" t="n">
        <v>45331.80208333334</v>
      </c>
      <c r="C739" t="inlineStr">
        <is>
          <t>Ashby Falls Community Hospital</t>
        </is>
      </c>
      <c r="D739" t="n">
        <v>27</v>
      </c>
    </row>
    <row r="740">
      <c r="A740" t="inlineStr">
        <is>
          <t>ED200757</t>
        </is>
      </c>
      <c r="B740" s="56" t="n">
        <v>45331.81319444445</v>
      </c>
      <c r="C740" t="inlineStr">
        <is>
          <t>Bluestone Memorial Hospital</t>
        </is>
      </c>
      <c r="D740" t="n">
        <v>22</v>
      </c>
    </row>
    <row r="741">
      <c r="A741" t="inlineStr">
        <is>
          <t>ED200758</t>
        </is>
      </c>
      <c r="B741" s="56" t="n">
        <v>45331.81875</v>
      </c>
      <c r="C741" t="inlineStr">
        <is>
          <t>Ashby Falls Community Hospital</t>
        </is>
      </c>
      <c r="D741" t="n">
        <v>17</v>
      </c>
    </row>
    <row r="742">
      <c r="A742" t="inlineStr">
        <is>
          <t>ED200759</t>
        </is>
      </c>
      <c r="B742" s="56" t="n">
        <v>45331.84513888889</v>
      </c>
      <c r="C742" t="inlineStr">
        <is>
          <t>Bluestone Memorial Hospital</t>
        </is>
      </c>
      <c r="D742" t="n">
        <v>134</v>
      </c>
    </row>
    <row r="743">
      <c r="A743" t="inlineStr">
        <is>
          <t>ED200762</t>
        </is>
      </c>
      <c r="B743" s="56" t="n">
        <v>45331.88611111111</v>
      </c>
      <c r="C743" t="inlineStr">
        <is>
          <t>Bluestone Memorial Hospital</t>
        </is>
      </c>
      <c r="D743" t="n">
        <v>73</v>
      </c>
    </row>
    <row r="744">
      <c r="A744" t="inlineStr">
        <is>
          <t>ED200763</t>
        </is>
      </c>
      <c r="B744" s="56" t="n">
        <v>45331.90277777778</v>
      </c>
      <c r="C744" t="inlineStr">
        <is>
          <t>Ashby Falls Community Hospital</t>
        </is>
      </c>
      <c r="D744" t="n">
        <v>59</v>
      </c>
    </row>
    <row r="745">
      <c r="A745" t="inlineStr">
        <is>
          <t>ED200764</t>
        </is>
      </c>
      <c r="B745" s="56" t="n">
        <v>45332.32847222222</v>
      </c>
      <c r="C745" t="inlineStr">
        <is>
          <t>Bluestone Memorial Hospital</t>
        </is>
      </c>
      <c r="D745" t="n">
        <v>44</v>
      </c>
    </row>
    <row r="746">
      <c r="A746" t="inlineStr">
        <is>
          <t>ED200765</t>
        </is>
      </c>
      <c r="B746" s="56" t="n">
        <v>45332.47569444445</v>
      </c>
      <c r="C746" t="inlineStr">
        <is>
          <t>Bluestone Memorial Hospital</t>
        </is>
      </c>
      <c r="D746" t="n">
        <v>17</v>
      </c>
    </row>
    <row r="747">
      <c r="A747" t="inlineStr">
        <is>
          <t>ED200766</t>
        </is>
      </c>
      <c r="B747" s="56" t="n">
        <v>45332.51388888889</v>
      </c>
      <c r="C747" t="inlineStr">
        <is>
          <t>Bluestone Memorial Hospital</t>
        </is>
      </c>
      <c r="D747" t="n">
        <v>21</v>
      </c>
    </row>
    <row r="748">
      <c r="A748" t="inlineStr">
        <is>
          <t>ED200767</t>
        </is>
      </c>
      <c r="B748" s="56" t="n">
        <v>45332.53541666667</v>
      </c>
      <c r="C748" t="inlineStr">
        <is>
          <t>Bluestone Memorial Hospital</t>
        </is>
      </c>
      <c r="D748" t="n">
        <v>45</v>
      </c>
    </row>
    <row r="749">
      <c r="A749" t="inlineStr">
        <is>
          <t>ED200768</t>
        </is>
      </c>
      <c r="B749" s="56" t="n">
        <v>45332.55972222222</v>
      </c>
      <c r="C749" t="inlineStr">
        <is>
          <t>Bluestone Memorial Hospital</t>
        </is>
      </c>
      <c r="D749" t="n">
        <v>24</v>
      </c>
    </row>
    <row r="750">
      <c r="A750" t="inlineStr">
        <is>
          <t>ED200769</t>
        </is>
      </c>
      <c r="B750" s="56" t="n">
        <v>45332.57777777778</v>
      </c>
      <c r="C750" t="inlineStr">
        <is>
          <t>Bluestone Memorial Hospital</t>
        </is>
      </c>
      <c r="D750" t="n">
        <v>107</v>
      </c>
    </row>
    <row r="751">
      <c r="A751" t="inlineStr">
        <is>
          <t>ED200770</t>
        </is>
      </c>
      <c r="B751" s="56" t="n">
        <v>45332.65972222222</v>
      </c>
      <c r="C751" t="inlineStr">
        <is>
          <t>Cedar Ridge Medical Center</t>
        </is>
      </c>
      <c r="D751" t="n">
        <v>2</v>
      </c>
    </row>
    <row r="752">
      <c r="A752" t="inlineStr">
        <is>
          <t>ED200771</t>
        </is>
      </c>
      <c r="B752" s="56" t="n">
        <v>45332.68402777778</v>
      </c>
      <c r="C752" t="inlineStr">
        <is>
          <t>Bluestone Memorial Hospital</t>
        </is>
      </c>
      <c r="D752" t="n">
        <v>47</v>
      </c>
    </row>
    <row r="753">
      <c r="A753" t="inlineStr">
        <is>
          <t>ED200772</t>
        </is>
      </c>
      <c r="B753" s="56" t="n">
        <v>45332.69027777778</v>
      </c>
      <c r="C753" t="inlineStr">
        <is>
          <t>Cedar Ridge Medical Center</t>
        </is>
      </c>
      <c r="D753" t="n">
        <v>84</v>
      </c>
    </row>
    <row r="754">
      <c r="A754" t="inlineStr">
        <is>
          <t>ED200773</t>
        </is>
      </c>
      <c r="B754" s="56" t="n">
        <v>45332.72083333333</v>
      </c>
      <c r="C754" t="inlineStr">
        <is>
          <t>Ashby Falls Community Hospital</t>
        </is>
      </c>
      <c r="D754" t="n">
        <v>25</v>
      </c>
    </row>
    <row r="755">
      <c r="A755" t="inlineStr">
        <is>
          <t>ED200774</t>
        </is>
      </c>
      <c r="B755" s="56" t="n">
        <v>45332.8625</v>
      </c>
      <c r="C755" t="inlineStr">
        <is>
          <t>Ashby Falls Community Hospital</t>
        </is>
      </c>
      <c r="D755" t="n">
        <v>11</v>
      </c>
    </row>
    <row r="756">
      <c r="A756" t="inlineStr">
        <is>
          <t>ED200775</t>
        </is>
      </c>
      <c r="B756" s="56" t="n">
        <v>45332.88472222222</v>
      </c>
      <c r="C756" t="inlineStr">
        <is>
          <t>Ashby Falls Community Hospital</t>
        </is>
      </c>
      <c r="D756" t="n">
        <v>32</v>
      </c>
    </row>
    <row r="757">
      <c r="A757" t="inlineStr">
        <is>
          <t>ED200776</t>
        </is>
      </c>
      <c r="B757" s="56" t="n">
        <v>45332.91527777778</v>
      </c>
      <c r="C757" t="inlineStr">
        <is>
          <t>Cedar Ridge Medical Center</t>
        </is>
      </c>
      <c r="D757" t="n">
        <v>67</v>
      </c>
    </row>
    <row r="758">
      <c r="A758" t="inlineStr">
        <is>
          <t>ED200777</t>
        </is>
      </c>
      <c r="B758" s="56" t="n">
        <v>45332.97847222222</v>
      </c>
      <c r="C758" t="inlineStr">
        <is>
          <t>Bluestone Memorial Hospital</t>
        </is>
      </c>
      <c r="D758" t="n">
        <v>60</v>
      </c>
    </row>
    <row r="759">
      <c r="A759" t="inlineStr">
        <is>
          <t>ED200778</t>
        </is>
      </c>
      <c r="B759" s="56" t="n">
        <v>45333.01041666666</v>
      </c>
      <c r="C759" t="inlineStr">
        <is>
          <t>Bluestone Memorial Hospital</t>
        </is>
      </c>
      <c r="D759" t="n">
        <v>8</v>
      </c>
    </row>
    <row r="760">
      <c r="A760" t="inlineStr">
        <is>
          <t>ED200779</t>
        </is>
      </c>
      <c r="B760" s="56" t="n">
        <v>45333.05625</v>
      </c>
      <c r="C760" t="inlineStr">
        <is>
          <t>Bluestone Memorial Hospital</t>
        </is>
      </c>
      <c r="D760" t="n">
        <v>31</v>
      </c>
    </row>
    <row r="761">
      <c r="A761" t="inlineStr">
        <is>
          <t>ED200780</t>
        </is>
      </c>
      <c r="B761" s="56" t="n">
        <v>45333.06944444445</v>
      </c>
      <c r="C761" t="inlineStr">
        <is>
          <t>Bluestone Memorial Hospital</t>
        </is>
      </c>
      <c r="D761" t="n">
        <v>26</v>
      </c>
    </row>
    <row r="762">
      <c r="A762" t="inlineStr">
        <is>
          <t>ED200781</t>
        </is>
      </c>
      <c r="B762" s="56" t="n">
        <v>45333.11319444444</v>
      </c>
      <c r="C762" t="inlineStr">
        <is>
          <t>Bluestone Memorial Hospital</t>
        </is>
      </c>
      <c r="D762" t="n">
        <v>14</v>
      </c>
    </row>
    <row r="763">
      <c r="A763" t="inlineStr">
        <is>
          <t>ED200782</t>
        </is>
      </c>
      <c r="B763" s="56" t="n">
        <v>45333.15902777778</v>
      </c>
      <c r="C763" t="inlineStr">
        <is>
          <t>Bluestone Memorial Hospital</t>
        </is>
      </c>
      <c r="D763" t="n">
        <v>15</v>
      </c>
    </row>
    <row r="764">
      <c r="A764" t="inlineStr">
        <is>
          <t>ED200783</t>
        </is>
      </c>
      <c r="B764" s="56" t="n">
        <v>45333.25208333333</v>
      </c>
      <c r="C764" t="inlineStr">
        <is>
          <t>Ashby Falls Community Hospital</t>
        </is>
      </c>
      <c r="D764" t="n">
        <v>10</v>
      </c>
    </row>
    <row r="765">
      <c r="A765" t="inlineStr">
        <is>
          <t>ED200784</t>
        </is>
      </c>
      <c r="B765" s="56" t="n">
        <v>45333.34375</v>
      </c>
      <c r="C765" t="inlineStr">
        <is>
          <t>Bluestone Memorial Hospital</t>
        </is>
      </c>
      <c r="D765" t="n">
        <v>58</v>
      </c>
    </row>
    <row r="766">
      <c r="A766" t="inlineStr">
        <is>
          <t>ED200785</t>
        </is>
      </c>
      <c r="B766" s="56" t="n">
        <v>45333.37986111111</v>
      </c>
      <c r="C766" t="inlineStr">
        <is>
          <t>Cedar Ridge Medical Center</t>
        </is>
      </c>
      <c r="D766" t="n">
        <v>23</v>
      </c>
    </row>
    <row r="767">
      <c r="A767" t="inlineStr">
        <is>
          <t>ED200786</t>
        </is>
      </c>
      <c r="B767" s="56" t="n">
        <v>45333.54652777778</v>
      </c>
      <c r="C767" t="inlineStr">
        <is>
          <t>Bluestone Memorial Hospital</t>
        </is>
      </c>
      <c r="D767" t="n">
        <v>17</v>
      </c>
    </row>
    <row r="768">
      <c r="A768" t="inlineStr">
        <is>
          <t>ED200787</t>
        </is>
      </c>
      <c r="B768" s="56" t="n">
        <v>45333.56388888889</v>
      </c>
      <c r="C768" t="inlineStr">
        <is>
          <t>Ashby Falls Community Hospital</t>
        </is>
      </c>
      <c r="D768" t="n">
        <v>48</v>
      </c>
    </row>
    <row r="769">
      <c r="A769" t="inlineStr">
        <is>
          <t>ED200789</t>
        </is>
      </c>
      <c r="B769" s="56" t="n">
        <v>45333.61388888889</v>
      </c>
      <c r="C769" t="inlineStr">
        <is>
          <t>Bluestone Memorial Hospital</t>
        </is>
      </c>
      <c r="D769" t="n">
        <v>75</v>
      </c>
    </row>
    <row r="770">
      <c r="A770" t="inlineStr">
        <is>
          <t>ED200790</t>
        </is>
      </c>
      <c r="B770" s="56" t="n">
        <v>45333.69444444445</v>
      </c>
      <c r="C770" t="inlineStr">
        <is>
          <t>Ashby Falls Community Hospital</t>
        </is>
      </c>
      <c r="D770" t="n">
        <v>21</v>
      </c>
    </row>
    <row r="771">
      <c r="A771" t="inlineStr">
        <is>
          <t>ED200791</t>
        </is>
      </c>
      <c r="B771" s="56" t="n">
        <v>45333.71527777778</v>
      </c>
      <c r="C771" t="inlineStr">
        <is>
          <t>Bluestone Memorial Hospital</t>
        </is>
      </c>
      <c r="D771" t="n">
        <v>29</v>
      </c>
    </row>
    <row r="772">
      <c r="A772" t="inlineStr">
        <is>
          <t>ED200792</t>
        </is>
      </c>
      <c r="B772" s="56" t="n">
        <v>45333.74722222222</v>
      </c>
      <c r="C772" t="inlineStr">
        <is>
          <t>Cedar Ridge Medical Center</t>
        </is>
      </c>
      <c r="D772" t="n">
        <v>103</v>
      </c>
    </row>
    <row r="773">
      <c r="A773" t="inlineStr">
        <is>
          <t>ED200793</t>
        </is>
      </c>
      <c r="B773" s="56" t="n">
        <v>45333.76111111111</v>
      </c>
      <c r="C773" t="inlineStr">
        <is>
          <t>Bluestone Memorial Hospital</t>
        </is>
      </c>
      <c r="D773" t="n">
        <v>89</v>
      </c>
    </row>
    <row r="774">
      <c r="A774" t="inlineStr">
        <is>
          <t>ED200794</t>
        </is>
      </c>
      <c r="B774" s="56" t="n">
        <v>45333.78125</v>
      </c>
      <c r="C774" t="inlineStr">
        <is>
          <t>Bluestone Memorial Hospital</t>
        </is>
      </c>
      <c r="D774" t="n">
        <v>39</v>
      </c>
    </row>
    <row r="775">
      <c r="A775" t="inlineStr">
        <is>
          <t>ED200795</t>
        </is>
      </c>
      <c r="B775" s="56" t="n">
        <v>45333.81111111111</v>
      </c>
      <c r="C775" t="inlineStr">
        <is>
          <t>Bluestone Memorial Hospital</t>
        </is>
      </c>
      <c r="D775" t="n">
        <v>45</v>
      </c>
    </row>
    <row r="776">
      <c r="A776" t="inlineStr">
        <is>
          <t>ED200796</t>
        </is>
      </c>
      <c r="B776" s="56" t="n">
        <v>45333.84791666667</v>
      </c>
      <c r="C776" t="inlineStr">
        <is>
          <t>Bluestone Memorial Hospital</t>
        </is>
      </c>
      <c r="D776" t="n">
        <v>10</v>
      </c>
    </row>
    <row r="777">
      <c r="A777" t="inlineStr">
        <is>
          <t>ED200797</t>
        </is>
      </c>
      <c r="B777" s="56" t="n">
        <v>45333.88194444445</v>
      </c>
      <c r="C777" t="inlineStr">
        <is>
          <t>Bluestone Memorial Hospital</t>
        </is>
      </c>
      <c r="D777" t="n">
        <v>45</v>
      </c>
    </row>
    <row r="778">
      <c r="A778" t="inlineStr">
        <is>
          <t>ED200798</t>
        </is>
      </c>
      <c r="B778" s="56" t="n">
        <v>45333.92638888889</v>
      </c>
      <c r="C778" t="inlineStr">
        <is>
          <t>Bluestone Memorial Hospital</t>
        </is>
      </c>
      <c r="D778" t="n">
        <v>27</v>
      </c>
    </row>
    <row r="779">
      <c r="A779" t="inlineStr">
        <is>
          <t>ED200799</t>
        </is>
      </c>
      <c r="B779" s="56" t="n">
        <v>45334.04861111111</v>
      </c>
      <c r="C779" t="inlineStr">
        <is>
          <t>Bluestone Memorial Hospital</t>
        </is>
      </c>
      <c r="D779" t="n">
        <v>39</v>
      </c>
    </row>
    <row r="780">
      <c r="A780" t="inlineStr">
        <is>
          <t>ED200800</t>
        </is>
      </c>
      <c r="B780" s="56" t="n">
        <v>45334.13333333333</v>
      </c>
      <c r="C780" t="inlineStr">
        <is>
          <t>Bluestone Memorial Hospital</t>
        </is>
      </c>
      <c r="D780" t="n">
        <v>47</v>
      </c>
    </row>
    <row r="781">
      <c r="A781" t="inlineStr">
        <is>
          <t>ED200801</t>
        </is>
      </c>
      <c r="B781" s="56" t="n">
        <v>45334.20972222222</v>
      </c>
      <c r="C781" t="inlineStr">
        <is>
          <t>Bluestone Memorial Hospital</t>
        </is>
      </c>
      <c r="D781" t="n">
        <v>21</v>
      </c>
    </row>
    <row r="782">
      <c r="A782" t="inlineStr">
        <is>
          <t>ED200802</t>
        </is>
      </c>
      <c r="B782" s="56" t="n">
        <v>45334.29513888889</v>
      </c>
      <c r="C782" t="inlineStr">
        <is>
          <t>Ashby Falls Community Hospital</t>
        </is>
      </c>
      <c r="D782" t="n">
        <v>60</v>
      </c>
    </row>
    <row r="783">
      <c r="A783" t="inlineStr">
        <is>
          <t>ED200803</t>
        </is>
      </c>
      <c r="B783" s="56" t="n">
        <v>45334.37986111111</v>
      </c>
      <c r="C783" t="inlineStr">
        <is>
          <t>Bluestone Memorial Hospital</t>
        </is>
      </c>
      <c r="D783" t="n">
        <v>20</v>
      </c>
    </row>
    <row r="784">
      <c r="A784" t="inlineStr">
        <is>
          <t>ED200805</t>
        </is>
      </c>
      <c r="B784" s="56" t="n">
        <v>45334.50694444445</v>
      </c>
      <c r="C784" t="inlineStr">
        <is>
          <t>Bluestone Memorial Hospital</t>
        </is>
      </c>
      <c r="D784" t="n">
        <v>37</v>
      </c>
    </row>
    <row r="785">
      <c r="A785" t="inlineStr">
        <is>
          <t>ED200806</t>
        </is>
      </c>
      <c r="B785" s="56" t="n">
        <v>45334.5375</v>
      </c>
      <c r="C785" t="inlineStr">
        <is>
          <t>Cedar Ridge Medical Center</t>
        </is>
      </c>
      <c r="D785" t="n">
        <v>16</v>
      </c>
    </row>
    <row r="786">
      <c r="A786" t="inlineStr">
        <is>
          <t>ED200807</t>
        </is>
      </c>
      <c r="B786" s="56" t="n">
        <v>45334.6</v>
      </c>
      <c r="C786" t="inlineStr">
        <is>
          <t>Bluestone Memorial Hospital</t>
        </is>
      </c>
      <c r="D786" t="n">
        <v>65</v>
      </c>
    </row>
    <row r="787">
      <c r="A787" t="inlineStr">
        <is>
          <t>ED200808</t>
        </is>
      </c>
      <c r="B787" s="56" t="n">
        <v>45334.62916666667</v>
      </c>
      <c r="C787" t="inlineStr">
        <is>
          <t>Bluestone Memorial Hospital</t>
        </is>
      </c>
      <c r="D787" t="n">
        <v>32</v>
      </c>
    </row>
    <row r="788">
      <c r="A788" t="inlineStr">
        <is>
          <t>ED200809</t>
        </is>
      </c>
      <c r="B788" s="56" t="n">
        <v>45334.66805555556</v>
      </c>
      <c r="C788" t="inlineStr">
        <is>
          <t>Bluestone Memorial Hospital</t>
        </is>
      </c>
      <c r="D788" t="n">
        <v>215</v>
      </c>
    </row>
    <row r="789">
      <c r="A789" t="inlineStr">
        <is>
          <t>ED200810</t>
        </is>
      </c>
      <c r="B789" s="56" t="n">
        <v>45334.72638888889</v>
      </c>
      <c r="C789" t="inlineStr">
        <is>
          <t>Bluestone Memorial Hospital</t>
        </is>
      </c>
      <c r="D789" t="n">
        <v>64</v>
      </c>
    </row>
    <row r="790">
      <c r="A790" t="inlineStr">
        <is>
          <t>ED200811</t>
        </is>
      </c>
      <c r="B790" s="56" t="n">
        <v>45334.74652777778</v>
      </c>
      <c r="C790" t="inlineStr">
        <is>
          <t>Bluestone Memorial Hospital</t>
        </is>
      </c>
      <c r="D790" t="n">
        <v>46</v>
      </c>
    </row>
    <row r="791">
      <c r="A791" t="inlineStr">
        <is>
          <t>ED200812</t>
        </is>
      </c>
      <c r="B791" s="56" t="n">
        <v>45334.78472222222</v>
      </c>
      <c r="C791" t="inlineStr">
        <is>
          <t>Bluestone Memorial Hospital</t>
        </is>
      </c>
      <c r="D791" t="n">
        <v>23</v>
      </c>
    </row>
    <row r="792">
      <c r="A792" t="inlineStr">
        <is>
          <t>ED200813</t>
        </is>
      </c>
      <c r="B792" s="56" t="n">
        <v>45334.79444444444</v>
      </c>
      <c r="C792" t="inlineStr">
        <is>
          <t>Cedar Ridge Medical Center</t>
        </is>
      </c>
      <c r="D792" t="n">
        <v>52</v>
      </c>
    </row>
    <row r="793">
      <c r="A793" t="inlineStr">
        <is>
          <t>ED200814</t>
        </is>
      </c>
      <c r="B793" s="56" t="n">
        <v>45334.81388888889</v>
      </c>
      <c r="C793" t="inlineStr">
        <is>
          <t>Bluestone Memorial Hospital</t>
        </is>
      </c>
      <c r="D793" t="n">
        <v>44</v>
      </c>
    </row>
    <row r="794">
      <c r="A794" t="inlineStr">
        <is>
          <t>ED200815</t>
        </is>
      </c>
      <c r="B794" s="56" t="n">
        <v>45334.81875</v>
      </c>
      <c r="C794" t="inlineStr">
        <is>
          <t>Ashby Falls Community Hospital</t>
        </is>
      </c>
      <c r="D794" t="n">
        <v>21</v>
      </c>
    </row>
    <row r="795">
      <c r="A795" t="inlineStr">
        <is>
          <t>ED200816</t>
        </is>
      </c>
      <c r="B795" s="56" t="n">
        <v>45334.83055555556</v>
      </c>
      <c r="C795" t="inlineStr">
        <is>
          <t>Bluestone Memorial Hospital</t>
        </is>
      </c>
      <c r="D795" t="n">
        <v>34</v>
      </c>
    </row>
    <row r="796">
      <c r="A796" t="inlineStr">
        <is>
          <t>ED200817</t>
        </is>
      </c>
      <c r="B796" s="56" t="n">
        <v>45334.8375</v>
      </c>
      <c r="C796" t="inlineStr">
        <is>
          <t>Bluestone Memorial Hospital</t>
        </is>
      </c>
      <c r="D796" t="n">
        <v>48</v>
      </c>
    </row>
    <row r="797">
      <c r="A797" t="inlineStr">
        <is>
          <t>ED200818</t>
        </is>
      </c>
      <c r="B797" s="56" t="n">
        <v>45334.86597222222</v>
      </c>
      <c r="C797" t="inlineStr">
        <is>
          <t>Bluestone Memorial Hospital</t>
        </is>
      </c>
      <c r="D797" t="n">
        <v>68</v>
      </c>
    </row>
    <row r="798">
      <c r="A798" t="inlineStr">
        <is>
          <t>ED200819</t>
        </is>
      </c>
      <c r="B798" s="56" t="n">
        <v>45334.89375</v>
      </c>
      <c r="C798" t="inlineStr">
        <is>
          <t>Cedar Ridge Medical Center</t>
        </is>
      </c>
      <c r="D798" t="n">
        <v>33</v>
      </c>
    </row>
    <row r="799">
      <c r="A799" t="inlineStr">
        <is>
          <t>ED200820</t>
        </is>
      </c>
      <c r="B799" s="56" t="n">
        <v>45335.17916666667</v>
      </c>
      <c r="C799" t="inlineStr">
        <is>
          <t>Bluestone Memorial Hospital</t>
        </is>
      </c>
      <c r="D799" t="n">
        <v>18</v>
      </c>
    </row>
    <row r="800">
      <c r="A800" t="inlineStr">
        <is>
          <t>ED200821</t>
        </is>
      </c>
      <c r="B800" s="56" t="n">
        <v>45335.31666666667</v>
      </c>
      <c r="C800" t="inlineStr">
        <is>
          <t>Ashby Falls Community Hospital</t>
        </is>
      </c>
      <c r="D800" t="n">
        <v>11</v>
      </c>
    </row>
    <row r="801">
      <c r="A801" t="inlineStr">
        <is>
          <t>ED200822</t>
        </is>
      </c>
      <c r="B801" s="56" t="n">
        <v>45335.32847222222</v>
      </c>
      <c r="C801" t="inlineStr">
        <is>
          <t>Bluestone Memorial Hospital</t>
        </is>
      </c>
      <c r="D801" t="n">
        <v>20</v>
      </c>
    </row>
    <row r="802">
      <c r="A802" t="inlineStr">
        <is>
          <t>ED200823</t>
        </is>
      </c>
      <c r="B802" s="56" t="n">
        <v>45335.35416666666</v>
      </c>
      <c r="C802" t="inlineStr">
        <is>
          <t>Bluestone Memorial Hospital</t>
        </is>
      </c>
      <c r="D802" t="n">
        <v>25</v>
      </c>
    </row>
    <row r="803">
      <c r="A803" t="inlineStr">
        <is>
          <t>ED200824</t>
        </is>
      </c>
      <c r="B803" s="56" t="n">
        <v>45335.41805555556</v>
      </c>
      <c r="C803" t="inlineStr">
        <is>
          <t>Ashby Falls Community Hospital</t>
        </is>
      </c>
      <c r="D803" t="n">
        <v>15</v>
      </c>
    </row>
    <row r="804">
      <c r="A804" t="inlineStr">
        <is>
          <t>ED200825</t>
        </is>
      </c>
      <c r="B804" s="56" t="n">
        <v>45335.45</v>
      </c>
      <c r="C804" t="inlineStr">
        <is>
          <t>Bluestone Memorial Hospital</t>
        </is>
      </c>
      <c r="D804" t="n">
        <v>29</v>
      </c>
    </row>
    <row r="805">
      <c r="A805" t="inlineStr">
        <is>
          <t>ED200826</t>
        </is>
      </c>
      <c r="B805" s="56" t="n">
        <v>45335.45138888889</v>
      </c>
      <c r="C805" t="inlineStr">
        <is>
          <t>Cedar Ridge Medical Center</t>
        </is>
      </c>
      <c r="D805" t="n">
        <v>77</v>
      </c>
    </row>
    <row r="806">
      <c r="A806" t="inlineStr">
        <is>
          <t>ED200827</t>
        </is>
      </c>
      <c r="B806" s="56" t="n">
        <v>45335.48611111111</v>
      </c>
      <c r="C806" t="inlineStr">
        <is>
          <t>Bluestone Memorial Hospital</t>
        </is>
      </c>
      <c r="D806" t="n">
        <v>94</v>
      </c>
    </row>
    <row r="807">
      <c r="A807" t="inlineStr">
        <is>
          <t>ED200828</t>
        </is>
      </c>
      <c r="B807" s="56" t="n">
        <v>45335.48958333334</v>
      </c>
      <c r="C807" t="inlineStr">
        <is>
          <t>Bluestone Memorial Hospital</t>
        </is>
      </c>
      <c r="D807" t="n">
        <v>41</v>
      </c>
    </row>
    <row r="808">
      <c r="A808" t="inlineStr">
        <is>
          <t>ED200829</t>
        </is>
      </c>
      <c r="B808" s="56" t="n">
        <v>45335.49444444444</v>
      </c>
      <c r="C808" t="inlineStr">
        <is>
          <t>Bluestone Memorial Hospital</t>
        </is>
      </c>
      <c r="D808" t="n">
        <v>69</v>
      </c>
    </row>
    <row r="809">
      <c r="A809" t="inlineStr">
        <is>
          <t>ED200830</t>
        </is>
      </c>
      <c r="B809" s="56" t="n">
        <v>45335.49652777778</v>
      </c>
      <c r="C809" t="inlineStr">
        <is>
          <t>Bluestone Memorial Hospital</t>
        </is>
      </c>
      <c r="D809" t="n">
        <v>79</v>
      </c>
    </row>
    <row r="810">
      <c r="A810" t="inlineStr">
        <is>
          <t>ED200831</t>
        </is>
      </c>
      <c r="B810" s="56" t="n">
        <v>45335.52222222222</v>
      </c>
      <c r="C810" t="inlineStr">
        <is>
          <t>Bluestone Memorial Hospital</t>
        </is>
      </c>
      <c r="D810" t="n">
        <v>46</v>
      </c>
    </row>
    <row r="811">
      <c r="A811" t="inlineStr">
        <is>
          <t>ED200832</t>
        </is>
      </c>
      <c r="B811" s="56" t="n">
        <v>45335.58888888889</v>
      </c>
      <c r="C811" t="inlineStr">
        <is>
          <t>Cedar Ridge Medical Center</t>
        </is>
      </c>
      <c r="D811" t="n">
        <v>48</v>
      </c>
    </row>
    <row r="812">
      <c r="A812" t="inlineStr">
        <is>
          <t>ED200833</t>
        </is>
      </c>
      <c r="B812" s="56" t="n">
        <v>45335.62361111111</v>
      </c>
      <c r="C812" t="inlineStr">
        <is>
          <t>Bluestone Memorial Hospital</t>
        </is>
      </c>
      <c r="D812" t="n">
        <v>86</v>
      </c>
    </row>
    <row r="813">
      <c r="A813" t="inlineStr">
        <is>
          <t>ED200834</t>
        </is>
      </c>
      <c r="B813" s="56" t="n">
        <v>45335.63472222222</v>
      </c>
      <c r="C813" t="inlineStr">
        <is>
          <t>Bluestone Memorial Hospital</t>
        </is>
      </c>
      <c r="D813" t="n">
        <v>56</v>
      </c>
    </row>
    <row r="814">
      <c r="A814" t="inlineStr">
        <is>
          <t>ED200835</t>
        </is>
      </c>
      <c r="B814" s="56" t="n">
        <v>45335.66388888889</v>
      </c>
      <c r="C814" t="inlineStr">
        <is>
          <t>Bluestone Memorial Hospital</t>
        </is>
      </c>
      <c r="D814" t="n">
        <v>32</v>
      </c>
    </row>
    <row r="815">
      <c r="A815" t="inlineStr">
        <is>
          <t>ED200836</t>
        </is>
      </c>
      <c r="B815" s="56" t="n">
        <v>45335.77777777778</v>
      </c>
      <c r="C815" t="inlineStr">
        <is>
          <t>Ashby Falls Community Hospital</t>
        </is>
      </c>
      <c r="D815" t="n">
        <v>84</v>
      </c>
    </row>
    <row r="816">
      <c r="A816" t="inlineStr">
        <is>
          <t>ED200837</t>
        </is>
      </c>
      <c r="B816" s="56" t="n">
        <v>45335.7875</v>
      </c>
      <c r="C816" t="inlineStr">
        <is>
          <t>Ashby Falls Community Hospital</t>
        </is>
      </c>
      <c r="D816" t="n">
        <v>100</v>
      </c>
    </row>
    <row r="817">
      <c r="A817" t="inlineStr">
        <is>
          <t>ED200838</t>
        </is>
      </c>
      <c r="B817" s="56" t="n">
        <v>45335.81597222222</v>
      </c>
      <c r="C817" t="inlineStr">
        <is>
          <t>Bluestone Memorial Hospital</t>
        </is>
      </c>
      <c r="D817" t="n">
        <v>4</v>
      </c>
    </row>
    <row r="818">
      <c r="A818" t="inlineStr">
        <is>
          <t>ED200840</t>
        </is>
      </c>
      <c r="B818" s="56" t="n">
        <v>45335.89375</v>
      </c>
      <c r="C818" t="inlineStr">
        <is>
          <t>Cedar Ridge Medical Center</t>
        </is>
      </c>
      <c r="D818" t="n">
        <v>37</v>
      </c>
    </row>
    <row r="819">
      <c r="A819" t="inlineStr">
        <is>
          <t>ED200841</t>
        </is>
      </c>
      <c r="B819" s="56" t="n">
        <v>45335.92569444444</v>
      </c>
      <c r="C819" t="inlineStr">
        <is>
          <t>Bluestone Memorial Hospital</t>
        </is>
      </c>
      <c r="D819" t="n">
        <v>47</v>
      </c>
    </row>
    <row r="820">
      <c r="A820" t="inlineStr">
        <is>
          <t>ED200842</t>
        </is>
      </c>
      <c r="B820" s="56" t="n">
        <v>45335.95069444444</v>
      </c>
      <c r="C820" t="inlineStr">
        <is>
          <t>Bluestone Memorial Hospital</t>
        </is>
      </c>
      <c r="D820" t="n">
        <v>71</v>
      </c>
    </row>
    <row r="821">
      <c r="A821" t="inlineStr">
        <is>
          <t>ED200843</t>
        </is>
      </c>
      <c r="B821" s="56" t="n">
        <v>45336.02916666667</v>
      </c>
      <c r="C821" t="inlineStr">
        <is>
          <t>Bluestone Memorial Hospital</t>
        </is>
      </c>
      <c r="D821" t="n">
        <v>47</v>
      </c>
    </row>
    <row r="822">
      <c r="A822" t="inlineStr">
        <is>
          <t>ED200844</t>
        </is>
      </c>
      <c r="B822" s="56" t="n">
        <v>45336.06111111111</v>
      </c>
      <c r="C822" t="inlineStr">
        <is>
          <t>Bluestone Memorial Hospital</t>
        </is>
      </c>
      <c r="D822" t="n">
        <v>41</v>
      </c>
    </row>
    <row r="823">
      <c r="A823" t="inlineStr">
        <is>
          <t>ED200845</t>
        </is>
      </c>
      <c r="B823" s="56" t="n">
        <v>45336.11388888889</v>
      </c>
      <c r="C823" t="inlineStr">
        <is>
          <t>Bluestone Memorial Hospital</t>
        </is>
      </c>
      <c r="D823" t="n">
        <v>39</v>
      </c>
    </row>
    <row r="824">
      <c r="A824" t="inlineStr">
        <is>
          <t>ED200846</t>
        </is>
      </c>
      <c r="B824" s="56" t="n">
        <v>45336.13958333333</v>
      </c>
      <c r="C824" t="inlineStr">
        <is>
          <t>Ashby Falls Community Hospital</t>
        </is>
      </c>
      <c r="D824" t="n">
        <v>20</v>
      </c>
    </row>
    <row r="825">
      <c r="A825" t="inlineStr">
        <is>
          <t>ED200847</t>
        </is>
      </c>
      <c r="B825" s="56" t="n">
        <v>45336.32152777778</v>
      </c>
      <c r="C825" t="inlineStr">
        <is>
          <t>Bluestone Memorial Hospital</t>
        </is>
      </c>
      <c r="D825" t="n">
        <v>50</v>
      </c>
    </row>
    <row r="826">
      <c r="A826" t="inlineStr">
        <is>
          <t>ED200848</t>
        </is>
      </c>
      <c r="B826" s="56" t="n">
        <v>45336.37430555555</v>
      </c>
      <c r="C826" t="inlineStr">
        <is>
          <t>Bluestone Memorial Hospital</t>
        </is>
      </c>
      <c r="D826" t="n">
        <v>13</v>
      </c>
    </row>
    <row r="827">
      <c r="A827" t="inlineStr">
        <is>
          <t>ED200849</t>
        </is>
      </c>
      <c r="B827" s="56" t="n">
        <v>45336.37916666667</v>
      </c>
      <c r="C827" t="inlineStr">
        <is>
          <t>Ashby Falls Community Hospital</t>
        </is>
      </c>
      <c r="D827" t="n">
        <v>78</v>
      </c>
    </row>
    <row r="828">
      <c r="A828" t="inlineStr">
        <is>
          <t>ED200850</t>
        </is>
      </c>
      <c r="B828" s="56" t="n">
        <v>45336.4375</v>
      </c>
      <c r="C828" t="inlineStr">
        <is>
          <t>Bluestone Memorial Hospital</t>
        </is>
      </c>
      <c r="D828" t="n">
        <v>42</v>
      </c>
    </row>
    <row r="829">
      <c r="A829" t="inlineStr">
        <is>
          <t>ED200851</t>
        </is>
      </c>
      <c r="B829" s="56" t="n">
        <v>45336.48194444444</v>
      </c>
      <c r="C829" t="inlineStr">
        <is>
          <t>Bluestone Memorial Hospital</t>
        </is>
      </c>
      <c r="D829" t="n">
        <v>62</v>
      </c>
    </row>
    <row r="830">
      <c r="A830" t="inlineStr">
        <is>
          <t>ED200852</t>
        </is>
      </c>
      <c r="B830" s="56" t="n">
        <v>45336.51597222222</v>
      </c>
      <c r="C830" t="inlineStr">
        <is>
          <t>Bluestone Memorial Hospital</t>
        </is>
      </c>
      <c r="D830" t="n">
        <v>50</v>
      </c>
    </row>
    <row r="831">
      <c r="A831" t="inlineStr">
        <is>
          <t>ED200853</t>
        </is>
      </c>
      <c r="B831" s="56" t="n">
        <v>45336.54444444444</v>
      </c>
      <c r="C831" t="inlineStr">
        <is>
          <t>Bluestone Memorial Hospital</t>
        </is>
      </c>
      <c r="D831" t="n">
        <v>81</v>
      </c>
    </row>
    <row r="832">
      <c r="A832" t="inlineStr">
        <is>
          <t>ED200854</t>
        </is>
      </c>
      <c r="B832" s="56" t="n">
        <v>45336.68263888889</v>
      </c>
      <c r="C832" t="inlineStr">
        <is>
          <t>Bluestone Memorial Hospital</t>
        </is>
      </c>
      <c r="D832" t="n">
        <v>31</v>
      </c>
    </row>
    <row r="833">
      <c r="A833" t="inlineStr">
        <is>
          <t>ED200855</t>
        </is>
      </c>
      <c r="B833" s="56" t="n">
        <v>45336.70833333334</v>
      </c>
      <c r="C833" t="inlineStr">
        <is>
          <t>Bluestone Memorial Hospital</t>
        </is>
      </c>
      <c r="D833" t="n">
        <v>161</v>
      </c>
    </row>
    <row r="834">
      <c r="A834" t="inlineStr">
        <is>
          <t>ED200856</t>
        </is>
      </c>
      <c r="B834" s="56" t="n">
        <v>45336.77638888889</v>
      </c>
      <c r="C834" t="inlineStr">
        <is>
          <t>Cedar Ridge Medical Center</t>
        </is>
      </c>
      <c r="D834" t="n">
        <v>73</v>
      </c>
    </row>
    <row r="835">
      <c r="A835" t="inlineStr">
        <is>
          <t>ED200857</t>
        </is>
      </c>
      <c r="B835" s="56" t="n">
        <v>45336.78680555556</v>
      </c>
      <c r="C835" t="inlineStr">
        <is>
          <t>Ashby Falls Community Hospital</t>
        </is>
      </c>
      <c r="D835" t="n">
        <v>10</v>
      </c>
    </row>
    <row r="836">
      <c r="A836" t="inlineStr">
        <is>
          <t>ED200858</t>
        </is>
      </c>
      <c r="B836" s="56" t="n">
        <v>45336.80763888889</v>
      </c>
      <c r="C836" t="inlineStr">
        <is>
          <t>Bluestone Memorial Hospital</t>
        </is>
      </c>
      <c r="D836" t="n">
        <v>12</v>
      </c>
    </row>
    <row r="837">
      <c r="A837" t="inlineStr">
        <is>
          <t>ED200859</t>
        </is>
      </c>
      <c r="B837" s="56" t="n">
        <v>45336.81388888889</v>
      </c>
      <c r="C837" t="inlineStr">
        <is>
          <t>Bluestone Memorial Hospital</t>
        </is>
      </c>
      <c r="D837" t="n">
        <v>31</v>
      </c>
    </row>
    <row r="838">
      <c r="A838" t="inlineStr">
        <is>
          <t>ED200860</t>
        </is>
      </c>
      <c r="B838" s="56" t="n">
        <v>45336.89791666667</v>
      </c>
      <c r="C838" t="inlineStr">
        <is>
          <t>Cedar Ridge Medical Center</t>
        </is>
      </c>
      <c r="D838" t="n">
        <v>67</v>
      </c>
    </row>
    <row r="839">
      <c r="A839" t="inlineStr">
        <is>
          <t>ED200861</t>
        </is>
      </c>
      <c r="B839" s="56" t="n">
        <v>45336.925</v>
      </c>
      <c r="C839" t="inlineStr">
        <is>
          <t>Ashby Falls Community Hospital</t>
        </is>
      </c>
      <c r="D839" t="n">
        <v>22</v>
      </c>
    </row>
    <row r="840">
      <c r="A840" t="inlineStr">
        <is>
          <t>ED200862</t>
        </is>
      </c>
      <c r="B840" s="56" t="n">
        <v>45336.96319444444</v>
      </c>
      <c r="C840" t="inlineStr">
        <is>
          <t>Bluestone Memorial Hospital</t>
        </is>
      </c>
      <c r="D840" t="n">
        <v>24</v>
      </c>
    </row>
    <row r="841">
      <c r="A841" t="inlineStr">
        <is>
          <t>ED200863</t>
        </is>
      </c>
      <c r="B841" s="56" t="n">
        <v>45336.97986111111</v>
      </c>
      <c r="C841" t="inlineStr">
        <is>
          <t>Ashby Falls Community Hospital</t>
        </is>
      </c>
      <c r="D841" t="n">
        <v>115</v>
      </c>
    </row>
    <row r="842">
      <c r="A842" t="inlineStr">
        <is>
          <t>ED200864</t>
        </is>
      </c>
      <c r="B842" s="56" t="n">
        <v>45337.26527777778</v>
      </c>
      <c r="C842" t="inlineStr">
        <is>
          <t>Bluestone Memorial Hospital</t>
        </is>
      </c>
      <c r="D842" t="n">
        <v>20</v>
      </c>
    </row>
    <row r="843">
      <c r="A843" t="inlineStr">
        <is>
          <t>ED200865</t>
        </is>
      </c>
      <c r="B843" s="56" t="n">
        <v>45337.39444444444</v>
      </c>
      <c r="C843" t="inlineStr">
        <is>
          <t>Cedar Ridge Medical Center</t>
        </is>
      </c>
      <c r="D843" t="n">
        <v>22</v>
      </c>
    </row>
    <row r="844">
      <c r="A844" t="inlineStr">
        <is>
          <t>ED200866</t>
        </is>
      </c>
      <c r="B844" s="56" t="n">
        <v>45337.46180555555</v>
      </c>
      <c r="C844" t="inlineStr">
        <is>
          <t>Ashby Falls Community Hospital</t>
        </is>
      </c>
      <c r="D844" t="n">
        <v>25</v>
      </c>
    </row>
    <row r="845">
      <c r="A845" t="inlineStr">
        <is>
          <t>ED200868</t>
        </is>
      </c>
      <c r="B845" s="56" t="n">
        <v>45337.50972222222</v>
      </c>
      <c r="C845" t="inlineStr">
        <is>
          <t>Bluestone Memorial Hospital</t>
        </is>
      </c>
      <c r="D845" t="n">
        <v>25</v>
      </c>
    </row>
    <row r="846">
      <c r="A846" t="inlineStr">
        <is>
          <t>ED200869</t>
        </is>
      </c>
      <c r="B846" s="56" t="n">
        <v>45337.58125</v>
      </c>
      <c r="C846" t="inlineStr">
        <is>
          <t>Bluestone Memorial Hospital</t>
        </is>
      </c>
      <c r="D846" t="n">
        <v>30</v>
      </c>
    </row>
    <row r="847">
      <c r="A847" t="inlineStr">
        <is>
          <t>ED200870</t>
        </is>
      </c>
      <c r="B847" s="56" t="n">
        <v>45337.67430555556</v>
      </c>
      <c r="C847" t="inlineStr">
        <is>
          <t>Ashby Falls Community Hospital</t>
        </is>
      </c>
      <c r="D847" t="n">
        <v>14</v>
      </c>
    </row>
    <row r="848">
      <c r="A848" t="inlineStr">
        <is>
          <t>ED200871</t>
        </is>
      </c>
      <c r="B848" s="56" t="n">
        <v>45337.73125</v>
      </c>
      <c r="C848" t="inlineStr">
        <is>
          <t>Bluestone Memorial Hospital</t>
        </is>
      </c>
      <c r="D848" t="n">
        <v>47</v>
      </c>
    </row>
    <row r="849">
      <c r="A849" t="inlineStr">
        <is>
          <t>ED200872</t>
        </is>
      </c>
      <c r="B849" s="56" t="n">
        <v>45337.8125</v>
      </c>
      <c r="C849" t="inlineStr">
        <is>
          <t>Ashby Falls Community Hospital</t>
        </is>
      </c>
      <c r="D849" t="n">
        <v>35</v>
      </c>
    </row>
    <row r="850">
      <c r="A850" t="inlineStr">
        <is>
          <t>ED200873</t>
        </is>
      </c>
      <c r="B850" s="56" t="n">
        <v>45337.82708333333</v>
      </c>
      <c r="C850" t="inlineStr">
        <is>
          <t>Bluestone Memorial Hospital</t>
        </is>
      </c>
      <c r="D850" t="n">
        <v>59</v>
      </c>
    </row>
    <row r="851">
      <c r="A851" t="inlineStr">
        <is>
          <t>ED200874</t>
        </is>
      </c>
      <c r="B851" s="56" t="n">
        <v>45337.83402777778</v>
      </c>
      <c r="C851" t="inlineStr">
        <is>
          <t>Cedar Ridge Medical Center</t>
        </is>
      </c>
      <c r="D851" t="n">
        <v>10</v>
      </c>
    </row>
    <row r="852">
      <c r="A852" t="inlineStr">
        <is>
          <t>ED200875</t>
        </is>
      </c>
      <c r="B852" s="56" t="n">
        <v>45337.90347222222</v>
      </c>
      <c r="C852" t="inlineStr">
        <is>
          <t>Ashby Falls Community Hospital</t>
        </is>
      </c>
      <c r="D852" t="n">
        <v>2</v>
      </c>
    </row>
    <row r="853">
      <c r="A853" t="inlineStr">
        <is>
          <t>ED200876</t>
        </is>
      </c>
      <c r="B853" s="56" t="n">
        <v>45338.06319444445</v>
      </c>
      <c r="C853" t="inlineStr">
        <is>
          <t>Cedar Ridge Medical Center</t>
        </is>
      </c>
      <c r="D853" t="n">
        <v>32</v>
      </c>
    </row>
    <row r="854">
      <c r="A854" t="inlineStr">
        <is>
          <t>ED200877</t>
        </is>
      </c>
      <c r="B854" s="56" t="n">
        <v>45338.11666666667</v>
      </c>
      <c r="C854" t="inlineStr">
        <is>
          <t>Bluestone Memorial Hospital</t>
        </is>
      </c>
      <c r="D854" t="n">
        <v>11</v>
      </c>
    </row>
    <row r="855">
      <c r="A855" t="inlineStr">
        <is>
          <t>ED200878</t>
        </is>
      </c>
      <c r="B855" s="56" t="n">
        <v>45338.18263888889</v>
      </c>
      <c r="C855" t="inlineStr">
        <is>
          <t>Bluestone Memorial Hospital</t>
        </is>
      </c>
      <c r="D855" t="n">
        <v>57</v>
      </c>
    </row>
    <row r="856">
      <c r="A856" t="inlineStr">
        <is>
          <t>ED200879</t>
        </is>
      </c>
      <c r="B856" s="56" t="n">
        <v>45338.33888888889</v>
      </c>
      <c r="C856" t="inlineStr">
        <is>
          <t>Bluestone Memorial Hospital</t>
        </is>
      </c>
      <c r="D856" t="n">
        <v>14</v>
      </c>
    </row>
    <row r="857">
      <c r="A857" t="inlineStr">
        <is>
          <t>ED200880</t>
        </is>
      </c>
      <c r="B857" s="56" t="n">
        <v>45338.42152777778</v>
      </c>
      <c r="C857" t="inlineStr">
        <is>
          <t>Bluestone Memorial Hospital</t>
        </is>
      </c>
      <c r="D857" t="n">
        <v>58</v>
      </c>
    </row>
    <row r="858">
      <c r="A858" t="inlineStr">
        <is>
          <t>ED200881</t>
        </is>
      </c>
      <c r="B858" s="56" t="n">
        <v>45338.47222222222</v>
      </c>
      <c r="C858" t="inlineStr">
        <is>
          <t>Bluestone Memorial Hospital</t>
        </is>
      </c>
      <c r="D858" t="n">
        <v>80</v>
      </c>
    </row>
    <row r="859">
      <c r="A859" t="inlineStr">
        <is>
          <t>ED200882</t>
        </is>
      </c>
      <c r="B859" s="56" t="n">
        <v>45338.50486111111</v>
      </c>
      <c r="C859" t="inlineStr">
        <is>
          <t>Bluestone Memorial Hospital</t>
        </is>
      </c>
      <c r="D859" t="n">
        <v>40</v>
      </c>
    </row>
    <row r="860">
      <c r="A860" t="inlineStr">
        <is>
          <t>ED200883</t>
        </is>
      </c>
      <c r="B860" s="56" t="n">
        <v>45338.51736111111</v>
      </c>
      <c r="C860" t="inlineStr">
        <is>
          <t>Cedar Ridge Medical Center</t>
        </is>
      </c>
      <c r="D860" t="n">
        <v>62</v>
      </c>
    </row>
    <row r="861">
      <c r="A861" t="inlineStr">
        <is>
          <t>ED200884</t>
        </is>
      </c>
      <c r="B861" s="56" t="n">
        <v>45338.52847222222</v>
      </c>
      <c r="C861" t="inlineStr">
        <is>
          <t>Bluestone Memorial Hospital</t>
        </is>
      </c>
      <c r="D861" t="n">
        <v>79</v>
      </c>
    </row>
    <row r="862">
      <c r="A862" t="inlineStr">
        <is>
          <t>ED200885</t>
        </is>
      </c>
      <c r="B862" s="56" t="n">
        <v>45338.53402777778</v>
      </c>
      <c r="C862" t="inlineStr">
        <is>
          <t>Bluestone Memorial Hospital</t>
        </is>
      </c>
      <c r="D862" t="n">
        <v>24</v>
      </c>
    </row>
    <row r="863">
      <c r="A863" t="inlineStr">
        <is>
          <t>ED200886</t>
        </is>
      </c>
      <c r="B863" s="56" t="n">
        <v>45338.55833333333</v>
      </c>
      <c r="C863" t="inlineStr">
        <is>
          <t>Ashby Falls Community Hospital</t>
        </is>
      </c>
      <c r="D863" t="n">
        <v>21</v>
      </c>
    </row>
    <row r="864">
      <c r="A864" t="inlineStr">
        <is>
          <t>ED200887</t>
        </is>
      </c>
      <c r="B864" s="56" t="n">
        <v>45338.62916666667</v>
      </c>
      <c r="C864" t="inlineStr">
        <is>
          <t>Bluestone Memorial Hospital</t>
        </is>
      </c>
      <c r="D864" t="n">
        <v>43</v>
      </c>
    </row>
    <row r="865">
      <c r="A865" t="inlineStr">
        <is>
          <t>ED200888</t>
        </is>
      </c>
      <c r="B865" s="56" t="n">
        <v>45338.62916666667</v>
      </c>
      <c r="C865" t="inlineStr">
        <is>
          <t>Bluestone Memorial Hospital</t>
        </is>
      </c>
      <c r="D865" t="n">
        <v>5</v>
      </c>
    </row>
    <row r="866">
      <c r="A866" t="inlineStr">
        <is>
          <t>ED200889</t>
        </is>
      </c>
      <c r="B866" s="56" t="n">
        <v>45338.63194444445</v>
      </c>
      <c r="C866" t="inlineStr">
        <is>
          <t>Ashby Falls Community Hospital</t>
        </is>
      </c>
      <c r="D866" t="n">
        <v>28</v>
      </c>
    </row>
    <row r="867">
      <c r="A867" t="inlineStr">
        <is>
          <t>ED200890</t>
        </is>
      </c>
      <c r="B867" s="56" t="n">
        <v>45338.64236111111</v>
      </c>
      <c r="C867" t="inlineStr">
        <is>
          <t>Ashby Falls Community Hospital</t>
        </is>
      </c>
      <c r="D867" t="n">
        <v>77</v>
      </c>
    </row>
    <row r="868">
      <c r="A868" t="inlineStr">
        <is>
          <t>ED200891</t>
        </is>
      </c>
      <c r="B868" s="56" t="n">
        <v>45338.64583333334</v>
      </c>
      <c r="C868" t="inlineStr">
        <is>
          <t>Bluestone Memorial Hospital</t>
        </is>
      </c>
      <c r="D868" t="n">
        <v>29</v>
      </c>
    </row>
    <row r="869">
      <c r="A869" t="inlineStr">
        <is>
          <t>ED200892</t>
        </is>
      </c>
      <c r="B869" s="56" t="n">
        <v>45338.65138888889</v>
      </c>
      <c r="C869" t="inlineStr">
        <is>
          <t>Cedar Ridge Medical Center</t>
        </is>
      </c>
      <c r="D869" t="n">
        <v>16</v>
      </c>
    </row>
    <row r="870">
      <c r="A870" t="inlineStr">
        <is>
          <t>ED200893</t>
        </is>
      </c>
      <c r="B870" s="56" t="n">
        <v>45338.65416666667</v>
      </c>
      <c r="C870" t="inlineStr">
        <is>
          <t>Bluestone Memorial Hospital</t>
        </is>
      </c>
      <c r="D870" t="n">
        <v>13</v>
      </c>
    </row>
    <row r="871">
      <c r="A871" t="inlineStr">
        <is>
          <t>ED200894</t>
        </is>
      </c>
      <c r="B871" s="56" t="n">
        <v>45338.68888888889</v>
      </c>
      <c r="C871" t="inlineStr">
        <is>
          <t>Cedar Ridge Medical Center</t>
        </is>
      </c>
      <c r="D871" t="n">
        <v>51</v>
      </c>
    </row>
    <row r="872">
      <c r="A872" t="inlineStr">
        <is>
          <t>ED200895</t>
        </is>
      </c>
      <c r="B872" s="56" t="n">
        <v>45338.75763888889</v>
      </c>
      <c r="C872" t="inlineStr">
        <is>
          <t>Bluestone Memorial Hospital</t>
        </is>
      </c>
      <c r="D872" t="n">
        <v>46</v>
      </c>
    </row>
    <row r="873">
      <c r="A873" t="inlineStr">
        <is>
          <t>ED200896</t>
        </is>
      </c>
      <c r="B873" s="56" t="n">
        <v>45338.7625</v>
      </c>
      <c r="C873" t="inlineStr">
        <is>
          <t>Bluestone Memorial Hospital</t>
        </is>
      </c>
      <c r="D873" t="n">
        <v>30</v>
      </c>
    </row>
    <row r="874">
      <c r="A874" t="inlineStr">
        <is>
          <t>ED200897</t>
        </is>
      </c>
      <c r="B874" s="56" t="n">
        <v>45338.77222222222</v>
      </c>
      <c r="C874" t="inlineStr">
        <is>
          <t>Bluestone Memorial Hospital</t>
        </is>
      </c>
      <c r="D874" t="n">
        <v>48</v>
      </c>
    </row>
    <row r="875">
      <c r="A875" t="inlineStr">
        <is>
          <t>ED200898</t>
        </is>
      </c>
      <c r="B875" s="56" t="n">
        <v>45338.86388888889</v>
      </c>
      <c r="C875" t="inlineStr">
        <is>
          <t>Cedar Ridge Medical Center</t>
        </is>
      </c>
      <c r="D875" t="n">
        <v>55</v>
      </c>
    </row>
    <row r="876">
      <c r="A876" t="inlineStr">
        <is>
          <t>ED200899</t>
        </is>
      </c>
      <c r="B876" s="56" t="n">
        <v>45339.01111111111</v>
      </c>
      <c r="C876" t="inlineStr">
        <is>
          <t>Ashby Falls Community Hospital</t>
        </is>
      </c>
      <c r="D876" t="n">
        <v>67</v>
      </c>
    </row>
    <row r="877">
      <c r="A877" t="inlineStr">
        <is>
          <t>ED200900</t>
        </is>
      </c>
      <c r="B877" s="56" t="n">
        <v>45339.35069444445</v>
      </c>
      <c r="C877" t="inlineStr">
        <is>
          <t>Bluestone Memorial Hospital</t>
        </is>
      </c>
      <c r="D877" t="n">
        <v>57</v>
      </c>
    </row>
    <row r="878">
      <c r="A878" t="inlineStr">
        <is>
          <t>ED200901</t>
        </is>
      </c>
      <c r="B878" s="56" t="n">
        <v>45339.39513888889</v>
      </c>
      <c r="C878" t="inlineStr">
        <is>
          <t>Bluestone Memorial Hospital</t>
        </is>
      </c>
      <c r="D878" t="n">
        <v>19</v>
      </c>
    </row>
    <row r="879">
      <c r="A879" t="inlineStr">
        <is>
          <t>ED200902</t>
        </is>
      </c>
      <c r="B879" s="56" t="n">
        <v>45339.49027777778</v>
      </c>
      <c r="C879" t="inlineStr">
        <is>
          <t>Bluestone Memorial Hospital</t>
        </is>
      </c>
      <c r="D879" t="n">
        <v>27</v>
      </c>
    </row>
    <row r="880">
      <c r="A880" t="inlineStr">
        <is>
          <t>ED200903</t>
        </is>
      </c>
      <c r="B880" s="56" t="n">
        <v>45339.49652777778</v>
      </c>
      <c r="C880" t="inlineStr">
        <is>
          <t>Bluestone Memorial Hospital</t>
        </is>
      </c>
      <c r="D880" t="n">
        <v>28</v>
      </c>
    </row>
    <row r="881">
      <c r="A881" t="inlineStr">
        <is>
          <t>ED200904</t>
        </is>
      </c>
      <c r="B881" s="56" t="n">
        <v>45339.56944444445</v>
      </c>
      <c r="C881" t="inlineStr">
        <is>
          <t>Cedar Ridge Medical Center</t>
        </is>
      </c>
      <c r="D881" t="n">
        <v>40</v>
      </c>
    </row>
    <row r="882">
      <c r="A882" t="inlineStr">
        <is>
          <t>ED200905</t>
        </is>
      </c>
      <c r="B882" s="56" t="n">
        <v>45339.60625</v>
      </c>
      <c r="C882" t="inlineStr">
        <is>
          <t>Bluestone Memorial Hospital</t>
        </is>
      </c>
      <c r="D882" t="n">
        <v>29</v>
      </c>
    </row>
    <row r="883">
      <c r="A883" t="inlineStr">
        <is>
          <t>ED200906</t>
        </is>
      </c>
      <c r="B883" s="56" t="n">
        <v>45339.71736111111</v>
      </c>
      <c r="C883" t="inlineStr">
        <is>
          <t>Cedar Ridge Medical Center</t>
        </is>
      </c>
      <c r="D883" t="n">
        <v>13</v>
      </c>
    </row>
    <row r="884">
      <c r="A884" t="inlineStr">
        <is>
          <t>ED200907</t>
        </is>
      </c>
      <c r="B884" s="56" t="n">
        <v>45339.73194444444</v>
      </c>
      <c r="C884" t="inlineStr">
        <is>
          <t>Bluestone Memorial Hospital</t>
        </is>
      </c>
      <c r="D884" t="n">
        <v>25</v>
      </c>
    </row>
    <row r="885">
      <c r="A885" t="inlineStr">
        <is>
          <t>ED200908</t>
        </is>
      </c>
      <c r="B885" s="56" t="n">
        <v>45339.76597222222</v>
      </c>
      <c r="C885" t="inlineStr">
        <is>
          <t>Bluestone Memorial Hospital</t>
        </is>
      </c>
      <c r="D885" t="n">
        <v>45</v>
      </c>
    </row>
    <row r="886">
      <c r="A886" t="inlineStr">
        <is>
          <t>ED200909</t>
        </is>
      </c>
      <c r="B886" s="56" t="n">
        <v>45339.85486111111</v>
      </c>
      <c r="C886" t="inlineStr">
        <is>
          <t>Bluestone Memorial Hospital</t>
        </is>
      </c>
      <c r="D886" t="n">
        <v>105</v>
      </c>
    </row>
    <row r="887">
      <c r="A887" t="inlineStr">
        <is>
          <t>ED200910</t>
        </is>
      </c>
      <c r="B887" s="56" t="n">
        <v>45339.92361111111</v>
      </c>
      <c r="C887" t="inlineStr">
        <is>
          <t>Bluestone Memorial Hospital</t>
        </is>
      </c>
      <c r="D887" t="n">
        <v>40</v>
      </c>
    </row>
    <row r="888">
      <c r="A888" t="inlineStr">
        <is>
          <t>ED200911</t>
        </is>
      </c>
      <c r="B888" s="56" t="n">
        <v>45339.97083333333</v>
      </c>
      <c r="C888" t="inlineStr">
        <is>
          <t>Ashby Falls Community Hospital</t>
        </is>
      </c>
      <c r="D888" t="n">
        <v>60</v>
      </c>
    </row>
    <row r="889">
      <c r="A889" t="inlineStr">
        <is>
          <t>ED200912</t>
        </is>
      </c>
      <c r="B889" s="56" t="n">
        <v>45339.97638888889</v>
      </c>
      <c r="C889" t="inlineStr">
        <is>
          <t>Bluestone Memorial Hospital</t>
        </is>
      </c>
      <c r="D889" t="n">
        <v>79</v>
      </c>
    </row>
    <row r="890">
      <c r="A890" t="inlineStr">
        <is>
          <t>ED200913</t>
        </is>
      </c>
      <c r="B890" s="56" t="n">
        <v>45340.00625</v>
      </c>
      <c r="C890" t="inlineStr">
        <is>
          <t>Ashby Falls Community Hospital</t>
        </is>
      </c>
      <c r="D890" t="n">
        <v>23</v>
      </c>
    </row>
    <row r="891">
      <c r="A891" t="inlineStr">
        <is>
          <t>ED200914</t>
        </is>
      </c>
      <c r="B891" s="56" t="n">
        <v>45340.09097222222</v>
      </c>
      <c r="C891" t="inlineStr">
        <is>
          <t>Cedar Ridge Medical Center</t>
        </is>
      </c>
      <c r="D891" t="n">
        <v>7</v>
      </c>
    </row>
    <row r="892">
      <c r="A892" t="inlineStr">
        <is>
          <t>ED200915</t>
        </is>
      </c>
      <c r="B892" s="56" t="n">
        <v>45340.17361111111</v>
      </c>
      <c r="C892" t="inlineStr">
        <is>
          <t>Cedar Ridge Medical Center</t>
        </is>
      </c>
      <c r="D892" t="n">
        <v>14</v>
      </c>
    </row>
    <row r="893">
      <c r="A893" t="inlineStr">
        <is>
          <t>ED200916</t>
        </is>
      </c>
      <c r="B893" s="56" t="n">
        <v>45340.37361111111</v>
      </c>
      <c r="C893" t="inlineStr">
        <is>
          <t>Bluestone Memorial Hospital</t>
        </is>
      </c>
      <c r="D893" t="n">
        <v>66</v>
      </c>
    </row>
    <row r="894">
      <c r="A894" t="inlineStr">
        <is>
          <t>ED200917</t>
        </is>
      </c>
      <c r="B894" s="56" t="n">
        <v>45340.38472222222</v>
      </c>
      <c r="C894" t="inlineStr">
        <is>
          <t>Ashby Falls Community Hospital</t>
        </is>
      </c>
      <c r="D894" t="n">
        <v>51</v>
      </c>
    </row>
    <row r="895">
      <c r="A895" t="inlineStr">
        <is>
          <t>ED200918</t>
        </is>
      </c>
      <c r="B895" s="56" t="n">
        <v>45340.41666666666</v>
      </c>
      <c r="C895" t="inlineStr">
        <is>
          <t>Bluestone Memorial Hospital</t>
        </is>
      </c>
      <c r="D895" t="n">
        <v>30</v>
      </c>
    </row>
    <row r="896">
      <c r="A896" t="inlineStr">
        <is>
          <t>ED200919</t>
        </is>
      </c>
      <c r="B896" s="56" t="n">
        <v>45340.56041666667</v>
      </c>
      <c r="C896" t="inlineStr">
        <is>
          <t>Cedar Ridge Medical Center</t>
        </is>
      </c>
      <c r="D896" t="n">
        <v>24</v>
      </c>
    </row>
    <row r="897">
      <c r="A897" t="inlineStr">
        <is>
          <t>ED200920</t>
        </is>
      </c>
      <c r="B897" s="56" t="n">
        <v>45340.65486111111</v>
      </c>
      <c r="C897" t="inlineStr">
        <is>
          <t>Bluestone Memorial Hospital</t>
        </is>
      </c>
      <c r="D897" t="n">
        <v>60</v>
      </c>
    </row>
    <row r="898">
      <c r="A898" t="inlineStr">
        <is>
          <t>ED200921</t>
        </is>
      </c>
      <c r="B898" s="56" t="n">
        <v>45340.69027777778</v>
      </c>
      <c r="C898" t="inlineStr">
        <is>
          <t>Bluestone Memorial Hospital</t>
        </is>
      </c>
      <c r="D898" t="n">
        <v>27</v>
      </c>
    </row>
    <row r="899">
      <c r="A899" t="inlineStr">
        <is>
          <t>ED200922</t>
        </is>
      </c>
      <c r="B899" s="56" t="n">
        <v>45340.71597222222</v>
      </c>
      <c r="C899" t="inlineStr">
        <is>
          <t>Cedar Ridge Medical Center</t>
        </is>
      </c>
      <c r="D899" t="n">
        <v>82</v>
      </c>
    </row>
    <row r="900">
      <c r="A900" t="inlineStr">
        <is>
          <t>ED200923</t>
        </is>
      </c>
      <c r="B900" s="56" t="n">
        <v>45340.71875</v>
      </c>
      <c r="C900" t="inlineStr">
        <is>
          <t>Bluestone Memorial Hospital</t>
        </is>
      </c>
      <c r="D900" t="n">
        <v>133</v>
      </c>
    </row>
    <row r="901">
      <c r="A901" t="inlineStr">
        <is>
          <t>ED200924</t>
        </is>
      </c>
      <c r="B901" s="56" t="n">
        <v>45340.72361111111</v>
      </c>
      <c r="C901" t="inlineStr">
        <is>
          <t>Ashby Falls Community Hospital</t>
        </is>
      </c>
      <c r="D901" t="n">
        <v>75</v>
      </c>
    </row>
    <row r="902">
      <c r="A902" t="inlineStr">
        <is>
          <t>ED200925</t>
        </is>
      </c>
      <c r="B902" s="56" t="n">
        <v>45340.76180555556</v>
      </c>
      <c r="C902" t="inlineStr">
        <is>
          <t>Bluestone Memorial Hospital</t>
        </is>
      </c>
      <c r="D902" t="n">
        <v>19</v>
      </c>
    </row>
    <row r="903">
      <c r="A903" t="inlineStr">
        <is>
          <t>ED200926</t>
        </is>
      </c>
      <c r="B903" s="56" t="n">
        <v>45340.81875</v>
      </c>
      <c r="C903" t="inlineStr">
        <is>
          <t>Bluestone Memorial Hospital</t>
        </is>
      </c>
      <c r="D903" t="n">
        <v>43</v>
      </c>
    </row>
    <row r="904">
      <c r="A904" t="inlineStr">
        <is>
          <t>ED200927</t>
        </is>
      </c>
      <c r="B904" s="56" t="n">
        <v>45340.83194444444</v>
      </c>
      <c r="C904" t="inlineStr">
        <is>
          <t>Ashby Falls Community Hospital</t>
        </is>
      </c>
      <c r="D904" t="n">
        <v>35</v>
      </c>
    </row>
    <row r="905">
      <c r="A905" t="inlineStr">
        <is>
          <t>ED200928</t>
        </is>
      </c>
      <c r="B905" s="56" t="n">
        <v>45340.89513888889</v>
      </c>
      <c r="C905" t="inlineStr">
        <is>
          <t>Bluestone Memorial Hospital</t>
        </is>
      </c>
      <c r="D905" t="n">
        <v>25</v>
      </c>
    </row>
    <row r="906">
      <c r="A906" t="inlineStr">
        <is>
          <t>ED200929</t>
        </is>
      </c>
      <c r="B906" s="56" t="n">
        <v>45340.98472222222</v>
      </c>
      <c r="C906" t="inlineStr">
        <is>
          <t>Bluestone Memorial Hospital</t>
        </is>
      </c>
      <c r="D906" t="n">
        <v>74</v>
      </c>
    </row>
    <row r="907">
      <c r="A907" t="inlineStr">
        <is>
          <t>ED200930</t>
        </is>
      </c>
      <c r="B907" s="56" t="n">
        <v>45341.29166666666</v>
      </c>
      <c r="C907" t="inlineStr">
        <is>
          <t>Ashby Falls Community Hospital</t>
        </is>
      </c>
      <c r="D907" t="n">
        <v>58</v>
      </c>
    </row>
    <row r="908">
      <c r="A908" t="inlineStr">
        <is>
          <t>ED200931</t>
        </is>
      </c>
      <c r="B908" s="56" t="n">
        <v>45341.38263888889</v>
      </c>
      <c r="C908" t="inlineStr">
        <is>
          <t>Bluestone Memorial Hospital</t>
        </is>
      </c>
      <c r="D908" t="n">
        <v>82</v>
      </c>
    </row>
    <row r="909">
      <c r="A909" t="inlineStr">
        <is>
          <t>ED200933</t>
        </is>
      </c>
      <c r="B909" s="56" t="n">
        <v>45341.43680555555</v>
      </c>
      <c r="C909" t="inlineStr">
        <is>
          <t>Bluestone Memorial Hospital</t>
        </is>
      </c>
      <c r="D909" t="n">
        <v>69</v>
      </c>
    </row>
    <row r="910">
      <c r="A910" t="inlineStr">
        <is>
          <t>ED200934</t>
        </is>
      </c>
      <c r="B910" s="56" t="n">
        <v>45341.49027777778</v>
      </c>
      <c r="C910" t="inlineStr">
        <is>
          <t>Cedar Ridge Medical Center</t>
        </is>
      </c>
      <c r="D910" t="n">
        <v>54</v>
      </c>
    </row>
    <row r="911">
      <c r="A911" t="inlineStr">
        <is>
          <t>ED200935</t>
        </is>
      </c>
      <c r="B911" s="56" t="n">
        <v>45341.49027777778</v>
      </c>
      <c r="C911" t="inlineStr">
        <is>
          <t>Ashby Falls Community Hospital</t>
        </is>
      </c>
      <c r="D911" t="n">
        <v>57</v>
      </c>
    </row>
    <row r="912">
      <c r="A912" t="inlineStr">
        <is>
          <t>ED200936</t>
        </is>
      </c>
      <c r="B912" s="56" t="n">
        <v>45341.52013888889</v>
      </c>
      <c r="C912" t="inlineStr">
        <is>
          <t>Bluestone Memorial Hospital</t>
        </is>
      </c>
      <c r="D912" t="n">
        <v>58</v>
      </c>
    </row>
    <row r="913">
      <c r="A913" t="inlineStr">
        <is>
          <t>ED200937</t>
        </is>
      </c>
      <c r="B913" s="56" t="n">
        <v>45341.54861111111</v>
      </c>
      <c r="C913" t="inlineStr">
        <is>
          <t>Bluestone Memorial Hospital</t>
        </is>
      </c>
      <c r="D913" t="n">
        <v>41</v>
      </c>
    </row>
    <row r="914">
      <c r="A914" t="inlineStr">
        <is>
          <t>ED200938</t>
        </is>
      </c>
      <c r="B914" s="56" t="n">
        <v>45341.55416666667</v>
      </c>
      <c r="C914" t="inlineStr">
        <is>
          <t>Bluestone Memorial Hospital</t>
        </is>
      </c>
      <c r="D914" t="n">
        <v>99</v>
      </c>
    </row>
    <row r="915">
      <c r="A915" t="inlineStr">
        <is>
          <t>ED200939</t>
        </is>
      </c>
      <c r="B915" s="56" t="n">
        <v>45341.55972222222</v>
      </c>
      <c r="C915" t="inlineStr">
        <is>
          <t>Cedar Ridge Medical Center</t>
        </is>
      </c>
      <c r="D915" t="n">
        <v>24</v>
      </c>
    </row>
    <row r="916">
      <c r="A916" t="inlineStr">
        <is>
          <t>ED200941</t>
        </is>
      </c>
      <c r="B916" s="56" t="n">
        <v>45341.58819444444</v>
      </c>
      <c r="C916" t="inlineStr">
        <is>
          <t>Bluestone Memorial Hospital</t>
        </is>
      </c>
      <c r="D916" t="n">
        <v>89</v>
      </c>
    </row>
    <row r="917">
      <c r="A917" t="inlineStr">
        <is>
          <t>ED200942</t>
        </is>
      </c>
      <c r="B917" s="56" t="n">
        <v>45341.59791666667</v>
      </c>
      <c r="C917" t="inlineStr">
        <is>
          <t>Bluestone Memorial Hospital</t>
        </is>
      </c>
      <c r="D917" t="n">
        <v>44</v>
      </c>
    </row>
    <row r="918">
      <c r="A918" t="inlineStr">
        <is>
          <t>ED200943</t>
        </is>
      </c>
      <c r="B918" s="56" t="n">
        <v>45341.67708333334</v>
      </c>
      <c r="C918" t="inlineStr">
        <is>
          <t>Bluestone Memorial Hospital</t>
        </is>
      </c>
      <c r="D918" t="n">
        <v>32</v>
      </c>
    </row>
    <row r="919">
      <c r="A919" t="inlineStr">
        <is>
          <t>ED200945</t>
        </is>
      </c>
      <c r="B919" s="56" t="n">
        <v>45341.7125</v>
      </c>
      <c r="C919" t="inlineStr">
        <is>
          <t>Bluestone Memorial Hospital</t>
        </is>
      </c>
      <c r="D919" t="n">
        <v>35</v>
      </c>
    </row>
    <row r="920">
      <c r="A920" t="inlineStr">
        <is>
          <t>ED200946</t>
        </is>
      </c>
      <c r="B920" s="56" t="n">
        <v>45341.71805555555</v>
      </c>
      <c r="C920" t="inlineStr">
        <is>
          <t>Bluestone Memorial Hospital</t>
        </is>
      </c>
      <c r="D920" t="n">
        <v>28</v>
      </c>
    </row>
    <row r="921">
      <c r="A921" t="inlineStr">
        <is>
          <t>ED200947</t>
        </is>
      </c>
      <c r="B921" s="56" t="n">
        <v>45341.76875</v>
      </c>
      <c r="C921" t="inlineStr">
        <is>
          <t>Bluestone Memorial Hospital</t>
        </is>
      </c>
      <c r="D921" t="n">
        <v>56</v>
      </c>
    </row>
    <row r="922">
      <c r="A922" t="inlineStr">
        <is>
          <t>ED200948</t>
        </is>
      </c>
      <c r="B922" s="56" t="n">
        <v>45341.78611111111</v>
      </c>
      <c r="C922" t="inlineStr">
        <is>
          <t>Bluestone Memorial Hospital</t>
        </is>
      </c>
      <c r="D922" t="n">
        <v>94</v>
      </c>
    </row>
    <row r="923">
      <c r="A923" t="inlineStr">
        <is>
          <t>ED200949</t>
        </is>
      </c>
      <c r="B923" s="56" t="n">
        <v>45341.83680555555</v>
      </c>
      <c r="C923" t="inlineStr">
        <is>
          <t>Cedar Ridge Medical Center</t>
        </is>
      </c>
      <c r="D923" t="n">
        <v>147</v>
      </c>
    </row>
    <row r="924">
      <c r="A924" t="inlineStr">
        <is>
          <t>ED200950</t>
        </is>
      </c>
      <c r="B924" s="56" t="n">
        <v>45341.89930555555</v>
      </c>
      <c r="C924" t="inlineStr">
        <is>
          <t>Cedar Ridge Medical Center</t>
        </is>
      </c>
      <c r="D924" t="n">
        <v>49</v>
      </c>
    </row>
    <row r="925">
      <c r="A925" t="inlineStr">
        <is>
          <t>ED200951</t>
        </is>
      </c>
      <c r="B925" s="56" t="n">
        <v>45341.9125</v>
      </c>
      <c r="C925" t="inlineStr">
        <is>
          <t>Bluestone Memorial Hospital</t>
        </is>
      </c>
      <c r="D925" t="n">
        <v>40</v>
      </c>
    </row>
    <row r="926">
      <c r="A926" t="inlineStr">
        <is>
          <t>ED200952</t>
        </is>
      </c>
      <c r="B926" s="56" t="n">
        <v>45341.98541666667</v>
      </c>
      <c r="C926" t="inlineStr">
        <is>
          <t>Bluestone Memorial Hospital</t>
        </is>
      </c>
      <c r="D926" t="n">
        <v>46</v>
      </c>
    </row>
    <row r="927">
      <c r="A927" t="inlineStr">
        <is>
          <t>ED200953</t>
        </is>
      </c>
      <c r="B927" s="56" t="n">
        <v>45342.04791666667</v>
      </c>
      <c r="C927" t="inlineStr">
        <is>
          <t>Ashby Falls Community Hospital</t>
        </is>
      </c>
      <c r="D927" t="n">
        <v>27</v>
      </c>
    </row>
    <row r="928">
      <c r="A928" t="inlineStr">
        <is>
          <t>ED200954</t>
        </is>
      </c>
      <c r="B928" s="56" t="n">
        <v>45342.06736111111</v>
      </c>
      <c r="C928" t="inlineStr">
        <is>
          <t>Bluestone Memorial Hospital</t>
        </is>
      </c>
      <c r="D928" t="n">
        <v>26</v>
      </c>
    </row>
    <row r="929">
      <c r="A929" t="inlineStr">
        <is>
          <t>ED200955</t>
        </is>
      </c>
      <c r="B929" s="56" t="n">
        <v>45342.06944444445</v>
      </c>
      <c r="C929" t="inlineStr">
        <is>
          <t>Bluestone Memorial Hospital</t>
        </is>
      </c>
      <c r="D929" t="n">
        <v>29</v>
      </c>
    </row>
    <row r="930">
      <c r="A930" t="inlineStr">
        <is>
          <t>ED200956</t>
        </is>
      </c>
      <c r="B930" s="56" t="n">
        <v>45342.07777777778</v>
      </c>
      <c r="C930" t="inlineStr">
        <is>
          <t>Ashby Falls Community Hospital</t>
        </is>
      </c>
      <c r="D930" t="n">
        <v>20</v>
      </c>
    </row>
    <row r="931">
      <c r="A931" t="inlineStr">
        <is>
          <t>ED200957</t>
        </is>
      </c>
      <c r="B931" s="56" t="n">
        <v>45342.18402777778</v>
      </c>
      <c r="C931" t="inlineStr">
        <is>
          <t>Bluestone Memorial Hospital</t>
        </is>
      </c>
      <c r="D931" t="n">
        <v>14</v>
      </c>
    </row>
    <row r="932">
      <c r="A932" t="inlineStr">
        <is>
          <t>ED200958</t>
        </is>
      </c>
      <c r="B932" s="56" t="n">
        <v>45342.40347222222</v>
      </c>
      <c r="C932" t="inlineStr">
        <is>
          <t>Bluestone Memorial Hospital</t>
        </is>
      </c>
      <c r="D932" t="n">
        <v>85</v>
      </c>
    </row>
    <row r="933">
      <c r="A933" t="inlineStr">
        <is>
          <t>ED200959</t>
        </is>
      </c>
      <c r="B933" s="56" t="n">
        <v>45342.47638888889</v>
      </c>
      <c r="C933" t="inlineStr">
        <is>
          <t>Bluestone Memorial Hospital</t>
        </is>
      </c>
      <c r="D933" t="n">
        <v>41</v>
      </c>
    </row>
    <row r="934">
      <c r="A934" t="inlineStr">
        <is>
          <t>ED200960</t>
        </is>
      </c>
      <c r="B934" s="56" t="n">
        <v>45342.52013888889</v>
      </c>
      <c r="C934" t="inlineStr">
        <is>
          <t>Bluestone Memorial Hospital</t>
        </is>
      </c>
      <c r="D934" t="n">
        <v>125</v>
      </c>
    </row>
    <row r="935">
      <c r="A935" t="inlineStr">
        <is>
          <t>ED200961</t>
        </is>
      </c>
      <c r="B935" s="56" t="n">
        <v>45342.54097222222</v>
      </c>
      <c r="C935" t="inlineStr">
        <is>
          <t>Bluestone Memorial Hospital</t>
        </is>
      </c>
      <c r="D935" t="n">
        <v>60</v>
      </c>
    </row>
    <row r="936">
      <c r="A936" t="inlineStr">
        <is>
          <t>ED200962</t>
        </is>
      </c>
      <c r="B936" s="56" t="n">
        <v>45342.57847222222</v>
      </c>
      <c r="C936" t="inlineStr">
        <is>
          <t>Bluestone Memorial Hospital</t>
        </is>
      </c>
      <c r="D936" t="n">
        <v>93</v>
      </c>
    </row>
    <row r="937">
      <c r="A937" t="inlineStr">
        <is>
          <t>ED200963</t>
        </is>
      </c>
      <c r="B937" s="56" t="n">
        <v>45342.58263888889</v>
      </c>
      <c r="C937" t="inlineStr">
        <is>
          <t>Bluestone Memorial Hospital</t>
        </is>
      </c>
      <c r="D937" t="n">
        <v>70</v>
      </c>
    </row>
    <row r="938">
      <c r="A938" t="inlineStr">
        <is>
          <t>ED200964</t>
        </is>
      </c>
      <c r="B938" s="56" t="n">
        <v>45342.64097222222</v>
      </c>
      <c r="C938" t="inlineStr">
        <is>
          <t>Bluestone Memorial Hospital</t>
        </is>
      </c>
      <c r="D938" t="n">
        <v>23</v>
      </c>
    </row>
    <row r="939">
      <c r="A939" t="inlineStr">
        <is>
          <t>ED200965</t>
        </is>
      </c>
      <c r="B939" s="56" t="n">
        <v>45342.68125</v>
      </c>
      <c r="C939" t="inlineStr">
        <is>
          <t>Bluestone Memorial Hospital</t>
        </is>
      </c>
      <c r="D939" t="n">
        <v>65</v>
      </c>
    </row>
    <row r="940">
      <c r="A940" t="inlineStr">
        <is>
          <t>ED200966</t>
        </is>
      </c>
      <c r="B940" s="56" t="n">
        <v>45342.68611111111</v>
      </c>
      <c r="C940" t="inlineStr">
        <is>
          <t>Bluestone Memorial Hospital</t>
        </is>
      </c>
      <c r="D940" t="n">
        <v>122</v>
      </c>
    </row>
    <row r="941">
      <c r="A941" t="inlineStr">
        <is>
          <t>ED200967</t>
        </is>
      </c>
      <c r="B941" s="56" t="n">
        <v>45342.69722222222</v>
      </c>
      <c r="C941" t="inlineStr">
        <is>
          <t>Bluestone Memorial Hospital</t>
        </is>
      </c>
      <c r="D941" t="n">
        <v>88</v>
      </c>
    </row>
    <row r="942">
      <c r="A942" t="inlineStr">
        <is>
          <t>ED200968</t>
        </is>
      </c>
      <c r="B942" s="56" t="n">
        <v>45342.74652777778</v>
      </c>
      <c r="C942" t="inlineStr">
        <is>
          <t>Bluestone Memorial Hospital</t>
        </is>
      </c>
      <c r="D942" t="n">
        <v>46</v>
      </c>
    </row>
    <row r="943">
      <c r="A943" t="inlineStr">
        <is>
          <t>ED200969</t>
        </is>
      </c>
      <c r="B943" s="56" t="n">
        <v>45342.75347222222</v>
      </c>
      <c r="C943" t="inlineStr">
        <is>
          <t>Bluestone Memorial Hospital</t>
        </is>
      </c>
      <c r="D943" t="n">
        <v>15</v>
      </c>
    </row>
    <row r="944">
      <c r="A944" t="inlineStr">
        <is>
          <t>ED200970</t>
        </is>
      </c>
      <c r="B944" s="56" t="n">
        <v>45342.76597222222</v>
      </c>
      <c r="C944" t="inlineStr">
        <is>
          <t>Bluestone Memorial Hospital</t>
        </is>
      </c>
      <c r="D944" t="n">
        <v>15</v>
      </c>
    </row>
    <row r="945">
      <c r="A945" t="inlineStr">
        <is>
          <t>ED200971</t>
        </is>
      </c>
      <c r="B945" s="56" t="n">
        <v>45342.825</v>
      </c>
      <c r="C945" t="inlineStr">
        <is>
          <t>Bluestone Memorial Hospital</t>
        </is>
      </c>
      <c r="D945" t="n">
        <v>47</v>
      </c>
    </row>
    <row r="946">
      <c r="A946" t="inlineStr">
        <is>
          <t>ED200972</t>
        </is>
      </c>
      <c r="B946" s="56" t="n">
        <v>45342.85902777778</v>
      </c>
      <c r="C946" t="inlineStr">
        <is>
          <t>Bluestone Memorial Hospital</t>
        </is>
      </c>
      <c r="D946" t="n">
        <v>59</v>
      </c>
    </row>
    <row r="947">
      <c r="A947" t="inlineStr">
        <is>
          <t>ED200973</t>
        </is>
      </c>
      <c r="B947" s="56" t="n">
        <v>45342.89652777778</v>
      </c>
      <c r="C947" t="inlineStr">
        <is>
          <t>Bluestone Memorial Hospital</t>
        </is>
      </c>
      <c r="D947" t="n">
        <v>47</v>
      </c>
    </row>
    <row r="948">
      <c r="A948" t="inlineStr">
        <is>
          <t>ED200974</t>
        </is>
      </c>
      <c r="B948" s="56" t="n">
        <v>45343.03888888889</v>
      </c>
      <c r="C948" t="inlineStr">
        <is>
          <t>Bluestone Memorial Hospital</t>
        </is>
      </c>
      <c r="D948" t="n">
        <v>18</v>
      </c>
    </row>
    <row r="949">
      <c r="A949" t="inlineStr">
        <is>
          <t>ED200975</t>
        </is>
      </c>
      <c r="B949" s="56" t="n">
        <v>45343.0625</v>
      </c>
      <c r="C949" t="inlineStr">
        <is>
          <t>Bluestone Memorial Hospital</t>
        </is>
      </c>
      <c r="D949" t="n">
        <v>50</v>
      </c>
    </row>
    <row r="950">
      <c r="A950" t="inlineStr">
        <is>
          <t>ED200976</t>
        </is>
      </c>
      <c r="B950" s="56" t="n">
        <v>45343.25486111111</v>
      </c>
      <c r="C950" t="inlineStr">
        <is>
          <t>Bluestone Memorial Hospital</t>
        </is>
      </c>
      <c r="D950" t="n">
        <v>3</v>
      </c>
    </row>
    <row r="951">
      <c r="A951" t="inlineStr">
        <is>
          <t>ED200977</t>
        </is>
      </c>
      <c r="B951" s="56" t="n">
        <v>45343.29583333333</v>
      </c>
      <c r="C951" t="inlineStr">
        <is>
          <t>Bluestone Memorial Hospital</t>
        </is>
      </c>
      <c r="D951" t="n">
        <v>20</v>
      </c>
    </row>
    <row r="952">
      <c r="A952" t="inlineStr">
        <is>
          <t>ED200978</t>
        </is>
      </c>
      <c r="B952" s="56" t="n">
        <v>45343.35347222222</v>
      </c>
      <c r="C952" t="inlineStr">
        <is>
          <t>Cedar Ridge Medical Center</t>
        </is>
      </c>
      <c r="D952" t="n">
        <v>81</v>
      </c>
    </row>
    <row r="953">
      <c r="A953" t="inlineStr">
        <is>
          <t>ED200979</t>
        </is>
      </c>
      <c r="B953" s="56" t="n">
        <v>45343.36875</v>
      </c>
      <c r="C953" t="inlineStr">
        <is>
          <t>Cedar Ridge Medical Center</t>
        </is>
      </c>
      <c r="D953" t="n">
        <v>26</v>
      </c>
    </row>
    <row r="954">
      <c r="A954" t="inlineStr">
        <is>
          <t>ED200980</t>
        </is>
      </c>
      <c r="B954" s="56" t="n">
        <v>45343.42986111111</v>
      </c>
      <c r="C954" t="inlineStr">
        <is>
          <t>Bluestone Memorial Hospital</t>
        </is>
      </c>
      <c r="D954" t="n">
        <v>21</v>
      </c>
    </row>
    <row r="955">
      <c r="A955" t="inlineStr">
        <is>
          <t>ED200981</t>
        </is>
      </c>
      <c r="B955" s="56" t="n">
        <v>45343.43125</v>
      </c>
      <c r="C955" t="inlineStr">
        <is>
          <t>Bluestone Memorial Hospital</t>
        </is>
      </c>
      <c r="D955" t="n">
        <v>14</v>
      </c>
    </row>
    <row r="956">
      <c r="A956" t="inlineStr">
        <is>
          <t>ED200982</t>
        </is>
      </c>
      <c r="B956" s="56" t="n">
        <v>45343.43888888889</v>
      </c>
      <c r="C956" t="inlineStr">
        <is>
          <t>Bluestone Memorial Hospital</t>
        </is>
      </c>
      <c r="D956" t="n">
        <v>75</v>
      </c>
    </row>
    <row r="957">
      <c r="A957" t="inlineStr">
        <is>
          <t>ED200984</t>
        </is>
      </c>
      <c r="B957" s="56" t="n">
        <v>45343.48541666667</v>
      </c>
      <c r="C957" t="inlineStr">
        <is>
          <t>Ashby Falls Community Hospital</t>
        </is>
      </c>
      <c r="D957" t="n">
        <v>25</v>
      </c>
    </row>
    <row r="958">
      <c r="A958" t="inlineStr">
        <is>
          <t>ED200985</t>
        </is>
      </c>
      <c r="B958" s="56" t="n">
        <v>45343.48888888889</v>
      </c>
      <c r="C958" t="inlineStr">
        <is>
          <t>Cedar Ridge Medical Center</t>
        </is>
      </c>
      <c r="D958" t="n">
        <v>103</v>
      </c>
    </row>
    <row r="959">
      <c r="A959" t="inlineStr">
        <is>
          <t>ED200986</t>
        </is>
      </c>
      <c r="B959" s="56" t="n">
        <v>45343.48958333334</v>
      </c>
      <c r="C959" t="inlineStr">
        <is>
          <t>Bluestone Memorial Hospital</t>
        </is>
      </c>
      <c r="D959" t="n">
        <v>25</v>
      </c>
    </row>
    <row r="960">
      <c r="A960" t="inlineStr">
        <is>
          <t>ED200987</t>
        </is>
      </c>
      <c r="B960" s="56" t="n">
        <v>45343.51111111111</v>
      </c>
      <c r="C960" t="inlineStr">
        <is>
          <t>Bluestone Memorial Hospital</t>
        </is>
      </c>
      <c r="D960" t="n">
        <v>13</v>
      </c>
    </row>
    <row r="961">
      <c r="A961" t="inlineStr">
        <is>
          <t>ED200988</t>
        </is>
      </c>
      <c r="B961" s="56" t="n">
        <v>45343.52986111111</v>
      </c>
      <c r="C961" t="inlineStr">
        <is>
          <t>Bluestone Memorial Hospital</t>
        </is>
      </c>
      <c r="D961" t="n">
        <v>27</v>
      </c>
    </row>
    <row r="962">
      <c r="A962" t="inlineStr">
        <is>
          <t>ED200989</t>
        </is>
      </c>
      <c r="B962" s="56" t="n">
        <v>45343.55347222222</v>
      </c>
      <c r="C962" t="inlineStr">
        <is>
          <t>Cedar Ridge Medical Center</t>
        </is>
      </c>
      <c r="D962" t="n">
        <v>55</v>
      </c>
    </row>
    <row r="963">
      <c r="A963" t="inlineStr">
        <is>
          <t>ED200990</t>
        </is>
      </c>
      <c r="B963" s="56" t="n">
        <v>45343.60833333333</v>
      </c>
      <c r="C963" t="inlineStr">
        <is>
          <t>Ashby Falls Community Hospital</t>
        </is>
      </c>
      <c r="D963" t="n">
        <v>73</v>
      </c>
    </row>
    <row r="964">
      <c r="A964" t="inlineStr">
        <is>
          <t>ED200991</t>
        </is>
      </c>
      <c r="B964" s="56" t="n">
        <v>45343.60902777778</v>
      </c>
      <c r="C964" t="inlineStr">
        <is>
          <t>Cedar Ridge Medical Center</t>
        </is>
      </c>
      <c r="D964" t="n">
        <v>48</v>
      </c>
    </row>
    <row r="965">
      <c r="A965" t="inlineStr">
        <is>
          <t>ED200992</t>
        </is>
      </c>
      <c r="B965" s="56" t="n">
        <v>45343.74861111111</v>
      </c>
      <c r="C965" t="inlineStr">
        <is>
          <t>Bluestone Memorial Hospital</t>
        </is>
      </c>
      <c r="D965" t="n">
        <v>40</v>
      </c>
    </row>
    <row r="966">
      <c r="A966" t="inlineStr">
        <is>
          <t>ED200993</t>
        </is>
      </c>
      <c r="B966" s="56" t="n">
        <v>45343.78958333333</v>
      </c>
      <c r="C966" t="inlineStr">
        <is>
          <t>Bluestone Memorial Hospital</t>
        </is>
      </c>
      <c r="D966" t="n">
        <v>165</v>
      </c>
    </row>
    <row r="967">
      <c r="A967" t="inlineStr">
        <is>
          <t>ED200994</t>
        </is>
      </c>
      <c r="B967" s="56" t="n">
        <v>45343.83263888889</v>
      </c>
      <c r="C967" t="inlineStr">
        <is>
          <t>Bluestone Memorial Hospital</t>
        </is>
      </c>
      <c r="D967" t="n">
        <v>19</v>
      </c>
    </row>
    <row r="968">
      <c r="A968" t="inlineStr">
        <is>
          <t>ED200995</t>
        </is>
      </c>
      <c r="B968" s="56" t="n">
        <v>45343.94861111111</v>
      </c>
      <c r="C968" t="inlineStr">
        <is>
          <t>Bluestone Memorial Hospital</t>
        </is>
      </c>
      <c r="D968" t="n">
        <v>32</v>
      </c>
    </row>
    <row r="969">
      <c r="A969" t="inlineStr">
        <is>
          <t>ED200996</t>
        </is>
      </c>
      <c r="B969" s="56" t="n">
        <v>45344.08472222222</v>
      </c>
      <c r="C969" t="inlineStr">
        <is>
          <t>Bluestone Memorial Hospital</t>
        </is>
      </c>
      <c r="D969" t="n">
        <v>44</v>
      </c>
    </row>
    <row r="970">
      <c r="A970" t="inlineStr">
        <is>
          <t>ED200997</t>
        </is>
      </c>
      <c r="B970" s="56" t="n">
        <v>45344.08819444444</v>
      </c>
      <c r="C970" t="inlineStr">
        <is>
          <t>Ashby Falls Community Hospital</t>
        </is>
      </c>
      <c r="D970" t="n">
        <v>18</v>
      </c>
    </row>
    <row r="971">
      <c r="A971" t="inlineStr">
        <is>
          <t>ED200998</t>
        </is>
      </c>
      <c r="B971" s="56" t="n">
        <v>45344.10555555556</v>
      </c>
      <c r="C971" t="inlineStr">
        <is>
          <t>Cedar Ridge Medical Center</t>
        </is>
      </c>
      <c r="D971" t="n">
        <v>9</v>
      </c>
    </row>
    <row r="972">
      <c r="A972" t="inlineStr">
        <is>
          <t>ED200999</t>
        </is>
      </c>
      <c r="B972" s="56" t="n">
        <v>45344.27986111111</v>
      </c>
      <c r="C972" t="inlineStr">
        <is>
          <t>Bluestone Memorial Hospital</t>
        </is>
      </c>
      <c r="D972" t="n">
        <v>22</v>
      </c>
    </row>
    <row r="973">
      <c r="A973" t="inlineStr">
        <is>
          <t>ED201000</t>
        </is>
      </c>
      <c r="B973" s="56" t="n">
        <v>45344.37152777778</v>
      </c>
      <c r="C973" t="inlineStr">
        <is>
          <t>Cedar Ridge Medical Center</t>
        </is>
      </c>
      <c r="D973" t="n">
        <v>33</v>
      </c>
    </row>
    <row r="974">
      <c r="A974" t="inlineStr">
        <is>
          <t>ED201001</t>
        </is>
      </c>
      <c r="B974" s="56" t="n">
        <v>45344.39444444444</v>
      </c>
      <c r="C974" t="inlineStr">
        <is>
          <t>Bluestone Memorial Hospital</t>
        </is>
      </c>
      <c r="D974" t="n">
        <v>56</v>
      </c>
    </row>
    <row r="975">
      <c r="A975" t="inlineStr">
        <is>
          <t>ED201003</t>
        </is>
      </c>
      <c r="B975" s="56" t="n">
        <v>45344.51736111111</v>
      </c>
      <c r="C975" t="inlineStr">
        <is>
          <t>Bluestone Memorial Hospital</t>
        </is>
      </c>
      <c r="D975" t="n">
        <v>25</v>
      </c>
    </row>
    <row r="976">
      <c r="A976" t="inlineStr">
        <is>
          <t>ED201004</t>
        </is>
      </c>
      <c r="B976" s="56" t="n">
        <v>45344.56111111111</v>
      </c>
      <c r="C976" t="inlineStr">
        <is>
          <t>Bluestone Memorial Hospital</t>
        </is>
      </c>
      <c r="D976" t="n">
        <v>49</v>
      </c>
    </row>
    <row r="977">
      <c r="A977" t="inlineStr">
        <is>
          <t>ED201005</t>
        </is>
      </c>
      <c r="B977" s="56" t="n">
        <v>45344.57222222222</v>
      </c>
      <c r="C977" t="inlineStr">
        <is>
          <t>Ashby Falls Community Hospital</t>
        </is>
      </c>
      <c r="D977" t="n">
        <v>56</v>
      </c>
    </row>
    <row r="978">
      <c r="A978" t="inlineStr">
        <is>
          <t>ED201006</t>
        </is>
      </c>
      <c r="B978" s="56" t="n">
        <v>45344.61527777778</v>
      </c>
      <c r="C978" t="inlineStr">
        <is>
          <t>Cedar Ridge Medical Center</t>
        </is>
      </c>
      <c r="D978" t="n">
        <v>14</v>
      </c>
    </row>
    <row r="979">
      <c r="A979" t="inlineStr">
        <is>
          <t>ED201008</t>
        </is>
      </c>
      <c r="B979" s="56" t="n">
        <v>45344.70625</v>
      </c>
      <c r="C979" t="inlineStr">
        <is>
          <t>Bluestone Memorial Hospital</t>
        </is>
      </c>
      <c r="D979" t="n">
        <v>59</v>
      </c>
    </row>
    <row r="980">
      <c r="A980" t="inlineStr">
        <is>
          <t>ED201009</t>
        </is>
      </c>
      <c r="B980" s="56" t="n">
        <v>45344.71388888889</v>
      </c>
      <c r="C980" t="inlineStr">
        <is>
          <t>Bluestone Memorial Hospital</t>
        </is>
      </c>
      <c r="D980" t="n">
        <v>21</v>
      </c>
    </row>
    <row r="981">
      <c r="A981" t="inlineStr">
        <is>
          <t>ED201010</t>
        </is>
      </c>
      <c r="B981" s="56" t="n">
        <v>45344.72986111111</v>
      </c>
      <c r="C981" t="inlineStr">
        <is>
          <t>Bluestone Memorial Hospital</t>
        </is>
      </c>
      <c r="D981" t="n">
        <v>70</v>
      </c>
    </row>
    <row r="982">
      <c r="A982" t="inlineStr">
        <is>
          <t>ED201011</t>
        </is>
      </c>
      <c r="B982" s="56" t="n">
        <v>45344.73958333334</v>
      </c>
      <c r="C982" t="inlineStr">
        <is>
          <t>Bluestone Memorial Hospital</t>
        </is>
      </c>
      <c r="D982" t="n">
        <v>57</v>
      </c>
    </row>
    <row r="983">
      <c r="A983" t="inlineStr">
        <is>
          <t>ED201012</t>
        </is>
      </c>
      <c r="B983" s="56" t="n">
        <v>45344.74444444444</v>
      </c>
      <c r="C983" t="inlineStr">
        <is>
          <t>Bluestone Memorial Hospital</t>
        </is>
      </c>
      <c r="D983" t="n">
        <v>25</v>
      </c>
    </row>
    <row r="984">
      <c r="A984" t="inlineStr">
        <is>
          <t>ED201013</t>
        </is>
      </c>
      <c r="B984" s="56" t="n">
        <v>45344.75</v>
      </c>
      <c r="C984" t="inlineStr">
        <is>
          <t>Bluestone Memorial Hospital</t>
        </is>
      </c>
      <c r="D984" t="n">
        <v>54</v>
      </c>
    </row>
    <row r="985">
      <c r="A985" t="inlineStr">
        <is>
          <t>ED201014</t>
        </is>
      </c>
      <c r="B985" s="56" t="n">
        <v>45344.775</v>
      </c>
      <c r="C985" t="inlineStr">
        <is>
          <t>Bluestone Memorial Hospital</t>
        </is>
      </c>
      <c r="D985" t="n">
        <v>54</v>
      </c>
    </row>
    <row r="986">
      <c r="A986" t="inlineStr">
        <is>
          <t>ED201016</t>
        </is>
      </c>
      <c r="B986" s="56" t="n">
        <v>45344.82152777778</v>
      </c>
      <c r="C986" t="inlineStr">
        <is>
          <t>Bluestone Memorial Hospital</t>
        </is>
      </c>
      <c r="D986" t="n">
        <v>42</v>
      </c>
    </row>
    <row r="987">
      <c r="A987" t="inlineStr">
        <is>
          <t>ED201017</t>
        </is>
      </c>
      <c r="B987" s="56" t="n">
        <v>45344.85416666666</v>
      </c>
      <c r="C987" t="inlineStr">
        <is>
          <t>Bluestone Memorial Hospital</t>
        </is>
      </c>
      <c r="D987" t="n">
        <v>14</v>
      </c>
    </row>
    <row r="988">
      <c r="A988" t="inlineStr">
        <is>
          <t>ED201018</t>
        </is>
      </c>
      <c r="B988" s="56" t="n">
        <v>45344.86041666667</v>
      </c>
      <c r="C988" t="inlineStr">
        <is>
          <t>Bluestone Memorial Hospital</t>
        </is>
      </c>
      <c r="D988" t="n">
        <v>45</v>
      </c>
    </row>
    <row r="989">
      <c r="A989" t="inlineStr">
        <is>
          <t>ED201019</t>
        </is>
      </c>
      <c r="B989" s="56" t="n">
        <v>45344.86944444444</v>
      </c>
      <c r="C989" t="inlineStr">
        <is>
          <t>Ashby Falls Community Hospital</t>
        </is>
      </c>
      <c r="D989" t="n">
        <v>22</v>
      </c>
    </row>
    <row r="990">
      <c r="A990" t="inlineStr">
        <is>
          <t>ED201020</t>
        </is>
      </c>
      <c r="B990" s="56" t="n">
        <v>45344.95833333334</v>
      </c>
      <c r="C990" t="inlineStr">
        <is>
          <t>Bluestone Memorial Hospital</t>
        </is>
      </c>
      <c r="D990" t="n">
        <v>51</v>
      </c>
    </row>
    <row r="991">
      <c r="A991" t="inlineStr">
        <is>
          <t>ED201021</t>
        </is>
      </c>
      <c r="B991" s="56" t="n">
        <v>45345.14305555556</v>
      </c>
      <c r="C991" t="inlineStr">
        <is>
          <t>Cedar Ridge Medical Center</t>
        </is>
      </c>
      <c r="D991" t="n">
        <v>15</v>
      </c>
    </row>
    <row r="992">
      <c r="A992" t="inlineStr">
        <is>
          <t>ED201022</t>
        </is>
      </c>
      <c r="B992" s="56" t="n">
        <v>45345.29930555556</v>
      </c>
      <c r="C992" t="inlineStr">
        <is>
          <t>Bluestone Memorial Hospital</t>
        </is>
      </c>
      <c r="D992" t="n">
        <v>19</v>
      </c>
    </row>
    <row r="993">
      <c r="A993" t="inlineStr">
        <is>
          <t>ED201023</t>
        </is>
      </c>
      <c r="B993" s="56" t="n">
        <v>45345.33402777778</v>
      </c>
      <c r="C993" t="inlineStr">
        <is>
          <t>Bluestone Memorial Hospital</t>
        </is>
      </c>
      <c r="D993" t="n">
        <v>56</v>
      </c>
    </row>
    <row r="994">
      <c r="A994" t="inlineStr">
        <is>
          <t>ED201024</t>
        </is>
      </c>
      <c r="B994" s="56" t="n">
        <v>45345.35972222222</v>
      </c>
      <c r="C994" t="inlineStr">
        <is>
          <t>Bluestone Memorial Hospital</t>
        </is>
      </c>
      <c r="D994" t="n">
        <v>35</v>
      </c>
    </row>
    <row r="995">
      <c r="A995" t="inlineStr">
        <is>
          <t>ED201025</t>
        </is>
      </c>
      <c r="B995" s="56" t="n">
        <v>45345.38194444445</v>
      </c>
      <c r="C995" t="inlineStr">
        <is>
          <t>Bluestone Memorial Hospital</t>
        </is>
      </c>
      <c r="D995" t="n">
        <v>3</v>
      </c>
    </row>
    <row r="996">
      <c r="A996" t="inlineStr">
        <is>
          <t>ED201026</t>
        </is>
      </c>
      <c r="B996" s="56" t="n">
        <v>45345.39583333334</v>
      </c>
      <c r="C996" t="inlineStr">
        <is>
          <t>Bluestone Memorial Hospital</t>
        </is>
      </c>
      <c r="D996" t="n">
        <v>75</v>
      </c>
    </row>
    <row r="997">
      <c r="A997" t="inlineStr">
        <is>
          <t>ED201027</t>
        </is>
      </c>
      <c r="B997" s="56" t="n">
        <v>45345.45</v>
      </c>
      <c r="C997" t="inlineStr">
        <is>
          <t>Bluestone Memorial Hospital</t>
        </is>
      </c>
      <c r="D997" t="n">
        <v>39</v>
      </c>
    </row>
    <row r="998">
      <c r="A998" t="inlineStr">
        <is>
          <t>ED201029</t>
        </is>
      </c>
      <c r="B998" s="56" t="n">
        <v>45345.50416666667</v>
      </c>
      <c r="C998" t="inlineStr">
        <is>
          <t>Bluestone Memorial Hospital</t>
        </is>
      </c>
      <c r="D998" t="n">
        <v>99</v>
      </c>
    </row>
    <row r="999">
      <c r="A999" t="inlineStr">
        <is>
          <t>ED201030</t>
        </is>
      </c>
      <c r="B999" s="56" t="n">
        <v>45345.52847222222</v>
      </c>
      <c r="C999" t="inlineStr">
        <is>
          <t>Bluestone Memorial Hospital</t>
        </is>
      </c>
      <c r="D999" t="n">
        <v>118</v>
      </c>
    </row>
    <row r="1000">
      <c r="A1000" t="inlineStr">
        <is>
          <t>ED201031</t>
        </is>
      </c>
      <c r="B1000" s="56" t="n">
        <v>45345.62430555555</v>
      </c>
      <c r="C1000" t="inlineStr">
        <is>
          <t>Bluestone Memorial Hospital</t>
        </is>
      </c>
      <c r="D1000" t="n">
        <v>66</v>
      </c>
    </row>
    <row r="1001">
      <c r="A1001" t="inlineStr">
        <is>
          <t>ED201032</t>
        </is>
      </c>
      <c r="B1001" s="56" t="n">
        <v>45345.67013888889</v>
      </c>
      <c r="C1001" t="inlineStr">
        <is>
          <t>Bluestone Memorial Hospital</t>
        </is>
      </c>
      <c r="D1001" t="n">
        <v>89</v>
      </c>
    </row>
    <row r="1002">
      <c r="A1002" t="inlineStr">
        <is>
          <t>ED201033</t>
        </is>
      </c>
      <c r="B1002" s="56" t="n">
        <v>45345.71527777778</v>
      </c>
      <c r="C1002" t="inlineStr">
        <is>
          <t>Cedar Ridge Medical Center</t>
        </is>
      </c>
      <c r="D1002" t="n">
        <v>91</v>
      </c>
    </row>
    <row r="1003">
      <c r="A1003" t="inlineStr">
        <is>
          <t>ED201034</t>
        </is>
      </c>
      <c r="B1003" s="56" t="n">
        <v>45345.81527777778</v>
      </c>
      <c r="C1003" t="inlineStr">
        <is>
          <t>Bluestone Memorial Hospital</t>
        </is>
      </c>
      <c r="D1003" t="n">
        <v>106</v>
      </c>
    </row>
    <row r="1004">
      <c r="A1004" t="inlineStr">
        <is>
          <t>ED201035</t>
        </is>
      </c>
      <c r="B1004" s="56" t="n">
        <v>45345.82152777778</v>
      </c>
      <c r="C1004" t="inlineStr">
        <is>
          <t>Bluestone Memorial Hospital</t>
        </is>
      </c>
      <c r="D1004" t="n">
        <v>11</v>
      </c>
    </row>
    <row r="1005">
      <c r="A1005" t="inlineStr">
        <is>
          <t>ED201036</t>
        </is>
      </c>
      <c r="B1005" s="56" t="n">
        <v>45345.84652777778</v>
      </c>
      <c r="C1005" t="inlineStr">
        <is>
          <t>Bluestone Memorial Hospital</t>
        </is>
      </c>
      <c r="D1005" t="n">
        <v>158</v>
      </c>
    </row>
    <row r="1006">
      <c r="A1006" t="inlineStr">
        <is>
          <t>ED201037</t>
        </is>
      </c>
      <c r="B1006" s="56" t="n">
        <v>45345.86111111111</v>
      </c>
      <c r="C1006" t="inlineStr">
        <is>
          <t>Bluestone Memorial Hospital</t>
        </is>
      </c>
      <c r="D1006" t="n">
        <v>8</v>
      </c>
    </row>
    <row r="1007">
      <c r="A1007" t="inlineStr">
        <is>
          <t>ED201038</t>
        </is>
      </c>
      <c r="B1007" s="56" t="n">
        <v>45345.875</v>
      </c>
      <c r="C1007" t="inlineStr">
        <is>
          <t>Cedar Ridge Medical Center</t>
        </is>
      </c>
      <c r="D1007" t="n">
        <v>77</v>
      </c>
    </row>
    <row r="1008">
      <c r="A1008" t="inlineStr">
        <is>
          <t>ED201039</t>
        </is>
      </c>
      <c r="B1008" s="56" t="n">
        <v>45345.95</v>
      </c>
      <c r="C1008" t="inlineStr">
        <is>
          <t>Bluestone Memorial Hospital</t>
        </is>
      </c>
      <c r="D1008" t="n">
        <v>22</v>
      </c>
    </row>
    <row r="1009">
      <c r="A1009" t="inlineStr">
        <is>
          <t>ED201040</t>
        </is>
      </c>
      <c r="B1009" s="56" t="n">
        <v>45345.98680555556</v>
      </c>
      <c r="C1009" t="inlineStr">
        <is>
          <t>Bluestone Memorial Hospital</t>
        </is>
      </c>
      <c r="D1009" t="n">
        <v>24</v>
      </c>
    </row>
    <row r="1010">
      <c r="A1010" t="inlineStr">
        <is>
          <t>ED201041</t>
        </is>
      </c>
      <c r="B1010" s="56" t="n">
        <v>45346.01597222222</v>
      </c>
      <c r="C1010" t="inlineStr">
        <is>
          <t>Ashby Falls Community Hospital</t>
        </is>
      </c>
      <c r="D1010" t="n">
        <v>56</v>
      </c>
    </row>
    <row r="1011">
      <c r="A1011" t="inlineStr">
        <is>
          <t>ED201042</t>
        </is>
      </c>
      <c r="B1011" s="56" t="n">
        <v>45346.03472222222</v>
      </c>
      <c r="C1011" t="inlineStr">
        <is>
          <t>Bluestone Memorial Hospital</t>
        </is>
      </c>
      <c r="D1011" t="n">
        <v>63</v>
      </c>
    </row>
    <row r="1012">
      <c r="A1012" t="inlineStr">
        <is>
          <t>ED201043</t>
        </is>
      </c>
      <c r="B1012" s="56" t="n">
        <v>45346.04791666667</v>
      </c>
      <c r="C1012" t="inlineStr">
        <is>
          <t>Bluestone Memorial Hospital</t>
        </is>
      </c>
      <c r="D1012" t="n">
        <v>5</v>
      </c>
    </row>
    <row r="1013">
      <c r="A1013" t="inlineStr">
        <is>
          <t>ED201044</t>
        </is>
      </c>
      <c r="B1013" s="56" t="n">
        <v>45346.22013888889</v>
      </c>
      <c r="C1013" t="inlineStr">
        <is>
          <t>Cedar Ridge Medical Center</t>
        </is>
      </c>
      <c r="D1013" t="n">
        <v>16</v>
      </c>
    </row>
    <row r="1014">
      <c r="A1014" t="inlineStr">
        <is>
          <t>ED201045</t>
        </is>
      </c>
      <c r="B1014" s="56" t="n">
        <v>45346.26944444444</v>
      </c>
      <c r="C1014" t="inlineStr">
        <is>
          <t>Bluestone Memorial Hospital</t>
        </is>
      </c>
      <c r="D1014" t="n">
        <v>21</v>
      </c>
    </row>
    <row r="1015">
      <c r="A1015" t="inlineStr">
        <is>
          <t>ED201046</t>
        </is>
      </c>
      <c r="B1015" s="56" t="n">
        <v>45346.26944444444</v>
      </c>
      <c r="C1015" t="inlineStr">
        <is>
          <t>Bluestone Memorial Hospital</t>
        </is>
      </c>
      <c r="D1015" t="n">
        <v>21</v>
      </c>
    </row>
    <row r="1016">
      <c r="A1016" t="inlineStr">
        <is>
          <t>ED201047</t>
        </is>
      </c>
      <c r="B1016" s="56" t="n">
        <v>45346.37152777778</v>
      </c>
      <c r="C1016" t="inlineStr">
        <is>
          <t>Bluestone Memorial Hospital</t>
        </is>
      </c>
      <c r="D1016" t="n">
        <v>14</v>
      </c>
    </row>
    <row r="1017">
      <c r="A1017" t="inlineStr">
        <is>
          <t>ED201048</t>
        </is>
      </c>
      <c r="B1017" s="56" t="n">
        <v>45346.38402777778</v>
      </c>
      <c r="C1017" t="inlineStr">
        <is>
          <t>Bluestone Memorial Hospital</t>
        </is>
      </c>
      <c r="D1017" t="n">
        <v>24</v>
      </c>
    </row>
    <row r="1018">
      <c r="A1018" t="inlineStr">
        <is>
          <t>ED201049</t>
        </is>
      </c>
      <c r="B1018" s="56" t="n">
        <v>45346.425</v>
      </c>
      <c r="C1018" t="inlineStr">
        <is>
          <t>Bluestone Memorial Hospital</t>
        </is>
      </c>
      <c r="D1018" t="n">
        <v>146</v>
      </c>
    </row>
    <row r="1019">
      <c r="A1019" t="inlineStr">
        <is>
          <t>ED201050</t>
        </is>
      </c>
      <c r="B1019" s="56" t="n">
        <v>45346.44027777778</v>
      </c>
      <c r="C1019" t="inlineStr">
        <is>
          <t>Cedar Ridge Medical Center</t>
        </is>
      </c>
      <c r="D1019" t="n">
        <v>104</v>
      </c>
    </row>
    <row r="1020">
      <c r="A1020" t="inlineStr">
        <is>
          <t>ED201051</t>
        </is>
      </c>
      <c r="B1020" s="56" t="n">
        <v>45346.49722222222</v>
      </c>
      <c r="C1020" t="inlineStr">
        <is>
          <t>Cedar Ridge Medical Center</t>
        </is>
      </c>
      <c r="D1020" t="n">
        <v>73</v>
      </c>
    </row>
    <row r="1021">
      <c r="A1021" t="inlineStr">
        <is>
          <t>ED201052</t>
        </is>
      </c>
      <c r="B1021" s="56" t="n">
        <v>45346.52013888889</v>
      </c>
      <c r="C1021" t="inlineStr">
        <is>
          <t>Cedar Ridge Medical Center</t>
        </is>
      </c>
      <c r="D1021" t="n">
        <v>16</v>
      </c>
    </row>
    <row r="1022">
      <c r="A1022" t="inlineStr">
        <is>
          <t>ED201053</t>
        </is>
      </c>
      <c r="B1022" s="56" t="n">
        <v>45346.56388888889</v>
      </c>
      <c r="C1022" t="inlineStr">
        <is>
          <t>Bluestone Memorial Hospital</t>
        </is>
      </c>
      <c r="D1022" t="n">
        <v>63</v>
      </c>
    </row>
    <row r="1023">
      <c r="A1023" t="inlineStr">
        <is>
          <t>ED201054</t>
        </is>
      </c>
      <c r="B1023" s="56" t="n">
        <v>45346.6125</v>
      </c>
      <c r="C1023" t="inlineStr">
        <is>
          <t>Bluestone Memorial Hospital</t>
        </is>
      </c>
      <c r="D1023" t="n">
        <v>26</v>
      </c>
    </row>
    <row r="1024">
      <c r="A1024" t="inlineStr">
        <is>
          <t>ED201055</t>
        </is>
      </c>
      <c r="B1024" s="56" t="n">
        <v>45346.61458333334</v>
      </c>
      <c r="C1024" t="inlineStr">
        <is>
          <t>Bluestone Memorial Hospital</t>
        </is>
      </c>
      <c r="D1024" t="n">
        <v>82</v>
      </c>
    </row>
    <row r="1025">
      <c r="A1025" t="inlineStr">
        <is>
          <t>ED201056</t>
        </is>
      </c>
      <c r="B1025" s="56" t="n">
        <v>45346.62708333333</v>
      </c>
      <c r="C1025" t="inlineStr">
        <is>
          <t>Bluestone Memorial Hospital</t>
        </is>
      </c>
      <c r="D1025" t="n">
        <v>40</v>
      </c>
    </row>
    <row r="1026">
      <c r="A1026" t="inlineStr">
        <is>
          <t>ED201057</t>
        </is>
      </c>
      <c r="B1026" s="56" t="n">
        <v>45346.64930555555</v>
      </c>
      <c r="C1026" t="inlineStr">
        <is>
          <t>Cedar Ridge Medical Center</t>
        </is>
      </c>
      <c r="D1026" t="n">
        <v>39</v>
      </c>
    </row>
    <row r="1027">
      <c r="A1027" t="inlineStr">
        <is>
          <t>ED201058</t>
        </is>
      </c>
      <c r="B1027" s="56" t="n">
        <v>45346.67986111111</v>
      </c>
      <c r="C1027" t="inlineStr">
        <is>
          <t>Bluestone Memorial Hospital</t>
        </is>
      </c>
      <c r="D1027" t="n">
        <v>66</v>
      </c>
    </row>
    <row r="1028">
      <c r="A1028" t="inlineStr">
        <is>
          <t>ED201059</t>
        </is>
      </c>
      <c r="B1028" s="56" t="n">
        <v>45346.775</v>
      </c>
      <c r="C1028" t="inlineStr">
        <is>
          <t>Ashby Falls Community Hospital</t>
        </is>
      </c>
      <c r="D1028" t="n">
        <v>90</v>
      </c>
    </row>
    <row r="1029">
      <c r="A1029" t="inlineStr">
        <is>
          <t>ED201060</t>
        </is>
      </c>
      <c r="B1029" s="56" t="n">
        <v>45346.79375</v>
      </c>
      <c r="C1029" t="inlineStr">
        <is>
          <t>Bluestone Memorial Hospital</t>
        </is>
      </c>
      <c r="D1029" t="n">
        <v>47</v>
      </c>
    </row>
    <row r="1030">
      <c r="A1030" t="inlineStr">
        <is>
          <t>ED201061</t>
        </is>
      </c>
      <c r="B1030" s="56" t="n">
        <v>45346.82222222222</v>
      </c>
      <c r="C1030" t="inlineStr">
        <is>
          <t>Cedar Ridge Medical Center</t>
        </is>
      </c>
      <c r="D1030" t="n">
        <v>72</v>
      </c>
    </row>
    <row r="1031">
      <c r="A1031" t="inlineStr">
        <is>
          <t>ED201062</t>
        </is>
      </c>
      <c r="B1031" s="56" t="n">
        <v>45346.82638888889</v>
      </c>
      <c r="C1031" t="inlineStr">
        <is>
          <t>Bluestone Memorial Hospital</t>
        </is>
      </c>
      <c r="D1031" t="n">
        <v>91</v>
      </c>
    </row>
    <row r="1032">
      <c r="A1032" t="inlineStr">
        <is>
          <t>ED201063</t>
        </is>
      </c>
      <c r="B1032" s="56" t="n">
        <v>45346.87291666667</v>
      </c>
      <c r="C1032" t="inlineStr">
        <is>
          <t>Ashby Falls Community Hospital</t>
        </is>
      </c>
      <c r="D1032" t="n">
        <v>182</v>
      </c>
    </row>
    <row r="1033">
      <c r="A1033" t="inlineStr">
        <is>
          <t>ED201064</t>
        </is>
      </c>
      <c r="B1033" s="56" t="n">
        <v>45346.91597222222</v>
      </c>
      <c r="C1033" t="inlineStr">
        <is>
          <t>Bluestone Memorial Hospital</t>
        </is>
      </c>
      <c r="D1033" t="n">
        <v>18</v>
      </c>
    </row>
    <row r="1034">
      <c r="A1034" t="inlineStr">
        <is>
          <t>ED201065</t>
        </is>
      </c>
      <c r="B1034" s="56" t="n">
        <v>45346.925</v>
      </c>
      <c r="C1034" t="inlineStr">
        <is>
          <t>Cedar Ridge Medical Center</t>
        </is>
      </c>
      <c r="D1034" t="n">
        <v>36</v>
      </c>
    </row>
    <row r="1035">
      <c r="A1035" t="inlineStr">
        <is>
          <t>ED201066</t>
        </is>
      </c>
      <c r="B1035" s="56" t="n">
        <v>45346.99375</v>
      </c>
      <c r="C1035" t="inlineStr">
        <is>
          <t>Ashby Falls Community Hospital</t>
        </is>
      </c>
      <c r="D1035" t="n">
        <v>48</v>
      </c>
    </row>
    <row r="1036">
      <c r="A1036" t="inlineStr">
        <is>
          <t>ED201067</t>
        </is>
      </c>
      <c r="B1036" s="56" t="n">
        <v>45347.02777777778</v>
      </c>
      <c r="C1036" t="inlineStr">
        <is>
          <t>Bluestone Memorial Hospital</t>
        </is>
      </c>
      <c r="D1036" t="n">
        <v>26</v>
      </c>
    </row>
    <row r="1037">
      <c r="A1037" t="inlineStr">
        <is>
          <t>ED201068</t>
        </is>
      </c>
      <c r="B1037" s="56" t="n">
        <v>45347.09861111111</v>
      </c>
      <c r="C1037" t="inlineStr">
        <is>
          <t>Bluestone Memorial Hospital</t>
        </is>
      </c>
      <c r="D1037" t="n">
        <v>50</v>
      </c>
    </row>
    <row r="1038">
      <c r="A1038" t="inlineStr">
        <is>
          <t>ED201069</t>
        </is>
      </c>
      <c r="B1038" s="56" t="n">
        <v>45347.12569444445</v>
      </c>
      <c r="C1038" t="inlineStr">
        <is>
          <t>Bluestone Memorial Hospital</t>
        </is>
      </c>
      <c r="D1038" t="n">
        <v>30</v>
      </c>
    </row>
    <row r="1039">
      <c r="A1039" t="inlineStr">
        <is>
          <t>ED201070</t>
        </is>
      </c>
      <c r="B1039" s="56" t="n">
        <v>45347.19861111111</v>
      </c>
      <c r="C1039" t="inlineStr">
        <is>
          <t>Bluestone Memorial Hospital</t>
        </is>
      </c>
      <c r="D1039" t="n">
        <v>20</v>
      </c>
    </row>
    <row r="1040">
      <c r="A1040" t="inlineStr">
        <is>
          <t>ED201071</t>
        </is>
      </c>
      <c r="B1040" s="56" t="n">
        <v>45347.34722222222</v>
      </c>
      <c r="C1040" t="inlineStr">
        <is>
          <t>Bluestone Memorial Hospital</t>
        </is>
      </c>
      <c r="D1040" t="n">
        <v>43</v>
      </c>
    </row>
    <row r="1041">
      <c r="A1041" t="inlineStr">
        <is>
          <t>ED201072</t>
        </is>
      </c>
      <c r="B1041" s="56" t="n">
        <v>45347.42222222222</v>
      </c>
      <c r="C1041" t="inlineStr">
        <is>
          <t>Bluestone Memorial Hospital</t>
        </is>
      </c>
      <c r="D1041" t="n">
        <v>71</v>
      </c>
    </row>
    <row r="1042">
      <c r="A1042" t="inlineStr">
        <is>
          <t>ED201073</t>
        </is>
      </c>
      <c r="B1042" s="56" t="n">
        <v>45347.43333333333</v>
      </c>
      <c r="C1042" t="inlineStr">
        <is>
          <t>Ashby Falls Community Hospital</t>
        </is>
      </c>
      <c r="D1042" t="n">
        <v>38</v>
      </c>
    </row>
    <row r="1043">
      <c r="A1043" t="inlineStr">
        <is>
          <t>ED201074</t>
        </is>
      </c>
      <c r="B1043" s="56" t="n">
        <v>45347.49513888889</v>
      </c>
      <c r="C1043" t="inlineStr">
        <is>
          <t>Bluestone Memorial Hospital</t>
        </is>
      </c>
      <c r="D1043" t="n">
        <v>107</v>
      </c>
    </row>
    <row r="1044">
      <c r="A1044" t="inlineStr">
        <is>
          <t>ED201075</t>
        </is>
      </c>
      <c r="B1044" s="56" t="n">
        <v>45347.52291666667</v>
      </c>
      <c r="C1044" t="inlineStr">
        <is>
          <t>Ashby Falls Community Hospital</t>
        </is>
      </c>
      <c r="D1044" t="n">
        <v>51</v>
      </c>
    </row>
    <row r="1045">
      <c r="A1045" t="inlineStr">
        <is>
          <t>ED201076</t>
        </is>
      </c>
      <c r="B1045" s="56" t="n">
        <v>45347.52430555555</v>
      </c>
      <c r="C1045" t="inlineStr">
        <is>
          <t>Bluestone Memorial Hospital</t>
        </is>
      </c>
      <c r="D1045" t="n">
        <v>53</v>
      </c>
    </row>
    <row r="1046">
      <c r="A1046" t="inlineStr">
        <is>
          <t>ED201077</t>
        </is>
      </c>
      <c r="B1046" s="56" t="n">
        <v>45347.71041666667</v>
      </c>
      <c r="C1046" t="inlineStr">
        <is>
          <t>Bluestone Memorial Hospital</t>
        </is>
      </c>
      <c r="D1046" t="n">
        <v>162</v>
      </c>
    </row>
    <row r="1047">
      <c r="A1047" t="inlineStr">
        <is>
          <t>ED201078</t>
        </is>
      </c>
      <c r="B1047" s="56" t="n">
        <v>45347.82777777778</v>
      </c>
      <c r="C1047" t="inlineStr">
        <is>
          <t>Ashby Falls Community Hospital</t>
        </is>
      </c>
      <c r="D1047" t="n">
        <v>83</v>
      </c>
    </row>
    <row r="1048">
      <c r="A1048" t="inlineStr">
        <is>
          <t>ED201079</t>
        </is>
      </c>
      <c r="B1048" s="56" t="n">
        <v>45347.83263888889</v>
      </c>
      <c r="C1048" t="inlineStr">
        <is>
          <t>Bluestone Memorial Hospital</t>
        </is>
      </c>
      <c r="D1048" t="n">
        <v>25</v>
      </c>
    </row>
    <row r="1049">
      <c r="A1049" t="inlineStr">
        <is>
          <t>ED201080</t>
        </is>
      </c>
      <c r="B1049" s="56" t="n">
        <v>45347.85902777778</v>
      </c>
      <c r="C1049" t="inlineStr">
        <is>
          <t>Bluestone Memorial Hospital</t>
        </is>
      </c>
      <c r="D1049" t="n">
        <v>135</v>
      </c>
    </row>
    <row r="1050">
      <c r="A1050" t="inlineStr">
        <is>
          <t>ED201081</t>
        </is>
      </c>
      <c r="B1050" s="56" t="n">
        <v>45347.86041666667</v>
      </c>
      <c r="C1050" t="inlineStr">
        <is>
          <t>Bluestone Memorial Hospital</t>
        </is>
      </c>
      <c r="D1050" t="n">
        <v>47</v>
      </c>
    </row>
    <row r="1051">
      <c r="A1051" t="inlineStr">
        <is>
          <t>ED201082</t>
        </is>
      </c>
      <c r="B1051" s="56" t="n">
        <v>45347.88819444444</v>
      </c>
      <c r="C1051" t="inlineStr">
        <is>
          <t>Bluestone Memorial Hospital</t>
        </is>
      </c>
      <c r="D1051" t="n">
        <v>45</v>
      </c>
    </row>
    <row r="1052">
      <c r="A1052" t="inlineStr">
        <is>
          <t>ED201083</t>
        </is>
      </c>
      <c r="B1052" s="56" t="n">
        <v>45348.04930555556</v>
      </c>
      <c r="C1052" t="inlineStr">
        <is>
          <t>Bluestone Memorial Hospital</t>
        </is>
      </c>
      <c r="D1052" t="n">
        <v>2</v>
      </c>
    </row>
    <row r="1053">
      <c r="A1053" t="inlineStr">
        <is>
          <t>ED201084</t>
        </is>
      </c>
      <c r="B1053" s="56" t="n">
        <v>45348.15902777778</v>
      </c>
      <c r="C1053" t="inlineStr">
        <is>
          <t>Bluestone Memorial Hospital</t>
        </is>
      </c>
      <c r="D1053" t="n">
        <v>44</v>
      </c>
    </row>
    <row r="1054">
      <c r="A1054" t="inlineStr">
        <is>
          <t>ED201085</t>
        </is>
      </c>
      <c r="B1054" s="56" t="n">
        <v>45348.18055555555</v>
      </c>
      <c r="C1054" t="inlineStr">
        <is>
          <t>Bluestone Memorial Hospital</t>
        </is>
      </c>
      <c r="D1054" t="n">
        <v>30</v>
      </c>
    </row>
    <row r="1055">
      <c r="A1055" t="inlineStr">
        <is>
          <t>ED201086</t>
        </is>
      </c>
      <c r="B1055" s="56" t="n">
        <v>45348.29375</v>
      </c>
      <c r="C1055" t="inlineStr">
        <is>
          <t>Bluestone Memorial Hospital</t>
        </is>
      </c>
      <c r="D1055" t="n">
        <v>16</v>
      </c>
    </row>
    <row r="1056">
      <c r="A1056" t="inlineStr">
        <is>
          <t>ED201087</t>
        </is>
      </c>
      <c r="B1056" s="56" t="n">
        <v>45348.33402777778</v>
      </c>
      <c r="C1056" t="inlineStr">
        <is>
          <t>Bluestone Memorial Hospital</t>
        </is>
      </c>
      <c r="D1056" t="n">
        <v>20</v>
      </c>
    </row>
    <row r="1057">
      <c r="A1057" t="inlineStr">
        <is>
          <t>ED201088</t>
        </is>
      </c>
      <c r="B1057" s="56" t="n">
        <v>45348.36111111111</v>
      </c>
      <c r="C1057" t="inlineStr">
        <is>
          <t>Ashby Falls Community Hospital</t>
        </is>
      </c>
      <c r="D1057" t="n">
        <v>53</v>
      </c>
    </row>
    <row r="1058">
      <c r="A1058" t="inlineStr">
        <is>
          <t>ED201089</t>
        </is>
      </c>
      <c r="B1058" s="56" t="n">
        <v>45348.41458333333</v>
      </c>
      <c r="C1058" t="inlineStr">
        <is>
          <t>Bluestone Memorial Hospital</t>
        </is>
      </c>
      <c r="D1058" t="n">
        <v>16</v>
      </c>
    </row>
    <row r="1059">
      <c r="A1059" t="inlineStr">
        <is>
          <t>ED201090</t>
        </is>
      </c>
      <c r="B1059" s="56" t="n">
        <v>45348.42777777778</v>
      </c>
      <c r="C1059" t="inlineStr">
        <is>
          <t>Bluestone Memorial Hospital</t>
        </is>
      </c>
      <c r="D1059" t="n">
        <v>33</v>
      </c>
    </row>
    <row r="1060">
      <c r="A1060" t="inlineStr">
        <is>
          <t>ED201091</t>
        </is>
      </c>
      <c r="B1060" s="56" t="n">
        <v>45348.43194444444</v>
      </c>
      <c r="C1060" t="inlineStr">
        <is>
          <t>Bluestone Memorial Hospital</t>
        </is>
      </c>
      <c r="D1060" t="n">
        <v>150</v>
      </c>
    </row>
    <row r="1061">
      <c r="A1061" t="inlineStr">
        <is>
          <t>ED201092</t>
        </is>
      </c>
      <c r="B1061" s="56" t="n">
        <v>45348.43888888889</v>
      </c>
      <c r="C1061" t="inlineStr">
        <is>
          <t>Bluestone Memorial Hospital</t>
        </is>
      </c>
      <c r="D1061" t="n">
        <v>44</v>
      </c>
    </row>
    <row r="1062">
      <c r="A1062" t="inlineStr">
        <is>
          <t>ED201093</t>
        </is>
      </c>
      <c r="B1062" s="56" t="n">
        <v>45348.44583333333</v>
      </c>
      <c r="C1062" t="inlineStr">
        <is>
          <t>Bluestone Memorial Hospital</t>
        </is>
      </c>
      <c r="D1062" t="n">
        <v>120</v>
      </c>
    </row>
    <row r="1063">
      <c r="A1063" t="inlineStr">
        <is>
          <t>ED201094</t>
        </is>
      </c>
      <c r="B1063" s="56" t="n">
        <v>45348.45416666667</v>
      </c>
      <c r="C1063" t="inlineStr">
        <is>
          <t>Bluestone Memorial Hospital</t>
        </is>
      </c>
      <c r="D1063" t="n">
        <v>27</v>
      </c>
    </row>
    <row r="1064">
      <c r="A1064" t="inlineStr">
        <is>
          <t>ED201095</t>
        </is>
      </c>
      <c r="B1064" s="56" t="n">
        <v>45348.49097222222</v>
      </c>
      <c r="C1064" t="inlineStr">
        <is>
          <t>Bluestone Memorial Hospital</t>
        </is>
      </c>
      <c r="D1064" t="n">
        <v>28</v>
      </c>
    </row>
    <row r="1065">
      <c r="A1065" t="inlineStr">
        <is>
          <t>ED201096</t>
        </is>
      </c>
      <c r="B1065" s="56" t="n">
        <v>45348.50277777778</v>
      </c>
      <c r="C1065" t="inlineStr">
        <is>
          <t>Ashby Falls Community Hospital</t>
        </is>
      </c>
      <c r="D1065" t="n">
        <v>84</v>
      </c>
    </row>
    <row r="1066">
      <c r="A1066" t="inlineStr">
        <is>
          <t>ED201097</t>
        </is>
      </c>
      <c r="B1066" s="56" t="n">
        <v>45348.53125</v>
      </c>
      <c r="C1066" t="inlineStr">
        <is>
          <t>Bluestone Memorial Hospital</t>
        </is>
      </c>
      <c r="D1066" t="n">
        <v>13</v>
      </c>
    </row>
    <row r="1067">
      <c r="A1067" t="inlineStr">
        <is>
          <t>ED201098</t>
        </is>
      </c>
      <c r="B1067" s="56" t="n">
        <v>45348.53472222222</v>
      </c>
      <c r="C1067" t="inlineStr">
        <is>
          <t>Cedar Ridge Medical Center</t>
        </is>
      </c>
      <c r="D1067" t="n">
        <v>22</v>
      </c>
    </row>
    <row r="1068">
      <c r="A1068" t="inlineStr">
        <is>
          <t>ED201099</t>
        </is>
      </c>
      <c r="B1068" s="56" t="n">
        <v>45348.63402777778</v>
      </c>
      <c r="C1068" t="inlineStr">
        <is>
          <t>Cedar Ridge Medical Center</t>
        </is>
      </c>
      <c r="D1068" t="n">
        <v>2</v>
      </c>
    </row>
    <row r="1069">
      <c r="A1069" t="inlineStr">
        <is>
          <t>ED201100</t>
        </is>
      </c>
      <c r="B1069" s="56" t="n">
        <v>45348.64652777778</v>
      </c>
      <c r="C1069" t="inlineStr">
        <is>
          <t>Bluestone Memorial Hospital</t>
        </is>
      </c>
      <c r="D1069" t="n">
        <v>58</v>
      </c>
    </row>
    <row r="1070">
      <c r="A1070" t="inlineStr">
        <is>
          <t>ED201101</t>
        </is>
      </c>
      <c r="B1070" s="56" t="n">
        <v>45348.66111111111</v>
      </c>
      <c r="C1070" t="inlineStr">
        <is>
          <t>Bluestone Memorial Hospital</t>
        </is>
      </c>
      <c r="D1070" t="n">
        <v>97</v>
      </c>
    </row>
    <row r="1071">
      <c r="A1071" t="inlineStr">
        <is>
          <t>ED201102</t>
        </is>
      </c>
      <c r="B1071" s="56" t="n">
        <v>45348.77986111111</v>
      </c>
      <c r="C1071" t="inlineStr">
        <is>
          <t>Cedar Ridge Medical Center</t>
        </is>
      </c>
      <c r="D1071" t="n">
        <v>95</v>
      </c>
    </row>
    <row r="1072">
      <c r="A1072" t="inlineStr">
        <is>
          <t>ED201103</t>
        </is>
      </c>
      <c r="B1072" s="56" t="n">
        <v>45348.82638888889</v>
      </c>
      <c r="C1072" t="inlineStr">
        <is>
          <t>Bluestone Memorial Hospital</t>
        </is>
      </c>
      <c r="D1072" t="n">
        <v>41</v>
      </c>
    </row>
    <row r="1073">
      <c r="A1073" t="inlineStr">
        <is>
          <t>ED201104</t>
        </is>
      </c>
      <c r="B1073" s="56" t="n">
        <v>45348.85625</v>
      </c>
      <c r="C1073" t="inlineStr">
        <is>
          <t>Bluestone Memorial Hospital</t>
        </is>
      </c>
      <c r="D1073" t="n">
        <v>34</v>
      </c>
    </row>
    <row r="1074">
      <c r="A1074" t="inlineStr">
        <is>
          <t>ED201105</t>
        </is>
      </c>
      <c r="B1074" s="56" t="n">
        <v>45348.87916666667</v>
      </c>
      <c r="C1074" t="inlineStr">
        <is>
          <t>Bluestone Memorial Hospital</t>
        </is>
      </c>
      <c r="D1074" t="n">
        <v>27</v>
      </c>
    </row>
    <row r="1075">
      <c r="A1075" t="inlineStr">
        <is>
          <t>ED201106</t>
        </is>
      </c>
      <c r="B1075" s="56" t="n">
        <v>45348.92152777778</v>
      </c>
      <c r="C1075" t="inlineStr">
        <is>
          <t>Bluestone Memorial Hospital</t>
        </is>
      </c>
      <c r="D1075" t="n">
        <v>23</v>
      </c>
    </row>
    <row r="1076">
      <c r="A1076" t="inlineStr">
        <is>
          <t>ED201107</t>
        </is>
      </c>
      <c r="B1076" s="56" t="n">
        <v>45349.01388888889</v>
      </c>
      <c r="C1076" t="inlineStr">
        <is>
          <t>Ashby Falls Community Hospital</t>
        </is>
      </c>
      <c r="D1076" t="n">
        <v>47</v>
      </c>
    </row>
    <row r="1077">
      <c r="A1077" t="inlineStr">
        <is>
          <t>ED201108</t>
        </is>
      </c>
      <c r="B1077" s="56" t="n">
        <v>45349.22638888889</v>
      </c>
      <c r="C1077" t="inlineStr">
        <is>
          <t>Bluestone Memorial Hospital</t>
        </is>
      </c>
      <c r="D1077" t="n">
        <v>15</v>
      </c>
    </row>
    <row r="1078">
      <c r="A1078" t="inlineStr">
        <is>
          <t>ED201109</t>
        </is>
      </c>
      <c r="B1078" s="56" t="n">
        <v>45349.29791666667</v>
      </c>
      <c r="C1078" t="inlineStr">
        <is>
          <t>Bluestone Memorial Hospital</t>
        </is>
      </c>
      <c r="D1078" t="n">
        <v>22</v>
      </c>
    </row>
    <row r="1079">
      <c r="A1079" t="inlineStr">
        <is>
          <t>ED201110</t>
        </is>
      </c>
      <c r="B1079" s="56" t="n">
        <v>45349.30625</v>
      </c>
      <c r="C1079" t="inlineStr">
        <is>
          <t>Bluestone Memorial Hospital</t>
        </is>
      </c>
      <c r="D1079" t="n">
        <v>29</v>
      </c>
    </row>
    <row r="1080">
      <c r="A1080" t="inlineStr">
        <is>
          <t>ED201111</t>
        </is>
      </c>
      <c r="B1080" s="56" t="n">
        <v>45349.32847222222</v>
      </c>
      <c r="C1080" t="inlineStr">
        <is>
          <t>Bluestone Memorial Hospital</t>
        </is>
      </c>
      <c r="D1080" t="n">
        <v>82</v>
      </c>
    </row>
    <row r="1081">
      <c r="A1081" t="inlineStr">
        <is>
          <t>ED201112</t>
        </is>
      </c>
      <c r="B1081" s="56" t="n">
        <v>45349.33055555556</v>
      </c>
      <c r="C1081" t="inlineStr">
        <is>
          <t>Cedar Ridge Medical Center</t>
        </is>
      </c>
      <c r="D1081" t="n">
        <v>36</v>
      </c>
    </row>
    <row r="1082">
      <c r="A1082" t="inlineStr">
        <is>
          <t>ED201113</t>
        </is>
      </c>
      <c r="B1082" s="56" t="n">
        <v>45349.33611111111</v>
      </c>
      <c r="C1082" t="inlineStr">
        <is>
          <t>Bluestone Memorial Hospital</t>
        </is>
      </c>
      <c r="D1082" t="n">
        <v>22</v>
      </c>
    </row>
    <row r="1083">
      <c r="A1083" t="inlineStr">
        <is>
          <t>ED201114</t>
        </is>
      </c>
      <c r="B1083" s="56" t="n">
        <v>45349.40138888889</v>
      </c>
      <c r="C1083" t="inlineStr">
        <is>
          <t>Bluestone Memorial Hospital</t>
        </is>
      </c>
      <c r="D1083" t="n">
        <v>34</v>
      </c>
    </row>
    <row r="1084">
      <c r="A1084" t="inlineStr">
        <is>
          <t>ED201115</t>
        </is>
      </c>
      <c r="B1084" s="56" t="n">
        <v>45349.45902777778</v>
      </c>
      <c r="C1084" t="inlineStr">
        <is>
          <t>Bluestone Memorial Hospital</t>
        </is>
      </c>
      <c r="D1084" t="n">
        <v>58</v>
      </c>
    </row>
    <row r="1085">
      <c r="A1085" t="inlineStr">
        <is>
          <t>ED201116</t>
        </is>
      </c>
      <c r="B1085" s="56" t="n">
        <v>45349.47638888889</v>
      </c>
      <c r="C1085" t="inlineStr">
        <is>
          <t>Bluestone Memorial Hospital</t>
        </is>
      </c>
      <c r="D1085" t="n">
        <v>94</v>
      </c>
    </row>
    <row r="1086">
      <c r="A1086" t="inlineStr">
        <is>
          <t>ED201117</t>
        </is>
      </c>
      <c r="B1086" s="56" t="n">
        <v>45349.52291666667</v>
      </c>
      <c r="C1086" t="inlineStr">
        <is>
          <t>Ashby Falls Community Hospital</t>
        </is>
      </c>
      <c r="D1086" t="n">
        <v>53</v>
      </c>
    </row>
    <row r="1087">
      <c r="A1087" t="inlineStr">
        <is>
          <t>ED201118</t>
        </is>
      </c>
      <c r="B1087" s="56" t="n">
        <v>45349.54930555556</v>
      </c>
      <c r="C1087" t="inlineStr">
        <is>
          <t>Cedar Ridge Medical Center</t>
        </is>
      </c>
      <c r="D1087" t="n">
        <v>35</v>
      </c>
    </row>
    <row r="1088">
      <c r="A1088" t="inlineStr">
        <is>
          <t>ED201119</t>
        </is>
      </c>
      <c r="B1088" s="56" t="n">
        <v>45349.55</v>
      </c>
      <c r="C1088" t="inlineStr">
        <is>
          <t>Bluestone Memorial Hospital</t>
        </is>
      </c>
      <c r="D1088" t="n">
        <v>158</v>
      </c>
    </row>
    <row r="1089">
      <c r="A1089" t="inlineStr">
        <is>
          <t>ED201120</t>
        </is>
      </c>
      <c r="B1089" s="56" t="n">
        <v>45349.62291666667</v>
      </c>
      <c r="C1089" t="inlineStr">
        <is>
          <t>Bluestone Memorial Hospital</t>
        </is>
      </c>
      <c r="D1089" t="n">
        <v>73</v>
      </c>
    </row>
    <row r="1090">
      <c r="A1090" t="inlineStr">
        <is>
          <t>ED201121</t>
        </is>
      </c>
      <c r="B1090" s="56" t="n">
        <v>45349.64930555555</v>
      </c>
      <c r="C1090" t="inlineStr">
        <is>
          <t>Bluestone Memorial Hospital</t>
        </is>
      </c>
      <c r="D1090" t="n">
        <v>9</v>
      </c>
    </row>
    <row r="1091">
      <c r="A1091" t="inlineStr">
        <is>
          <t>ED201122</t>
        </is>
      </c>
      <c r="B1091" s="56" t="n">
        <v>45349.67013888889</v>
      </c>
      <c r="C1091" t="inlineStr">
        <is>
          <t>Ashby Falls Community Hospital</t>
        </is>
      </c>
      <c r="D1091" t="n">
        <v>23</v>
      </c>
    </row>
    <row r="1092">
      <c r="A1092" t="inlineStr">
        <is>
          <t>ED201123</t>
        </is>
      </c>
      <c r="B1092" s="56" t="n">
        <v>45349.74722222222</v>
      </c>
      <c r="C1092" t="inlineStr">
        <is>
          <t>Cedar Ridge Medical Center</t>
        </is>
      </c>
      <c r="D1092" t="n">
        <v>25</v>
      </c>
    </row>
    <row r="1093">
      <c r="A1093" t="inlineStr">
        <is>
          <t>ED201124</t>
        </is>
      </c>
      <c r="B1093" s="56" t="n">
        <v>45349.75763888889</v>
      </c>
      <c r="C1093" t="inlineStr">
        <is>
          <t>Bluestone Memorial Hospital</t>
        </is>
      </c>
      <c r="D1093" t="n">
        <v>78</v>
      </c>
    </row>
    <row r="1094">
      <c r="A1094" t="inlineStr">
        <is>
          <t>ED201125</t>
        </is>
      </c>
      <c r="B1094" s="56" t="n">
        <v>45349.76388888889</v>
      </c>
      <c r="C1094" t="inlineStr">
        <is>
          <t>Bluestone Memorial Hospital</t>
        </is>
      </c>
      <c r="D1094" t="n">
        <v>40</v>
      </c>
    </row>
    <row r="1095">
      <c r="A1095" t="inlineStr">
        <is>
          <t>ED201126</t>
        </is>
      </c>
      <c r="B1095" s="56" t="n">
        <v>45349.79583333333</v>
      </c>
      <c r="C1095" t="inlineStr">
        <is>
          <t>Bluestone Memorial Hospital</t>
        </is>
      </c>
      <c r="D1095" t="n">
        <v>60</v>
      </c>
    </row>
    <row r="1096">
      <c r="A1096" t="inlineStr">
        <is>
          <t>ED201127</t>
        </is>
      </c>
      <c r="B1096" s="56" t="n">
        <v>45349.95972222222</v>
      </c>
      <c r="C1096" t="inlineStr">
        <is>
          <t>Bluestone Memorial Hospital</t>
        </is>
      </c>
      <c r="D1096" t="n">
        <v>59</v>
      </c>
    </row>
    <row r="1097">
      <c r="A1097" t="inlineStr">
        <is>
          <t>ED201128</t>
        </is>
      </c>
      <c r="B1097" s="56" t="n">
        <v>45350.16041666667</v>
      </c>
      <c r="C1097" t="inlineStr">
        <is>
          <t>Bluestone Memorial Hospital</t>
        </is>
      </c>
      <c r="D1097" t="n">
        <v>19</v>
      </c>
    </row>
    <row r="1098">
      <c r="A1098" t="inlineStr">
        <is>
          <t>ED201129</t>
        </is>
      </c>
      <c r="B1098" s="56" t="n">
        <v>45350.26458333333</v>
      </c>
      <c r="C1098" t="inlineStr">
        <is>
          <t>Bluestone Memorial Hospital</t>
        </is>
      </c>
      <c r="D1098" t="n">
        <v>98</v>
      </c>
    </row>
    <row r="1099">
      <c r="A1099" t="inlineStr">
        <is>
          <t>ED201130</t>
        </is>
      </c>
      <c r="B1099" s="56" t="n">
        <v>45350.30763888889</v>
      </c>
      <c r="C1099" t="inlineStr">
        <is>
          <t>Cedar Ridge Medical Center</t>
        </is>
      </c>
      <c r="D1099" t="n">
        <v>11</v>
      </c>
    </row>
    <row r="1100">
      <c r="A1100" t="inlineStr">
        <is>
          <t>ED201131</t>
        </is>
      </c>
      <c r="B1100" s="56" t="n">
        <v>45350.39861111111</v>
      </c>
      <c r="C1100" t="inlineStr">
        <is>
          <t>Bluestone Memorial Hospital</t>
        </is>
      </c>
      <c r="D1100" t="n">
        <v>16</v>
      </c>
    </row>
    <row r="1101">
      <c r="A1101" t="inlineStr">
        <is>
          <t>ED201132</t>
        </is>
      </c>
      <c r="B1101" s="56" t="n">
        <v>45350.43125</v>
      </c>
      <c r="C1101" t="inlineStr">
        <is>
          <t>Bluestone Memorial Hospital</t>
        </is>
      </c>
      <c r="D1101" t="n">
        <v>24</v>
      </c>
    </row>
    <row r="1102">
      <c r="A1102" t="inlineStr">
        <is>
          <t>ED201133</t>
        </is>
      </c>
      <c r="B1102" s="56" t="n">
        <v>45350.47638888889</v>
      </c>
      <c r="C1102" t="inlineStr">
        <is>
          <t>Bluestone Memorial Hospital</t>
        </is>
      </c>
      <c r="D1102" t="n">
        <v>44</v>
      </c>
    </row>
    <row r="1103">
      <c r="A1103" t="inlineStr">
        <is>
          <t>ED201134</t>
        </is>
      </c>
      <c r="B1103" s="56" t="n">
        <v>45350.49444444444</v>
      </c>
      <c r="C1103" t="inlineStr">
        <is>
          <t>Bluestone Memorial Hospital</t>
        </is>
      </c>
      <c r="D1103" t="n">
        <v>18</v>
      </c>
    </row>
    <row r="1104">
      <c r="A1104" t="inlineStr">
        <is>
          <t>ED201135</t>
        </is>
      </c>
      <c r="B1104" s="56" t="n">
        <v>45350.53819444445</v>
      </c>
      <c r="C1104" t="inlineStr">
        <is>
          <t>Cedar Ridge Medical Center</t>
        </is>
      </c>
      <c r="D1104" t="n">
        <v>55</v>
      </c>
    </row>
    <row r="1105">
      <c r="A1105" t="inlineStr">
        <is>
          <t>ED201136</t>
        </is>
      </c>
      <c r="B1105" s="56" t="n">
        <v>45350.57986111111</v>
      </c>
      <c r="C1105" t="inlineStr">
        <is>
          <t>Ashby Falls Community Hospital</t>
        </is>
      </c>
      <c r="D1105" t="n">
        <v>11</v>
      </c>
    </row>
    <row r="1106">
      <c r="A1106" t="inlineStr">
        <is>
          <t>ED201137</t>
        </is>
      </c>
      <c r="B1106" s="56" t="n">
        <v>45350.58472222222</v>
      </c>
      <c r="C1106" t="inlineStr">
        <is>
          <t>Cedar Ridge Medical Center</t>
        </is>
      </c>
      <c r="D1106" t="n">
        <v>103</v>
      </c>
    </row>
    <row r="1107">
      <c r="A1107" t="inlineStr">
        <is>
          <t>ED201138</t>
        </is>
      </c>
      <c r="B1107" s="56" t="n">
        <v>45350.58541666667</v>
      </c>
      <c r="C1107" t="inlineStr">
        <is>
          <t>Bluestone Memorial Hospital</t>
        </is>
      </c>
      <c r="D1107" t="n">
        <v>161</v>
      </c>
    </row>
    <row r="1108">
      <c r="A1108" t="inlineStr">
        <is>
          <t>ED201139</t>
        </is>
      </c>
      <c r="B1108" s="56" t="n">
        <v>45350.59236111111</v>
      </c>
      <c r="C1108" t="inlineStr">
        <is>
          <t>Cedar Ridge Medical Center</t>
        </is>
      </c>
      <c r="D1108" t="n">
        <v>99</v>
      </c>
    </row>
    <row r="1109">
      <c r="A1109" t="inlineStr">
        <is>
          <t>ED201140</t>
        </is>
      </c>
      <c r="B1109" s="56" t="n">
        <v>45350.59722222222</v>
      </c>
      <c r="C1109" t="inlineStr">
        <is>
          <t>Bluestone Memorial Hospital</t>
        </is>
      </c>
      <c r="D1109" t="n">
        <v>26</v>
      </c>
    </row>
    <row r="1110">
      <c r="A1110" t="inlineStr">
        <is>
          <t>ED201141</t>
        </is>
      </c>
      <c r="B1110" s="56" t="n">
        <v>45350.62361111111</v>
      </c>
      <c r="C1110" t="inlineStr">
        <is>
          <t>Bluestone Memorial Hospital</t>
        </is>
      </c>
      <c r="D1110" t="n">
        <v>44</v>
      </c>
    </row>
    <row r="1111">
      <c r="A1111" t="inlineStr">
        <is>
          <t>ED201142</t>
        </is>
      </c>
      <c r="B1111" s="56" t="n">
        <v>45350.70833333334</v>
      </c>
      <c r="C1111" t="inlineStr">
        <is>
          <t>Cedar Ridge Medical Center</t>
        </is>
      </c>
      <c r="D1111" t="n">
        <v>43</v>
      </c>
    </row>
    <row r="1112">
      <c r="A1112" t="inlineStr">
        <is>
          <t>ED201143</t>
        </is>
      </c>
      <c r="B1112" s="56" t="n">
        <v>45350.71458333333</v>
      </c>
      <c r="C1112" t="inlineStr">
        <is>
          <t>Bluestone Memorial Hospital</t>
        </is>
      </c>
      <c r="D1112" t="n">
        <v>25</v>
      </c>
    </row>
    <row r="1113">
      <c r="A1113" t="inlineStr">
        <is>
          <t>ED201145</t>
        </is>
      </c>
      <c r="B1113" s="56" t="n">
        <v>45350.90833333333</v>
      </c>
      <c r="C1113" t="inlineStr">
        <is>
          <t>Bluestone Memorial Hospital</t>
        </is>
      </c>
      <c r="D1113" t="n">
        <v>12</v>
      </c>
    </row>
    <row r="1114">
      <c r="A1114" t="inlineStr">
        <is>
          <t>ED201146</t>
        </is>
      </c>
      <c r="B1114" s="56" t="n">
        <v>45350.93541666667</v>
      </c>
      <c r="C1114" t="inlineStr">
        <is>
          <t>Bluestone Memorial Hospital</t>
        </is>
      </c>
      <c r="D1114" t="n">
        <v>420</v>
      </c>
    </row>
    <row r="1115">
      <c r="A1115" t="inlineStr">
        <is>
          <t>ED201147</t>
        </is>
      </c>
      <c r="B1115" s="56" t="n">
        <v>45351.31111111111</v>
      </c>
      <c r="C1115" t="inlineStr">
        <is>
          <t>Cedar Ridge Medical Center</t>
        </is>
      </c>
      <c r="D1115" t="n">
        <v>8</v>
      </c>
    </row>
    <row r="1116">
      <c r="A1116" t="inlineStr">
        <is>
          <t>ED201148</t>
        </is>
      </c>
      <c r="B1116" s="56" t="n">
        <v>45351.34791666667</v>
      </c>
      <c r="C1116" t="inlineStr">
        <is>
          <t>Bluestone Memorial Hospital</t>
        </is>
      </c>
      <c r="D1116" t="n">
        <v>73</v>
      </c>
    </row>
    <row r="1117">
      <c r="A1117" t="inlineStr">
        <is>
          <t>ED201149</t>
        </is>
      </c>
      <c r="B1117" s="56" t="n">
        <v>45351.43611111111</v>
      </c>
      <c r="C1117" t="inlineStr">
        <is>
          <t>Cedar Ridge Medical Center</t>
        </is>
      </c>
      <c r="D1117" t="n">
        <v>34</v>
      </c>
    </row>
    <row r="1118">
      <c r="A1118" t="inlineStr">
        <is>
          <t>ED201150</t>
        </is>
      </c>
      <c r="B1118" s="56" t="n">
        <v>45351.53888888889</v>
      </c>
      <c r="C1118" t="inlineStr">
        <is>
          <t>Bluestone Memorial Hospital</t>
        </is>
      </c>
      <c r="D1118" t="n">
        <v>100</v>
      </c>
    </row>
    <row r="1119">
      <c r="A1119" t="inlineStr">
        <is>
          <t>ED201151</t>
        </is>
      </c>
      <c r="B1119" s="56" t="n">
        <v>45351.55694444444</v>
      </c>
      <c r="C1119" t="inlineStr">
        <is>
          <t>Bluestone Memorial Hospital</t>
        </is>
      </c>
      <c r="D1119" t="n">
        <v>35</v>
      </c>
    </row>
    <row r="1120">
      <c r="A1120" t="inlineStr">
        <is>
          <t>ED201152</t>
        </is>
      </c>
      <c r="B1120" s="56" t="n">
        <v>45351.57569444444</v>
      </c>
      <c r="C1120" t="inlineStr">
        <is>
          <t>Bluestone Memorial Hospital</t>
        </is>
      </c>
      <c r="D1120" t="n">
        <v>217</v>
      </c>
    </row>
    <row r="1121">
      <c r="A1121" t="inlineStr">
        <is>
          <t>ED201153</t>
        </is>
      </c>
      <c r="B1121" s="56" t="n">
        <v>45351.59375</v>
      </c>
      <c r="C1121" t="inlineStr">
        <is>
          <t>Bluestone Memorial Hospital</t>
        </is>
      </c>
      <c r="D1121" t="n">
        <v>61</v>
      </c>
    </row>
    <row r="1122">
      <c r="A1122" t="inlineStr">
        <is>
          <t>ED201154</t>
        </is>
      </c>
      <c r="B1122" s="56" t="n">
        <v>45351.62916666667</v>
      </c>
      <c r="C1122" t="inlineStr">
        <is>
          <t>Bluestone Memorial Hospital</t>
        </is>
      </c>
      <c r="D1122" t="n">
        <v>57</v>
      </c>
    </row>
    <row r="1123">
      <c r="A1123" t="inlineStr">
        <is>
          <t>ED201155</t>
        </is>
      </c>
      <c r="B1123" s="56" t="n">
        <v>45351.70972222222</v>
      </c>
      <c r="C1123" t="inlineStr">
        <is>
          <t>Bluestone Memorial Hospital</t>
        </is>
      </c>
      <c r="D1123" t="n">
        <v>35</v>
      </c>
    </row>
    <row r="1124">
      <c r="A1124" t="inlineStr">
        <is>
          <t>ED201156</t>
        </is>
      </c>
      <c r="B1124" s="56" t="n">
        <v>45351.71666666667</v>
      </c>
      <c r="C1124" t="inlineStr">
        <is>
          <t>Bluestone Memorial Hospital</t>
        </is>
      </c>
      <c r="D1124" t="n">
        <v>77</v>
      </c>
    </row>
    <row r="1125">
      <c r="A1125" t="inlineStr">
        <is>
          <t>ED201157</t>
        </is>
      </c>
      <c r="B1125" s="56" t="n">
        <v>45351.73333333333</v>
      </c>
      <c r="C1125" t="inlineStr">
        <is>
          <t>Cedar Ridge Medical Center</t>
        </is>
      </c>
      <c r="D1125" t="n">
        <v>35</v>
      </c>
    </row>
    <row r="1126">
      <c r="A1126" t="inlineStr">
        <is>
          <t>ED201158</t>
        </is>
      </c>
      <c r="B1126" s="56" t="n">
        <v>45351.74027777778</v>
      </c>
      <c r="C1126" t="inlineStr">
        <is>
          <t>Cedar Ridge Medical Center</t>
        </is>
      </c>
      <c r="D1126" t="n">
        <v>70</v>
      </c>
    </row>
    <row r="1127">
      <c r="A1127" t="inlineStr">
        <is>
          <t>ED201159</t>
        </is>
      </c>
      <c r="B1127" s="56" t="n">
        <v>45351.76527777778</v>
      </c>
      <c r="C1127" t="inlineStr">
        <is>
          <t>Bluestone Memorial Hospital</t>
        </is>
      </c>
      <c r="D1127" t="n">
        <v>26</v>
      </c>
    </row>
    <row r="1128">
      <c r="A1128" t="inlineStr">
        <is>
          <t>ED201160</t>
        </is>
      </c>
      <c r="B1128" s="56" t="n">
        <v>45351.80486111111</v>
      </c>
      <c r="C1128" t="inlineStr">
        <is>
          <t>Bluestone Memorial Hospital</t>
        </is>
      </c>
      <c r="D1128" t="n">
        <v>290</v>
      </c>
    </row>
    <row r="1129">
      <c r="A1129" t="inlineStr">
        <is>
          <t>ED201161</t>
        </is>
      </c>
      <c r="B1129" s="56" t="n">
        <v>45351.80555555555</v>
      </c>
      <c r="C1129" t="inlineStr">
        <is>
          <t>Bluestone Memorial Hospital</t>
        </is>
      </c>
      <c r="D1129" t="n">
        <v>96</v>
      </c>
    </row>
    <row r="1130">
      <c r="A1130" t="inlineStr">
        <is>
          <t>ED201162</t>
        </is>
      </c>
      <c r="B1130" s="56" t="n">
        <v>45351.86805555555</v>
      </c>
      <c r="C1130" t="inlineStr">
        <is>
          <t>Ashby Falls Community Hospital</t>
        </is>
      </c>
      <c r="D1130" t="n">
        <v>61</v>
      </c>
    </row>
    <row r="1131">
      <c r="A1131" t="inlineStr">
        <is>
          <t>ED201163</t>
        </is>
      </c>
      <c r="B1131" s="56" t="n">
        <v>45351.90763888889</v>
      </c>
      <c r="C1131" t="inlineStr">
        <is>
          <t>Bluestone Memorial Hospital</t>
        </is>
      </c>
      <c r="D1131" t="n">
        <v>37</v>
      </c>
    </row>
    <row r="1132">
      <c r="A1132" t="inlineStr">
        <is>
          <t>ED201164</t>
        </is>
      </c>
      <c r="B1132" s="56" t="n">
        <v>45351.94375</v>
      </c>
      <c r="C1132" t="inlineStr">
        <is>
          <t>Bluestone Memorial Hospital</t>
        </is>
      </c>
      <c r="D1132" t="n">
        <v>45</v>
      </c>
    </row>
    <row r="1133">
      <c r="A1133" t="inlineStr">
        <is>
          <t>ED201165</t>
        </is>
      </c>
      <c r="B1133" s="56" t="n">
        <v>45351.95902777778</v>
      </c>
      <c r="C1133" t="inlineStr">
        <is>
          <t>Bluestone Memorial Hospital</t>
        </is>
      </c>
      <c r="D1133" t="n">
        <v>55</v>
      </c>
    </row>
    <row r="1134">
      <c r="A1134" t="inlineStr">
        <is>
          <t>ED201166</t>
        </is>
      </c>
      <c r="B1134" s="56" t="n">
        <v>45351.96666666667</v>
      </c>
      <c r="C1134" t="inlineStr">
        <is>
          <t>Cedar Ridge Medical Center</t>
        </is>
      </c>
      <c r="D1134" t="n">
        <v>47</v>
      </c>
    </row>
    <row r="1135">
      <c r="A1135" t="inlineStr">
        <is>
          <t>ED201167</t>
        </is>
      </c>
      <c r="B1135" s="56" t="n">
        <v>45352.05694444444</v>
      </c>
      <c r="C1135" t="inlineStr">
        <is>
          <t>Bluestone Memorial Hospital</t>
        </is>
      </c>
      <c r="D1135" t="n">
        <v>45</v>
      </c>
    </row>
    <row r="1136">
      <c r="A1136" t="inlineStr">
        <is>
          <t>ED201168</t>
        </is>
      </c>
      <c r="B1136" s="56" t="n">
        <v>45352.20555555556</v>
      </c>
      <c r="C1136" t="inlineStr">
        <is>
          <t>Ashby Falls Community Hospital</t>
        </is>
      </c>
      <c r="D1136" t="n">
        <v>28</v>
      </c>
    </row>
    <row r="1137">
      <c r="A1137" t="inlineStr">
        <is>
          <t>ED201169</t>
        </is>
      </c>
      <c r="B1137" s="56" t="n">
        <v>45352.31944444445</v>
      </c>
      <c r="C1137" t="inlineStr">
        <is>
          <t>Bluestone Memorial Hospital</t>
        </is>
      </c>
      <c r="D1137" t="n">
        <v>35</v>
      </c>
    </row>
    <row r="1138">
      <c r="A1138" t="inlineStr">
        <is>
          <t>ED201170</t>
        </is>
      </c>
      <c r="B1138" s="56" t="n">
        <v>45352.35486111111</v>
      </c>
      <c r="C1138" t="inlineStr">
        <is>
          <t>Ashby Falls Community Hospital</t>
        </is>
      </c>
      <c r="D1138" t="n">
        <v>16</v>
      </c>
    </row>
    <row r="1139">
      <c r="A1139" t="inlineStr">
        <is>
          <t>ED201171</t>
        </is>
      </c>
      <c r="B1139" s="56" t="n">
        <v>45352.37013888889</v>
      </c>
      <c r="C1139" t="inlineStr">
        <is>
          <t>Bluestone Memorial Hospital</t>
        </is>
      </c>
      <c r="D1139" t="n">
        <v>23</v>
      </c>
    </row>
    <row r="1140">
      <c r="A1140" t="inlineStr">
        <is>
          <t>ED201172</t>
        </is>
      </c>
      <c r="B1140" s="56" t="n">
        <v>45352.45277777778</v>
      </c>
      <c r="C1140" t="inlineStr">
        <is>
          <t>Bluestone Memorial Hospital</t>
        </is>
      </c>
      <c r="D1140" t="n">
        <v>13</v>
      </c>
    </row>
    <row r="1141">
      <c r="A1141" t="inlineStr">
        <is>
          <t>ED201173</t>
        </is>
      </c>
      <c r="B1141" s="56" t="n">
        <v>45352.48125</v>
      </c>
      <c r="C1141" t="inlineStr">
        <is>
          <t>Cedar Ridge Medical Center</t>
        </is>
      </c>
      <c r="D1141" t="n">
        <v>43</v>
      </c>
    </row>
    <row r="1142">
      <c r="A1142" t="inlineStr">
        <is>
          <t>ED201174</t>
        </is>
      </c>
      <c r="B1142" s="56" t="n">
        <v>45352.55416666667</v>
      </c>
      <c r="C1142" t="inlineStr">
        <is>
          <t>Cedar Ridge Medical Center</t>
        </is>
      </c>
      <c r="D1142" t="n">
        <v>54</v>
      </c>
    </row>
    <row r="1143">
      <c r="A1143" t="inlineStr">
        <is>
          <t>ED201175</t>
        </is>
      </c>
      <c r="B1143" s="56" t="n">
        <v>45352.59444444445</v>
      </c>
      <c r="C1143" t="inlineStr">
        <is>
          <t>Bluestone Memorial Hospital</t>
        </is>
      </c>
      <c r="D1143" t="n">
        <v>74</v>
      </c>
    </row>
    <row r="1144">
      <c r="A1144" t="inlineStr">
        <is>
          <t>ED201176</t>
        </is>
      </c>
      <c r="B1144" s="56" t="n">
        <v>45352.62847222222</v>
      </c>
      <c r="C1144" t="inlineStr">
        <is>
          <t>Bluestone Memorial Hospital</t>
        </is>
      </c>
      <c r="D1144" t="n">
        <v>27</v>
      </c>
    </row>
    <row r="1145">
      <c r="A1145" t="inlineStr">
        <is>
          <t>ED201177</t>
        </is>
      </c>
      <c r="B1145" s="56" t="n">
        <v>45352.64097222222</v>
      </c>
      <c r="C1145" t="inlineStr">
        <is>
          <t>Bluestone Memorial Hospital</t>
        </is>
      </c>
      <c r="D1145" t="n">
        <v>9</v>
      </c>
    </row>
    <row r="1146">
      <c r="A1146" t="inlineStr">
        <is>
          <t>ED201178</t>
        </is>
      </c>
      <c r="B1146" s="56" t="n">
        <v>45352.67777777778</v>
      </c>
      <c r="C1146" t="inlineStr">
        <is>
          <t>Bluestone Memorial Hospital</t>
        </is>
      </c>
      <c r="D1146" t="n">
        <v>24</v>
      </c>
    </row>
    <row r="1147">
      <c r="A1147" t="inlineStr">
        <is>
          <t>ED201179</t>
        </is>
      </c>
      <c r="B1147" s="56" t="n">
        <v>45352.75</v>
      </c>
      <c r="C1147" t="inlineStr">
        <is>
          <t>Bluestone Memorial Hospital</t>
        </is>
      </c>
      <c r="D1147" t="n">
        <v>16</v>
      </c>
    </row>
    <row r="1148">
      <c r="A1148" t="inlineStr">
        <is>
          <t>ED201180</t>
        </is>
      </c>
      <c r="B1148" s="56" t="n">
        <v>45352.83611111111</v>
      </c>
      <c r="C1148" t="inlineStr">
        <is>
          <t>Cedar Ridge Medical Center</t>
        </is>
      </c>
      <c r="D1148" t="n">
        <v>51</v>
      </c>
    </row>
    <row r="1149">
      <c r="A1149" t="inlineStr">
        <is>
          <t>ED201181</t>
        </is>
      </c>
      <c r="B1149" s="56" t="n">
        <v>45352.88055555556</v>
      </c>
      <c r="C1149" t="inlineStr">
        <is>
          <t>Cedar Ridge Medical Center</t>
        </is>
      </c>
      <c r="D1149" t="n">
        <v>47</v>
      </c>
    </row>
    <row r="1150">
      <c r="A1150" t="inlineStr">
        <is>
          <t>ED201182</t>
        </is>
      </c>
      <c r="B1150" s="56" t="n">
        <v>45352.92291666667</v>
      </c>
      <c r="C1150" t="inlineStr">
        <is>
          <t>Cedar Ridge Medical Center</t>
        </is>
      </c>
      <c r="D1150" t="n">
        <v>8</v>
      </c>
    </row>
    <row r="1151">
      <c r="A1151" t="inlineStr">
        <is>
          <t>ED201183</t>
        </is>
      </c>
      <c r="B1151" s="56" t="n">
        <v>45353.0125</v>
      </c>
      <c r="C1151" t="inlineStr">
        <is>
          <t>Bluestone Memorial Hospital</t>
        </is>
      </c>
      <c r="D1151" t="n">
        <v>31</v>
      </c>
    </row>
    <row r="1152">
      <c r="A1152" t="inlineStr">
        <is>
          <t>ED201184</t>
        </is>
      </c>
      <c r="B1152" s="56" t="n">
        <v>45353.27083333334</v>
      </c>
      <c r="C1152" t="inlineStr">
        <is>
          <t>Cedar Ridge Medical Center</t>
        </is>
      </c>
      <c r="D1152" t="n">
        <v>18</v>
      </c>
    </row>
    <row r="1153">
      <c r="A1153" t="inlineStr">
        <is>
          <t>ED201185</t>
        </is>
      </c>
      <c r="B1153" s="56" t="n">
        <v>45353.38263888889</v>
      </c>
      <c r="C1153" t="inlineStr">
        <is>
          <t>Bluestone Memorial Hospital</t>
        </is>
      </c>
      <c r="D1153" t="n">
        <v>23</v>
      </c>
    </row>
    <row r="1154">
      <c r="A1154" t="inlineStr">
        <is>
          <t>ED201186</t>
        </is>
      </c>
      <c r="B1154" s="56" t="n">
        <v>45353.39652777778</v>
      </c>
      <c r="C1154" t="inlineStr">
        <is>
          <t>Bluestone Memorial Hospital</t>
        </is>
      </c>
      <c r="D1154" t="n">
        <v>107</v>
      </c>
    </row>
    <row r="1155">
      <c r="A1155" t="inlineStr">
        <is>
          <t>ED201187</t>
        </is>
      </c>
      <c r="B1155" s="56" t="n">
        <v>45353.41388888889</v>
      </c>
      <c r="C1155" t="inlineStr">
        <is>
          <t>Bluestone Memorial Hospital</t>
        </is>
      </c>
      <c r="D1155" t="n">
        <v>67</v>
      </c>
    </row>
    <row r="1156">
      <c r="A1156" t="inlineStr">
        <is>
          <t>ED201188</t>
        </is>
      </c>
      <c r="B1156" s="56" t="n">
        <v>45353.41875</v>
      </c>
      <c r="C1156" t="inlineStr">
        <is>
          <t>Ashby Falls Community Hospital</t>
        </is>
      </c>
      <c r="D1156" t="n">
        <v>32</v>
      </c>
    </row>
    <row r="1157">
      <c r="A1157" t="inlineStr">
        <is>
          <t>ED201189</t>
        </is>
      </c>
      <c r="B1157" s="56" t="n">
        <v>45353.4625</v>
      </c>
      <c r="C1157" t="inlineStr">
        <is>
          <t>Bluestone Memorial Hospital</t>
        </is>
      </c>
      <c r="D1157" t="n">
        <v>8</v>
      </c>
    </row>
    <row r="1158">
      <c r="A1158" t="inlineStr">
        <is>
          <t>ED201190</t>
        </is>
      </c>
      <c r="B1158" s="56" t="n">
        <v>45353.47222222222</v>
      </c>
      <c r="C1158" t="inlineStr">
        <is>
          <t>Ashby Falls Community Hospital</t>
        </is>
      </c>
      <c r="D1158" t="n">
        <v>126</v>
      </c>
    </row>
    <row r="1159">
      <c r="A1159" t="inlineStr">
        <is>
          <t>ED201191</t>
        </is>
      </c>
      <c r="B1159" s="56" t="n">
        <v>45353.53194444445</v>
      </c>
      <c r="C1159" t="inlineStr">
        <is>
          <t>Bluestone Memorial Hospital</t>
        </is>
      </c>
      <c r="D1159" t="n">
        <v>50</v>
      </c>
    </row>
    <row r="1160">
      <c r="A1160" t="inlineStr">
        <is>
          <t>ED201192</t>
        </is>
      </c>
      <c r="B1160" s="56" t="n">
        <v>45353.58472222222</v>
      </c>
      <c r="C1160" t="inlineStr">
        <is>
          <t>Bluestone Memorial Hospital</t>
        </is>
      </c>
      <c r="D1160" t="n">
        <v>52</v>
      </c>
    </row>
    <row r="1161">
      <c r="A1161" t="inlineStr">
        <is>
          <t>ED201194</t>
        </is>
      </c>
      <c r="B1161" s="56" t="n">
        <v>45353.61458333334</v>
      </c>
      <c r="C1161" t="inlineStr">
        <is>
          <t>Bluestone Memorial Hospital</t>
        </is>
      </c>
      <c r="D1161" t="n">
        <v>54</v>
      </c>
    </row>
    <row r="1162">
      <c r="A1162" t="inlineStr">
        <is>
          <t>ED201195</t>
        </is>
      </c>
      <c r="B1162" s="56" t="n">
        <v>45353.625</v>
      </c>
      <c r="C1162" t="inlineStr">
        <is>
          <t>Bluestone Memorial Hospital</t>
        </is>
      </c>
      <c r="D1162" t="n">
        <v>22</v>
      </c>
    </row>
    <row r="1163">
      <c r="A1163" t="inlineStr">
        <is>
          <t>ED201196</t>
        </is>
      </c>
      <c r="B1163" s="56" t="n">
        <v>45353.64791666667</v>
      </c>
      <c r="C1163" t="inlineStr">
        <is>
          <t>Bluestone Memorial Hospital</t>
        </is>
      </c>
      <c r="D1163" t="n">
        <v>44</v>
      </c>
    </row>
    <row r="1164">
      <c r="A1164" t="inlineStr">
        <is>
          <t>ED201197</t>
        </is>
      </c>
      <c r="B1164" s="56" t="n">
        <v>45353.72569444445</v>
      </c>
      <c r="C1164" t="inlineStr">
        <is>
          <t>Cedar Ridge Medical Center</t>
        </is>
      </c>
      <c r="D1164" t="n">
        <v>23</v>
      </c>
    </row>
    <row r="1165">
      <c r="A1165" t="inlineStr">
        <is>
          <t>ED201198</t>
        </is>
      </c>
      <c r="B1165" s="56" t="n">
        <v>45353.73541666667</v>
      </c>
      <c r="C1165" t="inlineStr">
        <is>
          <t>Cedar Ridge Medical Center</t>
        </is>
      </c>
      <c r="D1165" t="n">
        <v>78</v>
      </c>
    </row>
    <row r="1166">
      <c r="A1166" t="inlineStr">
        <is>
          <t>ED201199</t>
        </is>
      </c>
      <c r="B1166" s="56" t="n">
        <v>45353.74930555555</v>
      </c>
      <c r="C1166" t="inlineStr">
        <is>
          <t>Bluestone Memorial Hospital</t>
        </is>
      </c>
      <c r="D1166" t="n">
        <v>121</v>
      </c>
    </row>
    <row r="1167">
      <c r="A1167" t="inlineStr">
        <is>
          <t>ED201200</t>
        </is>
      </c>
      <c r="B1167" s="56" t="n">
        <v>45353.80486111111</v>
      </c>
      <c r="C1167" t="inlineStr">
        <is>
          <t>Bluestone Memorial Hospital</t>
        </is>
      </c>
      <c r="D1167" t="n">
        <v>33</v>
      </c>
    </row>
    <row r="1168">
      <c r="A1168" t="inlineStr">
        <is>
          <t>ED201201</t>
        </is>
      </c>
      <c r="B1168" s="56" t="n">
        <v>45353.82986111111</v>
      </c>
      <c r="C1168" t="inlineStr">
        <is>
          <t>Bluestone Memorial Hospital</t>
        </is>
      </c>
      <c r="D1168" t="n">
        <v>25</v>
      </c>
    </row>
    <row r="1169">
      <c r="A1169" t="inlineStr">
        <is>
          <t>ED201202</t>
        </is>
      </c>
      <c r="B1169" s="56" t="n">
        <v>45353.91527777778</v>
      </c>
      <c r="C1169" t="inlineStr">
        <is>
          <t>Cedar Ridge Medical Center</t>
        </is>
      </c>
      <c r="D1169" t="n">
        <v>17</v>
      </c>
    </row>
    <row r="1170">
      <c r="A1170" t="inlineStr">
        <is>
          <t>ED201203</t>
        </is>
      </c>
      <c r="B1170" s="56" t="n">
        <v>45353.96875</v>
      </c>
      <c r="C1170" t="inlineStr">
        <is>
          <t>Bluestone Memorial Hospital</t>
        </is>
      </c>
      <c r="D1170" t="n">
        <v>4</v>
      </c>
    </row>
    <row r="1171">
      <c r="A1171" t="inlineStr">
        <is>
          <t>ED201204</t>
        </is>
      </c>
      <c r="B1171" s="56" t="n">
        <v>45354.22569444445</v>
      </c>
      <c r="C1171" t="inlineStr">
        <is>
          <t>Bluestone Memorial Hospital</t>
        </is>
      </c>
      <c r="D1171" t="n">
        <v>8</v>
      </c>
    </row>
    <row r="1172">
      <c r="A1172" t="inlineStr">
        <is>
          <t>ED201205</t>
        </is>
      </c>
      <c r="B1172" s="56" t="n">
        <v>45354.27430555555</v>
      </c>
      <c r="C1172" t="inlineStr">
        <is>
          <t>Ashby Falls Community Hospital</t>
        </is>
      </c>
      <c r="D1172" t="n">
        <v>23</v>
      </c>
    </row>
    <row r="1173">
      <c r="A1173" t="inlineStr">
        <is>
          <t>ED201206</t>
        </is>
      </c>
      <c r="B1173" s="56" t="n">
        <v>45354.34375</v>
      </c>
      <c r="C1173" t="inlineStr">
        <is>
          <t>Ashby Falls Community Hospital</t>
        </is>
      </c>
      <c r="D1173" t="n">
        <v>30</v>
      </c>
    </row>
    <row r="1174">
      <c r="A1174" t="inlineStr">
        <is>
          <t>ED201207</t>
        </is>
      </c>
      <c r="B1174" s="56" t="n">
        <v>45354.42291666667</v>
      </c>
      <c r="C1174" t="inlineStr">
        <is>
          <t>Bluestone Memorial Hospital</t>
        </is>
      </c>
      <c r="D1174" t="n">
        <v>10</v>
      </c>
    </row>
    <row r="1175">
      <c r="A1175" t="inlineStr">
        <is>
          <t>ED201208</t>
        </is>
      </c>
      <c r="B1175" s="56" t="n">
        <v>45354.51736111111</v>
      </c>
      <c r="C1175" t="inlineStr">
        <is>
          <t>Cedar Ridge Medical Center</t>
        </is>
      </c>
      <c r="D1175" t="n">
        <v>59</v>
      </c>
    </row>
    <row r="1176">
      <c r="A1176" t="inlineStr">
        <is>
          <t>ED201209</t>
        </is>
      </c>
      <c r="B1176" s="56" t="n">
        <v>45354.53333333333</v>
      </c>
      <c r="C1176" t="inlineStr">
        <is>
          <t>Ashby Falls Community Hospital</t>
        </is>
      </c>
      <c r="D1176" t="n">
        <v>62</v>
      </c>
    </row>
    <row r="1177">
      <c r="A1177" t="inlineStr">
        <is>
          <t>ED201211</t>
        </is>
      </c>
      <c r="B1177" s="56" t="n">
        <v>45354.63263888889</v>
      </c>
      <c r="C1177" t="inlineStr">
        <is>
          <t>Bluestone Memorial Hospital</t>
        </is>
      </c>
      <c r="D1177" t="n">
        <v>70</v>
      </c>
    </row>
    <row r="1178">
      <c r="A1178" t="inlineStr">
        <is>
          <t>ED201212</t>
        </is>
      </c>
      <c r="B1178" s="56" t="n">
        <v>45354.67430555556</v>
      </c>
      <c r="C1178" t="inlineStr">
        <is>
          <t>Bluestone Memorial Hospital</t>
        </is>
      </c>
      <c r="D1178" t="n">
        <v>28</v>
      </c>
    </row>
    <row r="1179">
      <c r="A1179" t="inlineStr">
        <is>
          <t>ED201213</t>
        </is>
      </c>
      <c r="B1179" s="56" t="n">
        <v>45354.68472222222</v>
      </c>
      <c r="C1179" t="inlineStr">
        <is>
          <t>Bluestone Memorial Hospital</t>
        </is>
      </c>
      <c r="D1179" t="n">
        <v>80</v>
      </c>
    </row>
    <row r="1180">
      <c r="A1180" t="inlineStr">
        <is>
          <t>ED201214</t>
        </is>
      </c>
      <c r="B1180" s="56" t="n">
        <v>45354.78611111111</v>
      </c>
      <c r="C1180" t="inlineStr">
        <is>
          <t>Bluestone Memorial Hospital</t>
        </is>
      </c>
      <c r="D1180" t="n">
        <v>9</v>
      </c>
    </row>
    <row r="1181">
      <c r="A1181" t="inlineStr">
        <is>
          <t>ED201215</t>
        </is>
      </c>
      <c r="B1181" s="56" t="n">
        <v>45354.81180555555</v>
      </c>
      <c r="C1181" t="inlineStr">
        <is>
          <t>Bluestone Memorial Hospital</t>
        </is>
      </c>
      <c r="D1181" t="n">
        <v>22</v>
      </c>
    </row>
    <row r="1182">
      <c r="A1182" t="inlineStr">
        <is>
          <t>ED201216</t>
        </is>
      </c>
      <c r="B1182" s="56" t="n">
        <v>45354.82916666667</v>
      </c>
      <c r="C1182" t="inlineStr">
        <is>
          <t>Bluestone Memorial Hospital</t>
        </is>
      </c>
      <c r="D1182" t="n">
        <v>67</v>
      </c>
    </row>
    <row r="1183">
      <c r="A1183" t="inlineStr">
        <is>
          <t>ED201217</t>
        </is>
      </c>
      <c r="B1183" s="56" t="n">
        <v>45354.85277777778</v>
      </c>
      <c r="C1183" t="inlineStr">
        <is>
          <t>Cedar Ridge Medical Center</t>
        </is>
      </c>
      <c r="D1183" t="n">
        <v>15</v>
      </c>
    </row>
    <row r="1184">
      <c r="A1184" t="inlineStr">
        <is>
          <t>ED201219</t>
        </is>
      </c>
      <c r="B1184" s="56" t="n">
        <v>45354.94513888889</v>
      </c>
      <c r="C1184" t="inlineStr">
        <is>
          <t>Bluestone Memorial Hospital</t>
        </is>
      </c>
      <c r="D1184" t="n">
        <v>9</v>
      </c>
    </row>
    <row r="1185">
      <c r="A1185" t="inlineStr">
        <is>
          <t>ED201220</t>
        </is>
      </c>
      <c r="B1185" s="56" t="n">
        <v>45355.03680555556</v>
      </c>
      <c r="C1185" t="inlineStr">
        <is>
          <t>Bluestone Memorial Hospital</t>
        </is>
      </c>
      <c r="D1185" t="n">
        <v>22</v>
      </c>
    </row>
    <row r="1186">
      <c r="A1186" t="inlineStr">
        <is>
          <t>ED201221</t>
        </is>
      </c>
      <c r="B1186" s="56" t="n">
        <v>45355.04722222222</v>
      </c>
      <c r="C1186" t="inlineStr">
        <is>
          <t>Cedar Ridge Medical Center</t>
        </is>
      </c>
      <c r="D1186" t="n">
        <v>19</v>
      </c>
    </row>
    <row r="1187">
      <c r="A1187" t="inlineStr">
        <is>
          <t>ED201222</t>
        </is>
      </c>
      <c r="B1187" s="56" t="n">
        <v>45355.26041666666</v>
      </c>
      <c r="C1187" t="inlineStr">
        <is>
          <t>Cedar Ridge Medical Center</t>
        </is>
      </c>
      <c r="D1187" t="n">
        <v>49</v>
      </c>
    </row>
    <row r="1188">
      <c r="A1188" t="inlineStr">
        <is>
          <t>ED201223</t>
        </is>
      </c>
      <c r="B1188" s="56" t="n">
        <v>45355.27847222222</v>
      </c>
      <c r="C1188" t="inlineStr">
        <is>
          <t>Bluestone Memorial Hospital</t>
        </is>
      </c>
      <c r="D1188" t="n">
        <v>45</v>
      </c>
    </row>
    <row r="1189">
      <c r="A1189" t="inlineStr">
        <is>
          <t>ED201224</t>
        </is>
      </c>
      <c r="B1189" s="56" t="n">
        <v>45355.29166666666</v>
      </c>
      <c r="C1189" t="inlineStr">
        <is>
          <t>Bluestone Memorial Hospital</t>
        </is>
      </c>
      <c r="D1189" t="n">
        <v>71</v>
      </c>
    </row>
    <row r="1190">
      <c r="A1190" t="inlineStr">
        <is>
          <t>ED201225</t>
        </is>
      </c>
      <c r="B1190" s="56" t="n">
        <v>45355.32430555556</v>
      </c>
      <c r="C1190" t="inlineStr">
        <is>
          <t>Bluestone Memorial Hospital</t>
        </is>
      </c>
      <c r="D1190" t="n">
        <v>9</v>
      </c>
    </row>
    <row r="1191">
      <c r="A1191" t="inlineStr">
        <is>
          <t>ED201226</t>
        </is>
      </c>
      <c r="B1191" s="56" t="n">
        <v>45355.35833333333</v>
      </c>
      <c r="C1191" t="inlineStr">
        <is>
          <t>Bluestone Memorial Hospital</t>
        </is>
      </c>
      <c r="D1191" t="n">
        <v>37</v>
      </c>
    </row>
    <row r="1192">
      <c r="A1192" t="inlineStr">
        <is>
          <t>ED201227</t>
        </is>
      </c>
      <c r="B1192" s="56" t="n">
        <v>45355.40625</v>
      </c>
      <c r="C1192" t="inlineStr">
        <is>
          <t>Ashby Falls Community Hospital</t>
        </is>
      </c>
      <c r="D1192" t="n">
        <v>53</v>
      </c>
    </row>
    <row r="1193">
      <c r="A1193" t="inlineStr">
        <is>
          <t>ED201228</t>
        </is>
      </c>
      <c r="B1193" s="56" t="n">
        <v>45355.42777777778</v>
      </c>
      <c r="C1193" t="inlineStr">
        <is>
          <t>Bluestone Memorial Hospital</t>
        </is>
      </c>
      <c r="D1193" t="n">
        <v>73</v>
      </c>
    </row>
    <row r="1194">
      <c r="A1194" t="inlineStr">
        <is>
          <t>ED201229</t>
        </is>
      </c>
      <c r="B1194" s="56" t="n">
        <v>45355.4375</v>
      </c>
      <c r="C1194" t="inlineStr">
        <is>
          <t>Bluestone Memorial Hospital</t>
        </is>
      </c>
      <c r="D1194" t="n">
        <v>80</v>
      </c>
    </row>
    <row r="1195">
      <c r="A1195" t="inlineStr">
        <is>
          <t>ED201230</t>
        </is>
      </c>
      <c r="B1195" s="56" t="n">
        <v>45355.44097222222</v>
      </c>
      <c r="C1195" t="inlineStr">
        <is>
          <t>Bluestone Memorial Hospital</t>
        </is>
      </c>
      <c r="D1195" t="n">
        <v>16</v>
      </c>
    </row>
    <row r="1196">
      <c r="A1196" t="inlineStr">
        <is>
          <t>ED201231</t>
        </is>
      </c>
      <c r="B1196" s="56" t="n">
        <v>45355.46736111111</v>
      </c>
      <c r="C1196" t="inlineStr">
        <is>
          <t>Cedar Ridge Medical Center</t>
        </is>
      </c>
      <c r="D1196" t="n">
        <v>50</v>
      </c>
    </row>
    <row r="1197">
      <c r="A1197" t="inlineStr">
        <is>
          <t>ED201232</t>
        </is>
      </c>
      <c r="B1197" s="56" t="n">
        <v>45355.49027777778</v>
      </c>
      <c r="C1197" t="inlineStr">
        <is>
          <t>Bluestone Memorial Hospital</t>
        </is>
      </c>
      <c r="D1197" t="n">
        <v>18</v>
      </c>
    </row>
    <row r="1198">
      <c r="A1198" t="inlineStr">
        <is>
          <t>ED201233</t>
        </is>
      </c>
      <c r="B1198" s="56" t="n">
        <v>45355.50972222222</v>
      </c>
      <c r="C1198" t="inlineStr">
        <is>
          <t>Cedar Ridge Medical Center</t>
        </is>
      </c>
      <c r="D1198" t="n">
        <v>57</v>
      </c>
    </row>
    <row r="1199">
      <c r="A1199" t="inlineStr">
        <is>
          <t>ED201234</t>
        </is>
      </c>
      <c r="B1199" s="56" t="n">
        <v>45355.53194444445</v>
      </c>
      <c r="C1199" t="inlineStr">
        <is>
          <t>Ashby Falls Community Hospital</t>
        </is>
      </c>
      <c r="D1199" t="n">
        <v>32</v>
      </c>
    </row>
    <row r="1200">
      <c r="A1200" t="inlineStr">
        <is>
          <t>ED201235</t>
        </is>
      </c>
      <c r="B1200" s="56" t="n">
        <v>45355.56527777778</v>
      </c>
      <c r="C1200" t="inlineStr">
        <is>
          <t>Bluestone Memorial Hospital</t>
        </is>
      </c>
      <c r="D1200" t="n">
        <v>63</v>
      </c>
    </row>
    <row r="1201">
      <c r="A1201" t="inlineStr">
        <is>
          <t>ED201236</t>
        </is>
      </c>
      <c r="B1201" s="56" t="n">
        <v>45355.58888888889</v>
      </c>
      <c r="C1201" t="inlineStr">
        <is>
          <t>Bluestone Memorial Hospital</t>
        </is>
      </c>
      <c r="D1201" t="n">
        <v>63</v>
      </c>
    </row>
    <row r="1202">
      <c r="A1202" t="inlineStr">
        <is>
          <t>ED201237</t>
        </is>
      </c>
      <c r="B1202" s="56" t="n">
        <v>45355.66111111111</v>
      </c>
      <c r="C1202" t="inlineStr">
        <is>
          <t>Cedar Ridge Medical Center</t>
        </is>
      </c>
      <c r="D1202" t="n">
        <v>145</v>
      </c>
    </row>
    <row r="1203">
      <c r="A1203" t="inlineStr">
        <is>
          <t>ED201238</t>
        </is>
      </c>
      <c r="B1203" s="56" t="n">
        <v>45355.78611111111</v>
      </c>
      <c r="C1203" t="inlineStr">
        <is>
          <t>Bluestone Memorial Hospital</t>
        </is>
      </c>
      <c r="D1203" t="n">
        <v>12</v>
      </c>
    </row>
    <row r="1204">
      <c r="A1204" t="inlineStr">
        <is>
          <t>ED201239</t>
        </is>
      </c>
      <c r="B1204" s="56" t="n">
        <v>45355.8</v>
      </c>
      <c r="C1204" t="inlineStr">
        <is>
          <t>Bluestone Memorial Hospital</t>
        </is>
      </c>
      <c r="D1204" t="n">
        <v>25</v>
      </c>
    </row>
    <row r="1205">
      <c r="A1205" t="inlineStr">
        <is>
          <t>ED201240</t>
        </is>
      </c>
      <c r="B1205" s="56" t="n">
        <v>45355.81944444445</v>
      </c>
      <c r="C1205" t="inlineStr">
        <is>
          <t>Bluestone Memorial Hospital</t>
        </is>
      </c>
      <c r="D1205" t="n">
        <v>58</v>
      </c>
    </row>
    <row r="1206">
      <c r="A1206" t="inlineStr">
        <is>
          <t>ED201241</t>
        </is>
      </c>
      <c r="B1206" s="56" t="n">
        <v>45355.84861111111</v>
      </c>
      <c r="C1206" t="inlineStr">
        <is>
          <t>Bluestone Memorial Hospital</t>
        </is>
      </c>
      <c r="D1206" t="n">
        <v>45</v>
      </c>
    </row>
    <row r="1207">
      <c r="A1207" t="inlineStr">
        <is>
          <t>ED201242</t>
        </is>
      </c>
      <c r="B1207" s="56" t="n">
        <v>45355.86805555555</v>
      </c>
      <c r="C1207" t="inlineStr">
        <is>
          <t>Bluestone Memorial Hospital</t>
        </is>
      </c>
      <c r="D1207" t="n">
        <v>17</v>
      </c>
    </row>
    <row r="1208">
      <c r="A1208" t="inlineStr">
        <is>
          <t>ED201243</t>
        </is>
      </c>
      <c r="B1208" s="56" t="n">
        <v>45355.87986111111</v>
      </c>
      <c r="C1208" t="inlineStr">
        <is>
          <t>Bluestone Memorial Hospital</t>
        </is>
      </c>
      <c r="D1208" t="n">
        <v>79</v>
      </c>
    </row>
    <row r="1209">
      <c r="A1209" t="inlineStr">
        <is>
          <t>ED201244</t>
        </is>
      </c>
      <c r="B1209" s="56" t="n">
        <v>45355.90208333333</v>
      </c>
      <c r="C1209" t="inlineStr">
        <is>
          <t>Bluestone Memorial Hospital</t>
        </is>
      </c>
      <c r="D1209" t="n">
        <v>14</v>
      </c>
    </row>
    <row r="1210">
      <c r="A1210" t="inlineStr">
        <is>
          <t>ED201245</t>
        </is>
      </c>
      <c r="B1210" s="56" t="n">
        <v>45356.05972222222</v>
      </c>
      <c r="C1210" t="inlineStr">
        <is>
          <t>Bluestone Memorial Hospital</t>
        </is>
      </c>
      <c r="D1210" t="n">
        <v>13</v>
      </c>
    </row>
    <row r="1211">
      <c r="A1211" t="inlineStr">
        <is>
          <t>ED201246</t>
        </is>
      </c>
      <c r="B1211" s="56" t="n">
        <v>45356.2875</v>
      </c>
      <c r="C1211" t="inlineStr">
        <is>
          <t>Bluestone Memorial Hospital</t>
        </is>
      </c>
      <c r="D1211" t="n">
        <v>69</v>
      </c>
    </row>
    <row r="1212">
      <c r="A1212" t="inlineStr">
        <is>
          <t>ED201247</t>
        </is>
      </c>
      <c r="B1212" s="56" t="n">
        <v>45356.33541666667</v>
      </c>
      <c r="C1212" t="inlineStr">
        <is>
          <t>Bluestone Memorial Hospital</t>
        </is>
      </c>
      <c r="D1212" t="n">
        <v>56</v>
      </c>
    </row>
    <row r="1213">
      <c r="A1213" t="inlineStr">
        <is>
          <t>ED201248</t>
        </is>
      </c>
      <c r="B1213" s="56" t="n">
        <v>45356.43333333333</v>
      </c>
      <c r="C1213" t="inlineStr">
        <is>
          <t>Cedar Ridge Medical Center</t>
        </is>
      </c>
      <c r="D1213" t="n">
        <v>16</v>
      </c>
    </row>
    <row r="1214">
      <c r="A1214" t="inlineStr">
        <is>
          <t>ED201249</t>
        </is>
      </c>
      <c r="B1214" s="56" t="n">
        <v>45356.53125</v>
      </c>
      <c r="C1214" t="inlineStr">
        <is>
          <t>Cedar Ridge Medical Center</t>
        </is>
      </c>
      <c r="D1214" t="n">
        <v>49</v>
      </c>
    </row>
    <row r="1215">
      <c r="A1215" t="inlineStr">
        <is>
          <t>ED201250</t>
        </is>
      </c>
      <c r="B1215" s="56" t="n">
        <v>45356.56180555555</v>
      </c>
      <c r="C1215" t="inlineStr">
        <is>
          <t>Ashby Falls Community Hospital</t>
        </is>
      </c>
      <c r="D1215" t="n">
        <v>28</v>
      </c>
    </row>
    <row r="1216">
      <c r="A1216" t="inlineStr">
        <is>
          <t>ED201251</t>
        </is>
      </c>
      <c r="B1216" s="56" t="n">
        <v>45356.56944444445</v>
      </c>
      <c r="C1216" t="inlineStr">
        <is>
          <t>Bluestone Memorial Hospital</t>
        </is>
      </c>
      <c r="D1216" t="n">
        <v>60</v>
      </c>
    </row>
    <row r="1217">
      <c r="A1217" t="inlineStr">
        <is>
          <t>ED201252</t>
        </is>
      </c>
      <c r="B1217" s="56" t="n">
        <v>45356.69444444445</v>
      </c>
      <c r="C1217" t="inlineStr">
        <is>
          <t>Bluestone Memorial Hospital</t>
        </is>
      </c>
      <c r="D1217" t="n">
        <v>134</v>
      </c>
    </row>
    <row r="1218">
      <c r="A1218" t="inlineStr">
        <is>
          <t>ED201253</t>
        </is>
      </c>
      <c r="B1218" s="56" t="n">
        <v>45356.70694444444</v>
      </c>
      <c r="C1218" t="inlineStr">
        <is>
          <t>Bluestone Memorial Hospital</t>
        </is>
      </c>
      <c r="D1218" t="n">
        <v>31</v>
      </c>
    </row>
    <row r="1219">
      <c r="A1219" t="inlineStr">
        <is>
          <t>ED201254</t>
        </is>
      </c>
      <c r="B1219" s="56" t="n">
        <v>45356.77638888889</v>
      </c>
      <c r="C1219" t="inlineStr">
        <is>
          <t>Bluestone Memorial Hospital</t>
        </is>
      </c>
      <c r="D1219" t="n">
        <v>24</v>
      </c>
    </row>
    <row r="1220">
      <c r="A1220" t="inlineStr">
        <is>
          <t>ED201255</t>
        </is>
      </c>
      <c r="B1220" s="56" t="n">
        <v>45356.84027777778</v>
      </c>
      <c r="C1220" t="inlineStr">
        <is>
          <t>Bluestone Memorial Hospital</t>
        </is>
      </c>
      <c r="D1220" t="n">
        <v>8</v>
      </c>
    </row>
    <row r="1221">
      <c r="A1221" t="inlineStr">
        <is>
          <t>ED201256</t>
        </is>
      </c>
      <c r="B1221" s="56" t="n">
        <v>45356.85625</v>
      </c>
      <c r="C1221" t="inlineStr">
        <is>
          <t>Bluestone Memorial Hospital</t>
        </is>
      </c>
      <c r="D1221" t="n">
        <v>1</v>
      </c>
    </row>
    <row r="1222">
      <c r="A1222" t="inlineStr">
        <is>
          <t>ED201257</t>
        </is>
      </c>
      <c r="B1222" s="56" t="n">
        <v>45356.90486111111</v>
      </c>
      <c r="C1222" t="inlineStr">
        <is>
          <t>Ashby Falls Community Hospital</t>
        </is>
      </c>
      <c r="D1222" t="n">
        <v>18</v>
      </c>
    </row>
    <row r="1223">
      <c r="A1223" t="inlineStr">
        <is>
          <t>ED201258</t>
        </is>
      </c>
      <c r="B1223" s="56" t="n">
        <v>45356.91180555556</v>
      </c>
      <c r="C1223" t="inlineStr">
        <is>
          <t>Bluestone Memorial Hospital</t>
        </is>
      </c>
      <c r="D1223" t="n">
        <v>61</v>
      </c>
    </row>
    <row r="1224">
      <c r="A1224" t="inlineStr">
        <is>
          <t>ED201259</t>
        </is>
      </c>
      <c r="B1224" s="56" t="n">
        <v>45356.93541666667</v>
      </c>
      <c r="C1224" t="inlineStr">
        <is>
          <t>Cedar Ridge Medical Center</t>
        </is>
      </c>
      <c r="D1224" t="n">
        <v>156</v>
      </c>
    </row>
    <row r="1225">
      <c r="A1225" t="inlineStr">
        <is>
          <t>ED201260</t>
        </is>
      </c>
      <c r="B1225" s="56" t="n">
        <v>45357.12708333333</v>
      </c>
      <c r="C1225" t="inlineStr">
        <is>
          <t>Bluestone Memorial Hospital</t>
        </is>
      </c>
      <c r="D1225" t="n">
        <v>16</v>
      </c>
    </row>
    <row r="1226">
      <c r="A1226" t="inlineStr">
        <is>
          <t>ED201261</t>
        </is>
      </c>
      <c r="B1226" s="56" t="n">
        <v>45357.14166666667</v>
      </c>
      <c r="C1226" t="inlineStr">
        <is>
          <t>Bluestone Memorial Hospital</t>
        </is>
      </c>
      <c r="D1226" t="n">
        <v>15</v>
      </c>
    </row>
    <row r="1227">
      <c r="A1227" t="inlineStr">
        <is>
          <t>ED201262</t>
        </is>
      </c>
      <c r="B1227" s="56" t="n">
        <v>45357.16805555556</v>
      </c>
      <c r="C1227" t="inlineStr">
        <is>
          <t>Cedar Ridge Medical Center</t>
        </is>
      </c>
      <c r="D1227" t="n">
        <v>14</v>
      </c>
    </row>
    <row r="1228">
      <c r="A1228" t="inlineStr">
        <is>
          <t>ED201263</t>
        </is>
      </c>
      <c r="B1228" s="56" t="n">
        <v>45357.19305555556</v>
      </c>
      <c r="C1228" t="inlineStr">
        <is>
          <t>Bluestone Memorial Hospital</t>
        </is>
      </c>
      <c r="D1228" t="n">
        <v>14</v>
      </c>
    </row>
    <row r="1229">
      <c r="A1229" t="inlineStr">
        <is>
          <t>ED201264</t>
        </is>
      </c>
      <c r="B1229" s="56" t="n">
        <v>45357.225</v>
      </c>
      <c r="C1229" t="inlineStr">
        <is>
          <t>Bluestone Memorial Hospital</t>
        </is>
      </c>
      <c r="D1229" t="n">
        <v>16</v>
      </c>
    </row>
    <row r="1230">
      <c r="A1230" t="inlineStr">
        <is>
          <t>ED201265</t>
        </is>
      </c>
      <c r="B1230" s="56" t="n">
        <v>45357.26180555556</v>
      </c>
      <c r="C1230" t="inlineStr">
        <is>
          <t>Bluestone Memorial Hospital</t>
        </is>
      </c>
      <c r="D1230" t="n">
        <v>23</v>
      </c>
    </row>
    <row r="1231">
      <c r="A1231" t="inlineStr">
        <is>
          <t>ED201266</t>
        </is>
      </c>
      <c r="B1231" s="56" t="n">
        <v>45357.29930555556</v>
      </c>
      <c r="C1231" t="inlineStr">
        <is>
          <t>Bluestone Memorial Hospital</t>
        </is>
      </c>
      <c r="D1231" t="n">
        <v>11</v>
      </c>
    </row>
    <row r="1232">
      <c r="A1232" t="inlineStr">
        <is>
          <t>ED201267</t>
        </is>
      </c>
      <c r="B1232" s="56" t="n">
        <v>45357.37638888889</v>
      </c>
      <c r="C1232" t="inlineStr">
        <is>
          <t>Bluestone Memorial Hospital</t>
        </is>
      </c>
      <c r="D1232" t="n">
        <v>37</v>
      </c>
    </row>
    <row r="1233">
      <c r="A1233" t="inlineStr">
        <is>
          <t>ED201268</t>
        </is>
      </c>
      <c r="B1233" s="56" t="n">
        <v>45357.39513888889</v>
      </c>
      <c r="C1233" t="inlineStr">
        <is>
          <t>Bluestone Memorial Hospital</t>
        </is>
      </c>
      <c r="D1233" t="n">
        <v>7</v>
      </c>
    </row>
    <row r="1234">
      <c r="A1234" t="inlineStr">
        <is>
          <t>ED201269</t>
        </is>
      </c>
      <c r="B1234" s="56" t="n">
        <v>45357.43194444444</v>
      </c>
      <c r="C1234" t="inlineStr">
        <is>
          <t>Bluestone Memorial Hospital</t>
        </is>
      </c>
      <c r="D1234" t="n">
        <v>106</v>
      </c>
    </row>
    <row r="1235">
      <c r="A1235" t="inlineStr">
        <is>
          <t>ED201270</t>
        </is>
      </c>
      <c r="B1235" s="56" t="n">
        <v>45357.46736111111</v>
      </c>
      <c r="C1235" t="inlineStr">
        <is>
          <t>Bluestone Memorial Hospital</t>
        </is>
      </c>
      <c r="D1235" t="n">
        <v>83</v>
      </c>
    </row>
    <row r="1236">
      <c r="A1236" t="inlineStr">
        <is>
          <t>ED201271</t>
        </is>
      </c>
      <c r="B1236" s="56" t="n">
        <v>45357.5</v>
      </c>
      <c r="C1236" t="inlineStr">
        <is>
          <t>Ashby Falls Community Hospital</t>
        </is>
      </c>
      <c r="D1236" t="n">
        <v>31</v>
      </c>
    </row>
    <row r="1237">
      <c r="A1237" t="inlineStr">
        <is>
          <t>ED201272</t>
        </is>
      </c>
      <c r="B1237" s="56" t="n">
        <v>45357.64583333334</v>
      </c>
      <c r="C1237" t="inlineStr">
        <is>
          <t>Bluestone Memorial Hospital</t>
        </is>
      </c>
      <c r="D1237" t="n">
        <v>59</v>
      </c>
    </row>
    <row r="1238">
      <c r="A1238" t="inlineStr">
        <is>
          <t>ED201273</t>
        </is>
      </c>
      <c r="B1238" s="56" t="n">
        <v>45357.66180555556</v>
      </c>
      <c r="C1238" t="inlineStr">
        <is>
          <t>Bluestone Memorial Hospital</t>
        </is>
      </c>
      <c r="D1238" t="n">
        <v>93</v>
      </c>
    </row>
    <row r="1239">
      <c r="A1239" t="inlineStr">
        <is>
          <t>ED201274</t>
        </is>
      </c>
      <c r="B1239" s="56" t="n">
        <v>45357.66527777778</v>
      </c>
      <c r="C1239" t="inlineStr">
        <is>
          <t>Bluestone Memorial Hospital</t>
        </is>
      </c>
      <c r="D1239" t="n">
        <v>56</v>
      </c>
    </row>
    <row r="1240">
      <c r="A1240" t="inlineStr">
        <is>
          <t>ED201275</t>
        </is>
      </c>
      <c r="B1240" s="56" t="n">
        <v>45357.69166666667</v>
      </c>
      <c r="C1240" t="inlineStr">
        <is>
          <t>Cedar Ridge Medical Center</t>
        </is>
      </c>
      <c r="D1240" t="n">
        <v>66</v>
      </c>
    </row>
    <row r="1241">
      <c r="A1241" t="inlineStr">
        <is>
          <t>ED201276</t>
        </is>
      </c>
      <c r="B1241" s="56" t="n">
        <v>45357.73263888889</v>
      </c>
      <c r="C1241" t="inlineStr">
        <is>
          <t>Cedar Ridge Medical Center</t>
        </is>
      </c>
      <c r="D1241" t="n">
        <v>28</v>
      </c>
    </row>
    <row r="1242">
      <c r="A1242" t="inlineStr">
        <is>
          <t>ED201277</t>
        </is>
      </c>
      <c r="B1242" s="56" t="n">
        <v>45357.73402777778</v>
      </c>
      <c r="C1242" t="inlineStr">
        <is>
          <t>Bluestone Memorial Hospital</t>
        </is>
      </c>
      <c r="D1242" t="n">
        <v>103</v>
      </c>
    </row>
    <row r="1243">
      <c r="A1243" t="inlineStr">
        <is>
          <t>ED201278</t>
        </is>
      </c>
      <c r="B1243" s="56" t="n">
        <v>45357.76597222222</v>
      </c>
      <c r="C1243" t="inlineStr">
        <is>
          <t>Bluestone Memorial Hospital</t>
        </is>
      </c>
      <c r="D1243" t="n">
        <v>35</v>
      </c>
    </row>
    <row r="1244">
      <c r="A1244" t="inlineStr">
        <is>
          <t>ED201279</t>
        </is>
      </c>
      <c r="B1244" s="56" t="n">
        <v>45357.77361111111</v>
      </c>
      <c r="C1244" t="inlineStr">
        <is>
          <t>Bluestone Memorial Hospital</t>
        </is>
      </c>
      <c r="D1244" t="n">
        <v>44</v>
      </c>
    </row>
    <row r="1245">
      <c r="A1245" t="inlineStr">
        <is>
          <t>ED201280</t>
        </is>
      </c>
      <c r="B1245" s="56" t="n">
        <v>45357.80069444444</v>
      </c>
      <c r="C1245" t="inlineStr">
        <is>
          <t>Bluestone Memorial Hospital</t>
        </is>
      </c>
      <c r="D1245" t="n">
        <v>6</v>
      </c>
    </row>
    <row r="1246">
      <c r="A1246" t="inlineStr">
        <is>
          <t>ED201281</t>
        </is>
      </c>
      <c r="B1246" s="56" t="n">
        <v>45357.86180555556</v>
      </c>
      <c r="C1246" t="inlineStr">
        <is>
          <t>Cedar Ridge Medical Center</t>
        </is>
      </c>
      <c r="D1246" t="n">
        <v>118</v>
      </c>
    </row>
    <row r="1247">
      <c r="A1247" t="inlineStr">
        <is>
          <t>ED201282</t>
        </is>
      </c>
      <c r="B1247" s="56" t="n">
        <v>45357.90972222222</v>
      </c>
      <c r="C1247" t="inlineStr">
        <is>
          <t>Ashby Falls Community Hospital</t>
        </is>
      </c>
      <c r="D1247" t="n">
        <v>49</v>
      </c>
    </row>
    <row r="1248">
      <c r="A1248" t="inlineStr">
        <is>
          <t>ED201283</t>
        </is>
      </c>
      <c r="B1248" s="56" t="n">
        <v>45357.91527777778</v>
      </c>
      <c r="C1248" t="inlineStr">
        <is>
          <t>Ashby Falls Community Hospital</t>
        </is>
      </c>
      <c r="D1248" t="n">
        <v>88</v>
      </c>
    </row>
    <row r="1249">
      <c r="A1249" t="inlineStr">
        <is>
          <t>ED201284</t>
        </is>
      </c>
      <c r="B1249" s="56" t="n">
        <v>45358.01458333333</v>
      </c>
      <c r="C1249" t="inlineStr">
        <is>
          <t>Bluestone Memorial Hospital</t>
        </is>
      </c>
      <c r="D1249" t="n">
        <v>29</v>
      </c>
    </row>
    <row r="1250">
      <c r="A1250" t="inlineStr">
        <is>
          <t>ED201285</t>
        </is>
      </c>
      <c r="B1250" s="56" t="n">
        <v>45358.05902777778</v>
      </c>
      <c r="C1250" t="inlineStr">
        <is>
          <t>Bluestone Memorial Hospital</t>
        </is>
      </c>
      <c r="D1250" t="n">
        <v>28</v>
      </c>
    </row>
    <row r="1251">
      <c r="A1251" t="inlineStr">
        <is>
          <t>ED201286</t>
        </is>
      </c>
      <c r="B1251" s="56" t="n">
        <v>45358.09375</v>
      </c>
      <c r="C1251" t="inlineStr">
        <is>
          <t>Bluestone Memorial Hospital</t>
        </is>
      </c>
      <c r="D1251" t="n">
        <v>33</v>
      </c>
    </row>
    <row r="1252">
      <c r="A1252" t="inlineStr">
        <is>
          <t>ED201287</t>
        </is>
      </c>
      <c r="B1252" s="56" t="n">
        <v>45358.3</v>
      </c>
      <c r="C1252" t="inlineStr">
        <is>
          <t>Bluestone Memorial Hospital</t>
        </is>
      </c>
      <c r="D1252" t="n">
        <v>32</v>
      </c>
    </row>
    <row r="1253">
      <c r="A1253" t="inlineStr">
        <is>
          <t>ED201288</t>
        </is>
      </c>
      <c r="B1253" s="56" t="n">
        <v>45358.35</v>
      </c>
      <c r="C1253" t="inlineStr">
        <is>
          <t>Bluestone Memorial Hospital</t>
        </is>
      </c>
      <c r="D1253" t="n">
        <v>13</v>
      </c>
    </row>
    <row r="1254">
      <c r="A1254" t="inlineStr">
        <is>
          <t>ED201289</t>
        </is>
      </c>
      <c r="B1254" s="56" t="n">
        <v>45358.35486111111</v>
      </c>
      <c r="C1254" t="inlineStr">
        <is>
          <t>Cedar Ridge Medical Center</t>
        </is>
      </c>
      <c r="D1254" t="n">
        <v>3</v>
      </c>
    </row>
    <row r="1255">
      <c r="A1255" t="inlineStr">
        <is>
          <t>ED201290</t>
        </is>
      </c>
      <c r="B1255" s="56" t="n">
        <v>45358.35625</v>
      </c>
      <c r="C1255" t="inlineStr">
        <is>
          <t>Bluestone Memorial Hospital</t>
        </is>
      </c>
      <c r="D1255" t="n">
        <v>30</v>
      </c>
    </row>
    <row r="1256">
      <c r="A1256" t="inlineStr">
        <is>
          <t>ED201291</t>
        </is>
      </c>
      <c r="B1256" s="56" t="n">
        <v>45358.41180555556</v>
      </c>
      <c r="C1256" t="inlineStr">
        <is>
          <t>Bluestone Memorial Hospital</t>
        </is>
      </c>
      <c r="D1256" t="n">
        <v>40</v>
      </c>
    </row>
    <row r="1257">
      <c r="A1257" t="inlineStr">
        <is>
          <t>ED201292</t>
        </is>
      </c>
      <c r="B1257" s="56" t="n">
        <v>45358.42986111111</v>
      </c>
      <c r="C1257" t="inlineStr">
        <is>
          <t>Bluestone Memorial Hospital</t>
        </is>
      </c>
      <c r="D1257" t="n">
        <v>21</v>
      </c>
    </row>
    <row r="1258">
      <c r="A1258" t="inlineStr">
        <is>
          <t>ED201293</t>
        </is>
      </c>
      <c r="B1258" s="56" t="n">
        <v>45358.45</v>
      </c>
      <c r="C1258" t="inlineStr">
        <is>
          <t>Bluestone Memorial Hospital</t>
        </is>
      </c>
      <c r="D1258" t="n">
        <v>72</v>
      </c>
    </row>
    <row r="1259">
      <c r="A1259" t="inlineStr">
        <is>
          <t>ED201294</t>
        </is>
      </c>
      <c r="B1259" s="56" t="n">
        <v>45358.47291666667</v>
      </c>
      <c r="C1259" t="inlineStr">
        <is>
          <t>Bluestone Memorial Hospital</t>
        </is>
      </c>
      <c r="D1259" t="n">
        <v>36</v>
      </c>
    </row>
    <row r="1260">
      <c r="A1260" t="inlineStr">
        <is>
          <t>ED201295</t>
        </is>
      </c>
      <c r="B1260" s="56" t="n">
        <v>45358.50972222222</v>
      </c>
      <c r="C1260" t="inlineStr">
        <is>
          <t>Bluestone Memorial Hospital</t>
        </is>
      </c>
      <c r="D1260" t="n">
        <v>41</v>
      </c>
    </row>
    <row r="1261">
      <c r="A1261" t="inlineStr">
        <is>
          <t>ED201296</t>
        </is>
      </c>
      <c r="B1261" s="56" t="n">
        <v>45358.55277777778</v>
      </c>
      <c r="C1261" t="inlineStr">
        <is>
          <t>Ashby Falls Community Hospital</t>
        </is>
      </c>
      <c r="D1261" t="n">
        <v>69</v>
      </c>
    </row>
    <row r="1262">
      <c r="A1262" t="inlineStr">
        <is>
          <t>ED201297</t>
        </is>
      </c>
      <c r="B1262" s="56" t="n">
        <v>45358.60069444445</v>
      </c>
      <c r="C1262" t="inlineStr">
        <is>
          <t>Bluestone Memorial Hospital</t>
        </is>
      </c>
      <c r="D1262" t="n">
        <v>92</v>
      </c>
    </row>
    <row r="1263">
      <c r="A1263" t="inlineStr">
        <is>
          <t>ED201298</t>
        </is>
      </c>
      <c r="B1263" s="56" t="n">
        <v>45358.62222222222</v>
      </c>
      <c r="C1263" t="inlineStr">
        <is>
          <t>Bluestone Memorial Hospital</t>
        </is>
      </c>
      <c r="D1263" t="n">
        <v>42</v>
      </c>
    </row>
    <row r="1264">
      <c r="A1264" t="inlineStr">
        <is>
          <t>ED201299</t>
        </is>
      </c>
      <c r="B1264" s="56" t="n">
        <v>45358.64444444444</v>
      </c>
      <c r="C1264" t="inlineStr">
        <is>
          <t>Bluestone Memorial Hospital</t>
        </is>
      </c>
      <c r="D1264" t="n">
        <v>45</v>
      </c>
    </row>
    <row r="1265">
      <c r="A1265" t="inlineStr">
        <is>
          <t>ED201300</t>
        </is>
      </c>
      <c r="B1265" s="56" t="n">
        <v>45358.72638888889</v>
      </c>
      <c r="C1265" t="inlineStr">
        <is>
          <t>Ashby Falls Community Hospital</t>
        </is>
      </c>
      <c r="D1265" t="n">
        <v>76</v>
      </c>
    </row>
    <row r="1266">
      <c r="A1266" t="inlineStr">
        <is>
          <t>ED201301</t>
        </is>
      </c>
      <c r="B1266" s="56" t="n">
        <v>45358.92638888889</v>
      </c>
      <c r="C1266" t="inlineStr">
        <is>
          <t>Bluestone Memorial Hospital</t>
        </is>
      </c>
      <c r="D1266" t="n">
        <v>8</v>
      </c>
    </row>
    <row r="1267">
      <c r="A1267" t="inlineStr">
        <is>
          <t>ED201302</t>
        </is>
      </c>
      <c r="B1267" s="56" t="n">
        <v>45359.19375</v>
      </c>
      <c r="C1267" t="inlineStr">
        <is>
          <t>Ashby Falls Community Hospital</t>
        </is>
      </c>
      <c r="D1267" t="n">
        <v>19</v>
      </c>
    </row>
    <row r="1268">
      <c r="A1268" t="inlineStr">
        <is>
          <t>ED201303</t>
        </is>
      </c>
      <c r="B1268" s="56" t="n">
        <v>45359.24097222222</v>
      </c>
      <c r="C1268" t="inlineStr">
        <is>
          <t>Ashby Falls Community Hospital</t>
        </is>
      </c>
      <c r="D1268" t="n">
        <v>24</v>
      </c>
    </row>
    <row r="1269">
      <c r="A1269" t="inlineStr">
        <is>
          <t>ED201304</t>
        </is>
      </c>
      <c r="B1269" s="56" t="n">
        <v>45359.25763888889</v>
      </c>
      <c r="C1269" t="inlineStr">
        <is>
          <t>Bluestone Memorial Hospital</t>
        </is>
      </c>
      <c r="D1269" t="n">
        <v>36</v>
      </c>
    </row>
    <row r="1270">
      <c r="A1270" t="inlineStr">
        <is>
          <t>ED201305</t>
        </is>
      </c>
      <c r="B1270" s="56" t="n">
        <v>45359.31388888889</v>
      </c>
      <c r="C1270" t="inlineStr">
        <is>
          <t>Bluestone Memorial Hospital</t>
        </is>
      </c>
      <c r="D1270" t="n">
        <v>37</v>
      </c>
    </row>
    <row r="1271">
      <c r="A1271" t="inlineStr">
        <is>
          <t>ED201306</t>
        </is>
      </c>
      <c r="B1271" s="56" t="n">
        <v>45359.31527777778</v>
      </c>
      <c r="C1271" t="inlineStr">
        <is>
          <t>Cedar Ridge Medical Center</t>
        </is>
      </c>
      <c r="D1271" t="n">
        <v>9</v>
      </c>
    </row>
    <row r="1272">
      <c r="A1272" t="inlineStr">
        <is>
          <t>ED201307</t>
        </is>
      </c>
      <c r="B1272" s="56" t="n">
        <v>45359.36319444444</v>
      </c>
      <c r="C1272" t="inlineStr">
        <is>
          <t>Bluestone Memorial Hospital</t>
        </is>
      </c>
      <c r="D1272" t="n">
        <v>14</v>
      </c>
    </row>
    <row r="1273">
      <c r="A1273" t="inlineStr">
        <is>
          <t>ED201308</t>
        </is>
      </c>
      <c r="B1273" s="56" t="n">
        <v>45359.40555555555</v>
      </c>
      <c r="C1273" t="inlineStr">
        <is>
          <t>Bluestone Memorial Hospital</t>
        </is>
      </c>
      <c r="D1273" t="n">
        <v>19</v>
      </c>
    </row>
    <row r="1274">
      <c r="A1274" t="inlineStr">
        <is>
          <t>ED201309</t>
        </is>
      </c>
      <c r="B1274" s="56" t="n">
        <v>45359.41666666666</v>
      </c>
      <c r="C1274" t="inlineStr">
        <is>
          <t>Bluestone Memorial Hospital</t>
        </is>
      </c>
      <c r="D1274" t="n">
        <v>65</v>
      </c>
    </row>
    <row r="1275">
      <c r="A1275" t="inlineStr">
        <is>
          <t>ED201310</t>
        </is>
      </c>
      <c r="B1275" s="56" t="n">
        <v>45359.42013888889</v>
      </c>
      <c r="C1275" t="inlineStr">
        <is>
          <t>Bluestone Memorial Hospital</t>
        </is>
      </c>
      <c r="D1275" t="n">
        <v>23</v>
      </c>
    </row>
    <row r="1276">
      <c r="A1276" t="inlineStr">
        <is>
          <t>ED201311</t>
        </is>
      </c>
      <c r="B1276" s="56" t="n">
        <v>45359.42777777778</v>
      </c>
      <c r="C1276" t="inlineStr">
        <is>
          <t>Bluestone Memorial Hospital</t>
        </is>
      </c>
      <c r="D1276" t="n">
        <v>32</v>
      </c>
    </row>
    <row r="1277">
      <c r="A1277" t="inlineStr">
        <is>
          <t>ED201312</t>
        </is>
      </c>
      <c r="B1277" s="56" t="n">
        <v>45359.48888888889</v>
      </c>
      <c r="C1277" t="inlineStr">
        <is>
          <t>Bluestone Memorial Hospital</t>
        </is>
      </c>
      <c r="D1277" t="n">
        <v>68</v>
      </c>
    </row>
    <row r="1278">
      <c r="A1278" t="inlineStr">
        <is>
          <t>ED201313</t>
        </is>
      </c>
      <c r="B1278" s="56" t="n">
        <v>45359.55694444444</v>
      </c>
      <c r="C1278" t="inlineStr">
        <is>
          <t>Bluestone Memorial Hospital</t>
        </is>
      </c>
      <c r="D1278" t="n">
        <v>45</v>
      </c>
    </row>
    <row r="1279">
      <c r="A1279" t="inlineStr">
        <is>
          <t>ED201314</t>
        </is>
      </c>
      <c r="B1279" s="56" t="n">
        <v>45359.57708333333</v>
      </c>
      <c r="C1279" t="inlineStr">
        <is>
          <t>Ashby Falls Community Hospital</t>
        </is>
      </c>
      <c r="D1279" t="n">
        <v>133</v>
      </c>
    </row>
    <row r="1280">
      <c r="A1280" t="inlineStr">
        <is>
          <t>ED201315</t>
        </is>
      </c>
      <c r="B1280" s="56" t="n">
        <v>45359.58333333334</v>
      </c>
      <c r="C1280" t="inlineStr">
        <is>
          <t>Bluestone Memorial Hospital</t>
        </is>
      </c>
      <c r="D1280" t="n">
        <v>20</v>
      </c>
    </row>
    <row r="1281">
      <c r="A1281" t="inlineStr">
        <is>
          <t>ED201317</t>
        </is>
      </c>
      <c r="B1281" s="56" t="n">
        <v>45359.67083333333</v>
      </c>
      <c r="C1281" t="inlineStr">
        <is>
          <t>Bluestone Memorial Hospital</t>
        </is>
      </c>
      <c r="D1281" t="n">
        <v>8</v>
      </c>
    </row>
    <row r="1282">
      <c r="A1282" t="inlineStr">
        <is>
          <t>ED201318</t>
        </is>
      </c>
      <c r="B1282" s="56" t="n">
        <v>45359.67708333334</v>
      </c>
      <c r="C1282" t="inlineStr">
        <is>
          <t>Ashby Falls Community Hospital</t>
        </is>
      </c>
      <c r="D1282" t="n">
        <v>11</v>
      </c>
    </row>
    <row r="1283">
      <c r="A1283" t="inlineStr">
        <is>
          <t>ED201319</t>
        </is>
      </c>
      <c r="B1283" s="56" t="n">
        <v>45359.68541666667</v>
      </c>
      <c r="C1283" t="inlineStr">
        <is>
          <t>Bluestone Memorial Hospital</t>
        </is>
      </c>
      <c r="D1283" t="n">
        <v>12</v>
      </c>
    </row>
    <row r="1284">
      <c r="A1284" t="inlineStr">
        <is>
          <t>ED201320</t>
        </is>
      </c>
      <c r="B1284" s="56" t="n">
        <v>45359.71944444445</v>
      </c>
      <c r="C1284" t="inlineStr">
        <is>
          <t>Bluestone Memorial Hospital</t>
        </is>
      </c>
      <c r="D1284" t="n">
        <v>420</v>
      </c>
    </row>
    <row r="1285">
      <c r="A1285" t="inlineStr">
        <is>
          <t>ED201321</t>
        </is>
      </c>
      <c r="B1285" s="56" t="n">
        <v>45359.72430555556</v>
      </c>
      <c r="C1285" t="inlineStr">
        <is>
          <t>Bluestone Memorial Hospital</t>
        </is>
      </c>
      <c r="D1285" t="n">
        <v>27</v>
      </c>
    </row>
    <row r="1286">
      <c r="A1286" t="inlineStr">
        <is>
          <t>ED201322</t>
        </is>
      </c>
      <c r="B1286" s="56" t="n">
        <v>45359.78819444445</v>
      </c>
      <c r="C1286" t="inlineStr">
        <is>
          <t>Bluestone Memorial Hospital</t>
        </is>
      </c>
      <c r="D1286" t="n">
        <v>11</v>
      </c>
    </row>
    <row r="1287">
      <c r="A1287" t="inlineStr">
        <is>
          <t>ED201323</t>
        </is>
      </c>
      <c r="B1287" s="56" t="n">
        <v>45359.79444444444</v>
      </c>
      <c r="C1287" t="inlineStr">
        <is>
          <t>Bluestone Memorial Hospital</t>
        </is>
      </c>
      <c r="D1287" t="n">
        <v>26</v>
      </c>
    </row>
    <row r="1288">
      <c r="A1288" t="inlineStr">
        <is>
          <t>ED201324</t>
        </is>
      </c>
      <c r="B1288" s="56" t="n">
        <v>45359.81527777778</v>
      </c>
      <c r="C1288" t="inlineStr">
        <is>
          <t>Bluestone Memorial Hospital</t>
        </is>
      </c>
      <c r="D1288" t="n">
        <v>56</v>
      </c>
    </row>
    <row r="1289">
      <c r="A1289" t="inlineStr">
        <is>
          <t>ED201325</t>
        </is>
      </c>
      <c r="B1289" s="56" t="n">
        <v>45359.8375</v>
      </c>
      <c r="C1289" t="inlineStr">
        <is>
          <t>Bluestone Memorial Hospital</t>
        </is>
      </c>
      <c r="D1289" t="n">
        <v>134</v>
      </c>
    </row>
    <row r="1290">
      <c r="A1290" t="inlineStr">
        <is>
          <t>ED201326</t>
        </is>
      </c>
      <c r="B1290" s="56" t="n">
        <v>45359.94097222222</v>
      </c>
      <c r="C1290" t="inlineStr">
        <is>
          <t>Bluestone Memorial Hospital</t>
        </is>
      </c>
      <c r="D1290" t="n">
        <v>10</v>
      </c>
    </row>
    <row r="1291">
      <c r="A1291" t="inlineStr">
        <is>
          <t>ED201327</t>
        </is>
      </c>
      <c r="B1291" s="56" t="n">
        <v>45359.97361111111</v>
      </c>
      <c r="C1291" t="inlineStr">
        <is>
          <t>Bluestone Memorial Hospital</t>
        </is>
      </c>
      <c r="D1291" t="n">
        <v>17</v>
      </c>
    </row>
    <row r="1292">
      <c r="A1292" t="inlineStr">
        <is>
          <t>ED201328</t>
        </is>
      </c>
      <c r="B1292" s="56" t="n">
        <v>45359.97638888889</v>
      </c>
      <c r="C1292" t="inlineStr">
        <is>
          <t>Ashby Falls Community Hospital</t>
        </is>
      </c>
      <c r="D1292" t="n">
        <v>21</v>
      </c>
    </row>
    <row r="1293">
      <c r="A1293" t="inlineStr">
        <is>
          <t>ED201329</t>
        </is>
      </c>
      <c r="B1293" s="56" t="n">
        <v>45359.99652777778</v>
      </c>
      <c r="C1293" t="inlineStr">
        <is>
          <t>Bluestone Memorial Hospital</t>
        </is>
      </c>
      <c r="D1293" t="n">
        <v>47</v>
      </c>
    </row>
    <row r="1294">
      <c r="A1294" t="inlineStr">
        <is>
          <t>ED201330</t>
        </is>
      </c>
      <c r="B1294" s="56" t="n">
        <v>45360.22847222222</v>
      </c>
      <c r="C1294" t="inlineStr">
        <is>
          <t>Bluestone Memorial Hospital</t>
        </is>
      </c>
      <c r="D1294" t="n">
        <v>20</v>
      </c>
    </row>
    <row r="1295">
      <c r="A1295" t="inlineStr">
        <is>
          <t>ED201331</t>
        </is>
      </c>
      <c r="B1295" s="56" t="n">
        <v>45360.34722222222</v>
      </c>
      <c r="C1295" t="inlineStr">
        <is>
          <t>Bluestone Memorial Hospital</t>
        </is>
      </c>
      <c r="D1295" t="n">
        <v>16</v>
      </c>
    </row>
    <row r="1296">
      <c r="A1296" t="inlineStr">
        <is>
          <t>ED201332</t>
        </is>
      </c>
      <c r="B1296" s="56" t="n">
        <v>45360.37777777778</v>
      </c>
      <c r="C1296" t="inlineStr">
        <is>
          <t>Bluestone Memorial Hospital</t>
        </is>
      </c>
      <c r="D1296" t="n">
        <v>57</v>
      </c>
    </row>
    <row r="1297">
      <c r="A1297" t="inlineStr">
        <is>
          <t>ED201333</t>
        </is>
      </c>
      <c r="B1297" s="56" t="n">
        <v>45360.41458333333</v>
      </c>
      <c r="C1297" t="inlineStr">
        <is>
          <t>Bluestone Memorial Hospital</t>
        </is>
      </c>
      <c r="D1297" t="n">
        <v>99</v>
      </c>
    </row>
    <row r="1298">
      <c r="A1298" t="inlineStr">
        <is>
          <t>ED201334</t>
        </is>
      </c>
      <c r="B1298" s="56" t="n">
        <v>45360.45347222222</v>
      </c>
      <c r="C1298" t="inlineStr">
        <is>
          <t>Cedar Ridge Medical Center</t>
        </is>
      </c>
      <c r="D1298" t="n">
        <v>11</v>
      </c>
    </row>
    <row r="1299">
      <c r="A1299" t="inlineStr">
        <is>
          <t>ED201335</t>
        </is>
      </c>
      <c r="B1299" s="56" t="n">
        <v>45360.48402777778</v>
      </c>
      <c r="C1299" t="inlineStr">
        <is>
          <t>Bluestone Memorial Hospital</t>
        </is>
      </c>
      <c r="D1299" t="n">
        <v>27</v>
      </c>
    </row>
    <row r="1300">
      <c r="A1300" t="inlineStr">
        <is>
          <t>ED201336</t>
        </is>
      </c>
      <c r="B1300" s="56" t="n">
        <v>45360.54305555556</v>
      </c>
      <c r="C1300" t="inlineStr">
        <is>
          <t>Bluestone Memorial Hospital</t>
        </is>
      </c>
      <c r="D1300" t="n">
        <v>100</v>
      </c>
    </row>
    <row r="1301">
      <c r="A1301" t="inlineStr">
        <is>
          <t>ED201337</t>
        </is>
      </c>
      <c r="B1301" s="56" t="n">
        <v>45360.57777777778</v>
      </c>
      <c r="C1301" t="inlineStr">
        <is>
          <t>Bluestone Memorial Hospital</t>
        </is>
      </c>
      <c r="D1301" t="n">
        <v>35</v>
      </c>
    </row>
    <row r="1302">
      <c r="A1302" t="inlineStr">
        <is>
          <t>ED201338</t>
        </is>
      </c>
      <c r="B1302" s="56" t="n">
        <v>45360.60486111111</v>
      </c>
      <c r="C1302" t="inlineStr">
        <is>
          <t>Cedar Ridge Medical Center</t>
        </is>
      </c>
      <c r="D1302" t="n">
        <v>81</v>
      </c>
    </row>
    <row r="1303">
      <c r="A1303" t="inlineStr">
        <is>
          <t>ED201339</t>
        </is>
      </c>
      <c r="B1303" s="56" t="n">
        <v>45360.66527777778</v>
      </c>
      <c r="C1303" t="inlineStr">
        <is>
          <t>Bluestone Memorial Hospital</t>
        </is>
      </c>
      <c r="D1303" t="n">
        <v>42</v>
      </c>
    </row>
    <row r="1304">
      <c r="A1304" t="inlineStr">
        <is>
          <t>ED201340</t>
        </is>
      </c>
      <c r="B1304" s="56" t="n">
        <v>45360.66666666666</v>
      </c>
      <c r="C1304" t="inlineStr">
        <is>
          <t>Bluestone Memorial Hospital</t>
        </is>
      </c>
      <c r="D1304" t="n">
        <v>77</v>
      </c>
    </row>
    <row r="1305">
      <c r="A1305" t="inlineStr">
        <is>
          <t>ED201341</t>
        </is>
      </c>
      <c r="B1305" s="56" t="n">
        <v>45360.68888888889</v>
      </c>
      <c r="C1305" t="inlineStr">
        <is>
          <t>Bluestone Memorial Hospital</t>
        </is>
      </c>
      <c r="D1305" t="n">
        <v>49</v>
      </c>
    </row>
    <row r="1306">
      <c r="A1306" t="inlineStr">
        <is>
          <t>ED201342</t>
        </is>
      </c>
      <c r="B1306" s="56" t="n">
        <v>45360.69861111111</v>
      </c>
      <c r="C1306" t="inlineStr">
        <is>
          <t>Bluestone Memorial Hospital</t>
        </is>
      </c>
      <c r="D1306" t="n">
        <v>16</v>
      </c>
    </row>
    <row r="1307">
      <c r="A1307" t="inlineStr">
        <is>
          <t>ED201343</t>
        </is>
      </c>
      <c r="B1307" s="56" t="n">
        <v>45360.69930555556</v>
      </c>
      <c r="C1307" t="inlineStr">
        <is>
          <t>Bluestone Memorial Hospital</t>
        </is>
      </c>
      <c r="D1307" t="n">
        <v>10</v>
      </c>
    </row>
    <row r="1308">
      <c r="A1308" t="inlineStr">
        <is>
          <t>ED201345</t>
        </is>
      </c>
      <c r="B1308" s="56" t="n">
        <v>45360.80138888889</v>
      </c>
      <c r="C1308" t="inlineStr">
        <is>
          <t>Ashby Falls Community Hospital</t>
        </is>
      </c>
      <c r="D1308" t="n">
        <v>98</v>
      </c>
    </row>
    <row r="1309">
      <c r="A1309" t="inlineStr">
        <is>
          <t>ED201346</t>
        </is>
      </c>
      <c r="B1309" s="56" t="n">
        <v>45360.85902777778</v>
      </c>
      <c r="C1309" t="inlineStr">
        <is>
          <t>Bluestone Memorial Hospital</t>
        </is>
      </c>
      <c r="D1309" t="n">
        <v>26</v>
      </c>
    </row>
    <row r="1310">
      <c r="A1310" t="inlineStr">
        <is>
          <t>ED201347</t>
        </is>
      </c>
      <c r="B1310" s="56" t="n">
        <v>45360.94652777778</v>
      </c>
      <c r="C1310" t="inlineStr">
        <is>
          <t>Bluestone Memorial Hospital</t>
        </is>
      </c>
      <c r="D1310" t="n">
        <v>13</v>
      </c>
    </row>
    <row r="1311">
      <c r="A1311" t="inlineStr">
        <is>
          <t>ED201348</t>
        </is>
      </c>
      <c r="B1311" s="56" t="n">
        <v>45361.24097222222</v>
      </c>
      <c r="C1311" t="inlineStr">
        <is>
          <t>Cedar Ridge Medical Center</t>
        </is>
      </c>
      <c r="D1311" t="n">
        <v>40</v>
      </c>
    </row>
    <row r="1312">
      <c r="A1312" t="inlineStr">
        <is>
          <t>ED201349</t>
        </is>
      </c>
      <c r="B1312" s="56" t="n">
        <v>45361.40625</v>
      </c>
      <c r="C1312" t="inlineStr">
        <is>
          <t>Bluestone Memorial Hospital</t>
        </is>
      </c>
      <c r="D1312" t="n">
        <v>55</v>
      </c>
    </row>
    <row r="1313">
      <c r="A1313" t="inlineStr">
        <is>
          <t>ED201350</t>
        </is>
      </c>
      <c r="B1313" s="56" t="n">
        <v>45361.42430555556</v>
      </c>
      <c r="C1313" t="inlineStr">
        <is>
          <t>Bluestone Memorial Hospital</t>
        </is>
      </c>
      <c r="D1313" t="n">
        <v>43</v>
      </c>
    </row>
    <row r="1314">
      <c r="A1314" t="inlineStr">
        <is>
          <t>ED201351</t>
        </is>
      </c>
      <c r="B1314" s="56" t="n">
        <v>45361.49027777778</v>
      </c>
      <c r="C1314" t="inlineStr">
        <is>
          <t>Bluestone Memorial Hospital</t>
        </is>
      </c>
      <c r="D1314" t="n">
        <v>64</v>
      </c>
    </row>
    <row r="1315">
      <c r="A1315" t="inlineStr">
        <is>
          <t>ED201352</t>
        </is>
      </c>
      <c r="B1315" s="56" t="n">
        <v>45361.6125</v>
      </c>
      <c r="C1315" t="inlineStr">
        <is>
          <t>Ashby Falls Community Hospital</t>
        </is>
      </c>
      <c r="D1315" t="n">
        <v>46</v>
      </c>
    </row>
    <row r="1316">
      <c r="A1316" t="inlineStr">
        <is>
          <t>ED201353</t>
        </is>
      </c>
      <c r="B1316" s="56" t="n">
        <v>45361.61944444444</v>
      </c>
      <c r="C1316" t="inlineStr">
        <is>
          <t>Cedar Ridge Medical Center</t>
        </is>
      </c>
      <c r="D1316" t="n">
        <v>30</v>
      </c>
    </row>
    <row r="1317">
      <c r="A1317" t="inlineStr">
        <is>
          <t>ED201354</t>
        </is>
      </c>
      <c r="B1317" s="56" t="n">
        <v>45361.80347222222</v>
      </c>
      <c r="C1317" t="inlineStr">
        <is>
          <t>Bluestone Memorial Hospital</t>
        </is>
      </c>
      <c r="D1317" t="n">
        <v>23</v>
      </c>
    </row>
    <row r="1318">
      <c r="A1318" t="inlineStr">
        <is>
          <t>ED201355</t>
        </is>
      </c>
      <c r="B1318" s="56" t="n">
        <v>45361.89375</v>
      </c>
      <c r="C1318" t="inlineStr">
        <is>
          <t>Bluestone Memorial Hospital</t>
        </is>
      </c>
      <c r="D1318" t="n">
        <v>25</v>
      </c>
    </row>
    <row r="1319">
      <c r="A1319" t="inlineStr">
        <is>
          <t>ED201356</t>
        </is>
      </c>
      <c r="B1319" s="56" t="n">
        <v>45362.18680555555</v>
      </c>
      <c r="C1319" t="inlineStr">
        <is>
          <t>Bluestone Memorial Hospital</t>
        </is>
      </c>
      <c r="D1319" t="n">
        <v>23</v>
      </c>
    </row>
    <row r="1320">
      <c r="A1320" t="inlineStr">
        <is>
          <t>ED201357</t>
        </is>
      </c>
      <c r="B1320" s="56" t="n">
        <v>45362.28125</v>
      </c>
      <c r="C1320" t="inlineStr">
        <is>
          <t>Bluestone Memorial Hospital</t>
        </is>
      </c>
      <c r="D1320" t="n">
        <v>14</v>
      </c>
    </row>
    <row r="1321">
      <c r="A1321" t="inlineStr">
        <is>
          <t>ED201359</t>
        </is>
      </c>
      <c r="B1321" s="56" t="n">
        <v>45362.39097222222</v>
      </c>
      <c r="C1321" t="inlineStr">
        <is>
          <t>Bluestone Memorial Hospital</t>
        </is>
      </c>
      <c r="D1321" t="n">
        <v>68</v>
      </c>
    </row>
    <row r="1322">
      <c r="A1322" t="inlineStr">
        <is>
          <t>ED201360</t>
        </is>
      </c>
      <c r="B1322" s="56" t="n">
        <v>45362.43472222222</v>
      </c>
      <c r="C1322" t="inlineStr">
        <is>
          <t>Bluestone Memorial Hospital</t>
        </is>
      </c>
      <c r="D1322" t="n">
        <v>12</v>
      </c>
    </row>
    <row r="1323">
      <c r="A1323" t="inlineStr">
        <is>
          <t>ED201361</t>
        </is>
      </c>
      <c r="B1323" s="56" t="n">
        <v>45362.50069444445</v>
      </c>
      <c r="C1323" t="inlineStr">
        <is>
          <t>Bluestone Memorial Hospital</t>
        </is>
      </c>
      <c r="D1323" t="n">
        <v>148</v>
      </c>
    </row>
    <row r="1324">
      <c r="A1324" t="inlineStr">
        <is>
          <t>ED201362</t>
        </is>
      </c>
      <c r="B1324" s="56" t="n">
        <v>45362.50138888889</v>
      </c>
      <c r="C1324" t="inlineStr">
        <is>
          <t>Bluestone Memorial Hospital</t>
        </is>
      </c>
      <c r="D1324" t="n">
        <v>18</v>
      </c>
    </row>
    <row r="1325">
      <c r="A1325" t="inlineStr">
        <is>
          <t>ED201363</t>
        </is>
      </c>
      <c r="B1325" s="56" t="n">
        <v>45362.55208333334</v>
      </c>
      <c r="C1325" t="inlineStr">
        <is>
          <t>Bluestone Memorial Hospital</t>
        </is>
      </c>
      <c r="D1325" t="n">
        <v>81</v>
      </c>
    </row>
    <row r="1326">
      <c r="A1326" t="inlineStr">
        <is>
          <t>ED201365</t>
        </is>
      </c>
      <c r="B1326" s="56" t="n">
        <v>45362.60486111111</v>
      </c>
      <c r="C1326" t="inlineStr">
        <is>
          <t>Cedar Ridge Medical Center</t>
        </is>
      </c>
      <c r="D1326" t="n">
        <v>23</v>
      </c>
    </row>
    <row r="1327">
      <c r="A1327" t="inlineStr">
        <is>
          <t>ED201366</t>
        </is>
      </c>
      <c r="B1327" s="56" t="n">
        <v>45362.62291666667</v>
      </c>
      <c r="C1327" t="inlineStr">
        <is>
          <t>Bluestone Memorial Hospital</t>
        </is>
      </c>
      <c r="D1327" t="n">
        <v>94</v>
      </c>
    </row>
    <row r="1328">
      <c r="A1328" t="inlineStr">
        <is>
          <t>ED201367</t>
        </is>
      </c>
      <c r="B1328" s="56" t="n">
        <v>45362.64027777778</v>
      </c>
      <c r="C1328" t="inlineStr">
        <is>
          <t>Bluestone Memorial Hospital</t>
        </is>
      </c>
      <c r="D1328" t="n">
        <v>39</v>
      </c>
    </row>
    <row r="1329">
      <c r="A1329" t="inlineStr">
        <is>
          <t>ED201368</t>
        </is>
      </c>
      <c r="B1329" s="56" t="n">
        <v>45362.65694444445</v>
      </c>
      <c r="C1329" t="inlineStr">
        <is>
          <t>Bluestone Memorial Hospital</t>
        </is>
      </c>
      <c r="D1329" t="n">
        <v>20</v>
      </c>
    </row>
    <row r="1330">
      <c r="A1330" t="inlineStr">
        <is>
          <t>ED201369</t>
        </is>
      </c>
      <c r="B1330" s="56" t="n">
        <v>45362.70694444444</v>
      </c>
      <c r="C1330" t="inlineStr">
        <is>
          <t>Bluestone Memorial Hospital</t>
        </is>
      </c>
      <c r="D1330" t="n">
        <v>49</v>
      </c>
    </row>
    <row r="1331">
      <c r="A1331" t="inlineStr">
        <is>
          <t>ED201370</t>
        </is>
      </c>
      <c r="B1331" s="56" t="n">
        <v>45362.71388888889</v>
      </c>
      <c r="C1331" t="inlineStr">
        <is>
          <t>Bluestone Memorial Hospital</t>
        </is>
      </c>
      <c r="D1331" t="n">
        <v>14</v>
      </c>
    </row>
    <row r="1332">
      <c r="A1332" t="inlineStr">
        <is>
          <t>ED201371</t>
        </is>
      </c>
      <c r="B1332" s="56" t="n">
        <v>45362.80972222222</v>
      </c>
      <c r="C1332" t="inlineStr">
        <is>
          <t>Bluestone Memorial Hospital</t>
        </is>
      </c>
      <c r="D1332" t="n">
        <v>41</v>
      </c>
    </row>
    <row r="1333">
      <c r="A1333" t="inlineStr">
        <is>
          <t>ED201372</t>
        </is>
      </c>
      <c r="B1333" s="56" t="n">
        <v>45362.84861111111</v>
      </c>
      <c r="C1333" t="inlineStr">
        <is>
          <t>Ashby Falls Community Hospital</t>
        </is>
      </c>
      <c r="D1333" t="n">
        <v>77</v>
      </c>
    </row>
    <row r="1334">
      <c r="A1334" t="inlineStr">
        <is>
          <t>ED201373</t>
        </is>
      </c>
      <c r="B1334" s="56" t="n">
        <v>45362.95763888889</v>
      </c>
      <c r="C1334" t="inlineStr">
        <is>
          <t>Bluestone Memorial Hospital</t>
        </is>
      </c>
      <c r="D1334" t="n">
        <v>55</v>
      </c>
    </row>
    <row r="1335">
      <c r="A1335" t="inlineStr">
        <is>
          <t>ED201374</t>
        </is>
      </c>
      <c r="B1335" s="56" t="n">
        <v>45362.97638888889</v>
      </c>
      <c r="C1335" t="inlineStr">
        <is>
          <t>Bluestone Memorial Hospital</t>
        </is>
      </c>
      <c r="D1335" t="n">
        <v>24</v>
      </c>
    </row>
    <row r="1336">
      <c r="A1336" t="inlineStr">
        <is>
          <t>ED201375</t>
        </is>
      </c>
      <c r="B1336" s="56" t="n">
        <v>45363.00902777778</v>
      </c>
      <c r="C1336" t="inlineStr">
        <is>
          <t>Ashby Falls Community Hospital</t>
        </is>
      </c>
      <c r="D1336" t="n">
        <v>35</v>
      </c>
    </row>
    <row r="1337">
      <c r="A1337" t="inlineStr">
        <is>
          <t>ED201376</t>
        </is>
      </c>
      <c r="B1337" s="56" t="n">
        <v>45363.03263888889</v>
      </c>
      <c r="C1337" t="inlineStr">
        <is>
          <t>Bluestone Memorial Hospital</t>
        </is>
      </c>
      <c r="D1337" t="n">
        <v>20</v>
      </c>
    </row>
    <row r="1338">
      <c r="A1338" t="inlineStr">
        <is>
          <t>ED201377</t>
        </is>
      </c>
      <c r="B1338" s="56" t="n">
        <v>45363.09722222222</v>
      </c>
      <c r="C1338" t="inlineStr">
        <is>
          <t>Bluestone Memorial Hospital</t>
        </is>
      </c>
      <c r="D1338" t="n">
        <v>13</v>
      </c>
    </row>
    <row r="1339">
      <c r="A1339" t="inlineStr">
        <is>
          <t>ED201378</t>
        </is>
      </c>
      <c r="B1339" s="56" t="n">
        <v>45363.29583333333</v>
      </c>
      <c r="C1339" t="inlineStr">
        <is>
          <t>Bluestone Memorial Hospital</t>
        </is>
      </c>
      <c r="D1339" t="n">
        <v>93</v>
      </c>
    </row>
    <row r="1340">
      <c r="A1340" t="inlineStr">
        <is>
          <t>ED201379</t>
        </is>
      </c>
      <c r="B1340" s="56" t="n">
        <v>45363.31597222222</v>
      </c>
      <c r="C1340" t="inlineStr">
        <is>
          <t>Bluestone Memorial Hospital</t>
        </is>
      </c>
      <c r="D1340" t="n">
        <v>75</v>
      </c>
    </row>
    <row r="1341">
      <c r="A1341" t="inlineStr">
        <is>
          <t>ED201380</t>
        </is>
      </c>
      <c r="B1341" s="56" t="n">
        <v>45363.36875</v>
      </c>
      <c r="C1341" t="inlineStr">
        <is>
          <t>Bluestone Memorial Hospital</t>
        </is>
      </c>
      <c r="D1341" t="n">
        <v>54</v>
      </c>
    </row>
    <row r="1342">
      <c r="A1342" t="inlineStr">
        <is>
          <t>ED201381</t>
        </is>
      </c>
      <c r="B1342" s="56" t="n">
        <v>45363.40069444444</v>
      </c>
      <c r="C1342" t="inlineStr">
        <is>
          <t>Ashby Falls Community Hospital</t>
        </is>
      </c>
      <c r="D1342" t="n">
        <v>122</v>
      </c>
    </row>
    <row r="1343">
      <c r="A1343" t="inlineStr">
        <is>
          <t>ED201382</t>
        </is>
      </c>
      <c r="B1343" s="56" t="n">
        <v>45363.40763888889</v>
      </c>
      <c r="C1343" t="inlineStr">
        <is>
          <t>Bluestone Memorial Hospital</t>
        </is>
      </c>
      <c r="D1343" t="n">
        <v>49</v>
      </c>
    </row>
    <row r="1344">
      <c r="A1344" t="inlineStr">
        <is>
          <t>ED201383</t>
        </is>
      </c>
      <c r="B1344" s="56" t="n">
        <v>45363.42708333334</v>
      </c>
      <c r="C1344" t="inlineStr">
        <is>
          <t>Bluestone Memorial Hospital</t>
        </is>
      </c>
      <c r="D1344" t="n">
        <v>65</v>
      </c>
    </row>
    <row r="1345">
      <c r="A1345" t="inlineStr">
        <is>
          <t>ED201384</t>
        </is>
      </c>
      <c r="B1345" s="56" t="n">
        <v>45363.58055555556</v>
      </c>
      <c r="C1345" t="inlineStr">
        <is>
          <t>Cedar Ridge Medical Center</t>
        </is>
      </c>
      <c r="D1345" t="n">
        <v>27</v>
      </c>
    </row>
    <row r="1346">
      <c r="A1346" t="inlineStr">
        <is>
          <t>ED201385</t>
        </is>
      </c>
      <c r="B1346" s="56" t="n">
        <v>45363.59513888889</v>
      </c>
      <c r="C1346" t="inlineStr">
        <is>
          <t>Ashby Falls Community Hospital</t>
        </is>
      </c>
      <c r="D1346" t="n">
        <v>90</v>
      </c>
    </row>
    <row r="1347">
      <c r="A1347" t="inlineStr">
        <is>
          <t>ED201386</t>
        </is>
      </c>
      <c r="B1347" s="56" t="n">
        <v>45363.60833333333</v>
      </c>
      <c r="C1347" t="inlineStr">
        <is>
          <t>Cedar Ridge Medical Center</t>
        </is>
      </c>
      <c r="D1347" t="n">
        <v>49</v>
      </c>
    </row>
    <row r="1348">
      <c r="A1348" t="inlineStr">
        <is>
          <t>ED201387</t>
        </is>
      </c>
      <c r="B1348" s="56" t="n">
        <v>45363.65486111111</v>
      </c>
      <c r="C1348" t="inlineStr">
        <is>
          <t>Bluestone Memorial Hospital</t>
        </is>
      </c>
      <c r="D1348" t="n">
        <v>84</v>
      </c>
    </row>
    <row r="1349">
      <c r="A1349" t="inlineStr">
        <is>
          <t>ED201388</t>
        </is>
      </c>
      <c r="B1349" s="56" t="n">
        <v>45363.71666666667</v>
      </c>
      <c r="C1349" t="inlineStr">
        <is>
          <t>Ashby Falls Community Hospital</t>
        </is>
      </c>
      <c r="D1349" t="n">
        <v>37</v>
      </c>
    </row>
    <row r="1350">
      <c r="A1350" t="inlineStr">
        <is>
          <t>ED201389</t>
        </is>
      </c>
      <c r="B1350" s="56" t="n">
        <v>45363.72361111111</v>
      </c>
      <c r="C1350" t="inlineStr">
        <is>
          <t>Bluestone Memorial Hospital</t>
        </is>
      </c>
      <c r="D1350" t="n">
        <v>42</v>
      </c>
    </row>
    <row r="1351">
      <c r="A1351" t="inlineStr">
        <is>
          <t>ED201390</t>
        </is>
      </c>
      <c r="B1351" s="56" t="n">
        <v>45363.75625</v>
      </c>
      <c r="C1351" t="inlineStr">
        <is>
          <t>Ashby Falls Community Hospital</t>
        </is>
      </c>
      <c r="D1351" t="n">
        <v>33</v>
      </c>
    </row>
    <row r="1352">
      <c r="A1352" t="inlineStr">
        <is>
          <t>ED201391</t>
        </is>
      </c>
      <c r="B1352" s="56" t="n">
        <v>45363.77361111111</v>
      </c>
      <c r="C1352" t="inlineStr">
        <is>
          <t>Bluestone Memorial Hospital</t>
        </is>
      </c>
      <c r="D1352" t="n">
        <v>49</v>
      </c>
    </row>
    <row r="1353">
      <c r="A1353" t="inlineStr">
        <is>
          <t>ED201392</t>
        </is>
      </c>
      <c r="B1353" s="56" t="n">
        <v>45363.78819444445</v>
      </c>
      <c r="C1353" t="inlineStr">
        <is>
          <t>Bluestone Memorial Hospital</t>
        </is>
      </c>
      <c r="D1353" t="n">
        <v>14</v>
      </c>
    </row>
    <row r="1354">
      <c r="A1354" t="inlineStr">
        <is>
          <t>ED201393</t>
        </is>
      </c>
      <c r="B1354" s="56" t="n">
        <v>45363.80972222222</v>
      </c>
      <c r="C1354" t="inlineStr">
        <is>
          <t>Cedar Ridge Medical Center</t>
        </is>
      </c>
      <c r="D1354" t="n">
        <v>98</v>
      </c>
    </row>
    <row r="1355">
      <c r="A1355" t="inlineStr">
        <is>
          <t>ED201394</t>
        </is>
      </c>
      <c r="B1355" s="56" t="n">
        <v>45363.83958333333</v>
      </c>
      <c r="C1355" t="inlineStr">
        <is>
          <t>Bluestone Memorial Hospital</t>
        </is>
      </c>
      <c r="D1355" t="n">
        <v>42</v>
      </c>
    </row>
    <row r="1356">
      <c r="A1356" t="inlineStr">
        <is>
          <t>ED201395</t>
        </is>
      </c>
      <c r="B1356" s="56" t="n">
        <v>45363.86944444444</v>
      </c>
      <c r="C1356" t="inlineStr">
        <is>
          <t>Bluestone Memorial Hospital</t>
        </is>
      </c>
      <c r="D1356" t="n">
        <v>27</v>
      </c>
    </row>
    <row r="1357">
      <c r="A1357" t="inlineStr">
        <is>
          <t>ED201396</t>
        </is>
      </c>
      <c r="B1357" s="56" t="n">
        <v>45363.89236111111</v>
      </c>
      <c r="C1357" t="inlineStr">
        <is>
          <t>Bluestone Memorial Hospital</t>
        </is>
      </c>
      <c r="D1357" t="n">
        <v>27</v>
      </c>
    </row>
    <row r="1358">
      <c r="A1358" t="inlineStr">
        <is>
          <t>ED201397</t>
        </is>
      </c>
      <c r="B1358" s="56" t="n">
        <v>45363.95902777778</v>
      </c>
      <c r="C1358" t="inlineStr">
        <is>
          <t>Bluestone Memorial Hospital</t>
        </is>
      </c>
      <c r="D1358" t="n">
        <v>23</v>
      </c>
    </row>
    <row r="1359">
      <c r="A1359" t="inlineStr">
        <is>
          <t>ED201398</t>
        </is>
      </c>
      <c r="B1359" s="56" t="n">
        <v>45364.13958333333</v>
      </c>
      <c r="C1359" t="inlineStr">
        <is>
          <t>Bluestone Memorial Hospital</t>
        </is>
      </c>
      <c r="D1359" t="n">
        <v>22</v>
      </c>
    </row>
    <row r="1360">
      <c r="A1360" t="inlineStr">
        <is>
          <t>ED201399</t>
        </is>
      </c>
      <c r="B1360" s="56" t="n">
        <v>45364.14166666667</v>
      </c>
      <c r="C1360" t="inlineStr">
        <is>
          <t>Bluestone Memorial Hospital</t>
        </is>
      </c>
      <c r="D1360" t="n">
        <v>52</v>
      </c>
    </row>
    <row r="1361">
      <c r="A1361" t="inlineStr">
        <is>
          <t>ED201400</t>
        </is>
      </c>
      <c r="B1361" s="56" t="n">
        <v>45364.27361111111</v>
      </c>
      <c r="C1361" t="inlineStr">
        <is>
          <t>Bluestone Memorial Hospital</t>
        </is>
      </c>
      <c r="D1361" t="n">
        <v>30</v>
      </c>
    </row>
    <row r="1362">
      <c r="A1362" t="inlineStr">
        <is>
          <t>ED201401</t>
        </is>
      </c>
      <c r="B1362" s="56" t="n">
        <v>45364.39375</v>
      </c>
      <c r="C1362" t="inlineStr">
        <is>
          <t>Ashby Falls Community Hospital</t>
        </is>
      </c>
      <c r="D1362" t="n">
        <v>32</v>
      </c>
    </row>
    <row r="1363">
      <c r="A1363" t="inlineStr">
        <is>
          <t>ED201402</t>
        </is>
      </c>
      <c r="B1363" s="56" t="n">
        <v>45364.42222222222</v>
      </c>
      <c r="C1363" t="inlineStr">
        <is>
          <t>Bluestone Memorial Hospital</t>
        </is>
      </c>
      <c r="D1363" t="n">
        <v>26</v>
      </c>
    </row>
    <row r="1364">
      <c r="A1364" t="inlineStr">
        <is>
          <t>ED201403</t>
        </is>
      </c>
      <c r="B1364" s="56" t="n">
        <v>45364.44027777778</v>
      </c>
      <c r="C1364" t="inlineStr">
        <is>
          <t>Bluestone Memorial Hospital</t>
        </is>
      </c>
      <c r="D1364" t="n">
        <v>11</v>
      </c>
    </row>
    <row r="1365">
      <c r="A1365" t="inlineStr">
        <is>
          <t>ED201404</t>
        </is>
      </c>
      <c r="B1365" s="56" t="n">
        <v>45364.44166666667</v>
      </c>
      <c r="C1365" t="inlineStr">
        <is>
          <t>Cedar Ridge Medical Center</t>
        </is>
      </c>
      <c r="D1365" t="n">
        <v>44</v>
      </c>
    </row>
    <row r="1366">
      <c r="A1366" t="inlineStr">
        <is>
          <t>ED201405</t>
        </is>
      </c>
      <c r="B1366" s="56" t="n">
        <v>45364.49513888889</v>
      </c>
      <c r="C1366" t="inlineStr">
        <is>
          <t>Bluestone Memorial Hospital</t>
        </is>
      </c>
      <c r="D1366" t="n">
        <v>28</v>
      </c>
    </row>
    <row r="1367">
      <c r="A1367" t="inlineStr">
        <is>
          <t>ED201406</t>
        </is>
      </c>
      <c r="B1367" s="56" t="n">
        <v>45364.51319444444</v>
      </c>
      <c r="C1367" t="inlineStr">
        <is>
          <t>Bluestone Memorial Hospital</t>
        </is>
      </c>
      <c r="D1367" t="n">
        <v>20</v>
      </c>
    </row>
    <row r="1368">
      <c r="A1368" t="inlineStr">
        <is>
          <t>ED201407</t>
        </is>
      </c>
      <c r="B1368" s="56" t="n">
        <v>45364.60208333333</v>
      </c>
      <c r="C1368" t="inlineStr">
        <is>
          <t>Cedar Ridge Medical Center</t>
        </is>
      </c>
      <c r="D1368" t="n">
        <v>84</v>
      </c>
    </row>
    <row r="1369">
      <c r="A1369" t="inlineStr">
        <is>
          <t>ED201408</t>
        </is>
      </c>
      <c r="B1369" s="56" t="n">
        <v>45364.62916666667</v>
      </c>
      <c r="C1369" t="inlineStr">
        <is>
          <t>Cedar Ridge Medical Center</t>
        </is>
      </c>
      <c r="D1369" t="n">
        <v>17</v>
      </c>
    </row>
    <row r="1370">
      <c r="A1370" t="inlineStr">
        <is>
          <t>ED201409</t>
        </is>
      </c>
      <c r="B1370" s="56" t="n">
        <v>45364.65416666667</v>
      </c>
      <c r="C1370" t="inlineStr">
        <is>
          <t>Bluestone Memorial Hospital</t>
        </is>
      </c>
      <c r="D1370" t="n">
        <v>54</v>
      </c>
    </row>
    <row r="1371">
      <c r="A1371" t="inlineStr">
        <is>
          <t>ED201410</t>
        </is>
      </c>
      <c r="B1371" s="56" t="n">
        <v>45364.70208333333</v>
      </c>
      <c r="C1371" t="inlineStr">
        <is>
          <t>Bluestone Memorial Hospital</t>
        </is>
      </c>
      <c r="D1371" t="n">
        <v>63</v>
      </c>
    </row>
    <row r="1372">
      <c r="A1372" t="inlineStr">
        <is>
          <t>ED201411</t>
        </is>
      </c>
      <c r="B1372" s="56" t="n">
        <v>45364.77986111111</v>
      </c>
      <c r="C1372" t="inlineStr">
        <is>
          <t>Cedar Ridge Medical Center</t>
        </is>
      </c>
      <c r="D1372" t="n">
        <v>263</v>
      </c>
    </row>
    <row r="1373">
      <c r="A1373" t="inlineStr">
        <is>
          <t>ED201412</t>
        </is>
      </c>
      <c r="B1373" s="56" t="n">
        <v>45364.84027777778</v>
      </c>
      <c r="C1373" t="inlineStr">
        <is>
          <t>Bluestone Memorial Hospital</t>
        </is>
      </c>
      <c r="D1373" t="n">
        <v>23</v>
      </c>
    </row>
    <row r="1374">
      <c r="A1374" t="inlineStr">
        <is>
          <t>ED201413</t>
        </is>
      </c>
      <c r="B1374" s="56" t="n">
        <v>45364.87916666667</v>
      </c>
      <c r="C1374" t="inlineStr">
        <is>
          <t>Bluestone Memorial Hospital</t>
        </is>
      </c>
      <c r="D1374" t="n">
        <v>38</v>
      </c>
    </row>
    <row r="1375">
      <c r="A1375" t="inlineStr">
        <is>
          <t>ED201414</t>
        </is>
      </c>
      <c r="B1375" s="56" t="n">
        <v>45364.87986111111</v>
      </c>
      <c r="C1375" t="inlineStr">
        <is>
          <t>Bluestone Memorial Hospital</t>
        </is>
      </c>
      <c r="D1375" t="n">
        <v>46</v>
      </c>
    </row>
    <row r="1376">
      <c r="A1376" t="inlineStr">
        <is>
          <t>ED201415</t>
        </is>
      </c>
      <c r="B1376" s="56" t="n">
        <v>45364.95972222222</v>
      </c>
      <c r="C1376" t="inlineStr">
        <is>
          <t>Ashby Falls Community Hospital</t>
        </is>
      </c>
      <c r="D1376" t="n">
        <v>10</v>
      </c>
    </row>
    <row r="1377">
      <c r="A1377" t="inlineStr">
        <is>
          <t>ED201416</t>
        </is>
      </c>
      <c r="B1377" s="56" t="n">
        <v>45364.97569444445</v>
      </c>
      <c r="C1377" t="inlineStr">
        <is>
          <t>Bluestone Memorial Hospital</t>
        </is>
      </c>
      <c r="D1377" t="n">
        <v>5</v>
      </c>
    </row>
    <row r="1378">
      <c r="A1378" t="inlineStr">
        <is>
          <t>ED201417</t>
        </is>
      </c>
      <c r="B1378" s="56" t="n">
        <v>45365.11805555555</v>
      </c>
      <c r="C1378" t="inlineStr">
        <is>
          <t>Bluestone Memorial Hospital</t>
        </is>
      </c>
      <c r="D1378" t="n">
        <v>25</v>
      </c>
    </row>
    <row r="1379">
      <c r="A1379" t="inlineStr">
        <is>
          <t>ED201418</t>
        </is>
      </c>
      <c r="B1379" s="56" t="n">
        <v>45365.43472222222</v>
      </c>
      <c r="C1379" t="inlineStr">
        <is>
          <t>Cedar Ridge Medical Center</t>
        </is>
      </c>
      <c r="D1379" t="n">
        <v>5</v>
      </c>
    </row>
    <row r="1380">
      <c r="A1380" t="inlineStr">
        <is>
          <t>ED201419</t>
        </is>
      </c>
      <c r="B1380" s="56" t="n">
        <v>45365.52847222222</v>
      </c>
      <c r="C1380" t="inlineStr">
        <is>
          <t>Ashby Falls Community Hospital</t>
        </is>
      </c>
      <c r="D1380" t="n">
        <v>37</v>
      </c>
    </row>
    <row r="1381">
      <c r="A1381" t="inlineStr">
        <is>
          <t>ED201420</t>
        </is>
      </c>
      <c r="B1381" s="56" t="n">
        <v>45365.53402777778</v>
      </c>
      <c r="C1381" t="inlineStr">
        <is>
          <t>Bluestone Memorial Hospital</t>
        </is>
      </c>
      <c r="D1381" t="n">
        <v>65</v>
      </c>
    </row>
    <row r="1382">
      <c r="A1382" t="inlineStr">
        <is>
          <t>ED201421</t>
        </is>
      </c>
      <c r="B1382" s="56" t="n">
        <v>45365.55972222222</v>
      </c>
      <c r="C1382" t="inlineStr">
        <is>
          <t>Bluestone Memorial Hospital</t>
        </is>
      </c>
      <c r="D1382" t="n">
        <v>20</v>
      </c>
    </row>
    <row r="1383">
      <c r="A1383" t="inlineStr">
        <is>
          <t>ED201422</t>
        </is>
      </c>
      <c r="B1383" s="56" t="n">
        <v>45365.66388888889</v>
      </c>
      <c r="C1383" t="inlineStr">
        <is>
          <t>Cedar Ridge Medical Center</t>
        </is>
      </c>
      <c r="D1383" t="n">
        <v>17</v>
      </c>
    </row>
    <row r="1384">
      <c r="A1384" t="inlineStr">
        <is>
          <t>ED201423</t>
        </is>
      </c>
      <c r="B1384" s="56" t="n">
        <v>45365.67916666667</v>
      </c>
      <c r="C1384" t="inlineStr">
        <is>
          <t>Cedar Ridge Medical Center</t>
        </is>
      </c>
      <c r="D1384" t="n">
        <v>109</v>
      </c>
    </row>
    <row r="1385">
      <c r="A1385" t="inlineStr">
        <is>
          <t>ED201424</t>
        </is>
      </c>
      <c r="B1385" s="56" t="n">
        <v>45365.68125</v>
      </c>
      <c r="C1385" t="inlineStr">
        <is>
          <t>Bluestone Memorial Hospital</t>
        </is>
      </c>
      <c r="D1385" t="n">
        <v>89</v>
      </c>
    </row>
    <row r="1386">
      <c r="A1386" t="inlineStr">
        <is>
          <t>ED201425</t>
        </is>
      </c>
      <c r="B1386" s="56" t="n">
        <v>45365.73125</v>
      </c>
      <c r="C1386" t="inlineStr">
        <is>
          <t>Bluestone Memorial Hospital</t>
        </is>
      </c>
      <c r="D1386" t="n">
        <v>308</v>
      </c>
    </row>
    <row r="1387">
      <c r="A1387" t="inlineStr">
        <is>
          <t>ED201426</t>
        </is>
      </c>
      <c r="B1387" s="56" t="n">
        <v>45365.75763888889</v>
      </c>
      <c r="C1387" t="inlineStr">
        <is>
          <t>Bluestone Memorial Hospital</t>
        </is>
      </c>
      <c r="D1387" t="n">
        <v>18</v>
      </c>
    </row>
    <row r="1388">
      <c r="A1388" t="inlineStr">
        <is>
          <t>ED201427</t>
        </is>
      </c>
      <c r="B1388" s="56" t="n">
        <v>45365.75972222222</v>
      </c>
      <c r="C1388" t="inlineStr">
        <is>
          <t>Cedar Ridge Medical Center</t>
        </is>
      </c>
      <c r="D1388" t="n">
        <v>23</v>
      </c>
    </row>
    <row r="1389">
      <c r="A1389" t="inlineStr">
        <is>
          <t>ED201428</t>
        </is>
      </c>
      <c r="B1389" s="56" t="n">
        <v>45365.90625</v>
      </c>
      <c r="C1389" t="inlineStr">
        <is>
          <t>Bluestone Memorial Hospital</t>
        </is>
      </c>
      <c r="D1389" t="n">
        <v>15</v>
      </c>
    </row>
    <row r="1390">
      <c r="A1390" t="inlineStr">
        <is>
          <t>ED201429</t>
        </is>
      </c>
      <c r="B1390" s="56" t="n">
        <v>45365.96527777778</v>
      </c>
      <c r="C1390" t="inlineStr">
        <is>
          <t>Bluestone Memorial Hospital</t>
        </is>
      </c>
      <c r="D1390" t="n">
        <v>13</v>
      </c>
    </row>
    <row r="1391">
      <c r="A1391" t="inlineStr">
        <is>
          <t>ED201430</t>
        </is>
      </c>
      <c r="B1391" s="56" t="n">
        <v>45365.97986111111</v>
      </c>
      <c r="C1391" t="inlineStr">
        <is>
          <t>Bluestone Memorial Hospital</t>
        </is>
      </c>
      <c r="D1391" t="n">
        <v>20</v>
      </c>
    </row>
    <row r="1392">
      <c r="A1392" t="inlineStr">
        <is>
          <t>ED201431</t>
        </is>
      </c>
      <c r="B1392" s="56" t="n">
        <v>45365.98611111111</v>
      </c>
      <c r="C1392" t="inlineStr">
        <is>
          <t>Bluestone Memorial Hospital</t>
        </is>
      </c>
      <c r="D1392" t="n">
        <v>22</v>
      </c>
    </row>
    <row r="1393">
      <c r="A1393" t="inlineStr">
        <is>
          <t>ED201432</t>
        </is>
      </c>
      <c r="B1393" s="56" t="n">
        <v>45366.07013888889</v>
      </c>
      <c r="C1393" t="inlineStr">
        <is>
          <t>Bluestone Memorial Hospital</t>
        </is>
      </c>
      <c r="D1393" t="n">
        <v>87</v>
      </c>
    </row>
    <row r="1394">
      <c r="A1394" t="inlineStr">
        <is>
          <t>ED201433</t>
        </is>
      </c>
      <c r="B1394" s="56" t="n">
        <v>45366.36180555556</v>
      </c>
      <c r="C1394" t="inlineStr">
        <is>
          <t>Bluestone Memorial Hospital</t>
        </is>
      </c>
      <c r="D1394" t="n">
        <v>24</v>
      </c>
    </row>
    <row r="1395">
      <c r="A1395" t="inlineStr">
        <is>
          <t>ED201434</t>
        </is>
      </c>
      <c r="B1395" s="56" t="n">
        <v>45366.41666666666</v>
      </c>
      <c r="C1395" t="inlineStr">
        <is>
          <t>Cedar Ridge Medical Center</t>
        </is>
      </c>
      <c r="D1395" t="n">
        <v>8</v>
      </c>
    </row>
    <row r="1396">
      <c r="A1396" t="inlineStr">
        <is>
          <t>ED201435</t>
        </is>
      </c>
      <c r="B1396" s="56" t="n">
        <v>45366.45277777778</v>
      </c>
      <c r="C1396" t="inlineStr">
        <is>
          <t>Bluestone Memorial Hospital</t>
        </is>
      </c>
      <c r="D1396" t="n">
        <v>11</v>
      </c>
    </row>
    <row r="1397">
      <c r="A1397" t="inlineStr">
        <is>
          <t>ED201436</t>
        </is>
      </c>
      <c r="B1397" s="56" t="n">
        <v>45366.47361111111</v>
      </c>
      <c r="C1397" t="inlineStr">
        <is>
          <t>Bluestone Memorial Hospital</t>
        </is>
      </c>
      <c r="D1397" t="n">
        <v>45</v>
      </c>
    </row>
    <row r="1398">
      <c r="A1398" t="inlineStr">
        <is>
          <t>ED201437</t>
        </is>
      </c>
      <c r="B1398" s="56" t="n">
        <v>45366.48472222222</v>
      </c>
      <c r="C1398" t="inlineStr">
        <is>
          <t>Bluestone Memorial Hospital</t>
        </is>
      </c>
      <c r="D1398" t="n">
        <v>23</v>
      </c>
    </row>
    <row r="1399">
      <c r="A1399" t="inlineStr">
        <is>
          <t>ED201438</t>
        </is>
      </c>
      <c r="B1399" s="56" t="n">
        <v>45366.48958333334</v>
      </c>
      <c r="C1399" t="inlineStr">
        <is>
          <t>Bluestone Memorial Hospital</t>
        </is>
      </c>
      <c r="D1399" t="n">
        <v>67</v>
      </c>
    </row>
    <row r="1400">
      <c r="A1400" t="inlineStr">
        <is>
          <t>ED201439</t>
        </is>
      </c>
      <c r="B1400" s="56" t="n">
        <v>45366.5625</v>
      </c>
      <c r="C1400" t="inlineStr">
        <is>
          <t>Bluestone Memorial Hospital</t>
        </is>
      </c>
      <c r="D1400" t="n">
        <v>22</v>
      </c>
    </row>
    <row r="1401">
      <c r="A1401" t="inlineStr">
        <is>
          <t>ED201440</t>
        </is>
      </c>
      <c r="B1401" s="56" t="n">
        <v>45366.69861111111</v>
      </c>
      <c r="C1401" t="inlineStr">
        <is>
          <t>Bluestone Memorial Hospital</t>
        </is>
      </c>
      <c r="D1401" t="n">
        <v>146</v>
      </c>
    </row>
    <row r="1402">
      <c r="A1402" t="inlineStr">
        <is>
          <t>ED201441</t>
        </is>
      </c>
      <c r="B1402" s="56" t="n">
        <v>45366.74375</v>
      </c>
      <c r="C1402" t="inlineStr">
        <is>
          <t>Cedar Ridge Medical Center</t>
        </is>
      </c>
      <c r="D1402" t="n">
        <v>25</v>
      </c>
    </row>
    <row r="1403">
      <c r="A1403" t="inlineStr">
        <is>
          <t>ED201442</t>
        </is>
      </c>
      <c r="B1403" s="56" t="n">
        <v>45366.75625</v>
      </c>
      <c r="C1403" t="inlineStr">
        <is>
          <t>Bluestone Memorial Hospital</t>
        </is>
      </c>
      <c r="D1403" t="n">
        <v>90</v>
      </c>
    </row>
    <row r="1404">
      <c r="A1404" t="inlineStr">
        <is>
          <t>ED201443</t>
        </is>
      </c>
      <c r="B1404" s="56" t="n">
        <v>45366.81041666667</v>
      </c>
      <c r="C1404" t="inlineStr">
        <is>
          <t>Bluestone Memorial Hospital</t>
        </is>
      </c>
      <c r="D1404" t="n">
        <v>22</v>
      </c>
    </row>
    <row r="1405">
      <c r="A1405" t="inlineStr">
        <is>
          <t>ED201444</t>
        </is>
      </c>
      <c r="B1405" s="56" t="n">
        <v>45366.83472222222</v>
      </c>
      <c r="C1405" t="inlineStr">
        <is>
          <t>Bluestone Memorial Hospital</t>
        </is>
      </c>
      <c r="D1405" t="n">
        <v>35</v>
      </c>
    </row>
    <row r="1406">
      <c r="A1406" t="inlineStr">
        <is>
          <t>ED201445</t>
        </is>
      </c>
      <c r="B1406" s="56" t="n">
        <v>45366.8875</v>
      </c>
      <c r="C1406" t="inlineStr">
        <is>
          <t>Bluestone Memorial Hospital</t>
        </is>
      </c>
      <c r="D1406" t="n">
        <v>67</v>
      </c>
    </row>
    <row r="1407">
      <c r="A1407" t="inlineStr">
        <is>
          <t>ED201446</t>
        </is>
      </c>
      <c r="B1407" s="56" t="n">
        <v>45366.93888888889</v>
      </c>
      <c r="C1407" t="inlineStr">
        <is>
          <t>Ashby Falls Community Hospital</t>
        </is>
      </c>
      <c r="D1407" t="n">
        <v>86</v>
      </c>
    </row>
    <row r="1408">
      <c r="A1408" t="inlineStr">
        <is>
          <t>ED201447</t>
        </is>
      </c>
      <c r="B1408" s="56" t="n">
        <v>45366.95277777778</v>
      </c>
      <c r="C1408" t="inlineStr">
        <is>
          <t>Cedar Ridge Medical Center</t>
        </is>
      </c>
      <c r="D1408" t="n">
        <v>34</v>
      </c>
    </row>
    <row r="1409">
      <c r="A1409" t="inlineStr">
        <is>
          <t>ED201448</t>
        </is>
      </c>
      <c r="B1409" s="56" t="n">
        <v>45367.39861111111</v>
      </c>
      <c r="C1409" t="inlineStr">
        <is>
          <t>Bluestone Memorial Hospital</t>
        </is>
      </c>
      <c r="D1409" t="n">
        <v>49</v>
      </c>
    </row>
    <row r="1410">
      <c r="A1410" t="inlineStr">
        <is>
          <t>ED201450</t>
        </is>
      </c>
      <c r="B1410" s="56" t="n">
        <v>45367.48472222222</v>
      </c>
      <c r="C1410" t="inlineStr">
        <is>
          <t>Bluestone Memorial Hospital</t>
        </is>
      </c>
      <c r="D1410" t="n">
        <v>22</v>
      </c>
    </row>
    <row r="1411">
      <c r="A1411" t="inlineStr">
        <is>
          <t>ED201451</t>
        </is>
      </c>
      <c r="B1411" s="56" t="n">
        <v>45367.50972222222</v>
      </c>
      <c r="C1411" t="inlineStr">
        <is>
          <t>Bluestone Memorial Hospital</t>
        </is>
      </c>
      <c r="D1411" t="n">
        <v>39</v>
      </c>
    </row>
    <row r="1412">
      <c r="A1412" t="inlineStr">
        <is>
          <t>ED201452</t>
        </is>
      </c>
      <c r="B1412" s="56" t="n">
        <v>45367.51527777778</v>
      </c>
      <c r="C1412" t="inlineStr">
        <is>
          <t>Ashby Falls Community Hospital</t>
        </is>
      </c>
      <c r="D1412" t="n">
        <v>43</v>
      </c>
    </row>
    <row r="1413">
      <c r="A1413" t="inlineStr">
        <is>
          <t>ED201453</t>
        </is>
      </c>
      <c r="B1413" s="56" t="n">
        <v>45367.58541666667</v>
      </c>
      <c r="C1413" t="inlineStr">
        <is>
          <t>Bluestone Memorial Hospital</t>
        </is>
      </c>
      <c r="D1413" t="n">
        <v>92</v>
      </c>
    </row>
    <row r="1414">
      <c r="A1414" t="inlineStr">
        <is>
          <t>ED201454</t>
        </is>
      </c>
      <c r="B1414" s="56" t="n">
        <v>45367.60694444444</v>
      </c>
      <c r="C1414" t="inlineStr">
        <is>
          <t>Bluestone Memorial Hospital</t>
        </is>
      </c>
      <c r="D1414" t="n">
        <v>116</v>
      </c>
    </row>
    <row r="1415">
      <c r="A1415" t="inlineStr">
        <is>
          <t>ED201455</t>
        </is>
      </c>
      <c r="B1415" s="56" t="n">
        <v>45367.625</v>
      </c>
      <c r="C1415" t="inlineStr">
        <is>
          <t>Cedar Ridge Medical Center</t>
        </is>
      </c>
      <c r="D1415" t="n">
        <v>146</v>
      </c>
    </row>
    <row r="1416">
      <c r="A1416" t="inlineStr">
        <is>
          <t>ED201456</t>
        </is>
      </c>
      <c r="B1416" s="56" t="n">
        <v>45367.7</v>
      </c>
      <c r="C1416" t="inlineStr">
        <is>
          <t>Bluestone Memorial Hospital</t>
        </is>
      </c>
      <c r="D1416" t="n">
        <v>24</v>
      </c>
    </row>
    <row r="1417">
      <c r="A1417" t="inlineStr">
        <is>
          <t>ED201457</t>
        </is>
      </c>
      <c r="B1417" s="56" t="n">
        <v>45367.77013888889</v>
      </c>
      <c r="C1417" t="inlineStr">
        <is>
          <t>Bluestone Memorial Hospital</t>
        </is>
      </c>
      <c r="D1417" t="n">
        <v>11</v>
      </c>
    </row>
    <row r="1418">
      <c r="A1418" t="inlineStr">
        <is>
          <t>ED201458</t>
        </is>
      </c>
      <c r="B1418" s="56" t="n">
        <v>45367.77708333333</v>
      </c>
      <c r="C1418" t="inlineStr">
        <is>
          <t>Bluestone Memorial Hospital</t>
        </is>
      </c>
      <c r="D1418" t="n">
        <v>26</v>
      </c>
    </row>
    <row r="1419">
      <c r="A1419" t="inlineStr">
        <is>
          <t>ED201459</t>
        </is>
      </c>
      <c r="B1419" s="56" t="n">
        <v>45367.80694444444</v>
      </c>
      <c r="C1419" t="inlineStr">
        <is>
          <t>Bluestone Memorial Hospital</t>
        </is>
      </c>
      <c r="D1419" t="n">
        <v>126</v>
      </c>
    </row>
    <row r="1420">
      <c r="A1420" t="inlineStr">
        <is>
          <t>ED201460</t>
        </is>
      </c>
      <c r="B1420" s="56" t="n">
        <v>45367.90833333333</v>
      </c>
      <c r="C1420" t="inlineStr">
        <is>
          <t>Bluestone Memorial Hospital</t>
        </is>
      </c>
      <c r="D1420" t="n">
        <v>8</v>
      </c>
    </row>
    <row r="1421">
      <c r="A1421" t="inlineStr">
        <is>
          <t>ED201461</t>
        </is>
      </c>
      <c r="B1421" s="56" t="n">
        <v>45367.92777777778</v>
      </c>
      <c r="C1421" t="inlineStr">
        <is>
          <t>Bluestone Memorial Hospital</t>
        </is>
      </c>
      <c r="D1421" t="n">
        <v>108</v>
      </c>
    </row>
    <row r="1422">
      <c r="A1422" t="inlineStr">
        <is>
          <t>ED201462</t>
        </is>
      </c>
      <c r="B1422" s="56" t="n">
        <v>45368.03333333333</v>
      </c>
      <c r="C1422" t="inlineStr">
        <is>
          <t>Cedar Ridge Medical Center</t>
        </is>
      </c>
      <c r="D1422" t="n">
        <v>32</v>
      </c>
    </row>
    <row r="1423">
      <c r="A1423" t="inlineStr">
        <is>
          <t>ED201463</t>
        </is>
      </c>
      <c r="B1423" s="56" t="n">
        <v>45368.33055555556</v>
      </c>
      <c r="C1423" t="inlineStr">
        <is>
          <t>Bluestone Memorial Hospital</t>
        </is>
      </c>
      <c r="D1423" t="n">
        <v>84</v>
      </c>
    </row>
    <row r="1424">
      <c r="A1424" t="inlineStr">
        <is>
          <t>ED201464</t>
        </is>
      </c>
      <c r="B1424" s="56" t="n">
        <v>45368.40416666667</v>
      </c>
      <c r="C1424" t="inlineStr">
        <is>
          <t>Bluestone Memorial Hospital</t>
        </is>
      </c>
      <c r="D1424" t="n">
        <v>93</v>
      </c>
    </row>
    <row r="1425">
      <c r="A1425" t="inlineStr">
        <is>
          <t>ED201465</t>
        </is>
      </c>
      <c r="B1425" s="56" t="n">
        <v>45368.43472222222</v>
      </c>
      <c r="C1425" t="inlineStr">
        <is>
          <t>Bluestone Memorial Hospital</t>
        </is>
      </c>
      <c r="D1425" t="n">
        <v>27</v>
      </c>
    </row>
    <row r="1426">
      <c r="A1426" t="inlineStr">
        <is>
          <t>ED201466</t>
        </is>
      </c>
      <c r="B1426" s="56" t="n">
        <v>45368.48402777778</v>
      </c>
      <c r="C1426" t="inlineStr">
        <is>
          <t>Bluestone Memorial Hospital</t>
        </is>
      </c>
      <c r="D1426" t="n">
        <v>12</v>
      </c>
    </row>
    <row r="1427">
      <c r="A1427" t="inlineStr">
        <is>
          <t>ED201467</t>
        </is>
      </c>
      <c r="B1427" s="56" t="n">
        <v>45368.51111111111</v>
      </c>
      <c r="C1427" t="inlineStr">
        <is>
          <t>Ashby Falls Community Hospital</t>
        </is>
      </c>
      <c r="D1427" t="n">
        <v>92</v>
      </c>
    </row>
    <row r="1428">
      <c r="A1428" t="inlineStr">
        <is>
          <t>ED201468</t>
        </is>
      </c>
      <c r="B1428" s="56" t="n">
        <v>45368.53958333333</v>
      </c>
      <c r="C1428" t="inlineStr">
        <is>
          <t>Bluestone Memorial Hospital</t>
        </is>
      </c>
      <c r="D1428" t="n">
        <v>56</v>
      </c>
    </row>
    <row r="1429">
      <c r="A1429" t="inlineStr">
        <is>
          <t>ED201469</t>
        </is>
      </c>
      <c r="B1429" s="56" t="n">
        <v>45368.61666666667</v>
      </c>
      <c r="C1429" t="inlineStr">
        <is>
          <t>Bluestone Memorial Hospital</t>
        </is>
      </c>
      <c r="D1429" t="n">
        <v>137</v>
      </c>
    </row>
    <row r="1430">
      <c r="A1430" t="inlineStr">
        <is>
          <t>ED201470</t>
        </is>
      </c>
      <c r="B1430" s="56" t="n">
        <v>45368.72152777778</v>
      </c>
      <c r="C1430" t="inlineStr">
        <is>
          <t>Ashby Falls Community Hospital</t>
        </is>
      </c>
      <c r="D1430" t="n">
        <v>114</v>
      </c>
    </row>
    <row r="1431">
      <c r="A1431" t="inlineStr">
        <is>
          <t>ED201471</t>
        </is>
      </c>
      <c r="B1431" s="56" t="n">
        <v>45368.73472222222</v>
      </c>
      <c r="C1431" t="inlineStr">
        <is>
          <t>Bluestone Memorial Hospital</t>
        </is>
      </c>
      <c r="D1431" t="n">
        <v>109</v>
      </c>
    </row>
    <row r="1432">
      <c r="A1432" t="inlineStr">
        <is>
          <t>ED201472</t>
        </is>
      </c>
      <c r="B1432" s="56" t="n">
        <v>45368.84444444445</v>
      </c>
      <c r="C1432" t="inlineStr">
        <is>
          <t>Bluestone Memorial Hospital</t>
        </is>
      </c>
      <c r="D1432" t="n">
        <v>33</v>
      </c>
    </row>
    <row r="1433">
      <c r="A1433" t="inlineStr">
        <is>
          <t>ED201473</t>
        </is>
      </c>
      <c r="B1433" s="56" t="n">
        <v>45368.86458333334</v>
      </c>
      <c r="C1433" t="inlineStr">
        <is>
          <t>Bluestone Memorial Hospital</t>
        </is>
      </c>
      <c r="D1433" t="n">
        <v>89</v>
      </c>
    </row>
    <row r="1434">
      <c r="A1434" t="inlineStr">
        <is>
          <t>ED201474</t>
        </is>
      </c>
      <c r="B1434" s="56" t="n">
        <v>45368.88541666666</v>
      </c>
      <c r="C1434" t="inlineStr">
        <is>
          <t>Bluestone Memorial Hospital</t>
        </is>
      </c>
      <c r="D1434" t="n">
        <v>4</v>
      </c>
    </row>
    <row r="1435">
      <c r="A1435" t="inlineStr">
        <is>
          <t>ED201475</t>
        </is>
      </c>
      <c r="B1435" s="56" t="n">
        <v>45368.90486111111</v>
      </c>
      <c r="C1435" t="inlineStr">
        <is>
          <t>Cedar Ridge Medical Center</t>
        </is>
      </c>
      <c r="D1435" t="n">
        <v>56</v>
      </c>
    </row>
    <row r="1436">
      <c r="A1436" t="inlineStr">
        <is>
          <t>ED201476</t>
        </is>
      </c>
      <c r="B1436" s="56" t="n">
        <v>45368.95</v>
      </c>
      <c r="C1436" t="inlineStr">
        <is>
          <t>Cedar Ridge Medical Center</t>
        </is>
      </c>
      <c r="D1436" t="n">
        <v>28</v>
      </c>
    </row>
    <row r="1437">
      <c r="A1437" t="inlineStr">
        <is>
          <t>ED201477</t>
        </is>
      </c>
      <c r="B1437" s="56" t="n">
        <v>45368.98055555556</v>
      </c>
      <c r="C1437" t="inlineStr">
        <is>
          <t>Bluestone Memorial Hospital</t>
        </is>
      </c>
      <c r="D1437" t="n">
        <v>29</v>
      </c>
    </row>
    <row r="1438">
      <c r="A1438" t="inlineStr">
        <is>
          <t>ED201478</t>
        </is>
      </c>
      <c r="B1438" s="56" t="n">
        <v>45369.32569444444</v>
      </c>
      <c r="C1438" t="inlineStr">
        <is>
          <t>Ashby Falls Community Hospital</t>
        </is>
      </c>
      <c r="D1438" t="n">
        <v>45</v>
      </c>
    </row>
    <row r="1439">
      <c r="A1439" t="inlineStr">
        <is>
          <t>ED201479</t>
        </is>
      </c>
      <c r="B1439" s="56" t="n">
        <v>45369.42430555556</v>
      </c>
      <c r="C1439" t="inlineStr">
        <is>
          <t>Bluestone Memorial Hospital</t>
        </is>
      </c>
      <c r="D1439" t="n">
        <v>29</v>
      </c>
    </row>
    <row r="1440">
      <c r="A1440" t="inlineStr">
        <is>
          <t>ED201480</t>
        </is>
      </c>
      <c r="B1440" s="56" t="n">
        <v>45369.44166666667</v>
      </c>
      <c r="C1440" t="inlineStr">
        <is>
          <t>Bluestone Memorial Hospital</t>
        </is>
      </c>
      <c r="D1440" t="n">
        <v>171</v>
      </c>
    </row>
    <row r="1441">
      <c r="A1441" t="inlineStr">
        <is>
          <t>ED201481</t>
        </is>
      </c>
      <c r="B1441" s="56" t="n">
        <v>45369.45694444444</v>
      </c>
      <c r="C1441" t="inlineStr">
        <is>
          <t>Bluestone Memorial Hospital</t>
        </is>
      </c>
      <c r="D1441" t="n">
        <v>74</v>
      </c>
    </row>
    <row r="1442">
      <c r="A1442" t="inlineStr">
        <is>
          <t>ED201482</t>
        </is>
      </c>
      <c r="B1442" s="56" t="n">
        <v>45369.49375</v>
      </c>
      <c r="C1442" t="inlineStr">
        <is>
          <t>Bluestone Memorial Hospital</t>
        </is>
      </c>
      <c r="D1442" t="n">
        <v>37</v>
      </c>
    </row>
    <row r="1443">
      <c r="A1443" t="inlineStr">
        <is>
          <t>ED201483</t>
        </is>
      </c>
      <c r="B1443" s="56" t="n">
        <v>45369.51805555556</v>
      </c>
      <c r="C1443" t="inlineStr">
        <is>
          <t>Bluestone Memorial Hospital</t>
        </is>
      </c>
      <c r="D1443" t="n">
        <v>13</v>
      </c>
    </row>
    <row r="1444">
      <c r="A1444" t="inlineStr">
        <is>
          <t>ED201484</t>
        </is>
      </c>
      <c r="B1444" s="56" t="n">
        <v>45369.57847222222</v>
      </c>
      <c r="C1444" t="inlineStr">
        <is>
          <t>Bluestone Memorial Hospital</t>
        </is>
      </c>
      <c r="D1444" t="n">
        <v>33</v>
      </c>
    </row>
    <row r="1445">
      <c r="A1445" t="inlineStr">
        <is>
          <t>ED201485</t>
        </is>
      </c>
      <c r="B1445" s="56" t="n">
        <v>45369.63194444445</v>
      </c>
      <c r="C1445" t="inlineStr">
        <is>
          <t>Bluestone Memorial Hospital</t>
        </is>
      </c>
      <c r="D1445" t="n">
        <v>29</v>
      </c>
    </row>
    <row r="1446">
      <c r="A1446" t="inlineStr">
        <is>
          <t>ED201486</t>
        </is>
      </c>
      <c r="B1446" s="56" t="n">
        <v>45369.64791666667</v>
      </c>
      <c r="C1446" t="inlineStr">
        <is>
          <t>Bluestone Memorial Hospital</t>
        </is>
      </c>
      <c r="D1446" t="n">
        <v>25</v>
      </c>
    </row>
    <row r="1447">
      <c r="A1447" t="inlineStr">
        <is>
          <t>ED201487</t>
        </is>
      </c>
      <c r="B1447" s="56" t="n">
        <v>45369.65208333333</v>
      </c>
      <c r="C1447" t="inlineStr">
        <is>
          <t>Bluestone Memorial Hospital</t>
        </is>
      </c>
      <c r="D1447" t="n">
        <v>77</v>
      </c>
    </row>
    <row r="1448">
      <c r="A1448" t="inlineStr">
        <is>
          <t>ED201488</t>
        </is>
      </c>
      <c r="B1448" s="56" t="n">
        <v>45369.6625</v>
      </c>
      <c r="C1448" t="inlineStr">
        <is>
          <t>Cedar Ridge Medical Center</t>
        </is>
      </c>
      <c r="D1448" t="n">
        <v>20</v>
      </c>
    </row>
    <row r="1449">
      <c r="A1449" t="inlineStr">
        <is>
          <t>ED201489</t>
        </is>
      </c>
      <c r="B1449" s="56" t="n">
        <v>45369.74583333333</v>
      </c>
      <c r="C1449" t="inlineStr">
        <is>
          <t>Bluestone Memorial Hospital</t>
        </is>
      </c>
      <c r="D1449" t="n">
        <v>34</v>
      </c>
    </row>
    <row r="1450">
      <c r="A1450" t="inlineStr">
        <is>
          <t>ED201490</t>
        </is>
      </c>
      <c r="B1450" s="56" t="n">
        <v>45369.76180555556</v>
      </c>
      <c r="C1450" t="inlineStr">
        <is>
          <t>Bluestone Memorial Hospital</t>
        </is>
      </c>
      <c r="D1450" t="n">
        <v>131</v>
      </c>
    </row>
    <row r="1451">
      <c r="A1451" t="inlineStr">
        <is>
          <t>ED201491</t>
        </is>
      </c>
      <c r="B1451" s="56" t="n">
        <v>45369.80486111111</v>
      </c>
      <c r="C1451" t="inlineStr">
        <is>
          <t>Bluestone Memorial Hospital</t>
        </is>
      </c>
      <c r="D1451" t="n">
        <v>62</v>
      </c>
    </row>
    <row r="1452">
      <c r="A1452" t="inlineStr">
        <is>
          <t>ED201492</t>
        </is>
      </c>
      <c r="B1452" s="56" t="n">
        <v>45369.81319444445</v>
      </c>
      <c r="C1452" t="inlineStr">
        <is>
          <t>Cedar Ridge Medical Center</t>
        </is>
      </c>
      <c r="D1452" t="n">
        <v>129</v>
      </c>
    </row>
    <row r="1453">
      <c r="A1453" t="inlineStr">
        <is>
          <t>ED201493</t>
        </is>
      </c>
      <c r="B1453" s="56" t="n">
        <v>45369.82569444444</v>
      </c>
      <c r="C1453" t="inlineStr">
        <is>
          <t>Bluestone Memorial Hospital</t>
        </is>
      </c>
      <c r="D1453" t="n">
        <v>18</v>
      </c>
    </row>
    <row r="1454">
      <c r="A1454" t="inlineStr">
        <is>
          <t>ED201494</t>
        </is>
      </c>
      <c r="B1454" s="56" t="n">
        <v>45369.93888888889</v>
      </c>
      <c r="C1454" t="inlineStr">
        <is>
          <t>Bluestone Memorial Hospital</t>
        </is>
      </c>
      <c r="D1454" t="n">
        <v>23</v>
      </c>
    </row>
    <row r="1455">
      <c r="A1455" t="inlineStr">
        <is>
          <t>ED201495</t>
        </is>
      </c>
      <c r="B1455" s="56" t="n">
        <v>45370.07013888889</v>
      </c>
      <c r="C1455" t="inlineStr">
        <is>
          <t>Ashby Falls Community Hospital</t>
        </is>
      </c>
      <c r="D1455" t="n">
        <v>38</v>
      </c>
    </row>
    <row r="1456">
      <c r="A1456" t="inlineStr">
        <is>
          <t>ED201496</t>
        </is>
      </c>
      <c r="B1456" s="56" t="n">
        <v>45370.16805555556</v>
      </c>
      <c r="C1456" t="inlineStr">
        <is>
          <t>Bluestone Memorial Hospital</t>
        </is>
      </c>
      <c r="D1456" t="n">
        <v>42</v>
      </c>
    </row>
    <row r="1457">
      <c r="A1457" t="inlineStr">
        <is>
          <t>ED201497</t>
        </is>
      </c>
      <c r="B1457" s="56" t="n">
        <v>45370.31041666667</v>
      </c>
      <c r="C1457" t="inlineStr">
        <is>
          <t>Cedar Ridge Medical Center</t>
        </is>
      </c>
      <c r="D1457" t="n">
        <v>54</v>
      </c>
    </row>
    <row r="1458">
      <c r="A1458" t="inlineStr">
        <is>
          <t>ED201498</t>
        </is>
      </c>
      <c r="B1458" s="56" t="n">
        <v>45370.3625</v>
      </c>
      <c r="C1458" t="inlineStr">
        <is>
          <t>Bluestone Memorial Hospital</t>
        </is>
      </c>
      <c r="D1458" t="n">
        <v>49</v>
      </c>
    </row>
    <row r="1459">
      <c r="A1459" t="inlineStr">
        <is>
          <t>ED201499</t>
        </is>
      </c>
      <c r="B1459" s="56" t="n">
        <v>45370.40069444444</v>
      </c>
      <c r="C1459" t="inlineStr">
        <is>
          <t>Cedar Ridge Medical Center</t>
        </is>
      </c>
      <c r="D1459" t="n">
        <v>28</v>
      </c>
    </row>
    <row r="1460">
      <c r="A1460" t="inlineStr">
        <is>
          <t>ED201500</t>
        </is>
      </c>
      <c r="B1460" s="56" t="n">
        <v>45370.45902777778</v>
      </c>
      <c r="C1460" t="inlineStr">
        <is>
          <t>Bluestone Memorial Hospital</t>
        </is>
      </c>
      <c r="D1460" t="n">
        <v>104</v>
      </c>
    </row>
    <row r="1461">
      <c r="A1461" t="inlineStr">
        <is>
          <t>ED201501</t>
        </is>
      </c>
      <c r="B1461" s="56" t="n">
        <v>45370.54652777778</v>
      </c>
      <c r="C1461" t="inlineStr">
        <is>
          <t>Bluestone Memorial Hospital</t>
        </is>
      </c>
      <c r="D1461" t="n">
        <v>29</v>
      </c>
    </row>
    <row r="1462">
      <c r="A1462" t="inlineStr">
        <is>
          <t>ED201502</t>
        </is>
      </c>
      <c r="B1462" s="56" t="n">
        <v>45370.59583333333</v>
      </c>
      <c r="C1462" t="inlineStr">
        <is>
          <t>Bluestone Memorial Hospital</t>
        </is>
      </c>
      <c r="D1462" t="n">
        <v>66</v>
      </c>
    </row>
    <row r="1463">
      <c r="A1463" t="inlineStr">
        <is>
          <t>ED201503</t>
        </is>
      </c>
      <c r="B1463" s="56" t="n">
        <v>45370.61597222222</v>
      </c>
      <c r="C1463" t="inlineStr">
        <is>
          <t>Bluestone Memorial Hospital</t>
        </is>
      </c>
      <c r="D1463" t="n">
        <v>65</v>
      </c>
    </row>
    <row r="1464">
      <c r="A1464" t="inlineStr">
        <is>
          <t>ED201504</t>
        </is>
      </c>
      <c r="B1464" s="56" t="n">
        <v>45370.62847222222</v>
      </c>
      <c r="C1464" t="inlineStr">
        <is>
          <t>Ashby Falls Community Hospital</t>
        </is>
      </c>
      <c r="D1464" t="n">
        <v>55</v>
      </c>
    </row>
    <row r="1465">
      <c r="A1465" t="inlineStr">
        <is>
          <t>ED201505</t>
        </is>
      </c>
      <c r="B1465" s="56" t="n">
        <v>45370.65277777778</v>
      </c>
      <c r="C1465" t="inlineStr">
        <is>
          <t>Bluestone Memorial Hospital</t>
        </is>
      </c>
      <c r="D1465" t="n">
        <v>125</v>
      </c>
    </row>
    <row r="1466">
      <c r="A1466" t="inlineStr">
        <is>
          <t>ED201506</t>
        </is>
      </c>
      <c r="B1466" s="56" t="n">
        <v>45370.66388888889</v>
      </c>
      <c r="C1466" t="inlineStr">
        <is>
          <t>Cedar Ridge Medical Center</t>
        </is>
      </c>
      <c r="D1466" t="n">
        <v>70</v>
      </c>
    </row>
    <row r="1467">
      <c r="A1467" t="inlineStr">
        <is>
          <t>ED201507</t>
        </is>
      </c>
      <c r="B1467" s="56" t="n">
        <v>45370.74375</v>
      </c>
      <c r="C1467" t="inlineStr">
        <is>
          <t>Bluestone Memorial Hospital</t>
        </is>
      </c>
      <c r="D1467" t="n">
        <v>64</v>
      </c>
    </row>
    <row r="1468">
      <c r="A1468" t="inlineStr">
        <is>
          <t>ED201508</t>
        </is>
      </c>
      <c r="B1468" s="56" t="n">
        <v>45370.74583333333</v>
      </c>
      <c r="C1468" t="inlineStr">
        <is>
          <t>Bluestone Memorial Hospital</t>
        </is>
      </c>
      <c r="D1468" t="n">
        <v>91</v>
      </c>
    </row>
    <row r="1469">
      <c r="A1469" t="inlineStr">
        <is>
          <t>ED201509</t>
        </is>
      </c>
      <c r="B1469" s="56" t="n">
        <v>45370.77361111111</v>
      </c>
      <c r="C1469" t="inlineStr">
        <is>
          <t>Ashby Falls Community Hospital</t>
        </is>
      </c>
      <c r="D1469" t="n">
        <v>61</v>
      </c>
    </row>
    <row r="1470">
      <c r="A1470" t="inlineStr">
        <is>
          <t>ED201510</t>
        </is>
      </c>
      <c r="B1470" s="56" t="n">
        <v>45370.79652777778</v>
      </c>
      <c r="C1470" t="inlineStr">
        <is>
          <t>Ashby Falls Community Hospital</t>
        </is>
      </c>
      <c r="D1470" t="n">
        <v>39</v>
      </c>
    </row>
    <row r="1471">
      <c r="A1471" t="inlineStr">
        <is>
          <t>ED201511</t>
        </is>
      </c>
      <c r="B1471" s="56" t="n">
        <v>45370.79861111111</v>
      </c>
      <c r="C1471" t="inlineStr">
        <is>
          <t>Cedar Ridge Medical Center</t>
        </is>
      </c>
      <c r="D1471" t="n">
        <v>188</v>
      </c>
    </row>
    <row r="1472">
      <c r="A1472" t="inlineStr">
        <is>
          <t>ED201512</t>
        </is>
      </c>
      <c r="B1472" s="56" t="n">
        <v>45370.81111111111</v>
      </c>
      <c r="C1472" t="inlineStr">
        <is>
          <t>Bluestone Memorial Hospital</t>
        </is>
      </c>
      <c r="D1472" t="n">
        <v>65</v>
      </c>
    </row>
    <row r="1473">
      <c r="A1473" t="inlineStr">
        <is>
          <t>ED201513</t>
        </is>
      </c>
      <c r="B1473" s="56" t="n">
        <v>45370.84305555555</v>
      </c>
      <c r="C1473" t="inlineStr">
        <is>
          <t>Bluestone Memorial Hospital</t>
        </is>
      </c>
      <c r="D1473" t="n">
        <v>78</v>
      </c>
    </row>
    <row r="1474">
      <c r="A1474" t="inlineStr">
        <is>
          <t>ED201514</t>
        </is>
      </c>
      <c r="B1474" s="56" t="n">
        <v>45370.92291666667</v>
      </c>
      <c r="C1474" t="inlineStr">
        <is>
          <t>Bluestone Memorial Hospital</t>
        </is>
      </c>
      <c r="D1474" t="n">
        <v>55</v>
      </c>
    </row>
    <row r="1475">
      <c r="A1475" t="inlineStr">
        <is>
          <t>ED201515</t>
        </is>
      </c>
      <c r="B1475" s="56" t="n">
        <v>45370.96180555555</v>
      </c>
      <c r="C1475" t="inlineStr">
        <is>
          <t>Bluestone Memorial Hospital</t>
        </is>
      </c>
      <c r="D1475" t="n">
        <v>72</v>
      </c>
    </row>
    <row r="1476">
      <c r="A1476" t="inlineStr">
        <is>
          <t>ED201516</t>
        </is>
      </c>
      <c r="B1476" s="56" t="n">
        <v>45370.97430555556</v>
      </c>
      <c r="C1476" t="inlineStr">
        <is>
          <t>Bluestone Memorial Hospital</t>
        </is>
      </c>
      <c r="D1476" t="n">
        <v>17</v>
      </c>
    </row>
    <row r="1477">
      <c r="A1477" t="inlineStr">
        <is>
          <t>ED201517</t>
        </is>
      </c>
      <c r="B1477" s="56" t="n">
        <v>45371.04791666667</v>
      </c>
      <c r="C1477" t="inlineStr">
        <is>
          <t>Cedar Ridge Medical Center</t>
        </is>
      </c>
      <c r="D1477" t="n">
        <v>58</v>
      </c>
    </row>
    <row r="1478">
      <c r="A1478" t="inlineStr">
        <is>
          <t>ED201518</t>
        </is>
      </c>
      <c r="B1478" s="56" t="n">
        <v>45371.35694444444</v>
      </c>
      <c r="C1478" t="inlineStr">
        <is>
          <t>Bluestone Memorial Hospital</t>
        </is>
      </c>
      <c r="D1478" t="n">
        <v>55</v>
      </c>
    </row>
    <row r="1479">
      <c r="A1479" t="inlineStr">
        <is>
          <t>ED201519</t>
        </is>
      </c>
      <c r="B1479" s="56" t="n">
        <v>45371.3625</v>
      </c>
      <c r="C1479" t="inlineStr">
        <is>
          <t>Bluestone Memorial Hospital</t>
        </is>
      </c>
      <c r="D1479" t="n">
        <v>37</v>
      </c>
    </row>
    <row r="1480">
      <c r="A1480" t="inlineStr">
        <is>
          <t>ED201520</t>
        </is>
      </c>
      <c r="B1480" s="56" t="n">
        <v>45371.36527777778</v>
      </c>
      <c r="C1480" t="inlineStr">
        <is>
          <t>Bluestone Memorial Hospital</t>
        </is>
      </c>
      <c r="D1480" t="n">
        <v>9</v>
      </c>
    </row>
    <row r="1481">
      <c r="A1481" t="inlineStr">
        <is>
          <t>ED201521</t>
        </is>
      </c>
      <c r="B1481" s="56" t="n">
        <v>45371.44583333333</v>
      </c>
      <c r="C1481" t="inlineStr">
        <is>
          <t>Bluestone Memorial Hospital</t>
        </is>
      </c>
      <c r="D1481" t="n">
        <v>71</v>
      </c>
    </row>
    <row r="1482">
      <c r="A1482" t="inlineStr">
        <is>
          <t>ED201522</t>
        </is>
      </c>
      <c r="B1482" s="56" t="n">
        <v>45371.55694444444</v>
      </c>
      <c r="C1482" t="inlineStr">
        <is>
          <t>Bluestone Memorial Hospital</t>
        </is>
      </c>
      <c r="D1482" t="n">
        <v>16</v>
      </c>
    </row>
    <row r="1483">
      <c r="A1483" t="inlineStr">
        <is>
          <t>ED201523</t>
        </is>
      </c>
      <c r="B1483" s="56" t="n">
        <v>45371.58055555556</v>
      </c>
      <c r="C1483" t="inlineStr">
        <is>
          <t>Ashby Falls Community Hospital</t>
        </is>
      </c>
      <c r="D1483" t="n">
        <v>23</v>
      </c>
    </row>
    <row r="1484">
      <c r="A1484" t="inlineStr">
        <is>
          <t>ED201524</t>
        </is>
      </c>
      <c r="B1484" s="56" t="n">
        <v>45371.59513888889</v>
      </c>
      <c r="C1484" t="inlineStr">
        <is>
          <t>Bluestone Memorial Hospital</t>
        </is>
      </c>
      <c r="D1484" t="n">
        <v>52</v>
      </c>
    </row>
    <row r="1485">
      <c r="A1485" t="inlineStr">
        <is>
          <t>ED201525</t>
        </is>
      </c>
      <c r="B1485" s="56" t="n">
        <v>45371.60208333333</v>
      </c>
      <c r="C1485" t="inlineStr">
        <is>
          <t>Cedar Ridge Medical Center</t>
        </is>
      </c>
      <c r="D1485" t="n">
        <v>58</v>
      </c>
    </row>
    <row r="1486">
      <c r="A1486" t="inlineStr">
        <is>
          <t>ED201526</t>
        </is>
      </c>
      <c r="B1486" s="56" t="n">
        <v>45371.62152777778</v>
      </c>
      <c r="C1486" t="inlineStr">
        <is>
          <t>Bluestone Memorial Hospital</t>
        </is>
      </c>
      <c r="D1486" t="n">
        <v>12</v>
      </c>
    </row>
    <row r="1487">
      <c r="A1487" t="inlineStr">
        <is>
          <t>ED201527</t>
        </is>
      </c>
      <c r="B1487" s="56" t="n">
        <v>45371.63680555556</v>
      </c>
      <c r="C1487" t="inlineStr">
        <is>
          <t>Bluestone Memorial Hospital</t>
        </is>
      </c>
      <c r="D1487" t="n">
        <v>50</v>
      </c>
    </row>
    <row r="1488">
      <c r="A1488" t="inlineStr">
        <is>
          <t>ED201528</t>
        </is>
      </c>
      <c r="B1488" s="56" t="n">
        <v>45371.67222222222</v>
      </c>
      <c r="C1488" t="inlineStr">
        <is>
          <t>Cedar Ridge Medical Center</t>
        </is>
      </c>
      <c r="D1488" t="n">
        <v>43</v>
      </c>
    </row>
    <row r="1489">
      <c r="A1489" t="inlineStr">
        <is>
          <t>ED201529</t>
        </is>
      </c>
      <c r="B1489" s="56" t="n">
        <v>45371.68680555555</v>
      </c>
      <c r="C1489" t="inlineStr">
        <is>
          <t>Ashby Falls Community Hospital</t>
        </is>
      </c>
      <c r="D1489" t="n">
        <v>86</v>
      </c>
    </row>
    <row r="1490">
      <c r="A1490" t="inlineStr">
        <is>
          <t>ED201530</t>
        </is>
      </c>
      <c r="B1490" s="56" t="n">
        <v>45371.70416666667</v>
      </c>
      <c r="C1490" t="inlineStr">
        <is>
          <t>Bluestone Memorial Hospital</t>
        </is>
      </c>
      <c r="D1490" t="n">
        <v>20</v>
      </c>
    </row>
    <row r="1491">
      <c r="A1491" t="inlineStr">
        <is>
          <t>ED201531</t>
        </is>
      </c>
      <c r="B1491" s="56" t="n">
        <v>45371.75625</v>
      </c>
      <c r="C1491" t="inlineStr">
        <is>
          <t>Bluestone Memorial Hospital</t>
        </is>
      </c>
      <c r="D1491" t="n">
        <v>17</v>
      </c>
    </row>
    <row r="1492">
      <c r="A1492" t="inlineStr">
        <is>
          <t>ED201532</t>
        </is>
      </c>
      <c r="B1492" s="56" t="n">
        <v>45371.78263888889</v>
      </c>
      <c r="C1492" t="inlineStr">
        <is>
          <t>Ashby Falls Community Hospital</t>
        </is>
      </c>
      <c r="D1492" t="n">
        <v>2</v>
      </c>
    </row>
    <row r="1493">
      <c r="A1493" t="inlineStr">
        <is>
          <t>ED201533</t>
        </is>
      </c>
      <c r="B1493" s="56" t="n">
        <v>45371.82777777778</v>
      </c>
      <c r="C1493" t="inlineStr">
        <is>
          <t>Bluestone Memorial Hospital</t>
        </is>
      </c>
      <c r="D1493" t="n">
        <v>14</v>
      </c>
    </row>
    <row r="1494">
      <c r="A1494" t="inlineStr">
        <is>
          <t>ED201534</t>
        </is>
      </c>
      <c r="B1494" s="56" t="n">
        <v>45371.84166666667</v>
      </c>
      <c r="C1494" t="inlineStr">
        <is>
          <t>Ashby Falls Community Hospital</t>
        </is>
      </c>
      <c r="D1494" t="n">
        <v>14</v>
      </c>
    </row>
    <row r="1495">
      <c r="A1495" t="inlineStr">
        <is>
          <t>ED201535</t>
        </is>
      </c>
      <c r="B1495" s="56" t="n">
        <v>45371.86180555556</v>
      </c>
      <c r="C1495" t="inlineStr">
        <is>
          <t>Bluestone Memorial Hospital</t>
        </is>
      </c>
      <c r="D1495" t="n">
        <v>53</v>
      </c>
    </row>
    <row r="1496">
      <c r="A1496" t="inlineStr">
        <is>
          <t>ED201536</t>
        </is>
      </c>
      <c r="B1496" s="56" t="n">
        <v>45371.91041666667</v>
      </c>
      <c r="C1496" t="inlineStr">
        <is>
          <t>Bluestone Memorial Hospital</t>
        </is>
      </c>
      <c r="D1496" t="n">
        <v>138</v>
      </c>
    </row>
    <row r="1497">
      <c r="A1497" t="inlineStr">
        <is>
          <t>ED201537</t>
        </is>
      </c>
      <c r="B1497" s="56" t="n">
        <v>45371.91458333333</v>
      </c>
      <c r="C1497" t="inlineStr">
        <is>
          <t>Bluestone Memorial Hospital</t>
        </is>
      </c>
      <c r="D1497" t="n">
        <v>68</v>
      </c>
    </row>
    <row r="1498">
      <c r="A1498" t="inlineStr">
        <is>
          <t>ED201538</t>
        </is>
      </c>
      <c r="B1498" s="56" t="n">
        <v>45371.93680555555</v>
      </c>
      <c r="C1498" t="inlineStr">
        <is>
          <t>Bluestone Memorial Hospital</t>
        </is>
      </c>
      <c r="D1498" t="n">
        <v>22</v>
      </c>
    </row>
    <row r="1499">
      <c r="A1499" t="inlineStr">
        <is>
          <t>ED201539</t>
        </is>
      </c>
      <c r="B1499" s="56" t="n">
        <v>45372.05416666667</v>
      </c>
      <c r="C1499" t="inlineStr">
        <is>
          <t>Cedar Ridge Medical Center</t>
        </is>
      </c>
      <c r="D1499" t="n">
        <v>16</v>
      </c>
    </row>
    <row r="1500">
      <c r="A1500" t="inlineStr">
        <is>
          <t>ED201540</t>
        </is>
      </c>
      <c r="B1500" s="56" t="n">
        <v>45372.27083333334</v>
      </c>
      <c r="C1500" t="inlineStr">
        <is>
          <t>Bluestone Memorial Hospital</t>
        </is>
      </c>
      <c r="D1500" t="n">
        <v>18</v>
      </c>
    </row>
    <row r="1501">
      <c r="A1501" t="inlineStr">
        <is>
          <t>ED201541</t>
        </is>
      </c>
      <c r="B1501" s="56" t="n">
        <v>45372.44513888889</v>
      </c>
      <c r="C1501" t="inlineStr">
        <is>
          <t>Bluestone Memorial Hospital</t>
        </is>
      </c>
      <c r="D1501" t="n">
        <v>31</v>
      </c>
    </row>
    <row r="1502">
      <c r="A1502" t="inlineStr">
        <is>
          <t>ED201542</t>
        </is>
      </c>
      <c r="B1502" s="56" t="n">
        <v>45372.45069444444</v>
      </c>
      <c r="C1502" t="inlineStr">
        <is>
          <t>Bluestone Memorial Hospital</t>
        </is>
      </c>
      <c r="D1502" t="n">
        <v>59</v>
      </c>
    </row>
    <row r="1503">
      <c r="A1503" t="inlineStr">
        <is>
          <t>ED201543</t>
        </is>
      </c>
      <c r="B1503" s="56" t="n">
        <v>45372.54444444444</v>
      </c>
      <c r="C1503" t="inlineStr">
        <is>
          <t>Bluestone Memorial Hospital</t>
        </is>
      </c>
      <c r="D1503" t="n">
        <v>72</v>
      </c>
    </row>
    <row r="1504">
      <c r="A1504" t="inlineStr">
        <is>
          <t>ED201544</t>
        </is>
      </c>
      <c r="B1504" s="56" t="n">
        <v>45372.56805555556</v>
      </c>
      <c r="C1504" t="inlineStr">
        <is>
          <t>Bluestone Memorial Hospital</t>
        </is>
      </c>
      <c r="D1504" t="n">
        <v>34</v>
      </c>
    </row>
    <row r="1505">
      <c r="A1505" t="inlineStr">
        <is>
          <t>ED201545</t>
        </is>
      </c>
      <c r="B1505" s="56" t="n">
        <v>45372.64236111111</v>
      </c>
      <c r="C1505" t="inlineStr">
        <is>
          <t>Cedar Ridge Medical Center</t>
        </is>
      </c>
      <c r="D1505" t="n">
        <v>33</v>
      </c>
    </row>
    <row r="1506">
      <c r="A1506" t="inlineStr">
        <is>
          <t>ED201547</t>
        </is>
      </c>
      <c r="B1506" s="56" t="n">
        <v>45372.68402777778</v>
      </c>
      <c r="C1506" t="inlineStr">
        <is>
          <t>Cedar Ridge Medical Center</t>
        </is>
      </c>
      <c r="D1506" t="n">
        <v>32</v>
      </c>
    </row>
    <row r="1507">
      <c r="A1507" t="inlineStr">
        <is>
          <t>ED201548</t>
        </is>
      </c>
      <c r="B1507" s="56" t="n">
        <v>45372.70486111111</v>
      </c>
      <c r="C1507" t="inlineStr">
        <is>
          <t>Bluestone Memorial Hospital</t>
        </is>
      </c>
      <c r="D1507" t="n">
        <v>38</v>
      </c>
    </row>
    <row r="1508">
      <c r="A1508" t="inlineStr">
        <is>
          <t>ED201549</t>
        </is>
      </c>
      <c r="B1508" s="56" t="n">
        <v>45372.71597222222</v>
      </c>
      <c r="C1508" t="inlineStr">
        <is>
          <t>Bluestone Memorial Hospital</t>
        </is>
      </c>
      <c r="D1508" t="n">
        <v>73</v>
      </c>
    </row>
    <row r="1509">
      <c r="A1509" t="inlineStr">
        <is>
          <t>ED201550</t>
        </is>
      </c>
      <c r="B1509" s="56" t="n">
        <v>45372.73611111111</v>
      </c>
      <c r="C1509" t="inlineStr">
        <is>
          <t>Bluestone Memorial Hospital</t>
        </is>
      </c>
      <c r="D1509" t="n">
        <v>85</v>
      </c>
    </row>
    <row r="1510">
      <c r="A1510" t="inlineStr">
        <is>
          <t>ED201551</t>
        </is>
      </c>
      <c r="B1510" s="56" t="n">
        <v>45372.73680555556</v>
      </c>
      <c r="C1510" t="inlineStr">
        <is>
          <t>Bluestone Memorial Hospital</t>
        </is>
      </c>
      <c r="D1510" t="n">
        <v>13</v>
      </c>
    </row>
    <row r="1511">
      <c r="A1511" t="inlineStr">
        <is>
          <t>ED201552</t>
        </is>
      </c>
      <c r="B1511" s="56" t="n">
        <v>45372.75625</v>
      </c>
      <c r="C1511" t="inlineStr">
        <is>
          <t>Bluestone Memorial Hospital</t>
        </is>
      </c>
      <c r="D1511" t="n">
        <v>64</v>
      </c>
    </row>
    <row r="1512">
      <c r="A1512" t="inlineStr">
        <is>
          <t>ED201553</t>
        </is>
      </c>
      <c r="B1512" s="56" t="n">
        <v>45372.79861111111</v>
      </c>
      <c r="C1512" t="inlineStr">
        <is>
          <t>Bluestone Memorial Hospital</t>
        </is>
      </c>
      <c r="D1512" t="n">
        <v>94</v>
      </c>
    </row>
    <row r="1513">
      <c r="A1513" t="inlineStr">
        <is>
          <t>ED201554</t>
        </is>
      </c>
      <c r="B1513" s="56" t="n">
        <v>45372.80486111111</v>
      </c>
      <c r="C1513" t="inlineStr">
        <is>
          <t>Ashby Falls Community Hospital</t>
        </is>
      </c>
      <c r="D1513" t="n">
        <v>50</v>
      </c>
    </row>
    <row r="1514">
      <c r="A1514" t="inlineStr">
        <is>
          <t>ED201555</t>
        </is>
      </c>
      <c r="B1514" s="56" t="n">
        <v>45372.80833333333</v>
      </c>
      <c r="C1514" t="inlineStr">
        <is>
          <t>Bluestone Memorial Hospital</t>
        </is>
      </c>
      <c r="D1514" t="n">
        <v>13</v>
      </c>
    </row>
    <row r="1515">
      <c r="A1515" t="inlineStr">
        <is>
          <t>ED201556</t>
        </is>
      </c>
      <c r="B1515" s="56" t="n">
        <v>45372.81111111111</v>
      </c>
      <c r="C1515" t="inlineStr">
        <is>
          <t>Bluestone Memorial Hospital</t>
        </is>
      </c>
      <c r="D1515" t="n">
        <v>85</v>
      </c>
    </row>
    <row r="1516">
      <c r="A1516" t="inlineStr">
        <is>
          <t>ED201557</t>
        </is>
      </c>
      <c r="B1516" s="56" t="n">
        <v>45372.83194444444</v>
      </c>
      <c r="C1516" t="inlineStr">
        <is>
          <t>Bluestone Memorial Hospital</t>
        </is>
      </c>
      <c r="D1516" t="n">
        <v>63</v>
      </c>
    </row>
    <row r="1517">
      <c r="A1517" t="inlineStr">
        <is>
          <t>ED201558</t>
        </is>
      </c>
      <c r="B1517" s="56" t="n">
        <v>45372.8375</v>
      </c>
      <c r="C1517" t="inlineStr">
        <is>
          <t>Cedar Ridge Medical Center</t>
        </is>
      </c>
      <c r="D1517" t="n">
        <v>70</v>
      </c>
    </row>
    <row r="1518">
      <c r="A1518" t="inlineStr">
        <is>
          <t>ED201560</t>
        </is>
      </c>
      <c r="B1518" s="56" t="n">
        <v>45372.89652777778</v>
      </c>
      <c r="C1518" t="inlineStr">
        <is>
          <t>Cedar Ridge Medical Center</t>
        </is>
      </c>
      <c r="D1518" t="n">
        <v>36</v>
      </c>
    </row>
    <row r="1519">
      <c r="A1519" t="inlineStr">
        <is>
          <t>ED201561</t>
        </is>
      </c>
      <c r="B1519" s="56" t="n">
        <v>45373.37638888889</v>
      </c>
      <c r="C1519" t="inlineStr">
        <is>
          <t>Bluestone Memorial Hospital</t>
        </is>
      </c>
      <c r="D1519" t="n">
        <v>20</v>
      </c>
    </row>
    <row r="1520">
      <c r="A1520" t="inlineStr">
        <is>
          <t>ED201562</t>
        </is>
      </c>
      <c r="B1520" s="56" t="n">
        <v>45373.45694444444</v>
      </c>
      <c r="C1520" t="inlineStr">
        <is>
          <t>Cedar Ridge Medical Center</t>
        </is>
      </c>
      <c r="D1520" t="n">
        <v>54</v>
      </c>
    </row>
    <row r="1521">
      <c r="A1521" t="inlineStr">
        <is>
          <t>ED201563</t>
        </is>
      </c>
      <c r="B1521" s="56" t="n">
        <v>45373.47013888889</v>
      </c>
      <c r="C1521" t="inlineStr">
        <is>
          <t>Cedar Ridge Medical Center</t>
        </is>
      </c>
      <c r="D1521" t="n">
        <v>85</v>
      </c>
    </row>
    <row r="1522">
      <c r="A1522" t="inlineStr">
        <is>
          <t>ED201564</t>
        </is>
      </c>
      <c r="B1522" s="56" t="n">
        <v>45373.47638888889</v>
      </c>
      <c r="C1522" t="inlineStr">
        <is>
          <t>Bluestone Memorial Hospital</t>
        </is>
      </c>
      <c r="D1522" t="n">
        <v>49</v>
      </c>
    </row>
    <row r="1523">
      <c r="A1523" t="inlineStr">
        <is>
          <t>ED201565</t>
        </is>
      </c>
      <c r="B1523" s="56" t="n">
        <v>45373.50347222222</v>
      </c>
      <c r="C1523" t="inlineStr">
        <is>
          <t>Cedar Ridge Medical Center</t>
        </is>
      </c>
      <c r="D1523" t="n">
        <v>99</v>
      </c>
    </row>
    <row r="1524">
      <c r="A1524" t="inlineStr">
        <is>
          <t>ED201567</t>
        </is>
      </c>
      <c r="B1524" s="56" t="n">
        <v>45373.55208333334</v>
      </c>
      <c r="C1524" t="inlineStr">
        <is>
          <t>Bluestone Memorial Hospital</t>
        </is>
      </c>
      <c r="D1524" t="n">
        <v>56</v>
      </c>
    </row>
    <row r="1525">
      <c r="A1525" t="inlineStr">
        <is>
          <t>ED201568</t>
        </is>
      </c>
      <c r="B1525" s="56" t="n">
        <v>45373.58333333334</v>
      </c>
      <c r="C1525" t="inlineStr">
        <is>
          <t>Bluestone Memorial Hospital</t>
        </is>
      </c>
      <c r="D1525" t="n">
        <v>66</v>
      </c>
    </row>
    <row r="1526">
      <c r="A1526" t="inlineStr">
        <is>
          <t>ED201569</t>
        </is>
      </c>
      <c r="B1526" s="56" t="n">
        <v>45373.64097222222</v>
      </c>
      <c r="C1526" t="inlineStr">
        <is>
          <t>Bluestone Memorial Hospital</t>
        </is>
      </c>
      <c r="D1526" t="n">
        <v>29</v>
      </c>
    </row>
    <row r="1527">
      <c r="A1527" t="inlineStr">
        <is>
          <t>ED201570</t>
        </is>
      </c>
      <c r="B1527" s="56" t="n">
        <v>45373.65416666667</v>
      </c>
      <c r="C1527" t="inlineStr">
        <is>
          <t>Bluestone Memorial Hospital</t>
        </is>
      </c>
      <c r="D1527" t="n">
        <v>32</v>
      </c>
    </row>
    <row r="1528">
      <c r="A1528" t="inlineStr">
        <is>
          <t>ED201571</t>
        </is>
      </c>
      <c r="B1528" s="56" t="n">
        <v>45373.65486111111</v>
      </c>
      <c r="C1528" t="inlineStr">
        <is>
          <t>Bluestone Memorial Hospital</t>
        </is>
      </c>
      <c r="D1528" t="n">
        <v>41</v>
      </c>
    </row>
    <row r="1529">
      <c r="A1529" t="inlineStr">
        <is>
          <t>ED201572</t>
        </is>
      </c>
      <c r="B1529" s="56" t="n">
        <v>45373.66875</v>
      </c>
      <c r="C1529" t="inlineStr">
        <is>
          <t>Cedar Ridge Medical Center</t>
        </is>
      </c>
      <c r="D1529" t="n">
        <v>88</v>
      </c>
    </row>
    <row r="1530">
      <c r="A1530" t="inlineStr">
        <is>
          <t>ED201573</t>
        </is>
      </c>
      <c r="B1530" s="56" t="n">
        <v>45373.6875</v>
      </c>
      <c r="C1530" t="inlineStr">
        <is>
          <t>Bluestone Memorial Hospital</t>
        </is>
      </c>
      <c r="D1530" t="n">
        <v>72</v>
      </c>
    </row>
    <row r="1531">
      <c r="A1531" t="inlineStr">
        <is>
          <t>ED201574</t>
        </is>
      </c>
      <c r="B1531" s="56" t="n">
        <v>45373.71111111111</v>
      </c>
      <c r="C1531" t="inlineStr">
        <is>
          <t>Bluestone Memorial Hospital</t>
        </is>
      </c>
      <c r="D1531" t="n">
        <v>37</v>
      </c>
    </row>
    <row r="1532">
      <c r="A1532" t="inlineStr">
        <is>
          <t>ED201575</t>
        </is>
      </c>
      <c r="B1532" s="56" t="n">
        <v>45373.73194444444</v>
      </c>
      <c r="C1532" t="inlineStr">
        <is>
          <t>Cedar Ridge Medical Center</t>
        </is>
      </c>
      <c r="D1532" t="n">
        <v>18</v>
      </c>
    </row>
    <row r="1533">
      <c r="A1533" t="inlineStr">
        <is>
          <t>ED201576</t>
        </is>
      </c>
      <c r="B1533" s="56" t="n">
        <v>45373.73819444444</v>
      </c>
      <c r="C1533" t="inlineStr">
        <is>
          <t>Ashby Falls Community Hospital</t>
        </is>
      </c>
      <c r="D1533" t="n">
        <v>33</v>
      </c>
    </row>
    <row r="1534">
      <c r="A1534" t="inlineStr">
        <is>
          <t>ED201577</t>
        </is>
      </c>
      <c r="B1534" s="56" t="n">
        <v>45373.80416666667</v>
      </c>
      <c r="C1534" t="inlineStr">
        <is>
          <t>Bluestone Memorial Hospital</t>
        </is>
      </c>
      <c r="D1534" t="n">
        <v>38</v>
      </c>
    </row>
    <row r="1535">
      <c r="A1535" t="inlineStr">
        <is>
          <t>ED201578</t>
        </is>
      </c>
      <c r="B1535" s="56" t="n">
        <v>45373.92013888889</v>
      </c>
      <c r="C1535" t="inlineStr">
        <is>
          <t>Bluestone Memorial Hospital</t>
        </is>
      </c>
      <c r="D1535" t="n">
        <v>16</v>
      </c>
    </row>
    <row r="1536">
      <c r="A1536" t="inlineStr">
        <is>
          <t>ED201579</t>
        </is>
      </c>
      <c r="B1536" s="56" t="n">
        <v>45373.93888888889</v>
      </c>
      <c r="C1536" t="inlineStr">
        <is>
          <t>Bluestone Memorial Hospital</t>
        </is>
      </c>
      <c r="D1536" t="n">
        <v>10</v>
      </c>
    </row>
    <row r="1537">
      <c r="A1537" t="inlineStr">
        <is>
          <t>ED201580</t>
        </is>
      </c>
      <c r="B1537" s="56" t="n">
        <v>45374.05902777778</v>
      </c>
      <c r="C1537" t="inlineStr">
        <is>
          <t>Ashby Falls Community Hospital</t>
        </is>
      </c>
      <c r="D1537" t="n">
        <v>38</v>
      </c>
    </row>
    <row r="1538">
      <c r="A1538" t="inlineStr">
        <is>
          <t>ED201581</t>
        </is>
      </c>
      <c r="B1538" s="56" t="n">
        <v>45374.25486111111</v>
      </c>
      <c r="C1538" t="inlineStr">
        <is>
          <t>Bluestone Memorial Hospital</t>
        </is>
      </c>
      <c r="D1538" t="n">
        <v>81</v>
      </c>
    </row>
    <row r="1539">
      <c r="A1539" t="inlineStr">
        <is>
          <t>ED201582</t>
        </is>
      </c>
      <c r="B1539" s="56" t="n">
        <v>45374.25972222222</v>
      </c>
      <c r="C1539" t="inlineStr">
        <is>
          <t>Bluestone Memorial Hospital</t>
        </is>
      </c>
      <c r="D1539" t="n">
        <v>82</v>
      </c>
    </row>
    <row r="1540">
      <c r="A1540" t="inlineStr">
        <is>
          <t>ED201583</t>
        </is>
      </c>
      <c r="B1540" s="56" t="n">
        <v>45374.29583333333</v>
      </c>
      <c r="C1540" t="inlineStr">
        <is>
          <t>Bluestone Memorial Hospital</t>
        </is>
      </c>
      <c r="D1540" t="n">
        <v>46</v>
      </c>
    </row>
    <row r="1541">
      <c r="A1541" t="inlineStr">
        <is>
          <t>ED201584</t>
        </is>
      </c>
      <c r="B1541" s="56" t="n">
        <v>45374.43194444444</v>
      </c>
      <c r="C1541" t="inlineStr">
        <is>
          <t>Bluestone Memorial Hospital</t>
        </is>
      </c>
      <c r="D1541" t="n">
        <v>22</v>
      </c>
    </row>
    <row r="1542">
      <c r="A1542" t="inlineStr">
        <is>
          <t>ED201585</t>
        </is>
      </c>
      <c r="B1542" s="56" t="n">
        <v>45374.44166666667</v>
      </c>
      <c r="C1542" t="inlineStr">
        <is>
          <t>Bluestone Memorial Hospital</t>
        </is>
      </c>
      <c r="D1542" t="n">
        <v>73</v>
      </c>
    </row>
    <row r="1543">
      <c r="A1543" t="inlineStr">
        <is>
          <t>ED201586</t>
        </is>
      </c>
      <c r="B1543" s="56" t="n">
        <v>45374.47708333333</v>
      </c>
      <c r="C1543" t="inlineStr">
        <is>
          <t>Ashby Falls Community Hospital</t>
        </is>
      </c>
      <c r="D1543" t="n">
        <v>59</v>
      </c>
    </row>
    <row r="1544">
      <c r="A1544" t="inlineStr">
        <is>
          <t>ED201587</t>
        </is>
      </c>
      <c r="B1544" s="56" t="n">
        <v>45374.53194444445</v>
      </c>
      <c r="C1544" t="inlineStr">
        <is>
          <t>Bluestone Memorial Hospital</t>
        </is>
      </c>
      <c r="D1544" t="n">
        <v>26</v>
      </c>
    </row>
    <row r="1545">
      <c r="A1545" t="inlineStr">
        <is>
          <t>ED201588</t>
        </is>
      </c>
      <c r="B1545" s="56" t="n">
        <v>45374.54652777778</v>
      </c>
      <c r="C1545" t="inlineStr">
        <is>
          <t>Ashby Falls Community Hospital</t>
        </is>
      </c>
      <c r="D1545" t="n">
        <v>65</v>
      </c>
    </row>
    <row r="1546">
      <c r="A1546" t="inlineStr">
        <is>
          <t>ED201589</t>
        </is>
      </c>
      <c r="B1546" s="56" t="n">
        <v>45374.55069444444</v>
      </c>
      <c r="C1546" t="inlineStr">
        <is>
          <t>Bluestone Memorial Hospital</t>
        </is>
      </c>
      <c r="D1546" t="n">
        <v>73</v>
      </c>
    </row>
    <row r="1547">
      <c r="A1547" t="inlineStr">
        <is>
          <t>ED201590</t>
        </is>
      </c>
      <c r="B1547" s="56" t="n">
        <v>45374.59444444445</v>
      </c>
      <c r="C1547" t="inlineStr">
        <is>
          <t>Bluestone Memorial Hospital</t>
        </is>
      </c>
      <c r="D1547" t="n">
        <v>85</v>
      </c>
    </row>
    <row r="1548">
      <c r="A1548" t="inlineStr">
        <is>
          <t>ED201591</t>
        </is>
      </c>
      <c r="B1548" s="56" t="n">
        <v>45374.62013888889</v>
      </c>
      <c r="C1548" t="inlineStr">
        <is>
          <t>Bluestone Memorial Hospital</t>
        </is>
      </c>
      <c r="D1548" t="n">
        <v>72</v>
      </c>
    </row>
    <row r="1549">
      <c r="A1549" t="inlineStr">
        <is>
          <t>ED201592</t>
        </is>
      </c>
      <c r="B1549" s="56" t="n">
        <v>45374.65486111111</v>
      </c>
      <c r="C1549" t="inlineStr">
        <is>
          <t>Bluestone Memorial Hospital</t>
        </is>
      </c>
      <c r="D1549" t="n">
        <v>36</v>
      </c>
    </row>
    <row r="1550">
      <c r="A1550" t="inlineStr">
        <is>
          <t>ED201593</t>
        </is>
      </c>
      <c r="B1550" s="56" t="n">
        <v>45374.67777777778</v>
      </c>
      <c r="C1550" t="inlineStr">
        <is>
          <t>Bluestone Memorial Hospital</t>
        </is>
      </c>
      <c r="D1550" t="n">
        <v>13</v>
      </c>
    </row>
    <row r="1551">
      <c r="A1551" t="inlineStr">
        <is>
          <t>ED201594</t>
        </is>
      </c>
      <c r="B1551" s="56" t="n">
        <v>45374.68819444445</v>
      </c>
      <c r="C1551" t="inlineStr">
        <is>
          <t>Bluestone Memorial Hospital</t>
        </is>
      </c>
      <c r="D1551" t="n">
        <v>51</v>
      </c>
    </row>
    <row r="1552">
      <c r="A1552" t="inlineStr">
        <is>
          <t>ED201595</t>
        </is>
      </c>
      <c r="B1552" s="56" t="n">
        <v>45374.72083333333</v>
      </c>
      <c r="C1552" t="inlineStr">
        <is>
          <t>Bluestone Memorial Hospital</t>
        </is>
      </c>
      <c r="D1552" t="n">
        <v>62</v>
      </c>
    </row>
    <row r="1553">
      <c r="A1553" t="inlineStr">
        <is>
          <t>ED201596</t>
        </is>
      </c>
      <c r="B1553" s="56" t="n">
        <v>45374.72222222222</v>
      </c>
      <c r="C1553" t="inlineStr">
        <is>
          <t>Bluestone Memorial Hospital</t>
        </is>
      </c>
      <c r="D1553" t="n">
        <v>36</v>
      </c>
    </row>
    <row r="1554">
      <c r="A1554" t="inlineStr">
        <is>
          <t>ED201597</t>
        </is>
      </c>
      <c r="B1554" s="56" t="n">
        <v>45374.73680555556</v>
      </c>
      <c r="C1554" t="inlineStr">
        <is>
          <t>Bluestone Memorial Hospital</t>
        </is>
      </c>
      <c r="D1554" t="n">
        <v>40</v>
      </c>
    </row>
    <row r="1555">
      <c r="A1555" t="inlineStr">
        <is>
          <t>ED201598</t>
        </is>
      </c>
      <c r="B1555" s="56" t="n">
        <v>45374.7875</v>
      </c>
      <c r="C1555" t="inlineStr">
        <is>
          <t>Cedar Ridge Medical Center</t>
        </is>
      </c>
      <c r="D1555" t="n">
        <v>13</v>
      </c>
    </row>
    <row r="1556">
      <c r="A1556" t="inlineStr">
        <is>
          <t>ED201599</t>
        </is>
      </c>
      <c r="B1556" s="56" t="n">
        <v>45374.81180555555</v>
      </c>
      <c r="C1556" t="inlineStr">
        <is>
          <t>Bluestone Memorial Hospital</t>
        </is>
      </c>
      <c r="D1556" t="n">
        <v>31</v>
      </c>
    </row>
    <row r="1557">
      <c r="A1557" t="inlineStr">
        <is>
          <t>ED201600</t>
        </is>
      </c>
      <c r="B1557" s="56" t="n">
        <v>45374.83680555555</v>
      </c>
      <c r="C1557" t="inlineStr">
        <is>
          <t>Bluestone Memorial Hospital</t>
        </is>
      </c>
      <c r="D1557" t="n">
        <v>47</v>
      </c>
    </row>
    <row r="1558">
      <c r="A1558" t="inlineStr">
        <is>
          <t>ED201601</t>
        </is>
      </c>
      <c r="B1558" s="56" t="n">
        <v>45374.86666666667</v>
      </c>
      <c r="C1558" t="inlineStr">
        <is>
          <t>Bluestone Memorial Hospital</t>
        </is>
      </c>
      <c r="D1558" t="n">
        <v>86</v>
      </c>
    </row>
    <row r="1559">
      <c r="A1559" t="inlineStr">
        <is>
          <t>ED201602</t>
        </is>
      </c>
      <c r="B1559" s="56" t="n">
        <v>45374.87777777778</v>
      </c>
      <c r="C1559" t="inlineStr">
        <is>
          <t>Bluestone Memorial Hospital</t>
        </is>
      </c>
      <c r="D1559" t="n">
        <v>12</v>
      </c>
    </row>
    <row r="1560">
      <c r="A1560" t="inlineStr">
        <is>
          <t>ED201603</t>
        </is>
      </c>
      <c r="B1560" s="56" t="n">
        <v>45374.88958333333</v>
      </c>
      <c r="C1560" t="inlineStr">
        <is>
          <t>Bluestone Memorial Hospital</t>
        </is>
      </c>
      <c r="D1560" t="n">
        <v>16</v>
      </c>
    </row>
    <row r="1561">
      <c r="A1561" t="inlineStr">
        <is>
          <t>ED201604</t>
        </is>
      </c>
      <c r="B1561" s="56" t="n">
        <v>45374.93402777778</v>
      </c>
      <c r="C1561" t="inlineStr">
        <is>
          <t>Bluestone Memorial Hospital</t>
        </is>
      </c>
      <c r="D1561" t="n">
        <v>83</v>
      </c>
    </row>
    <row r="1562">
      <c r="A1562" t="inlineStr">
        <is>
          <t>ED201605</t>
        </is>
      </c>
      <c r="B1562" s="56" t="n">
        <v>45374.95347222222</v>
      </c>
      <c r="C1562" t="inlineStr">
        <is>
          <t>Bluestone Memorial Hospital</t>
        </is>
      </c>
      <c r="D1562" t="n">
        <v>25</v>
      </c>
    </row>
    <row r="1563">
      <c r="A1563" t="inlineStr">
        <is>
          <t>ED201606</t>
        </is>
      </c>
      <c r="B1563" s="56" t="n">
        <v>45374.99722222222</v>
      </c>
      <c r="C1563" t="inlineStr">
        <is>
          <t>Cedar Ridge Medical Center</t>
        </is>
      </c>
      <c r="D1563" t="n">
        <v>36</v>
      </c>
    </row>
    <row r="1564">
      <c r="A1564" t="inlineStr">
        <is>
          <t>ED201607</t>
        </is>
      </c>
      <c r="B1564" s="56" t="n">
        <v>45375.01111111111</v>
      </c>
      <c r="C1564" t="inlineStr">
        <is>
          <t>Bluestone Memorial Hospital</t>
        </is>
      </c>
      <c r="D1564" t="n">
        <v>40</v>
      </c>
    </row>
    <row r="1565">
      <c r="A1565" t="inlineStr">
        <is>
          <t>ED201608</t>
        </is>
      </c>
      <c r="B1565" s="56" t="n">
        <v>45375.08402777778</v>
      </c>
      <c r="C1565" t="inlineStr">
        <is>
          <t>Bluestone Memorial Hospital</t>
        </is>
      </c>
      <c r="D1565" t="n">
        <v>23</v>
      </c>
    </row>
    <row r="1566">
      <c r="A1566" t="inlineStr">
        <is>
          <t>ED201609</t>
        </is>
      </c>
      <c r="B1566" s="56" t="n">
        <v>45375.24027777778</v>
      </c>
      <c r="C1566" t="inlineStr">
        <is>
          <t>Bluestone Memorial Hospital</t>
        </is>
      </c>
      <c r="D1566" t="n">
        <v>11</v>
      </c>
    </row>
    <row r="1567">
      <c r="A1567" t="inlineStr">
        <is>
          <t>ED201610</t>
        </is>
      </c>
      <c r="B1567" s="56" t="n">
        <v>45375.36111111111</v>
      </c>
      <c r="C1567" t="inlineStr">
        <is>
          <t>Bluestone Memorial Hospital</t>
        </is>
      </c>
      <c r="D1567" t="n">
        <v>63</v>
      </c>
    </row>
    <row r="1568">
      <c r="A1568" t="inlineStr">
        <is>
          <t>ED201611</t>
        </is>
      </c>
      <c r="B1568" s="56" t="n">
        <v>45375.44236111111</v>
      </c>
      <c r="C1568" t="inlineStr">
        <is>
          <t>Ashby Falls Community Hospital</t>
        </is>
      </c>
      <c r="D1568" t="n">
        <v>116</v>
      </c>
    </row>
    <row r="1569">
      <c r="A1569" t="inlineStr">
        <is>
          <t>ED201612</t>
        </is>
      </c>
      <c r="B1569" s="56" t="n">
        <v>45375.58541666667</v>
      </c>
      <c r="C1569" t="inlineStr">
        <is>
          <t>Bluestone Memorial Hospital</t>
        </is>
      </c>
      <c r="D1569" t="n">
        <v>38</v>
      </c>
    </row>
    <row r="1570">
      <c r="A1570" t="inlineStr">
        <is>
          <t>ED201613</t>
        </is>
      </c>
      <c r="B1570" s="56" t="n">
        <v>45375.58611111111</v>
      </c>
      <c r="C1570" t="inlineStr">
        <is>
          <t>Ashby Falls Community Hospital</t>
        </is>
      </c>
      <c r="D1570" t="n">
        <v>131</v>
      </c>
    </row>
    <row r="1571">
      <c r="A1571" t="inlineStr">
        <is>
          <t>ED201614</t>
        </is>
      </c>
      <c r="B1571" s="56" t="n">
        <v>45375.63541666666</v>
      </c>
      <c r="C1571" t="inlineStr">
        <is>
          <t>Cedar Ridge Medical Center</t>
        </is>
      </c>
      <c r="D1571" t="n">
        <v>48</v>
      </c>
    </row>
    <row r="1572">
      <c r="A1572" t="inlineStr">
        <is>
          <t>ED201615</t>
        </is>
      </c>
      <c r="B1572" s="56" t="n">
        <v>45375.65416666667</v>
      </c>
      <c r="C1572" t="inlineStr">
        <is>
          <t>Bluestone Memorial Hospital</t>
        </is>
      </c>
      <c r="D1572" t="n">
        <v>47</v>
      </c>
    </row>
    <row r="1573">
      <c r="A1573" t="inlineStr">
        <is>
          <t>ED201616</t>
        </is>
      </c>
      <c r="B1573" s="56" t="n">
        <v>45375.72847222222</v>
      </c>
      <c r="C1573" t="inlineStr">
        <is>
          <t>Bluestone Memorial Hospital</t>
        </is>
      </c>
      <c r="D1573" t="n">
        <v>1</v>
      </c>
    </row>
    <row r="1574">
      <c r="A1574" t="inlineStr">
        <is>
          <t>ED201617</t>
        </is>
      </c>
      <c r="B1574" s="56" t="n">
        <v>45375.72916666666</v>
      </c>
      <c r="C1574" t="inlineStr">
        <is>
          <t>Bluestone Memorial Hospital</t>
        </is>
      </c>
      <c r="D1574" t="n">
        <v>12</v>
      </c>
    </row>
    <row r="1575">
      <c r="A1575" t="inlineStr">
        <is>
          <t>ED201618</t>
        </is>
      </c>
      <c r="B1575" s="56" t="n">
        <v>45375.74583333333</v>
      </c>
      <c r="C1575" t="inlineStr">
        <is>
          <t>Bluestone Memorial Hospital</t>
        </is>
      </c>
      <c r="D1575" t="n">
        <v>69</v>
      </c>
    </row>
    <row r="1576">
      <c r="A1576" t="inlineStr">
        <is>
          <t>ED201619</t>
        </is>
      </c>
      <c r="B1576" s="56" t="n">
        <v>45375.79236111111</v>
      </c>
      <c r="C1576" t="inlineStr">
        <is>
          <t>Bluestone Memorial Hospital</t>
        </is>
      </c>
      <c r="D1576" t="n">
        <v>64</v>
      </c>
    </row>
    <row r="1577">
      <c r="A1577" t="inlineStr">
        <is>
          <t>ED201620</t>
        </is>
      </c>
      <c r="B1577" s="56" t="n">
        <v>45375.80486111111</v>
      </c>
      <c r="C1577" t="inlineStr">
        <is>
          <t>Bluestone Memorial Hospital</t>
        </is>
      </c>
      <c r="D1577" t="n">
        <v>47</v>
      </c>
    </row>
    <row r="1578">
      <c r="A1578" t="inlineStr">
        <is>
          <t>ED201621</t>
        </is>
      </c>
      <c r="B1578" s="56" t="n">
        <v>45375.80972222222</v>
      </c>
      <c r="C1578" t="inlineStr">
        <is>
          <t>Bluestone Memorial Hospital</t>
        </is>
      </c>
      <c r="D1578" t="n">
        <v>68</v>
      </c>
    </row>
    <row r="1579">
      <c r="A1579" t="inlineStr">
        <is>
          <t>ED201622</t>
        </is>
      </c>
      <c r="B1579" s="56" t="n">
        <v>45375.83125</v>
      </c>
      <c r="C1579" t="inlineStr">
        <is>
          <t>Cedar Ridge Medical Center</t>
        </is>
      </c>
      <c r="D1579" t="n">
        <v>10</v>
      </c>
    </row>
    <row r="1580">
      <c r="A1580" t="inlineStr">
        <is>
          <t>ED201623</t>
        </is>
      </c>
      <c r="B1580" s="56" t="n">
        <v>45375.94305555556</v>
      </c>
      <c r="C1580" t="inlineStr">
        <is>
          <t>Bluestone Memorial Hospital</t>
        </is>
      </c>
      <c r="D1580" t="n">
        <v>35</v>
      </c>
    </row>
    <row r="1581">
      <c r="A1581" t="inlineStr">
        <is>
          <t>ED201624</t>
        </is>
      </c>
      <c r="B1581" s="56" t="n">
        <v>45375.94652777778</v>
      </c>
      <c r="C1581" t="inlineStr">
        <is>
          <t>Cedar Ridge Medical Center</t>
        </is>
      </c>
      <c r="D1581" t="n">
        <v>32</v>
      </c>
    </row>
    <row r="1582">
      <c r="A1582" t="inlineStr">
        <is>
          <t>ED201625</t>
        </is>
      </c>
      <c r="B1582" s="56" t="n">
        <v>45376.05208333334</v>
      </c>
      <c r="C1582" t="inlineStr">
        <is>
          <t>Bluestone Memorial Hospital</t>
        </is>
      </c>
      <c r="D1582" t="n">
        <v>37</v>
      </c>
    </row>
    <row r="1583">
      <c r="A1583" t="inlineStr">
        <is>
          <t>ED201626</t>
        </is>
      </c>
      <c r="B1583" s="56" t="n">
        <v>45376.12152777778</v>
      </c>
      <c r="C1583" t="inlineStr">
        <is>
          <t>Bluestone Memorial Hospital</t>
        </is>
      </c>
      <c r="D1583" t="n">
        <v>2</v>
      </c>
    </row>
    <row r="1584">
      <c r="A1584" t="inlineStr">
        <is>
          <t>ED201627</t>
        </is>
      </c>
      <c r="B1584" s="56" t="n">
        <v>45376.15486111111</v>
      </c>
      <c r="C1584" t="inlineStr">
        <is>
          <t>Ashby Falls Community Hospital</t>
        </is>
      </c>
      <c r="D1584" t="n">
        <v>51</v>
      </c>
    </row>
    <row r="1585">
      <c r="A1585" t="inlineStr">
        <is>
          <t>ED201628</t>
        </is>
      </c>
      <c r="B1585" s="56" t="n">
        <v>45376.36319444444</v>
      </c>
      <c r="C1585" t="inlineStr">
        <is>
          <t>Bluestone Memorial Hospital</t>
        </is>
      </c>
      <c r="D1585" t="n">
        <v>28</v>
      </c>
    </row>
    <row r="1586">
      <c r="A1586" t="inlineStr">
        <is>
          <t>ED201629</t>
        </is>
      </c>
      <c r="B1586" s="56" t="n">
        <v>45376.36736111111</v>
      </c>
      <c r="C1586" t="inlineStr">
        <is>
          <t>Bluestone Memorial Hospital</t>
        </is>
      </c>
      <c r="D1586" t="n">
        <v>24</v>
      </c>
    </row>
    <row r="1587">
      <c r="A1587" t="inlineStr">
        <is>
          <t>ED201630</t>
        </is>
      </c>
      <c r="B1587" s="56" t="n">
        <v>45376.37916666667</v>
      </c>
      <c r="C1587" t="inlineStr">
        <is>
          <t>Bluestone Memorial Hospital</t>
        </is>
      </c>
      <c r="D1587" t="n">
        <v>37</v>
      </c>
    </row>
    <row r="1588">
      <c r="A1588" t="inlineStr">
        <is>
          <t>ED201631</t>
        </is>
      </c>
      <c r="B1588" s="56" t="n">
        <v>45376.45416666667</v>
      </c>
      <c r="C1588" t="inlineStr">
        <is>
          <t>Bluestone Memorial Hospital</t>
        </is>
      </c>
      <c r="D1588" t="n">
        <v>32</v>
      </c>
    </row>
    <row r="1589">
      <c r="A1589" t="inlineStr">
        <is>
          <t>ED201632</t>
        </is>
      </c>
      <c r="B1589" s="56" t="n">
        <v>45376.50694444445</v>
      </c>
      <c r="C1589" t="inlineStr">
        <is>
          <t>Bluestone Memorial Hospital</t>
        </is>
      </c>
      <c r="D1589" t="n">
        <v>77</v>
      </c>
    </row>
    <row r="1590">
      <c r="A1590" t="inlineStr">
        <is>
          <t>ED201633</t>
        </is>
      </c>
      <c r="B1590" s="56" t="n">
        <v>45376.51944444444</v>
      </c>
      <c r="C1590" t="inlineStr">
        <is>
          <t>Bluestone Memorial Hospital</t>
        </is>
      </c>
      <c r="D1590" t="n">
        <v>81</v>
      </c>
    </row>
    <row r="1591">
      <c r="A1591" t="inlineStr">
        <is>
          <t>ED201634</t>
        </is>
      </c>
      <c r="B1591" s="56" t="n">
        <v>45376.5375</v>
      </c>
      <c r="C1591" t="inlineStr">
        <is>
          <t>Bluestone Memorial Hospital</t>
        </is>
      </c>
      <c r="D1591" t="n">
        <v>60</v>
      </c>
    </row>
    <row r="1592">
      <c r="A1592" t="inlineStr">
        <is>
          <t>ED201635</t>
        </is>
      </c>
      <c r="B1592" s="56" t="n">
        <v>45376.58263888889</v>
      </c>
      <c r="C1592" t="inlineStr">
        <is>
          <t>Bluestone Memorial Hospital</t>
        </is>
      </c>
      <c r="D1592" t="n">
        <v>65</v>
      </c>
    </row>
    <row r="1593">
      <c r="A1593" t="inlineStr">
        <is>
          <t>ED201636</t>
        </is>
      </c>
      <c r="B1593" s="56" t="n">
        <v>45376.65555555555</v>
      </c>
      <c r="C1593" t="inlineStr">
        <is>
          <t>Bluestone Memorial Hospital</t>
        </is>
      </c>
      <c r="D1593" t="n">
        <v>152</v>
      </c>
    </row>
    <row r="1594">
      <c r="A1594" t="inlineStr">
        <is>
          <t>ED201637</t>
        </is>
      </c>
      <c r="B1594" s="56" t="n">
        <v>45376.69930555556</v>
      </c>
      <c r="C1594" t="inlineStr">
        <is>
          <t>Bluestone Memorial Hospital</t>
        </is>
      </c>
      <c r="D1594" t="n">
        <v>56</v>
      </c>
    </row>
    <row r="1595">
      <c r="A1595" t="inlineStr">
        <is>
          <t>ED201638</t>
        </is>
      </c>
      <c r="B1595" s="56" t="n">
        <v>45376.71458333333</v>
      </c>
      <c r="C1595" t="inlineStr">
        <is>
          <t>Bluestone Memorial Hospital</t>
        </is>
      </c>
      <c r="D1595" t="n">
        <v>33</v>
      </c>
    </row>
    <row r="1596">
      <c r="A1596" t="inlineStr">
        <is>
          <t>ED201639</t>
        </is>
      </c>
      <c r="B1596" s="56" t="n">
        <v>45376.80069444444</v>
      </c>
      <c r="C1596" t="inlineStr">
        <is>
          <t>Ashby Falls Community Hospital</t>
        </is>
      </c>
      <c r="D1596" t="n">
        <v>39</v>
      </c>
    </row>
    <row r="1597">
      <c r="A1597" t="inlineStr">
        <is>
          <t>ED201640</t>
        </is>
      </c>
      <c r="B1597" s="56" t="n">
        <v>45376.81111111111</v>
      </c>
      <c r="C1597" t="inlineStr">
        <is>
          <t>Bluestone Memorial Hospital</t>
        </is>
      </c>
      <c r="D1597" t="n">
        <v>16</v>
      </c>
    </row>
    <row r="1598">
      <c r="A1598" t="inlineStr">
        <is>
          <t>ED201641</t>
        </is>
      </c>
      <c r="B1598" s="56" t="n">
        <v>45376.85069444445</v>
      </c>
      <c r="C1598" t="inlineStr">
        <is>
          <t>Bluestone Memorial Hospital</t>
        </is>
      </c>
      <c r="D1598" t="n">
        <v>44</v>
      </c>
    </row>
    <row r="1599">
      <c r="A1599" t="inlineStr">
        <is>
          <t>ED201642</t>
        </is>
      </c>
      <c r="B1599" s="56" t="n">
        <v>45376.93263888889</v>
      </c>
      <c r="C1599" t="inlineStr">
        <is>
          <t>Cedar Ridge Medical Center</t>
        </is>
      </c>
      <c r="D1599" t="n">
        <v>18</v>
      </c>
    </row>
    <row r="1600">
      <c r="A1600" t="inlineStr">
        <is>
          <t>ED201643</t>
        </is>
      </c>
      <c r="B1600" s="56" t="n">
        <v>45377.01388888889</v>
      </c>
      <c r="C1600" t="inlineStr">
        <is>
          <t>Bluestone Memorial Hospital</t>
        </is>
      </c>
      <c r="D1600" t="n">
        <v>20</v>
      </c>
    </row>
    <row r="1601">
      <c r="A1601" t="inlineStr">
        <is>
          <t>ED201644</t>
        </is>
      </c>
      <c r="B1601" s="56" t="n">
        <v>45377.14791666667</v>
      </c>
      <c r="C1601" t="inlineStr">
        <is>
          <t>Bluestone Memorial Hospital</t>
        </is>
      </c>
      <c r="D1601" t="n">
        <v>14</v>
      </c>
    </row>
    <row r="1602">
      <c r="A1602" t="inlineStr">
        <is>
          <t>ED201645</t>
        </is>
      </c>
      <c r="B1602" s="56" t="n">
        <v>45377.20138888889</v>
      </c>
      <c r="C1602" t="inlineStr">
        <is>
          <t>Cedar Ridge Medical Center</t>
        </is>
      </c>
      <c r="D1602" t="n">
        <v>21</v>
      </c>
    </row>
    <row r="1603">
      <c r="A1603" t="inlineStr">
        <is>
          <t>ED201646</t>
        </is>
      </c>
      <c r="B1603" s="56" t="n">
        <v>45377.43402777778</v>
      </c>
      <c r="C1603" t="inlineStr">
        <is>
          <t>Cedar Ridge Medical Center</t>
        </is>
      </c>
      <c r="D1603" t="n">
        <v>72</v>
      </c>
    </row>
    <row r="1604">
      <c r="A1604" t="inlineStr">
        <is>
          <t>ED201647</t>
        </is>
      </c>
      <c r="B1604" s="56" t="n">
        <v>45377.46597222222</v>
      </c>
      <c r="C1604" t="inlineStr">
        <is>
          <t>Cedar Ridge Medical Center</t>
        </is>
      </c>
      <c r="D1604" t="n">
        <v>93</v>
      </c>
    </row>
    <row r="1605">
      <c r="A1605" t="inlineStr">
        <is>
          <t>ED201648</t>
        </is>
      </c>
      <c r="B1605" s="56" t="n">
        <v>45377.52291666667</v>
      </c>
      <c r="C1605" t="inlineStr">
        <is>
          <t>Bluestone Memorial Hospital</t>
        </is>
      </c>
      <c r="D1605" t="n">
        <v>16</v>
      </c>
    </row>
    <row r="1606">
      <c r="A1606" t="inlineStr">
        <is>
          <t>ED201649</t>
        </is>
      </c>
      <c r="B1606" s="56" t="n">
        <v>45377.61944444444</v>
      </c>
      <c r="C1606" t="inlineStr">
        <is>
          <t>Cedar Ridge Medical Center</t>
        </is>
      </c>
      <c r="D1606" t="n">
        <v>48</v>
      </c>
    </row>
    <row r="1607">
      <c r="A1607" t="inlineStr">
        <is>
          <t>ED201650</t>
        </is>
      </c>
      <c r="B1607" s="56" t="n">
        <v>45377.64305555556</v>
      </c>
      <c r="C1607" t="inlineStr">
        <is>
          <t>Cedar Ridge Medical Center</t>
        </is>
      </c>
      <c r="D1607" t="n">
        <v>13</v>
      </c>
    </row>
    <row r="1608">
      <c r="A1608" t="inlineStr">
        <is>
          <t>ED201651</t>
        </is>
      </c>
      <c r="B1608" s="56" t="n">
        <v>45377.64583333334</v>
      </c>
      <c r="C1608" t="inlineStr">
        <is>
          <t>Bluestone Memorial Hospital</t>
        </is>
      </c>
      <c r="D1608" t="n">
        <v>53</v>
      </c>
    </row>
    <row r="1609">
      <c r="A1609" t="inlineStr">
        <is>
          <t>ED201652</t>
        </is>
      </c>
      <c r="B1609" s="56" t="n">
        <v>45377.66944444444</v>
      </c>
      <c r="C1609" t="inlineStr">
        <is>
          <t>Bluestone Memorial Hospital</t>
        </is>
      </c>
      <c r="D1609" t="n">
        <v>103</v>
      </c>
    </row>
    <row r="1610">
      <c r="A1610" t="inlineStr">
        <is>
          <t>ED201653</t>
        </is>
      </c>
      <c r="B1610" s="56" t="n">
        <v>45377.68819444445</v>
      </c>
      <c r="C1610" t="inlineStr">
        <is>
          <t>Cedar Ridge Medical Center</t>
        </is>
      </c>
      <c r="D1610" t="n">
        <v>40</v>
      </c>
    </row>
    <row r="1611">
      <c r="A1611" t="inlineStr">
        <is>
          <t>ED201654</t>
        </is>
      </c>
      <c r="B1611" s="56" t="n">
        <v>45377.73680555556</v>
      </c>
      <c r="C1611" t="inlineStr">
        <is>
          <t>Bluestone Memorial Hospital</t>
        </is>
      </c>
      <c r="D1611" t="n">
        <v>30</v>
      </c>
    </row>
    <row r="1612">
      <c r="A1612" t="inlineStr">
        <is>
          <t>ED201655</t>
        </is>
      </c>
      <c r="B1612" s="56" t="n">
        <v>45377.79861111111</v>
      </c>
      <c r="C1612" t="inlineStr">
        <is>
          <t>Bluestone Memorial Hospital</t>
        </is>
      </c>
      <c r="D1612" t="n">
        <v>18</v>
      </c>
    </row>
    <row r="1613">
      <c r="A1613" t="inlineStr">
        <is>
          <t>ED201656</t>
        </is>
      </c>
      <c r="B1613" s="56" t="n">
        <v>45377.81597222222</v>
      </c>
      <c r="C1613" t="inlineStr">
        <is>
          <t>Bluestone Memorial Hospital</t>
        </is>
      </c>
      <c r="D1613" t="n">
        <v>23</v>
      </c>
    </row>
    <row r="1614">
      <c r="A1614" t="inlineStr">
        <is>
          <t>ED201657</t>
        </is>
      </c>
      <c r="B1614" s="56" t="n">
        <v>45378.24027777778</v>
      </c>
      <c r="C1614" t="inlineStr">
        <is>
          <t>Bluestone Memorial Hospital</t>
        </is>
      </c>
      <c r="D1614" t="n">
        <v>65</v>
      </c>
    </row>
    <row r="1615">
      <c r="A1615" t="inlineStr">
        <is>
          <t>ED201658</t>
        </is>
      </c>
      <c r="B1615" s="56" t="n">
        <v>45378.32916666667</v>
      </c>
      <c r="C1615" t="inlineStr">
        <is>
          <t>Cedar Ridge Medical Center</t>
        </is>
      </c>
      <c r="D1615" t="n">
        <v>56</v>
      </c>
    </row>
    <row r="1616">
      <c r="A1616" t="inlineStr">
        <is>
          <t>ED201659</t>
        </is>
      </c>
      <c r="B1616" s="56" t="n">
        <v>45378.33055555556</v>
      </c>
      <c r="C1616" t="inlineStr">
        <is>
          <t>Bluestone Memorial Hospital</t>
        </is>
      </c>
      <c r="D1616" t="n">
        <v>7</v>
      </c>
    </row>
    <row r="1617">
      <c r="A1617" t="inlineStr">
        <is>
          <t>ED201660</t>
        </is>
      </c>
      <c r="B1617" s="56" t="n">
        <v>45378.42083333333</v>
      </c>
      <c r="C1617" t="inlineStr">
        <is>
          <t>Bluestone Memorial Hospital</t>
        </is>
      </c>
      <c r="D1617" t="n">
        <v>61</v>
      </c>
    </row>
    <row r="1618">
      <c r="A1618" t="inlineStr">
        <is>
          <t>ED201661</t>
        </is>
      </c>
      <c r="B1618" s="56" t="n">
        <v>45378.43680555555</v>
      </c>
      <c r="C1618" t="inlineStr">
        <is>
          <t>Cedar Ridge Medical Center</t>
        </is>
      </c>
      <c r="D1618" t="n">
        <v>17</v>
      </c>
    </row>
    <row r="1619">
      <c r="A1619" t="inlineStr">
        <is>
          <t>ED201662</t>
        </is>
      </c>
      <c r="B1619" s="56" t="n">
        <v>45378.43819444445</v>
      </c>
      <c r="C1619" t="inlineStr">
        <is>
          <t>Bluestone Memorial Hospital</t>
        </is>
      </c>
      <c r="D1619" t="n">
        <v>10</v>
      </c>
    </row>
    <row r="1620">
      <c r="A1620" t="inlineStr">
        <is>
          <t>ED201663</t>
        </is>
      </c>
      <c r="B1620" s="56" t="n">
        <v>45378.46736111111</v>
      </c>
      <c r="C1620" t="inlineStr">
        <is>
          <t>Bluestone Memorial Hospital</t>
        </is>
      </c>
      <c r="D1620" t="n">
        <v>26</v>
      </c>
    </row>
    <row r="1621">
      <c r="A1621" t="inlineStr">
        <is>
          <t>ED201664</t>
        </is>
      </c>
      <c r="B1621" s="56" t="n">
        <v>45378.47986111111</v>
      </c>
      <c r="C1621" t="inlineStr">
        <is>
          <t>Bluestone Memorial Hospital</t>
        </is>
      </c>
      <c r="D1621" t="n">
        <v>51</v>
      </c>
    </row>
    <row r="1622">
      <c r="A1622" t="inlineStr">
        <is>
          <t>ED201665</t>
        </is>
      </c>
      <c r="B1622" s="56" t="n">
        <v>45378.60416666666</v>
      </c>
      <c r="C1622" t="inlineStr">
        <is>
          <t>Bluestone Memorial Hospital</t>
        </is>
      </c>
      <c r="D1622" t="n">
        <v>44</v>
      </c>
    </row>
    <row r="1623">
      <c r="A1623" t="inlineStr">
        <is>
          <t>ED201666</t>
        </is>
      </c>
      <c r="B1623" s="56" t="n">
        <v>45378.70625</v>
      </c>
      <c r="C1623" t="inlineStr">
        <is>
          <t>Ashby Falls Community Hospital</t>
        </is>
      </c>
      <c r="D1623" t="n">
        <v>32</v>
      </c>
    </row>
    <row r="1624">
      <c r="A1624" t="inlineStr">
        <is>
          <t>ED201667</t>
        </is>
      </c>
      <c r="B1624" s="56" t="n">
        <v>45378.71597222222</v>
      </c>
      <c r="C1624" t="inlineStr">
        <is>
          <t>Cedar Ridge Medical Center</t>
        </is>
      </c>
      <c r="D1624" t="n">
        <v>25</v>
      </c>
    </row>
    <row r="1625">
      <c r="A1625" t="inlineStr">
        <is>
          <t>ED201668</t>
        </is>
      </c>
      <c r="B1625" s="56" t="n">
        <v>45378.75555555556</v>
      </c>
      <c r="C1625" t="inlineStr">
        <is>
          <t>Bluestone Memorial Hospital</t>
        </is>
      </c>
      <c r="D1625" t="n">
        <v>60</v>
      </c>
    </row>
    <row r="1626">
      <c r="A1626" t="inlineStr">
        <is>
          <t>ED201669</t>
        </is>
      </c>
      <c r="B1626" s="56" t="n">
        <v>45378.81041666667</v>
      </c>
      <c r="C1626" t="inlineStr">
        <is>
          <t>Bluestone Memorial Hospital</t>
        </is>
      </c>
      <c r="D1626" t="n">
        <v>41</v>
      </c>
    </row>
    <row r="1627">
      <c r="A1627" t="inlineStr">
        <is>
          <t>ED201670</t>
        </is>
      </c>
      <c r="B1627" s="56" t="n">
        <v>45378.91388888889</v>
      </c>
      <c r="C1627" t="inlineStr">
        <is>
          <t>Bluestone Memorial Hospital</t>
        </is>
      </c>
      <c r="D1627" t="n">
        <v>34</v>
      </c>
    </row>
    <row r="1628">
      <c r="A1628" t="inlineStr">
        <is>
          <t>ED201671</t>
        </is>
      </c>
      <c r="B1628" s="56" t="n">
        <v>45378.96041666667</v>
      </c>
      <c r="C1628" t="inlineStr">
        <is>
          <t>Cedar Ridge Medical Center</t>
        </is>
      </c>
      <c r="D1628" t="n">
        <v>72</v>
      </c>
    </row>
    <row r="1629">
      <c r="A1629" t="inlineStr">
        <is>
          <t>ED201672</t>
        </is>
      </c>
      <c r="B1629" s="56" t="n">
        <v>45379.40069444444</v>
      </c>
      <c r="C1629" t="inlineStr">
        <is>
          <t>Ashby Falls Community Hospital</t>
        </is>
      </c>
      <c r="D1629" t="n">
        <v>27</v>
      </c>
    </row>
    <row r="1630">
      <c r="A1630" t="inlineStr">
        <is>
          <t>ED201673</t>
        </is>
      </c>
      <c r="B1630" s="56" t="n">
        <v>45379.4875</v>
      </c>
      <c r="C1630" t="inlineStr">
        <is>
          <t>Bluestone Memorial Hospital</t>
        </is>
      </c>
      <c r="D1630" t="n">
        <v>29</v>
      </c>
    </row>
    <row r="1631">
      <c r="A1631" t="inlineStr">
        <is>
          <t>ED201674</t>
        </is>
      </c>
      <c r="B1631" s="56" t="n">
        <v>45379.50069444445</v>
      </c>
      <c r="C1631" t="inlineStr">
        <is>
          <t>Bluestone Memorial Hospital</t>
        </is>
      </c>
      <c r="D1631" t="n">
        <v>26</v>
      </c>
    </row>
    <row r="1632">
      <c r="A1632" t="inlineStr">
        <is>
          <t>ED201675</t>
        </is>
      </c>
      <c r="B1632" s="56" t="n">
        <v>45379.54166666666</v>
      </c>
      <c r="C1632" t="inlineStr">
        <is>
          <t>Bluestone Memorial Hospital</t>
        </is>
      </c>
      <c r="D1632" t="n">
        <v>4</v>
      </c>
    </row>
    <row r="1633">
      <c r="A1633" t="inlineStr">
        <is>
          <t>ED201676</t>
        </is>
      </c>
      <c r="B1633" s="56" t="n">
        <v>45379.63125</v>
      </c>
      <c r="C1633" t="inlineStr">
        <is>
          <t>Bluestone Memorial Hospital</t>
        </is>
      </c>
      <c r="D1633" t="n">
        <v>46</v>
      </c>
    </row>
    <row r="1634">
      <c r="A1634" t="inlineStr">
        <is>
          <t>ED201677</t>
        </is>
      </c>
      <c r="B1634" s="56" t="n">
        <v>45379.65972222222</v>
      </c>
      <c r="C1634" t="inlineStr">
        <is>
          <t>Ashby Falls Community Hospital</t>
        </is>
      </c>
      <c r="D1634" t="n">
        <v>77</v>
      </c>
    </row>
    <row r="1635">
      <c r="A1635" t="inlineStr">
        <is>
          <t>ED201678</t>
        </is>
      </c>
      <c r="B1635" s="56" t="n">
        <v>45379.68958333333</v>
      </c>
      <c r="C1635" t="inlineStr">
        <is>
          <t>Bluestone Memorial Hospital</t>
        </is>
      </c>
      <c r="D1635" t="n">
        <v>35</v>
      </c>
    </row>
    <row r="1636">
      <c r="A1636" t="inlineStr">
        <is>
          <t>ED201679</t>
        </is>
      </c>
      <c r="B1636" s="56" t="n">
        <v>45379.75138888889</v>
      </c>
      <c r="C1636" t="inlineStr">
        <is>
          <t>Ashby Falls Community Hospital</t>
        </is>
      </c>
      <c r="D1636" t="n">
        <v>14</v>
      </c>
    </row>
    <row r="1637">
      <c r="A1637" t="inlineStr">
        <is>
          <t>ED201680</t>
        </is>
      </c>
      <c r="B1637" s="56" t="n">
        <v>45379.75763888889</v>
      </c>
      <c r="C1637" t="inlineStr">
        <is>
          <t>Bluestone Memorial Hospital</t>
        </is>
      </c>
      <c r="D1637" t="n">
        <v>45</v>
      </c>
    </row>
    <row r="1638">
      <c r="A1638" t="inlineStr">
        <is>
          <t>ED201681</t>
        </is>
      </c>
      <c r="B1638" s="56" t="n">
        <v>45379.78541666667</v>
      </c>
      <c r="C1638" t="inlineStr">
        <is>
          <t>Bluestone Memorial Hospital</t>
        </is>
      </c>
      <c r="D1638" t="n">
        <v>37</v>
      </c>
    </row>
    <row r="1639">
      <c r="A1639" t="inlineStr">
        <is>
          <t>ED201682</t>
        </is>
      </c>
      <c r="B1639" s="56" t="n">
        <v>45379.80625</v>
      </c>
      <c r="C1639" t="inlineStr">
        <is>
          <t>Bluestone Memorial Hospital</t>
        </is>
      </c>
      <c r="D1639" t="n">
        <v>123</v>
      </c>
    </row>
    <row r="1640">
      <c r="A1640" t="inlineStr">
        <is>
          <t>ED201683</t>
        </is>
      </c>
      <c r="B1640" s="56" t="n">
        <v>45379.82013888889</v>
      </c>
      <c r="C1640" t="inlineStr">
        <is>
          <t>Bluestone Memorial Hospital</t>
        </is>
      </c>
      <c r="D1640" t="n">
        <v>30</v>
      </c>
    </row>
    <row r="1641">
      <c r="A1641" t="inlineStr">
        <is>
          <t>ED201684</t>
        </is>
      </c>
      <c r="B1641" s="56" t="n">
        <v>45379.84027777778</v>
      </c>
      <c r="C1641" t="inlineStr">
        <is>
          <t>Cedar Ridge Medical Center</t>
        </is>
      </c>
      <c r="D1641" t="n">
        <v>28</v>
      </c>
    </row>
    <row r="1642">
      <c r="A1642" t="inlineStr">
        <is>
          <t>ED201685</t>
        </is>
      </c>
      <c r="B1642" s="56" t="n">
        <v>45379.89097222222</v>
      </c>
      <c r="C1642" t="inlineStr">
        <is>
          <t>Bluestone Memorial Hospital</t>
        </is>
      </c>
      <c r="D1642" t="n">
        <v>5</v>
      </c>
    </row>
    <row r="1643">
      <c r="A1643" t="inlineStr">
        <is>
          <t>ED201686</t>
        </is>
      </c>
      <c r="B1643" s="56" t="n">
        <v>45379.91736111111</v>
      </c>
      <c r="C1643" t="inlineStr">
        <is>
          <t>Ashby Falls Community Hospital</t>
        </is>
      </c>
      <c r="D1643" t="n">
        <v>2</v>
      </c>
    </row>
    <row r="1644">
      <c r="A1644" t="inlineStr">
        <is>
          <t>ED201687</t>
        </is>
      </c>
      <c r="B1644" s="56" t="n">
        <v>45379.92013888889</v>
      </c>
      <c r="C1644" t="inlineStr">
        <is>
          <t>Bluestone Memorial Hospital</t>
        </is>
      </c>
      <c r="D1644" t="n">
        <v>47</v>
      </c>
    </row>
    <row r="1645">
      <c r="A1645" t="inlineStr">
        <is>
          <t>ED201688</t>
        </is>
      </c>
      <c r="B1645" s="56" t="n">
        <v>45380.14097222222</v>
      </c>
      <c r="C1645" t="inlineStr">
        <is>
          <t>Bluestone Memorial Hospital</t>
        </is>
      </c>
      <c r="D1645" t="n">
        <v>107</v>
      </c>
    </row>
    <row r="1646">
      <c r="A1646" t="inlineStr">
        <is>
          <t>ED201690</t>
        </is>
      </c>
      <c r="B1646" s="56" t="n">
        <v>45380.32986111111</v>
      </c>
      <c r="C1646" t="inlineStr">
        <is>
          <t>Bluestone Memorial Hospital</t>
        </is>
      </c>
      <c r="D1646" t="n">
        <v>22</v>
      </c>
    </row>
    <row r="1647">
      <c r="A1647" t="inlineStr">
        <is>
          <t>ED201691</t>
        </is>
      </c>
      <c r="B1647" s="56" t="n">
        <v>45380.37361111111</v>
      </c>
      <c r="C1647" t="inlineStr">
        <is>
          <t>Bluestone Memorial Hospital</t>
        </is>
      </c>
      <c r="D1647" t="n">
        <v>9</v>
      </c>
    </row>
    <row r="1648">
      <c r="A1648" t="inlineStr">
        <is>
          <t>ED201692</t>
        </is>
      </c>
      <c r="B1648" s="56" t="n">
        <v>45380.37638888889</v>
      </c>
      <c r="C1648" t="inlineStr">
        <is>
          <t>Ashby Falls Community Hospital</t>
        </is>
      </c>
      <c r="D1648" t="n">
        <v>32</v>
      </c>
    </row>
    <row r="1649">
      <c r="A1649" t="inlineStr">
        <is>
          <t>ED201693</t>
        </is>
      </c>
      <c r="B1649" s="56" t="n">
        <v>45380.40694444445</v>
      </c>
      <c r="C1649" t="inlineStr">
        <is>
          <t>Bluestone Memorial Hospital</t>
        </is>
      </c>
      <c r="D1649" t="n">
        <v>63</v>
      </c>
    </row>
    <row r="1650">
      <c r="A1650" t="inlineStr">
        <is>
          <t>ED201694</t>
        </is>
      </c>
      <c r="B1650" s="56" t="n">
        <v>45380.43055555555</v>
      </c>
      <c r="C1650" t="inlineStr">
        <is>
          <t>Cedar Ridge Medical Center</t>
        </is>
      </c>
      <c r="D1650" t="n">
        <v>73</v>
      </c>
    </row>
    <row r="1651">
      <c r="A1651" t="inlineStr">
        <is>
          <t>ED201695</t>
        </is>
      </c>
      <c r="B1651" s="56" t="n">
        <v>45380.46180555555</v>
      </c>
      <c r="C1651" t="inlineStr">
        <is>
          <t>Ashby Falls Community Hospital</t>
        </is>
      </c>
      <c r="D1651" t="n">
        <v>99</v>
      </c>
    </row>
    <row r="1652">
      <c r="A1652" t="inlineStr">
        <is>
          <t>ED201696</t>
        </is>
      </c>
      <c r="B1652" s="56" t="n">
        <v>45380.47430555556</v>
      </c>
      <c r="C1652" t="inlineStr">
        <is>
          <t>Bluestone Memorial Hospital</t>
        </is>
      </c>
      <c r="D1652" t="n">
        <v>64</v>
      </c>
    </row>
    <row r="1653">
      <c r="A1653" t="inlineStr">
        <is>
          <t>ED201697</t>
        </is>
      </c>
      <c r="B1653" s="56" t="n">
        <v>45380.48125</v>
      </c>
      <c r="C1653" t="inlineStr">
        <is>
          <t>Cedar Ridge Medical Center</t>
        </is>
      </c>
      <c r="D1653" t="n">
        <v>59</v>
      </c>
    </row>
    <row r="1654">
      <c r="A1654" t="inlineStr">
        <is>
          <t>ED201698</t>
        </is>
      </c>
      <c r="B1654" s="56" t="n">
        <v>45380.54444444444</v>
      </c>
      <c r="C1654" t="inlineStr">
        <is>
          <t>Bluestone Memorial Hospital</t>
        </is>
      </c>
      <c r="D1654" t="n">
        <v>21</v>
      </c>
    </row>
    <row r="1655">
      <c r="A1655" t="inlineStr">
        <is>
          <t>ED201699</t>
        </is>
      </c>
      <c r="B1655" s="56" t="n">
        <v>45380.5625</v>
      </c>
      <c r="C1655" t="inlineStr">
        <is>
          <t>Cedar Ridge Medical Center</t>
        </is>
      </c>
      <c r="D1655" t="n">
        <v>23</v>
      </c>
    </row>
    <row r="1656">
      <c r="A1656" t="inlineStr">
        <is>
          <t>ED201700</t>
        </is>
      </c>
      <c r="B1656" s="56" t="n">
        <v>45380.67708333334</v>
      </c>
      <c r="C1656" t="inlineStr">
        <is>
          <t>Bluestone Memorial Hospital</t>
        </is>
      </c>
      <c r="D1656" t="n">
        <v>54</v>
      </c>
    </row>
    <row r="1657">
      <c r="A1657" t="inlineStr">
        <is>
          <t>ED201701</t>
        </is>
      </c>
      <c r="B1657" s="56" t="n">
        <v>45380.70833333334</v>
      </c>
      <c r="C1657" t="inlineStr">
        <is>
          <t>Bluestone Memorial Hospital</t>
        </is>
      </c>
      <c r="D1657" t="n">
        <v>58</v>
      </c>
    </row>
    <row r="1658">
      <c r="A1658" t="inlineStr">
        <is>
          <t>ED201702</t>
        </is>
      </c>
      <c r="B1658" s="56" t="n">
        <v>45380.71736111111</v>
      </c>
      <c r="C1658" t="inlineStr">
        <is>
          <t>Bluestone Memorial Hospital</t>
        </is>
      </c>
      <c r="D1658" t="n">
        <v>194</v>
      </c>
    </row>
    <row r="1659">
      <c r="A1659" t="inlineStr">
        <is>
          <t>ED201703</t>
        </is>
      </c>
      <c r="B1659" s="56" t="n">
        <v>45380.85</v>
      </c>
      <c r="C1659" t="inlineStr">
        <is>
          <t>Bluestone Memorial Hospital</t>
        </is>
      </c>
      <c r="D1659" t="n">
        <v>93</v>
      </c>
    </row>
    <row r="1660">
      <c r="A1660" t="inlineStr">
        <is>
          <t>ED201704</t>
        </is>
      </c>
      <c r="B1660" s="56" t="n">
        <v>45380.98611111111</v>
      </c>
      <c r="C1660" t="inlineStr">
        <is>
          <t>Cedar Ridge Medical Center</t>
        </is>
      </c>
      <c r="D1660" t="n">
        <v>61</v>
      </c>
    </row>
    <row r="1661">
      <c r="A1661" t="inlineStr">
        <is>
          <t>ED201705</t>
        </is>
      </c>
      <c r="B1661" s="56" t="n">
        <v>45381.02222222222</v>
      </c>
      <c r="C1661" t="inlineStr">
        <is>
          <t>Ashby Falls Community Hospital</t>
        </is>
      </c>
      <c r="D1661" t="n">
        <v>14</v>
      </c>
    </row>
    <row r="1662">
      <c r="A1662" t="inlineStr">
        <is>
          <t>ED201706</t>
        </is>
      </c>
      <c r="B1662" s="56" t="n">
        <v>45381.06944444445</v>
      </c>
      <c r="C1662" t="inlineStr">
        <is>
          <t>Bluestone Memorial Hospital</t>
        </is>
      </c>
      <c r="D1662" t="n">
        <v>21</v>
      </c>
    </row>
    <row r="1663">
      <c r="A1663" t="inlineStr">
        <is>
          <t>ED201707</t>
        </is>
      </c>
      <c r="B1663" s="56" t="n">
        <v>45381.08194444444</v>
      </c>
      <c r="C1663" t="inlineStr">
        <is>
          <t>Bluestone Memorial Hospital</t>
        </is>
      </c>
      <c r="D1663" t="n">
        <v>90</v>
      </c>
    </row>
    <row r="1664">
      <c r="A1664" t="inlineStr">
        <is>
          <t>ED201708</t>
        </is>
      </c>
      <c r="B1664" s="56" t="n">
        <v>45381.30277777778</v>
      </c>
      <c r="C1664" t="inlineStr">
        <is>
          <t>Bluestone Memorial Hospital</t>
        </is>
      </c>
      <c r="D1664" t="n">
        <v>28</v>
      </c>
    </row>
    <row r="1665">
      <c r="A1665" t="inlineStr">
        <is>
          <t>ED201709</t>
        </is>
      </c>
      <c r="B1665" s="56" t="n">
        <v>45381.37638888889</v>
      </c>
      <c r="C1665" t="inlineStr">
        <is>
          <t>Bluestone Memorial Hospital</t>
        </is>
      </c>
      <c r="D1665" t="n">
        <v>42</v>
      </c>
    </row>
    <row r="1666">
      <c r="A1666" t="inlineStr">
        <is>
          <t>ED201711</t>
        </is>
      </c>
      <c r="B1666" s="56" t="n">
        <v>45381.53541666667</v>
      </c>
      <c r="C1666" t="inlineStr">
        <is>
          <t>Cedar Ridge Medical Center</t>
        </is>
      </c>
      <c r="D1666" t="n">
        <v>28</v>
      </c>
    </row>
    <row r="1667">
      <c r="A1667" t="inlineStr">
        <is>
          <t>ED201712</t>
        </is>
      </c>
      <c r="B1667" s="56" t="n">
        <v>45381.57777777778</v>
      </c>
      <c r="C1667" t="inlineStr">
        <is>
          <t>Bluestone Memorial Hospital</t>
        </is>
      </c>
      <c r="D1667" t="n">
        <v>30</v>
      </c>
    </row>
    <row r="1668">
      <c r="A1668" t="inlineStr">
        <is>
          <t>ED201713</t>
        </is>
      </c>
      <c r="B1668" s="56" t="n">
        <v>45381.58958333333</v>
      </c>
      <c r="C1668" t="inlineStr">
        <is>
          <t>Bluestone Memorial Hospital</t>
        </is>
      </c>
      <c r="D1668" t="n">
        <v>96</v>
      </c>
    </row>
    <row r="1669">
      <c r="A1669" t="inlineStr">
        <is>
          <t>ED201714</t>
        </is>
      </c>
      <c r="B1669" s="56" t="n">
        <v>45381.60486111111</v>
      </c>
      <c r="C1669" t="inlineStr">
        <is>
          <t>Cedar Ridge Medical Center</t>
        </is>
      </c>
      <c r="D1669" t="n">
        <v>16</v>
      </c>
    </row>
    <row r="1670">
      <c r="A1670" t="inlineStr">
        <is>
          <t>ED201715</t>
        </is>
      </c>
      <c r="B1670" s="56" t="n">
        <v>45381.60833333333</v>
      </c>
      <c r="C1670" t="inlineStr">
        <is>
          <t>Bluestone Memorial Hospital</t>
        </is>
      </c>
      <c r="D1670" t="n">
        <v>90</v>
      </c>
    </row>
    <row r="1671">
      <c r="A1671" t="inlineStr">
        <is>
          <t>ED201716</t>
        </is>
      </c>
      <c r="B1671" s="56" t="n">
        <v>45381.62222222222</v>
      </c>
      <c r="C1671" t="inlineStr">
        <is>
          <t>Bluestone Memorial Hospital</t>
        </is>
      </c>
      <c r="D1671" t="n">
        <v>48</v>
      </c>
    </row>
    <row r="1672">
      <c r="A1672" t="inlineStr">
        <is>
          <t>ED201717</t>
        </is>
      </c>
      <c r="B1672" s="56" t="n">
        <v>45381.63194444445</v>
      </c>
      <c r="C1672" t="inlineStr">
        <is>
          <t>Bluestone Memorial Hospital</t>
        </is>
      </c>
      <c r="D1672" t="n">
        <v>77</v>
      </c>
    </row>
    <row r="1673">
      <c r="A1673" t="inlineStr">
        <is>
          <t>ED201718</t>
        </is>
      </c>
      <c r="B1673" s="56" t="n">
        <v>45381.63541666666</v>
      </c>
      <c r="C1673" t="inlineStr">
        <is>
          <t>Bluestone Memorial Hospital</t>
        </is>
      </c>
      <c r="D1673" t="n">
        <v>46</v>
      </c>
    </row>
    <row r="1674">
      <c r="A1674" t="inlineStr">
        <is>
          <t>ED201719</t>
        </is>
      </c>
      <c r="B1674" s="56" t="n">
        <v>45381.6875</v>
      </c>
      <c r="C1674" t="inlineStr">
        <is>
          <t>Cedar Ridge Medical Center</t>
        </is>
      </c>
      <c r="D1674" t="n">
        <v>62</v>
      </c>
    </row>
    <row r="1675">
      <c r="A1675" t="inlineStr">
        <is>
          <t>ED201720</t>
        </is>
      </c>
      <c r="B1675" s="56" t="n">
        <v>45381.76875</v>
      </c>
      <c r="C1675" t="inlineStr">
        <is>
          <t>Bluestone Memorial Hospital</t>
        </is>
      </c>
      <c r="D1675" t="n">
        <v>12</v>
      </c>
    </row>
    <row r="1676">
      <c r="A1676" t="inlineStr">
        <is>
          <t>ED201721</t>
        </is>
      </c>
      <c r="B1676" s="56" t="n">
        <v>45381.77708333333</v>
      </c>
      <c r="C1676" t="inlineStr">
        <is>
          <t>Cedar Ridge Medical Center</t>
        </is>
      </c>
      <c r="D1676" t="n">
        <v>37</v>
      </c>
    </row>
    <row r="1677">
      <c r="A1677" t="inlineStr">
        <is>
          <t>ED201722</t>
        </is>
      </c>
      <c r="B1677" s="56" t="n">
        <v>45381.78194444445</v>
      </c>
      <c r="C1677" t="inlineStr">
        <is>
          <t>Ashby Falls Community Hospital</t>
        </is>
      </c>
      <c r="D1677" t="n">
        <v>22</v>
      </c>
    </row>
    <row r="1678">
      <c r="A1678" t="inlineStr">
        <is>
          <t>ED201723</t>
        </is>
      </c>
      <c r="B1678" s="56" t="n">
        <v>45382.01805555556</v>
      </c>
      <c r="C1678" t="inlineStr">
        <is>
          <t>Ashby Falls Community Hospital</t>
        </is>
      </c>
      <c r="D1678" t="n">
        <v>63</v>
      </c>
    </row>
    <row r="1679">
      <c r="A1679" t="inlineStr">
        <is>
          <t>ED201724</t>
        </is>
      </c>
      <c r="B1679" s="56" t="n">
        <v>45382.17222222222</v>
      </c>
      <c r="C1679" t="inlineStr">
        <is>
          <t>Ashby Falls Community Hospital</t>
        </is>
      </c>
      <c r="D1679" t="n">
        <v>11</v>
      </c>
    </row>
    <row r="1680">
      <c r="A1680" t="inlineStr">
        <is>
          <t>ED201725</t>
        </is>
      </c>
      <c r="B1680" s="56" t="n">
        <v>45382.20208333333</v>
      </c>
      <c r="C1680" t="inlineStr">
        <is>
          <t>Cedar Ridge Medical Center</t>
        </is>
      </c>
      <c r="D1680" t="n">
        <v>5</v>
      </c>
    </row>
    <row r="1681">
      <c r="A1681" t="inlineStr">
        <is>
          <t>ED201726</t>
        </is>
      </c>
      <c r="B1681" s="56" t="n">
        <v>45382.2875</v>
      </c>
      <c r="C1681" t="inlineStr">
        <is>
          <t>Bluestone Memorial Hospital</t>
        </is>
      </c>
      <c r="D1681" t="n">
        <v>16</v>
      </c>
    </row>
    <row r="1682">
      <c r="A1682" t="inlineStr">
        <is>
          <t>ED201727</t>
        </is>
      </c>
      <c r="B1682" s="56" t="n">
        <v>45382.32916666667</v>
      </c>
      <c r="C1682" t="inlineStr">
        <is>
          <t>Bluestone Memorial Hospital</t>
        </is>
      </c>
      <c r="D1682" t="n">
        <v>50</v>
      </c>
    </row>
    <row r="1683">
      <c r="A1683" t="inlineStr">
        <is>
          <t>ED201728</t>
        </is>
      </c>
      <c r="B1683" s="56" t="n">
        <v>45382.34930555556</v>
      </c>
      <c r="C1683" t="inlineStr">
        <is>
          <t>Bluestone Memorial Hospital</t>
        </is>
      </c>
      <c r="D1683" t="n">
        <v>3</v>
      </c>
    </row>
    <row r="1684">
      <c r="A1684" t="inlineStr">
        <is>
          <t>ED201729</t>
        </is>
      </c>
      <c r="B1684" s="56" t="n">
        <v>45382.35972222222</v>
      </c>
      <c r="C1684" t="inlineStr">
        <is>
          <t>Bluestone Memorial Hospital</t>
        </is>
      </c>
      <c r="D1684" t="n">
        <v>16</v>
      </c>
    </row>
    <row r="1685">
      <c r="A1685" t="inlineStr">
        <is>
          <t>ED201730</t>
        </is>
      </c>
      <c r="B1685" s="56" t="n">
        <v>45382.38819444444</v>
      </c>
      <c r="C1685" t="inlineStr">
        <is>
          <t>Ashby Falls Community Hospital</t>
        </is>
      </c>
      <c r="D1685" t="n">
        <v>22</v>
      </c>
    </row>
    <row r="1686">
      <c r="A1686" t="inlineStr">
        <is>
          <t>ED201731</t>
        </is>
      </c>
      <c r="B1686" s="56" t="n">
        <v>45382.43611111111</v>
      </c>
      <c r="C1686" t="inlineStr">
        <is>
          <t>Cedar Ridge Medical Center</t>
        </is>
      </c>
      <c r="D1686" t="n">
        <v>9</v>
      </c>
    </row>
    <row r="1687">
      <c r="A1687" t="inlineStr">
        <is>
          <t>ED201732</t>
        </is>
      </c>
      <c r="B1687" s="56" t="n">
        <v>45382.43958333333</v>
      </c>
      <c r="C1687" t="inlineStr">
        <is>
          <t>Bluestone Memorial Hospital</t>
        </is>
      </c>
      <c r="D1687" t="n">
        <v>112</v>
      </c>
    </row>
    <row r="1688">
      <c r="A1688" t="inlineStr">
        <is>
          <t>ED201733</t>
        </is>
      </c>
      <c r="B1688" s="56" t="n">
        <v>45382.53680555556</v>
      </c>
      <c r="C1688" t="inlineStr">
        <is>
          <t>Ashby Falls Community Hospital</t>
        </is>
      </c>
      <c r="D1688" t="n">
        <v>75</v>
      </c>
    </row>
    <row r="1689">
      <c r="A1689" t="inlineStr">
        <is>
          <t>ED201735</t>
        </is>
      </c>
      <c r="B1689" s="56" t="n">
        <v>45382.55069444444</v>
      </c>
      <c r="C1689" t="inlineStr">
        <is>
          <t>Bluestone Memorial Hospital</t>
        </is>
      </c>
      <c r="D1689" t="n">
        <v>50</v>
      </c>
    </row>
    <row r="1690">
      <c r="A1690" t="inlineStr">
        <is>
          <t>ED201736</t>
        </is>
      </c>
      <c r="B1690" s="56" t="n">
        <v>45382.58055555556</v>
      </c>
      <c r="C1690" t="inlineStr">
        <is>
          <t>Bluestone Memorial Hospital</t>
        </is>
      </c>
      <c r="D1690" t="n">
        <v>37</v>
      </c>
    </row>
    <row r="1691">
      <c r="A1691" t="inlineStr">
        <is>
          <t>ED201737</t>
        </is>
      </c>
      <c r="B1691" s="56" t="n">
        <v>45382.59791666667</v>
      </c>
      <c r="C1691" t="inlineStr">
        <is>
          <t>Bluestone Memorial Hospital</t>
        </is>
      </c>
      <c r="D1691" t="n">
        <v>77</v>
      </c>
    </row>
    <row r="1692">
      <c r="A1692" t="inlineStr">
        <is>
          <t>ED201738</t>
        </is>
      </c>
      <c r="B1692" s="56" t="n">
        <v>45382.60277777778</v>
      </c>
      <c r="C1692" t="inlineStr">
        <is>
          <t>Bluestone Memorial Hospital</t>
        </is>
      </c>
      <c r="D1692" t="n">
        <v>21</v>
      </c>
    </row>
    <row r="1693">
      <c r="A1693" t="inlineStr">
        <is>
          <t>ED201739</t>
        </is>
      </c>
      <c r="B1693" s="56" t="n">
        <v>45382.65208333333</v>
      </c>
      <c r="C1693" t="inlineStr">
        <is>
          <t>Bluestone Memorial Hospital</t>
        </is>
      </c>
      <c r="D1693" t="n">
        <v>106</v>
      </c>
    </row>
    <row r="1694">
      <c r="A1694" t="inlineStr">
        <is>
          <t>ED201740</t>
        </is>
      </c>
      <c r="B1694" s="56" t="n">
        <v>45382.73125</v>
      </c>
      <c r="C1694" t="inlineStr">
        <is>
          <t>Bluestone Memorial Hospital</t>
        </is>
      </c>
      <c r="D1694" t="n">
        <v>45</v>
      </c>
    </row>
    <row r="1695">
      <c r="A1695" t="inlineStr">
        <is>
          <t>ED201741</t>
        </is>
      </c>
      <c r="B1695" s="56" t="n">
        <v>45382.82361111111</v>
      </c>
      <c r="C1695" t="inlineStr">
        <is>
          <t>Bluestone Memorial Hospital</t>
        </is>
      </c>
      <c r="D1695" t="n">
        <v>83</v>
      </c>
    </row>
    <row r="1696">
      <c r="A1696" t="inlineStr">
        <is>
          <t>ED201742</t>
        </is>
      </c>
      <c r="B1696" s="56" t="n">
        <v>45382.82986111111</v>
      </c>
      <c r="C1696" t="inlineStr">
        <is>
          <t>Cedar Ridge Medical Center</t>
        </is>
      </c>
      <c r="D1696" t="n">
        <v>37</v>
      </c>
    </row>
    <row r="1697">
      <c r="A1697" t="inlineStr">
        <is>
          <t>ED201743</t>
        </is>
      </c>
      <c r="B1697" s="56" t="n">
        <v>45382.83541666667</v>
      </c>
      <c r="C1697" t="inlineStr">
        <is>
          <t>Bluestone Memorial Hospital</t>
        </is>
      </c>
      <c r="D1697" t="n">
        <v>22</v>
      </c>
    </row>
    <row r="1698">
      <c r="A1698" t="inlineStr">
        <is>
          <t>ED201744</t>
        </is>
      </c>
      <c r="B1698" s="56" t="n">
        <v>45382.92569444444</v>
      </c>
      <c r="C1698" t="inlineStr">
        <is>
          <t>Ashby Falls Community Hospital</t>
        </is>
      </c>
      <c r="D1698" t="n">
        <v>63</v>
      </c>
    </row>
    <row r="1699">
      <c r="A1699" t="inlineStr">
        <is>
          <t>ED201745</t>
        </is>
      </c>
      <c r="B1699" s="56" t="n">
        <v>45382.97083333333</v>
      </c>
      <c r="C1699" t="inlineStr">
        <is>
          <t>Bluestone Memorial Hospital</t>
        </is>
      </c>
      <c r="D1699" t="n">
        <v>9</v>
      </c>
    </row>
    <row r="1700">
      <c r="A1700" t="inlineStr">
        <is>
          <t>ED201746</t>
        </is>
      </c>
      <c r="B1700" s="56" t="n">
        <v>45383.08125</v>
      </c>
      <c r="C1700" t="inlineStr">
        <is>
          <t>Bluestone Memorial Hospital</t>
        </is>
      </c>
      <c r="D1700" t="n">
        <v>27</v>
      </c>
    </row>
    <row r="1701">
      <c r="A1701" t="inlineStr">
        <is>
          <t>ED201747</t>
        </is>
      </c>
      <c r="B1701" s="56" t="n">
        <v>45383.14236111111</v>
      </c>
      <c r="C1701" t="inlineStr">
        <is>
          <t>Cedar Ridge Medical Center</t>
        </is>
      </c>
      <c r="D1701" t="n">
        <v>59</v>
      </c>
    </row>
    <row r="1702">
      <c r="A1702" t="inlineStr">
        <is>
          <t>ED201748</t>
        </is>
      </c>
      <c r="B1702" s="56" t="n">
        <v>45383.26944444444</v>
      </c>
      <c r="C1702" t="inlineStr">
        <is>
          <t>Cedar Ridge Medical Center</t>
        </is>
      </c>
      <c r="D1702" t="n">
        <v>12</v>
      </c>
    </row>
    <row r="1703">
      <c r="A1703" t="inlineStr">
        <is>
          <t>ED201749</t>
        </is>
      </c>
      <c r="B1703" s="56" t="n">
        <v>45383.33541666667</v>
      </c>
      <c r="C1703" t="inlineStr">
        <is>
          <t>Bluestone Memorial Hospital</t>
        </is>
      </c>
      <c r="D1703" t="n">
        <v>28</v>
      </c>
    </row>
    <row r="1704">
      <c r="A1704" t="inlineStr">
        <is>
          <t>ED201750</t>
        </is>
      </c>
      <c r="B1704" s="56" t="n">
        <v>45383.38888888889</v>
      </c>
      <c r="C1704" t="inlineStr">
        <is>
          <t>Bluestone Memorial Hospital</t>
        </is>
      </c>
      <c r="D1704" t="n">
        <v>55</v>
      </c>
    </row>
    <row r="1705">
      <c r="A1705" t="inlineStr">
        <is>
          <t>ED201751</t>
        </is>
      </c>
      <c r="B1705" s="56" t="n">
        <v>45383.39097222222</v>
      </c>
      <c r="C1705" t="inlineStr">
        <is>
          <t>Bluestone Memorial Hospital</t>
        </is>
      </c>
      <c r="D1705" t="n">
        <v>92</v>
      </c>
    </row>
    <row r="1706">
      <c r="A1706" t="inlineStr">
        <is>
          <t>ED201752</t>
        </is>
      </c>
      <c r="B1706" s="56" t="n">
        <v>45383.41458333333</v>
      </c>
      <c r="C1706" t="inlineStr">
        <is>
          <t>Bluestone Memorial Hospital</t>
        </is>
      </c>
      <c r="D1706" t="n">
        <v>68</v>
      </c>
    </row>
    <row r="1707">
      <c r="A1707" t="inlineStr">
        <is>
          <t>ED201753</t>
        </is>
      </c>
      <c r="B1707" s="56" t="n">
        <v>45383.42361111111</v>
      </c>
      <c r="C1707" t="inlineStr">
        <is>
          <t>Bluestone Memorial Hospital</t>
        </is>
      </c>
      <c r="D1707" t="n">
        <v>24</v>
      </c>
    </row>
    <row r="1708">
      <c r="A1708" t="inlineStr">
        <is>
          <t>ED201754</t>
        </is>
      </c>
      <c r="B1708" s="56" t="n">
        <v>45383.43263888889</v>
      </c>
      <c r="C1708" t="inlineStr">
        <is>
          <t>Cedar Ridge Medical Center</t>
        </is>
      </c>
      <c r="D1708" t="n">
        <v>43</v>
      </c>
    </row>
    <row r="1709">
      <c r="A1709" t="inlineStr">
        <is>
          <t>ED201755</t>
        </is>
      </c>
      <c r="B1709" s="56" t="n">
        <v>45383.51180555556</v>
      </c>
      <c r="C1709" t="inlineStr">
        <is>
          <t>Bluestone Memorial Hospital</t>
        </is>
      </c>
      <c r="D1709" t="n">
        <v>88</v>
      </c>
    </row>
    <row r="1710">
      <c r="A1710" t="inlineStr">
        <is>
          <t>ED201756</t>
        </is>
      </c>
      <c r="B1710" s="56" t="n">
        <v>45383.54513888889</v>
      </c>
      <c r="C1710" t="inlineStr">
        <is>
          <t>Bluestone Memorial Hospital</t>
        </is>
      </c>
      <c r="D1710" t="n">
        <v>18</v>
      </c>
    </row>
    <row r="1711">
      <c r="A1711" t="inlineStr">
        <is>
          <t>ED201757</t>
        </is>
      </c>
      <c r="B1711" s="56" t="n">
        <v>45383.59236111111</v>
      </c>
      <c r="C1711" t="inlineStr">
        <is>
          <t>Bluestone Memorial Hospital</t>
        </is>
      </c>
      <c r="D1711" t="n">
        <v>48</v>
      </c>
    </row>
    <row r="1712">
      <c r="A1712" t="inlineStr">
        <is>
          <t>ED201758</t>
        </is>
      </c>
      <c r="B1712" s="56" t="n">
        <v>45383.59791666667</v>
      </c>
      <c r="C1712" t="inlineStr">
        <is>
          <t>Bluestone Memorial Hospital</t>
        </is>
      </c>
      <c r="D1712" t="n">
        <v>46</v>
      </c>
    </row>
    <row r="1713">
      <c r="A1713" t="inlineStr">
        <is>
          <t>ED201759</t>
        </is>
      </c>
      <c r="B1713" s="56" t="n">
        <v>45383.61666666667</v>
      </c>
      <c r="C1713" t="inlineStr">
        <is>
          <t>Cedar Ridge Medical Center</t>
        </is>
      </c>
      <c r="D1713" t="n">
        <v>51</v>
      </c>
    </row>
    <row r="1714">
      <c r="A1714" t="inlineStr">
        <is>
          <t>ED201760</t>
        </is>
      </c>
      <c r="B1714" s="56" t="n">
        <v>45383.70833333334</v>
      </c>
      <c r="C1714" t="inlineStr">
        <is>
          <t>Bluestone Memorial Hospital</t>
        </is>
      </c>
      <c r="D1714" t="n">
        <v>142</v>
      </c>
    </row>
    <row r="1715">
      <c r="A1715" t="inlineStr">
        <is>
          <t>ED201761</t>
        </is>
      </c>
      <c r="B1715" s="56" t="n">
        <v>45383.77777777778</v>
      </c>
      <c r="C1715" t="inlineStr">
        <is>
          <t>Bluestone Memorial Hospital</t>
        </is>
      </c>
      <c r="D1715" t="n">
        <v>50</v>
      </c>
    </row>
    <row r="1716">
      <c r="A1716" t="inlineStr">
        <is>
          <t>ED201762</t>
        </is>
      </c>
      <c r="B1716" s="56" t="n">
        <v>45383.96527777778</v>
      </c>
      <c r="C1716" t="inlineStr">
        <is>
          <t>Bluestone Memorial Hospital</t>
        </is>
      </c>
      <c r="D1716" t="n">
        <v>99</v>
      </c>
    </row>
    <row r="1717">
      <c r="A1717" t="inlineStr">
        <is>
          <t>ED201763</t>
        </is>
      </c>
      <c r="B1717" s="56" t="n">
        <v>45383.97083333333</v>
      </c>
      <c r="C1717" t="inlineStr">
        <is>
          <t>Bluestone Memorial Hospital</t>
        </is>
      </c>
      <c r="D1717" t="n">
        <v>24</v>
      </c>
    </row>
    <row r="1718">
      <c r="A1718" t="inlineStr">
        <is>
          <t>ED201764</t>
        </is>
      </c>
      <c r="B1718" s="56" t="n">
        <v>45383.97152777778</v>
      </c>
      <c r="C1718" t="inlineStr">
        <is>
          <t>Cedar Ridge Medical Center</t>
        </is>
      </c>
      <c r="D1718" t="n">
        <v>20</v>
      </c>
    </row>
    <row r="1719">
      <c r="A1719" t="inlineStr">
        <is>
          <t>ED201765</t>
        </is>
      </c>
      <c r="B1719" s="56" t="n">
        <v>45384.03819444445</v>
      </c>
      <c r="C1719" t="inlineStr">
        <is>
          <t>Bluestone Memorial Hospital</t>
        </is>
      </c>
      <c r="D1719" t="n">
        <v>20</v>
      </c>
    </row>
    <row r="1720">
      <c r="A1720" t="inlineStr">
        <is>
          <t>ED201766</t>
        </is>
      </c>
      <c r="B1720" s="56" t="n">
        <v>45384.40069444444</v>
      </c>
      <c r="C1720" t="inlineStr">
        <is>
          <t>Bluestone Memorial Hospital</t>
        </is>
      </c>
      <c r="D1720" t="n">
        <v>126</v>
      </c>
    </row>
    <row r="1721">
      <c r="A1721" t="inlineStr">
        <is>
          <t>ED201767</t>
        </is>
      </c>
      <c r="B1721" s="56" t="n">
        <v>45384.41527777778</v>
      </c>
      <c r="C1721" t="inlineStr">
        <is>
          <t>Bluestone Memorial Hospital</t>
        </is>
      </c>
      <c r="D1721" t="n">
        <v>24</v>
      </c>
    </row>
    <row r="1722">
      <c r="A1722" t="inlineStr">
        <is>
          <t>ED201768</t>
        </is>
      </c>
      <c r="B1722" s="56" t="n">
        <v>45384.53125</v>
      </c>
      <c r="C1722" t="inlineStr">
        <is>
          <t>Bluestone Memorial Hospital</t>
        </is>
      </c>
      <c r="D1722" t="n">
        <v>29</v>
      </c>
    </row>
    <row r="1723">
      <c r="A1723" t="inlineStr">
        <is>
          <t>ED201769</t>
        </is>
      </c>
      <c r="B1723" s="56" t="n">
        <v>45384.53958333333</v>
      </c>
      <c r="C1723" t="inlineStr">
        <is>
          <t>Bluestone Memorial Hospital</t>
        </is>
      </c>
      <c r="D1723" t="n">
        <v>33</v>
      </c>
    </row>
    <row r="1724">
      <c r="A1724" t="inlineStr">
        <is>
          <t>ED201770</t>
        </is>
      </c>
      <c r="B1724" s="56" t="n">
        <v>45384.54375</v>
      </c>
      <c r="C1724" t="inlineStr">
        <is>
          <t>Cedar Ridge Medical Center</t>
        </is>
      </c>
      <c r="D1724" t="n">
        <v>8</v>
      </c>
    </row>
    <row r="1725">
      <c r="A1725" t="inlineStr">
        <is>
          <t>ED201771</t>
        </is>
      </c>
      <c r="B1725" s="56" t="n">
        <v>45384.58055555556</v>
      </c>
      <c r="C1725" t="inlineStr">
        <is>
          <t>Ashby Falls Community Hospital</t>
        </is>
      </c>
      <c r="D1725" t="n">
        <v>11</v>
      </c>
    </row>
    <row r="1726">
      <c r="A1726" t="inlineStr">
        <is>
          <t>ED201772</t>
        </is>
      </c>
      <c r="B1726" s="56" t="n">
        <v>45384.58263888889</v>
      </c>
      <c r="C1726" t="inlineStr">
        <is>
          <t>Bluestone Memorial Hospital</t>
        </is>
      </c>
      <c r="D1726" t="n">
        <v>57</v>
      </c>
    </row>
    <row r="1727">
      <c r="A1727" t="inlineStr">
        <is>
          <t>ED201773</t>
        </is>
      </c>
      <c r="B1727" s="56" t="n">
        <v>45384.58402777778</v>
      </c>
      <c r="C1727" t="inlineStr">
        <is>
          <t>Ashby Falls Community Hospital</t>
        </is>
      </c>
      <c r="D1727" t="n">
        <v>53</v>
      </c>
    </row>
    <row r="1728">
      <c r="A1728" t="inlineStr">
        <is>
          <t>ED201774</t>
        </is>
      </c>
      <c r="B1728" s="56" t="n">
        <v>45384.60555555556</v>
      </c>
      <c r="C1728" t="inlineStr">
        <is>
          <t>Cedar Ridge Medical Center</t>
        </is>
      </c>
      <c r="D1728" t="n">
        <v>57</v>
      </c>
    </row>
    <row r="1729">
      <c r="A1729" t="inlineStr">
        <is>
          <t>ED201775</t>
        </is>
      </c>
      <c r="B1729" s="56" t="n">
        <v>45384.65555555555</v>
      </c>
      <c r="C1729" t="inlineStr">
        <is>
          <t>Bluestone Memorial Hospital</t>
        </is>
      </c>
      <c r="D1729" t="n">
        <v>23</v>
      </c>
    </row>
    <row r="1730">
      <c r="A1730" t="inlineStr">
        <is>
          <t>ED201776</t>
        </is>
      </c>
      <c r="B1730" s="56" t="n">
        <v>45384.6875</v>
      </c>
      <c r="C1730" t="inlineStr">
        <is>
          <t>Ashby Falls Community Hospital</t>
        </is>
      </c>
      <c r="D1730" t="n">
        <v>55</v>
      </c>
    </row>
    <row r="1731">
      <c r="A1731" t="inlineStr">
        <is>
          <t>ED201777</t>
        </is>
      </c>
      <c r="B1731" s="56" t="n">
        <v>45384.74097222222</v>
      </c>
      <c r="C1731" t="inlineStr">
        <is>
          <t>Bluestone Memorial Hospital</t>
        </is>
      </c>
      <c r="D1731" t="n">
        <v>25</v>
      </c>
    </row>
    <row r="1732">
      <c r="A1732" t="inlineStr">
        <is>
          <t>ED201778</t>
        </is>
      </c>
      <c r="B1732" s="56" t="n">
        <v>45384.75486111111</v>
      </c>
      <c r="C1732" t="inlineStr">
        <is>
          <t>Bluestone Memorial Hospital</t>
        </is>
      </c>
      <c r="D1732" t="n">
        <v>48</v>
      </c>
    </row>
    <row r="1733">
      <c r="A1733" t="inlineStr">
        <is>
          <t>ED201779</t>
        </is>
      </c>
      <c r="B1733" s="56" t="n">
        <v>45384.80416666667</v>
      </c>
      <c r="C1733" t="inlineStr">
        <is>
          <t>Bluestone Memorial Hospital</t>
        </is>
      </c>
      <c r="D1733" t="n">
        <v>5</v>
      </c>
    </row>
    <row r="1734">
      <c r="A1734" t="inlineStr">
        <is>
          <t>ED201780</t>
        </is>
      </c>
      <c r="B1734" s="56" t="n">
        <v>45384.81388888889</v>
      </c>
      <c r="C1734" t="inlineStr">
        <is>
          <t>Bluestone Memorial Hospital</t>
        </is>
      </c>
      <c r="D1734" t="n">
        <v>48</v>
      </c>
    </row>
    <row r="1735">
      <c r="A1735" t="inlineStr">
        <is>
          <t>ED201781</t>
        </is>
      </c>
      <c r="B1735" s="56" t="n">
        <v>45384.81597222222</v>
      </c>
      <c r="C1735" t="inlineStr">
        <is>
          <t>Bluestone Memorial Hospital</t>
        </is>
      </c>
      <c r="D1735" t="n">
        <v>27</v>
      </c>
    </row>
    <row r="1736">
      <c r="A1736" t="inlineStr">
        <is>
          <t>ED201782</t>
        </is>
      </c>
      <c r="B1736" s="56" t="n">
        <v>45384.875</v>
      </c>
      <c r="C1736" t="inlineStr">
        <is>
          <t>Bluestone Memorial Hospital</t>
        </is>
      </c>
      <c r="D1736" t="n">
        <v>34</v>
      </c>
    </row>
    <row r="1737">
      <c r="A1737" t="inlineStr">
        <is>
          <t>ED201783</t>
        </is>
      </c>
      <c r="B1737" s="56" t="n">
        <v>45384.94375</v>
      </c>
      <c r="C1737" t="inlineStr">
        <is>
          <t>Cedar Ridge Medical Center</t>
        </is>
      </c>
      <c r="D1737" t="n">
        <v>11</v>
      </c>
    </row>
    <row r="1738">
      <c r="A1738" t="inlineStr">
        <is>
          <t>ED201784</t>
        </is>
      </c>
      <c r="B1738" s="56" t="n">
        <v>45384.94930555556</v>
      </c>
      <c r="C1738" t="inlineStr">
        <is>
          <t>Bluestone Memorial Hospital</t>
        </is>
      </c>
      <c r="D1738" t="n">
        <v>16</v>
      </c>
    </row>
    <row r="1739">
      <c r="A1739" t="inlineStr">
        <is>
          <t>ED201785</t>
        </is>
      </c>
      <c r="B1739" s="56" t="n">
        <v>45385.02847222222</v>
      </c>
      <c r="C1739" t="inlineStr">
        <is>
          <t>Bluestone Memorial Hospital</t>
        </is>
      </c>
      <c r="D1739" t="n">
        <v>18</v>
      </c>
    </row>
    <row r="1740">
      <c r="A1740" t="inlineStr">
        <is>
          <t>ED201786</t>
        </is>
      </c>
      <c r="B1740" s="56" t="n">
        <v>45385.03958333333</v>
      </c>
      <c r="C1740" t="inlineStr">
        <is>
          <t>Bluestone Memorial Hospital</t>
        </is>
      </c>
      <c r="D1740" t="n">
        <v>39</v>
      </c>
    </row>
    <row r="1741">
      <c r="A1741" t="inlineStr">
        <is>
          <t>ED201787</t>
        </is>
      </c>
      <c r="B1741" s="56" t="n">
        <v>45385.12152777778</v>
      </c>
      <c r="C1741" t="inlineStr">
        <is>
          <t>Bluestone Memorial Hospital</t>
        </is>
      </c>
      <c r="D1741" t="n">
        <v>15</v>
      </c>
    </row>
    <row r="1742">
      <c r="A1742" t="inlineStr">
        <is>
          <t>ED201788</t>
        </is>
      </c>
      <c r="B1742" s="56" t="n">
        <v>45385.19652777778</v>
      </c>
      <c r="C1742" t="inlineStr">
        <is>
          <t>Cedar Ridge Medical Center</t>
        </is>
      </c>
      <c r="D1742" t="n">
        <v>22</v>
      </c>
    </row>
    <row r="1743">
      <c r="A1743" t="inlineStr">
        <is>
          <t>ED201789</t>
        </is>
      </c>
      <c r="B1743" s="56" t="n">
        <v>45385.27430555555</v>
      </c>
      <c r="C1743" t="inlineStr">
        <is>
          <t>Bluestone Memorial Hospital</t>
        </is>
      </c>
      <c r="D1743" t="n">
        <v>16</v>
      </c>
    </row>
    <row r="1744">
      <c r="A1744" t="inlineStr">
        <is>
          <t>ED201790</t>
        </is>
      </c>
      <c r="B1744" s="56" t="n">
        <v>45385.30069444444</v>
      </c>
      <c r="C1744" t="inlineStr">
        <is>
          <t>Bluestone Memorial Hospital</t>
        </is>
      </c>
      <c r="D1744" t="n">
        <v>10</v>
      </c>
    </row>
    <row r="1745">
      <c r="A1745" t="inlineStr">
        <is>
          <t>ED201791</t>
        </is>
      </c>
      <c r="B1745" s="56" t="n">
        <v>45385.31458333333</v>
      </c>
      <c r="C1745" t="inlineStr">
        <is>
          <t>Bluestone Memorial Hospital</t>
        </is>
      </c>
      <c r="D1745" t="n">
        <v>25</v>
      </c>
    </row>
    <row r="1746">
      <c r="A1746" t="inlineStr">
        <is>
          <t>ED201792</t>
        </is>
      </c>
      <c r="B1746" s="56" t="n">
        <v>45385.50347222222</v>
      </c>
      <c r="C1746" t="inlineStr">
        <is>
          <t>Bluestone Memorial Hospital</t>
        </is>
      </c>
      <c r="D1746" t="n">
        <v>21</v>
      </c>
    </row>
    <row r="1747">
      <c r="A1747" t="inlineStr">
        <is>
          <t>ED201793</t>
        </is>
      </c>
      <c r="B1747" s="56" t="n">
        <v>45385.51111111111</v>
      </c>
      <c r="C1747" t="inlineStr">
        <is>
          <t>Ashby Falls Community Hospital</t>
        </is>
      </c>
      <c r="D1747" t="n">
        <v>77</v>
      </c>
    </row>
    <row r="1748">
      <c r="A1748" t="inlineStr">
        <is>
          <t>ED201794</t>
        </is>
      </c>
      <c r="B1748" s="56" t="n">
        <v>45385.56736111111</v>
      </c>
      <c r="C1748" t="inlineStr">
        <is>
          <t>Bluestone Memorial Hospital</t>
        </is>
      </c>
      <c r="D1748" t="n">
        <v>103</v>
      </c>
    </row>
    <row r="1749">
      <c r="A1749" t="inlineStr">
        <is>
          <t>ED201795</t>
        </is>
      </c>
      <c r="B1749" s="56" t="n">
        <v>45385.59652777778</v>
      </c>
      <c r="C1749" t="inlineStr">
        <is>
          <t>Bluestone Memorial Hospital</t>
        </is>
      </c>
      <c r="D1749" t="n">
        <v>11</v>
      </c>
    </row>
    <row r="1750">
      <c r="A1750" t="inlineStr">
        <is>
          <t>ED201796</t>
        </is>
      </c>
      <c r="B1750" s="56" t="n">
        <v>45385.64375</v>
      </c>
      <c r="C1750" t="inlineStr">
        <is>
          <t>Bluestone Memorial Hospital</t>
        </is>
      </c>
      <c r="D1750" t="n">
        <v>49</v>
      </c>
    </row>
    <row r="1751">
      <c r="A1751" t="inlineStr">
        <is>
          <t>ED201797</t>
        </is>
      </c>
      <c r="B1751" s="56" t="n">
        <v>45385.73055555556</v>
      </c>
      <c r="C1751" t="inlineStr">
        <is>
          <t>Bluestone Memorial Hospital</t>
        </is>
      </c>
      <c r="D1751" t="n">
        <v>34</v>
      </c>
    </row>
    <row r="1752">
      <c r="A1752" t="inlineStr">
        <is>
          <t>ED201798</t>
        </is>
      </c>
      <c r="B1752" s="56" t="n">
        <v>45385.74722222222</v>
      </c>
      <c r="C1752" t="inlineStr">
        <is>
          <t>Bluestone Memorial Hospital</t>
        </is>
      </c>
      <c r="D1752" t="n">
        <v>97</v>
      </c>
    </row>
    <row r="1753">
      <c r="A1753" t="inlineStr">
        <is>
          <t>ED201799</t>
        </is>
      </c>
      <c r="B1753" s="56" t="n">
        <v>45385.75555555556</v>
      </c>
      <c r="C1753" t="inlineStr">
        <is>
          <t>Ashby Falls Community Hospital</t>
        </is>
      </c>
      <c r="D1753" t="n">
        <v>67</v>
      </c>
    </row>
    <row r="1754">
      <c r="A1754" t="inlineStr">
        <is>
          <t>ED201800</t>
        </is>
      </c>
      <c r="B1754" s="56" t="n">
        <v>45385.79305555556</v>
      </c>
      <c r="C1754" t="inlineStr">
        <is>
          <t>Bluestone Memorial Hospital</t>
        </is>
      </c>
      <c r="D1754" t="n">
        <v>34</v>
      </c>
    </row>
    <row r="1755">
      <c r="A1755" t="inlineStr">
        <is>
          <t>ED201801</t>
        </is>
      </c>
      <c r="B1755" s="56" t="n">
        <v>45385.83402777778</v>
      </c>
      <c r="C1755" t="inlineStr">
        <is>
          <t>Bluestone Memorial Hospital</t>
        </is>
      </c>
      <c r="D1755" t="n">
        <v>22</v>
      </c>
    </row>
    <row r="1756">
      <c r="A1756" t="inlineStr">
        <is>
          <t>ED201802</t>
        </is>
      </c>
      <c r="B1756" s="56" t="n">
        <v>45385.89236111111</v>
      </c>
      <c r="C1756" t="inlineStr">
        <is>
          <t>Bluestone Memorial Hospital</t>
        </is>
      </c>
      <c r="D1756" t="n">
        <v>13</v>
      </c>
    </row>
    <row r="1757">
      <c r="A1757" t="inlineStr">
        <is>
          <t>ED201803</t>
        </is>
      </c>
      <c r="B1757" s="56" t="n">
        <v>45385.92291666667</v>
      </c>
      <c r="C1757" t="inlineStr">
        <is>
          <t>Bluestone Memorial Hospital</t>
        </is>
      </c>
      <c r="D1757" t="n">
        <v>56</v>
      </c>
    </row>
    <row r="1758">
      <c r="A1758" t="inlineStr">
        <is>
          <t>ED201804</t>
        </is>
      </c>
      <c r="B1758" s="56" t="n">
        <v>45385.97986111111</v>
      </c>
      <c r="C1758" t="inlineStr">
        <is>
          <t>Bluestone Memorial Hospital</t>
        </is>
      </c>
      <c r="D1758" t="n">
        <v>61</v>
      </c>
    </row>
    <row r="1759">
      <c r="A1759" t="inlineStr">
        <is>
          <t>ED201805</t>
        </is>
      </c>
      <c r="B1759" s="56" t="n">
        <v>45386.05069444444</v>
      </c>
      <c r="C1759" t="inlineStr">
        <is>
          <t>Ashby Falls Community Hospital</t>
        </is>
      </c>
      <c r="D1759" t="n">
        <v>34</v>
      </c>
    </row>
    <row r="1760">
      <c r="A1760" t="inlineStr">
        <is>
          <t>ED201806</t>
        </is>
      </c>
      <c r="B1760" s="56" t="n">
        <v>45386.2</v>
      </c>
      <c r="C1760" t="inlineStr">
        <is>
          <t>Bluestone Memorial Hospital</t>
        </is>
      </c>
      <c r="D1760" t="n">
        <v>52</v>
      </c>
    </row>
    <row r="1761">
      <c r="A1761" t="inlineStr">
        <is>
          <t>ED201807</t>
        </is>
      </c>
      <c r="B1761" s="56" t="n">
        <v>45386.24027777778</v>
      </c>
      <c r="C1761" t="inlineStr">
        <is>
          <t>Bluestone Memorial Hospital</t>
        </is>
      </c>
      <c r="D1761" t="n">
        <v>24</v>
      </c>
    </row>
    <row r="1762">
      <c r="A1762" t="inlineStr">
        <is>
          <t>ED201808</t>
        </is>
      </c>
      <c r="B1762" s="56" t="n">
        <v>45386.39027777778</v>
      </c>
      <c r="C1762" t="inlineStr">
        <is>
          <t>Bluestone Memorial Hospital</t>
        </is>
      </c>
      <c r="D1762" t="n">
        <v>11</v>
      </c>
    </row>
    <row r="1763">
      <c r="A1763" t="inlineStr">
        <is>
          <t>ED201809</t>
        </is>
      </c>
      <c r="B1763" s="56" t="n">
        <v>45386.41805555556</v>
      </c>
      <c r="C1763" t="inlineStr">
        <is>
          <t>Ashby Falls Community Hospital</t>
        </is>
      </c>
      <c r="D1763" t="n">
        <v>67</v>
      </c>
    </row>
    <row r="1764">
      <c r="A1764" t="inlineStr">
        <is>
          <t>ED201810</t>
        </is>
      </c>
      <c r="B1764" s="56" t="n">
        <v>45386.41944444444</v>
      </c>
      <c r="C1764" t="inlineStr">
        <is>
          <t>Bluestone Memorial Hospital</t>
        </is>
      </c>
      <c r="D1764" t="n">
        <v>49</v>
      </c>
    </row>
    <row r="1765">
      <c r="A1765" t="inlineStr">
        <is>
          <t>ED201811</t>
        </is>
      </c>
      <c r="B1765" s="56" t="n">
        <v>45386.46388888889</v>
      </c>
      <c r="C1765" t="inlineStr">
        <is>
          <t>Bluestone Memorial Hospital</t>
        </is>
      </c>
      <c r="D1765" t="n">
        <v>49</v>
      </c>
    </row>
    <row r="1766">
      <c r="A1766" t="inlineStr">
        <is>
          <t>ED201812</t>
        </is>
      </c>
      <c r="B1766" s="56" t="n">
        <v>45386.46597222222</v>
      </c>
      <c r="C1766" t="inlineStr">
        <is>
          <t>Bluestone Memorial Hospital</t>
        </is>
      </c>
      <c r="D1766" t="n">
        <v>143</v>
      </c>
    </row>
    <row r="1767">
      <c r="A1767" t="inlineStr">
        <is>
          <t>ED201813</t>
        </is>
      </c>
      <c r="B1767" s="56" t="n">
        <v>45386.47152777778</v>
      </c>
      <c r="C1767" t="inlineStr">
        <is>
          <t>Bluestone Memorial Hospital</t>
        </is>
      </c>
      <c r="D1767" t="n">
        <v>45</v>
      </c>
    </row>
    <row r="1768">
      <c r="A1768" t="inlineStr">
        <is>
          <t>ED201814</t>
        </is>
      </c>
      <c r="B1768" s="56" t="n">
        <v>45386.49930555555</v>
      </c>
      <c r="C1768" t="inlineStr">
        <is>
          <t>Ashby Falls Community Hospital</t>
        </is>
      </c>
      <c r="D1768" t="n">
        <v>58</v>
      </c>
    </row>
    <row r="1769">
      <c r="A1769" t="inlineStr">
        <is>
          <t>ED201815</t>
        </is>
      </c>
      <c r="B1769" s="56" t="n">
        <v>45386.50416666667</v>
      </c>
      <c r="C1769" t="inlineStr">
        <is>
          <t>Bluestone Memorial Hospital</t>
        </is>
      </c>
      <c r="D1769" t="n">
        <v>93</v>
      </c>
    </row>
    <row r="1770">
      <c r="A1770" t="inlineStr">
        <is>
          <t>ED201816</t>
        </is>
      </c>
      <c r="B1770" s="56" t="n">
        <v>45386.52708333333</v>
      </c>
      <c r="C1770" t="inlineStr">
        <is>
          <t>Bluestone Memorial Hospital</t>
        </is>
      </c>
      <c r="D1770" t="n">
        <v>55</v>
      </c>
    </row>
    <row r="1771">
      <c r="A1771" t="inlineStr">
        <is>
          <t>ED201817</t>
        </is>
      </c>
      <c r="B1771" s="56" t="n">
        <v>45386.54444444444</v>
      </c>
      <c r="C1771" t="inlineStr">
        <is>
          <t>Bluestone Memorial Hospital</t>
        </is>
      </c>
      <c r="D1771" t="n">
        <v>94</v>
      </c>
    </row>
    <row r="1772">
      <c r="A1772" t="inlineStr">
        <is>
          <t>ED201818</t>
        </is>
      </c>
      <c r="B1772" s="56" t="n">
        <v>45386.5625</v>
      </c>
      <c r="C1772" t="inlineStr">
        <is>
          <t>Bluestone Memorial Hospital</t>
        </is>
      </c>
      <c r="D1772" t="n">
        <v>35</v>
      </c>
    </row>
    <row r="1773">
      <c r="A1773" t="inlineStr">
        <is>
          <t>ED201819</t>
        </is>
      </c>
      <c r="B1773" s="56" t="n">
        <v>45386.57777777778</v>
      </c>
      <c r="C1773" t="inlineStr">
        <is>
          <t>Bluestone Memorial Hospital</t>
        </is>
      </c>
      <c r="D1773" t="n">
        <v>40</v>
      </c>
    </row>
    <row r="1774">
      <c r="A1774" t="inlineStr">
        <is>
          <t>ED201820</t>
        </is>
      </c>
      <c r="B1774" s="56" t="n">
        <v>45386.6125</v>
      </c>
      <c r="C1774" t="inlineStr">
        <is>
          <t>Cedar Ridge Medical Center</t>
        </is>
      </c>
      <c r="D1774" t="n">
        <v>8</v>
      </c>
    </row>
    <row r="1775">
      <c r="A1775" t="inlineStr">
        <is>
          <t>ED201822</t>
        </is>
      </c>
      <c r="B1775" s="56" t="n">
        <v>45386.91805555556</v>
      </c>
      <c r="C1775" t="inlineStr">
        <is>
          <t>Bluestone Memorial Hospital</t>
        </is>
      </c>
      <c r="D1775" t="n">
        <v>68</v>
      </c>
    </row>
    <row r="1776">
      <c r="A1776" t="inlineStr">
        <is>
          <t>ED201823</t>
        </is>
      </c>
      <c r="B1776" s="56" t="n">
        <v>45386.91875</v>
      </c>
      <c r="C1776" t="inlineStr">
        <is>
          <t>Bluestone Memorial Hospital</t>
        </is>
      </c>
      <c r="D1776" t="n">
        <v>13</v>
      </c>
    </row>
    <row r="1777">
      <c r="A1777" t="inlineStr">
        <is>
          <t>ED201824</t>
        </is>
      </c>
      <c r="B1777" s="56" t="n">
        <v>45386.97847222222</v>
      </c>
      <c r="C1777" t="inlineStr">
        <is>
          <t>Bluestone Memorial Hospital</t>
        </is>
      </c>
      <c r="D1777" t="n">
        <v>40</v>
      </c>
    </row>
    <row r="1778">
      <c r="A1778" t="inlineStr">
        <is>
          <t>ED201825</t>
        </is>
      </c>
      <c r="B1778" s="56" t="n">
        <v>45387.03194444445</v>
      </c>
      <c r="C1778" t="inlineStr">
        <is>
          <t>Bluestone Memorial Hospital</t>
        </is>
      </c>
      <c r="D1778" t="n">
        <v>19</v>
      </c>
    </row>
    <row r="1779">
      <c r="A1779" t="inlineStr">
        <is>
          <t>ED201826</t>
        </is>
      </c>
      <c r="B1779" s="56" t="n">
        <v>45387.14513888889</v>
      </c>
      <c r="C1779" t="inlineStr">
        <is>
          <t>Bluestone Memorial Hospital</t>
        </is>
      </c>
      <c r="D1779" t="n">
        <v>22</v>
      </c>
    </row>
    <row r="1780">
      <c r="A1780" t="inlineStr">
        <is>
          <t>ED201827</t>
        </is>
      </c>
      <c r="B1780" s="56" t="n">
        <v>45387.27777777778</v>
      </c>
      <c r="C1780" t="inlineStr">
        <is>
          <t>Bluestone Memorial Hospital</t>
        </is>
      </c>
      <c r="D1780" t="n">
        <v>30</v>
      </c>
    </row>
    <row r="1781">
      <c r="A1781" t="inlineStr">
        <is>
          <t>ED201828</t>
        </is>
      </c>
      <c r="B1781" s="56" t="n">
        <v>45387.31666666667</v>
      </c>
      <c r="C1781" t="inlineStr">
        <is>
          <t>Cedar Ridge Medical Center</t>
        </is>
      </c>
      <c r="D1781" t="n">
        <v>26</v>
      </c>
    </row>
    <row r="1782">
      <c r="A1782" t="inlineStr">
        <is>
          <t>ED201829</t>
        </is>
      </c>
      <c r="B1782" s="56" t="n">
        <v>45387.43541666667</v>
      </c>
      <c r="C1782" t="inlineStr">
        <is>
          <t>Ashby Falls Community Hospital</t>
        </is>
      </c>
      <c r="D1782" t="n">
        <v>16</v>
      </c>
    </row>
    <row r="1783">
      <c r="A1783" t="inlineStr">
        <is>
          <t>ED201830</t>
        </is>
      </c>
      <c r="B1783" s="56" t="n">
        <v>45387.50069444445</v>
      </c>
      <c r="C1783" t="inlineStr">
        <is>
          <t>Bluestone Memorial Hospital</t>
        </is>
      </c>
      <c r="D1783" t="n">
        <v>19</v>
      </c>
    </row>
    <row r="1784">
      <c r="A1784" t="inlineStr">
        <is>
          <t>ED201831</t>
        </is>
      </c>
      <c r="B1784" s="56" t="n">
        <v>45387.53680555556</v>
      </c>
      <c r="C1784" t="inlineStr">
        <is>
          <t>Bluestone Memorial Hospital</t>
        </is>
      </c>
      <c r="D1784" t="n">
        <v>74</v>
      </c>
    </row>
    <row r="1785">
      <c r="A1785" t="inlineStr">
        <is>
          <t>ED201832</t>
        </is>
      </c>
      <c r="B1785" s="56" t="n">
        <v>45387.63263888889</v>
      </c>
      <c r="C1785" t="inlineStr">
        <is>
          <t>Cedar Ridge Medical Center</t>
        </is>
      </c>
      <c r="D1785" t="n">
        <v>51</v>
      </c>
    </row>
    <row r="1786">
      <c r="A1786" t="inlineStr">
        <is>
          <t>ED201833</t>
        </is>
      </c>
      <c r="B1786" s="56" t="n">
        <v>45387.64791666667</v>
      </c>
      <c r="C1786" t="inlineStr">
        <is>
          <t>Bluestone Memorial Hospital</t>
        </is>
      </c>
      <c r="D1786" t="n">
        <v>13</v>
      </c>
    </row>
    <row r="1787">
      <c r="A1787" t="inlineStr">
        <is>
          <t>ED201834</t>
        </is>
      </c>
      <c r="B1787" s="56" t="n">
        <v>45387.8125</v>
      </c>
      <c r="C1787" t="inlineStr">
        <is>
          <t>Bluestone Memorial Hospital</t>
        </is>
      </c>
      <c r="D1787" t="n">
        <v>71</v>
      </c>
    </row>
    <row r="1788">
      <c r="A1788" t="inlineStr">
        <is>
          <t>ED201835</t>
        </is>
      </c>
      <c r="B1788" s="56" t="n">
        <v>45387.81527777778</v>
      </c>
      <c r="C1788" t="inlineStr">
        <is>
          <t>Bluestone Memorial Hospital</t>
        </is>
      </c>
      <c r="D1788" t="n">
        <v>29</v>
      </c>
    </row>
    <row r="1789">
      <c r="A1789" t="inlineStr">
        <is>
          <t>ED201836</t>
        </is>
      </c>
      <c r="B1789" s="56" t="n">
        <v>45387.86527777778</v>
      </c>
      <c r="C1789" t="inlineStr">
        <is>
          <t>Bluestone Memorial Hospital</t>
        </is>
      </c>
      <c r="D1789" t="n">
        <v>14</v>
      </c>
    </row>
    <row r="1790">
      <c r="A1790" t="inlineStr">
        <is>
          <t>ED201837</t>
        </is>
      </c>
      <c r="B1790" s="56" t="n">
        <v>45387.90208333333</v>
      </c>
      <c r="C1790" t="inlineStr">
        <is>
          <t>Bluestone Memorial Hospital</t>
        </is>
      </c>
      <c r="D1790" t="n">
        <v>34</v>
      </c>
    </row>
    <row r="1791">
      <c r="A1791" t="inlineStr">
        <is>
          <t>ED201838</t>
        </is>
      </c>
      <c r="B1791" s="56" t="n">
        <v>45387.91388888889</v>
      </c>
      <c r="C1791" t="inlineStr">
        <is>
          <t>Bluestone Memorial Hospital</t>
        </is>
      </c>
      <c r="D1791" t="n">
        <v>29</v>
      </c>
    </row>
    <row r="1792">
      <c r="A1792" t="inlineStr">
        <is>
          <t>ED201839</t>
        </is>
      </c>
      <c r="B1792" s="56" t="n">
        <v>45388.19722222222</v>
      </c>
      <c r="C1792" t="inlineStr">
        <is>
          <t>Bluestone Memorial Hospital</t>
        </is>
      </c>
      <c r="D1792" t="n">
        <v>5</v>
      </c>
    </row>
    <row r="1793">
      <c r="A1793" t="inlineStr">
        <is>
          <t>ED201840</t>
        </is>
      </c>
      <c r="B1793" s="56" t="n">
        <v>45388.25347222222</v>
      </c>
      <c r="C1793" t="inlineStr">
        <is>
          <t>Bluestone Memorial Hospital</t>
        </is>
      </c>
      <c r="D1793" t="n">
        <v>14</v>
      </c>
    </row>
    <row r="1794">
      <c r="A1794" t="inlineStr">
        <is>
          <t>ED201841</t>
        </is>
      </c>
      <c r="B1794" s="56" t="n">
        <v>45388.40208333333</v>
      </c>
      <c r="C1794" t="inlineStr">
        <is>
          <t>Ashby Falls Community Hospital</t>
        </is>
      </c>
      <c r="D1794" t="n">
        <v>18</v>
      </c>
    </row>
    <row r="1795">
      <c r="A1795" t="inlineStr">
        <is>
          <t>ED201842</t>
        </is>
      </c>
      <c r="B1795" s="56" t="n">
        <v>45388.42569444444</v>
      </c>
      <c r="C1795" t="inlineStr">
        <is>
          <t>Bluestone Memorial Hospital</t>
        </is>
      </c>
      <c r="D1795" t="n">
        <v>187</v>
      </c>
    </row>
    <row r="1796">
      <c r="A1796" t="inlineStr">
        <is>
          <t>ED201843</t>
        </is>
      </c>
      <c r="B1796" s="56" t="n">
        <v>45388.51111111111</v>
      </c>
      <c r="C1796" t="inlineStr">
        <is>
          <t>Bluestone Memorial Hospital</t>
        </is>
      </c>
      <c r="D1796" t="n">
        <v>56</v>
      </c>
    </row>
    <row r="1797">
      <c r="A1797" t="inlineStr">
        <is>
          <t>ED201844</t>
        </is>
      </c>
      <c r="B1797" s="56" t="n">
        <v>45388.55902777778</v>
      </c>
      <c r="C1797" t="inlineStr">
        <is>
          <t>Bluestone Memorial Hospital</t>
        </is>
      </c>
      <c r="D1797" t="n">
        <v>133</v>
      </c>
    </row>
    <row r="1798">
      <c r="A1798" t="inlineStr">
        <is>
          <t>ED201845</t>
        </is>
      </c>
      <c r="B1798" s="56" t="n">
        <v>45388.74375</v>
      </c>
      <c r="C1798" t="inlineStr">
        <is>
          <t>Ashby Falls Community Hospital</t>
        </is>
      </c>
      <c r="D1798" t="n">
        <v>18</v>
      </c>
    </row>
    <row r="1799">
      <c r="A1799" t="inlineStr">
        <is>
          <t>ED201846</t>
        </is>
      </c>
      <c r="B1799" s="56" t="n">
        <v>45388.75277777778</v>
      </c>
      <c r="C1799" t="inlineStr">
        <is>
          <t>Bluestone Memorial Hospital</t>
        </is>
      </c>
      <c r="D1799" t="n">
        <v>1</v>
      </c>
    </row>
    <row r="1800">
      <c r="A1800" t="inlineStr">
        <is>
          <t>ED201847</t>
        </is>
      </c>
      <c r="B1800" s="56" t="n">
        <v>45388.84861111111</v>
      </c>
      <c r="C1800" t="inlineStr">
        <is>
          <t>Cedar Ridge Medical Center</t>
        </is>
      </c>
      <c r="D1800" t="n">
        <v>56</v>
      </c>
    </row>
    <row r="1801">
      <c r="A1801" t="inlineStr">
        <is>
          <t>ED201848</t>
        </is>
      </c>
      <c r="B1801" s="56" t="n">
        <v>45388.86041666667</v>
      </c>
      <c r="C1801" t="inlineStr">
        <is>
          <t>Ashby Falls Community Hospital</t>
        </is>
      </c>
      <c r="D1801" t="n">
        <v>39</v>
      </c>
    </row>
    <row r="1802">
      <c r="A1802" t="inlineStr">
        <is>
          <t>ED201849</t>
        </is>
      </c>
      <c r="B1802" s="56" t="n">
        <v>45389.18611111111</v>
      </c>
      <c r="C1802" t="inlineStr">
        <is>
          <t>Bluestone Memorial Hospital</t>
        </is>
      </c>
      <c r="D1802" t="n">
        <v>54</v>
      </c>
    </row>
    <row r="1803">
      <c r="A1803" t="inlineStr">
        <is>
          <t>ED201850</t>
        </is>
      </c>
      <c r="B1803" s="56" t="n">
        <v>45389.24513888889</v>
      </c>
      <c r="C1803" t="inlineStr">
        <is>
          <t>Bluestone Memorial Hospital</t>
        </is>
      </c>
      <c r="D1803" t="n">
        <v>18</v>
      </c>
    </row>
    <row r="1804">
      <c r="A1804" t="inlineStr">
        <is>
          <t>ED201851</t>
        </is>
      </c>
      <c r="B1804" s="56" t="n">
        <v>45389.30277777778</v>
      </c>
      <c r="C1804" t="inlineStr">
        <is>
          <t>Cedar Ridge Medical Center</t>
        </is>
      </c>
      <c r="D1804" t="n">
        <v>29</v>
      </c>
    </row>
    <row r="1805">
      <c r="A1805" t="inlineStr">
        <is>
          <t>ED201852</t>
        </is>
      </c>
      <c r="B1805" s="56" t="n">
        <v>45389.33055555556</v>
      </c>
      <c r="C1805" t="inlineStr">
        <is>
          <t>Cedar Ridge Medical Center</t>
        </is>
      </c>
      <c r="D1805" t="n">
        <v>24</v>
      </c>
    </row>
    <row r="1806">
      <c r="A1806" t="inlineStr">
        <is>
          <t>ED201853</t>
        </is>
      </c>
      <c r="B1806" s="56" t="n">
        <v>45389.35069444445</v>
      </c>
      <c r="C1806" t="inlineStr">
        <is>
          <t>Bluestone Memorial Hospital</t>
        </is>
      </c>
      <c r="D1806" t="n">
        <v>33</v>
      </c>
    </row>
    <row r="1807">
      <c r="A1807" t="inlineStr">
        <is>
          <t>ED201854</t>
        </is>
      </c>
      <c r="B1807" s="56" t="n">
        <v>45389.35486111111</v>
      </c>
      <c r="C1807" t="inlineStr">
        <is>
          <t>Bluestone Memorial Hospital</t>
        </is>
      </c>
      <c r="D1807" t="n">
        <v>30</v>
      </c>
    </row>
    <row r="1808">
      <c r="A1808" t="inlineStr">
        <is>
          <t>ED201855</t>
        </is>
      </c>
      <c r="B1808" s="56" t="n">
        <v>45389.35763888889</v>
      </c>
      <c r="C1808" t="inlineStr">
        <is>
          <t>Ashby Falls Community Hospital</t>
        </is>
      </c>
      <c r="D1808" t="n">
        <v>110</v>
      </c>
    </row>
    <row r="1809">
      <c r="A1809" t="inlineStr">
        <is>
          <t>ED201856</t>
        </is>
      </c>
      <c r="B1809" s="56" t="n">
        <v>45389.61180555556</v>
      </c>
      <c r="C1809" t="inlineStr">
        <is>
          <t>Bluestone Memorial Hospital</t>
        </is>
      </c>
      <c r="D1809" t="n">
        <v>44</v>
      </c>
    </row>
    <row r="1810">
      <c r="A1810" t="inlineStr">
        <is>
          <t>ED201857</t>
        </is>
      </c>
      <c r="B1810" s="56" t="n">
        <v>45389.62777777778</v>
      </c>
      <c r="C1810" t="inlineStr">
        <is>
          <t>Bluestone Memorial Hospital</t>
        </is>
      </c>
      <c r="D1810" t="n">
        <v>52</v>
      </c>
    </row>
    <row r="1811">
      <c r="A1811" t="inlineStr">
        <is>
          <t>ED201858</t>
        </is>
      </c>
      <c r="B1811" s="56" t="n">
        <v>45389.65416666667</v>
      </c>
      <c r="C1811" t="inlineStr">
        <is>
          <t>Bluestone Memorial Hospital</t>
        </is>
      </c>
      <c r="D1811" t="n">
        <v>157</v>
      </c>
    </row>
    <row r="1812">
      <c r="A1812" t="inlineStr">
        <is>
          <t>ED201859</t>
        </is>
      </c>
      <c r="B1812" s="56" t="n">
        <v>45389.65902777778</v>
      </c>
      <c r="C1812" t="inlineStr">
        <is>
          <t>Bluestone Memorial Hospital</t>
        </is>
      </c>
      <c r="D1812" t="n">
        <v>17</v>
      </c>
    </row>
    <row r="1813">
      <c r="A1813" t="inlineStr">
        <is>
          <t>ED201860</t>
        </is>
      </c>
      <c r="B1813" s="56" t="n">
        <v>45389.68055555555</v>
      </c>
      <c r="C1813" t="inlineStr">
        <is>
          <t>Cedar Ridge Medical Center</t>
        </is>
      </c>
      <c r="D1813" t="n">
        <v>58</v>
      </c>
    </row>
    <row r="1814">
      <c r="A1814" t="inlineStr">
        <is>
          <t>ED201861</t>
        </is>
      </c>
      <c r="B1814" s="56" t="n">
        <v>45389.74861111111</v>
      </c>
      <c r="C1814" t="inlineStr">
        <is>
          <t>Bluestone Memorial Hospital</t>
        </is>
      </c>
      <c r="D1814" t="n">
        <v>9</v>
      </c>
    </row>
    <row r="1815">
      <c r="A1815" t="inlineStr">
        <is>
          <t>ED201862</t>
        </is>
      </c>
      <c r="B1815" s="56" t="n">
        <v>45389.78055555555</v>
      </c>
      <c r="C1815" t="inlineStr">
        <is>
          <t>Bluestone Memorial Hospital</t>
        </is>
      </c>
      <c r="D1815" t="n">
        <v>32</v>
      </c>
    </row>
    <row r="1816">
      <c r="A1816" t="inlineStr">
        <is>
          <t>ED201863</t>
        </is>
      </c>
      <c r="B1816" s="56" t="n">
        <v>45389.78819444445</v>
      </c>
      <c r="C1816" t="inlineStr">
        <is>
          <t>Bluestone Memorial Hospital</t>
        </is>
      </c>
      <c r="D1816" t="n">
        <v>40</v>
      </c>
    </row>
    <row r="1817">
      <c r="A1817" t="inlineStr">
        <is>
          <t>ED201864</t>
        </is>
      </c>
      <c r="B1817" s="56" t="n">
        <v>45389.8375</v>
      </c>
      <c r="C1817" t="inlineStr">
        <is>
          <t>Cedar Ridge Medical Center</t>
        </is>
      </c>
      <c r="D1817" t="n">
        <v>2</v>
      </c>
    </row>
    <row r="1818">
      <c r="A1818" t="inlineStr">
        <is>
          <t>ED201866</t>
        </is>
      </c>
      <c r="B1818" s="56" t="n">
        <v>45390.11944444444</v>
      </c>
      <c r="C1818" t="inlineStr">
        <is>
          <t>Bluestone Memorial Hospital</t>
        </is>
      </c>
      <c r="D1818" t="n">
        <v>14</v>
      </c>
    </row>
    <row r="1819">
      <c r="A1819" t="inlineStr">
        <is>
          <t>ED201867</t>
        </is>
      </c>
      <c r="B1819" s="56" t="n">
        <v>45390.29375</v>
      </c>
      <c r="C1819" t="inlineStr">
        <is>
          <t>Bluestone Memorial Hospital</t>
        </is>
      </c>
      <c r="D1819" t="n">
        <v>51</v>
      </c>
    </row>
    <row r="1820">
      <c r="A1820" t="inlineStr">
        <is>
          <t>ED201868</t>
        </is>
      </c>
      <c r="B1820" s="56" t="n">
        <v>45390.31805555556</v>
      </c>
      <c r="C1820" t="inlineStr">
        <is>
          <t>Bluestone Memorial Hospital</t>
        </is>
      </c>
      <c r="D1820" t="n">
        <v>22</v>
      </c>
    </row>
    <row r="1821">
      <c r="A1821" t="inlineStr">
        <is>
          <t>ED201869</t>
        </is>
      </c>
      <c r="B1821" s="56" t="n">
        <v>45390.35347222222</v>
      </c>
      <c r="C1821" t="inlineStr">
        <is>
          <t>Bluestone Memorial Hospital</t>
        </is>
      </c>
      <c r="D1821" t="n">
        <v>18</v>
      </c>
    </row>
    <row r="1822">
      <c r="A1822" t="inlineStr">
        <is>
          <t>ED201870</t>
        </is>
      </c>
      <c r="B1822" s="56" t="n">
        <v>45390.38333333333</v>
      </c>
      <c r="C1822" t="inlineStr">
        <is>
          <t>Ashby Falls Community Hospital</t>
        </is>
      </c>
      <c r="D1822" t="n">
        <v>32</v>
      </c>
    </row>
    <row r="1823">
      <c r="A1823" t="inlineStr">
        <is>
          <t>ED201871</t>
        </is>
      </c>
      <c r="B1823" s="56" t="n">
        <v>45390.40486111111</v>
      </c>
      <c r="C1823" t="inlineStr">
        <is>
          <t>Cedar Ridge Medical Center</t>
        </is>
      </c>
      <c r="D1823" t="n">
        <v>2</v>
      </c>
    </row>
    <row r="1824">
      <c r="A1824" t="inlineStr">
        <is>
          <t>ED201872</t>
        </is>
      </c>
      <c r="B1824" s="56" t="n">
        <v>45390.41319444445</v>
      </c>
      <c r="C1824" t="inlineStr">
        <is>
          <t>Bluestone Memorial Hospital</t>
        </is>
      </c>
      <c r="D1824" t="n">
        <v>50</v>
      </c>
    </row>
    <row r="1825">
      <c r="A1825" t="inlineStr">
        <is>
          <t>ED201874</t>
        </is>
      </c>
      <c r="B1825" s="56" t="n">
        <v>45390.59583333333</v>
      </c>
      <c r="C1825" t="inlineStr">
        <is>
          <t>Bluestone Memorial Hospital</t>
        </is>
      </c>
      <c r="D1825" t="n">
        <v>29</v>
      </c>
    </row>
    <row r="1826">
      <c r="A1826" t="inlineStr">
        <is>
          <t>ED201875</t>
        </is>
      </c>
      <c r="B1826" s="56" t="n">
        <v>45390.62361111111</v>
      </c>
      <c r="C1826" t="inlineStr">
        <is>
          <t>Ashby Falls Community Hospital</t>
        </is>
      </c>
      <c r="D1826" t="n">
        <v>26</v>
      </c>
    </row>
    <row r="1827">
      <c r="A1827" t="inlineStr">
        <is>
          <t>ED201876</t>
        </is>
      </c>
      <c r="B1827" s="56" t="n">
        <v>45390.67083333333</v>
      </c>
      <c r="C1827" t="inlineStr">
        <is>
          <t>Bluestone Memorial Hospital</t>
        </is>
      </c>
      <c r="D1827" t="n">
        <v>75</v>
      </c>
    </row>
    <row r="1828">
      <c r="A1828" t="inlineStr">
        <is>
          <t>ED201877</t>
        </is>
      </c>
      <c r="B1828" s="56" t="n">
        <v>45390.69930555556</v>
      </c>
      <c r="C1828" t="inlineStr">
        <is>
          <t>Bluestone Memorial Hospital</t>
        </is>
      </c>
      <c r="D1828" t="n">
        <v>13</v>
      </c>
    </row>
    <row r="1829">
      <c r="A1829" t="inlineStr">
        <is>
          <t>ED201878</t>
        </is>
      </c>
      <c r="B1829" s="56" t="n">
        <v>45390.70486111111</v>
      </c>
      <c r="C1829" t="inlineStr">
        <is>
          <t>Bluestone Memorial Hospital</t>
        </is>
      </c>
      <c r="D1829" t="n">
        <v>65</v>
      </c>
    </row>
    <row r="1830">
      <c r="A1830" t="inlineStr">
        <is>
          <t>ED201879</t>
        </is>
      </c>
      <c r="B1830" s="56" t="n">
        <v>45390.78263888889</v>
      </c>
      <c r="C1830" t="inlineStr">
        <is>
          <t>Bluestone Memorial Hospital</t>
        </is>
      </c>
      <c r="D1830" t="n">
        <v>72</v>
      </c>
    </row>
    <row r="1831">
      <c r="A1831" t="inlineStr">
        <is>
          <t>ED201880</t>
        </is>
      </c>
      <c r="B1831" s="56" t="n">
        <v>45390.85208333333</v>
      </c>
      <c r="C1831" t="inlineStr">
        <is>
          <t>Bluestone Memorial Hospital</t>
        </is>
      </c>
      <c r="D1831" t="n">
        <v>32</v>
      </c>
    </row>
    <row r="1832">
      <c r="A1832" t="inlineStr">
        <is>
          <t>ED201881</t>
        </is>
      </c>
      <c r="B1832" s="56" t="n">
        <v>45390.86388888889</v>
      </c>
      <c r="C1832" t="inlineStr">
        <is>
          <t>Bluestone Memorial Hospital</t>
        </is>
      </c>
      <c r="D1832" t="n">
        <v>52</v>
      </c>
    </row>
    <row r="1833">
      <c r="A1833" t="inlineStr">
        <is>
          <t>ED201882</t>
        </is>
      </c>
      <c r="B1833" s="56" t="n">
        <v>45390.97291666667</v>
      </c>
      <c r="C1833" t="inlineStr">
        <is>
          <t>Bluestone Memorial Hospital</t>
        </is>
      </c>
      <c r="D1833" t="n">
        <v>41</v>
      </c>
    </row>
    <row r="1834">
      <c r="A1834" t="inlineStr">
        <is>
          <t>ED201883</t>
        </is>
      </c>
      <c r="B1834" s="56" t="n">
        <v>45391.075</v>
      </c>
      <c r="C1834" t="inlineStr">
        <is>
          <t>Bluestone Memorial Hospital</t>
        </is>
      </c>
      <c r="D1834" t="n">
        <v>8</v>
      </c>
    </row>
    <row r="1835">
      <c r="A1835" t="inlineStr">
        <is>
          <t>ED201884</t>
        </is>
      </c>
      <c r="B1835" s="56" t="n">
        <v>45391.23680555556</v>
      </c>
      <c r="C1835" t="inlineStr">
        <is>
          <t>Bluestone Memorial Hospital</t>
        </is>
      </c>
      <c r="D1835" t="n">
        <v>93</v>
      </c>
    </row>
    <row r="1836">
      <c r="A1836" t="inlineStr">
        <is>
          <t>ED201885</t>
        </is>
      </c>
      <c r="B1836" s="56" t="n">
        <v>45391.37777777778</v>
      </c>
      <c r="C1836" t="inlineStr">
        <is>
          <t>Bluestone Memorial Hospital</t>
        </is>
      </c>
      <c r="D1836" t="n">
        <v>62</v>
      </c>
    </row>
    <row r="1837">
      <c r="A1837" t="inlineStr">
        <is>
          <t>ED201886</t>
        </is>
      </c>
      <c r="B1837" s="56" t="n">
        <v>45391.40416666667</v>
      </c>
      <c r="C1837" t="inlineStr">
        <is>
          <t>Bluestone Memorial Hospital</t>
        </is>
      </c>
      <c r="D1837" t="n">
        <v>30</v>
      </c>
    </row>
    <row r="1838">
      <c r="A1838" t="inlineStr">
        <is>
          <t>ED201887</t>
        </is>
      </c>
      <c r="B1838" s="56" t="n">
        <v>45391.45277777778</v>
      </c>
      <c r="C1838" t="inlineStr">
        <is>
          <t>Bluestone Memorial Hospital</t>
        </is>
      </c>
      <c r="D1838" t="n">
        <v>49</v>
      </c>
    </row>
    <row r="1839">
      <c r="A1839" t="inlineStr">
        <is>
          <t>ED201888</t>
        </is>
      </c>
      <c r="B1839" s="56" t="n">
        <v>45391.46666666667</v>
      </c>
      <c r="C1839" t="inlineStr">
        <is>
          <t>Ashby Falls Community Hospital</t>
        </is>
      </c>
      <c r="D1839" t="n">
        <v>27</v>
      </c>
    </row>
    <row r="1840">
      <c r="A1840" t="inlineStr">
        <is>
          <t>ED201889</t>
        </is>
      </c>
      <c r="B1840" s="56" t="n">
        <v>45391.49861111111</v>
      </c>
      <c r="C1840" t="inlineStr">
        <is>
          <t>Bluestone Memorial Hospital</t>
        </is>
      </c>
      <c r="D1840" t="n">
        <v>55</v>
      </c>
    </row>
    <row r="1841">
      <c r="A1841" t="inlineStr">
        <is>
          <t>ED201890</t>
        </is>
      </c>
      <c r="B1841" s="56" t="n">
        <v>45391.62013888889</v>
      </c>
      <c r="C1841" t="inlineStr">
        <is>
          <t>Bluestone Memorial Hospital</t>
        </is>
      </c>
      <c r="D1841" t="n">
        <v>46</v>
      </c>
    </row>
    <row r="1842">
      <c r="A1842" t="inlineStr">
        <is>
          <t>ED201891</t>
        </is>
      </c>
      <c r="B1842" s="56" t="n">
        <v>45391.70347222222</v>
      </c>
      <c r="C1842" t="inlineStr">
        <is>
          <t>Cedar Ridge Medical Center</t>
        </is>
      </c>
      <c r="D1842" t="n">
        <v>99</v>
      </c>
    </row>
    <row r="1843">
      <c r="A1843" t="inlineStr">
        <is>
          <t>ED201892</t>
        </is>
      </c>
      <c r="B1843" s="56" t="n">
        <v>45391.74236111111</v>
      </c>
      <c r="C1843" t="inlineStr">
        <is>
          <t>Bluestone Memorial Hospital</t>
        </is>
      </c>
      <c r="D1843" t="n">
        <v>14</v>
      </c>
    </row>
    <row r="1844">
      <c r="A1844" t="inlineStr">
        <is>
          <t>ED201893</t>
        </is>
      </c>
      <c r="B1844" s="56" t="n">
        <v>45391.75208333333</v>
      </c>
      <c r="C1844" t="inlineStr">
        <is>
          <t>Bluestone Memorial Hospital</t>
        </is>
      </c>
      <c r="D1844" t="n">
        <v>49</v>
      </c>
    </row>
    <row r="1845">
      <c r="A1845" t="inlineStr">
        <is>
          <t>ED201894</t>
        </is>
      </c>
      <c r="B1845" s="56" t="n">
        <v>45391.78888888889</v>
      </c>
      <c r="C1845" t="inlineStr">
        <is>
          <t>Bluestone Memorial Hospital</t>
        </is>
      </c>
      <c r="D1845" t="n">
        <v>54</v>
      </c>
    </row>
    <row r="1846">
      <c r="A1846" t="inlineStr">
        <is>
          <t>ED201895</t>
        </is>
      </c>
      <c r="B1846" s="56" t="n">
        <v>45391.89097222222</v>
      </c>
      <c r="C1846" t="inlineStr">
        <is>
          <t>Bluestone Memorial Hospital</t>
        </is>
      </c>
      <c r="D1846" t="n">
        <v>58</v>
      </c>
    </row>
    <row r="1847">
      <c r="A1847" t="inlineStr">
        <is>
          <t>ED201896</t>
        </is>
      </c>
      <c r="B1847" s="56" t="n">
        <v>45391.91041666667</v>
      </c>
      <c r="C1847" t="inlineStr">
        <is>
          <t>Bluestone Memorial Hospital</t>
        </is>
      </c>
      <c r="D1847" t="n">
        <v>15</v>
      </c>
    </row>
    <row r="1848">
      <c r="A1848" t="inlineStr">
        <is>
          <t>ED201897</t>
        </is>
      </c>
      <c r="B1848" s="56" t="n">
        <v>45391.98125</v>
      </c>
      <c r="C1848" t="inlineStr">
        <is>
          <t>Bluestone Memorial Hospital</t>
        </is>
      </c>
      <c r="D1848" t="n">
        <v>34</v>
      </c>
    </row>
    <row r="1849">
      <c r="A1849" t="inlineStr">
        <is>
          <t>ED201898</t>
        </is>
      </c>
      <c r="B1849" s="56" t="n">
        <v>45392</v>
      </c>
      <c r="C1849" t="inlineStr">
        <is>
          <t>Ashby Falls Community Hospital</t>
        </is>
      </c>
      <c r="D1849" t="n">
        <v>58</v>
      </c>
    </row>
    <row r="1850">
      <c r="A1850" t="inlineStr">
        <is>
          <t>ED201899</t>
        </is>
      </c>
      <c r="B1850" s="56" t="n">
        <v>45392.16875</v>
      </c>
      <c r="C1850" t="inlineStr">
        <is>
          <t>Bluestone Memorial Hospital</t>
        </is>
      </c>
      <c r="D1850" t="n">
        <v>4</v>
      </c>
    </row>
    <row r="1851">
      <c r="A1851" t="inlineStr">
        <is>
          <t>ED201900</t>
        </is>
      </c>
      <c r="B1851" s="56" t="n">
        <v>45392.30069444444</v>
      </c>
      <c r="C1851" t="inlineStr">
        <is>
          <t>Bluestone Memorial Hospital</t>
        </is>
      </c>
      <c r="D1851" t="n">
        <v>89</v>
      </c>
    </row>
    <row r="1852">
      <c r="A1852" t="inlineStr">
        <is>
          <t>ED201901</t>
        </is>
      </c>
      <c r="B1852" s="56" t="n">
        <v>45392.45277777778</v>
      </c>
      <c r="C1852" t="inlineStr">
        <is>
          <t>Bluestone Memorial Hospital</t>
        </is>
      </c>
      <c r="D1852" t="n">
        <v>29</v>
      </c>
    </row>
    <row r="1853">
      <c r="A1853" t="inlineStr">
        <is>
          <t>ED201902</t>
        </is>
      </c>
      <c r="B1853" s="56" t="n">
        <v>45392.51944444444</v>
      </c>
      <c r="C1853" t="inlineStr">
        <is>
          <t>Bluestone Memorial Hospital</t>
        </is>
      </c>
      <c r="D1853" t="n">
        <v>105</v>
      </c>
    </row>
    <row r="1854">
      <c r="A1854" t="inlineStr">
        <is>
          <t>ED201903</t>
        </is>
      </c>
      <c r="B1854" s="56" t="n">
        <v>45392.54097222222</v>
      </c>
      <c r="C1854" t="inlineStr">
        <is>
          <t>Ashby Falls Community Hospital</t>
        </is>
      </c>
      <c r="D1854" t="n">
        <v>14</v>
      </c>
    </row>
    <row r="1855">
      <c r="A1855" t="inlineStr">
        <is>
          <t>ED201904</t>
        </is>
      </c>
      <c r="B1855" s="56" t="n">
        <v>45392.55555555555</v>
      </c>
      <c r="C1855" t="inlineStr">
        <is>
          <t>Bluestone Memorial Hospital</t>
        </is>
      </c>
      <c r="D1855" t="n">
        <v>75</v>
      </c>
    </row>
    <row r="1856">
      <c r="A1856" t="inlineStr">
        <is>
          <t>ED201905</t>
        </is>
      </c>
      <c r="B1856" s="56" t="n">
        <v>45392.56805555556</v>
      </c>
      <c r="C1856" t="inlineStr">
        <is>
          <t>Cedar Ridge Medical Center</t>
        </is>
      </c>
      <c r="D1856" t="n">
        <v>28</v>
      </c>
    </row>
    <row r="1857">
      <c r="A1857" t="inlineStr">
        <is>
          <t>ED201906</t>
        </is>
      </c>
      <c r="B1857" s="56" t="n">
        <v>45392.56805555556</v>
      </c>
      <c r="C1857" t="inlineStr">
        <is>
          <t>Ashby Falls Community Hospital</t>
        </is>
      </c>
      <c r="D1857" t="n">
        <v>57</v>
      </c>
    </row>
    <row r="1858">
      <c r="A1858" t="inlineStr">
        <is>
          <t>ED201907</t>
        </is>
      </c>
      <c r="B1858" s="56" t="n">
        <v>45392.58055555556</v>
      </c>
      <c r="C1858" t="inlineStr">
        <is>
          <t>Bluestone Memorial Hospital</t>
        </is>
      </c>
      <c r="D1858" t="n">
        <v>63</v>
      </c>
    </row>
    <row r="1859">
      <c r="A1859" t="inlineStr">
        <is>
          <t>ED201908</t>
        </is>
      </c>
      <c r="B1859" s="56" t="n">
        <v>45392.59861111111</v>
      </c>
      <c r="C1859" t="inlineStr">
        <is>
          <t>Ashby Falls Community Hospital</t>
        </is>
      </c>
      <c r="D1859" t="n">
        <v>116</v>
      </c>
    </row>
    <row r="1860">
      <c r="A1860" t="inlineStr">
        <is>
          <t>ED201909</t>
        </is>
      </c>
      <c r="B1860" s="56" t="n">
        <v>45392.6125</v>
      </c>
      <c r="C1860" t="inlineStr">
        <is>
          <t>Bluestone Memorial Hospital</t>
        </is>
      </c>
      <c r="D1860" t="n">
        <v>32</v>
      </c>
    </row>
    <row r="1861">
      <c r="A1861" t="inlineStr">
        <is>
          <t>ED201910</t>
        </is>
      </c>
      <c r="B1861" s="56" t="n">
        <v>45392.69236111111</v>
      </c>
      <c r="C1861" t="inlineStr">
        <is>
          <t>Bluestone Memorial Hospital</t>
        </is>
      </c>
      <c r="D1861" t="n">
        <v>44</v>
      </c>
    </row>
    <row r="1862">
      <c r="A1862" t="inlineStr">
        <is>
          <t>ED201911</t>
        </is>
      </c>
      <c r="B1862" s="56" t="n">
        <v>45392.69583333333</v>
      </c>
      <c r="C1862" t="inlineStr">
        <is>
          <t>Bluestone Memorial Hospital</t>
        </is>
      </c>
      <c r="D1862" t="n">
        <v>10</v>
      </c>
    </row>
    <row r="1863">
      <c r="A1863" t="inlineStr">
        <is>
          <t>ED201912</t>
        </is>
      </c>
      <c r="B1863" s="56" t="n">
        <v>45392.70277777778</v>
      </c>
      <c r="C1863" t="inlineStr">
        <is>
          <t>Bluestone Memorial Hospital</t>
        </is>
      </c>
      <c r="D1863" t="n">
        <v>51</v>
      </c>
    </row>
    <row r="1864">
      <c r="A1864" t="inlineStr">
        <is>
          <t>ED201913</t>
        </is>
      </c>
      <c r="B1864" s="56" t="n">
        <v>45392.71597222222</v>
      </c>
      <c r="C1864" t="inlineStr">
        <is>
          <t>Bluestone Memorial Hospital</t>
        </is>
      </c>
      <c r="D1864" t="n">
        <v>13</v>
      </c>
    </row>
    <row r="1865">
      <c r="A1865" t="inlineStr">
        <is>
          <t>ED201914</t>
        </is>
      </c>
      <c r="B1865" s="56" t="n">
        <v>45392.74375</v>
      </c>
      <c r="C1865" t="inlineStr">
        <is>
          <t>Bluestone Memorial Hospital</t>
        </is>
      </c>
      <c r="D1865" t="n">
        <v>121</v>
      </c>
    </row>
    <row r="1866">
      <c r="A1866" t="inlineStr">
        <is>
          <t>ED201915</t>
        </is>
      </c>
      <c r="B1866" s="56" t="n">
        <v>45392.78333333333</v>
      </c>
      <c r="C1866" t="inlineStr">
        <is>
          <t>Cedar Ridge Medical Center</t>
        </is>
      </c>
      <c r="D1866" t="n">
        <v>20</v>
      </c>
    </row>
    <row r="1867">
      <c r="A1867" t="inlineStr">
        <is>
          <t>ED201916</t>
        </is>
      </c>
      <c r="B1867" s="56" t="n">
        <v>45392.82222222222</v>
      </c>
      <c r="C1867" t="inlineStr">
        <is>
          <t>Bluestone Memorial Hospital</t>
        </is>
      </c>
      <c r="D1867" t="n">
        <v>130</v>
      </c>
    </row>
    <row r="1868">
      <c r="A1868" t="inlineStr">
        <is>
          <t>ED201917</t>
        </is>
      </c>
      <c r="B1868" s="56" t="n">
        <v>45392.875</v>
      </c>
      <c r="C1868" t="inlineStr">
        <is>
          <t>Bluestone Memorial Hospital</t>
        </is>
      </c>
      <c r="D1868" t="n">
        <v>9</v>
      </c>
    </row>
    <row r="1869">
      <c r="A1869" t="inlineStr">
        <is>
          <t>ED201918</t>
        </is>
      </c>
      <c r="B1869" s="56" t="n">
        <v>45392.89375</v>
      </c>
      <c r="C1869" t="inlineStr">
        <is>
          <t>Bluestone Memorial Hospital</t>
        </is>
      </c>
      <c r="D1869" t="n">
        <v>14</v>
      </c>
    </row>
    <row r="1870">
      <c r="A1870" t="inlineStr">
        <is>
          <t>ED201919</t>
        </is>
      </c>
      <c r="B1870" s="56" t="n">
        <v>45393.35416666666</v>
      </c>
      <c r="C1870" t="inlineStr">
        <is>
          <t>Ashby Falls Community Hospital</t>
        </is>
      </c>
      <c r="D1870" t="n">
        <v>16</v>
      </c>
    </row>
    <row r="1871">
      <c r="A1871" t="inlineStr">
        <is>
          <t>ED201920</t>
        </is>
      </c>
      <c r="B1871" s="56" t="n">
        <v>45393.42638888889</v>
      </c>
      <c r="C1871" t="inlineStr">
        <is>
          <t>Bluestone Memorial Hospital</t>
        </is>
      </c>
      <c r="D1871" t="n">
        <v>100</v>
      </c>
    </row>
    <row r="1872">
      <c r="A1872" t="inlineStr">
        <is>
          <t>ED201921</t>
        </is>
      </c>
      <c r="B1872" s="56" t="n">
        <v>45393.46527777778</v>
      </c>
      <c r="C1872" t="inlineStr">
        <is>
          <t>Bluestone Memorial Hospital</t>
        </is>
      </c>
      <c r="D1872" t="n">
        <v>3</v>
      </c>
    </row>
    <row r="1873">
      <c r="A1873" t="inlineStr">
        <is>
          <t>ED201922</t>
        </is>
      </c>
      <c r="B1873" s="56" t="n">
        <v>45393.65</v>
      </c>
      <c r="C1873" t="inlineStr">
        <is>
          <t>Bluestone Memorial Hospital</t>
        </is>
      </c>
      <c r="D1873" t="n">
        <v>4</v>
      </c>
    </row>
    <row r="1874">
      <c r="A1874" t="inlineStr">
        <is>
          <t>ED201923</t>
        </is>
      </c>
      <c r="B1874" s="56" t="n">
        <v>45393.65763888889</v>
      </c>
      <c r="C1874" t="inlineStr">
        <is>
          <t>Bluestone Memorial Hospital</t>
        </is>
      </c>
      <c r="D1874" t="n">
        <v>2</v>
      </c>
    </row>
    <row r="1875">
      <c r="A1875" t="inlineStr">
        <is>
          <t>ED201925</t>
        </is>
      </c>
      <c r="B1875" s="56" t="n">
        <v>45393.75972222222</v>
      </c>
      <c r="C1875" t="inlineStr">
        <is>
          <t>Bluestone Memorial Hospital</t>
        </is>
      </c>
      <c r="D1875" t="n">
        <v>28</v>
      </c>
    </row>
    <row r="1876">
      <c r="A1876" t="inlineStr">
        <is>
          <t>ED201926</t>
        </is>
      </c>
      <c r="B1876" s="56" t="n">
        <v>45393.91180555556</v>
      </c>
      <c r="C1876" t="inlineStr">
        <is>
          <t>Cedar Ridge Medical Center</t>
        </is>
      </c>
      <c r="D1876" t="n">
        <v>32</v>
      </c>
    </row>
    <row r="1877">
      <c r="A1877" t="inlineStr">
        <is>
          <t>ED201927</t>
        </is>
      </c>
      <c r="B1877" s="56" t="n">
        <v>45393.99166666667</v>
      </c>
      <c r="C1877" t="inlineStr">
        <is>
          <t>Bluestone Memorial Hospital</t>
        </is>
      </c>
      <c r="D1877" t="n">
        <v>31</v>
      </c>
    </row>
    <row r="1878">
      <c r="A1878" t="inlineStr">
        <is>
          <t>ED201928</t>
        </is>
      </c>
      <c r="B1878" s="56" t="n">
        <v>45394.02291666667</v>
      </c>
      <c r="C1878" t="inlineStr">
        <is>
          <t>Bluestone Memorial Hospital</t>
        </is>
      </c>
      <c r="D1878" t="n">
        <v>5</v>
      </c>
    </row>
    <row r="1879">
      <c r="A1879" t="inlineStr">
        <is>
          <t>ED201929</t>
        </is>
      </c>
      <c r="B1879" s="56" t="n">
        <v>45394.42152777778</v>
      </c>
      <c r="C1879" t="inlineStr">
        <is>
          <t>Bluestone Memorial Hospital</t>
        </is>
      </c>
      <c r="D1879" t="n">
        <v>31</v>
      </c>
    </row>
    <row r="1880">
      <c r="A1880" t="inlineStr">
        <is>
          <t>ED201930</t>
        </is>
      </c>
      <c r="B1880" s="56" t="n">
        <v>45394.44722222222</v>
      </c>
      <c r="C1880" t="inlineStr">
        <is>
          <t>Cedar Ridge Medical Center</t>
        </is>
      </c>
      <c r="D1880" t="n">
        <v>75</v>
      </c>
    </row>
    <row r="1881">
      <c r="A1881" t="inlineStr">
        <is>
          <t>ED201931</t>
        </is>
      </c>
      <c r="B1881" s="56" t="n">
        <v>45394.51736111111</v>
      </c>
      <c r="C1881" t="inlineStr">
        <is>
          <t>Cedar Ridge Medical Center</t>
        </is>
      </c>
      <c r="D1881" t="n">
        <v>20</v>
      </c>
    </row>
    <row r="1882">
      <c r="A1882" t="inlineStr">
        <is>
          <t>ED201932</t>
        </is>
      </c>
      <c r="B1882" s="56" t="n">
        <v>45394.51805555556</v>
      </c>
      <c r="C1882" t="inlineStr">
        <is>
          <t>Bluestone Memorial Hospital</t>
        </is>
      </c>
      <c r="D1882" t="n">
        <v>67</v>
      </c>
    </row>
    <row r="1883">
      <c r="A1883" t="inlineStr">
        <is>
          <t>ED201933</t>
        </is>
      </c>
      <c r="B1883" s="56" t="n">
        <v>45394.54444444444</v>
      </c>
      <c r="C1883" t="inlineStr">
        <is>
          <t>Bluestone Memorial Hospital</t>
        </is>
      </c>
      <c r="D1883" t="n">
        <v>78</v>
      </c>
    </row>
    <row r="1884">
      <c r="A1884" t="inlineStr">
        <is>
          <t>ED201934</t>
        </is>
      </c>
      <c r="B1884" s="56" t="n">
        <v>45394.57013888889</v>
      </c>
      <c r="C1884" t="inlineStr">
        <is>
          <t>Bluestone Memorial Hospital</t>
        </is>
      </c>
      <c r="D1884" t="n">
        <v>13</v>
      </c>
    </row>
    <row r="1885">
      <c r="A1885" t="inlineStr">
        <is>
          <t>ED201935</t>
        </is>
      </c>
      <c r="B1885" s="56" t="n">
        <v>45394.60833333333</v>
      </c>
      <c r="C1885" t="inlineStr">
        <is>
          <t>Bluestone Memorial Hospital</t>
        </is>
      </c>
      <c r="D1885" t="n">
        <v>14</v>
      </c>
    </row>
    <row r="1886">
      <c r="A1886" t="inlineStr">
        <is>
          <t>ED201936</t>
        </is>
      </c>
      <c r="B1886" s="56" t="n">
        <v>45394.60972222222</v>
      </c>
      <c r="C1886" t="inlineStr">
        <is>
          <t>Bluestone Memorial Hospital</t>
        </is>
      </c>
      <c r="D1886" t="n">
        <v>11</v>
      </c>
    </row>
    <row r="1887">
      <c r="A1887" t="inlineStr">
        <is>
          <t>ED201937</t>
        </is>
      </c>
      <c r="B1887" s="56" t="n">
        <v>45394.62222222222</v>
      </c>
      <c r="C1887" t="inlineStr">
        <is>
          <t>Bluestone Memorial Hospital</t>
        </is>
      </c>
      <c r="D1887" t="n">
        <v>7</v>
      </c>
    </row>
    <row r="1888">
      <c r="A1888" t="inlineStr">
        <is>
          <t>ED201938</t>
        </is>
      </c>
      <c r="B1888" s="56" t="n">
        <v>45394.775</v>
      </c>
      <c r="C1888" t="inlineStr">
        <is>
          <t>Bluestone Memorial Hospital</t>
        </is>
      </c>
      <c r="D1888" t="n">
        <v>123</v>
      </c>
    </row>
    <row r="1889">
      <c r="A1889" t="inlineStr">
        <is>
          <t>ED201939</t>
        </is>
      </c>
      <c r="B1889" s="56" t="n">
        <v>45394.78819444445</v>
      </c>
      <c r="C1889" t="inlineStr">
        <is>
          <t>Bluestone Memorial Hospital</t>
        </is>
      </c>
      <c r="D1889" t="n">
        <v>35</v>
      </c>
    </row>
    <row r="1890">
      <c r="A1890" t="inlineStr">
        <is>
          <t>ED201940</t>
        </is>
      </c>
      <c r="B1890" s="56" t="n">
        <v>45394.85972222222</v>
      </c>
      <c r="C1890" t="inlineStr">
        <is>
          <t>Bluestone Memorial Hospital</t>
        </is>
      </c>
      <c r="D1890" t="n">
        <v>63</v>
      </c>
    </row>
    <row r="1891">
      <c r="A1891" t="inlineStr">
        <is>
          <t>ED201941</t>
        </is>
      </c>
      <c r="B1891" s="56" t="n">
        <v>45394.87361111111</v>
      </c>
      <c r="C1891" t="inlineStr">
        <is>
          <t>Bluestone Memorial Hospital</t>
        </is>
      </c>
      <c r="D1891" t="n">
        <v>53</v>
      </c>
    </row>
    <row r="1892">
      <c r="A1892" t="inlineStr">
        <is>
          <t>ED201942</t>
        </is>
      </c>
      <c r="B1892" s="56" t="n">
        <v>45394.88055555556</v>
      </c>
      <c r="C1892" t="inlineStr">
        <is>
          <t>Bluestone Memorial Hospital</t>
        </is>
      </c>
      <c r="D1892" t="n">
        <v>67</v>
      </c>
    </row>
    <row r="1893">
      <c r="A1893" t="inlineStr">
        <is>
          <t>ED201943</t>
        </is>
      </c>
      <c r="B1893" s="56" t="n">
        <v>45395.26041666666</v>
      </c>
      <c r="C1893" t="inlineStr">
        <is>
          <t>Bluestone Memorial Hospital</t>
        </is>
      </c>
      <c r="D1893" t="n">
        <v>12</v>
      </c>
    </row>
    <row r="1894">
      <c r="A1894" t="inlineStr">
        <is>
          <t>ED201944</t>
        </is>
      </c>
      <c r="B1894" s="56" t="n">
        <v>45395.27569444444</v>
      </c>
      <c r="C1894" t="inlineStr">
        <is>
          <t>Ashby Falls Community Hospital</t>
        </is>
      </c>
      <c r="D1894" t="n">
        <v>58</v>
      </c>
    </row>
    <row r="1895">
      <c r="A1895" t="inlineStr">
        <is>
          <t>ED201945</t>
        </is>
      </c>
      <c r="B1895" s="56" t="n">
        <v>45395.44097222222</v>
      </c>
      <c r="C1895" t="inlineStr">
        <is>
          <t>Bluestone Memorial Hospital</t>
        </is>
      </c>
      <c r="D1895" t="n">
        <v>84</v>
      </c>
    </row>
    <row r="1896">
      <c r="A1896" t="inlineStr">
        <is>
          <t>ED201946</t>
        </is>
      </c>
      <c r="B1896" s="56" t="n">
        <v>45395.46458333333</v>
      </c>
      <c r="C1896" t="inlineStr">
        <is>
          <t>Ashby Falls Community Hospital</t>
        </is>
      </c>
      <c r="D1896" t="n">
        <v>44</v>
      </c>
    </row>
    <row r="1897">
      <c r="A1897" t="inlineStr">
        <is>
          <t>ED201947</t>
        </is>
      </c>
      <c r="B1897" s="56" t="n">
        <v>45395.49305555555</v>
      </c>
      <c r="C1897" t="inlineStr">
        <is>
          <t>Bluestone Memorial Hospital</t>
        </is>
      </c>
      <c r="D1897" t="n">
        <v>25</v>
      </c>
    </row>
    <row r="1898">
      <c r="A1898" t="inlineStr">
        <is>
          <t>ED201948</t>
        </is>
      </c>
      <c r="B1898" s="56" t="n">
        <v>45395.52986111111</v>
      </c>
      <c r="C1898" t="inlineStr">
        <is>
          <t>Cedar Ridge Medical Center</t>
        </is>
      </c>
      <c r="D1898" t="n">
        <v>80</v>
      </c>
    </row>
    <row r="1899">
      <c r="A1899" t="inlineStr">
        <is>
          <t>ED201949</t>
        </is>
      </c>
      <c r="B1899" s="56" t="n">
        <v>45395.54166666666</v>
      </c>
      <c r="C1899" t="inlineStr">
        <is>
          <t>Bluestone Memorial Hospital</t>
        </is>
      </c>
      <c r="D1899" t="n">
        <v>15</v>
      </c>
    </row>
    <row r="1900">
      <c r="A1900" t="inlineStr">
        <is>
          <t>ED201950</t>
        </is>
      </c>
      <c r="B1900" s="56" t="n">
        <v>45395.54722222222</v>
      </c>
      <c r="C1900" t="inlineStr">
        <is>
          <t>Cedar Ridge Medical Center</t>
        </is>
      </c>
      <c r="D1900" t="n">
        <v>75</v>
      </c>
    </row>
    <row r="1901">
      <c r="A1901" t="inlineStr">
        <is>
          <t>ED201951</t>
        </is>
      </c>
      <c r="B1901" s="56" t="n">
        <v>45395.59930555556</v>
      </c>
      <c r="C1901" t="inlineStr">
        <is>
          <t>Bluestone Memorial Hospital</t>
        </is>
      </c>
      <c r="D1901" t="n">
        <v>22</v>
      </c>
    </row>
    <row r="1902">
      <c r="A1902" t="inlineStr">
        <is>
          <t>ED201952</t>
        </is>
      </c>
      <c r="B1902" s="56" t="n">
        <v>45395.66111111111</v>
      </c>
      <c r="C1902" t="inlineStr">
        <is>
          <t>Bluestone Memorial Hospital</t>
        </is>
      </c>
      <c r="D1902" t="n">
        <v>88</v>
      </c>
    </row>
    <row r="1903">
      <c r="A1903" t="inlineStr">
        <is>
          <t>ED201953</t>
        </is>
      </c>
      <c r="B1903" s="56" t="n">
        <v>45395.70972222222</v>
      </c>
      <c r="C1903" t="inlineStr">
        <is>
          <t>Bluestone Memorial Hospital</t>
        </is>
      </c>
      <c r="D1903" t="n">
        <v>67</v>
      </c>
    </row>
    <row r="1904">
      <c r="A1904" t="inlineStr">
        <is>
          <t>ED201954</t>
        </is>
      </c>
      <c r="B1904" s="56" t="n">
        <v>45395.73125</v>
      </c>
      <c r="C1904" t="inlineStr">
        <is>
          <t>Bluestone Memorial Hospital</t>
        </is>
      </c>
      <c r="D1904" t="n">
        <v>40</v>
      </c>
    </row>
    <row r="1905">
      <c r="A1905" t="inlineStr">
        <is>
          <t>ED201955</t>
        </is>
      </c>
      <c r="B1905" s="56" t="n">
        <v>45395.7875</v>
      </c>
      <c r="C1905" t="inlineStr">
        <is>
          <t>Bluestone Memorial Hospital</t>
        </is>
      </c>
      <c r="D1905" t="n">
        <v>39</v>
      </c>
    </row>
    <row r="1906">
      <c r="A1906" t="inlineStr">
        <is>
          <t>ED201956</t>
        </is>
      </c>
      <c r="B1906" s="56" t="n">
        <v>45395.90416666667</v>
      </c>
      <c r="C1906" t="inlineStr">
        <is>
          <t>Cedar Ridge Medical Center</t>
        </is>
      </c>
      <c r="D1906" t="n">
        <v>39</v>
      </c>
    </row>
    <row r="1907">
      <c r="A1907" t="inlineStr">
        <is>
          <t>ED201957</t>
        </is>
      </c>
      <c r="B1907" s="56" t="n">
        <v>45396.03263888889</v>
      </c>
      <c r="C1907" t="inlineStr">
        <is>
          <t>Bluestone Memorial Hospital</t>
        </is>
      </c>
      <c r="D1907" t="n">
        <v>33</v>
      </c>
    </row>
    <row r="1908">
      <c r="A1908" t="inlineStr">
        <is>
          <t>ED201958</t>
        </is>
      </c>
      <c r="B1908" s="56" t="n">
        <v>45396.41666666666</v>
      </c>
      <c r="C1908" t="inlineStr">
        <is>
          <t>Bluestone Memorial Hospital</t>
        </is>
      </c>
      <c r="D1908" t="n">
        <v>30</v>
      </c>
    </row>
    <row r="1909">
      <c r="A1909" t="inlineStr">
        <is>
          <t>ED201959</t>
        </is>
      </c>
      <c r="B1909" s="56" t="n">
        <v>45396.45486111111</v>
      </c>
      <c r="C1909" t="inlineStr">
        <is>
          <t>Bluestone Memorial Hospital</t>
        </is>
      </c>
      <c r="D1909" t="n">
        <v>133</v>
      </c>
    </row>
    <row r="1910">
      <c r="A1910" t="inlineStr">
        <is>
          <t>ED201960</t>
        </is>
      </c>
      <c r="B1910" s="56" t="n">
        <v>45396.46597222222</v>
      </c>
      <c r="C1910" t="inlineStr">
        <is>
          <t>Bluestone Memorial Hospital</t>
        </is>
      </c>
      <c r="D1910" t="n">
        <v>63</v>
      </c>
    </row>
    <row r="1911">
      <c r="A1911" t="inlineStr">
        <is>
          <t>ED201961</t>
        </is>
      </c>
      <c r="B1911" s="56" t="n">
        <v>45396.47152777778</v>
      </c>
      <c r="C1911" t="inlineStr">
        <is>
          <t>Cedar Ridge Medical Center</t>
        </is>
      </c>
      <c r="D1911" t="n">
        <v>11</v>
      </c>
    </row>
    <row r="1912">
      <c r="A1912" t="inlineStr">
        <is>
          <t>ED201962</t>
        </is>
      </c>
      <c r="B1912" s="56" t="n">
        <v>45396.48194444444</v>
      </c>
      <c r="C1912" t="inlineStr">
        <is>
          <t>Bluestone Memorial Hospital</t>
        </is>
      </c>
      <c r="D1912" t="n">
        <v>48</v>
      </c>
    </row>
    <row r="1913">
      <c r="A1913" t="inlineStr">
        <is>
          <t>ED201963</t>
        </is>
      </c>
      <c r="B1913" s="56" t="n">
        <v>45396.51041666666</v>
      </c>
      <c r="C1913" t="inlineStr">
        <is>
          <t>Bluestone Memorial Hospital</t>
        </is>
      </c>
      <c r="D1913" t="n">
        <v>75</v>
      </c>
    </row>
    <row r="1914">
      <c r="A1914" t="inlineStr">
        <is>
          <t>ED201964</t>
        </is>
      </c>
      <c r="B1914" s="56" t="n">
        <v>45396.52569444444</v>
      </c>
      <c r="C1914" t="inlineStr">
        <is>
          <t>Bluestone Memorial Hospital</t>
        </is>
      </c>
      <c r="D1914" t="n">
        <v>86</v>
      </c>
    </row>
    <row r="1915">
      <c r="A1915" t="inlineStr">
        <is>
          <t>ED201965</t>
        </is>
      </c>
      <c r="B1915" s="56" t="n">
        <v>45396.54444444444</v>
      </c>
      <c r="C1915" t="inlineStr">
        <is>
          <t>Cedar Ridge Medical Center</t>
        </is>
      </c>
      <c r="D1915" t="n">
        <v>29</v>
      </c>
    </row>
    <row r="1916">
      <c r="A1916" t="inlineStr">
        <is>
          <t>ED201966</t>
        </is>
      </c>
      <c r="B1916" s="56" t="n">
        <v>45396.59930555556</v>
      </c>
      <c r="C1916" t="inlineStr">
        <is>
          <t>Ashby Falls Community Hospital</t>
        </is>
      </c>
      <c r="D1916" t="n">
        <v>81</v>
      </c>
    </row>
    <row r="1917">
      <c r="A1917" t="inlineStr">
        <is>
          <t>ED201967</t>
        </is>
      </c>
      <c r="B1917" s="56" t="n">
        <v>45396.65486111111</v>
      </c>
      <c r="C1917" t="inlineStr">
        <is>
          <t>Bluestone Memorial Hospital</t>
        </is>
      </c>
      <c r="D1917" t="n">
        <v>49</v>
      </c>
    </row>
    <row r="1918">
      <c r="A1918" t="inlineStr">
        <is>
          <t>ED201968</t>
        </is>
      </c>
      <c r="B1918" s="56" t="n">
        <v>45396.6625</v>
      </c>
      <c r="C1918" t="inlineStr">
        <is>
          <t>Bluestone Memorial Hospital</t>
        </is>
      </c>
      <c r="D1918" t="n">
        <v>64</v>
      </c>
    </row>
    <row r="1919">
      <c r="A1919" t="inlineStr">
        <is>
          <t>ED201969</t>
        </is>
      </c>
      <c r="B1919" s="56" t="n">
        <v>45396.72152777778</v>
      </c>
      <c r="C1919" t="inlineStr">
        <is>
          <t>Bluestone Memorial Hospital</t>
        </is>
      </c>
      <c r="D1919" t="n">
        <v>78</v>
      </c>
    </row>
    <row r="1920">
      <c r="A1920" t="inlineStr">
        <is>
          <t>ED201970</t>
        </is>
      </c>
      <c r="B1920" s="56" t="n">
        <v>45396.73194444444</v>
      </c>
      <c r="C1920" t="inlineStr">
        <is>
          <t>Ashby Falls Community Hospital</t>
        </is>
      </c>
      <c r="D1920" t="n">
        <v>71</v>
      </c>
    </row>
    <row r="1921">
      <c r="A1921" t="inlineStr">
        <is>
          <t>ED201971</t>
        </is>
      </c>
      <c r="B1921" s="56" t="n">
        <v>45396.76527777778</v>
      </c>
      <c r="C1921" t="inlineStr">
        <is>
          <t>Bluestone Memorial Hospital</t>
        </is>
      </c>
      <c r="D1921" t="n">
        <v>130</v>
      </c>
    </row>
    <row r="1922">
      <c r="A1922" t="inlineStr">
        <is>
          <t>ED201972</t>
        </is>
      </c>
      <c r="B1922" s="56" t="n">
        <v>45396.82430555556</v>
      </c>
      <c r="C1922" t="inlineStr">
        <is>
          <t>Bluestone Memorial Hospital</t>
        </is>
      </c>
      <c r="D1922" t="n">
        <v>48</v>
      </c>
    </row>
    <row r="1923">
      <c r="A1923" t="inlineStr">
        <is>
          <t>ED201973</t>
        </is>
      </c>
      <c r="B1923" s="56" t="n">
        <v>45397.00902777778</v>
      </c>
      <c r="C1923" t="inlineStr">
        <is>
          <t>Ashby Falls Community Hospital</t>
        </is>
      </c>
      <c r="D1923" t="n">
        <v>4</v>
      </c>
    </row>
    <row r="1924">
      <c r="A1924" t="inlineStr">
        <is>
          <t>ED201975</t>
        </is>
      </c>
      <c r="B1924" s="56" t="n">
        <v>45397.38888888889</v>
      </c>
      <c r="C1924" t="inlineStr">
        <is>
          <t>Cedar Ridge Medical Center</t>
        </is>
      </c>
      <c r="D1924" t="n">
        <v>102</v>
      </c>
    </row>
    <row r="1925">
      <c r="A1925" t="inlineStr">
        <is>
          <t>ED201976</t>
        </is>
      </c>
      <c r="B1925" s="56" t="n">
        <v>45397.40625</v>
      </c>
      <c r="C1925" t="inlineStr">
        <is>
          <t>Bluestone Memorial Hospital</t>
        </is>
      </c>
      <c r="D1925" t="n">
        <v>97</v>
      </c>
    </row>
    <row r="1926">
      <c r="A1926" t="inlineStr">
        <is>
          <t>ED201977</t>
        </is>
      </c>
      <c r="B1926" s="56" t="n">
        <v>45397.43680555555</v>
      </c>
      <c r="C1926" t="inlineStr">
        <is>
          <t>Bluestone Memorial Hospital</t>
        </is>
      </c>
      <c r="D1926" t="n">
        <v>56</v>
      </c>
    </row>
    <row r="1927">
      <c r="A1927" t="inlineStr">
        <is>
          <t>ED201978</t>
        </is>
      </c>
      <c r="B1927" s="56" t="n">
        <v>45397.55486111111</v>
      </c>
      <c r="C1927" t="inlineStr">
        <is>
          <t>Bluestone Memorial Hospital</t>
        </is>
      </c>
      <c r="D1927" t="n">
        <v>55</v>
      </c>
    </row>
    <row r="1928">
      <c r="A1928" t="inlineStr">
        <is>
          <t>ED201979</t>
        </is>
      </c>
      <c r="B1928" s="56" t="n">
        <v>45397.55625</v>
      </c>
      <c r="C1928" t="inlineStr">
        <is>
          <t>Cedar Ridge Medical Center</t>
        </is>
      </c>
      <c r="D1928" t="n">
        <v>105</v>
      </c>
    </row>
    <row r="1929">
      <c r="A1929" t="inlineStr">
        <is>
          <t>ED201980</t>
        </is>
      </c>
      <c r="B1929" s="56" t="n">
        <v>45397.58125</v>
      </c>
      <c r="C1929" t="inlineStr">
        <is>
          <t>Bluestone Memorial Hospital</t>
        </is>
      </c>
      <c r="D1929" t="n">
        <v>67</v>
      </c>
    </row>
    <row r="1930">
      <c r="A1930" t="inlineStr">
        <is>
          <t>ED201981</t>
        </is>
      </c>
      <c r="B1930" s="56" t="n">
        <v>45397.64513888889</v>
      </c>
      <c r="C1930" t="inlineStr">
        <is>
          <t>Ashby Falls Community Hospital</t>
        </is>
      </c>
      <c r="D1930" t="n">
        <v>83</v>
      </c>
    </row>
    <row r="1931">
      <c r="A1931" t="inlineStr">
        <is>
          <t>ED201982</t>
        </is>
      </c>
      <c r="B1931" s="56" t="n">
        <v>45397.79375</v>
      </c>
      <c r="C1931" t="inlineStr">
        <is>
          <t>Bluestone Memorial Hospital</t>
        </is>
      </c>
      <c r="D1931" t="n">
        <v>86</v>
      </c>
    </row>
    <row r="1932">
      <c r="A1932" t="inlineStr">
        <is>
          <t>ED201983</t>
        </is>
      </c>
      <c r="B1932" s="56" t="n">
        <v>45397.83263888889</v>
      </c>
      <c r="C1932" t="inlineStr">
        <is>
          <t>Bluestone Memorial Hospital</t>
        </is>
      </c>
      <c r="D1932" t="n">
        <v>15</v>
      </c>
    </row>
    <row r="1933">
      <c r="A1933" t="inlineStr">
        <is>
          <t>ED201984</t>
        </is>
      </c>
      <c r="B1933" s="56" t="n">
        <v>45397.84375</v>
      </c>
      <c r="C1933" t="inlineStr">
        <is>
          <t>Ashby Falls Community Hospital</t>
        </is>
      </c>
      <c r="D1933" t="n">
        <v>76</v>
      </c>
    </row>
    <row r="1934">
      <c r="A1934" t="inlineStr">
        <is>
          <t>ED201985</t>
        </is>
      </c>
      <c r="B1934" s="56" t="n">
        <v>45397.85833333333</v>
      </c>
      <c r="C1934" t="inlineStr">
        <is>
          <t>Bluestone Memorial Hospital</t>
        </is>
      </c>
      <c r="D1934" t="n">
        <v>31</v>
      </c>
    </row>
    <row r="1935">
      <c r="A1935" t="inlineStr">
        <is>
          <t>ED201986</t>
        </is>
      </c>
      <c r="B1935" s="56" t="n">
        <v>45397.86041666667</v>
      </c>
      <c r="C1935" t="inlineStr">
        <is>
          <t>Bluestone Memorial Hospital</t>
        </is>
      </c>
      <c r="D1935" t="n">
        <v>49</v>
      </c>
    </row>
    <row r="1936">
      <c r="A1936" t="inlineStr">
        <is>
          <t>ED201987</t>
        </is>
      </c>
      <c r="B1936" s="56" t="n">
        <v>45397.87152777778</v>
      </c>
      <c r="C1936" t="inlineStr">
        <is>
          <t>Bluestone Memorial Hospital</t>
        </is>
      </c>
      <c r="D1936" t="n">
        <v>95</v>
      </c>
    </row>
    <row r="1937">
      <c r="A1937" t="inlineStr">
        <is>
          <t>ED201989</t>
        </is>
      </c>
      <c r="B1937" s="56" t="n">
        <v>45397.93402777778</v>
      </c>
      <c r="C1937" t="inlineStr">
        <is>
          <t>Cedar Ridge Medical Center</t>
        </is>
      </c>
      <c r="D1937" t="n">
        <v>66</v>
      </c>
    </row>
    <row r="1938">
      <c r="A1938" t="inlineStr">
        <is>
          <t>ED201990</t>
        </is>
      </c>
      <c r="B1938" s="56" t="n">
        <v>45398.29375</v>
      </c>
      <c r="C1938" t="inlineStr">
        <is>
          <t>Bluestone Memorial Hospital</t>
        </is>
      </c>
      <c r="D1938" t="n">
        <v>1</v>
      </c>
    </row>
    <row r="1939">
      <c r="A1939" t="inlineStr">
        <is>
          <t>ED201991</t>
        </is>
      </c>
      <c r="B1939" s="56" t="n">
        <v>45398.39791666667</v>
      </c>
      <c r="C1939" t="inlineStr">
        <is>
          <t>Bluestone Memorial Hospital</t>
        </is>
      </c>
      <c r="D1939" t="n">
        <v>17</v>
      </c>
    </row>
    <row r="1940">
      <c r="A1940" t="inlineStr">
        <is>
          <t>ED201992</t>
        </is>
      </c>
      <c r="B1940" s="56" t="n">
        <v>45398.46388888889</v>
      </c>
      <c r="C1940" t="inlineStr">
        <is>
          <t>Bluestone Memorial Hospital</t>
        </is>
      </c>
      <c r="D1940" t="n">
        <v>29</v>
      </c>
    </row>
    <row r="1941">
      <c r="A1941" t="inlineStr">
        <is>
          <t>ED201993</t>
        </is>
      </c>
      <c r="B1941" s="56" t="n">
        <v>45398.56875</v>
      </c>
      <c r="C1941" t="inlineStr">
        <is>
          <t>Cedar Ridge Medical Center</t>
        </is>
      </c>
      <c r="D1941" t="n">
        <v>2</v>
      </c>
    </row>
    <row r="1942">
      <c r="A1942" t="inlineStr">
        <is>
          <t>ED201994</t>
        </is>
      </c>
      <c r="B1942" s="56" t="n">
        <v>45398.60208333333</v>
      </c>
      <c r="C1942" t="inlineStr">
        <is>
          <t>Ashby Falls Community Hospital</t>
        </is>
      </c>
      <c r="D1942" t="n">
        <v>53</v>
      </c>
    </row>
    <row r="1943">
      <c r="A1943" t="inlineStr">
        <is>
          <t>ED201995</t>
        </is>
      </c>
      <c r="B1943" s="56" t="n">
        <v>45398.64791666667</v>
      </c>
      <c r="C1943" t="inlineStr">
        <is>
          <t>Bluestone Memorial Hospital</t>
        </is>
      </c>
      <c r="D1943" t="n">
        <v>22</v>
      </c>
    </row>
    <row r="1944">
      <c r="A1944" t="inlineStr">
        <is>
          <t>ED201996</t>
        </is>
      </c>
      <c r="B1944" s="56" t="n">
        <v>45398.69444444445</v>
      </c>
      <c r="C1944" t="inlineStr">
        <is>
          <t>Cedar Ridge Medical Center</t>
        </is>
      </c>
      <c r="D1944" t="n">
        <v>27</v>
      </c>
    </row>
    <row r="1945">
      <c r="A1945" t="inlineStr">
        <is>
          <t>ED201997</t>
        </is>
      </c>
      <c r="B1945" s="56" t="n">
        <v>45398.69930555556</v>
      </c>
      <c r="C1945" t="inlineStr">
        <is>
          <t>Bluestone Memorial Hospital</t>
        </is>
      </c>
      <c r="D1945" t="n">
        <v>86</v>
      </c>
    </row>
    <row r="1946">
      <c r="A1946" t="inlineStr">
        <is>
          <t>ED201998</t>
        </is>
      </c>
      <c r="B1946" s="56" t="n">
        <v>45398.70833333334</v>
      </c>
      <c r="C1946" t="inlineStr">
        <is>
          <t>Bluestone Memorial Hospital</t>
        </is>
      </c>
      <c r="D1946" t="n">
        <v>57</v>
      </c>
    </row>
    <row r="1947">
      <c r="A1947" t="inlineStr">
        <is>
          <t>ED201999</t>
        </is>
      </c>
      <c r="B1947" s="56" t="n">
        <v>45398.76944444444</v>
      </c>
      <c r="C1947" t="inlineStr">
        <is>
          <t>Ashby Falls Community Hospital</t>
        </is>
      </c>
      <c r="D1947" t="n">
        <v>15</v>
      </c>
    </row>
    <row r="1948">
      <c r="A1948" t="inlineStr">
        <is>
          <t>ED202000</t>
        </is>
      </c>
      <c r="B1948" s="56" t="n">
        <v>45398.86736111111</v>
      </c>
      <c r="C1948" t="inlineStr">
        <is>
          <t>Bluestone Memorial Hospital</t>
        </is>
      </c>
      <c r="D1948" t="n">
        <v>51</v>
      </c>
    </row>
    <row r="1949">
      <c r="A1949" t="inlineStr">
        <is>
          <t>ED202001</t>
        </is>
      </c>
      <c r="B1949" s="56" t="n">
        <v>45398.9125</v>
      </c>
      <c r="C1949" t="inlineStr">
        <is>
          <t>Cedar Ridge Medical Center</t>
        </is>
      </c>
      <c r="D1949" t="n">
        <v>13</v>
      </c>
    </row>
    <row r="1950">
      <c r="A1950" t="inlineStr">
        <is>
          <t>ED202002</t>
        </is>
      </c>
      <c r="B1950" s="56" t="n">
        <v>45399.24861111111</v>
      </c>
      <c r="C1950" t="inlineStr">
        <is>
          <t>Bluestone Memorial Hospital</t>
        </is>
      </c>
      <c r="D1950" t="n">
        <v>13</v>
      </c>
    </row>
    <row r="1951">
      <c r="A1951" t="inlineStr">
        <is>
          <t>ED202003</t>
        </is>
      </c>
      <c r="B1951" s="56" t="n">
        <v>45399.34930555556</v>
      </c>
      <c r="C1951" t="inlineStr">
        <is>
          <t>Bluestone Memorial Hospital</t>
        </is>
      </c>
      <c r="D1951" t="n">
        <v>21</v>
      </c>
    </row>
    <row r="1952">
      <c r="A1952" t="inlineStr">
        <is>
          <t>ED202004</t>
        </is>
      </c>
      <c r="B1952" s="56" t="n">
        <v>45399.38958333333</v>
      </c>
      <c r="C1952" t="inlineStr">
        <is>
          <t>Cedar Ridge Medical Center</t>
        </is>
      </c>
      <c r="D1952" t="n">
        <v>119</v>
      </c>
    </row>
    <row r="1953">
      <c r="A1953" t="inlineStr">
        <is>
          <t>ED202005</t>
        </is>
      </c>
      <c r="B1953" s="56" t="n">
        <v>45399.4125</v>
      </c>
      <c r="C1953" t="inlineStr">
        <is>
          <t>Cedar Ridge Medical Center</t>
        </is>
      </c>
      <c r="D1953" t="n">
        <v>19</v>
      </c>
    </row>
    <row r="1954">
      <c r="A1954" t="inlineStr">
        <is>
          <t>ED202006</t>
        </is>
      </c>
      <c r="B1954" s="56" t="n">
        <v>45399.43888888889</v>
      </c>
      <c r="C1954" t="inlineStr">
        <is>
          <t>Bluestone Memorial Hospital</t>
        </is>
      </c>
      <c r="D1954" t="n">
        <v>35</v>
      </c>
    </row>
    <row r="1955">
      <c r="A1955" t="inlineStr">
        <is>
          <t>ED202007</t>
        </is>
      </c>
      <c r="B1955" s="56" t="n">
        <v>45399.60625</v>
      </c>
      <c r="C1955" t="inlineStr">
        <is>
          <t>Bluestone Memorial Hospital</t>
        </is>
      </c>
      <c r="D1955" t="n">
        <v>42</v>
      </c>
    </row>
    <row r="1956">
      <c r="A1956" t="inlineStr">
        <is>
          <t>ED202008</t>
        </is>
      </c>
      <c r="B1956" s="56" t="n">
        <v>45399.62847222222</v>
      </c>
      <c r="C1956" t="inlineStr">
        <is>
          <t>Bluestone Memorial Hospital</t>
        </is>
      </c>
      <c r="D1956" t="n">
        <v>119</v>
      </c>
    </row>
    <row r="1957">
      <c r="A1957" t="inlineStr">
        <is>
          <t>ED202009</t>
        </is>
      </c>
      <c r="B1957" s="56" t="n">
        <v>45399.6375</v>
      </c>
      <c r="C1957" t="inlineStr">
        <is>
          <t>Cedar Ridge Medical Center</t>
        </is>
      </c>
      <c r="D1957" t="n">
        <v>124</v>
      </c>
    </row>
    <row r="1958">
      <c r="A1958" t="inlineStr">
        <is>
          <t>ED202011</t>
        </is>
      </c>
      <c r="B1958" s="56" t="n">
        <v>45399.82083333333</v>
      </c>
      <c r="C1958" t="inlineStr">
        <is>
          <t>Bluestone Memorial Hospital</t>
        </is>
      </c>
      <c r="D1958" t="n">
        <v>15</v>
      </c>
    </row>
    <row r="1959">
      <c r="A1959" t="inlineStr">
        <is>
          <t>ED202012</t>
        </is>
      </c>
      <c r="B1959" s="56" t="n">
        <v>45399.99652777778</v>
      </c>
      <c r="C1959" t="inlineStr">
        <is>
          <t>Bluestone Memorial Hospital</t>
        </is>
      </c>
      <c r="D1959" t="n">
        <v>45</v>
      </c>
    </row>
    <row r="1960">
      <c r="A1960" t="inlineStr">
        <is>
          <t>ED202013</t>
        </is>
      </c>
      <c r="B1960" s="56" t="n">
        <v>45400.06388888889</v>
      </c>
      <c r="C1960" t="inlineStr">
        <is>
          <t>Bluestone Memorial Hospital</t>
        </is>
      </c>
      <c r="D1960" t="n">
        <v>10</v>
      </c>
    </row>
    <row r="1961">
      <c r="A1961" t="inlineStr">
        <is>
          <t>ED202014</t>
        </is>
      </c>
      <c r="B1961" s="56" t="n">
        <v>45400.20138888889</v>
      </c>
      <c r="C1961" t="inlineStr">
        <is>
          <t>Bluestone Memorial Hospital</t>
        </is>
      </c>
      <c r="D1961" t="n">
        <v>15</v>
      </c>
    </row>
    <row r="1962">
      <c r="A1962" t="inlineStr">
        <is>
          <t>ED202015</t>
        </is>
      </c>
      <c r="B1962" s="56" t="n">
        <v>45400.20277777778</v>
      </c>
      <c r="C1962" t="inlineStr">
        <is>
          <t>Bluestone Memorial Hospital</t>
        </is>
      </c>
      <c r="D1962" t="n">
        <v>33</v>
      </c>
    </row>
    <row r="1963">
      <c r="A1963" t="inlineStr">
        <is>
          <t>ED202016</t>
        </is>
      </c>
      <c r="B1963" s="56" t="n">
        <v>45400.22777777778</v>
      </c>
      <c r="C1963" t="inlineStr">
        <is>
          <t>Bluestone Memorial Hospital</t>
        </is>
      </c>
      <c r="D1963" t="n">
        <v>48</v>
      </c>
    </row>
    <row r="1964">
      <c r="A1964" t="inlineStr">
        <is>
          <t>ED202017</t>
        </is>
      </c>
      <c r="B1964" s="56" t="n">
        <v>45400.26805555556</v>
      </c>
      <c r="C1964" t="inlineStr">
        <is>
          <t>Cedar Ridge Medical Center</t>
        </is>
      </c>
      <c r="D1964" t="n">
        <v>50</v>
      </c>
    </row>
    <row r="1965">
      <c r="A1965" t="inlineStr">
        <is>
          <t>ED202018</t>
        </is>
      </c>
      <c r="B1965" s="56" t="n">
        <v>45400.32708333333</v>
      </c>
      <c r="C1965" t="inlineStr">
        <is>
          <t>Bluestone Memorial Hospital</t>
        </is>
      </c>
      <c r="D1965" t="n">
        <v>76</v>
      </c>
    </row>
    <row r="1966">
      <c r="A1966" t="inlineStr">
        <is>
          <t>ED202019</t>
        </is>
      </c>
      <c r="B1966" s="56" t="n">
        <v>45400.50138888889</v>
      </c>
      <c r="C1966" t="inlineStr">
        <is>
          <t>Bluestone Memorial Hospital</t>
        </is>
      </c>
      <c r="D1966" t="n">
        <v>16</v>
      </c>
    </row>
    <row r="1967">
      <c r="A1967" t="inlineStr">
        <is>
          <t>ED202020</t>
        </is>
      </c>
      <c r="B1967" s="56" t="n">
        <v>45400.51597222222</v>
      </c>
      <c r="C1967" t="inlineStr">
        <is>
          <t>Bluestone Memorial Hospital</t>
        </is>
      </c>
      <c r="D1967" t="n">
        <v>32</v>
      </c>
    </row>
    <row r="1968">
      <c r="A1968" t="inlineStr">
        <is>
          <t>ED202021</t>
        </is>
      </c>
      <c r="B1968" s="56" t="n">
        <v>45400.54097222222</v>
      </c>
      <c r="C1968" t="inlineStr">
        <is>
          <t>Bluestone Memorial Hospital</t>
        </is>
      </c>
      <c r="D1968" t="n">
        <v>39</v>
      </c>
    </row>
    <row r="1969">
      <c r="A1969" t="inlineStr">
        <is>
          <t>ED202022</t>
        </is>
      </c>
      <c r="B1969" s="56" t="n">
        <v>45400.54583333333</v>
      </c>
      <c r="C1969" t="inlineStr">
        <is>
          <t>Bluestone Memorial Hospital</t>
        </is>
      </c>
      <c r="D1969" t="n">
        <v>86</v>
      </c>
    </row>
    <row r="1970">
      <c r="A1970" t="inlineStr">
        <is>
          <t>ED202023</t>
        </is>
      </c>
      <c r="B1970" s="56" t="n">
        <v>45400.56458333333</v>
      </c>
      <c r="C1970" t="inlineStr">
        <is>
          <t>Bluestone Memorial Hospital</t>
        </is>
      </c>
      <c r="D1970" t="n">
        <v>27</v>
      </c>
    </row>
    <row r="1971">
      <c r="A1971" t="inlineStr">
        <is>
          <t>ED202024</t>
        </is>
      </c>
      <c r="B1971" s="56" t="n">
        <v>45400.56736111111</v>
      </c>
      <c r="C1971" t="inlineStr">
        <is>
          <t>Bluestone Memorial Hospital</t>
        </is>
      </c>
      <c r="D1971" t="n">
        <v>66</v>
      </c>
    </row>
    <row r="1972">
      <c r="A1972" t="inlineStr">
        <is>
          <t>ED202025</t>
        </is>
      </c>
      <c r="B1972" s="56" t="n">
        <v>45400.57430555556</v>
      </c>
      <c r="C1972" t="inlineStr">
        <is>
          <t>Bluestone Memorial Hospital</t>
        </is>
      </c>
      <c r="D1972" t="n">
        <v>7</v>
      </c>
    </row>
    <row r="1973">
      <c r="A1973" t="inlineStr">
        <is>
          <t>ED202026</t>
        </is>
      </c>
      <c r="B1973" s="56" t="n">
        <v>45400.71319444444</v>
      </c>
      <c r="C1973" t="inlineStr">
        <is>
          <t>Bluestone Memorial Hospital</t>
        </is>
      </c>
      <c r="D1973" t="n">
        <v>19</v>
      </c>
    </row>
    <row r="1974">
      <c r="A1974" t="inlineStr">
        <is>
          <t>ED202027</t>
        </is>
      </c>
      <c r="B1974" s="56" t="n">
        <v>45400.72152777778</v>
      </c>
      <c r="C1974" t="inlineStr">
        <is>
          <t>Bluestone Memorial Hospital</t>
        </is>
      </c>
      <c r="D1974" t="n">
        <v>3</v>
      </c>
    </row>
    <row r="1975">
      <c r="A1975" t="inlineStr">
        <is>
          <t>ED202028</t>
        </is>
      </c>
      <c r="B1975" s="56" t="n">
        <v>45400.73611111111</v>
      </c>
      <c r="C1975" t="inlineStr">
        <is>
          <t>Bluestone Memorial Hospital</t>
        </is>
      </c>
      <c r="D1975" t="n">
        <v>52</v>
      </c>
    </row>
    <row r="1976">
      <c r="A1976" t="inlineStr">
        <is>
          <t>ED202029</t>
        </is>
      </c>
      <c r="B1976" s="56" t="n">
        <v>45400.75486111111</v>
      </c>
      <c r="C1976" t="inlineStr">
        <is>
          <t>Ashby Falls Community Hospital</t>
        </is>
      </c>
      <c r="D1976" t="n">
        <v>11</v>
      </c>
    </row>
    <row r="1977">
      <c r="A1977" t="inlineStr">
        <is>
          <t>ED202030</t>
        </is>
      </c>
      <c r="B1977" s="56" t="n">
        <v>45400.8125</v>
      </c>
      <c r="C1977" t="inlineStr">
        <is>
          <t>Ashby Falls Community Hospital</t>
        </is>
      </c>
      <c r="D1977" t="n">
        <v>121</v>
      </c>
    </row>
    <row r="1978">
      <c r="A1978" t="inlineStr">
        <is>
          <t>ED202031</t>
        </is>
      </c>
      <c r="B1978" s="56" t="n">
        <v>45401.01180555556</v>
      </c>
      <c r="C1978" t="inlineStr">
        <is>
          <t>Bluestone Memorial Hospital</t>
        </is>
      </c>
      <c r="D1978" t="n">
        <v>49</v>
      </c>
    </row>
    <row r="1979">
      <c r="A1979" t="inlineStr">
        <is>
          <t>ED202032</t>
        </is>
      </c>
      <c r="B1979" s="56" t="n">
        <v>45401.09861111111</v>
      </c>
      <c r="C1979" t="inlineStr">
        <is>
          <t>Bluestone Memorial Hospital</t>
        </is>
      </c>
      <c r="D1979" t="n">
        <v>51</v>
      </c>
    </row>
    <row r="1980">
      <c r="A1980" t="inlineStr">
        <is>
          <t>ED202033</t>
        </is>
      </c>
      <c r="B1980" s="56" t="n">
        <v>45401.54513888889</v>
      </c>
      <c r="C1980" t="inlineStr">
        <is>
          <t>Bluestone Memorial Hospital</t>
        </is>
      </c>
      <c r="D1980" t="n">
        <v>52</v>
      </c>
    </row>
    <row r="1981">
      <c r="A1981" t="inlineStr">
        <is>
          <t>ED202034</t>
        </is>
      </c>
      <c r="B1981" s="56" t="n">
        <v>45401.62222222222</v>
      </c>
      <c r="C1981" t="inlineStr">
        <is>
          <t>Ashby Falls Community Hospital</t>
        </is>
      </c>
      <c r="D1981" t="n">
        <v>77</v>
      </c>
    </row>
    <row r="1982">
      <c r="A1982" t="inlineStr">
        <is>
          <t>ED202035</t>
        </is>
      </c>
      <c r="B1982" s="56" t="n">
        <v>45401.71597222222</v>
      </c>
      <c r="C1982" t="inlineStr">
        <is>
          <t>Bluestone Memorial Hospital</t>
        </is>
      </c>
      <c r="D1982" t="n">
        <v>2</v>
      </c>
    </row>
    <row r="1983">
      <c r="A1983" t="inlineStr">
        <is>
          <t>ED202036</t>
        </is>
      </c>
      <c r="B1983" s="56" t="n">
        <v>45401.76805555556</v>
      </c>
      <c r="C1983" t="inlineStr">
        <is>
          <t>Cedar Ridge Medical Center</t>
        </is>
      </c>
      <c r="D1983" t="n">
        <v>40</v>
      </c>
    </row>
    <row r="1984">
      <c r="A1984" t="inlineStr">
        <is>
          <t>ED202037</t>
        </is>
      </c>
      <c r="B1984" s="56" t="n">
        <v>45401.80902777778</v>
      </c>
      <c r="C1984" t="inlineStr">
        <is>
          <t>Ashby Falls Community Hospital</t>
        </is>
      </c>
      <c r="D1984" t="n">
        <v>85</v>
      </c>
    </row>
    <row r="1985">
      <c r="A1985" t="inlineStr">
        <is>
          <t>ED202038</t>
        </is>
      </c>
      <c r="B1985" s="56" t="n">
        <v>45401.82986111111</v>
      </c>
      <c r="C1985" t="inlineStr">
        <is>
          <t>Bluestone Memorial Hospital</t>
        </is>
      </c>
      <c r="D1985" t="n">
        <v>27</v>
      </c>
    </row>
    <row r="1986">
      <c r="A1986" t="inlineStr">
        <is>
          <t>ED202039</t>
        </is>
      </c>
      <c r="B1986" s="56" t="n">
        <v>45402.24166666667</v>
      </c>
      <c r="C1986" t="inlineStr">
        <is>
          <t>Bluestone Memorial Hospital</t>
        </is>
      </c>
      <c r="D1986" t="n">
        <v>17</v>
      </c>
    </row>
    <row r="1987">
      <c r="A1987" t="inlineStr">
        <is>
          <t>ED202040</t>
        </is>
      </c>
      <c r="B1987" s="56" t="n">
        <v>45402.31875</v>
      </c>
      <c r="C1987" t="inlineStr">
        <is>
          <t>Bluestone Memorial Hospital</t>
        </is>
      </c>
      <c r="D1987" t="n">
        <v>62</v>
      </c>
    </row>
    <row r="1988">
      <c r="A1988" t="inlineStr">
        <is>
          <t>ED202041</t>
        </is>
      </c>
      <c r="B1988" s="56" t="n">
        <v>45402.35902777778</v>
      </c>
      <c r="C1988" t="inlineStr">
        <is>
          <t>Bluestone Memorial Hospital</t>
        </is>
      </c>
      <c r="D1988" t="n">
        <v>11</v>
      </c>
    </row>
    <row r="1989">
      <c r="A1989" t="inlineStr">
        <is>
          <t>ED202042</t>
        </is>
      </c>
      <c r="B1989" s="56" t="n">
        <v>45402.38472222222</v>
      </c>
      <c r="C1989" t="inlineStr">
        <is>
          <t>Bluestone Memorial Hospital</t>
        </is>
      </c>
      <c r="D1989" t="n">
        <v>2</v>
      </c>
    </row>
    <row r="1990">
      <c r="A1990" t="inlineStr">
        <is>
          <t>ED202043</t>
        </is>
      </c>
      <c r="B1990" s="56" t="n">
        <v>45402.45138888889</v>
      </c>
      <c r="C1990" t="inlineStr">
        <is>
          <t>Cedar Ridge Medical Center</t>
        </is>
      </c>
      <c r="D1990" t="n">
        <v>56</v>
      </c>
    </row>
    <row r="1991">
      <c r="A1991" t="inlineStr">
        <is>
          <t>ED202044</t>
        </is>
      </c>
      <c r="B1991" s="56" t="n">
        <v>45402.56597222222</v>
      </c>
      <c r="C1991" t="inlineStr">
        <is>
          <t>Bluestone Memorial Hospital</t>
        </is>
      </c>
      <c r="D1991" t="n">
        <v>44</v>
      </c>
    </row>
    <row r="1992">
      <c r="A1992" t="inlineStr">
        <is>
          <t>ED202045</t>
        </is>
      </c>
      <c r="B1992" s="56" t="n">
        <v>45402.56666666667</v>
      </c>
      <c r="C1992" t="inlineStr">
        <is>
          <t>Bluestone Memorial Hospital</t>
        </is>
      </c>
      <c r="D1992" t="n">
        <v>111</v>
      </c>
    </row>
    <row r="1993">
      <c r="A1993" t="inlineStr">
        <is>
          <t>ED202046</t>
        </is>
      </c>
      <c r="B1993" s="56" t="n">
        <v>45402.58888888889</v>
      </c>
      <c r="C1993" t="inlineStr">
        <is>
          <t>Bluestone Memorial Hospital</t>
        </is>
      </c>
      <c r="D1993" t="n">
        <v>61</v>
      </c>
    </row>
    <row r="1994">
      <c r="A1994" t="inlineStr">
        <is>
          <t>ED202047</t>
        </is>
      </c>
      <c r="B1994" s="56" t="n">
        <v>45402.62777777778</v>
      </c>
      <c r="C1994" t="inlineStr">
        <is>
          <t>Cedar Ridge Medical Center</t>
        </is>
      </c>
      <c r="D1994" t="n">
        <v>48</v>
      </c>
    </row>
    <row r="1995">
      <c r="A1995" t="inlineStr">
        <is>
          <t>ED202048</t>
        </is>
      </c>
      <c r="B1995" s="56" t="n">
        <v>45402.63680555556</v>
      </c>
      <c r="C1995" t="inlineStr">
        <is>
          <t>Bluestone Memorial Hospital</t>
        </is>
      </c>
      <c r="D1995" t="n">
        <v>20</v>
      </c>
    </row>
    <row r="1996">
      <c r="A1996" t="inlineStr">
        <is>
          <t>ED202050</t>
        </is>
      </c>
      <c r="B1996" s="56" t="n">
        <v>45402.72638888889</v>
      </c>
      <c r="C1996" t="inlineStr">
        <is>
          <t>Bluestone Memorial Hospital</t>
        </is>
      </c>
      <c r="D1996" t="n">
        <v>95</v>
      </c>
    </row>
    <row r="1997">
      <c r="A1997" t="inlineStr">
        <is>
          <t>ED202051</t>
        </is>
      </c>
      <c r="B1997" s="56" t="n">
        <v>45402.75347222222</v>
      </c>
      <c r="C1997" t="inlineStr">
        <is>
          <t>Bluestone Memorial Hospital</t>
        </is>
      </c>
      <c r="D1997" t="n">
        <v>25</v>
      </c>
    </row>
    <row r="1998">
      <c r="A1998" t="inlineStr">
        <is>
          <t>ED202052</t>
        </is>
      </c>
      <c r="B1998" s="56" t="n">
        <v>45402.86527777778</v>
      </c>
      <c r="C1998" t="inlineStr">
        <is>
          <t>Ashby Falls Community Hospital</t>
        </is>
      </c>
      <c r="D1998" t="n">
        <v>97</v>
      </c>
    </row>
    <row r="1999">
      <c r="A1999" t="inlineStr">
        <is>
          <t>ED202053</t>
        </is>
      </c>
      <c r="B1999" s="56" t="n">
        <v>45403.05</v>
      </c>
      <c r="C1999" t="inlineStr">
        <is>
          <t>Bluestone Memorial Hospital</t>
        </is>
      </c>
      <c r="D1999" t="n">
        <v>23</v>
      </c>
    </row>
    <row r="2000">
      <c r="A2000" t="inlineStr">
        <is>
          <t>ED202054</t>
        </is>
      </c>
      <c r="B2000" s="56" t="n">
        <v>45403.08611111111</v>
      </c>
      <c r="C2000" t="inlineStr">
        <is>
          <t>Ashby Falls Community Hospital</t>
        </is>
      </c>
      <c r="D2000" t="n">
        <v>40</v>
      </c>
    </row>
    <row r="2001">
      <c r="A2001" t="inlineStr">
        <is>
          <t>ED202055</t>
        </is>
      </c>
      <c r="B2001" s="56" t="n">
        <v>45403.13194444445</v>
      </c>
      <c r="C2001" t="inlineStr">
        <is>
          <t>Cedar Ridge Medical Center</t>
        </is>
      </c>
      <c r="D2001" t="n">
        <v>20</v>
      </c>
    </row>
    <row r="2002">
      <c r="A2002" t="inlineStr">
        <is>
          <t>ED202056</t>
        </is>
      </c>
      <c r="B2002" s="56" t="n">
        <v>45403.25208333333</v>
      </c>
      <c r="C2002" t="inlineStr">
        <is>
          <t>Bluestone Memorial Hospital</t>
        </is>
      </c>
      <c r="D2002" t="n">
        <v>12</v>
      </c>
    </row>
    <row r="2003">
      <c r="A2003" t="inlineStr">
        <is>
          <t>ED202057</t>
        </is>
      </c>
      <c r="B2003" s="56" t="n">
        <v>45403.36388888889</v>
      </c>
      <c r="C2003" t="inlineStr">
        <is>
          <t>Bluestone Memorial Hospital</t>
        </is>
      </c>
      <c r="D2003" t="n">
        <v>126</v>
      </c>
    </row>
    <row r="2004">
      <c r="A2004" t="inlineStr">
        <is>
          <t>ED202058</t>
        </is>
      </c>
      <c r="B2004" s="56" t="n">
        <v>45403.41111111111</v>
      </c>
      <c r="C2004" t="inlineStr">
        <is>
          <t>Bluestone Memorial Hospital</t>
        </is>
      </c>
      <c r="D2004" t="n">
        <v>68</v>
      </c>
    </row>
    <row r="2005">
      <c r="A2005" t="inlineStr">
        <is>
          <t>ED202059</t>
        </is>
      </c>
      <c r="B2005" s="56" t="n">
        <v>45403.42916666667</v>
      </c>
      <c r="C2005" t="inlineStr">
        <is>
          <t>Cedar Ridge Medical Center</t>
        </is>
      </c>
      <c r="D2005" t="n">
        <v>63</v>
      </c>
    </row>
    <row r="2006">
      <c r="A2006" t="inlineStr">
        <is>
          <t>ED202060</t>
        </is>
      </c>
      <c r="B2006" s="56" t="n">
        <v>45403.50138888889</v>
      </c>
      <c r="C2006" t="inlineStr">
        <is>
          <t>Ashby Falls Community Hospital</t>
        </is>
      </c>
      <c r="D2006" t="n">
        <v>28</v>
      </c>
    </row>
    <row r="2007">
      <c r="A2007" t="inlineStr">
        <is>
          <t>ED202061</t>
        </is>
      </c>
      <c r="B2007" s="56" t="n">
        <v>45403.50902777778</v>
      </c>
      <c r="C2007" t="inlineStr">
        <is>
          <t>Bluestone Memorial Hospital</t>
        </is>
      </c>
      <c r="D2007" t="n">
        <v>61</v>
      </c>
    </row>
    <row r="2008">
      <c r="A2008" t="inlineStr">
        <is>
          <t>ED202062</t>
        </is>
      </c>
      <c r="B2008" s="56" t="n">
        <v>45403.55486111111</v>
      </c>
      <c r="C2008" t="inlineStr">
        <is>
          <t>Bluestone Memorial Hospital</t>
        </is>
      </c>
      <c r="D2008" t="n">
        <v>100</v>
      </c>
    </row>
    <row r="2009">
      <c r="A2009" t="inlineStr">
        <is>
          <t>ED202063</t>
        </is>
      </c>
      <c r="B2009" s="56" t="n">
        <v>45403.57847222222</v>
      </c>
      <c r="C2009" t="inlineStr">
        <is>
          <t>Bluestone Memorial Hospital</t>
        </is>
      </c>
      <c r="D2009" t="n">
        <v>126</v>
      </c>
    </row>
    <row r="2010">
      <c r="A2010" t="inlineStr">
        <is>
          <t>ED202064</t>
        </is>
      </c>
      <c r="B2010" s="56" t="n">
        <v>45403.58125</v>
      </c>
      <c r="C2010" t="inlineStr">
        <is>
          <t>Bluestone Memorial Hospital</t>
        </is>
      </c>
      <c r="D2010" t="n">
        <v>51</v>
      </c>
    </row>
    <row r="2011">
      <c r="A2011" t="inlineStr">
        <is>
          <t>ED202066</t>
        </is>
      </c>
      <c r="B2011" s="56" t="n">
        <v>45403.65972222222</v>
      </c>
      <c r="C2011" t="inlineStr">
        <is>
          <t>Cedar Ridge Medical Center</t>
        </is>
      </c>
      <c r="D2011" t="n">
        <v>11</v>
      </c>
    </row>
    <row r="2012">
      <c r="A2012" t="inlineStr">
        <is>
          <t>ED202067</t>
        </is>
      </c>
      <c r="B2012" s="56" t="n">
        <v>45403.66597222222</v>
      </c>
      <c r="C2012" t="inlineStr">
        <is>
          <t>Cedar Ridge Medical Center</t>
        </is>
      </c>
      <c r="D2012" t="n">
        <v>91</v>
      </c>
    </row>
    <row r="2013">
      <c r="A2013" t="inlineStr">
        <is>
          <t>ED202068</t>
        </is>
      </c>
      <c r="B2013" s="56" t="n">
        <v>45403.67152777778</v>
      </c>
      <c r="C2013" t="inlineStr">
        <is>
          <t>Bluestone Memorial Hospital</t>
        </is>
      </c>
      <c r="D2013" t="n">
        <v>49</v>
      </c>
    </row>
    <row r="2014">
      <c r="A2014" t="inlineStr">
        <is>
          <t>ED202069</t>
        </is>
      </c>
      <c r="B2014" s="56" t="n">
        <v>45403.69583333333</v>
      </c>
      <c r="C2014" t="inlineStr">
        <is>
          <t>Bluestone Memorial Hospital</t>
        </is>
      </c>
      <c r="D2014" t="n">
        <v>12</v>
      </c>
    </row>
    <row r="2015">
      <c r="A2015" t="inlineStr">
        <is>
          <t>ED202070</t>
        </is>
      </c>
      <c r="B2015" s="56" t="n">
        <v>45403.71736111111</v>
      </c>
      <c r="C2015" t="inlineStr">
        <is>
          <t>Bluestone Memorial Hospital</t>
        </is>
      </c>
      <c r="D2015" t="n">
        <v>50</v>
      </c>
    </row>
    <row r="2016">
      <c r="A2016" t="inlineStr">
        <is>
          <t>ED202071</t>
        </is>
      </c>
      <c r="B2016" s="56" t="n">
        <v>45403.76597222222</v>
      </c>
      <c r="C2016" t="inlineStr">
        <is>
          <t>Cedar Ridge Medical Center</t>
        </is>
      </c>
      <c r="D2016" t="n">
        <v>11</v>
      </c>
    </row>
    <row r="2017">
      <c r="A2017" t="inlineStr">
        <is>
          <t>ED202072</t>
        </is>
      </c>
      <c r="B2017" s="56" t="n">
        <v>45403.81597222222</v>
      </c>
      <c r="C2017" t="inlineStr">
        <is>
          <t>Bluestone Memorial Hospital</t>
        </is>
      </c>
      <c r="D2017" t="n">
        <v>28</v>
      </c>
    </row>
    <row r="2018">
      <c r="A2018" t="inlineStr">
        <is>
          <t>ED202073</t>
        </is>
      </c>
      <c r="B2018" s="56" t="n">
        <v>45403.89166666667</v>
      </c>
      <c r="C2018" t="inlineStr">
        <is>
          <t>Bluestone Memorial Hospital</t>
        </is>
      </c>
      <c r="D2018" t="n">
        <v>93</v>
      </c>
    </row>
    <row r="2019">
      <c r="A2019" t="inlineStr">
        <is>
          <t>ED202074</t>
        </is>
      </c>
      <c r="B2019" s="56" t="n">
        <v>45403.96111111111</v>
      </c>
      <c r="C2019" t="inlineStr">
        <is>
          <t>Bluestone Memorial Hospital</t>
        </is>
      </c>
      <c r="D2019" t="n">
        <v>21</v>
      </c>
    </row>
    <row r="2020">
      <c r="A2020" t="inlineStr">
        <is>
          <t>ED202075</t>
        </is>
      </c>
      <c r="B2020" s="56" t="n">
        <v>45404.25347222222</v>
      </c>
      <c r="C2020" t="inlineStr">
        <is>
          <t>Bluestone Memorial Hospital</t>
        </is>
      </c>
      <c r="D2020" t="n">
        <v>126</v>
      </c>
    </row>
    <row r="2021">
      <c r="A2021" t="inlineStr">
        <is>
          <t>ED202076</t>
        </is>
      </c>
      <c r="B2021" s="56" t="n">
        <v>45404.27569444444</v>
      </c>
      <c r="C2021" t="inlineStr">
        <is>
          <t>Bluestone Memorial Hospital</t>
        </is>
      </c>
      <c r="D2021" t="n">
        <v>7</v>
      </c>
    </row>
    <row r="2022">
      <c r="A2022" t="inlineStr">
        <is>
          <t>ED202077</t>
        </is>
      </c>
      <c r="B2022" s="56" t="n">
        <v>45404.52152777778</v>
      </c>
      <c r="C2022" t="inlineStr">
        <is>
          <t>Bluestone Memorial Hospital</t>
        </is>
      </c>
      <c r="D2022" t="n">
        <v>61</v>
      </c>
    </row>
    <row r="2023">
      <c r="A2023" t="inlineStr">
        <is>
          <t>ED202078</t>
        </is>
      </c>
      <c r="B2023" s="56" t="n">
        <v>45404.56875</v>
      </c>
      <c r="C2023" t="inlineStr">
        <is>
          <t>Bluestone Memorial Hospital</t>
        </is>
      </c>
      <c r="D2023" t="n">
        <v>37</v>
      </c>
    </row>
    <row r="2024">
      <c r="A2024" t="inlineStr">
        <is>
          <t>ED202079</t>
        </is>
      </c>
      <c r="B2024" s="56" t="n">
        <v>45404.57638888889</v>
      </c>
      <c r="C2024" t="inlineStr">
        <is>
          <t>Bluestone Memorial Hospital</t>
        </is>
      </c>
      <c r="D2024" t="n">
        <v>150</v>
      </c>
    </row>
    <row r="2025">
      <c r="A2025" t="inlineStr">
        <is>
          <t>ED202080</t>
        </is>
      </c>
      <c r="B2025" s="56" t="n">
        <v>45404.61527777778</v>
      </c>
      <c r="C2025" t="inlineStr">
        <is>
          <t>Ashby Falls Community Hospital</t>
        </is>
      </c>
      <c r="D2025" t="n">
        <v>13</v>
      </c>
    </row>
    <row r="2026">
      <c r="A2026" t="inlineStr">
        <is>
          <t>ED202081</t>
        </is>
      </c>
      <c r="B2026" s="56" t="n">
        <v>45404.62986111111</v>
      </c>
      <c r="C2026" t="inlineStr">
        <is>
          <t>Cedar Ridge Medical Center</t>
        </is>
      </c>
      <c r="D2026" t="n">
        <v>114</v>
      </c>
    </row>
    <row r="2027">
      <c r="A2027" t="inlineStr">
        <is>
          <t>ED202082</t>
        </is>
      </c>
      <c r="B2027" s="56" t="n">
        <v>45404.84097222222</v>
      </c>
      <c r="C2027" t="inlineStr">
        <is>
          <t>Ashby Falls Community Hospital</t>
        </is>
      </c>
      <c r="D2027" t="n">
        <v>36</v>
      </c>
    </row>
    <row r="2028">
      <c r="A2028" t="inlineStr">
        <is>
          <t>ED202083</t>
        </is>
      </c>
      <c r="B2028" s="56" t="n">
        <v>45404.86875</v>
      </c>
      <c r="C2028" t="inlineStr">
        <is>
          <t>Bluestone Memorial Hospital</t>
        </is>
      </c>
      <c r="D2028" t="n">
        <v>2</v>
      </c>
    </row>
    <row r="2029">
      <c r="A2029" t="inlineStr">
        <is>
          <t>ED202084</t>
        </is>
      </c>
      <c r="B2029" s="56" t="n">
        <v>45404.92291666667</v>
      </c>
      <c r="C2029" t="inlineStr">
        <is>
          <t>Bluestone Memorial Hospital</t>
        </is>
      </c>
      <c r="D2029" t="n">
        <v>60</v>
      </c>
    </row>
    <row r="2030">
      <c r="A2030" t="inlineStr">
        <is>
          <t>ED202085</t>
        </is>
      </c>
      <c r="B2030" s="56" t="n">
        <v>45404.93194444444</v>
      </c>
      <c r="C2030" t="inlineStr">
        <is>
          <t>Bluestone Memorial Hospital</t>
        </is>
      </c>
      <c r="D2030" t="n">
        <v>19</v>
      </c>
    </row>
    <row r="2031">
      <c r="A2031" t="inlineStr">
        <is>
          <t>ED202086</t>
        </is>
      </c>
      <c r="B2031" s="56" t="n">
        <v>45404.93263888889</v>
      </c>
      <c r="C2031" t="inlineStr">
        <is>
          <t>Bluestone Memorial Hospital</t>
        </is>
      </c>
      <c r="D2031" t="n">
        <v>3</v>
      </c>
    </row>
    <row r="2032">
      <c r="A2032" t="inlineStr">
        <is>
          <t>ED202087</t>
        </is>
      </c>
      <c r="B2032" s="56" t="n">
        <v>45404.95347222222</v>
      </c>
      <c r="C2032" t="inlineStr">
        <is>
          <t>Bluestone Memorial Hospital</t>
        </is>
      </c>
      <c r="D2032" t="n">
        <v>56</v>
      </c>
    </row>
    <row r="2033">
      <c r="A2033" t="inlineStr">
        <is>
          <t>ED202088</t>
        </is>
      </c>
      <c r="B2033" s="56" t="n">
        <v>45405.02222222222</v>
      </c>
      <c r="C2033" t="inlineStr">
        <is>
          <t>Bluestone Memorial Hospital</t>
        </is>
      </c>
      <c r="D2033" t="n">
        <v>42</v>
      </c>
    </row>
    <row r="2034">
      <c r="A2034" t="inlineStr">
        <is>
          <t>ED202089</t>
        </is>
      </c>
      <c r="B2034" s="56" t="n">
        <v>45405.15</v>
      </c>
      <c r="C2034" t="inlineStr">
        <is>
          <t>Bluestone Memorial Hospital</t>
        </is>
      </c>
      <c r="D2034" t="n">
        <v>18</v>
      </c>
    </row>
    <row r="2035">
      <c r="A2035" t="inlineStr">
        <is>
          <t>ED202090</t>
        </is>
      </c>
      <c r="B2035" s="56" t="n">
        <v>45405.44166666667</v>
      </c>
      <c r="C2035" t="inlineStr">
        <is>
          <t>Ashby Falls Community Hospital</t>
        </is>
      </c>
      <c r="D2035" t="n">
        <v>16</v>
      </c>
    </row>
    <row r="2036">
      <c r="A2036" t="inlineStr">
        <is>
          <t>ED202091</t>
        </is>
      </c>
      <c r="B2036" s="56" t="n">
        <v>45405.49861111111</v>
      </c>
      <c r="C2036" t="inlineStr">
        <is>
          <t>Bluestone Memorial Hospital</t>
        </is>
      </c>
      <c r="D2036" t="n">
        <v>36</v>
      </c>
    </row>
    <row r="2037">
      <c r="A2037" t="inlineStr">
        <is>
          <t>ED202092</t>
        </is>
      </c>
      <c r="B2037" s="56" t="n">
        <v>45405.50763888889</v>
      </c>
      <c r="C2037" t="inlineStr">
        <is>
          <t>Ashby Falls Community Hospital</t>
        </is>
      </c>
      <c r="D2037" t="n">
        <v>88</v>
      </c>
    </row>
    <row r="2038">
      <c r="A2038" t="inlineStr">
        <is>
          <t>ED202093</t>
        </is>
      </c>
      <c r="B2038" s="56" t="n">
        <v>45405.52152777778</v>
      </c>
      <c r="C2038" t="inlineStr">
        <is>
          <t>Bluestone Memorial Hospital</t>
        </is>
      </c>
      <c r="D2038" t="n">
        <v>54</v>
      </c>
    </row>
    <row r="2039">
      <c r="A2039" t="inlineStr">
        <is>
          <t>ED202094</t>
        </is>
      </c>
      <c r="B2039" s="56" t="n">
        <v>45405.71736111111</v>
      </c>
      <c r="C2039" t="inlineStr">
        <is>
          <t>Cedar Ridge Medical Center</t>
        </is>
      </c>
      <c r="D2039" t="n">
        <v>49</v>
      </c>
    </row>
    <row r="2040">
      <c r="A2040" t="inlineStr">
        <is>
          <t>ED202095</t>
        </is>
      </c>
      <c r="B2040" s="56" t="n">
        <v>45405.72986111111</v>
      </c>
      <c r="C2040" t="inlineStr">
        <is>
          <t>Cedar Ridge Medical Center</t>
        </is>
      </c>
      <c r="D2040" t="n">
        <v>43</v>
      </c>
    </row>
    <row r="2041">
      <c r="A2041" t="inlineStr">
        <is>
          <t>ED202096</t>
        </is>
      </c>
      <c r="B2041" s="56" t="n">
        <v>45405.78611111111</v>
      </c>
      <c r="C2041" t="inlineStr">
        <is>
          <t>Bluestone Memorial Hospital</t>
        </is>
      </c>
      <c r="D2041" t="n">
        <v>52</v>
      </c>
    </row>
    <row r="2042">
      <c r="A2042" t="inlineStr">
        <is>
          <t>ED202097</t>
        </is>
      </c>
      <c r="B2042" s="56" t="n">
        <v>45405.78611111111</v>
      </c>
      <c r="C2042" t="inlineStr">
        <is>
          <t>Bluestone Memorial Hospital</t>
        </is>
      </c>
      <c r="D2042" t="n">
        <v>60</v>
      </c>
    </row>
    <row r="2043">
      <c r="A2043" t="inlineStr">
        <is>
          <t>ED202098</t>
        </is>
      </c>
      <c r="B2043" s="56" t="n">
        <v>45405.79652777778</v>
      </c>
      <c r="C2043" t="inlineStr">
        <is>
          <t>Bluestone Memorial Hospital</t>
        </is>
      </c>
      <c r="D2043" t="n">
        <v>16</v>
      </c>
    </row>
    <row r="2044">
      <c r="A2044" t="inlineStr">
        <is>
          <t>ED202099</t>
        </is>
      </c>
      <c r="B2044" s="56" t="n">
        <v>45405.81180555555</v>
      </c>
      <c r="C2044" t="inlineStr">
        <is>
          <t>Bluestone Memorial Hospital</t>
        </is>
      </c>
      <c r="D2044" t="n">
        <v>56</v>
      </c>
    </row>
    <row r="2045">
      <c r="A2045" t="inlineStr">
        <is>
          <t>ED202100</t>
        </is>
      </c>
      <c r="B2045" s="56" t="n">
        <v>45405.86319444444</v>
      </c>
      <c r="C2045" t="inlineStr">
        <is>
          <t>Bluestone Memorial Hospital</t>
        </is>
      </c>
      <c r="D2045" t="n">
        <v>39</v>
      </c>
    </row>
    <row r="2046">
      <c r="A2046" t="inlineStr">
        <is>
          <t>ED202101</t>
        </is>
      </c>
      <c r="B2046" s="56" t="n">
        <v>45405.98055555556</v>
      </c>
      <c r="C2046" t="inlineStr">
        <is>
          <t>Cedar Ridge Medical Center</t>
        </is>
      </c>
      <c r="D2046" t="n">
        <v>86</v>
      </c>
    </row>
    <row r="2047">
      <c r="A2047" t="inlineStr">
        <is>
          <t>ED202102</t>
        </is>
      </c>
      <c r="B2047" s="56" t="n">
        <v>45405.99583333333</v>
      </c>
      <c r="C2047" t="inlineStr">
        <is>
          <t>Bluestone Memorial Hospital</t>
        </is>
      </c>
      <c r="D2047" t="n">
        <v>15</v>
      </c>
    </row>
    <row r="2048">
      <c r="A2048" t="inlineStr">
        <is>
          <t>ED202103</t>
        </is>
      </c>
      <c r="B2048" s="56" t="n">
        <v>45406.07430555556</v>
      </c>
      <c r="C2048" t="inlineStr">
        <is>
          <t>Cedar Ridge Medical Center</t>
        </is>
      </c>
      <c r="D2048" t="n">
        <v>30</v>
      </c>
    </row>
    <row r="2049">
      <c r="A2049" t="inlineStr">
        <is>
          <t>ED202104</t>
        </is>
      </c>
      <c r="B2049" s="56" t="n">
        <v>45406.34375</v>
      </c>
      <c r="C2049" t="inlineStr">
        <is>
          <t>Bluestone Memorial Hospital</t>
        </is>
      </c>
      <c r="D2049" t="n">
        <v>64</v>
      </c>
    </row>
    <row r="2050">
      <c r="A2050" t="inlineStr">
        <is>
          <t>ED202105</t>
        </is>
      </c>
      <c r="B2050" s="56" t="n">
        <v>45406.3625</v>
      </c>
      <c r="C2050" t="inlineStr">
        <is>
          <t>Cedar Ridge Medical Center</t>
        </is>
      </c>
      <c r="D2050" t="n">
        <v>46</v>
      </c>
    </row>
    <row r="2051">
      <c r="A2051" t="inlineStr">
        <is>
          <t>ED202106</t>
        </is>
      </c>
      <c r="B2051" s="56" t="n">
        <v>45406.36805555555</v>
      </c>
      <c r="C2051" t="inlineStr">
        <is>
          <t>Bluestone Memorial Hospital</t>
        </is>
      </c>
      <c r="D2051" t="n">
        <v>67</v>
      </c>
    </row>
    <row r="2052">
      <c r="A2052" t="inlineStr">
        <is>
          <t>ED202107</t>
        </is>
      </c>
      <c r="B2052" s="56" t="n">
        <v>45406.39583333334</v>
      </c>
      <c r="C2052" t="inlineStr">
        <is>
          <t>Ashby Falls Community Hospital</t>
        </is>
      </c>
      <c r="D2052" t="n">
        <v>17</v>
      </c>
    </row>
    <row r="2053">
      <c r="A2053" t="inlineStr">
        <is>
          <t>ED202108</t>
        </is>
      </c>
      <c r="B2053" s="56" t="n">
        <v>45406.48263888889</v>
      </c>
      <c r="C2053" t="inlineStr">
        <is>
          <t>Bluestone Memorial Hospital</t>
        </is>
      </c>
      <c r="D2053" t="n">
        <v>65</v>
      </c>
    </row>
    <row r="2054">
      <c r="A2054" t="inlineStr">
        <is>
          <t>ED202109</t>
        </is>
      </c>
      <c r="B2054" s="56" t="n">
        <v>45406.49236111111</v>
      </c>
      <c r="C2054" t="inlineStr">
        <is>
          <t>Bluestone Memorial Hospital</t>
        </is>
      </c>
      <c r="D2054" t="n">
        <v>19</v>
      </c>
    </row>
    <row r="2055">
      <c r="A2055" t="inlineStr">
        <is>
          <t>ED202110</t>
        </is>
      </c>
      <c r="B2055" s="56" t="n">
        <v>45406.51736111111</v>
      </c>
      <c r="C2055" t="inlineStr">
        <is>
          <t>Bluestone Memorial Hospital</t>
        </is>
      </c>
      <c r="D2055" t="n">
        <v>95</v>
      </c>
    </row>
    <row r="2056">
      <c r="A2056" t="inlineStr">
        <is>
          <t>ED202111</t>
        </is>
      </c>
      <c r="B2056" s="56" t="n">
        <v>45406.58055555556</v>
      </c>
      <c r="C2056" t="inlineStr">
        <is>
          <t>Bluestone Memorial Hospital</t>
        </is>
      </c>
      <c r="D2056" t="n">
        <v>32</v>
      </c>
    </row>
    <row r="2057">
      <c r="A2057" t="inlineStr">
        <is>
          <t>ED202112</t>
        </is>
      </c>
      <c r="B2057" s="56" t="n">
        <v>45406.58333333334</v>
      </c>
      <c r="C2057" t="inlineStr">
        <is>
          <t>Bluestone Memorial Hospital</t>
        </is>
      </c>
      <c r="D2057" t="n">
        <v>74</v>
      </c>
    </row>
    <row r="2058">
      <c r="A2058" t="inlineStr">
        <is>
          <t>ED202113</t>
        </is>
      </c>
      <c r="B2058" s="56" t="n">
        <v>45406.58333333334</v>
      </c>
      <c r="C2058" t="inlineStr">
        <is>
          <t>Bluestone Memorial Hospital</t>
        </is>
      </c>
      <c r="D2058" t="n">
        <v>31</v>
      </c>
    </row>
    <row r="2059">
      <c r="A2059" t="inlineStr">
        <is>
          <t>ED202114</t>
        </is>
      </c>
      <c r="B2059" s="56" t="n">
        <v>45406.63333333333</v>
      </c>
      <c r="C2059" t="inlineStr">
        <is>
          <t>Ashby Falls Community Hospital</t>
        </is>
      </c>
      <c r="D2059" t="n">
        <v>36</v>
      </c>
    </row>
    <row r="2060">
      <c r="A2060" t="inlineStr">
        <is>
          <t>ED202115</t>
        </is>
      </c>
      <c r="B2060" s="56" t="n">
        <v>45406.65833333333</v>
      </c>
      <c r="C2060" t="inlineStr">
        <is>
          <t>Bluestone Memorial Hospital</t>
        </is>
      </c>
      <c r="D2060" t="n">
        <v>33</v>
      </c>
    </row>
    <row r="2061">
      <c r="A2061" t="inlineStr">
        <is>
          <t>ED202116</t>
        </is>
      </c>
      <c r="B2061" s="56" t="n">
        <v>45406.6625</v>
      </c>
      <c r="C2061" t="inlineStr">
        <is>
          <t>Bluestone Memorial Hospital</t>
        </is>
      </c>
      <c r="D2061" t="n">
        <v>38</v>
      </c>
    </row>
    <row r="2062">
      <c r="A2062" t="inlineStr">
        <is>
          <t>ED202117</t>
        </is>
      </c>
      <c r="B2062" s="56" t="n">
        <v>45406.68055555555</v>
      </c>
      <c r="C2062" t="inlineStr">
        <is>
          <t>Cedar Ridge Medical Center</t>
        </is>
      </c>
      <c r="D2062" t="n">
        <v>13</v>
      </c>
    </row>
    <row r="2063">
      <c r="A2063" t="inlineStr">
        <is>
          <t>ED202118</t>
        </is>
      </c>
      <c r="B2063" s="56" t="n">
        <v>45406.71805555555</v>
      </c>
      <c r="C2063" t="inlineStr">
        <is>
          <t>Bluestone Memorial Hospital</t>
        </is>
      </c>
      <c r="D2063" t="n">
        <v>70</v>
      </c>
    </row>
    <row r="2064">
      <c r="A2064" t="inlineStr">
        <is>
          <t>ED202119</t>
        </is>
      </c>
      <c r="B2064" s="56" t="n">
        <v>45406.8125</v>
      </c>
      <c r="C2064" t="inlineStr">
        <is>
          <t>Bluestone Memorial Hospital</t>
        </is>
      </c>
      <c r="D2064" t="n">
        <v>26</v>
      </c>
    </row>
    <row r="2065">
      <c r="A2065" t="inlineStr">
        <is>
          <t>ED202120</t>
        </is>
      </c>
      <c r="B2065" s="56" t="n">
        <v>45406.83888888889</v>
      </c>
      <c r="C2065" t="inlineStr">
        <is>
          <t>Bluestone Memorial Hospital</t>
        </is>
      </c>
      <c r="D2065" t="n">
        <v>25</v>
      </c>
    </row>
    <row r="2066">
      <c r="A2066" t="inlineStr">
        <is>
          <t>ED202121</t>
        </is>
      </c>
      <c r="B2066" s="56" t="n">
        <v>45406.96180555555</v>
      </c>
      <c r="C2066" t="inlineStr">
        <is>
          <t>Cedar Ridge Medical Center</t>
        </is>
      </c>
      <c r="D2066" t="n">
        <v>10</v>
      </c>
    </row>
    <row r="2067">
      <c r="A2067" t="inlineStr">
        <is>
          <t>ED202122</t>
        </is>
      </c>
      <c r="B2067" s="56" t="n">
        <v>45407.0375</v>
      </c>
      <c r="C2067" t="inlineStr">
        <is>
          <t>Bluestone Memorial Hospital</t>
        </is>
      </c>
      <c r="D2067" t="n">
        <v>32</v>
      </c>
    </row>
    <row r="2068">
      <c r="A2068" t="inlineStr">
        <is>
          <t>ED202123</t>
        </is>
      </c>
      <c r="B2068" s="56" t="n">
        <v>45407.43194444444</v>
      </c>
      <c r="C2068" t="inlineStr">
        <is>
          <t>Cedar Ridge Medical Center</t>
        </is>
      </c>
      <c r="D2068" t="n">
        <v>95</v>
      </c>
    </row>
    <row r="2069">
      <c r="A2069" t="inlineStr">
        <is>
          <t>ED202124</t>
        </is>
      </c>
      <c r="B2069" s="56" t="n">
        <v>45407.45694444444</v>
      </c>
      <c r="C2069" t="inlineStr">
        <is>
          <t>Bluestone Memorial Hospital</t>
        </is>
      </c>
      <c r="D2069" t="n">
        <v>19</v>
      </c>
    </row>
    <row r="2070">
      <c r="A2070" t="inlineStr">
        <is>
          <t>ED202125</t>
        </is>
      </c>
      <c r="B2070" s="56" t="n">
        <v>45407.54930555556</v>
      </c>
      <c r="C2070" t="inlineStr">
        <is>
          <t>Bluestone Memorial Hospital</t>
        </is>
      </c>
      <c r="D2070" t="n">
        <v>16</v>
      </c>
    </row>
    <row r="2071">
      <c r="A2071" t="inlineStr">
        <is>
          <t>ED202126</t>
        </is>
      </c>
      <c r="B2071" s="56" t="n">
        <v>45407.57847222222</v>
      </c>
      <c r="C2071" t="inlineStr">
        <is>
          <t>Bluestone Memorial Hospital</t>
        </is>
      </c>
      <c r="D2071" t="n">
        <v>10</v>
      </c>
    </row>
    <row r="2072">
      <c r="A2072" t="inlineStr">
        <is>
          <t>ED202127</t>
        </is>
      </c>
      <c r="B2072" s="56" t="n">
        <v>45407.64791666667</v>
      </c>
      <c r="C2072" t="inlineStr">
        <is>
          <t>Bluestone Memorial Hospital</t>
        </is>
      </c>
      <c r="D2072" t="n">
        <v>87</v>
      </c>
    </row>
    <row r="2073">
      <c r="A2073" t="inlineStr">
        <is>
          <t>ED202128</t>
        </is>
      </c>
      <c r="B2073" s="56" t="n">
        <v>45407.84375</v>
      </c>
      <c r="C2073" t="inlineStr">
        <is>
          <t>Bluestone Memorial Hospital</t>
        </is>
      </c>
      <c r="D2073" t="n">
        <v>35</v>
      </c>
    </row>
    <row r="2074">
      <c r="A2074" t="inlineStr">
        <is>
          <t>ED202129</t>
        </is>
      </c>
      <c r="B2074" s="56" t="n">
        <v>45407.85902777778</v>
      </c>
      <c r="C2074" t="inlineStr">
        <is>
          <t>Ashby Falls Community Hospital</t>
        </is>
      </c>
      <c r="D2074" t="n">
        <v>34</v>
      </c>
    </row>
    <row r="2075">
      <c r="A2075" t="inlineStr">
        <is>
          <t>ED202130</t>
        </is>
      </c>
      <c r="B2075" s="56" t="n">
        <v>45407.91180555556</v>
      </c>
      <c r="C2075" t="inlineStr">
        <is>
          <t>Bluestone Memorial Hospital</t>
        </is>
      </c>
      <c r="D2075" t="n">
        <v>83</v>
      </c>
    </row>
    <row r="2076">
      <c r="A2076" t="inlineStr">
        <is>
          <t>ED202131</t>
        </is>
      </c>
      <c r="B2076" s="56" t="n">
        <v>45408.03194444445</v>
      </c>
      <c r="C2076" t="inlineStr">
        <is>
          <t>Bluestone Memorial Hospital</t>
        </is>
      </c>
      <c r="D2076" t="n">
        <v>3</v>
      </c>
    </row>
    <row r="2077">
      <c r="A2077" t="inlineStr">
        <is>
          <t>ED202132</t>
        </is>
      </c>
      <c r="B2077" s="56" t="n">
        <v>45408.08263888889</v>
      </c>
      <c r="C2077" t="inlineStr">
        <is>
          <t>Bluestone Memorial Hospital</t>
        </is>
      </c>
      <c r="D2077" t="n">
        <v>16</v>
      </c>
    </row>
    <row r="2078">
      <c r="A2078" t="inlineStr">
        <is>
          <t>ED202133</t>
        </is>
      </c>
      <c r="B2078" s="56" t="n">
        <v>45408.13333333333</v>
      </c>
      <c r="C2078" t="inlineStr">
        <is>
          <t>Bluestone Memorial Hospital</t>
        </is>
      </c>
      <c r="D2078" t="n">
        <v>47</v>
      </c>
    </row>
    <row r="2079">
      <c r="A2079" t="inlineStr">
        <is>
          <t>ED202134</t>
        </is>
      </c>
      <c r="B2079" s="56" t="n">
        <v>45408.17638888889</v>
      </c>
      <c r="C2079" t="inlineStr">
        <is>
          <t>Bluestone Memorial Hospital</t>
        </is>
      </c>
      <c r="D2079" t="n">
        <v>30</v>
      </c>
    </row>
    <row r="2080">
      <c r="A2080" t="inlineStr">
        <is>
          <t>ED202135</t>
        </is>
      </c>
      <c r="B2080" s="56" t="n">
        <v>45408.38888888889</v>
      </c>
      <c r="C2080" t="inlineStr">
        <is>
          <t>Bluestone Memorial Hospital</t>
        </is>
      </c>
      <c r="D2080" t="n">
        <v>3</v>
      </c>
    </row>
    <row r="2081">
      <c r="A2081" t="inlineStr">
        <is>
          <t>ED202136</t>
        </is>
      </c>
      <c r="B2081" s="56" t="n">
        <v>45408.39722222222</v>
      </c>
      <c r="C2081" t="inlineStr">
        <is>
          <t>Bluestone Memorial Hospital</t>
        </is>
      </c>
      <c r="D2081" t="n">
        <v>75</v>
      </c>
    </row>
    <row r="2082">
      <c r="A2082" t="inlineStr">
        <is>
          <t>ED202137</t>
        </is>
      </c>
      <c r="B2082" s="56" t="n">
        <v>45408.42638888889</v>
      </c>
      <c r="C2082" t="inlineStr">
        <is>
          <t>Bluestone Memorial Hospital</t>
        </is>
      </c>
      <c r="D2082" t="n">
        <v>13</v>
      </c>
    </row>
    <row r="2083">
      <c r="A2083" t="inlineStr">
        <is>
          <t>ED202138</t>
        </is>
      </c>
      <c r="B2083" s="56" t="n">
        <v>45408.45138888889</v>
      </c>
      <c r="C2083" t="inlineStr">
        <is>
          <t>Bluestone Memorial Hospital</t>
        </is>
      </c>
      <c r="D2083" t="n">
        <v>117</v>
      </c>
    </row>
    <row r="2084">
      <c r="A2084" t="inlineStr">
        <is>
          <t>ED202139</t>
        </is>
      </c>
      <c r="B2084" s="56" t="n">
        <v>45408.47986111111</v>
      </c>
      <c r="C2084" t="inlineStr">
        <is>
          <t>Cedar Ridge Medical Center</t>
        </is>
      </c>
      <c r="D2084" t="n">
        <v>18</v>
      </c>
    </row>
    <row r="2085">
      <c r="A2085" t="inlineStr">
        <is>
          <t>ED202140</t>
        </is>
      </c>
      <c r="B2085" s="56" t="n">
        <v>45408.50833333333</v>
      </c>
      <c r="C2085" t="inlineStr">
        <is>
          <t>Bluestone Memorial Hospital</t>
        </is>
      </c>
      <c r="D2085" t="n">
        <v>64</v>
      </c>
    </row>
    <row r="2086">
      <c r="A2086" t="inlineStr">
        <is>
          <t>ED202141</t>
        </is>
      </c>
      <c r="B2086" s="56" t="n">
        <v>45408.56875</v>
      </c>
      <c r="C2086" t="inlineStr">
        <is>
          <t>Bluestone Memorial Hospital</t>
        </is>
      </c>
      <c r="D2086" t="n">
        <v>71</v>
      </c>
    </row>
    <row r="2087">
      <c r="A2087" t="inlineStr">
        <is>
          <t>ED202142</t>
        </is>
      </c>
      <c r="B2087" s="56" t="n">
        <v>45408.61944444444</v>
      </c>
      <c r="C2087" t="inlineStr">
        <is>
          <t>Bluestone Memorial Hospital</t>
        </is>
      </c>
      <c r="D2087" t="n">
        <v>135</v>
      </c>
    </row>
    <row r="2088">
      <c r="A2088" t="inlineStr">
        <is>
          <t>ED202143</t>
        </is>
      </c>
      <c r="B2088" s="56" t="n">
        <v>45408.66875</v>
      </c>
      <c r="C2088" t="inlineStr">
        <is>
          <t>Bluestone Memorial Hospital</t>
        </is>
      </c>
      <c r="D2088" t="n">
        <v>145</v>
      </c>
    </row>
    <row r="2089">
      <c r="A2089" t="inlineStr">
        <is>
          <t>ED202144</t>
        </is>
      </c>
      <c r="B2089" s="56" t="n">
        <v>45408.68263888889</v>
      </c>
      <c r="C2089" t="inlineStr">
        <is>
          <t>Bluestone Memorial Hospital</t>
        </is>
      </c>
      <c r="D2089" t="n">
        <v>47</v>
      </c>
    </row>
    <row r="2090">
      <c r="A2090" t="inlineStr">
        <is>
          <t>ED202145</t>
        </is>
      </c>
      <c r="B2090" s="56" t="n">
        <v>45408.71180555555</v>
      </c>
      <c r="C2090" t="inlineStr">
        <is>
          <t>Bluestone Memorial Hospital</t>
        </is>
      </c>
      <c r="D2090" t="n">
        <v>51</v>
      </c>
    </row>
    <row r="2091">
      <c r="A2091" t="inlineStr">
        <is>
          <t>ED202146</t>
        </is>
      </c>
      <c r="B2091" s="56" t="n">
        <v>45408.72916666666</v>
      </c>
      <c r="C2091" t="inlineStr">
        <is>
          <t>Bluestone Memorial Hospital</t>
        </is>
      </c>
      <c r="D2091" t="n">
        <v>92</v>
      </c>
    </row>
    <row r="2092">
      <c r="A2092" t="inlineStr">
        <is>
          <t>ED202147</t>
        </is>
      </c>
      <c r="B2092" s="56" t="n">
        <v>45409.11805555555</v>
      </c>
      <c r="C2092" t="inlineStr">
        <is>
          <t>Bluestone Memorial Hospital</t>
        </is>
      </c>
      <c r="D2092" t="n">
        <v>22</v>
      </c>
    </row>
    <row r="2093">
      <c r="A2093" t="inlineStr">
        <is>
          <t>ED202148</t>
        </is>
      </c>
      <c r="B2093" s="56" t="n">
        <v>45409.20694444444</v>
      </c>
      <c r="C2093" t="inlineStr">
        <is>
          <t>Bluestone Memorial Hospital</t>
        </is>
      </c>
      <c r="D2093" t="n">
        <v>35</v>
      </c>
    </row>
    <row r="2094">
      <c r="A2094" t="inlineStr">
        <is>
          <t>ED202149</t>
        </is>
      </c>
      <c r="B2094" s="56" t="n">
        <v>45409.21458333333</v>
      </c>
      <c r="C2094" t="inlineStr">
        <is>
          <t>Ashby Falls Community Hospital</t>
        </is>
      </c>
      <c r="D2094" t="n">
        <v>17</v>
      </c>
    </row>
    <row r="2095">
      <c r="A2095" t="inlineStr">
        <is>
          <t>ED202150</t>
        </is>
      </c>
      <c r="B2095" s="56" t="n">
        <v>45409.37847222222</v>
      </c>
      <c r="C2095" t="inlineStr">
        <is>
          <t>Bluestone Memorial Hospital</t>
        </is>
      </c>
      <c r="D2095" t="n">
        <v>35</v>
      </c>
    </row>
    <row r="2096">
      <c r="A2096" t="inlineStr">
        <is>
          <t>ED202151</t>
        </is>
      </c>
      <c r="B2096" s="56" t="n">
        <v>45409.47777777778</v>
      </c>
      <c r="C2096" t="inlineStr">
        <is>
          <t>Bluestone Memorial Hospital</t>
        </is>
      </c>
      <c r="D2096" t="n">
        <v>131</v>
      </c>
    </row>
    <row r="2097">
      <c r="A2097" t="inlineStr">
        <is>
          <t>ED202152</t>
        </is>
      </c>
      <c r="B2097" s="56" t="n">
        <v>45409.52291666667</v>
      </c>
      <c r="C2097" t="inlineStr">
        <is>
          <t>Ashby Falls Community Hospital</t>
        </is>
      </c>
      <c r="D2097" t="n">
        <v>54</v>
      </c>
    </row>
    <row r="2098">
      <c r="A2098" t="inlineStr">
        <is>
          <t>ED202153</t>
        </is>
      </c>
      <c r="B2098" s="56" t="n">
        <v>45409.58402777778</v>
      </c>
      <c r="C2098" t="inlineStr">
        <is>
          <t>Bluestone Memorial Hospital</t>
        </is>
      </c>
      <c r="D2098" t="n">
        <v>96</v>
      </c>
    </row>
    <row r="2099">
      <c r="A2099" t="inlineStr">
        <is>
          <t>ED202154</t>
        </is>
      </c>
      <c r="B2099" s="56" t="n">
        <v>45409.63402777778</v>
      </c>
      <c r="C2099" t="inlineStr">
        <is>
          <t>Bluestone Memorial Hospital</t>
        </is>
      </c>
      <c r="D2099" t="n">
        <v>36</v>
      </c>
    </row>
    <row r="2100">
      <c r="A2100" t="inlineStr">
        <is>
          <t>ED202155</t>
        </is>
      </c>
      <c r="B2100" s="56" t="n">
        <v>45409.69097222222</v>
      </c>
      <c r="C2100" t="inlineStr">
        <is>
          <t>Bluestone Memorial Hospital</t>
        </is>
      </c>
      <c r="D2100" t="n">
        <v>37</v>
      </c>
    </row>
    <row r="2101">
      <c r="A2101" t="inlineStr">
        <is>
          <t>ED202156</t>
        </is>
      </c>
      <c r="B2101" s="56" t="n">
        <v>45409.89583333334</v>
      </c>
      <c r="C2101" t="inlineStr">
        <is>
          <t>Bluestone Memorial Hospital</t>
        </is>
      </c>
      <c r="D2101" t="n">
        <v>49</v>
      </c>
    </row>
    <row r="2102">
      <c r="A2102" t="inlineStr">
        <is>
          <t>ED202157</t>
        </is>
      </c>
      <c r="B2102" s="56" t="n">
        <v>45409.92916666667</v>
      </c>
      <c r="C2102" t="inlineStr">
        <is>
          <t>Bluestone Memorial Hospital</t>
        </is>
      </c>
      <c r="D2102" t="n">
        <v>28</v>
      </c>
    </row>
    <row r="2103">
      <c r="A2103" t="inlineStr">
        <is>
          <t>ED202158</t>
        </is>
      </c>
      <c r="B2103" s="56" t="n">
        <v>45410.22777777778</v>
      </c>
      <c r="C2103" t="inlineStr">
        <is>
          <t>Bluestone Memorial Hospital</t>
        </is>
      </c>
      <c r="D2103" t="n">
        <v>9</v>
      </c>
    </row>
    <row r="2104">
      <c r="A2104" t="inlineStr">
        <is>
          <t>ED202159</t>
        </is>
      </c>
      <c r="B2104" s="56" t="n">
        <v>45410.47083333333</v>
      </c>
      <c r="C2104" t="inlineStr">
        <is>
          <t>Bluestone Memorial Hospital</t>
        </is>
      </c>
      <c r="D2104" t="n">
        <v>72</v>
      </c>
    </row>
    <row r="2105">
      <c r="A2105" t="inlineStr">
        <is>
          <t>ED202160</t>
        </is>
      </c>
      <c r="B2105" s="56" t="n">
        <v>45410.47083333333</v>
      </c>
      <c r="C2105" t="inlineStr">
        <is>
          <t>Bluestone Memorial Hospital</t>
        </is>
      </c>
      <c r="D2105" t="n">
        <v>45</v>
      </c>
    </row>
    <row r="2106">
      <c r="A2106" t="inlineStr">
        <is>
          <t>ED202161</t>
        </is>
      </c>
      <c r="B2106" s="56" t="n">
        <v>45410.47291666667</v>
      </c>
      <c r="C2106" t="inlineStr">
        <is>
          <t>Ashby Falls Community Hospital</t>
        </is>
      </c>
      <c r="D2106" t="n">
        <v>19</v>
      </c>
    </row>
    <row r="2107">
      <c r="A2107" t="inlineStr">
        <is>
          <t>ED202162</t>
        </is>
      </c>
      <c r="B2107" s="56" t="n">
        <v>45410.52361111111</v>
      </c>
      <c r="C2107" t="inlineStr">
        <is>
          <t>Ashby Falls Community Hospital</t>
        </is>
      </c>
      <c r="D2107" t="n">
        <v>31</v>
      </c>
    </row>
    <row r="2108">
      <c r="A2108" t="inlineStr">
        <is>
          <t>ED202163</t>
        </is>
      </c>
      <c r="B2108" s="56" t="n">
        <v>45410.54652777778</v>
      </c>
      <c r="C2108" t="inlineStr">
        <is>
          <t>Cedar Ridge Medical Center</t>
        </is>
      </c>
      <c r="D2108" t="n">
        <v>18</v>
      </c>
    </row>
    <row r="2109">
      <c r="A2109" t="inlineStr">
        <is>
          <t>ED202164</t>
        </is>
      </c>
      <c r="B2109" s="56" t="n">
        <v>45410.5625</v>
      </c>
      <c r="C2109" t="inlineStr">
        <is>
          <t>Bluestone Memorial Hospital</t>
        </is>
      </c>
      <c r="D2109" t="n">
        <v>66</v>
      </c>
    </row>
    <row r="2110">
      <c r="A2110" t="inlineStr">
        <is>
          <t>ED202165</t>
        </is>
      </c>
      <c r="B2110" s="56" t="n">
        <v>45410.58333333334</v>
      </c>
      <c r="C2110" t="inlineStr">
        <is>
          <t>Bluestone Memorial Hospital</t>
        </is>
      </c>
      <c r="D2110" t="n">
        <v>62</v>
      </c>
    </row>
    <row r="2111">
      <c r="A2111" t="inlineStr">
        <is>
          <t>ED202166</t>
        </is>
      </c>
      <c r="B2111" s="56" t="n">
        <v>45410.625</v>
      </c>
      <c r="C2111" t="inlineStr">
        <is>
          <t>Bluestone Memorial Hospital</t>
        </is>
      </c>
      <c r="D2111" t="n">
        <v>43</v>
      </c>
    </row>
    <row r="2112">
      <c r="A2112" t="inlineStr">
        <is>
          <t>ED202167</t>
        </is>
      </c>
      <c r="B2112" s="56" t="n">
        <v>45410.84444444445</v>
      </c>
      <c r="C2112" t="inlineStr">
        <is>
          <t>Bluestone Memorial Hospital</t>
        </is>
      </c>
      <c r="D2112" t="n">
        <v>120</v>
      </c>
    </row>
    <row r="2113">
      <c r="A2113" t="inlineStr">
        <is>
          <t>ED202168</t>
        </is>
      </c>
      <c r="B2113" s="56" t="n">
        <v>45410.89305555556</v>
      </c>
      <c r="C2113" t="inlineStr">
        <is>
          <t>Ashby Falls Community Hospital</t>
        </is>
      </c>
      <c r="D2113" t="n">
        <v>46</v>
      </c>
    </row>
    <row r="2114">
      <c r="A2114" t="inlineStr">
        <is>
          <t>ED202169</t>
        </is>
      </c>
      <c r="B2114" s="56" t="n">
        <v>45410.90902777778</v>
      </c>
      <c r="C2114" t="inlineStr">
        <is>
          <t>Cedar Ridge Medical Center</t>
        </is>
      </c>
      <c r="D2114" t="n">
        <v>57</v>
      </c>
    </row>
    <row r="2115">
      <c r="A2115" t="inlineStr">
        <is>
          <t>ED202170</t>
        </is>
      </c>
      <c r="B2115" s="56" t="n">
        <v>45410.91180555556</v>
      </c>
      <c r="C2115" t="inlineStr">
        <is>
          <t>Ashby Falls Community Hospital</t>
        </is>
      </c>
      <c r="D2115" t="n">
        <v>43</v>
      </c>
    </row>
    <row r="2116">
      <c r="A2116" t="inlineStr">
        <is>
          <t>ED202171</t>
        </is>
      </c>
      <c r="B2116" s="56" t="n">
        <v>45410.95972222222</v>
      </c>
      <c r="C2116" t="inlineStr">
        <is>
          <t>Bluestone Memorial Hospital</t>
        </is>
      </c>
      <c r="D2116" t="n">
        <v>40</v>
      </c>
    </row>
    <row r="2117">
      <c r="A2117" t="inlineStr">
        <is>
          <t>ED202172</t>
        </is>
      </c>
      <c r="B2117" s="56" t="n">
        <v>45410.97083333333</v>
      </c>
      <c r="C2117" t="inlineStr">
        <is>
          <t>Bluestone Memorial Hospital</t>
        </is>
      </c>
      <c r="D2117" t="n">
        <v>17</v>
      </c>
    </row>
    <row r="2118">
      <c r="A2118" t="inlineStr">
        <is>
          <t>ED202173</t>
        </is>
      </c>
      <c r="B2118" s="56" t="n">
        <v>45410.99236111111</v>
      </c>
      <c r="C2118" t="inlineStr">
        <is>
          <t>Ashby Falls Community Hospital</t>
        </is>
      </c>
      <c r="D2118" t="n">
        <v>36</v>
      </c>
    </row>
    <row r="2119">
      <c r="A2119" t="inlineStr">
        <is>
          <t>ED202174</t>
        </is>
      </c>
      <c r="B2119" s="56" t="n">
        <v>45411.02152777778</v>
      </c>
      <c r="C2119" t="inlineStr">
        <is>
          <t>Bluestone Memorial Hospital</t>
        </is>
      </c>
      <c r="D2119" t="n">
        <v>7</v>
      </c>
    </row>
    <row r="2120">
      <c r="A2120" t="inlineStr">
        <is>
          <t>ED202175</t>
        </is>
      </c>
      <c r="B2120" s="56" t="n">
        <v>45411.36527777778</v>
      </c>
      <c r="C2120" t="inlineStr">
        <is>
          <t>Cedar Ridge Medical Center</t>
        </is>
      </c>
      <c r="D2120" t="n">
        <v>44</v>
      </c>
    </row>
    <row r="2121">
      <c r="A2121" t="inlineStr">
        <is>
          <t>ED202176</t>
        </is>
      </c>
      <c r="B2121" s="56" t="n">
        <v>45411.39861111111</v>
      </c>
      <c r="C2121" t="inlineStr">
        <is>
          <t>Ashby Falls Community Hospital</t>
        </is>
      </c>
      <c r="D2121" t="n">
        <v>118</v>
      </c>
    </row>
    <row r="2122">
      <c r="A2122" t="inlineStr">
        <is>
          <t>ED202177</t>
        </is>
      </c>
      <c r="B2122" s="56" t="n">
        <v>45411.4</v>
      </c>
      <c r="C2122" t="inlineStr">
        <is>
          <t>Bluestone Memorial Hospital</t>
        </is>
      </c>
      <c r="D2122" t="n">
        <v>48</v>
      </c>
    </row>
    <row r="2123">
      <c r="A2123" t="inlineStr">
        <is>
          <t>ED202178</t>
        </is>
      </c>
      <c r="B2123" s="56" t="n">
        <v>45411.42152777778</v>
      </c>
      <c r="C2123" t="inlineStr">
        <is>
          <t>Cedar Ridge Medical Center</t>
        </is>
      </c>
      <c r="D2123" t="n">
        <v>57</v>
      </c>
    </row>
    <row r="2124">
      <c r="A2124" t="inlineStr">
        <is>
          <t>ED202179</t>
        </is>
      </c>
      <c r="B2124" s="56" t="n">
        <v>45411.44652777778</v>
      </c>
      <c r="C2124" t="inlineStr">
        <is>
          <t>Ashby Falls Community Hospital</t>
        </is>
      </c>
      <c r="D2124" t="n">
        <v>105</v>
      </c>
    </row>
    <row r="2125">
      <c r="A2125" t="inlineStr">
        <is>
          <t>ED202180</t>
        </is>
      </c>
      <c r="B2125" s="56" t="n">
        <v>45411.48958333334</v>
      </c>
      <c r="C2125" t="inlineStr">
        <is>
          <t>Bluestone Memorial Hospital</t>
        </is>
      </c>
      <c r="D2125" t="n">
        <v>31</v>
      </c>
    </row>
    <row r="2126">
      <c r="A2126" t="inlineStr">
        <is>
          <t>ED202181</t>
        </is>
      </c>
      <c r="B2126" s="56" t="n">
        <v>45411.49513888889</v>
      </c>
      <c r="C2126" t="inlineStr">
        <is>
          <t>Bluestone Memorial Hospital</t>
        </is>
      </c>
      <c r="D2126" t="n">
        <v>52</v>
      </c>
    </row>
    <row r="2127">
      <c r="A2127" t="inlineStr">
        <is>
          <t>ED202182</t>
        </is>
      </c>
      <c r="B2127" s="56" t="n">
        <v>45411.50069444445</v>
      </c>
      <c r="C2127" t="inlineStr">
        <is>
          <t>Ashby Falls Community Hospital</t>
        </is>
      </c>
      <c r="D2127" t="n">
        <v>22</v>
      </c>
    </row>
    <row r="2128">
      <c r="A2128" t="inlineStr">
        <is>
          <t>ED202183</t>
        </is>
      </c>
      <c r="B2128" s="56" t="n">
        <v>45411.51388888889</v>
      </c>
      <c r="C2128" t="inlineStr">
        <is>
          <t>Bluestone Memorial Hospital</t>
        </is>
      </c>
      <c r="D2128" t="n">
        <v>12</v>
      </c>
    </row>
    <row r="2129">
      <c r="A2129" t="inlineStr">
        <is>
          <t>ED202184</t>
        </is>
      </c>
      <c r="B2129" s="56" t="n">
        <v>45411.57152777778</v>
      </c>
      <c r="C2129" t="inlineStr">
        <is>
          <t>Bluestone Memorial Hospital</t>
        </is>
      </c>
      <c r="D2129" t="n">
        <v>25</v>
      </c>
    </row>
    <row r="2130">
      <c r="A2130" t="inlineStr">
        <is>
          <t>ED202186</t>
        </is>
      </c>
      <c r="B2130" s="56" t="n">
        <v>45411.64305555556</v>
      </c>
      <c r="C2130" t="inlineStr">
        <is>
          <t>Ashby Falls Community Hospital</t>
        </is>
      </c>
      <c r="D2130" t="n">
        <v>34</v>
      </c>
    </row>
    <row r="2131">
      <c r="A2131" t="inlineStr">
        <is>
          <t>ED202187</t>
        </is>
      </c>
      <c r="B2131" s="56" t="n">
        <v>45411.71388888889</v>
      </c>
      <c r="C2131" t="inlineStr">
        <is>
          <t>Bluestone Memorial Hospital</t>
        </is>
      </c>
      <c r="D2131" t="n">
        <v>2</v>
      </c>
    </row>
    <row r="2132">
      <c r="A2132" t="inlineStr">
        <is>
          <t>ED202188</t>
        </is>
      </c>
      <c r="B2132" s="56" t="n">
        <v>45411.75347222222</v>
      </c>
      <c r="C2132" t="inlineStr">
        <is>
          <t>Cedar Ridge Medical Center</t>
        </is>
      </c>
      <c r="D2132" t="n">
        <v>112</v>
      </c>
    </row>
    <row r="2133">
      <c r="A2133" t="inlineStr">
        <is>
          <t>ED202189</t>
        </is>
      </c>
      <c r="B2133" s="56" t="n">
        <v>45411.82986111111</v>
      </c>
      <c r="C2133" t="inlineStr">
        <is>
          <t>Cedar Ridge Medical Center</t>
        </is>
      </c>
      <c r="D2133" t="n">
        <v>41</v>
      </c>
    </row>
    <row r="2134">
      <c r="A2134" t="inlineStr">
        <is>
          <t>ED202190</t>
        </is>
      </c>
      <c r="B2134" s="56" t="n">
        <v>45411.83680555555</v>
      </c>
      <c r="C2134" t="inlineStr">
        <is>
          <t>Bluestone Memorial Hospital</t>
        </is>
      </c>
      <c r="D2134" t="n">
        <v>9</v>
      </c>
    </row>
    <row r="2135">
      <c r="A2135" t="inlineStr">
        <is>
          <t>ED202191</t>
        </is>
      </c>
      <c r="B2135" s="56" t="n">
        <v>45411.98472222222</v>
      </c>
      <c r="C2135" t="inlineStr">
        <is>
          <t>Bluestone Memorial Hospital</t>
        </is>
      </c>
      <c r="D2135" t="n">
        <v>19</v>
      </c>
    </row>
    <row r="2136">
      <c r="A2136" t="inlineStr">
        <is>
          <t>ED202192</t>
        </is>
      </c>
      <c r="B2136" s="56" t="n">
        <v>45412.10208333333</v>
      </c>
      <c r="C2136" t="inlineStr">
        <is>
          <t>Bluestone Memorial Hospital</t>
        </is>
      </c>
      <c r="D2136" t="n">
        <v>20</v>
      </c>
    </row>
    <row r="2137">
      <c r="A2137" t="inlineStr">
        <is>
          <t>ED202193</t>
        </is>
      </c>
      <c r="B2137" s="56" t="n">
        <v>45412.37986111111</v>
      </c>
      <c r="C2137" t="inlineStr">
        <is>
          <t>Bluestone Memorial Hospital</t>
        </is>
      </c>
      <c r="D2137" t="n">
        <v>68</v>
      </c>
    </row>
    <row r="2138">
      <c r="A2138" t="inlineStr">
        <is>
          <t>ED202194</t>
        </is>
      </c>
      <c r="B2138" s="56" t="n">
        <v>45412.38055555556</v>
      </c>
      <c r="C2138" t="inlineStr">
        <is>
          <t>Bluestone Memorial Hospital</t>
        </is>
      </c>
      <c r="D2138" t="n">
        <v>14</v>
      </c>
    </row>
    <row r="2139">
      <c r="A2139" t="inlineStr">
        <is>
          <t>ED202195</t>
        </is>
      </c>
      <c r="B2139" s="56" t="n">
        <v>45412.49375</v>
      </c>
      <c r="C2139" t="inlineStr">
        <is>
          <t>Bluestone Memorial Hospital</t>
        </is>
      </c>
      <c r="D2139" t="n">
        <v>16</v>
      </c>
    </row>
    <row r="2140">
      <c r="A2140" t="inlineStr">
        <is>
          <t>ED202196</t>
        </is>
      </c>
      <c r="B2140" s="56" t="n">
        <v>45412.50625</v>
      </c>
      <c r="C2140" t="inlineStr">
        <is>
          <t>Cedar Ridge Medical Center</t>
        </is>
      </c>
      <c r="D2140" t="n">
        <v>102</v>
      </c>
    </row>
    <row r="2141">
      <c r="A2141" t="inlineStr">
        <is>
          <t>ED202197</t>
        </is>
      </c>
      <c r="B2141" s="56" t="n">
        <v>45412.56111111111</v>
      </c>
      <c r="C2141" t="inlineStr">
        <is>
          <t>Cedar Ridge Medical Center</t>
        </is>
      </c>
      <c r="D2141" t="n">
        <v>26</v>
      </c>
    </row>
    <row r="2142">
      <c r="A2142" t="inlineStr">
        <is>
          <t>ED202198</t>
        </is>
      </c>
      <c r="B2142" s="56" t="n">
        <v>45412.56736111111</v>
      </c>
      <c r="C2142" t="inlineStr">
        <is>
          <t>Bluestone Memorial Hospital</t>
        </is>
      </c>
      <c r="D2142" t="n">
        <v>44</v>
      </c>
    </row>
    <row r="2143">
      <c r="A2143" t="inlineStr">
        <is>
          <t>ED202199</t>
        </is>
      </c>
      <c r="B2143" s="56" t="n">
        <v>45412.57361111111</v>
      </c>
      <c r="C2143" t="inlineStr">
        <is>
          <t>Bluestone Memorial Hospital</t>
        </is>
      </c>
      <c r="D2143" t="n">
        <v>14</v>
      </c>
    </row>
    <row r="2144">
      <c r="A2144" t="inlineStr">
        <is>
          <t>ED202200</t>
        </is>
      </c>
      <c r="B2144" s="56" t="n">
        <v>45412.58055555556</v>
      </c>
      <c r="C2144" t="inlineStr">
        <is>
          <t>Bluestone Memorial Hospital</t>
        </is>
      </c>
      <c r="D2144" t="n">
        <v>86</v>
      </c>
    </row>
    <row r="2145">
      <c r="A2145" t="inlineStr">
        <is>
          <t>ED202201</t>
        </is>
      </c>
      <c r="B2145" s="56" t="n">
        <v>45412.58333333334</v>
      </c>
      <c r="C2145" t="inlineStr">
        <is>
          <t>Cedar Ridge Medical Center</t>
        </is>
      </c>
      <c r="D2145" t="n">
        <v>27</v>
      </c>
    </row>
    <row r="2146">
      <c r="A2146" t="inlineStr">
        <is>
          <t>ED202202</t>
        </is>
      </c>
      <c r="B2146" s="56" t="n">
        <v>45412.60763888889</v>
      </c>
      <c r="C2146" t="inlineStr">
        <is>
          <t>Bluestone Memorial Hospital</t>
        </is>
      </c>
      <c r="D2146" t="n">
        <v>116</v>
      </c>
    </row>
    <row r="2147">
      <c r="A2147" t="inlineStr">
        <is>
          <t>ED202203</t>
        </is>
      </c>
      <c r="B2147" s="56" t="n">
        <v>45412.64444444444</v>
      </c>
      <c r="C2147" t="inlineStr">
        <is>
          <t>Bluestone Memorial Hospital</t>
        </is>
      </c>
      <c r="D2147" t="n">
        <v>105</v>
      </c>
    </row>
    <row r="2148">
      <c r="A2148" t="inlineStr">
        <is>
          <t>ED202204</t>
        </is>
      </c>
      <c r="B2148" s="56" t="n">
        <v>45412.64583333334</v>
      </c>
      <c r="C2148" t="inlineStr">
        <is>
          <t>Bluestone Memorial Hospital</t>
        </is>
      </c>
      <c r="D2148" t="n">
        <v>51</v>
      </c>
    </row>
    <row r="2149">
      <c r="A2149" t="inlineStr">
        <is>
          <t>ED202205</t>
        </is>
      </c>
      <c r="B2149" s="56" t="n">
        <v>45412.68402777778</v>
      </c>
      <c r="C2149" t="inlineStr">
        <is>
          <t>Ashby Falls Community Hospital</t>
        </is>
      </c>
      <c r="D2149" t="n">
        <v>27</v>
      </c>
    </row>
    <row r="2150">
      <c r="A2150" t="inlineStr">
        <is>
          <t>ED202206</t>
        </is>
      </c>
      <c r="B2150" s="56" t="n">
        <v>45412.68888888889</v>
      </c>
      <c r="C2150" t="inlineStr">
        <is>
          <t>Bluestone Memorial Hospital</t>
        </is>
      </c>
      <c r="D2150" t="n">
        <v>97</v>
      </c>
    </row>
    <row r="2151">
      <c r="A2151" t="inlineStr">
        <is>
          <t>ED202207</t>
        </is>
      </c>
      <c r="B2151" s="56" t="n">
        <v>45412.73680555556</v>
      </c>
      <c r="C2151" t="inlineStr">
        <is>
          <t>Cedar Ridge Medical Center</t>
        </is>
      </c>
      <c r="D2151" t="n">
        <v>67</v>
      </c>
    </row>
    <row r="2152">
      <c r="A2152" t="inlineStr">
        <is>
          <t>ED202208</t>
        </is>
      </c>
      <c r="B2152" s="56" t="n">
        <v>45412.80416666667</v>
      </c>
      <c r="C2152" t="inlineStr">
        <is>
          <t>Bluestone Memorial Hospital</t>
        </is>
      </c>
      <c r="D2152" t="n">
        <v>47</v>
      </c>
    </row>
    <row r="2153">
      <c r="A2153" t="inlineStr">
        <is>
          <t>ED202209</t>
        </is>
      </c>
      <c r="B2153" s="56" t="n">
        <v>45412.85833333333</v>
      </c>
      <c r="C2153" t="inlineStr">
        <is>
          <t>Bluestone Memorial Hospital</t>
        </is>
      </c>
      <c r="D2153" t="n">
        <v>106</v>
      </c>
    </row>
    <row r="2154">
      <c r="A2154" t="inlineStr">
        <is>
          <t>ED202210</t>
        </is>
      </c>
      <c r="B2154" s="56" t="n">
        <v>45412.89861111111</v>
      </c>
      <c r="C2154" t="inlineStr">
        <is>
          <t>Bluestone Memorial Hospital</t>
        </is>
      </c>
      <c r="D2154" t="n">
        <v>65</v>
      </c>
    </row>
    <row r="2155">
      <c r="A2155" t="inlineStr">
        <is>
          <t>ED202211</t>
        </is>
      </c>
      <c r="B2155" s="56" t="n">
        <v>45412.99652777778</v>
      </c>
      <c r="C2155" t="inlineStr">
        <is>
          <t>Cedar Ridge Medical Center</t>
        </is>
      </c>
      <c r="D2155" t="n">
        <v>50</v>
      </c>
    </row>
    <row r="2156">
      <c r="A2156" t="inlineStr">
        <is>
          <t>ED202212</t>
        </is>
      </c>
      <c r="B2156" s="56" t="n">
        <v>45413.01944444444</v>
      </c>
      <c r="C2156" t="inlineStr">
        <is>
          <t>Bluestone Memorial Hospital</t>
        </is>
      </c>
      <c r="D2156" t="n">
        <v>35</v>
      </c>
    </row>
    <row r="2157">
      <c r="A2157" t="inlineStr">
        <is>
          <t>ED202213</t>
        </is>
      </c>
      <c r="B2157" s="56" t="n">
        <v>45413.04652777778</v>
      </c>
      <c r="C2157" t="inlineStr">
        <is>
          <t>Bluestone Memorial Hospital</t>
        </is>
      </c>
      <c r="D2157" t="n">
        <v>26</v>
      </c>
    </row>
    <row r="2158">
      <c r="A2158" t="inlineStr">
        <is>
          <t>ED202214</t>
        </is>
      </c>
      <c r="B2158" s="56" t="n">
        <v>45413.26458333333</v>
      </c>
      <c r="C2158" t="inlineStr">
        <is>
          <t>Bluestone Memorial Hospital</t>
        </is>
      </c>
      <c r="D2158" t="n">
        <v>24</v>
      </c>
    </row>
    <row r="2159">
      <c r="A2159" t="inlineStr">
        <is>
          <t>ED202215</t>
        </is>
      </c>
      <c r="B2159" s="56" t="n">
        <v>45413.29791666667</v>
      </c>
      <c r="C2159" t="inlineStr">
        <is>
          <t>Cedar Ridge Medical Center</t>
        </is>
      </c>
      <c r="D2159" t="n">
        <v>50</v>
      </c>
    </row>
    <row r="2160">
      <c r="A2160" t="inlineStr">
        <is>
          <t>ED202216</t>
        </is>
      </c>
      <c r="B2160" s="56" t="n">
        <v>45413.34861111111</v>
      </c>
      <c r="C2160" t="inlineStr">
        <is>
          <t>Bluestone Memorial Hospital</t>
        </is>
      </c>
      <c r="D2160" t="n">
        <v>20</v>
      </c>
    </row>
    <row r="2161">
      <c r="A2161" t="inlineStr">
        <is>
          <t>ED202217</t>
        </is>
      </c>
      <c r="B2161" s="56" t="n">
        <v>45413.36041666667</v>
      </c>
      <c r="C2161" t="inlineStr">
        <is>
          <t>Bluestone Memorial Hospital</t>
        </is>
      </c>
      <c r="D2161" t="n">
        <v>51</v>
      </c>
    </row>
    <row r="2162">
      <c r="A2162" t="inlineStr">
        <is>
          <t>ED202218</t>
        </is>
      </c>
      <c r="B2162" s="56" t="n">
        <v>45413.42152777778</v>
      </c>
      <c r="C2162" t="inlineStr">
        <is>
          <t>Ashby Falls Community Hospital</t>
        </is>
      </c>
      <c r="D2162" t="n">
        <v>16</v>
      </c>
    </row>
    <row r="2163">
      <c r="A2163" t="inlineStr">
        <is>
          <t>ED202219</t>
        </is>
      </c>
      <c r="B2163" s="56" t="n">
        <v>45413.51736111111</v>
      </c>
      <c r="C2163" t="inlineStr">
        <is>
          <t>Bluestone Memorial Hospital</t>
        </is>
      </c>
      <c r="D2163" t="n">
        <v>13</v>
      </c>
    </row>
    <row r="2164">
      <c r="A2164" t="inlineStr">
        <is>
          <t>ED202220</t>
        </is>
      </c>
      <c r="B2164" s="56" t="n">
        <v>45413.52222222222</v>
      </c>
      <c r="C2164" t="inlineStr">
        <is>
          <t>Bluestone Memorial Hospital</t>
        </is>
      </c>
      <c r="D2164" t="n">
        <v>105</v>
      </c>
    </row>
    <row r="2165">
      <c r="A2165" t="inlineStr">
        <is>
          <t>ED202221</t>
        </is>
      </c>
      <c r="B2165" s="56" t="n">
        <v>45413.56666666667</v>
      </c>
      <c r="C2165" t="inlineStr">
        <is>
          <t>Bluestone Memorial Hospital</t>
        </is>
      </c>
      <c r="D2165" t="n">
        <v>46</v>
      </c>
    </row>
    <row r="2166">
      <c r="A2166" t="inlineStr">
        <is>
          <t>ED202222</t>
        </is>
      </c>
      <c r="B2166" s="56" t="n">
        <v>45413.56875</v>
      </c>
      <c r="C2166" t="inlineStr">
        <is>
          <t>Bluestone Memorial Hospital</t>
        </is>
      </c>
      <c r="D2166" t="n">
        <v>79</v>
      </c>
    </row>
    <row r="2167">
      <c r="A2167" t="inlineStr">
        <is>
          <t>ED202223</t>
        </is>
      </c>
      <c r="B2167" s="56" t="n">
        <v>45413.58125</v>
      </c>
      <c r="C2167" t="inlineStr">
        <is>
          <t>Cedar Ridge Medical Center</t>
        </is>
      </c>
      <c r="D2167" t="n">
        <v>186</v>
      </c>
    </row>
    <row r="2168">
      <c r="A2168" t="inlineStr">
        <is>
          <t>ED202224</t>
        </is>
      </c>
      <c r="B2168" s="56" t="n">
        <v>45413.59305555555</v>
      </c>
      <c r="C2168" t="inlineStr">
        <is>
          <t>Ashby Falls Community Hospital</t>
        </is>
      </c>
      <c r="D2168" t="n">
        <v>119</v>
      </c>
    </row>
    <row r="2169">
      <c r="A2169" t="inlineStr">
        <is>
          <t>ED202225</t>
        </is>
      </c>
      <c r="B2169" s="56" t="n">
        <v>45413.61527777778</v>
      </c>
      <c r="C2169" t="inlineStr">
        <is>
          <t>Ashby Falls Community Hospital</t>
        </is>
      </c>
      <c r="D2169" t="n">
        <v>120</v>
      </c>
    </row>
    <row r="2170">
      <c r="A2170" t="inlineStr">
        <is>
          <t>ED202226</t>
        </is>
      </c>
      <c r="B2170" s="56" t="n">
        <v>45413.68194444444</v>
      </c>
      <c r="C2170" t="inlineStr">
        <is>
          <t>Bluestone Memorial Hospital</t>
        </is>
      </c>
      <c r="D2170" t="n">
        <v>91</v>
      </c>
    </row>
    <row r="2171">
      <c r="A2171" t="inlineStr">
        <is>
          <t>ED202227</t>
        </is>
      </c>
      <c r="B2171" s="56" t="n">
        <v>45413.69375</v>
      </c>
      <c r="C2171" t="inlineStr">
        <is>
          <t>Ashby Falls Community Hospital</t>
        </is>
      </c>
      <c r="D2171" t="n">
        <v>10</v>
      </c>
    </row>
    <row r="2172">
      <c r="A2172" t="inlineStr">
        <is>
          <t>ED202228</t>
        </is>
      </c>
      <c r="B2172" s="56" t="n">
        <v>45413.72569444445</v>
      </c>
      <c r="C2172" t="inlineStr">
        <is>
          <t>Cedar Ridge Medical Center</t>
        </is>
      </c>
      <c r="D2172" t="n">
        <v>21</v>
      </c>
    </row>
    <row r="2173">
      <c r="A2173" t="inlineStr">
        <is>
          <t>ED202229</t>
        </is>
      </c>
      <c r="B2173" s="56" t="n">
        <v>45413.76875</v>
      </c>
      <c r="C2173" t="inlineStr">
        <is>
          <t>Bluestone Memorial Hospital</t>
        </is>
      </c>
      <c r="D2173" t="n">
        <v>53</v>
      </c>
    </row>
    <row r="2174">
      <c r="A2174" t="inlineStr">
        <is>
          <t>ED202230</t>
        </is>
      </c>
      <c r="B2174" s="56" t="n">
        <v>45413.79375</v>
      </c>
      <c r="C2174" t="inlineStr">
        <is>
          <t>Bluestone Memorial Hospital</t>
        </is>
      </c>
      <c r="D2174" t="n">
        <v>83</v>
      </c>
    </row>
    <row r="2175">
      <c r="A2175" t="inlineStr">
        <is>
          <t>ED202231</t>
        </is>
      </c>
      <c r="B2175" s="56" t="n">
        <v>45413.79513888889</v>
      </c>
      <c r="C2175" t="inlineStr">
        <is>
          <t>Cedar Ridge Medical Center</t>
        </is>
      </c>
      <c r="D2175" t="n">
        <v>33</v>
      </c>
    </row>
    <row r="2176">
      <c r="A2176" t="inlineStr">
        <is>
          <t>ED202232</t>
        </is>
      </c>
      <c r="B2176" s="56" t="n">
        <v>45413.87083333333</v>
      </c>
      <c r="C2176" t="inlineStr">
        <is>
          <t>Bluestone Memorial Hospital</t>
        </is>
      </c>
      <c r="D2176" t="n">
        <v>45</v>
      </c>
    </row>
    <row r="2177">
      <c r="A2177" t="inlineStr">
        <is>
          <t>ED202233</t>
        </is>
      </c>
      <c r="B2177" s="56" t="n">
        <v>45413.87638888889</v>
      </c>
      <c r="C2177" t="inlineStr">
        <is>
          <t>Bluestone Memorial Hospital</t>
        </is>
      </c>
      <c r="D2177" t="n">
        <v>52</v>
      </c>
    </row>
    <row r="2178">
      <c r="A2178" t="inlineStr">
        <is>
          <t>ED202234</t>
        </is>
      </c>
      <c r="B2178" s="56" t="n">
        <v>45413.88819444444</v>
      </c>
      <c r="C2178" t="inlineStr">
        <is>
          <t>Bluestone Memorial Hospital</t>
        </is>
      </c>
      <c r="D2178" t="n">
        <v>31</v>
      </c>
    </row>
    <row r="2179">
      <c r="A2179" t="inlineStr">
        <is>
          <t>ED202235</t>
        </is>
      </c>
      <c r="B2179" s="56" t="n">
        <v>45413.98611111111</v>
      </c>
      <c r="C2179" t="inlineStr">
        <is>
          <t>Cedar Ridge Medical Center</t>
        </is>
      </c>
      <c r="D2179" t="n">
        <v>32</v>
      </c>
    </row>
    <row r="2180">
      <c r="A2180" t="inlineStr">
        <is>
          <t>ED202236</t>
        </is>
      </c>
      <c r="B2180" s="56" t="n">
        <v>45413.99861111111</v>
      </c>
      <c r="C2180" t="inlineStr">
        <is>
          <t>Bluestone Memorial Hospital</t>
        </is>
      </c>
      <c r="D2180" t="n">
        <v>191</v>
      </c>
    </row>
    <row r="2181">
      <c r="A2181" t="inlineStr">
        <is>
          <t>ED202237</t>
        </is>
      </c>
      <c r="B2181" s="56" t="n">
        <v>45414.08125</v>
      </c>
      <c r="C2181" t="inlineStr">
        <is>
          <t>Bluestone Memorial Hospital</t>
        </is>
      </c>
      <c r="D2181" t="n">
        <v>21</v>
      </c>
    </row>
    <row r="2182">
      <c r="A2182" t="inlineStr">
        <is>
          <t>ED202238</t>
        </is>
      </c>
      <c r="B2182" s="56" t="n">
        <v>45414.12847222222</v>
      </c>
      <c r="C2182" t="inlineStr">
        <is>
          <t>Bluestone Memorial Hospital</t>
        </is>
      </c>
      <c r="D2182" t="n">
        <v>15</v>
      </c>
    </row>
    <row r="2183">
      <c r="A2183" t="inlineStr">
        <is>
          <t>ED202239</t>
        </is>
      </c>
      <c r="B2183" s="56" t="n">
        <v>45414.13055555556</v>
      </c>
      <c r="C2183" t="inlineStr">
        <is>
          <t>Cedar Ridge Medical Center</t>
        </is>
      </c>
      <c r="D2183" t="n">
        <v>24</v>
      </c>
    </row>
    <row r="2184">
      <c r="A2184" t="inlineStr">
        <is>
          <t>ED202240</t>
        </is>
      </c>
      <c r="B2184" s="56" t="n">
        <v>45414.14652777778</v>
      </c>
      <c r="C2184" t="inlineStr">
        <is>
          <t>Bluestone Memorial Hospital</t>
        </is>
      </c>
      <c r="D2184" t="n">
        <v>23</v>
      </c>
    </row>
    <row r="2185">
      <c r="A2185" t="inlineStr">
        <is>
          <t>ED202241</t>
        </is>
      </c>
      <c r="B2185" s="56" t="n">
        <v>45414.27847222222</v>
      </c>
      <c r="C2185" t="inlineStr">
        <is>
          <t>Ashby Falls Community Hospital</t>
        </is>
      </c>
      <c r="D2185" t="n">
        <v>31</v>
      </c>
    </row>
    <row r="2186">
      <c r="A2186" t="inlineStr">
        <is>
          <t>ED202242</t>
        </is>
      </c>
      <c r="B2186" s="56" t="n">
        <v>45414.42152777778</v>
      </c>
      <c r="C2186" t="inlineStr">
        <is>
          <t>Cedar Ridge Medical Center</t>
        </is>
      </c>
      <c r="D2186" t="n">
        <v>29</v>
      </c>
    </row>
    <row r="2187">
      <c r="A2187" t="inlineStr">
        <is>
          <t>ED202243</t>
        </is>
      </c>
      <c r="B2187" s="56" t="n">
        <v>45414.46597222222</v>
      </c>
      <c r="C2187" t="inlineStr">
        <is>
          <t>Bluestone Memorial Hospital</t>
        </is>
      </c>
      <c r="D2187" t="n">
        <v>125</v>
      </c>
    </row>
    <row r="2188">
      <c r="A2188" t="inlineStr">
        <is>
          <t>ED202244</t>
        </is>
      </c>
      <c r="B2188" s="56" t="n">
        <v>45414.52361111111</v>
      </c>
      <c r="C2188" t="inlineStr">
        <is>
          <t>Bluestone Memorial Hospital</t>
        </is>
      </c>
      <c r="D2188" t="n">
        <v>37</v>
      </c>
    </row>
    <row r="2189">
      <c r="A2189" t="inlineStr">
        <is>
          <t>ED202245</t>
        </is>
      </c>
      <c r="B2189" s="56" t="n">
        <v>45414.575</v>
      </c>
      <c r="C2189" t="inlineStr">
        <is>
          <t>Ashby Falls Community Hospital</t>
        </is>
      </c>
      <c r="D2189" t="n">
        <v>66</v>
      </c>
    </row>
    <row r="2190">
      <c r="A2190" t="inlineStr">
        <is>
          <t>ED202246</t>
        </is>
      </c>
      <c r="B2190" s="56" t="n">
        <v>45414.63263888889</v>
      </c>
      <c r="C2190" t="inlineStr">
        <is>
          <t>Bluestone Memorial Hospital</t>
        </is>
      </c>
      <c r="D2190" t="n">
        <v>100</v>
      </c>
    </row>
    <row r="2191">
      <c r="A2191" t="inlineStr">
        <is>
          <t>ED202247</t>
        </is>
      </c>
      <c r="B2191" s="56" t="n">
        <v>45414.64236111111</v>
      </c>
      <c r="C2191" t="inlineStr">
        <is>
          <t>Bluestone Memorial Hospital</t>
        </is>
      </c>
      <c r="D2191" t="n">
        <v>3</v>
      </c>
    </row>
    <row r="2192">
      <c r="A2192" t="inlineStr">
        <is>
          <t>ED202248</t>
        </is>
      </c>
      <c r="B2192" s="56" t="n">
        <v>45414.65694444445</v>
      </c>
      <c r="C2192" t="inlineStr">
        <is>
          <t>Cedar Ridge Medical Center</t>
        </is>
      </c>
      <c r="D2192" t="n">
        <v>38</v>
      </c>
    </row>
    <row r="2193">
      <c r="A2193" t="inlineStr">
        <is>
          <t>ED202249</t>
        </is>
      </c>
      <c r="B2193" s="56" t="n">
        <v>45414.67986111111</v>
      </c>
      <c r="C2193" t="inlineStr">
        <is>
          <t>Bluestone Memorial Hospital</t>
        </is>
      </c>
      <c r="D2193" t="n">
        <v>249</v>
      </c>
    </row>
    <row r="2194">
      <c r="A2194" t="inlineStr">
        <is>
          <t>ED202250</t>
        </is>
      </c>
      <c r="B2194" s="56" t="n">
        <v>45414.69722222222</v>
      </c>
      <c r="C2194" t="inlineStr">
        <is>
          <t>Bluestone Memorial Hospital</t>
        </is>
      </c>
      <c r="D2194" t="n">
        <v>22</v>
      </c>
    </row>
    <row r="2195">
      <c r="A2195" t="inlineStr">
        <is>
          <t>ED202251</t>
        </is>
      </c>
      <c r="B2195" s="56" t="n">
        <v>45414.775</v>
      </c>
      <c r="C2195" t="inlineStr">
        <is>
          <t>Ashby Falls Community Hospital</t>
        </is>
      </c>
      <c r="D2195" t="n">
        <v>35</v>
      </c>
    </row>
    <row r="2196">
      <c r="A2196" t="inlineStr">
        <is>
          <t>ED202252</t>
        </is>
      </c>
      <c r="B2196" s="56" t="n">
        <v>45414.80486111111</v>
      </c>
      <c r="C2196" t="inlineStr">
        <is>
          <t>Bluestone Memorial Hospital</t>
        </is>
      </c>
      <c r="D2196" t="n">
        <v>32</v>
      </c>
    </row>
    <row r="2197">
      <c r="A2197" t="inlineStr">
        <is>
          <t>ED202253</t>
        </is>
      </c>
      <c r="B2197" s="56" t="n">
        <v>45414.85069444445</v>
      </c>
      <c r="C2197" t="inlineStr">
        <is>
          <t>Bluestone Memorial Hospital</t>
        </is>
      </c>
      <c r="D2197" t="n">
        <v>46</v>
      </c>
    </row>
    <row r="2198">
      <c r="A2198" t="inlineStr">
        <is>
          <t>ED202254</t>
        </is>
      </c>
      <c r="B2198" s="56" t="n">
        <v>45414.90277777778</v>
      </c>
      <c r="C2198" t="inlineStr">
        <is>
          <t>Bluestone Memorial Hospital</t>
        </is>
      </c>
      <c r="D2198" t="n">
        <v>47</v>
      </c>
    </row>
    <row r="2199">
      <c r="A2199" t="inlineStr">
        <is>
          <t>ED202255</t>
        </is>
      </c>
      <c r="B2199" s="56" t="n">
        <v>45414.91111111111</v>
      </c>
      <c r="C2199" t="inlineStr">
        <is>
          <t>Bluestone Memorial Hospital</t>
        </is>
      </c>
      <c r="D2199" t="n">
        <v>33</v>
      </c>
    </row>
    <row r="2200">
      <c r="A2200" t="inlineStr">
        <is>
          <t>ED202256</t>
        </is>
      </c>
      <c r="B2200" s="56" t="n">
        <v>45414.92361111111</v>
      </c>
      <c r="C2200" t="inlineStr">
        <is>
          <t>Bluestone Memorial Hospital</t>
        </is>
      </c>
      <c r="D2200" t="n">
        <v>18</v>
      </c>
    </row>
    <row r="2201">
      <c r="A2201" t="inlineStr">
        <is>
          <t>ED202257</t>
        </is>
      </c>
      <c r="B2201" s="56" t="n">
        <v>45414.94166666667</v>
      </c>
      <c r="C2201" t="inlineStr">
        <is>
          <t>Bluestone Memorial Hospital</t>
        </is>
      </c>
      <c r="D2201" t="n">
        <v>24</v>
      </c>
    </row>
    <row r="2202">
      <c r="A2202" t="inlineStr">
        <is>
          <t>ED202259</t>
        </is>
      </c>
      <c r="B2202" s="56" t="n">
        <v>45415.04513888889</v>
      </c>
      <c r="C2202" t="inlineStr">
        <is>
          <t>Bluestone Memorial Hospital</t>
        </is>
      </c>
      <c r="D2202" t="n">
        <v>21</v>
      </c>
    </row>
    <row r="2203">
      <c r="A2203" t="inlineStr">
        <is>
          <t>ED202260</t>
        </is>
      </c>
      <c r="B2203" s="56" t="n">
        <v>45415.05694444444</v>
      </c>
      <c r="C2203" t="inlineStr">
        <is>
          <t>Bluestone Memorial Hospital</t>
        </is>
      </c>
      <c r="D2203" t="n">
        <v>3</v>
      </c>
    </row>
    <row r="2204">
      <c r="A2204" t="inlineStr">
        <is>
          <t>ED202261</t>
        </is>
      </c>
      <c r="B2204" s="56" t="n">
        <v>45415.35347222222</v>
      </c>
      <c r="C2204" t="inlineStr">
        <is>
          <t>Bluestone Memorial Hospital</t>
        </is>
      </c>
      <c r="D2204" t="n">
        <v>30</v>
      </c>
    </row>
    <row r="2205">
      <c r="A2205" t="inlineStr">
        <is>
          <t>ED202262</t>
        </is>
      </c>
      <c r="B2205" s="56" t="n">
        <v>45415.35902777778</v>
      </c>
      <c r="C2205" t="inlineStr">
        <is>
          <t>Ashby Falls Community Hospital</t>
        </is>
      </c>
      <c r="D2205" t="n">
        <v>70</v>
      </c>
    </row>
    <row r="2206">
      <c r="A2206" t="inlineStr">
        <is>
          <t>ED202263</t>
        </is>
      </c>
      <c r="B2206" s="56" t="n">
        <v>45415.44027777778</v>
      </c>
      <c r="C2206" t="inlineStr">
        <is>
          <t>Bluestone Memorial Hospital</t>
        </is>
      </c>
      <c r="D2206" t="n">
        <v>52</v>
      </c>
    </row>
    <row r="2207">
      <c r="A2207" t="inlineStr">
        <is>
          <t>ED202264</t>
        </is>
      </c>
      <c r="B2207" s="56" t="n">
        <v>45415.44166666667</v>
      </c>
      <c r="C2207" t="inlineStr">
        <is>
          <t>Bluestone Memorial Hospital</t>
        </is>
      </c>
      <c r="D2207" t="n">
        <v>90</v>
      </c>
    </row>
    <row r="2208">
      <c r="A2208" t="inlineStr">
        <is>
          <t>ED202265</t>
        </is>
      </c>
      <c r="B2208" s="56" t="n">
        <v>45415.49375</v>
      </c>
      <c r="C2208" t="inlineStr">
        <is>
          <t>Bluestone Memorial Hospital</t>
        </is>
      </c>
      <c r="D2208" t="n">
        <v>53</v>
      </c>
    </row>
    <row r="2209">
      <c r="A2209" t="inlineStr">
        <is>
          <t>ED202266</t>
        </is>
      </c>
      <c r="B2209" s="56" t="n">
        <v>45415.54236111111</v>
      </c>
      <c r="C2209" t="inlineStr">
        <is>
          <t>Bluestone Memorial Hospital</t>
        </is>
      </c>
      <c r="D2209" t="n">
        <v>57</v>
      </c>
    </row>
    <row r="2210">
      <c r="A2210" t="inlineStr">
        <is>
          <t>ED202267</t>
        </is>
      </c>
      <c r="B2210" s="56" t="n">
        <v>45415.62361111111</v>
      </c>
      <c r="C2210" t="inlineStr">
        <is>
          <t>Ashby Falls Community Hospital</t>
        </is>
      </c>
      <c r="D2210" t="n">
        <v>121</v>
      </c>
    </row>
    <row r="2211">
      <c r="A2211" t="inlineStr">
        <is>
          <t>ED202268</t>
        </is>
      </c>
      <c r="B2211" s="56" t="n">
        <v>45415.65416666667</v>
      </c>
      <c r="C2211" t="inlineStr">
        <is>
          <t>Ashby Falls Community Hospital</t>
        </is>
      </c>
      <c r="D2211" t="n">
        <v>67</v>
      </c>
    </row>
    <row r="2212">
      <c r="A2212" t="inlineStr">
        <is>
          <t>ED202269</t>
        </is>
      </c>
      <c r="B2212" s="56" t="n">
        <v>45415.67847222222</v>
      </c>
      <c r="C2212" t="inlineStr">
        <is>
          <t>Bluestone Memorial Hospital</t>
        </is>
      </c>
      <c r="D2212" t="n">
        <v>134</v>
      </c>
    </row>
    <row r="2213">
      <c r="A2213" t="inlineStr">
        <is>
          <t>ED202270</t>
        </is>
      </c>
      <c r="B2213" s="56" t="n">
        <v>45415.68263888889</v>
      </c>
      <c r="C2213" t="inlineStr">
        <is>
          <t>Bluestone Memorial Hospital</t>
        </is>
      </c>
      <c r="D2213" t="n">
        <v>33</v>
      </c>
    </row>
    <row r="2214">
      <c r="A2214" t="inlineStr">
        <is>
          <t>ED202271</t>
        </is>
      </c>
      <c r="B2214" s="56" t="n">
        <v>45415.69166666667</v>
      </c>
      <c r="C2214" t="inlineStr">
        <is>
          <t>Ashby Falls Community Hospital</t>
        </is>
      </c>
      <c r="D2214" t="n">
        <v>9</v>
      </c>
    </row>
    <row r="2215">
      <c r="A2215" t="inlineStr">
        <is>
          <t>ED202272</t>
        </is>
      </c>
      <c r="B2215" s="56" t="n">
        <v>45415.69583333333</v>
      </c>
      <c r="C2215" t="inlineStr">
        <is>
          <t>Bluestone Memorial Hospital</t>
        </is>
      </c>
      <c r="D2215" t="n">
        <v>13</v>
      </c>
    </row>
    <row r="2216">
      <c r="A2216" t="inlineStr">
        <is>
          <t>ED202273</t>
        </is>
      </c>
      <c r="B2216" s="56" t="n">
        <v>45415.71319444444</v>
      </c>
      <c r="C2216" t="inlineStr">
        <is>
          <t>Ashby Falls Community Hospital</t>
        </is>
      </c>
      <c r="D2216" t="n">
        <v>26</v>
      </c>
    </row>
    <row r="2217">
      <c r="A2217" t="inlineStr">
        <is>
          <t>ED202274</t>
        </is>
      </c>
      <c r="B2217" s="56" t="n">
        <v>45415.74027777778</v>
      </c>
      <c r="C2217" t="inlineStr">
        <is>
          <t>Bluestone Memorial Hospital</t>
        </is>
      </c>
      <c r="D2217" t="n">
        <v>78</v>
      </c>
    </row>
    <row r="2218">
      <c r="A2218" t="inlineStr">
        <is>
          <t>ED202275</t>
        </is>
      </c>
      <c r="B2218" s="56" t="n">
        <v>45415.8125</v>
      </c>
      <c r="C2218" t="inlineStr">
        <is>
          <t>Cedar Ridge Medical Center</t>
        </is>
      </c>
      <c r="D2218" t="n">
        <v>23</v>
      </c>
    </row>
    <row r="2219">
      <c r="A2219" t="inlineStr">
        <is>
          <t>ED202276</t>
        </is>
      </c>
      <c r="B2219" s="56" t="n">
        <v>45415.93402777778</v>
      </c>
      <c r="C2219" t="inlineStr">
        <is>
          <t>Bluestone Memorial Hospital</t>
        </is>
      </c>
      <c r="D2219" t="n">
        <v>15</v>
      </c>
    </row>
    <row r="2220">
      <c r="A2220" t="inlineStr">
        <is>
          <t>ED202277</t>
        </is>
      </c>
      <c r="B2220" s="56" t="n">
        <v>45416.29097222222</v>
      </c>
      <c r="C2220" t="inlineStr">
        <is>
          <t>Ashby Falls Community Hospital</t>
        </is>
      </c>
      <c r="D2220" t="n">
        <v>20</v>
      </c>
    </row>
    <row r="2221">
      <c r="A2221" t="inlineStr">
        <is>
          <t>ED202278</t>
        </is>
      </c>
      <c r="B2221" s="56" t="n">
        <v>45416.33125</v>
      </c>
      <c r="C2221" t="inlineStr">
        <is>
          <t>Bluestone Memorial Hospital</t>
        </is>
      </c>
      <c r="D2221" t="n">
        <v>111</v>
      </c>
    </row>
    <row r="2222">
      <c r="A2222" t="inlineStr">
        <is>
          <t>ED202279</t>
        </is>
      </c>
      <c r="B2222" s="56" t="n">
        <v>45416.49861111111</v>
      </c>
      <c r="C2222" t="inlineStr">
        <is>
          <t>Bluestone Memorial Hospital</t>
        </is>
      </c>
      <c r="D2222" t="n">
        <v>24</v>
      </c>
    </row>
    <row r="2223">
      <c r="A2223" t="inlineStr">
        <is>
          <t>ED202280</t>
        </is>
      </c>
      <c r="B2223" s="56" t="n">
        <v>45416.53541666667</v>
      </c>
      <c r="C2223" t="inlineStr">
        <is>
          <t>Bluestone Memorial Hospital</t>
        </is>
      </c>
      <c r="D2223" t="n">
        <v>14</v>
      </c>
    </row>
    <row r="2224">
      <c r="A2224" t="inlineStr">
        <is>
          <t>ED202281</t>
        </is>
      </c>
      <c r="B2224" s="56" t="n">
        <v>45416.54861111111</v>
      </c>
      <c r="C2224" t="inlineStr">
        <is>
          <t>Bluestone Memorial Hospital</t>
        </is>
      </c>
      <c r="D2224" t="n">
        <v>74</v>
      </c>
    </row>
    <row r="2225">
      <c r="A2225" t="inlineStr">
        <is>
          <t>ED202282</t>
        </is>
      </c>
      <c r="B2225" s="56" t="n">
        <v>45416.54930555556</v>
      </c>
      <c r="C2225" t="inlineStr">
        <is>
          <t>Cedar Ridge Medical Center</t>
        </is>
      </c>
      <c r="D2225" t="n">
        <v>14</v>
      </c>
    </row>
    <row r="2226">
      <c r="A2226" t="inlineStr">
        <is>
          <t>ED202283</t>
        </is>
      </c>
      <c r="B2226" s="56" t="n">
        <v>45416.63194444445</v>
      </c>
      <c r="C2226" t="inlineStr">
        <is>
          <t>Bluestone Memorial Hospital</t>
        </is>
      </c>
      <c r="D2226" t="n">
        <v>174</v>
      </c>
    </row>
    <row r="2227">
      <c r="A2227" t="inlineStr">
        <is>
          <t>ED202284</t>
        </is>
      </c>
      <c r="B2227" s="56" t="n">
        <v>45416.66041666667</v>
      </c>
      <c r="C2227" t="inlineStr">
        <is>
          <t>Ashby Falls Community Hospital</t>
        </is>
      </c>
      <c r="D2227" t="n">
        <v>24</v>
      </c>
    </row>
    <row r="2228">
      <c r="A2228" t="inlineStr">
        <is>
          <t>ED202285</t>
        </is>
      </c>
      <c r="B2228" s="56" t="n">
        <v>45416.70138888889</v>
      </c>
      <c r="C2228" t="inlineStr">
        <is>
          <t>Cedar Ridge Medical Center</t>
        </is>
      </c>
      <c r="D2228" t="n">
        <v>64</v>
      </c>
    </row>
    <row r="2229">
      <c r="A2229" t="inlineStr">
        <is>
          <t>ED202286</t>
        </is>
      </c>
      <c r="B2229" s="56" t="n">
        <v>45416.87847222222</v>
      </c>
      <c r="C2229" t="inlineStr">
        <is>
          <t>Bluestone Memorial Hospital</t>
        </is>
      </c>
      <c r="D2229" t="n">
        <v>63</v>
      </c>
    </row>
    <row r="2230">
      <c r="A2230" t="inlineStr">
        <is>
          <t>ED202287</t>
        </is>
      </c>
      <c r="B2230" s="56" t="n">
        <v>45416.94236111111</v>
      </c>
      <c r="C2230" t="inlineStr">
        <is>
          <t>Ashby Falls Community Hospital</t>
        </is>
      </c>
      <c r="D2230" t="n">
        <v>78</v>
      </c>
    </row>
    <row r="2231">
      <c r="A2231" t="inlineStr">
        <is>
          <t>ED202288</t>
        </is>
      </c>
      <c r="B2231" s="56" t="n">
        <v>45416.95902777778</v>
      </c>
      <c r="C2231" t="inlineStr">
        <is>
          <t>Ashby Falls Community Hospital</t>
        </is>
      </c>
      <c r="D2231" t="n">
        <v>40</v>
      </c>
    </row>
    <row r="2232">
      <c r="A2232" t="inlineStr">
        <is>
          <t>ED202289</t>
        </is>
      </c>
      <c r="B2232" s="56" t="n">
        <v>45416.95902777778</v>
      </c>
      <c r="C2232" t="inlineStr">
        <is>
          <t>Ashby Falls Community Hospital</t>
        </is>
      </c>
      <c r="D2232" t="n">
        <v>57</v>
      </c>
    </row>
    <row r="2233">
      <c r="A2233" t="inlineStr">
        <is>
          <t>ED202290</t>
        </is>
      </c>
      <c r="B2233" s="56" t="n">
        <v>45417.00069444445</v>
      </c>
      <c r="C2233" t="inlineStr">
        <is>
          <t>Ashby Falls Community Hospital</t>
        </is>
      </c>
      <c r="D2233" t="n">
        <v>22</v>
      </c>
    </row>
    <row r="2234">
      <c r="A2234" t="inlineStr">
        <is>
          <t>ED202291</t>
        </is>
      </c>
      <c r="B2234" s="56" t="n">
        <v>45417.22083333333</v>
      </c>
      <c r="C2234" t="inlineStr">
        <is>
          <t>Ashby Falls Community Hospital</t>
        </is>
      </c>
      <c r="D2234" t="n">
        <v>15</v>
      </c>
    </row>
    <row r="2235">
      <c r="A2235" t="inlineStr">
        <is>
          <t>ED202292</t>
        </is>
      </c>
      <c r="B2235" s="56" t="n">
        <v>45417.28958333333</v>
      </c>
      <c r="C2235" t="inlineStr">
        <is>
          <t>Cedar Ridge Medical Center</t>
        </is>
      </c>
      <c r="D2235" t="n">
        <v>65</v>
      </c>
    </row>
    <row r="2236">
      <c r="A2236" t="inlineStr">
        <is>
          <t>ED202293</t>
        </is>
      </c>
      <c r="B2236" s="56" t="n">
        <v>45417.30208333334</v>
      </c>
      <c r="C2236" t="inlineStr">
        <is>
          <t>Bluestone Memorial Hospital</t>
        </is>
      </c>
      <c r="D2236" t="n">
        <v>23</v>
      </c>
    </row>
    <row r="2237">
      <c r="A2237" t="inlineStr">
        <is>
          <t>ED202294</t>
        </is>
      </c>
      <c r="B2237" s="56" t="n">
        <v>45417.31736111111</v>
      </c>
      <c r="C2237" t="inlineStr">
        <is>
          <t>Bluestone Memorial Hospital</t>
        </is>
      </c>
      <c r="D2237" t="n">
        <v>30</v>
      </c>
    </row>
    <row r="2238">
      <c r="A2238" t="inlineStr">
        <is>
          <t>ED202295</t>
        </is>
      </c>
      <c r="B2238" s="56" t="n">
        <v>45417.35902777778</v>
      </c>
      <c r="C2238" t="inlineStr">
        <is>
          <t>Bluestone Memorial Hospital</t>
        </is>
      </c>
      <c r="D2238" t="n">
        <v>33</v>
      </c>
    </row>
    <row r="2239">
      <c r="A2239" t="inlineStr">
        <is>
          <t>ED202296</t>
        </is>
      </c>
      <c r="B2239" s="56" t="n">
        <v>45417.43333333333</v>
      </c>
      <c r="C2239" t="inlineStr">
        <is>
          <t>Ashby Falls Community Hospital</t>
        </is>
      </c>
      <c r="D2239" t="n">
        <v>26</v>
      </c>
    </row>
    <row r="2240">
      <c r="A2240" t="inlineStr">
        <is>
          <t>ED202297</t>
        </is>
      </c>
      <c r="B2240" s="56" t="n">
        <v>45417.43402777778</v>
      </c>
      <c r="C2240" t="inlineStr">
        <is>
          <t>Bluestone Memorial Hospital</t>
        </is>
      </c>
      <c r="D2240" t="n">
        <v>17</v>
      </c>
    </row>
    <row r="2241">
      <c r="A2241" t="inlineStr">
        <is>
          <t>ED202298</t>
        </is>
      </c>
      <c r="B2241" s="56" t="n">
        <v>45417.5375</v>
      </c>
      <c r="C2241" t="inlineStr">
        <is>
          <t>Ashby Falls Community Hospital</t>
        </is>
      </c>
      <c r="D2241" t="n">
        <v>67</v>
      </c>
    </row>
    <row r="2242">
      <c r="A2242" t="inlineStr">
        <is>
          <t>ED202299</t>
        </is>
      </c>
      <c r="B2242" s="56" t="n">
        <v>45417.56736111111</v>
      </c>
      <c r="C2242" t="inlineStr">
        <is>
          <t>Bluestone Memorial Hospital</t>
        </is>
      </c>
      <c r="D2242" t="n">
        <v>38</v>
      </c>
    </row>
    <row r="2243">
      <c r="A2243" t="inlineStr">
        <is>
          <t>ED202300</t>
        </is>
      </c>
      <c r="B2243" s="56" t="n">
        <v>45417.625</v>
      </c>
      <c r="C2243" t="inlineStr">
        <is>
          <t>Cedar Ridge Medical Center</t>
        </is>
      </c>
      <c r="D2243" t="n">
        <v>67</v>
      </c>
    </row>
    <row r="2244">
      <c r="A2244" t="inlineStr">
        <is>
          <t>ED202301</t>
        </is>
      </c>
      <c r="B2244" s="56" t="n">
        <v>45417.66388888889</v>
      </c>
      <c r="C2244" t="inlineStr">
        <is>
          <t>Bluestone Memorial Hospital</t>
        </is>
      </c>
      <c r="D2244" t="n">
        <v>62</v>
      </c>
    </row>
    <row r="2245">
      <c r="A2245" t="inlineStr">
        <is>
          <t>ED202302</t>
        </is>
      </c>
      <c r="B2245" s="56" t="n">
        <v>45417.66458333333</v>
      </c>
      <c r="C2245" t="inlineStr">
        <is>
          <t>Ashby Falls Community Hospital</t>
        </is>
      </c>
      <c r="D2245" t="n">
        <v>26</v>
      </c>
    </row>
    <row r="2246">
      <c r="A2246" t="inlineStr">
        <is>
          <t>ED202303</t>
        </is>
      </c>
      <c r="B2246" s="56" t="n">
        <v>45417.69791666666</v>
      </c>
      <c r="C2246" t="inlineStr">
        <is>
          <t>Bluestone Memorial Hospital</t>
        </is>
      </c>
      <c r="D2246" t="n">
        <v>52</v>
      </c>
    </row>
    <row r="2247">
      <c r="A2247" t="inlineStr">
        <is>
          <t>ED202304</t>
        </is>
      </c>
      <c r="B2247" s="56" t="n">
        <v>45417.72152777778</v>
      </c>
      <c r="C2247" t="inlineStr">
        <is>
          <t>Bluestone Memorial Hospital</t>
        </is>
      </c>
      <c r="D2247" t="n">
        <v>21</v>
      </c>
    </row>
    <row r="2248">
      <c r="A2248" t="inlineStr">
        <is>
          <t>ED202305</t>
        </is>
      </c>
      <c r="B2248" s="56" t="n">
        <v>45417.78888888889</v>
      </c>
      <c r="C2248" t="inlineStr">
        <is>
          <t>Cedar Ridge Medical Center</t>
        </is>
      </c>
      <c r="D2248" t="n">
        <v>102</v>
      </c>
    </row>
    <row r="2249">
      <c r="A2249" t="inlineStr">
        <is>
          <t>ED202306</t>
        </is>
      </c>
      <c r="B2249" s="56" t="n">
        <v>45417.81111111111</v>
      </c>
      <c r="C2249" t="inlineStr">
        <is>
          <t>Bluestone Memorial Hospital</t>
        </is>
      </c>
      <c r="D2249" t="n">
        <v>57</v>
      </c>
    </row>
    <row r="2250">
      <c r="A2250" t="inlineStr">
        <is>
          <t>ED202307</t>
        </is>
      </c>
      <c r="B2250" s="56" t="n">
        <v>45417.96527777778</v>
      </c>
      <c r="C2250" t="inlineStr">
        <is>
          <t>Ashby Falls Community Hospital</t>
        </is>
      </c>
      <c r="D2250" t="n">
        <v>18</v>
      </c>
    </row>
    <row r="2251">
      <c r="A2251" t="inlineStr">
        <is>
          <t>ED202308</t>
        </is>
      </c>
      <c r="B2251" s="56" t="n">
        <v>45417.99513888889</v>
      </c>
      <c r="C2251" t="inlineStr">
        <is>
          <t>Bluestone Memorial Hospital</t>
        </is>
      </c>
      <c r="D2251" t="n">
        <v>27</v>
      </c>
    </row>
    <row r="2252">
      <c r="A2252" t="inlineStr">
        <is>
          <t>ED202309</t>
        </is>
      </c>
      <c r="B2252" s="56" t="n">
        <v>45418.02222222222</v>
      </c>
      <c r="C2252" t="inlineStr">
        <is>
          <t>Cedar Ridge Medical Center</t>
        </is>
      </c>
      <c r="D2252" t="n">
        <v>56</v>
      </c>
    </row>
    <row r="2253">
      <c r="A2253" t="inlineStr">
        <is>
          <t>ED202310</t>
        </is>
      </c>
      <c r="B2253" s="56" t="n">
        <v>45418.07569444444</v>
      </c>
      <c r="C2253" t="inlineStr">
        <is>
          <t>Bluestone Memorial Hospital</t>
        </is>
      </c>
      <c r="D2253" t="n">
        <v>21</v>
      </c>
    </row>
    <row r="2254">
      <c r="A2254" t="inlineStr">
        <is>
          <t>ED202311</t>
        </is>
      </c>
      <c r="B2254" s="56" t="n">
        <v>45418.07708333333</v>
      </c>
      <c r="C2254" t="inlineStr">
        <is>
          <t>Bluestone Memorial Hospital</t>
        </is>
      </c>
      <c r="D2254" t="n">
        <v>19</v>
      </c>
    </row>
    <row r="2255">
      <c r="A2255" t="inlineStr">
        <is>
          <t>ED202312</t>
        </is>
      </c>
      <c r="B2255" s="56" t="n">
        <v>45418.12777777778</v>
      </c>
      <c r="C2255" t="inlineStr">
        <is>
          <t>Bluestone Memorial Hospital</t>
        </is>
      </c>
      <c r="D2255" t="n">
        <v>20</v>
      </c>
    </row>
    <row r="2256">
      <c r="A2256" t="inlineStr">
        <is>
          <t>ED202313</t>
        </is>
      </c>
      <c r="B2256" s="56" t="n">
        <v>45418.16875</v>
      </c>
      <c r="C2256" t="inlineStr">
        <is>
          <t>Bluestone Memorial Hospital</t>
        </is>
      </c>
      <c r="D2256" t="n">
        <v>81</v>
      </c>
    </row>
    <row r="2257">
      <c r="A2257" t="inlineStr">
        <is>
          <t>ED202314</t>
        </is>
      </c>
      <c r="B2257" s="56" t="n">
        <v>45418.31736111111</v>
      </c>
      <c r="C2257" t="inlineStr">
        <is>
          <t>Bluestone Memorial Hospital</t>
        </is>
      </c>
      <c r="D2257" t="n">
        <v>65</v>
      </c>
    </row>
    <row r="2258">
      <c r="A2258" t="inlineStr">
        <is>
          <t>ED202315</t>
        </is>
      </c>
      <c r="B2258" s="56" t="n">
        <v>45418.3625</v>
      </c>
      <c r="C2258" t="inlineStr">
        <is>
          <t>Ashby Falls Community Hospital</t>
        </is>
      </c>
      <c r="D2258" t="n">
        <v>39</v>
      </c>
    </row>
    <row r="2259">
      <c r="A2259" t="inlineStr">
        <is>
          <t>ED202316</t>
        </is>
      </c>
      <c r="B2259" s="56" t="n">
        <v>45418.42708333334</v>
      </c>
      <c r="C2259" t="inlineStr">
        <is>
          <t>Cedar Ridge Medical Center</t>
        </is>
      </c>
      <c r="D2259" t="n">
        <v>84</v>
      </c>
    </row>
    <row r="2260">
      <c r="A2260" t="inlineStr">
        <is>
          <t>ED202317</t>
        </is>
      </c>
      <c r="B2260" s="56" t="n">
        <v>45418.45486111111</v>
      </c>
      <c r="C2260" t="inlineStr">
        <is>
          <t>Bluestone Memorial Hospital</t>
        </is>
      </c>
      <c r="D2260" t="n">
        <v>17</v>
      </c>
    </row>
    <row r="2261">
      <c r="A2261" t="inlineStr">
        <is>
          <t>ED202318</t>
        </is>
      </c>
      <c r="B2261" s="56" t="n">
        <v>45418.47430555556</v>
      </c>
      <c r="C2261" t="inlineStr">
        <is>
          <t>Bluestone Memorial Hospital</t>
        </is>
      </c>
      <c r="D2261" t="n">
        <v>117</v>
      </c>
    </row>
    <row r="2262">
      <c r="A2262" t="inlineStr">
        <is>
          <t>ED202320</t>
        </is>
      </c>
      <c r="B2262" s="56" t="n">
        <v>45418.61666666667</v>
      </c>
      <c r="C2262" t="inlineStr">
        <is>
          <t>Bluestone Memorial Hospital</t>
        </is>
      </c>
      <c r="D2262" t="n">
        <v>152</v>
      </c>
    </row>
    <row r="2263">
      <c r="A2263" t="inlineStr">
        <is>
          <t>ED202321</t>
        </is>
      </c>
      <c r="B2263" s="56" t="n">
        <v>45418.64444444444</v>
      </c>
      <c r="C2263" t="inlineStr">
        <is>
          <t>Cedar Ridge Medical Center</t>
        </is>
      </c>
      <c r="D2263" t="n">
        <v>98</v>
      </c>
    </row>
    <row r="2264">
      <c r="A2264" t="inlineStr">
        <is>
          <t>ED202322</t>
        </is>
      </c>
      <c r="B2264" s="56" t="n">
        <v>45418.65555555555</v>
      </c>
      <c r="C2264" t="inlineStr">
        <is>
          <t>Bluestone Memorial Hospital</t>
        </is>
      </c>
      <c r="D2264" t="n">
        <v>61</v>
      </c>
    </row>
    <row r="2265">
      <c r="A2265" t="inlineStr">
        <is>
          <t>ED202323</t>
        </is>
      </c>
      <c r="B2265" s="56" t="n">
        <v>45418.74444444444</v>
      </c>
      <c r="C2265" t="inlineStr">
        <is>
          <t>Bluestone Memorial Hospital</t>
        </is>
      </c>
      <c r="D2265" t="n">
        <v>44</v>
      </c>
    </row>
    <row r="2266">
      <c r="A2266" t="inlineStr">
        <is>
          <t>ED202324</t>
        </is>
      </c>
      <c r="B2266" s="56" t="n">
        <v>45418.83055555556</v>
      </c>
      <c r="C2266" t="inlineStr">
        <is>
          <t>Bluestone Memorial Hospital</t>
        </is>
      </c>
      <c r="D2266" t="n">
        <v>69</v>
      </c>
    </row>
    <row r="2267">
      <c r="A2267" t="inlineStr">
        <is>
          <t>ED202325</t>
        </is>
      </c>
      <c r="B2267" s="56" t="n">
        <v>45418.85138888889</v>
      </c>
      <c r="C2267" t="inlineStr">
        <is>
          <t>Bluestone Memorial Hospital</t>
        </is>
      </c>
      <c r="D2267" t="n">
        <v>19</v>
      </c>
    </row>
    <row r="2268">
      <c r="A2268" t="inlineStr">
        <is>
          <t>ED202326</t>
        </is>
      </c>
      <c r="B2268" s="56" t="n">
        <v>45419.18819444445</v>
      </c>
      <c r="C2268" t="inlineStr">
        <is>
          <t>Bluestone Memorial Hospital</t>
        </is>
      </c>
      <c r="D2268" t="n">
        <v>24</v>
      </c>
    </row>
    <row r="2269">
      <c r="A2269" t="inlineStr">
        <is>
          <t>ED202327</t>
        </is>
      </c>
      <c r="B2269" s="56" t="n">
        <v>45419.21736111111</v>
      </c>
      <c r="C2269" t="inlineStr">
        <is>
          <t>Bluestone Memorial Hospital</t>
        </is>
      </c>
      <c r="D2269" t="n">
        <v>11</v>
      </c>
    </row>
    <row r="2270">
      <c r="A2270" t="inlineStr">
        <is>
          <t>ED202328</t>
        </is>
      </c>
      <c r="B2270" s="56" t="n">
        <v>45419.53125</v>
      </c>
      <c r="C2270" t="inlineStr">
        <is>
          <t>Bluestone Memorial Hospital</t>
        </is>
      </c>
      <c r="D2270" t="n">
        <v>69</v>
      </c>
    </row>
    <row r="2271">
      <c r="A2271" t="inlineStr">
        <is>
          <t>ED202329</t>
        </is>
      </c>
      <c r="B2271" s="56" t="n">
        <v>45419.54444444444</v>
      </c>
      <c r="C2271" t="inlineStr">
        <is>
          <t>Bluestone Memorial Hospital</t>
        </is>
      </c>
      <c r="D2271" t="n">
        <v>81</v>
      </c>
    </row>
    <row r="2272">
      <c r="A2272" t="inlineStr">
        <is>
          <t>ED202330</t>
        </is>
      </c>
      <c r="B2272" s="56" t="n">
        <v>45419.60486111111</v>
      </c>
      <c r="C2272" t="inlineStr">
        <is>
          <t>Bluestone Memorial Hospital</t>
        </is>
      </c>
      <c r="D2272" t="n">
        <v>145</v>
      </c>
    </row>
    <row r="2273">
      <c r="A2273" t="inlineStr">
        <is>
          <t>ED202331</t>
        </is>
      </c>
      <c r="B2273" s="56" t="n">
        <v>45419.72569444445</v>
      </c>
      <c r="C2273" t="inlineStr">
        <is>
          <t>Bluestone Memorial Hospital</t>
        </is>
      </c>
      <c r="D2273" t="n">
        <v>10</v>
      </c>
    </row>
    <row r="2274">
      <c r="A2274" t="inlineStr">
        <is>
          <t>ED202332</t>
        </is>
      </c>
      <c r="B2274" s="56" t="n">
        <v>45419.73611111111</v>
      </c>
      <c r="C2274" t="inlineStr">
        <is>
          <t>Bluestone Memorial Hospital</t>
        </is>
      </c>
      <c r="D2274" t="n">
        <v>11</v>
      </c>
    </row>
    <row r="2275">
      <c r="A2275" t="inlineStr">
        <is>
          <t>ED202333</t>
        </is>
      </c>
      <c r="B2275" s="56" t="n">
        <v>45419.76041666666</v>
      </c>
      <c r="C2275" t="inlineStr">
        <is>
          <t>Bluestone Memorial Hospital</t>
        </is>
      </c>
      <c r="D2275" t="n">
        <v>45</v>
      </c>
    </row>
    <row r="2276">
      <c r="A2276" t="inlineStr">
        <is>
          <t>ED202334</t>
        </is>
      </c>
      <c r="B2276" s="56" t="n">
        <v>45420.14583333334</v>
      </c>
      <c r="C2276" t="inlineStr">
        <is>
          <t>Ashby Falls Community Hospital</t>
        </is>
      </c>
      <c r="D2276" t="n">
        <v>38</v>
      </c>
    </row>
    <row r="2277">
      <c r="A2277" t="inlineStr">
        <is>
          <t>ED202335</t>
        </is>
      </c>
      <c r="B2277" s="56" t="n">
        <v>45420.26388888889</v>
      </c>
      <c r="C2277" t="inlineStr">
        <is>
          <t>Bluestone Memorial Hospital</t>
        </is>
      </c>
      <c r="D2277" t="n">
        <v>48</v>
      </c>
    </row>
    <row r="2278">
      <c r="A2278" t="inlineStr">
        <is>
          <t>ED202336</t>
        </is>
      </c>
      <c r="B2278" s="56" t="n">
        <v>45420.32916666667</v>
      </c>
      <c r="C2278" t="inlineStr">
        <is>
          <t>Bluestone Memorial Hospital</t>
        </is>
      </c>
      <c r="D2278" t="n">
        <v>14</v>
      </c>
    </row>
    <row r="2279">
      <c r="A2279" t="inlineStr">
        <is>
          <t>ED202337</t>
        </is>
      </c>
      <c r="B2279" s="56" t="n">
        <v>45420.34583333333</v>
      </c>
      <c r="C2279" t="inlineStr">
        <is>
          <t>Bluestone Memorial Hospital</t>
        </is>
      </c>
      <c r="D2279" t="n">
        <v>119</v>
      </c>
    </row>
    <row r="2280">
      <c r="A2280" t="inlineStr">
        <is>
          <t>ED202338</t>
        </is>
      </c>
      <c r="B2280" s="56" t="n">
        <v>45420.3625</v>
      </c>
      <c r="C2280" t="inlineStr">
        <is>
          <t>Bluestone Memorial Hospital</t>
        </is>
      </c>
      <c r="D2280" t="n">
        <v>49</v>
      </c>
    </row>
    <row r="2281">
      <c r="A2281" t="inlineStr">
        <is>
          <t>ED202339</t>
        </is>
      </c>
      <c r="B2281" s="56" t="n">
        <v>45420.39583333334</v>
      </c>
      <c r="C2281" t="inlineStr">
        <is>
          <t>Bluestone Memorial Hospital</t>
        </is>
      </c>
      <c r="D2281" t="n">
        <v>61</v>
      </c>
    </row>
    <row r="2282">
      <c r="A2282" t="inlineStr">
        <is>
          <t>ED202340</t>
        </is>
      </c>
      <c r="B2282" s="56" t="n">
        <v>45420.47916666666</v>
      </c>
      <c r="C2282" t="inlineStr">
        <is>
          <t>Bluestone Memorial Hospital</t>
        </is>
      </c>
      <c r="D2282" t="n">
        <v>25</v>
      </c>
    </row>
    <row r="2283">
      <c r="A2283" t="inlineStr">
        <is>
          <t>ED202341</t>
        </is>
      </c>
      <c r="B2283" s="56" t="n">
        <v>45420.52152777778</v>
      </c>
      <c r="C2283" t="inlineStr">
        <is>
          <t>Ashby Falls Community Hospital</t>
        </is>
      </c>
      <c r="D2283" t="n">
        <v>73</v>
      </c>
    </row>
    <row r="2284">
      <c r="A2284" t="inlineStr">
        <is>
          <t>ED202342</t>
        </is>
      </c>
      <c r="B2284" s="56" t="n">
        <v>45420.57916666667</v>
      </c>
      <c r="C2284" t="inlineStr">
        <is>
          <t>Bluestone Memorial Hospital</t>
        </is>
      </c>
      <c r="D2284" t="n">
        <v>21</v>
      </c>
    </row>
    <row r="2285">
      <c r="A2285" t="inlineStr">
        <is>
          <t>ED202343</t>
        </is>
      </c>
      <c r="B2285" s="56" t="n">
        <v>45420.60486111111</v>
      </c>
      <c r="C2285" t="inlineStr">
        <is>
          <t>Bluestone Memorial Hospital</t>
        </is>
      </c>
      <c r="D2285" t="n">
        <v>179</v>
      </c>
    </row>
    <row r="2286">
      <c r="A2286" t="inlineStr">
        <is>
          <t>ED202344</t>
        </is>
      </c>
      <c r="B2286" s="56" t="n">
        <v>45420.73333333333</v>
      </c>
      <c r="C2286" t="inlineStr">
        <is>
          <t>Bluestone Memorial Hospital</t>
        </is>
      </c>
      <c r="D2286" t="n">
        <v>1</v>
      </c>
    </row>
    <row r="2287">
      <c r="A2287" t="inlineStr">
        <is>
          <t>ED202345</t>
        </is>
      </c>
      <c r="B2287" s="56" t="n">
        <v>45420.77013888889</v>
      </c>
      <c r="C2287" t="inlineStr">
        <is>
          <t>Bluestone Memorial Hospital</t>
        </is>
      </c>
      <c r="D2287" t="n">
        <v>86</v>
      </c>
    </row>
    <row r="2288">
      <c r="A2288" t="inlineStr">
        <is>
          <t>ED202346</t>
        </is>
      </c>
      <c r="B2288" s="56" t="n">
        <v>45420.77222222222</v>
      </c>
      <c r="C2288" t="inlineStr">
        <is>
          <t>Bluestone Memorial Hospital</t>
        </is>
      </c>
      <c r="D2288" t="n">
        <v>16</v>
      </c>
    </row>
    <row r="2289">
      <c r="A2289" t="inlineStr">
        <is>
          <t>ED202347</t>
        </is>
      </c>
      <c r="B2289" s="56" t="n">
        <v>45420.8125</v>
      </c>
      <c r="C2289" t="inlineStr">
        <is>
          <t>Cedar Ridge Medical Center</t>
        </is>
      </c>
      <c r="D2289" t="n">
        <v>27</v>
      </c>
    </row>
    <row r="2290">
      <c r="A2290" t="inlineStr">
        <is>
          <t>ED202348</t>
        </is>
      </c>
      <c r="B2290" s="56" t="n">
        <v>45420.86041666667</v>
      </c>
      <c r="C2290" t="inlineStr">
        <is>
          <t>Bluestone Memorial Hospital</t>
        </is>
      </c>
      <c r="D2290" t="n">
        <v>21</v>
      </c>
    </row>
    <row r="2291">
      <c r="A2291" t="inlineStr">
        <is>
          <t>ED202349</t>
        </is>
      </c>
      <c r="B2291" s="56" t="n">
        <v>45420.93611111111</v>
      </c>
      <c r="C2291" t="inlineStr">
        <is>
          <t>Bluestone Memorial Hospital</t>
        </is>
      </c>
      <c r="D2291" t="n">
        <v>52</v>
      </c>
    </row>
    <row r="2292">
      <c r="A2292" t="inlineStr">
        <is>
          <t>ED202350</t>
        </is>
      </c>
      <c r="B2292" s="56" t="n">
        <v>45420.97708333333</v>
      </c>
      <c r="C2292" t="inlineStr">
        <is>
          <t>Bluestone Memorial Hospital</t>
        </is>
      </c>
      <c r="D2292" t="n">
        <v>39</v>
      </c>
    </row>
    <row r="2293">
      <c r="A2293" t="inlineStr">
        <is>
          <t>ED202351</t>
        </is>
      </c>
      <c r="B2293" s="56" t="n">
        <v>45421.09166666667</v>
      </c>
      <c r="C2293" t="inlineStr">
        <is>
          <t>Ashby Falls Community Hospital</t>
        </is>
      </c>
      <c r="D2293" t="n">
        <v>37</v>
      </c>
    </row>
    <row r="2294">
      <c r="A2294" t="inlineStr">
        <is>
          <t>ED202352</t>
        </is>
      </c>
      <c r="B2294" s="56" t="n">
        <v>45421.31805555556</v>
      </c>
      <c r="C2294" t="inlineStr">
        <is>
          <t>Cedar Ridge Medical Center</t>
        </is>
      </c>
      <c r="D2294" t="n">
        <v>9</v>
      </c>
    </row>
    <row r="2295">
      <c r="A2295" t="inlineStr">
        <is>
          <t>ED202353</t>
        </is>
      </c>
      <c r="B2295" s="56" t="n">
        <v>45421.55347222222</v>
      </c>
      <c r="C2295" t="inlineStr">
        <is>
          <t>Bluestone Memorial Hospital</t>
        </is>
      </c>
      <c r="D2295" t="n">
        <v>102</v>
      </c>
    </row>
    <row r="2296">
      <c r="A2296" t="inlineStr">
        <is>
          <t>ED202355</t>
        </is>
      </c>
      <c r="B2296" s="56" t="n">
        <v>45421.67916666667</v>
      </c>
      <c r="C2296" t="inlineStr">
        <is>
          <t>Bluestone Memorial Hospital</t>
        </is>
      </c>
      <c r="D2296" t="n">
        <v>24</v>
      </c>
    </row>
    <row r="2297">
      <c r="A2297" t="inlineStr">
        <is>
          <t>ED202356</t>
        </is>
      </c>
      <c r="B2297" s="56" t="n">
        <v>45421.74166666667</v>
      </c>
      <c r="C2297" t="inlineStr">
        <is>
          <t>Bluestone Memorial Hospital</t>
        </is>
      </c>
      <c r="D2297" t="n">
        <v>36</v>
      </c>
    </row>
    <row r="2298">
      <c r="A2298" t="inlineStr">
        <is>
          <t>ED202357</t>
        </is>
      </c>
      <c r="B2298" s="56" t="n">
        <v>45421.78055555555</v>
      </c>
      <c r="C2298" t="inlineStr">
        <is>
          <t>Ashby Falls Community Hospital</t>
        </is>
      </c>
      <c r="D2298" t="n">
        <v>27</v>
      </c>
    </row>
    <row r="2299">
      <c r="A2299" t="inlineStr">
        <is>
          <t>ED202358</t>
        </is>
      </c>
      <c r="B2299" s="56" t="n">
        <v>45421.83958333333</v>
      </c>
      <c r="C2299" t="inlineStr">
        <is>
          <t>Bluestone Memorial Hospital</t>
        </is>
      </c>
      <c r="D2299" t="n">
        <v>46</v>
      </c>
    </row>
    <row r="2300">
      <c r="A2300" t="inlineStr">
        <is>
          <t>ED202359</t>
        </is>
      </c>
      <c r="B2300" s="56" t="n">
        <v>45421.84027777778</v>
      </c>
      <c r="C2300" t="inlineStr">
        <is>
          <t>Cedar Ridge Medical Center</t>
        </is>
      </c>
      <c r="D2300" t="n">
        <v>11</v>
      </c>
    </row>
    <row r="2301">
      <c r="A2301" t="inlineStr">
        <is>
          <t>ED202360</t>
        </is>
      </c>
      <c r="B2301" s="56" t="n">
        <v>45421.84583333333</v>
      </c>
      <c r="C2301" t="inlineStr">
        <is>
          <t>Bluestone Memorial Hospital</t>
        </is>
      </c>
      <c r="D2301" t="n">
        <v>26</v>
      </c>
    </row>
    <row r="2302">
      <c r="A2302" t="inlineStr">
        <is>
          <t>ED202361</t>
        </is>
      </c>
      <c r="B2302" s="56" t="n">
        <v>45421.84930555556</v>
      </c>
      <c r="C2302" t="inlineStr">
        <is>
          <t>Ashby Falls Community Hospital</t>
        </is>
      </c>
      <c r="D2302" t="n">
        <v>48</v>
      </c>
    </row>
    <row r="2303">
      <c r="A2303" t="inlineStr">
        <is>
          <t>ED202362</t>
        </is>
      </c>
      <c r="B2303" s="56" t="n">
        <v>45421.85138888889</v>
      </c>
      <c r="C2303" t="inlineStr">
        <is>
          <t>Bluestone Memorial Hospital</t>
        </is>
      </c>
      <c r="D2303" t="n">
        <v>10</v>
      </c>
    </row>
    <row r="2304">
      <c r="A2304" t="inlineStr">
        <is>
          <t>ED202363</t>
        </is>
      </c>
      <c r="B2304" s="56" t="n">
        <v>45422.13680555556</v>
      </c>
      <c r="C2304" t="inlineStr">
        <is>
          <t>Bluestone Memorial Hospital</t>
        </is>
      </c>
      <c r="D2304" t="n">
        <v>9</v>
      </c>
    </row>
    <row r="2305">
      <c r="A2305" t="inlineStr">
        <is>
          <t>ED202364</t>
        </is>
      </c>
      <c r="B2305" s="56" t="n">
        <v>45422.25138888889</v>
      </c>
      <c r="C2305" t="inlineStr">
        <is>
          <t>Bluestone Memorial Hospital</t>
        </is>
      </c>
      <c r="D2305" t="n">
        <v>35</v>
      </c>
    </row>
    <row r="2306">
      <c r="A2306" t="inlineStr">
        <is>
          <t>ED202365</t>
        </is>
      </c>
      <c r="B2306" s="56" t="n">
        <v>45422.27430555555</v>
      </c>
      <c r="C2306" t="inlineStr">
        <is>
          <t>Ashby Falls Community Hospital</t>
        </is>
      </c>
      <c r="D2306" t="n">
        <v>14</v>
      </c>
    </row>
    <row r="2307">
      <c r="A2307" t="inlineStr">
        <is>
          <t>ED202366</t>
        </is>
      </c>
      <c r="B2307" s="56" t="n">
        <v>45422.31388888889</v>
      </c>
      <c r="C2307" t="inlineStr">
        <is>
          <t>Bluestone Memorial Hospital</t>
        </is>
      </c>
      <c r="D2307" t="n">
        <v>39</v>
      </c>
    </row>
    <row r="2308">
      <c r="A2308" t="inlineStr">
        <is>
          <t>ED202367</t>
        </is>
      </c>
      <c r="B2308" s="56" t="n">
        <v>45422.35833333333</v>
      </c>
      <c r="C2308" t="inlineStr">
        <is>
          <t>Bluestone Memorial Hospital</t>
        </is>
      </c>
      <c r="D2308" t="n">
        <v>29</v>
      </c>
    </row>
    <row r="2309">
      <c r="A2309" t="inlineStr">
        <is>
          <t>ED202368</t>
        </is>
      </c>
      <c r="B2309" s="56" t="n">
        <v>45422.40625</v>
      </c>
      <c r="C2309" t="inlineStr">
        <is>
          <t>Cedar Ridge Medical Center</t>
        </is>
      </c>
      <c r="D2309" t="n">
        <v>84</v>
      </c>
    </row>
    <row r="2310">
      <c r="A2310" t="inlineStr">
        <is>
          <t>ED202369</t>
        </is>
      </c>
      <c r="B2310" s="56" t="n">
        <v>45422.42430555556</v>
      </c>
      <c r="C2310" t="inlineStr">
        <is>
          <t>Cedar Ridge Medical Center</t>
        </is>
      </c>
      <c r="D2310" t="n">
        <v>77</v>
      </c>
    </row>
    <row r="2311">
      <c r="A2311" t="inlineStr">
        <is>
          <t>ED202370</t>
        </is>
      </c>
      <c r="B2311" s="56" t="n">
        <v>45422.44444444445</v>
      </c>
      <c r="C2311" t="inlineStr">
        <is>
          <t>Bluestone Memorial Hospital</t>
        </is>
      </c>
      <c r="D2311" t="n">
        <v>26</v>
      </c>
    </row>
    <row r="2312">
      <c r="A2312" t="inlineStr">
        <is>
          <t>ED202371</t>
        </is>
      </c>
      <c r="B2312" s="56" t="n">
        <v>45422.45833333334</v>
      </c>
      <c r="C2312" t="inlineStr">
        <is>
          <t>Bluestone Memorial Hospital</t>
        </is>
      </c>
      <c r="D2312" t="n">
        <v>60</v>
      </c>
    </row>
    <row r="2313">
      <c r="A2313" t="inlineStr">
        <is>
          <t>ED202372</t>
        </is>
      </c>
      <c r="B2313" s="56" t="n">
        <v>45422.48333333333</v>
      </c>
      <c r="C2313" t="inlineStr">
        <is>
          <t>Bluestone Memorial Hospital</t>
        </is>
      </c>
      <c r="D2313" t="n">
        <v>4</v>
      </c>
    </row>
    <row r="2314">
      <c r="A2314" t="inlineStr">
        <is>
          <t>ED202373</t>
        </is>
      </c>
      <c r="B2314" s="56" t="n">
        <v>45422.49166666667</v>
      </c>
      <c r="C2314" t="inlineStr">
        <is>
          <t>Bluestone Memorial Hospital</t>
        </is>
      </c>
      <c r="D2314" t="n">
        <v>153</v>
      </c>
    </row>
    <row r="2315">
      <c r="A2315" t="inlineStr">
        <is>
          <t>ED202374</t>
        </is>
      </c>
      <c r="B2315" s="56" t="n">
        <v>45422.49861111111</v>
      </c>
      <c r="C2315" t="inlineStr">
        <is>
          <t>Bluestone Memorial Hospital</t>
        </is>
      </c>
      <c r="D2315" t="n">
        <v>2</v>
      </c>
    </row>
    <row r="2316">
      <c r="A2316" t="inlineStr">
        <is>
          <t>ED202375</t>
        </is>
      </c>
      <c r="B2316" s="56" t="n">
        <v>45422.52361111111</v>
      </c>
      <c r="C2316" t="inlineStr">
        <is>
          <t>Ashby Falls Community Hospital</t>
        </is>
      </c>
      <c r="D2316" t="n">
        <v>55</v>
      </c>
    </row>
    <row r="2317">
      <c r="A2317" t="inlineStr">
        <is>
          <t>ED202376</t>
        </is>
      </c>
      <c r="B2317" s="56" t="n">
        <v>45422.58055555556</v>
      </c>
      <c r="C2317" t="inlineStr">
        <is>
          <t>Ashby Falls Community Hospital</t>
        </is>
      </c>
      <c r="D2317" t="n">
        <v>37</v>
      </c>
    </row>
    <row r="2318">
      <c r="A2318" t="inlineStr">
        <is>
          <t>ED202377</t>
        </is>
      </c>
      <c r="B2318" s="56" t="n">
        <v>45422.69444444445</v>
      </c>
      <c r="C2318" t="inlineStr">
        <is>
          <t>Cedar Ridge Medical Center</t>
        </is>
      </c>
      <c r="D2318" t="n">
        <v>40</v>
      </c>
    </row>
    <row r="2319">
      <c r="A2319" t="inlineStr">
        <is>
          <t>ED202378</t>
        </is>
      </c>
      <c r="B2319" s="56" t="n">
        <v>45422.73055555556</v>
      </c>
      <c r="C2319" t="inlineStr">
        <is>
          <t>Cedar Ridge Medical Center</t>
        </is>
      </c>
      <c r="D2319" t="n">
        <v>31</v>
      </c>
    </row>
    <row r="2320">
      <c r="A2320" t="inlineStr">
        <is>
          <t>ED202379</t>
        </is>
      </c>
      <c r="B2320" s="56" t="n">
        <v>45422.75416666667</v>
      </c>
      <c r="C2320" t="inlineStr">
        <is>
          <t>Ashby Falls Community Hospital</t>
        </is>
      </c>
      <c r="D2320" t="n">
        <v>32</v>
      </c>
    </row>
    <row r="2321">
      <c r="A2321" t="inlineStr">
        <is>
          <t>ED202380</t>
        </is>
      </c>
      <c r="B2321" s="56" t="n">
        <v>45422.86180555556</v>
      </c>
      <c r="C2321" t="inlineStr">
        <is>
          <t>Bluestone Memorial Hospital</t>
        </is>
      </c>
      <c r="D2321" t="n">
        <v>101</v>
      </c>
    </row>
    <row r="2322">
      <c r="A2322" t="inlineStr">
        <is>
          <t>ED202381</t>
        </is>
      </c>
      <c r="B2322" s="56" t="n">
        <v>45422.86875</v>
      </c>
      <c r="C2322" t="inlineStr">
        <is>
          <t>Bluestone Memorial Hospital</t>
        </is>
      </c>
      <c r="D2322" t="n">
        <v>70</v>
      </c>
    </row>
    <row r="2323">
      <c r="A2323" t="inlineStr">
        <is>
          <t>ED202382</t>
        </is>
      </c>
      <c r="B2323" s="56" t="n">
        <v>45423.27638888889</v>
      </c>
      <c r="C2323" t="inlineStr">
        <is>
          <t>Bluestone Memorial Hospital</t>
        </is>
      </c>
      <c r="D2323" t="n">
        <v>8</v>
      </c>
    </row>
    <row r="2324">
      <c r="A2324" t="inlineStr">
        <is>
          <t>ED202383</t>
        </is>
      </c>
      <c r="B2324" s="56" t="n">
        <v>45423.3125</v>
      </c>
      <c r="C2324" t="inlineStr">
        <is>
          <t>Ashby Falls Community Hospital</t>
        </is>
      </c>
      <c r="D2324" t="n">
        <v>88</v>
      </c>
    </row>
    <row r="2325">
      <c r="A2325" t="inlineStr">
        <is>
          <t>ED202384</t>
        </is>
      </c>
      <c r="B2325" s="56" t="n">
        <v>45423.32847222222</v>
      </c>
      <c r="C2325" t="inlineStr">
        <is>
          <t>Bluestone Memorial Hospital</t>
        </is>
      </c>
      <c r="D2325" t="n">
        <v>77</v>
      </c>
    </row>
    <row r="2326">
      <c r="A2326" t="inlineStr">
        <is>
          <t>ED202385</t>
        </is>
      </c>
      <c r="B2326" s="56" t="n">
        <v>45423.33055555556</v>
      </c>
      <c r="C2326" t="inlineStr">
        <is>
          <t>Bluestone Memorial Hospital</t>
        </is>
      </c>
      <c r="D2326" t="n">
        <v>91</v>
      </c>
    </row>
    <row r="2327">
      <c r="A2327" t="inlineStr">
        <is>
          <t>ED202386</t>
        </is>
      </c>
      <c r="B2327" s="56" t="n">
        <v>45423.38055555556</v>
      </c>
      <c r="C2327" t="inlineStr">
        <is>
          <t>Cedar Ridge Medical Center</t>
        </is>
      </c>
      <c r="D2327" t="n">
        <v>28</v>
      </c>
    </row>
    <row r="2328">
      <c r="A2328" t="inlineStr">
        <is>
          <t>ED202387</t>
        </is>
      </c>
      <c r="B2328" s="56" t="n">
        <v>45423.41041666667</v>
      </c>
      <c r="C2328" t="inlineStr">
        <is>
          <t>Bluestone Memorial Hospital</t>
        </is>
      </c>
      <c r="D2328" t="n">
        <v>23</v>
      </c>
    </row>
    <row r="2329">
      <c r="A2329" t="inlineStr">
        <is>
          <t>ED202388</t>
        </is>
      </c>
      <c r="B2329" s="56" t="n">
        <v>45423.49305555555</v>
      </c>
      <c r="C2329" t="inlineStr">
        <is>
          <t>Bluestone Memorial Hospital</t>
        </is>
      </c>
      <c r="D2329" t="n">
        <v>63</v>
      </c>
    </row>
    <row r="2330">
      <c r="A2330" t="inlineStr">
        <is>
          <t>ED202389</t>
        </is>
      </c>
      <c r="B2330" s="56" t="n">
        <v>45423.68333333333</v>
      </c>
      <c r="C2330" t="inlineStr">
        <is>
          <t>Bluestone Memorial Hospital</t>
        </is>
      </c>
      <c r="D2330" t="n">
        <v>114</v>
      </c>
    </row>
    <row r="2331">
      <c r="A2331" t="inlineStr">
        <is>
          <t>ED202390</t>
        </is>
      </c>
      <c r="B2331" s="56" t="n">
        <v>45423.70208333333</v>
      </c>
      <c r="C2331" t="inlineStr">
        <is>
          <t>Bluestone Memorial Hospital</t>
        </is>
      </c>
      <c r="D2331" t="n">
        <v>29</v>
      </c>
    </row>
    <row r="2332">
      <c r="A2332" t="inlineStr">
        <is>
          <t>ED202391</t>
        </is>
      </c>
      <c r="B2332" s="56" t="n">
        <v>45423.71875</v>
      </c>
      <c r="C2332" t="inlineStr">
        <is>
          <t>Cedar Ridge Medical Center</t>
        </is>
      </c>
      <c r="D2332" t="n">
        <v>71</v>
      </c>
    </row>
    <row r="2333">
      <c r="A2333" t="inlineStr">
        <is>
          <t>ED202392</t>
        </is>
      </c>
      <c r="B2333" s="56" t="n">
        <v>45423.72361111111</v>
      </c>
      <c r="C2333" t="inlineStr">
        <is>
          <t>Bluestone Memorial Hospital</t>
        </is>
      </c>
      <c r="D2333" t="n">
        <v>26</v>
      </c>
    </row>
    <row r="2334">
      <c r="A2334" t="inlineStr">
        <is>
          <t>ED202393</t>
        </is>
      </c>
      <c r="B2334" s="56" t="n">
        <v>45423.73472222222</v>
      </c>
      <c r="C2334" t="inlineStr">
        <is>
          <t>Cedar Ridge Medical Center</t>
        </is>
      </c>
      <c r="D2334" t="n">
        <v>13</v>
      </c>
    </row>
    <row r="2335">
      <c r="A2335" t="inlineStr">
        <is>
          <t>ED202394</t>
        </is>
      </c>
      <c r="B2335" s="56" t="n">
        <v>45423.87361111111</v>
      </c>
      <c r="C2335" t="inlineStr">
        <is>
          <t>Bluestone Memorial Hospital</t>
        </is>
      </c>
      <c r="D2335" t="n">
        <v>47</v>
      </c>
    </row>
    <row r="2336">
      <c r="A2336" t="inlineStr">
        <is>
          <t>ED202395</t>
        </is>
      </c>
      <c r="B2336" s="56" t="n">
        <v>45423.88402777778</v>
      </c>
      <c r="C2336" t="inlineStr">
        <is>
          <t>Cedar Ridge Medical Center</t>
        </is>
      </c>
      <c r="D2336" t="n">
        <v>3</v>
      </c>
    </row>
    <row r="2337">
      <c r="A2337" t="inlineStr">
        <is>
          <t>ED202396</t>
        </is>
      </c>
      <c r="B2337" s="56" t="n">
        <v>45423.97916666666</v>
      </c>
      <c r="C2337" t="inlineStr">
        <is>
          <t>Ashby Falls Community Hospital</t>
        </is>
      </c>
      <c r="D2337" t="n">
        <v>8</v>
      </c>
    </row>
    <row r="2338">
      <c r="A2338" t="inlineStr">
        <is>
          <t>ED202397</t>
        </is>
      </c>
      <c r="B2338" s="56" t="n">
        <v>45424.15902777778</v>
      </c>
      <c r="C2338" t="inlineStr">
        <is>
          <t>Bluestone Memorial Hospital</t>
        </is>
      </c>
      <c r="D2338" t="n">
        <v>15</v>
      </c>
    </row>
    <row r="2339">
      <c r="A2339" t="inlineStr">
        <is>
          <t>ED202398</t>
        </is>
      </c>
      <c r="B2339" s="56" t="n">
        <v>45424.37847222222</v>
      </c>
      <c r="C2339" t="inlineStr">
        <is>
          <t>Ashby Falls Community Hospital</t>
        </is>
      </c>
      <c r="D2339" t="n">
        <v>110</v>
      </c>
    </row>
    <row r="2340">
      <c r="A2340" t="inlineStr">
        <is>
          <t>ED202399</t>
        </is>
      </c>
      <c r="B2340" s="56" t="n">
        <v>45424.42361111111</v>
      </c>
      <c r="C2340" t="inlineStr">
        <is>
          <t>Ashby Falls Community Hospital</t>
        </is>
      </c>
      <c r="D2340" t="n">
        <v>59</v>
      </c>
    </row>
    <row r="2341">
      <c r="A2341" t="inlineStr">
        <is>
          <t>ED202400</t>
        </is>
      </c>
      <c r="B2341" s="56" t="n">
        <v>45424.43888888889</v>
      </c>
      <c r="C2341" t="inlineStr">
        <is>
          <t>Bluestone Memorial Hospital</t>
        </is>
      </c>
      <c r="D2341" t="n">
        <v>48</v>
      </c>
    </row>
    <row r="2342">
      <c r="A2342" t="inlineStr">
        <is>
          <t>ED202401</t>
        </is>
      </c>
      <c r="B2342" s="56" t="n">
        <v>45424.55555555555</v>
      </c>
      <c r="C2342" t="inlineStr">
        <is>
          <t>Bluestone Memorial Hospital</t>
        </is>
      </c>
      <c r="D2342" t="n">
        <v>16</v>
      </c>
    </row>
    <row r="2343">
      <c r="A2343" t="inlineStr">
        <is>
          <t>ED202402</t>
        </is>
      </c>
      <c r="B2343" s="56" t="n">
        <v>45424.59236111111</v>
      </c>
      <c r="C2343" t="inlineStr">
        <is>
          <t>Bluestone Memorial Hospital</t>
        </is>
      </c>
      <c r="D2343" t="n">
        <v>55</v>
      </c>
    </row>
    <row r="2344">
      <c r="A2344" t="inlineStr">
        <is>
          <t>ED202403</t>
        </is>
      </c>
      <c r="B2344" s="56" t="n">
        <v>45424.60069444445</v>
      </c>
      <c r="C2344" t="inlineStr">
        <is>
          <t>Ashby Falls Community Hospital</t>
        </is>
      </c>
      <c r="D2344" t="n">
        <v>15</v>
      </c>
    </row>
    <row r="2345">
      <c r="A2345" t="inlineStr">
        <is>
          <t>ED202404</t>
        </is>
      </c>
      <c r="B2345" s="56" t="n">
        <v>45424.78888888889</v>
      </c>
      <c r="C2345" t="inlineStr">
        <is>
          <t>Bluestone Memorial Hospital</t>
        </is>
      </c>
      <c r="D2345" t="n">
        <v>20</v>
      </c>
    </row>
    <row r="2346">
      <c r="A2346" t="inlineStr">
        <is>
          <t>ED202405</t>
        </is>
      </c>
      <c r="B2346" s="56" t="n">
        <v>45425.25486111111</v>
      </c>
      <c r="C2346" t="inlineStr">
        <is>
          <t>Ashby Falls Community Hospital</t>
        </is>
      </c>
      <c r="D2346" t="n">
        <v>58</v>
      </c>
    </row>
    <row r="2347">
      <c r="A2347" t="inlineStr">
        <is>
          <t>ED202406</t>
        </is>
      </c>
      <c r="B2347" s="56" t="n">
        <v>45425.29722222222</v>
      </c>
      <c r="C2347" t="inlineStr">
        <is>
          <t>Cedar Ridge Medical Center</t>
        </is>
      </c>
      <c r="D2347" t="n">
        <v>54</v>
      </c>
    </row>
    <row r="2348">
      <c r="A2348" t="inlineStr">
        <is>
          <t>ED202407</t>
        </is>
      </c>
      <c r="B2348" s="56" t="n">
        <v>45425.29930555556</v>
      </c>
      <c r="C2348" t="inlineStr">
        <is>
          <t>Bluestone Memorial Hospital</t>
        </is>
      </c>
      <c r="D2348" t="n">
        <v>86</v>
      </c>
    </row>
    <row r="2349">
      <c r="A2349" t="inlineStr">
        <is>
          <t>ED202409</t>
        </is>
      </c>
      <c r="B2349" s="56" t="n">
        <v>45425.37222222222</v>
      </c>
      <c r="C2349" t="inlineStr">
        <is>
          <t>Bluestone Memorial Hospital</t>
        </is>
      </c>
      <c r="D2349" t="n">
        <v>84</v>
      </c>
    </row>
    <row r="2350">
      <c r="A2350" t="inlineStr">
        <is>
          <t>ED202410</t>
        </is>
      </c>
      <c r="B2350" s="56" t="n">
        <v>45425.37291666667</v>
      </c>
      <c r="C2350" t="inlineStr">
        <is>
          <t>Cedar Ridge Medical Center</t>
        </is>
      </c>
      <c r="D2350" t="n">
        <v>34</v>
      </c>
    </row>
    <row r="2351">
      <c r="A2351" t="inlineStr">
        <is>
          <t>ED202411</t>
        </is>
      </c>
      <c r="B2351" s="56" t="n">
        <v>45425.41388888889</v>
      </c>
      <c r="C2351" t="inlineStr">
        <is>
          <t>Bluestone Memorial Hospital</t>
        </is>
      </c>
      <c r="D2351" t="n">
        <v>8</v>
      </c>
    </row>
    <row r="2352">
      <c r="A2352" t="inlineStr">
        <is>
          <t>ED202412</t>
        </is>
      </c>
      <c r="B2352" s="56" t="n">
        <v>45425.42986111111</v>
      </c>
      <c r="C2352" t="inlineStr">
        <is>
          <t>Cedar Ridge Medical Center</t>
        </is>
      </c>
      <c r="D2352" t="n">
        <v>65</v>
      </c>
    </row>
    <row r="2353">
      <c r="A2353" t="inlineStr">
        <is>
          <t>ED202413</t>
        </is>
      </c>
      <c r="B2353" s="56" t="n">
        <v>45425.44861111111</v>
      </c>
      <c r="C2353" t="inlineStr">
        <is>
          <t>Bluestone Memorial Hospital</t>
        </is>
      </c>
      <c r="D2353" t="n">
        <v>10</v>
      </c>
    </row>
    <row r="2354">
      <c r="A2354" t="inlineStr">
        <is>
          <t>ED202414</t>
        </is>
      </c>
      <c r="B2354" s="56" t="n">
        <v>45425.53055555555</v>
      </c>
      <c r="C2354" t="inlineStr">
        <is>
          <t>Bluestone Memorial Hospital</t>
        </is>
      </c>
      <c r="D2354" t="n">
        <v>3</v>
      </c>
    </row>
    <row r="2355">
      <c r="A2355" t="inlineStr">
        <is>
          <t>ED202415</t>
        </is>
      </c>
      <c r="B2355" s="56" t="n">
        <v>45425.6125</v>
      </c>
      <c r="C2355" t="inlineStr">
        <is>
          <t>Cedar Ridge Medical Center</t>
        </is>
      </c>
      <c r="D2355" t="n">
        <v>24</v>
      </c>
    </row>
    <row r="2356">
      <c r="A2356" t="inlineStr">
        <is>
          <t>ED202416</t>
        </is>
      </c>
      <c r="B2356" s="56" t="n">
        <v>45425.71736111111</v>
      </c>
      <c r="C2356" t="inlineStr">
        <is>
          <t>Bluestone Memorial Hospital</t>
        </is>
      </c>
      <c r="D2356" t="n">
        <v>36</v>
      </c>
    </row>
    <row r="2357">
      <c r="A2357" t="inlineStr">
        <is>
          <t>ED202417</t>
        </is>
      </c>
      <c r="B2357" s="56" t="n">
        <v>45425.72847222222</v>
      </c>
      <c r="C2357" t="inlineStr">
        <is>
          <t>Cedar Ridge Medical Center</t>
        </is>
      </c>
      <c r="D2357" t="n">
        <v>14</v>
      </c>
    </row>
    <row r="2358">
      <c r="A2358" t="inlineStr">
        <is>
          <t>ED202418</t>
        </is>
      </c>
      <c r="B2358" s="56" t="n">
        <v>45425.78194444445</v>
      </c>
      <c r="C2358" t="inlineStr">
        <is>
          <t>Bluestone Memorial Hospital</t>
        </is>
      </c>
      <c r="D2358" t="n">
        <v>19</v>
      </c>
    </row>
    <row r="2359">
      <c r="A2359" t="inlineStr">
        <is>
          <t>ED202419</t>
        </is>
      </c>
      <c r="B2359" s="56" t="n">
        <v>45425.79513888889</v>
      </c>
      <c r="C2359" t="inlineStr">
        <is>
          <t>Ashby Falls Community Hospital</t>
        </is>
      </c>
      <c r="D2359" t="n">
        <v>18</v>
      </c>
    </row>
    <row r="2360">
      <c r="A2360" t="inlineStr">
        <is>
          <t>ED202420</t>
        </is>
      </c>
      <c r="B2360" s="56" t="n">
        <v>45425.89791666667</v>
      </c>
      <c r="C2360" t="inlineStr">
        <is>
          <t>Bluestone Memorial Hospital</t>
        </is>
      </c>
      <c r="D2360" t="n">
        <v>31</v>
      </c>
    </row>
    <row r="2361">
      <c r="A2361" t="inlineStr">
        <is>
          <t>ED202421</t>
        </is>
      </c>
      <c r="B2361" s="56" t="n">
        <v>45425.90347222222</v>
      </c>
      <c r="C2361" t="inlineStr">
        <is>
          <t>Bluestone Memorial Hospital</t>
        </is>
      </c>
      <c r="D2361" t="n">
        <v>21</v>
      </c>
    </row>
    <row r="2362">
      <c r="A2362" t="inlineStr">
        <is>
          <t>ED202422</t>
        </is>
      </c>
      <c r="B2362" s="56" t="n">
        <v>45426.09513888889</v>
      </c>
      <c r="C2362" t="inlineStr">
        <is>
          <t>Bluestone Memorial Hospital</t>
        </is>
      </c>
      <c r="D2362" t="n">
        <v>26</v>
      </c>
    </row>
    <row r="2363">
      <c r="A2363" t="inlineStr">
        <is>
          <t>ED202423</t>
        </is>
      </c>
      <c r="B2363" s="56" t="n">
        <v>45426.15763888889</v>
      </c>
      <c r="C2363" t="inlineStr">
        <is>
          <t>Bluestone Memorial Hospital</t>
        </is>
      </c>
      <c r="D2363" t="n">
        <v>43</v>
      </c>
    </row>
    <row r="2364">
      <c r="A2364" t="inlineStr">
        <is>
          <t>ED202424</t>
        </is>
      </c>
      <c r="B2364" s="56" t="n">
        <v>45426.30138888889</v>
      </c>
      <c r="C2364" t="inlineStr">
        <is>
          <t>Ashby Falls Community Hospital</t>
        </is>
      </c>
      <c r="D2364" t="n">
        <v>4</v>
      </c>
    </row>
    <row r="2365">
      <c r="A2365" t="inlineStr">
        <is>
          <t>ED202425</t>
        </is>
      </c>
      <c r="B2365" s="56" t="n">
        <v>45426.40486111111</v>
      </c>
      <c r="C2365" t="inlineStr">
        <is>
          <t>Bluestone Memorial Hospital</t>
        </is>
      </c>
      <c r="D2365" t="n">
        <v>29</v>
      </c>
    </row>
    <row r="2366">
      <c r="A2366" t="inlineStr">
        <is>
          <t>ED202426</t>
        </is>
      </c>
      <c r="B2366" s="56" t="n">
        <v>45426.44861111111</v>
      </c>
      <c r="C2366" t="inlineStr">
        <is>
          <t>Cedar Ridge Medical Center</t>
        </is>
      </c>
      <c r="D2366" t="n">
        <v>58</v>
      </c>
    </row>
    <row r="2367">
      <c r="A2367" t="inlineStr">
        <is>
          <t>ED202427</t>
        </is>
      </c>
      <c r="B2367" s="56" t="n">
        <v>45426.45694444444</v>
      </c>
      <c r="C2367" t="inlineStr">
        <is>
          <t>Ashby Falls Community Hospital</t>
        </is>
      </c>
      <c r="D2367" t="n">
        <v>23</v>
      </c>
    </row>
    <row r="2368">
      <c r="A2368" t="inlineStr">
        <is>
          <t>ED202428</t>
        </is>
      </c>
      <c r="B2368" s="56" t="n">
        <v>45426.53888888889</v>
      </c>
      <c r="C2368" t="inlineStr">
        <is>
          <t>Bluestone Memorial Hospital</t>
        </is>
      </c>
      <c r="D2368" t="n">
        <v>55</v>
      </c>
    </row>
    <row r="2369">
      <c r="A2369" t="inlineStr">
        <is>
          <t>ED202429</t>
        </is>
      </c>
      <c r="B2369" s="56" t="n">
        <v>45426.55486111111</v>
      </c>
      <c r="C2369" t="inlineStr">
        <is>
          <t>Bluestone Memorial Hospital</t>
        </is>
      </c>
      <c r="D2369" t="n">
        <v>78</v>
      </c>
    </row>
    <row r="2370">
      <c r="A2370" t="inlineStr">
        <is>
          <t>ED202430</t>
        </is>
      </c>
      <c r="B2370" s="56" t="n">
        <v>45426.63680555556</v>
      </c>
      <c r="C2370" t="inlineStr">
        <is>
          <t>Bluestone Memorial Hospital</t>
        </is>
      </c>
      <c r="D2370" t="n">
        <v>69</v>
      </c>
    </row>
    <row r="2371">
      <c r="A2371" t="inlineStr">
        <is>
          <t>ED202431</t>
        </is>
      </c>
      <c r="B2371" s="56" t="n">
        <v>45426.65</v>
      </c>
      <c r="C2371" t="inlineStr">
        <is>
          <t>Bluestone Memorial Hospital</t>
        </is>
      </c>
      <c r="D2371" t="n">
        <v>90</v>
      </c>
    </row>
    <row r="2372">
      <c r="A2372" t="inlineStr">
        <is>
          <t>ED202432</t>
        </is>
      </c>
      <c r="B2372" s="56" t="n">
        <v>45426.67361111111</v>
      </c>
      <c r="C2372" t="inlineStr">
        <is>
          <t>Bluestone Memorial Hospital</t>
        </is>
      </c>
      <c r="D2372" t="n">
        <v>79</v>
      </c>
    </row>
    <row r="2373">
      <c r="A2373" t="inlineStr">
        <is>
          <t>ED202433</t>
        </is>
      </c>
      <c r="B2373" s="56" t="n">
        <v>45426.78333333333</v>
      </c>
      <c r="C2373" t="inlineStr">
        <is>
          <t>Bluestone Memorial Hospital</t>
        </is>
      </c>
      <c r="D2373" t="n">
        <v>86</v>
      </c>
    </row>
    <row r="2374">
      <c r="A2374" t="inlineStr">
        <is>
          <t>ED202434</t>
        </is>
      </c>
      <c r="B2374" s="56" t="n">
        <v>45426.81875</v>
      </c>
      <c r="C2374" t="inlineStr">
        <is>
          <t>Bluestone Memorial Hospital</t>
        </is>
      </c>
      <c r="D2374" t="n">
        <v>95</v>
      </c>
    </row>
    <row r="2375">
      <c r="A2375" t="inlineStr">
        <is>
          <t>ED202435</t>
        </is>
      </c>
      <c r="B2375" s="56" t="n">
        <v>45426.94722222222</v>
      </c>
      <c r="C2375" t="inlineStr">
        <is>
          <t>Ashby Falls Community Hospital</t>
        </is>
      </c>
      <c r="D2375" t="n">
        <v>30</v>
      </c>
    </row>
    <row r="2376">
      <c r="A2376" t="inlineStr">
        <is>
          <t>ED202436</t>
        </is>
      </c>
      <c r="B2376" s="56" t="n">
        <v>45427.03680555556</v>
      </c>
      <c r="C2376" t="inlineStr">
        <is>
          <t>Bluestone Memorial Hospital</t>
        </is>
      </c>
      <c r="D2376" t="n">
        <v>26</v>
      </c>
    </row>
    <row r="2377">
      <c r="A2377" t="inlineStr">
        <is>
          <t>ED202437</t>
        </is>
      </c>
      <c r="B2377" s="56" t="n">
        <v>45427.06944444445</v>
      </c>
      <c r="C2377" t="inlineStr">
        <is>
          <t>Bluestone Memorial Hospital</t>
        </is>
      </c>
      <c r="D2377" t="n">
        <v>14</v>
      </c>
    </row>
    <row r="2378">
      <c r="A2378" t="inlineStr">
        <is>
          <t>ED202438</t>
        </is>
      </c>
      <c r="B2378" s="56" t="n">
        <v>45427.10902777778</v>
      </c>
      <c r="C2378" t="inlineStr">
        <is>
          <t>Bluestone Memorial Hospital</t>
        </is>
      </c>
      <c r="D2378" t="n">
        <v>27</v>
      </c>
    </row>
    <row r="2379">
      <c r="A2379" t="inlineStr">
        <is>
          <t>ED202439</t>
        </is>
      </c>
      <c r="B2379" s="56" t="n">
        <v>45427.38611111111</v>
      </c>
      <c r="C2379" t="inlineStr">
        <is>
          <t>Ashby Falls Community Hospital</t>
        </is>
      </c>
      <c r="D2379" t="n">
        <v>18</v>
      </c>
    </row>
    <row r="2380">
      <c r="A2380" t="inlineStr">
        <is>
          <t>ED202440</t>
        </is>
      </c>
      <c r="B2380" s="56" t="n">
        <v>45427.39027777778</v>
      </c>
      <c r="C2380" t="inlineStr">
        <is>
          <t>Bluestone Memorial Hospital</t>
        </is>
      </c>
      <c r="D2380" t="n">
        <v>16</v>
      </c>
    </row>
    <row r="2381">
      <c r="A2381" t="inlineStr">
        <is>
          <t>ED202441</t>
        </is>
      </c>
      <c r="B2381" s="56" t="n">
        <v>45427.47152777778</v>
      </c>
      <c r="C2381" t="inlineStr">
        <is>
          <t>Bluestone Memorial Hospital</t>
        </is>
      </c>
      <c r="D2381" t="n">
        <v>19</v>
      </c>
    </row>
    <row r="2382">
      <c r="A2382" t="inlineStr">
        <is>
          <t>ED202442</t>
        </is>
      </c>
      <c r="B2382" s="56" t="n">
        <v>45427.47291666667</v>
      </c>
      <c r="C2382" t="inlineStr">
        <is>
          <t>Bluestone Memorial Hospital</t>
        </is>
      </c>
      <c r="D2382" t="n">
        <v>61</v>
      </c>
    </row>
    <row r="2383">
      <c r="A2383" t="inlineStr">
        <is>
          <t>ED202443</t>
        </is>
      </c>
      <c r="B2383" s="56" t="n">
        <v>45427.49930555555</v>
      </c>
      <c r="C2383" t="inlineStr">
        <is>
          <t>Bluestone Memorial Hospital</t>
        </is>
      </c>
      <c r="D2383" t="n">
        <v>46</v>
      </c>
    </row>
    <row r="2384">
      <c r="A2384" t="inlineStr">
        <is>
          <t>ED202444</t>
        </is>
      </c>
      <c r="B2384" s="56" t="n">
        <v>45427.54097222222</v>
      </c>
      <c r="C2384" t="inlineStr">
        <is>
          <t>Ashby Falls Community Hospital</t>
        </is>
      </c>
      <c r="D2384" t="n">
        <v>21</v>
      </c>
    </row>
    <row r="2385">
      <c r="A2385" t="inlineStr">
        <is>
          <t>ED202445</t>
        </is>
      </c>
      <c r="B2385" s="56" t="n">
        <v>45427.57569444444</v>
      </c>
      <c r="C2385" t="inlineStr">
        <is>
          <t>Bluestone Memorial Hospital</t>
        </is>
      </c>
      <c r="D2385" t="n">
        <v>40</v>
      </c>
    </row>
    <row r="2386">
      <c r="A2386" t="inlineStr">
        <is>
          <t>ED202446</t>
        </is>
      </c>
      <c r="B2386" s="56" t="n">
        <v>45427.67222222222</v>
      </c>
      <c r="C2386" t="inlineStr">
        <is>
          <t>Cedar Ridge Medical Center</t>
        </is>
      </c>
      <c r="D2386" t="n">
        <v>46</v>
      </c>
    </row>
    <row r="2387">
      <c r="A2387" t="inlineStr">
        <is>
          <t>ED202447</t>
        </is>
      </c>
      <c r="B2387" s="56" t="n">
        <v>45427.79166666666</v>
      </c>
      <c r="C2387" t="inlineStr">
        <is>
          <t>Bluestone Memorial Hospital</t>
        </is>
      </c>
      <c r="D2387" t="n">
        <v>6</v>
      </c>
    </row>
    <row r="2388">
      <c r="A2388" t="inlineStr">
        <is>
          <t>ED202448</t>
        </is>
      </c>
      <c r="B2388" s="56" t="n">
        <v>45427.92222222222</v>
      </c>
      <c r="C2388" t="inlineStr">
        <is>
          <t>Bluestone Memorial Hospital</t>
        </is>
      </c>
      <c r="D2388" t="n">
        <v>43</v>
      </c>
    </row>
    <row r="2389">
      <c r="A2389" t="inlineStr">
        <is>
          <t>ED202449</t>
        </is>
      </c>
      <c r="B2389" s="56" t="n">
        <v>45428.04791666667</v>
      </c>
      <c r="C2389" t="inlineStr">
        <is>
          <t>Bluestone Memorial Hospital</t>
        </is>
      </c>
      <c r="D2389" t="n">
        <v>21</v>
      </c>
    </row>
    <row r="2390">
      <c r="A2390" t="inlineStr">
        <is>
          <t>ED202450</t>
        </is>
      </c>
      <c r="B2390" s="56" t="n">
        <v>45428.24097222222</v>
      </c>
      <c r="C2390" t="inlineStr">
        <is>
          <t>Bluestone Memorial Hospital</t>
        </is>
      </c>
      <c r="D2390" t="n">
        <v>28</v>
      </c>
    </row>
    <row r="2391">
      <c r="A2391" t="inlineStr">
        <is>
          <t>ED202451</t>
        </is>
      </c>
      <c r="B2391" s="56" t="n">
        <v>45428.25486111111</v>
      </c>
      <c r="C2391" t="inlineStr">
        <is>
          <t>Bluestone Memorial Hospital</t>
        </is>
      </c>
      <c r="D2391" t="n">
        <v>35</v>
      </c>
    </row>
    <row r="2392">
      <c r="A2392" t="inlineStr">
        <is>
          <t>ED202452</t>
        </is>
      </c>
      <c r="B2392" s="56" t="n">
        <v>45428.28541666667</v>
      </c>
      <c r="C2392" t="inlineStr">
        <is>
          <t>Bluestone Memorial Hospital</t>
        </is>
      </c>
      <c r="D2392" t="n">
        <v>79</v>
      </c>
    </row>
    <row r="2393">
      <c r="A2393" t="inlineStr">
        <is>
          <t>ED202453</t>
        </is>
      </c>
      <c r="B2393" s="56" t="n">
        <v>45428.29930555556</v>
      </c>
      <c r="C2393" t="inlineStr">
        <is>
          <t>Bluestone Memorial Hospital</t>
        </is>
      </c>
      <c r="D2393" t="n">
        <v>40</v>
      </c>
    </row>
    <row r="2394">
      <c r="A2394" t="inlineStr">
        <is>
          <t>ED202454</t>
        </is>
      </c>
      <c r="B2394" s="56" t="n">
        <v>45428.37013888889</v>
      </c>
      <c r="C2394" t="inlineStr">
        <is>
          <t>Bluestone Memorial Hospital</t>
        </is>
      </c>
      <c r="D2394" t="n">
        <v>18</v>
      </c>
    </row>
    <row r="2395">
      <c r="A2395" t="inlineStr">
        <is>
          <t>ED202455</t>
        </is>
      </c>
      <c r="B2395" s="56" t="n">
        <v>45428.39930555555</v>
      </c>
      <c r="C2395" t="inlineStr">
        <is>
          <t>Bluestone Memorial Hospital</t>
        </is>
      </c>
      <c r="D2395" t="n">
        <v>56</v>
      </c>
    </row>
    <row r="2396">
      <c r="A2396" t="inlineStr">
        <is>
          <t>ED202456</t>
        </is>
      </c>
      <c r="B2396" s="56" t="n">
        <v>45428.475</v>
      </c>
      <c r="C2396" t="inlineStr">
        <is>
          <t>Bluestone Memorial Hospital</t>
        </is>
      </c>
      <c r="D2396" t="n">
        <v>64</v>
      </c>
    </row>
    <row r="2397">
      <c r="A2397" t="inlineStr">
        <is>
          <t>ED202457</t>
        </is>
      </c>
      <c r="B2397" s="56" t="n">
        <v>45428.49652777778</v>
      </c>
      <c r="C2397" t="inlineStr">
        <is>
          <t>Bluestone Memorial Hospital</t>
        </is>
      </c>
      <c r="D2397" t="n">
        <v>23</v>
      </c>
    </row>
    <row r="2398">
      <c r="A2398" t="inlineStr">
        <is>
          <t>ED202458</t>
        </is>
      </c>
      <c r="B2398" s="56" t="n">
        <v>45428.50625</v>
      </c>
      <c r="C2398" t="inlineStr">
        <is>
          <t>Bluestone Memorial Hospital</t>
        </is>
      </c>
      <c r="D2398" t="n">
        <v>17</v>
      </c>
    </row>
    <row r="2399">
      <c r="A2399" t="inlineStr">
        <is>
          <t>ED202459</t>
        </is>
      </c>
      <c r="B2399" s="56" t="n">
        <v>45428.55486111111</v>
      </c>
      <c r="C2399" t="inlineStr">
        <is>
          <t>Bluestone Memorial Hospital</t>
        </is>
      </c>
      <c r="D2399" t="n">
        <v>12</v>
      </c>
    </row>
    <row r="2400">
      <c r="A2400" t="inlineStr">
        <is>
          <t>ED202460</t>
        </is>
      </c>
      <c r="B2400" s="56" t="n">
        <v>45428.57708333333</v>
      </c>
      <c r="C2400" t="inlineStr">
        <is>
          <t>Ashby Falls Community Hospital</t>
        </is>
      </c>
      <c r="D2400" t="n">
        <v>32</v>
      </c>
    </row>
    <row r="2401">
      <c r="A2401" t="inlineStr">
        <is>
          <t>ED202461</t>
        </is>
      </c>
      <c r="B2401" s="56" t="n">
        <v>45428.6375</v>
      </c>
      <c r="C2401" t="inlineStr">
        <is>
          <t>Ashby Falls Community Hospital</t>
        </is>
      </c>
      <c r="D2401" t="n">
        <v>98</v>
      </c>
    </row>
    <row r="2402">
      <c r="A2402" t="inlineStr">
        <is>
          <t>ED202462</t>
        </is>
      </c>
      <c r="B2402" s="56" t="n">
        <v>45428.66597222222</v>
      </c>
      <c r="C2402" t="inlineStr">
        <is>
          <t>Bluestone Memorial Hospital</t>
        </is>
      </c>
      <c r="D2402" t="n">
        <v>87</v>
      </c>
    </row>
    <row r="2403">
      <c r="A2403" t="inlineStr">
        <is>
          <t>ED202463</t>
        </is>
      </c>
      <c r="B2403" s="56" t="n">
        <v>45428.66944444444</v>
      </c>
      <c r="C2403" t="inlineStr">
        <is>
          <t>Bluestone Memorial Hospital</t>
        </is>
      </c>
      <c r="D2403" t="n">
        <v>13</v>
      </c>
    </row>
    <row r="2404">
      <c r="A2404" t="inlineStr">
        <is>
          <t>ED202464</t>
        </is>
      </c>
      <c r="B2404" s="56" t="n">
        <v>45428.70694444444</v>
      </c>
      <c r="C2404" t="inlineStr">
        <is>
          <t>Bluestone Memorial Hospital</t>
        </is>
      </c>
      <c r="D2404" t="n">
        <v>34</v>
      </c>
    </row>
    <row r="2405">
      <c r="A2405" t="inlineStr">
        <is>
          <t>ED202465</t>
        </is>
      </c>
      <c r="B2405" s="56" t="n">
        <v>45428.86875</v>
      </c>
      <c r="C2405" t="inlineStr">
        <is>
          <t>Bluestone Memorial Hospital</t>
        </is>
      </c>
      <c r="D2405" t="n">
        <v>29</v>
      </c>
    </row>
    <row r="2406">
      <c r="A2406" t="inlineStr">
        <is>
          <t>ED202466</t>
        </is>
      </c>
      <c r="B2406" s="56" t="n">
        <v>45428.97222222222</v>
      </c>
      <c r="C2406" t="inlineStr">
        <is>
          <t>Bluestone Memorial Hospital</t>
        </is>
      </c>
      <c r="D2406" t="n">
        <v>22</v>
      </c>
    </row>
    <row r="2407">
      <c r="A2407" t="inlineStr">
        <is>
          <t>ED202467</t>
        </is>
      </c>
      <c r="B2407" s="56" t="n">
        <v>45429.03541666667</v>
      </c>
      <c r="C2407" t="inlineStr">
        <is>
          <t>Bluestone Memorial Hospital</t>
        </is>
      </c>
      <c r="D2407" t="n">
        <v>11</v>
      </c>
    </row>
    <row r="2408">
      <c r="A2408" t="inlineStr">
        <is>
          <t>ED202468</t>
        </is>
      </c>
      <c r="B2408" s="56" t="n">
        <v>45429.27638888889</v>
      </c>
      <c r="C2408" t="inlineStr">
        <is>
          <t>Bluestone Memorial Hospital</t>
        </is>
      </c>
      <c r="D2408" t="n">
        <v>20</v>
      </c>
    </row>
    <row r="2409">
      <c r="A2409" t="inlineStr">
        <is>
          <t>ED202469</t>
        </is>
      </c>
      <c r="B2409" s="56" t="n">
        <v>45429.38472222222</v>
      </c>
      <c r="C2409" t="inlineStr">
        <is>
          <t>Ashby Falls Community Hospital</t>
        </is>
      </c>
      <c r="D2409" t="n">
        <v>8</v>
      </c>
    </row>
    <row r="2410">
      <c r="A2410" t="inlineStr">
        <is>
          <t>ED202470</t>
        </is>
      </c>
      <c r="B2410" s="56" t="n">
        <v>45429.39444444444</v>
      </c>
      <c r="C2410" t="inlineStr">
        <is>
          <t>Cedar Ridge Medical Center</t>
        </is>
      </c>
      <c r="D2410" t="n">
        <v>37</v>
      </c>
    </row>
    <row r="2411">
      <c r="A2411" t="inlineStr">
        <is>
          <t>ED202471</t>
        </is>
      </c>
      <c r="B2411" s="56" t="n">
        <v>45429.47638888889</v>
      </c>
      <c r="C2411" t="inlineStr">
        <is>
          <t>Cedar Ridge Medical Center</t>
        </is>
      </c>
      <c r="D2411" t="n">
        <v>34</v>
      </c>
    </row>
    <row r="2412">
      <c r="A2412" t="inlineStr">
        <is>
          <t>ED202472</t>
        </is>
      </c>
      <c r="B2412" s="56" t="n">
        <v>45429.48611111111</v>
      </c>
      <c r="C2412" t="inlineStr">
        <is>
          <t>Ashby Falls Community Hospital</t>
        </is>
      </c>
      <c r="D2412" t="n">
        <v>120</v>
      </c>
    </row>
    <row r="2413">
      <c r="A2413" t="inlineStr">
        <is>
          <t>ED202473</t>
        </is>
      </c>
      <c r="B2413" s="56" t="n">
        <v>45429.51180555556</v>
      </c>
      <c r="C2413" t="inlineStr">
        <is>
          <t>Bluestone Memorial Hospital</t>
        </is>
      </c>
      <c r="D2413" t="n">
        <v>30</v>
      </c>
    </row>
    <row r="2414">
      <c r="A2414" t="inlineStr">
        <is>
          <t>ED202474</t>
        </is>
      </c>
      <c r="B2414" s="56" t="n">
        <v>45429.57708333333</v>
      </c>
      <c r="C2414" t="inlineStr">
        <is>
          <t>Cedar Ridge Medical Center</t>
        </is>
      </c>
      <c r="D2414" t="n">
        <v>37</v>
      </c>
    </row>
    <row r="2415">
      <c r="A2415" t="inlineStr">
        <is>
          <t>ED202475</t>
        </is>
      </c>
      <c r="B2415" s="56" t="n">
        <v>45429.61527777778</v>
      </c>
      <c r="C2415" t="inlineStr">
        <is>
          <t>Bluestone Memorial Hospital</t>
        </is>
      </c>
      <c r="D2415" t="n">
        <v>28</v>
      </c>
    </row>
    <row r="2416">
      <c r="A2416" t="inlineStr">
        <is>
          <t>ED202476</t>
        </is>
      </c>
      <c r="B2416" s="56" t="n">
        <v>45429.63333333333</v>
      </c>
      <c r="C2416" t="inlineStr">
        <is>
          <t>Bluestone Memorial Hospital</t>
        </is>
      </c>
      <c r="D2416" t="n">
        <v>53</v>
      </c>
    </row>
    <row r="2417">
      <c r="A2417" t="inlineStr">
        <is>
          <t>ED202477</t>
        </is>
      </c>
      <c r="B2417" s="56" t="n">
        <v>45429.65416666667</v>
      </c>
      <c r="C2417" t="inlineStr">
        <is>
          <t>Bluestone Memorial Hospital</t>
        </is>
      </c>
      <c r="D2417" t="n">
        <v>62</v>
      </c>
    </row>
    <row r="2418">
      <c r="A2418" t="inlineStr">
        <is>
          <t>ED202478</t>
        </is>
      </c>
      <c r="B2418" s="56" t="n">
        <v>45429.67083333333</v>
      </c>
      <c r="C2418" t="inlineStr">
        <is>
          <t>Cedar Ridge Medical Center</t>
        </is>
      </c>
      <c r="D2418" t="n">
        <v>32</v>
      </c>
    </row>
    <row r="2419">
      <c r="A2419" t="inlineStr">
        <is>
          <t>ED202479</t>
        </is>
      </c>
      <c r="B2419" s="56" t="n">
        <v>45429.74930555555</v>
      </c>
      <c r="C2419" t="inlineStr">
        <is>
          <t>Bluestone Memorial Hospital</t>
        </is>
      </c>
      <c r="D2419" t="n">
        <v>13</v>
      </c>
    </row>
    <row r="2420">
      <c r="A2420" t="inlineStr">
        <is>
          <t>ED202480</t>
        </is>
      </c>
      <c r="B2420" s="56" t="n">
        <v>45429.775</v>
      </c>
      <c r="C2420" t="inlineStr">
        <is>
          <t>Cedar Ridge Medical Center</t>
        </is>
      </c>
      <c r="D2420" t="n">
        <v>31</v>
      </c>
    </row>
    <row r="2421">
      <c r="A2421" t="inlineStr">
        <is>
          <t>ED202481</t>
        </is>
      </c>
      <c r="B2421" s="56" t="n">
        <v>45429.79444444444</v>
      </c>
      <c r="C2421" t="inlineStr">
        <is>
          <t>Bluestone Memorial Hospital</t>
        </is>
      </c>
      <c r="D2421" t="n">
        <v>13</v>
      </c>
    </row>
    <row r="2422">
      <c r="A2422" t="inlineStr">
        <is>
          <t>ED202482</t>
        </is>
      </c>
      <c r="B2422" s="56" t="n">
        <v>45429.8</v>
      </c>
      <c r="C2422" t="inlineStr">
        <is>
          <t>Bluestone Memorial Hospital</t>
        </is>
      </c>
      <c r="D2422" t="n">
        <v>46</v>
      </c>
    </row>
    <row r="2423">
      <c r="A2423" t="inlineStr">
        <is>
          <t>ED202483</t>
        </is>
      </c>
      <c r="B2423" s="56" t="n">
        <v>45429.84513888889</v>
      </c>
      <c r="C2423" t="inlineStr">
        <is>
          <t>Bluestone Memorial Hospital</t>
        </is>
      </c>
      <c r="D2423" t="n">
        <v>25</v>
      </c>
    </row>
    <row r="2424">
      <c r="A2424" t="inlineStr">
        <is>
          <t>ED202484</t>
        </is>
      </c>
      <c r="B2424" s="56" t="n">
        <v>45429.85486111111</v>
      </c>
      <c r="C2424" t="inlineStr">
        <is>
          <t>Bluestone Memorial Hospital</t>
        </is>
      </c>
      <c r="D2424" t="n">
        <v>26</v>
      </c>
    </row>
    <row r="2425">
      <c r="A2425" t="inlineStr">
        <is>
          <t>ED202485</t>
        </is>
      </c>
      <c r="B2425" s="56" t="n">
        <v>45429.87777777778</v>
      </c>
      <c r="C2425" t="inlineStr">
        <is>
          <t>Bluestone Memorial Hospital</t>
        </is>
      </c>
      <c r="D2425" t="n">
        <v>31</v>
      </c>
    </row>
    <row r="2426">
      <c r="A2426" t="inlineStr">
        <is>
          <t>ED202486</t>
        </is>
      </c>
      <c r="B2426" s="56" t="n">
        <v>45429.88055555556</v>
      </c>
      <c r="C2426" t="inlineStr">
        <is>
          <t>Bluestone Memorial Hospital</t>
        </is>
      </c>
      <c r="D2426" t="n">
        <v>85</v>
      </c>
    </row>
    <row r="2427">
      <c r="A2427" t="inlineStr">
        <is>
          <t>ED202487</t>
        </is>
      </c>
      <c r="B2427" s="56" t="n">
        <v>45429.88125</v>
      </c>
      <c r="C2427" t="inlineStr">
        <is>
          <t>Cedar Ridge Medical Center</t>
        </is>
      </c>
      <c r="D2427" t="n">
        <v>21</v>
      </c>
    </row>
    <row r="2428">
      <c r="A2428" t="inlineStr">
        <is>
          <t>ED202488</t>
        </is>
      </c>
      <c r="B2428" s="56" t="n">
        <v>45429.96805555555</v>
      </c>
      <c r="C2428" t="inlineStr">
        <is>
          <t>Bluestone Memorial Hospital</t>
        </is>
      </c>
      <c r="D2428" t="n">
        <v>24</v>
      </c>
    </row>
    <row r="2429">
      <c r="A2429" t="inlineStr">
        <is>
          <t>ED202489</t>
        </is>
      </c>
      <c r="B2429" s="56" t="n">
        <v>45430.04097222222</v>
      </c>
      <c r="C2429" t="inlineStr">
        <is>
          <t>Bluestone Memorial Hospital</t>
        </is>
      </c>
      <c r="D2429" t="n">
        <v>32</v>
      </c>
    </row>
    <row r="2430">
      <c r="A2430" t="inlineStr">
        <is>
          <t>ED202490</t>
        </is>
      </c>
      <c r="B2430" s="56" t="n">
        <v>45430.20069444444</v>
      </c>
      <c r="C2430" t="inlineStr">
        <is>
          <t>Bluestone Memorial Hospital</t>
        </is>
      </c>
      <c r="D2430" t="n">
        <v>33</v>
      </c>
    </row>
    <row r="2431">
      <c r="A2431" t="inlineStr">
        <is>
          <t>ED202491</t>
        </is>
      </c>
      <c r="B2431" s="56" t="n">
        <v>45430.32361111111</v>
      </c>
      <c r="C2431" t="inlineStr">
        <is>
          <t>Bluestone Memorial Hospital</t>
        </is>
      </c>
      <c r="D2431" t="n">
        <v>9</v>
      </c>
    </row>
    <row r="2432">
      <c r="A2432" t="inlineStr">
        <is>
          <t>ED202492</t>
        </is>
      </c>
      <c r="B2432" s="56" t="n">
        <v>45430.37152777778</v>
      </c>
      <c r="C2432" t="inlineStr">
        <is>
          <t>Bluestone Memorial Hospital</t>
        </is>
      </c>
      <c r="D2432" t="n">
        <v>36</v>
      </c>
    </row>
    <row r="2433">
      <c r="A2433" t="inlineStr">
        <is>
          <t>ED202493</t>
        </is>
      </c>
      <c r="B2433" s="56" t="n">
        <v>45430.48680555556</v>
      </c>
      <c r="C2433" t="inlineStr">
        <is>
          <t>Bluestone Memorial Hospital</t>
        </is>
      </c>
      <c r="D2433" t="n">
        <v>21</v>
      </c>
    </row>
    <row r="2434">
      <c r="A2434" t="inlineStr">
        <is>
          <t>ED202494</t>
        </is>
      </c>
      <c r="B2434" s="56" t="n">
        <v>45430.52777777778</v>
      </c>
      <c r="C2434" t="inlineStr">
        <is>
          <t>Bluestone Memorial Hospital</t>
        </is>
      </c>
      <c r="D2434" t="n">
        <v>64</v>
      </c>
    </row>
    <row r="2435">
      <c r="A2435" t="inlineStr">
        <is>
          <t>ED202495</t>
        </is>
      </c>
      <c r="B2435" s="56" t="n">
        <v>45430.56805555556</v>
      </c>
      <c r="C2435" t="inlineStr">
        <is>
          <t>Bluestone Memorial Hospital</t>
        </is>
      </c>
      <c r="D2435" t="n">
        <v>19</v>
      </c>
    </row>
    <row r="2436">
      <c r="A2436" t="inlineStr">
        <is>
          <t>ED202496</t>
        </is>
      </c>
      <c r="B2436" s="56" t="n">
        <v>45430.68472222222</v>
      </c>
      <c r="C2436" t="inlineStr">
        <is>
          <t>Ashby Falls Community Hospital</t>
        </is>
      </c>
      <c r="D2436" t="n">
        <v>27</v>
      </c>
    </row>
    <row r="2437">
      <c r="A2437" t="inlineStr">
        <is>
          <t>ED202498</t>
        </is>
      </c>
      <c r="B2437" s="56" t="n">
        <v>45430.88333333333</v>
      </c>
      <c r="C2437" t="inlineStr">
        <is>
          <t>Bluestone Memorial Hospital</t>
        </is>
      </c>
      <c r="D2437" t="n">
        <v>34</v>
      </c>
    </row>
    <row r="2438">
      <c r="A2438" t="inlineStr">
        <is>
          <t>ED202499</t>
        </is>
      </c>
      <c r="B2438" s="56" t="n">
        <v>45431.24027777778</v>
      </c>
      <c r="C2438" t="inlineStr">
        <is>
          <t>Bluestone Memorial Hospital</t>
        </is>
      </c>
      <c r="D2438" t="n">
        <v>22</v>
      </c>
    </row>
    <row r="2439">
      <c r="A2439" t="inlineStr">
        <is>
          <t>ED202500</t>
        </is>
      </c>
      <c r="B2439" s="56" t="n">
        <v>45431.31388888889</v>
      </c>
      <c r="C2439" t="inlineStr">
        <is>
          <t>Bluestone Memorial Hospital</t>
        </is>
      </c>
      <c r="D2439" t="n">
        <v>12</v>
      </c>
    </row>
    <row r="2440">
      <c r="A2440" t="inlineStr">
        <is>
          <t>ED202501</t>
        </is>
      </c>
      <c r="B2440" s="56" t="n">
        <v>45431.36875</v>
      </c>
      <c r="C2440" t="inlineStr">
        <is>
          <t>Bluestone Memorial Hospital</t>
        </is>
      </c>
      <c r="D2440" t="n">
        <v>4</v>
      </c>
    </row>
    <row r="2441">
      <c r="A2441" t="inlineStr">
        <is>
          <t>ED202502</t>
        </is>
      </c>
      <c r="B2441" s="56" t="n">
        <v>45431.40208333333</v>
      </c>
      <c r="C2441" t="inlineStr">
        <is>
          <t>Bluestone Memorial Hospital</t>
        </is>
      </c>
      <c r="D2441" t="n">
        <v>6</v>
      </c>
    </row>
    <row r="2442">
      <c r="A2442" t="inlineStr">
        <is>
          <t>ED202503</t>
        </is>
      </c>
      <c r="B2442" s="56" t="n">
        <v>45431.45</v>
      </c>
      <c r="C2442" t="inlineStr">
        <is>
          <t>Bluestone Memorial Hospital</t>
        </is>
      </c>
      <c r="D2442" t="n">
        <v>18</v>
      </c>
    </row>
    <row r="2443">
      <c r="A2443" t="inlineStr">
        <is>
          <t>ED202504</t>
        </is>
      </c>
      <c r="B2443" s="56" t="n">
        <v>45431.51527777778</v>
      </c>
      <c r="C2443" t="inlineStr">
        <is>
          <t>Ashby Falls Community Hospital</t>
        </is>
      </c>
      <c r="D2443" t="n">
        <v>41</v>
      </c>
    </row>
    <row r="2444">
      <c r="A2444" t="inlineStr">
        <is>
          <t>ED202505</t>
        </is>
      </c>
      <c r="B2444" s="56" t="n">
        <v>45431.53194444445</v>
      </c>
      <c r="C2444" t="inlineStr">
        <is>
          <t>Bluestone Memorial Hospital</t>
        </is>
      </c>
      <c r="D2444" t="n">
        <v>38</v>
      </c>
    </row>
    <row r="2445">
      <c r="A2445" t="inlineStr">
        <is>
          <t>ED202506</t>
        </is>
      </c>
      <c r="B2445" s="56" t="n">
        <v>45431.53263888889</v>
      </c>
      <c r="C2445" t="inlineStr">
        <is>
          <t>Bluestone Memorial Hospital</t>
        </is>
      </c>
      <c r="D2445" t="n">
        <v>56</v>
      </c>
    </row>
    <row r="2446">
      <c r="A2446" t="inlineStr">
        <is>
          <t>ED202507</t>
        </is>
      </c>
      <c r="B2446" s="56" t="n">
        <v>45431.59930555556</v>
      </c>
      <c r="C2446" t="inlineStr">
        <is>
          <t>Bluestone Memorial Hospital</t>
        </is>
      </c>
      <c r="D2446" t="n">
        <v>14</v>
      </c>
    </row>
    <row r="2447">
      <c r="A2447" t="inlineStr">
        <is>
          <t>ED202508</t>
        </is>
      </c>
      <c r="B2447" s="56" t="n">
        <v>45431.60972222222</v>
      </c>
      <c r="C2447" t="inlineStr">
        <is>
          <t>Bluestone Memorial Hospital</t>
        </is>
      </c>
      <c r="D2447" t="n">
        <v>40</v>
      </c>
    </row>
    <row r="2448">
      <c r="A2448" t="inlineStr">
        <is>
          <t>ED202509</t>
        </is>
      </c>
      <c r="B2448" s="56" t="n">
        <v>45431.71041666667</v>
      </c>
      <c r="C2448" t="inlineStr">
        <is>
          <t>Bluestone Memorial Hospital</t>
        </is>
      </c>
      <c r="D2448" t="n">
        <v>102</v>
      </c>
    </row>
    <row r="2449">
      <c r="A2449" t="inlineStr">
        <is>
          <t>ED202510</t>
        </is>
      </c>
      <c r="B2449" s="56" t="n">
        <v>45431.71875</v>
      </c>
      <c r="C2449" t="inlineStr">
        <is>
          <t>Bluestone Memorial Hospital</t>
        </is>
      </c>
      <c r="D2449" t="n">
        <v>166</v>
      </c>
    </row>
    <row r="2450">
      <c r="A2450" t="inlineStr">
        <is>
          <t>ED202511</t>
        </is>
      </c>
      <c r="B2450" s="56" t="n">
        <v>45431.84375</v>
      </c>
      <c r="C2450" t="inlineStr">
        <is>
          <t>Bluestone Memorial Hospital</t>
        </is>
      </c>
      <c r="D2450" t="n">
        <v>8</v>
      </c>
    </row>
    <row r="2451">
      <c r="A2451" t="inlineStr">
        <is>
          <t>ED202513</t>
        </is>
      </c>
      <c r="B2451" s="56" t="n">
        <v>45431.85277777778</v>
      </c>
      <c r="C2451" t="inlineStr">
        <is>
          <t>Cedar Ridge Medical Center</t>
        </is>
      </c>
      <c r="D2451" t="n">
        <v>144</v>
      </c>
    </row>
    <row r="2452">
      <c r="A2452" t="inlineStr">
        <is>
          <t>ED202514</t>
        </is>
      </c>
      <c r="B2452" s="56" t="n">
        <v>45431.86875</v>
      </c>
      <c r="C2452" t="inlineStr">
        <is>
          <t>Bluestone Memorial Hospital</t>
        </is>
      </c>
      <c r="D2452" t="n">
        <v>2</v>
      </c>
    </row>
    <row r="2453">
      <c r="A2453" t="inlineStr">
        <is>
          <t>ED202515</t>
        </is>
      </c>
      <c r="B2453" s="56" t="n">
        <v>45431.90277777778</v>
      </c>
      <c r="C2453" t="inlineStr">
        <is>
          <t>Ashby Falls Community Hospital</t>
        </is>
      </c>
      <c r="D2453" t="n">
        <v>7</v>
      </c>
    </row>
    <row r="2454">
      <c r="A2454" t="inlineStr">
        <is>
          <t>ED202516</t>
        </is>
      </c>
      <c r="B2454" s="56" t="n">
        <v>45431.98263888889</v>
      </c>
      <c r="C2454" t="inlineStr">
        <is>
          <t>Bluestone Memorial Hospital</t>
        </is>
      </c>
      <c r="D2454" t="n">
        <v>44</v>
      </c>
    </row>
    <row r="2455">
      <c r="A2455" t="inlineStr">
        <is>
          <t>ED202517</t>
        </is>
      </c>
      <c r="B2455" s="56" t="n">
        <v>45432.14791666667</v>
      </c>
      <c r="C2455" t="inlineStr">
        <is>
          <t>Bluestone Memorial Hospital</t>
        </is>
      </c>
      <c r="D2455" t="n">
        <v>30</v>
      </c>
    </row>
    <row r="2456">
      <c r="A2456" t="inlineStr">
        <is>
          <t>ED202518</t>
        </is>
      </c>
      <c r="B2456" s="56" t="n">
        <v>45432.18125</v>
      </c>
      <c r="C2456" t="inlineStr">
        <is>
          <t>Bluestone Memorial Hospital</t>
        </is>
      </c>
      <c r="D2456" t="n">
        <v>28</v>
      </c>
    </row>
    <row r="2457">
      <c r="A2457" t="inlineStr">
        <is>
          <t>ED202519</t>
        </is>
      </c>
      <c r="B2457" s="56" t="n">
        <v>45432.36805555555</v>
      </c>
      <c r="C2457" t="inlineStr">
        <is>
          <t>Bluestone Memorial Hospital</t>
        </is>
      </c>
      <c r="D2457" t="n">
        <v>106</v>
      </c>
    </row>
    <row r="2458">
      <c r="A2458" t="inlineStr">
        <is>
          <t>ED202520</t>
        </is>
      </c>
      <c r="B2458" s="56" t="n">
        <v>45432.55902777778</v>
      </c>
      <c r="C2458" t="inlineStr">
        <is>
          <t>Bluestone Memorial Hospital</t>
        </is>
      </c>
      <c r="D2458" t="n">
        <v>5</v>
      </c>
    </row>
    <row r="2459">
      <c r="A2459" t="inlineStr">
        <is>
          <t>ED202521</t>
        </is>
      </c>
      <c r="B2459" s="56" t="n">
        <v>45432.56875</v>
      </c>
      <c r="C2459" t="inlineStr">
        <is>
          <t>Bluestone Memorial Hospital</t>
        </is>
      </c>
      <c r="D2459" t="n">
        <v>147</v>
      </c>
    </row>
    <row r="2460">
      <c r="A2460" t="inlineStr">
        <is>
          <t>ED202522</t>
        </is>
      </c>
      <c r="B2460" s="56" t="n">
        <v>45432.71875</v>
      </c>
      <c r="C2460" t="inlineStr">
        <is>
          <t>Bluestone Memorial Hospital</t>
        </is>
      </c>
      <c r="D2460" t="n">
        <v>105</v>
      </c>
    </row>
    <row r="2461">
      <c r="A2461" t="inlineStr">
        <is>
          <t>ED202523</t>
        </is>
      </c>
      <c r="B2461" s="56" t="n">
        <v>45432.71875</v>
      </c>
      <c r="C2461" t="inlineStr">
        <is>
          <t>Bluestone Memorial Hospital</t>
        </is>
      </c>
      <c r="D2461" t="n">
        <v>104</v>
      </c>
    </row>
    <row r="2462">
      <c r="A2462" t="inlineStr">
        <is>
          <t>ED202524</t>
        </is>
      </c>
      <c r="B2462" s="56" t="n">
        <v>45432.73472222222</v>
      </c>
      <c r="C2462" t="inlineStr">
        <is>
          <t>Bluestone Memorial Hospital</t>
        </is>
      </c>
      <c r="D2462" t="n">
        <v>53</v>
      </c>
    </row>
    <row r="2463">
      <c r="A2463" t="inlineStr">
        <is>
          <t>ED202525</t>
        </is>
      </c>
      <c r="B2463" s="56" t="n">
        <v>45432.74930555555</v>
      </c>
      <c r="C2463" t="inlineStr">
        <is>
          <t>Bluestone Memorial Hospital</t>
        </is>
      </c>
      <c r="D2463" t="n">
        <v>3</v>
      </c>
    </row>
    <row r="2464">
      <c r="A2464" t="inlineStr">
        <is>
          <t>ED202526</t>
        </is>
      </c>
      <c r="B2464" s="56" t="n">
        <v>45432.76597222222</v>
      </c>
      <c r="C2464" t="inlineStr">
        <is>
          <t>Ashby Falls Community Hospital</t>
        </is>
      </c>
      <c r="D2464" t="n">
        <v>95</v>
      </c>
    </row>
    <row r="2465">
      <c r="A2465" t="inlineStr">
        <is>
          <t>ED202527</t>
        </is>
      </c>
      <c r="B2465" s="56" t="n">
        <v>45432.82847222222</v>
      </c>
      <c r="C2465" t="inlineStr">
        <is>
          <t>Ashby Falls Community Hospital</t>
        </is>
      </c>
      <c r="D2465" t="n">
        <v>24</v>
      </c>
    </row>
    <row r="2466">
      <c r="A2466" t="inlineStr">
        <is>
          <t>ED202528</t>
        </is>
      </c>
      <c r="B2466" s="56" t="n">
        <v>45432.83263888889</v>
      </c>
      <c r="C2466" t="inlineStr">
        <is>
          <t>Bluestone Memorial Hospital</t>
        </is>
      </c>
      <c r="D2466" t="n">
        <v>29</v>
      </c>
    </row>
    <row r="2467">
      <c r="A2467" t="inlineStr">
        <is>
          <t>ED202529</t>
        </is>
      </c>
      <c r="B2467" s="56" t="n">
        <v>45432.84930555556</v>
      </c>
      <c r="C2467" t="inlineStr">
        <is>
          <t>Bluestone Memorial Hospital</t>
        </is>
      </c>
      <c r="D2467" t="n">
        <v>52</v>
      </c>
    </row>
    <row r="2468">
      <c r="A2468" t="inlineStr">
        <is>
          <t>ED202530</t>
        </is>
      </c>
      <c r="B2468" s="56" t="n">
        <v>45432.87361111111</v>
      </c>
      <c r="C2468" t="inlineStr">
        <is>
          <t>Bluestone Memorial Hospital</t>
        </is>
      </c>
      <c r="D2468" t="n">
        <v>24</v>
      </c>
    </row>
    <row r="2469">
      <c r="A2469" t="inlineStr">
        <is>
          <t>ED202531</t>
        </is>
      </c>
      <c r="B2469" s="56" t="n">
        <v>45432.91180555556</v>
      </c>
      <c r="C2469" t="inlineStr">
        <is>
          <t>Cedar Ridge Medical Center</t>
        </is>
      </c>
      <c r="D2469" t="n">
        <v>20</v>
      </c>
    </row>
    <row r="2470">
      <c r="A2470" t="inlineStr">
        <is>
          <t>ED202532</t>
        </is>
      </c>
      <c r="B2470" s="56" t="n">
        <v>45433.04166666666</v>
      </c>
      <c r="C2470" t="inlineStr">
        <is>
          <t>Ashby Falls Community Hospital</t>
        </is>
      </c>
      <c r="D2470" t="n">
        <v>10</v>
      </c>
    </row>
    <row r="2471">
      <c r="A2471" t="inlineStr">
        <is>
          <t>ED202533</t>
        </is>
      </c>
      <c r="B2471" s="56" t="n">
        <v>45433.09305555555</v>
      </c>
      <c r="C2471" t="inlineStr">
        <is>
          <t>Cedar Ridge Medical Center</t>
        </is>
      </c>
      <c r="D2471" t="n">
        <v>38</v>
      </c>
    </row>
    <row r="2472">
      <c r="A2472" t="inlineStr">
        <is>
          <t>ED202534</t>
        </is>
      </c>
      <c r="B2472" s="56" t="n">
        <v>45433.46666666667</v>
      </c>
      <c r="C2472" t="inlineStr">
        <is>
          <t>Bluestone Memorial Hospital</t>
        </is>
      </c>
      <c r="D2472" t="n">
        <v>67</v>
      </c>
    </row>
    <row r="2473">
      <c r="A2473" t="inlineStr">
        <is>
          <t>ED202535</t>
        </is>
      </c>
      <c r="B2473" s="56" t="n">
        <v>45433.47152777778</v>
      </c>
      <c r="C2473" t="inlineStr">
        <is>
          <t>Bluestone Memorial Hospital</t>
        </is>
      </c>
      <c r="D2473" t="n">
        <v>10</v>
      </c>
    </row>
    <row r="2474">
      <c r="A2474" t="inlineStr">
        <is>
          <t>ED202536</t>
        </is>
      </c>
      <c r="B2474" s="56" t="n">
        <v>45433.47847222222</v>
      </c>
      <c r="C2474" t="inlineStr">
        <is>
          <t>Cedar Ridge Medical Center</t>
        </is>
      </c>
      <c r="D2474" t="n">
        <v>10</v>
      </c>
    </row>
    <row r="2475">
      <c r="A2475" t="inlineStr">
        <is>
          <t>ED202537</t>
        </is>
      </c>
      <c r="B2475" s="56" t="n">
        <v>45433.55486111111</v>
      </c>
      <c r="C2475" t="inlineStr">
        <is>
          <t>Cedar Ridge Medical Center</t>
        </is>
      </c>
      <c r="D2475" t="n">
        <v>38</v>
      </c>
    </row>
    <row r="2476">
      <c r="A2476" t="inlineStr">
        <is>
          <t>ED202538</t>
        </is>
      </c>
      <c r="B2476" s="56" t="n">
        <v>45433.60694444444</v>
      </c>
      <c r="C2476" t="inlineStr">
        <is>
          <t>Bluestone Memorial Hospital</t>
        </is>
      </c>
      <c r="D2476" t="n">
        <v>39</v>
      </c>
    </row>
    <row r="2477">
      <c r="A2477" t="inlineStr">
        <is>
          <t>ED202539</t>
        </is>
      </c>
      <c r="B2477" s="56" t="n">
        <v>45433.62430555555</v>
      </c>
      <c r="C2477" t="inlineStr">
        <is>
          <t>Bluestone Memorial Hospital</t>
        </is>
      </c>
      <c r="D2477" t="n">
        <v>105</v>
      </c>
    </row>
    <row r="2478">
      <c r="A2478" t="inlineStr">
        <is>
          <t>ED202540</t>
        </is>
      </c>
      <c r="B2478" s="56" t="n">
        <v>45433.63125</v>
      </c>
      <c r="C2478" t="inlineStr">
        <is>
          <t>Bluestone Memorial Hospital</t>
        </is>
      </c>
      <c r="D2478" t="n">
        <v>74</v>
      </c>
    </row>
    <row r="2479">
      <c r="A2479" t="inlineStr">
        <is>
          <t>ED202541</t>
        </is>
      </c>
      <c r="B2479" s="56" t="n">
        <v>45433.66527777778</v>
      </c>
      <c r="C2479" t="inlineStr">
        <is>
          <t>Bluestone Memorial Hospital</t>
        </is>
      </c>
      <c r="D2479" t="n">
        <v>238</v>
      </c>
    </row>
    <row r="2480">
      <c r="A2480" t="inlineStr">
        <is>
          <t>ED202542</t>
        </is>
      </c>
      <c r="B2480" s="56" t="n">
        <v>45433.67291666667</v>
      </c>
      <c r="C2480" t="inlineStr">
        <is>
          <t>Bluestone Memorial Hospital</t>
        </is>
      </c>
      <c r="D2480" t="n">
        <v>31</v>
      </c>
    </row>
    <row r="2481">
      <c r="A2481" t="inlineStr">
        <is>
          <t>ED202543</t>
        </is>
      </c>
      <c r="B2481" s="56" t="n">
        <v>45433.75138888889</v>
      </c>
      <c r="C2481" t="inlineStr">
        <is>
          <t>Bluestone Memorial Hospital</t>
        </is>
      </c>
      <c r="D2481" t="n">
        <v>64</v>
      </c>
    </row>
    <row r="2482">
      <c r="A2482" t="inlineStr">
        <is>
          <t>ED202544</t>
        </is>
      </c>
      <c r="B2482" s="56" t="n">
        <v>45433.76736111111</v>
      </c>
      <c r="C2482" t="inlineStr">
        <is>
          <t>Ashby Falls Community Hospital</t>
        </is>
      </c>
      <c r="D2482" t="n">
        <v>29</v>
      </c>
    </row>
    <row r="2483">
      <c r="A2483" t="inlineStr">
        <is>
          <t>ED202545</t>
        </is>
      </c>
      <c r="B2483" s="56" t="n">
        <v>45433.96458333333</v>
      </c>
      <c r="C2483" t="inlineStr">
        <is>
          <t>Bluestone Memorial Hospital</t>
        </is>
      </c>
      <c r="D2483" t="n">
        <v>39</v>
      </c>
    </row>
    <row r="2484">
      <c r="A2484" t="inlineStr">
        <is>
          <t>ED202546</t>
        </is>
      </c>
      <c r="B2484" s="56" t="n">
        <v>45434.02430555555</v>
      </c>
      <c r="C2484" t="inlineStr">
        <is>
          <t>Cedar Ridge Medical Center</t>
        </is>
      </c>
      <c r="D2484" t="n">
        <v>20</v>
      </c>
    </row>
    <row r="2485">
      <c r="A2485" t="inlineStr">
        <is>
          <t>ED202547</t>
        </is>
      </c>
      <c r="B2485" s="56" t="n">
        <v>45434.19444444445</v>
      </c>
      <c r="C2485" t="inlineStr">
        <is>
          <t>Bluestone Memorial Hospital</t>
        </is>
      </c>
      <c r="D2485" t="n">
        <v>28</v>
      </c>
    </row>
    <row r="2486">
      <c r="A2486" t="inlineStr">
        <is>
          <t>ED202548</t>
        </is>
      </c>
      <c r="B2486" s="56" t="n">
        <v>45434.22569444445</v>
      </c>
      <c r="C2486" t="inlineStr">
        <is>
          <t>Bluestone Memorial Hospital</t>
        </is>
      </c>
      <c r="D2486" t="n">
        <v>16</v>
      </c>
    </row>
    <row r="2487">
      <c r="A2487" t="inlineStr">
        <is>
          <t>ED202549</t>
        </is>
      </c>
      <c r="B2487" s="56" t="n">
        <v>45434.34305555555</v>
      </c>
      <c r="C2487" t="inlineStr">
        <is>
          <t>Bluestone Memorial Hospital</t>
        </is>
      </c>
      <c r="D2487" t="n">
        <v>25</v>
      </c>
    </row>
    <row r="2488">
      <c r="A2488" t="inlineStr">
        <is>
          <t>ED202550</t>
        </is>
      </c>
      <c r="B2488" s="56" t="n">
        <v>45434.35625</v>
      </c>
      <c r="C2488" t="inlineStr">
        <is>
          <t>Bluestone Memorial Hospital</t>
        </is>
      </c>
      <c r="D2488" t="n">
        <v>26</v>
      </c>
    </row>
    <row r="2489">
      <c r="A2489" t="inlineStr">
        <is>
          <t>ED202551</t>
        </is>
      </c>
      <c r="B2489" s="56" t="n">
        <v>45434.36597222222</v>
      </c>
      <c r="C2489" t="inlineStr">
        <is>
          <t>Cedar Ridge Medical Center</t>
        </is>
      </c>
      <c r="D2489" t="n">
        <v>25</v>
      </c>
    </row>
    <row r="2490">
      <c r="A2490" t="inlineStr">
        <is>
          <t>ED202552</t>
        </is>
      </c>
      <c r="B2490" s="56" t="n">
        <v>45434.37222222222</v>
      </c>
      <c r="C2490" t="inlineStr">
        <is>
          <t>Bluestone Memorial Hospital</t>
        </is>
      </c>
      <c r="D2490" t="n">
        <v>43</v>
      </c>
    </row>
    <row r="2491">
      <c r="A2491" t="inlineStr">
        <is>
          <t>ED202553</t>
        </is>
      </c>
      <c r="B2491" s="56" t="n">
        <v>45434.44791666666</v>
      </c>
      <c r="C2491" t="inlineStr">
        <is>
          <t>Bluestone Memorial Hospital</t>
        </is>
      </c>
      <c r="D2491" t="n">
        <v>61</v>
      </c>
    </row>
    <row r="2492">
      <c r="A2492" t="inlineStr">
        <is>
          <t>ED202554</t>
        </is>
      </c>
      <c r="B2492" s="56" t="n">
        <v>45434.47777777778</v>
      </c>
      <c r="C2492" t="inlineStr">
        <is>
          <t>Bluestone Memorial Hospital</t>
        </is>
      </c>
      <c r="D2492" t="n">
        <v>123</v>
      </c>
    </row>
    <row r="2493">
      <c r="A2493" t="inlineStr">
        <is>
          <t>ED202555</t>
        </is>
      </c>
      <c r="B2493" s="56" t="n">
        <v>45434.48055555556</v>
      </c>
      <c r="C2493" t="inlineStr">
        <is>
          <t>Bluestone Memorial Hospital</t>
        </is>
      </c>
      <c r="D2493" t="n">
        <v>18</v>
      </c>
    </row>
    <row r="2494">
      <c r="A2494" t="inlineStr">
        <is>
          <t>ED202556</t>
        </is>
      </c>
      <c r="B2494" s="56" t="n">
        <v>45434.48194444444</v>
      </c>
      <c r="C2494" t="inlineStr">
        <is>
          <t>Bluestone Memorial Hospital</t>
        </is>
      </c>
      <c r="D2494" t="n">
        <v>40</v>
      </c>
    </row>
    <row r="2495">
      <c r="A2495" t="inlineStr">
        <is>
          <t>ED202557</t>
        </is>
      </c>
      <c r="B2495" s="56" t="n">
        <v>45434.48888888889</v>
      </c>
      <c r="C2495" t="inlineStr">
        <is>
          <t>Bluestone Memorial Hospital</t>
        </is>
      </c>
      <c r="D2495" t="n">
        <v>62</v>
      </c>
    </row>
    <row r="2496">
      <c r="A2496" t="inlineStr">
        <is>
          <t>ED202558</t>
        </is>
      </c>
      <c r="B2496" s="56" t="n">
        <v>45434.53888888889</v>
      </c>
      <c r="C2496" t="inlineStr">
        <is>
          <t>Bluestone Memorial Hospital</t>
        </is>
      </c>
      <c r="D2496" t="n">
        <v>38</v>
      </c>
    </row>
    <row r="2497">
      <c r="A2497" t="inlineStr">
        <is>
          <t>ED202559</t>
        </is>
      </c>
      <c r="B2497" s="56" t="n">
        <v>45434.55416666667</v>
      </c>
      <c r="C2497" t="inlineStr">
        <is>
          <t>Bluestone Memorial Hospital</t>
        </is>
      </c>
      <c r="D2497" t="n">
        <v>62</v>
      </c>
    </row>
    <row r="2498">
      <c r="A2498" t="inlineStr">
        <is>
          <t>ED202560</t>
        </is>
      </c>
      <c r="B2498" s="56" t="n">
        <v>45434.58472222222</v>
      </c>
      <c r="C2498" t="inlineStr">
        <is>
          <t>Bluestone Memorial Hospital</t>
        </is>
      </c>
      <c r="D2498" t="n">
        <v>27</v>
      </c>
    </row>
    <row r="2499">
      <c r="A2499" t="inlineStr">
        <is>
          <t>ED202561</t>
        </is>
      </c>
      <c r="B2499" s="56" t="n">
        <v>45434.66527777778</v>
      </c>
      <c r="C2499" t="inlineStr">
        <is>
          <t>Bluestone Memorial Hospital</t>
        </is>
      </c>
      <c r="D2499" t="n">
        <v>19</v>
      </c>
    </row>
    <row r="2500">
      <c r="A2500" t="inlineStr">
        <is>
          <t>ED202562</t>
        </is>
      </c>
      <c r="B2500" s="56" t="n">
        <v>45434.73541666667</v>
      </c>
      <c r="C2500" t="inlineStr">
        <is>
          <t>Bluestone Memorial Hospital</t>
        </is>
      </c>
      <c r="D2500" t="n">
        <v>11</v>
      </c>
    </row>
    <row r="2501">
      <c r="A2501" t="inlineStr">
        <is>
          <t>ED202563</t>
        </is>
      </c>
      <c r="B2501" s="56" t="n">
        <v>45434.83125</v>
      </c>
      <c r="C2501" t="inlineStr">
        <is>
          <t>Bluestone Memorial Hospital</t>
        </is>
      </c>
      <c r="D2501" t="n">
        <v>99</v>
      </c>
    </row>
    <row r="2502">
      <c r="A2502" t="inlineStr">
        <is>
          <t>ED202564</t>
        </is>
      </c>
      <c r="B2502" s="56" t="n">
        <v>45434.9625</v>
      </c>
      <c r="C2502" t="inlineStr">
        <is>
          <t>Bluestone Memorial Hospital</t>
        </is>
      </c>
      <c r="D2502" t="n">
        <v>8</v>
      </c>
    </row>
    <row r="2503">
      <c r="A2503" t="inlineStr">
        <is>
          <t>ED202565</t>
        </is>
      </c>
      <c r="B2503" s="56" t="n">
        <v>45435.21388888889</v>
      </c>
      <c r="C2503" t="inlineStr">
        <is>
          <t>Bluestone Memorial Hospital</t>
        </is>
      </c>
      <c r="D2503" t="n">
        <v>44</v>
      </c>
    </row>
    <row r="2504">
      <c r="A2504" t="inlineStr">
        <is>
          <t>ED202566</t>
        </is>
      </c>
      <c r="B2504" s="56" t="n">
        <v>45435.25069444445</v>
      </c>
      <c r="C2504" t="inlineStr">
        <is>
          <t>Bluestone Memorial Hospital</t>
        </is>
      </c>
      <c r="D2504" t="n">
        <v>52</v>
      </c>
    </row>
    <row r="2505">
      <c r="A2505" t="inlineStr">
        <is>
          <t>ED202567</t>
        </is>
      </c>
      <c r="B2505" s="56" t="n">
        <v>45435.28194444445</v>
      </c>
      <c r="C2505" t="inlineStr">
        <is>
          <t>Bluestone Memorial Hospital</t>
        </is>
      </c>
      <c r="D2505" t="n">
        <v>54</v>
      </c>
    </row>
    <row r="2506">
      <c r="A2506" t="inlineStr">
        <is>
          <t>ED202568</t>
        </is>
      </c>
      <c r="B2506" s="56" t="n">
        <v>45435.36319444444</v>
      </c>
      <c r="C2506" t="inlineStr">
        <is>
          <t>Cedar Ridge Medical Center</t>
        </is>
      </c>
      <c r="D2506" t="n">
        <v>87</v>
      </c>
    </row>
    <row r="2507">
      <c r="A2507" t="inlineStr">
        <is>
          <t>ED202569</t>
        </is>
      </c>
      <c r="B2507" s="56" t="n">
        <v>45435.48263888889</v>
      </c>
      <c r="C2507" t="inlineStr">
        <is>
          <t>Bluestone Memorial Hospital</t>
        </is>
      </c>
      <c r="D2507" t="n">
        <v>39</v>
      </c>
    </row>
    <row r="2508">
      <c r="A2508" t="inlineStr">
        <is>
          <t>ED202570</t>
        </is>
      </c>
      <c r="B2508" s="56" t="n">
        <v>45435.52708333333</v>
      </c>
      <c r="C2508" t="inlineStr">
        <is>
          <t>Bluestone Memorial Hospital</t>
        </is>
      </c>
      <c r="D2508" t="n">
        <v>17</v>
      </c>
    </row>
    <row r="2509">
      <c r="A2509" t="inlineStr">
        <is>
          <t>ED202571</t>
        </is>
      </c>
      <c r="B2509" s="56" t="n">
        <v>45435.52986111111</v>
      </c>
      <c r="C2509" t="inlineStr">
        <is>
          <t>Bluestone Memorial Hospital</t>
        </is>
      </c>
      <c r="D2509" t="n">
        <v>59</v>
      </c>
    </row>
    <row r="2510">
      <c r="A2510" t="inlineStr">
        <is>
          <t>ED202572</t>
        </is>
      </c>
      <c r="B2510" s="56" t="n">
        <v>45435.5375</v>
      </c>
      <c r="C2510" t="inlineStr">
        <is>
          <t>Bluestone Memorial Hospital</t>
        </is>
      </c>
      <c r="D2510" t="n">
        <v>65</v>
      </c>
    </row>
    <row r="2511">
      <c r="A2511" t="inlineStr">
        <is>
          <t>ED202573</t>
        </is>
      </c>
      <c r="B2511" s="56" t="n">
        <v>45435.55486111111</v>
      </c>
      <c r="C2511" t="inlineStr">
        <is>
          <t>Bluestone Memorial Hospital</t>
        </is>
      </c>
      <c r="D2511" t="n">
        <v>3</v>
      </c>
    </row>
    <row r="2512">
      <c r="A2512" t="inlineStr">
        <is>
          <t>ED202574</t>
        </is>
      </c>
      <c r="B2512" s="56" t="n">
        <v>45435.65555555555</v>
      </c>
      <c r="C2512" t="inlineStr">
        <is>
          <t>Cedar Ridge Medical Center</t>
        </is>
      </c>
      <c r="D2512" t="n">
        <v>96</v>
      </c>
    </row>
    <row r="2513">
      <c r="A2513" t="inlineStr">
        <is>
          <t>ED202575</t>
        </is>
      </c>
      <c r="B2513" s="56" t="n">
        <v>45435.67916666667</v>
      </c>
      <c r="C2513" t="inlineStr">
        <is>
          <t>Bluestone Memorial Hospital</t>
        </is>
      </c>
      <c r="D2513" t="n">
        <v>36</v>
      </c>
    </row>
    <row r="2514">
      <c r="A2514" t="inlineStr">
        <is>
          <t>ED202576</t>
        </is>
      </c>
      <c r="B2514" s="56" t="n">
        <v>45435.75555555556</v>
      </c>
      <c r="C2514" t="inlineStr">
        <is>
          <t>Ashby Falls Community Hospital</t>
        </is>
      </c>
      <c r="D2514" t="n">
        <v>26</v>
      </c>
    </row>
    <row r="2515">
      <c r="A2515" t="inlineStr">
        <is>
          <t>ED202577</t>
        </is>
      </c>
      <c r="B2515" s="56" t="n">
        <v>45435.87083333333</v>
      </c>
      <c r="C2515" t="inlineStr">
        <is>
          <t>Bluestone Memorial Hospital</t>
        </is>
      </c>
      <c r="D2515" t="n">
        <v>4</v>
      </c>
    </row>
    <row r="2516">
      <c r="A2516" t="inlineStr">
        <is>
          <t>ED202578</t>
        </is>
      </c>
      <c r="B2516" s="56" t="n">
        <v>45436.32361111111</v>
      </c>
      <c r="C2516" t="inlineStr">
        <is>
          <t>Cedar Ridge Medical Center</t>
        </is>
      </c>
      <c r="D2516" t="n">
        <v>27</v>
      </c>
    </row>
    <row r="2517">
      <c r="A2517" t="inlineStr">
        <is>
          <t>ED202579</t>
        </is>
      </c>
      <c r="B2517" s="56" t="n">
        <v>45436.37777777778</v>
      </c>
      <c r="C2517" t="inlineStr">
        <is>
          <t>Bluestone Memorial Hospital</t>
        </is>
      </c>
      <c r="D2517" t="n">
        <v>54</v>
      </c>
    </row>
    <row r="2518">
      <c r="A2518" t="inlineStr">
        <is>
          <t>ED202580</t>
        </is>
      </c>
      <c r="B2518" s="56" t="n">
        <v>45436.39097222222</v>
      </c>
      <c r="C2518" t="inlineStr">
        <is>
          <t>Bluestone Memorial Hospital</t>
        </is>
      </c>
      <c r="D2518" t="n">
        <v>14</v>
      </c>
    </row>
    <row r="2519">
      <c r="A2519" t="inlineStr">
        <is>
          <t>ED202581</t>
        </is>
      </c>
      <c r="B2519" s="56" t="n">
        <v>45436.42013888889</v>
      </c>
      <c r="C2519" t="inlineStr">
        <is>
          <t>Bluestone Memorial Hospital</t>
        </is>
      </c>
      <c r="D2519" t="n">
        <v>16</v>
      </c>
    </row>
    <row r="2520">
      <c r="A2520" t="inlineStr">
        <is>
          <t>ED202582</t>
        </is>
      </c>
      <c r="B2520" s="56" t="n">
        <v>45436.45138888889</v>
      </c>
      <c r="C2520" t="inlineStr">
        <is>
          <t>Bluestone Memorial Hospital</t>
        </is>
      </c>
      <c r="D2520" t="n">
        <v>54</v>
      </c>
    </row>
    <row r="2521">
      <c r="A2521" t="inlineStr">
        <is>
          <t>ED202583</t>
        </is>
      </c>
      <c r="B2521" s="56" t="n">
        <v>45436.55416666667</v>
      </c>
      <c r="C2521" t="inlineStr">
        <is>
          <t>Bluestone Memorial Hospital</t>
        </is>
      </c>
      <c r="D2521" t="n">
        <v>58</v>
      </c>
    </row>
    <row r="2522">
      <c r="A2522" t="inlineStr">
        <is>
          <t>ED202584</t>
        </is>
      </c>
      <c r="B2522" s="56" t="n">
        <v>45436.57986111111</v>
      </c>
      <c r="C2522" t="inlineStr">
        <is>
          <t>Bluestone Memorial Hospital</t>
        </is>
      </c>
      <c r="D2522" t="n">
        <v>75</v>
      </c>
    </row>
    <row r="2523">
      <c r="A2523" t="inlineStr">
        <is>
          <t>ED202585</t>
        </is>
      </c>
      <c r="B2523" s="56" t="n">
        <v>45436.59930555556</v>
      </c>
      <c r="C2523" t="inlineStr">
        <is>
          <t>Bluestone Memorial Hospital</t>
        </is>
      </c>
      <c r="D2523" t="n">
        <v>39</v>
      </c>
    </row>
    <row r="2524">
      <c r="A2524" t="inlineStr">
        <is>
          <t>ED202586</t>
        </is>
      </c>
      <c r="B2524" s="56" t="n">
        <v>45436.61805555555</v>
      </c>
      <c r="C2524" t="inlineStr">
        <is>
          <t>Bluestone Memorial Hospital</t>
        </is>
      </c>
      <c r="D2524" t="n">
        <v>93</v>
      </c>
    </row>
    <row r="2525">
      <c r="A2525" t="inlineStr">
        <is>
          <t>ED202587</t>
        </is>
      </c>
      <c r="B2525" s="56" t="n">
        <v>45436.63958333333</v>
      </c>
      <c r="C2525" t="inlineStr">
        <is>
          <t>Bluestone Memorial Hospital</t>
        </is>
      </c>
      <c r="D2525" t="n">
        <v>14</v>
      </c>
    </row>
    <row r="2526">
      <c r="A2526" t="inlineStr">
        <is>
          <t>ED202588</t>
        </is>
      </c>
      <c r="B2526" s="56" t="n">
        <v>45436.66458333333</v>
      </c>
      <c r="C2526" t="inlineStr">
        <is>
          <t>Bluestone Memorial Hospital</t>
        </is>
      </c>
      <c r="D2526" t="n">
        <v>16</v>
      </c>
    </row>
    <row r="2527">
      <c r="A2527" t="inlineStr">
        <is>
          <t>ED202589</t>
        </is>
      </c>
      <c r="B2527" s="56" t="n">
        <v>45436.77569444444</v>
      </c>
      <c r="C2527" t="inlineStr">
        <is>
          <t>Bluestone Memorial Hospital</t>
        </is>
      </c>
      <c r="D2527" t="n">
        <v>45</v>
      </c>
    </row>
    <row r="2528">
      <c r="A2528" t="inlineStr">
        <is>
          <t>ED202590</t>
        </is>
      </c>
      <c r="B2528" s="56" t="n">
        <v>45437.45</v>
      </c>
      <c r="C2528" t="inlineStr">
        <is>
          <t>Bluestone Memorial Hospital</t>
        </is>
      </c>
      <c r="D2528" t="n">
        <v>23</v>
      </c>
    </row>
    <row r="2529">
      <c r="A2529" t="inlineStr">
        <is>
          <t>ED202591</t>
        </is>
      </c>
      <c r="B2529" s="56" t="n">
        <v>45437.46180555555</v>
      </c>
      <c r="C2529" t="inlineStr">
        <is>
          <t>Cedar Ridge Medical Center</t>
        </is>
      </c>
      <c r="D2529" t="n">
        <v>7</v>
      </c>
    </row>
    <row r="2530">
      <c r="A2530" t="inlineStr">
        <is>
          <t>ED202592</t>
        </is>
      </c>
      <c r="B2530" s="56" t="n">
        <v>45437.51111111111</v>
      </c>
      <c r="C2530" t="inlineStr">
        <is>
          <t>Bluestone Memorial Hospital</t>
        </is>
      </c>
      <c r="D2530" t="n">
        <v>47</v>
      </c>
    </row>
    <row r="2531">
      <c r="A2531" t="inlineStr">
        <is>
          <t>ED202594</t>
        </is>
      </c>
      <c r="B2531" s="56" t="n">
        <v>45437.58819444444</v>
      </c>
      <c r="C2531" t="inlineStr">
        <is>
          <t>Bluestone Memorial Hospital</t>
        </is>
      </c>
      <c r="D2531" t="n">
        <v>37</v>
      </c>
    </row>
    <row r="2532">
      <c r="A2532" t="inlineStr">
        <is>
          <t>ED202595</t>
        </is>
      </c>
      <c r="B2532" s="56" t="n">
        <v>45437.69305555556</v>
      </c>
      <c r="C2532" t="inlineStr">
        <is>
          <t>Ashby Falls Community Hospital</t>
        </is>
      </c>
      <c r="D2532" t="n">
        <v>99</v>
      </c>
    </row>
    <row r="2533">
      <c r="A2533" t="inlineStr">
        <is>
          <t>ED202596</t>
        </is>
      </c>
      <c r="B2533" s="56" t="n">
        <v>45437.79930555556</v>
      </c>
      <c r="C2533" t="inlineStr">
        <is>
          <t>Ashby Falls Community Hospital</t>
        </is>
      </c>
      <c r="D2533" t="n">
        <v>54</v>
      </c>
    </row>
    <row r="2534">
      <c r="A2534" t="inlineStr">
        <is>
          <t>ED202597</t>
        </is>
      </c>
      <c r="B2534" s="56" t="n">
        <v>45437.91805555556</v>
      </c>
      <c r="C2534" t="inlineStr">
        <is>
          <t>Bluestone Memorial Hospital</t>
        </is>
      </c>
      <c r="D2534" t="n">
        <v>84</v>
      </c>
    </row>
    <row r="2535">
      <c r="A2535" t="inlineStr">
        <is>
          <t>ED202598</t>
        </is>
      </c>
      <c r="B2535" s="56" t="n">
        <v>45437.99097222222</v>
      </c>
      <c r="C2535" t="inlineStr">
        <is>
          <t>Bluestone Memorial Hospital</t>
        </is>
      </c>
      <c r="D2535" t="n">
        <v>61</v>
      </c>
    </row>
    <row r="2536">
      <c r="A2536" t="inlineStr">
        <is>
          <t>ED202599</t>
        </is>
      </c>
      <c r="B2536" s="56" t="n">
        <v>45438.36319444444</v>
      </c>
      <c r="C2536" t="inlineStr">
        <is>
          <t>Bluestone Memorial Hospital</t>
        </is>
      </c>
      <c r="D2536" t="n">
        <v>58</v>
      </c>
    </row>
    <row r="2537">
      <c r="A2537" t="inlineStr">
        <is>
          <t>ED202600</t>
        </is>
      </c>
      <c r="B2537" s="56" t="n">
        <v>45438.42291666667</v>
      </c>
      <c r="C2537" t="inlineStr">
        <is>
          <t>Ashby Falls Community Hospital</t>
        </is>
      </c>
      <c r="D2537" t="n">
        <v>56</v>
      </c>
    </row>
    <row r="2538">
      <c r="A2538" t="inlineStr">
        <is>
          <t>ED202601</t>
        </is>
      </c>
      <c r="B2538" s="56" t="n">
        <v>45438.44166666667</v>
      </c>
      <c r="C2538" t="inlineStr">
        <is>
          <t>Bluestone Memorial Hospital</t>
        </is>
      </c>
      <c r="D2538" t="n">
        <v>23</v>
      </c>
    </row>
    <row r="2539">
      <c r="A2539" t="inlineStr">
        <is>
          <t>ED202602</t>
        </is>
      </c>
      <c r="B2539" s="56" t="n">
        <v>45438.47152777778</v>
      </c>
      <c r="C2539" t="inlineStr">
        <is>
          <t>Bluestone Memorial Hospital</t>
        </is>
      </c>
      <c r="D2539" t="n">
        <v>10</v>
      </c>
    </row>
    <row r="2540">
      <c r="A2540" t="inlineStr">
        <is>
          <t>ED202603</t>
        </is>
      </c>
      <c r="B2540" s="56" t="n">
        <v>45438.55625</v>
      </c>
      <c r="C2540" t="inlineStr">
        <is>
          <t>Bluestone Memorial Hospital</t>
        </is>
      </c>
      <c r="D2540" t="n">
        <v>38</v>
      </c>
    </row>
    <row r="2541">
      <c r="A2541" t="inlineStr">
        <is>
          <t>ED202604</t>
        </is>
      </c>
      <c r="B2541" s="56" t="n">
        <v>45438.58402777778</v>
      </c>
      <c r="C2541" t="inlineStr">
        <is>
          <t>Cedar Ridge Medical Center</t>
        </is>
      </c>
      <c r="D2541" t="n">
        <v>11</v>
      </c>
    </row>
    <row r="2542">
      <c r="A2542" t="inlineStr">
        <is>
          <t>ED202605</t>
        </is>
      </c>
      <c r="B2542" s="56" t="n">
        <v>45438.62986111111</v>
      </c>
      <c r="C2542" t="inlineStr">
        <is>
          <t>Bluestone Memorial Hospital</t>
        </is>
      </c>
      <c r="D2542" t="n">
        <v>20</v>
      </c>
    </row>
    <row r="2543">
      <c r="A2543" t="inlineStr">
        <is>
          <t>ED202606</t>
        </is>
      </c>
      <c r="B2543" s="56" t="n">
        <v>45438.70347222222</v>
      </c>
      <c r="C2543" t="inlineStr">
        <is>
          <t>Bluestone Memorial Hospital</t>
        </is>
      </c>
      <c r="D2543" t="n">
        <v>68</v>
      </c>
    </row>
    <row r="2544">
      <c r="A2544" t="inlineStr">
        <is>
          <t>ED202607</t>
        </is>
      </c>
      <c r="B2544" s="56" t="n">
        <v>45438.71597222222</v>
      </c>
      <c r="C2544" t="inlineStr">
        <is>
          <t>Ashby Falls Community Hospital</t>
        </is>
      </c>
      <c r="D2544" t="n">
        <v>89</v>
      </c>
    </row>
    <row r="2545">
      <c r="A2545" t="inlineStr">
        <is>
          <t>ED202608</t>
        </is>
      </c>
      <c r="B2545" s="56" t="n">
        <v>45438.82569444444</v>
      </c>
      <c r="C2545" t="inlineStr">
        <is>
          <t>Bluestone Memorial Hospital</t>
        </is>
      </c>
      <c r="D2545" t="n">
        <v>85</v>
      </c>
    </row>
    <row r="2546">
      <c r="A2546" t="inlineStr">
        <is>
          <t>ED202609</t>
        </is>
      </c>
      <c r="B2546" s="56" t="n">
        <v>45439.13125</v>
      </c>
      <c r="C2546" t="inlineStr">
        <is>
          <t>Bluestone Memorial Hospital</t>
        </is>
      </c>
      <c r="D2546" t="n">
        <v>8</v>
      </c>
    </row>
    <row r="2547">
      <c r="A2547" t="inlineStr">
        <is>
          <t>ED202610</t>
        </is>
      </c>
      <c r="B2547" s="56" t="n">
        <v>45439.17708333334</v>
      </c>
      <c r="C2547" t="inlineStr">
        <is>
          <t>Cedar Ridge Medical Center</t>
        </is>
      </c>
      <c r="D2547" t="n">
        <v>29</v>
      </c>
    </row>
    <row r="2548">
      <c r="A2548" t="inlineStr">
        <is>
          <t>ED202611</t>
        </is>
      </c>
      <c r="B2548" s="56" t="n">
        <v>45439.21319444444</v>
      </c>
      <c r="C2548" t="inlineStr">
        <is>
          <t>Bluestone Memorial Hospital</t>
        </is>
      </c>
      <c r="D2548" t="n">
        <v>33</v>
      </c>
    </row>
    <row r="2549">
      <c r="A2549" t="inlineStr">
        <is>
          <t>ED202612</t>
        </is>
      </c>
      <c r="B2549" s="56" t="n">
        <v>45439.24652777778</v>
      </c>
      <c r="C2549" t="inlineStr">
        <is>
          <t>Bluestone Memorial Hospital</t>
        </is>
      </c>
      <c r="D2549" t="n">
        <v>92</v>
      </c>
    </row>
    <row r="2550">
      <c r="A2550" t="inlineStr">
        <is>
          <t>ED202613</t>
        </is>
      </c>
      <c r="B2550" s="56" t="n">
        <v>45439.29861111111</v>
      </c>
      <c r="C2550" t="inlineStr">
        <is>
          <t>Ashby Falls Community Hospital</t>
        </is>
      </c>
      <c r="D2550" t="n">
        <v>3</v>
      </c>
    </row>
    <row r="2551">
      <c r="A2551" t="inlineStr">
        <is>
          <t>ED202614</t>
        </is>
      </c>
      <c r="B2551" s="56" t="n">
        <v>45439.35208333333</v>
      </c>
      <c r="C2551" t="inlineStr">
        <is>
          <t>Bluestone Memorial Hospital</t>
        </is>
      </c>
      <c r="D2551" t="n">
        <v>45</v>
      </c>
    </row>
    <row r="2552">
      <c r="A2552" t="inlineStr">
        <is>
          <t>ED202615</t>
        </is>
      </c>
      <c r="B2552" s="56" t="n">
        <v>45439.37777777778</v>
      </c>
      <c r="C2552" t="inlineStr">
        <is>
          <t>Cedar Ridge Medical Center</t>
        </is>
      </c>
      <c r="D2552" t="n">
        <v>31</v>
      </c>
    </row>
    <row r="2553">
      <c r="A2553" t="inlineStr">
        <is>
          <t>ED202616</t>
        </is>
      </c>
      <c r="B2553" s="56" t="n">
        <v>45439.46180555555</v>
      </c>
      <c r="C2553" t="inlineStr">
        <is>
          <t>Bluestone Memorial Hospital</t>
        </is>
      </c>
      <c r="D2553" t="n">
        <v>6</v>
      </c>
    </row>
    <row r="2554">
      <c r="A2554" t="inlineStr">
        <is>
          <t>ED202617</t>
        </is>
      </c>
      <c r="B2554" s="56" t="n">
        <v>45439.48125</v>
      </c>
      <c r="C2554" t="inlineStr">
        <is>
          <t>Ashby Falls Community Hospital</t>
        </is>
      </c>
      <c r="D2554" t="n">
        <v>81</v>
      </c>
    </row>
    <row r="2555">
      <c r="A2555" t="inlineStr">
        <is>
          <t>ED202618</t>
        </is>
      </c>
      <c r="B2555" s="56" t="n">
        <v>45439.57847222222</v>
      </c>
      <c r="C2555" t="inlineStr">
        <is>
          <t>Bluestone Memorial Hospital</t>
        </is>
      </c>
      <c r="D2555" t="n">
        <v>49</v>
      </c>
    </row>
    <row r="2556">
      <c r="A2556" t="inlineStr">
        <is>
          <t>ED202619</t>
        </is>
      </c>
      <c r="B2556" s="56" t="n">
        <v>45439.58611111111</v>
      </c>
      <c r="C2556" t="inlineStr">
        <is>
          <t>Ashby Falls Community Hospital</t>
        </is>
      </c>
      <c r="D2556" t="n">
        <v>17</v>
      </c>
    </row>
    <row r="2557">
      <c r="A2557" t="inlineStr">
        <is>
          <t>ED202620</t>
        </is>
      </c>
      <c r="B2557" s="56" t="n">
        <v>45439.58958333333</v>
      </c>
      <c r="C2557" t="inlineStr">
        <is>
          <t>Ashby Falls Community Hospital</t>
        </is>
      </c>
      <c r="D2557" t="n">
        <v>58</v>
      </c>
    </row>
    <row r="2558">
      <c r="A2558" t="inlineStr">
        <is>
          <t>ED202621</t>
        </is>
      </c>
      <c r="B2558" s="56" t="n">
        <v>45439.69791666666</v>
      </c>
      <c r="C2558" t="inlineStr">
        <is>
          <t>Bluestone Memorial Hospital</t>
        </is>
      </c>
      <c r="D2558" t="n">
        <v>13</v>
      </c>
    </row>
    <row r="2559">
      <c r="A2559" t="inlineStr">
        <is>
          <t>ED202622</t>
        </is>
      </c>
      <c r="B2559" s="56" t="n">
        <v>45439.70833333334</v>
      </c>
      <c r="C2559" t="inlineStr">
        <is>
          <t>Bluestone Memorial Hospital</t>
        </is>
      </c>
      <c r="D2559" t="n">
        <v>100</v>
      </c>
    </row>
    <row r="2560">
      <c r="A2560" t="inlineStr">
        <is>
          <t>ED202623</t>
        </is>
      </c>
      <c r="B2560" s="56" t="n">
        <v>45439.73125</v>
      </c>
      <c r="C2560" t="inlineStr">
        <is>
          <t>Bluestone Memorial Hospital</t>
        </is>
      </c>
      <c r="D2560" t="n">
        <v>62</v>
      </c>
    </row>
    <row r="2561">
      <c r="A2561" t="inlineStr">
        <is>
          <t>ED202624</t>
        </is>
      </c>
      <c r="B2561" s="56" t="n">
        <v>45439.77361111111</v>
      </c>
      <c r="C2561" t="inlineStr">
        <is>
          <t>Bluestone Memorial Hospital</t>
        </is>
      </c>
      <c r="D2561" t="n">
        <v>29</v>
      </c>
    </row>
    <row r="2562">
      <c r="A2562" t="inlineStr">
        <is>
          <t>ED202625</t>
        </is>
      </c>
      <c r="B2562" s="56" t="n">
        <v>45439.88402777778</v>
      </c>
      <c r="C2562" t="inlineStr">
        <is>
          <t>Cedar Ridge Medical Center</t>
        </is>
      </c>
      <c r="D2562" t="n">
        <v>47</v>
      </c>
    </row>
    <row r="2563">
      <c r="A2563" t="inlineStr">
        <is>
          <t>ED202626</t>
        </is>
      </c>
      <c r="B2563" s="56" t="n">
        <v>45439.90416666667</v>
      </c>
      <c r="C2563" t="inlineStr">
        <is>
          <t>Bluestone Memorial Hospital</t>
        </is>
      </c>
      <c r="D2563" t="n">
        <v>80</v>
      </c>
    </row>
    <row r="2564">
      <c r="A2564" t="inlineStr">
        <is>
          <t>ED202627</t>
        </is>
      </c>
      <c r="B2564" s="56" t="n">
        <v>45439.92222222222</v>
      </c>
      <c r="C2564" t="inlineStr">
        <is>
          <t>Bluestone Memorial Hospital</t>
        </is>
      </c>
      <c r="D2564" t="n">
        <v>40</v>
      </c>
    </row>
    <row r="2565">
      <c r="A2565" t="inlineStr">
        <is>
          <t>ED202628</t>
        </is>
      </c>
      <c r="B2565" s="56" t="n">
        <v>45440.05763888889</v>
      </c>
      <c r="C2565" t="inlineStr">
        <is>
          <t>Cedar Ridge Medical Center</t>
        </is>
      </c>
      <c r="D2565" t="n">
        <v>4</v>
      </c>
    </row>
    <row r="2566">
      <c r="A2566" t="inlineStr">
        <is>
          <t>ED202629</t>
        </is>
      </c>
      <c r="B2566" s="56" t="n">
        <v>45440.21388888889</v>
      </c>
      <c r="C2566" t="inlineStr">
        <is>
          <t>Bluestone Memorial Hospital</t>
        </is>
      </c>
      <c r="D2566" t="n">
        <v>7</v>
      </c>
    </row>
    <row r="2567">
      <c r="A2567" t="inlineStr">
        <is>
          <t>ED202630</t>
        </is>
      </c>
      <c r="B2567" s="56" t="n">
        <v>45440.38194444445</v>
      </c>
      <c r="C2567" t="inlineStr">
        <is>
          <t>Bluestone Memorial Hospital</t>
        </is>
      </c>
      <c r="D2567" t="n">
        <v>23</v>
      </c>
    </row>
    <row r="2568">
      <c r="A2568" t="inlineStr">
        <is>
          <t>ED202631</t>
        </is>
      </c>
      <c r="B2568" s="56" t="n">
        <v>45440.38958333333</v>
      </c>
      <c r="C2568" t="inlineStr">
        <is>
          <t>Bluestone Memorial Hospital</t>
        </is>
      </c>
      <c r="D2568" t="n">
        <v>15</v>
      </c>
    </row>
    <row r="2569">
      <c r="A2569" t="inlineStr">
        <is>
          <t>ED202632</t>
        </is>
      </c>
      <c r="B2569" s="56" t="n">
        <v>45440.55277777778</v>
      </c>
      <c r="C2569" t="inlineStr">
        <is>
          <t>Ashby Falls Community Hospital</t>
        </is>
      </c>
      <c r="D2569" t="n">
        <v>7</v>
      </c>
    </row>
    <row r="2570">
      <c r="A2570" t="inlineStr">
        <is>
          <t>ED202633</t>
        </is>
      </c>
      <c r="B2570" s="56" t="n">
        <v>45440.56319444445</v>
      </c>
      <c r="C2570" t="inlineStr">
        <is>
          <t>Bluestone Memorial Hospital</t>
        </is>
      </c>
      <c r="D2570" t="n">
        <v>28</v>
      </c>
    </row>
    <row r="2571">
      <c r="A2571" t="inlineStr">
        <is>
          <t>ED202634</t>
        </is>
      </c>
      <c r="B2571" s="56" t="n">
        <v>45440.6125</v>
      </c>
      <c r="C2571" t="inlineStr">
        <is>
          <t>Bluestone Memorial Hospital</t>
        </is>
      </c>
      <c r="D2571" t="n">
        <v>20</v>
      </c>
    </row>
    <row r="2572">
      <c r="A2572" t="inlineStr">
        <is>
          <t>ED202635</t>
        </is>
      </c>
      <c r="B2572" s="56" t="n">
        <v>45440.62430555555</v>
      </c>
      <c r="C2572" t="inlineStr">
        <is>
          <t>Bluestone Memorial Hospital</t>
        </is>
      </c>
      <c r="D2572" t="n">
        <v>75</v>
      </c>
    </row>
    <row r="2573">
      <c r="A2573" t="inlineStr">
        <is>
          <t>ED202636</t>
        </is>
      </c>
      <c r="B2573" s="56" t="n">
        <v>45440.64791666667</v>
      </c>
      <c r="C2573" t="inlineStr">
        <is>
          <t>Bluestone Memorial Hospital</t>
        </is>
      </c>
      <c r="D2573" t="n">
        <v>29</v>
      </c>
    </row>
    <row r="2574">
      <c r="A2574" t="inlineStr">
        <is>
          <t>ED202637</t>
        </is>
      </c>
      <c r="B2574" s="56" t="n">
        <v>45440.65069444444</v>
      </c>
      <c r="C2574" t="inlineStr">
        <is>
          <t>Bluestone Memorial Hospital</t>
        </is>
      </c>
      <c r="D2574" t="n">
        <v>8</v>
      </c>
    </row>
    <row r="2575">
      <c r="A2575" t="inlineStr">
        <is>
          <t>ED202638</t>
        </is>
      </c>
      <c r="B2575" s="56" t="n">
        <v>45440.66597222222</v>
      </c>
      <c r="C2575" t="inlineStr">
        <is>
          <t>Bluestone Memorial Hospital</t>
        </is>
      </c>
      <c r="D2575" t="n">
        <v>32</v>
      </c>
    </row>
    <row r="2576">
      <c r="A2576" t="inlineStr">
        <is>
          <t>ED202639</t>
        </is>
      </c>
      <c r="B2576" s="56" t="n">
        <v>45440.66944444444</v>
      </c>
      <c r="C2576" t="inlineStr">
        <is>
          <t>Ashby Falls Community Hospital</t>
        </is>
      </c>
      <c r="D2576" t="n">
        <v>74</v>
      </c>
    </row>
    <row r="2577">
      <c r="A2577" t="inlineStr">
        <is>
          <t>ED202640</t>
        </is>
      </c>
      <c r="B2577" s="56" t="n">
        <v>45440.68680555555</v>
      </c>
      <c r="C2577" t="inlineStr">
        <is>
          <t>Bluestone Memorial Hospital</t>
        </is>
      </c>
      <c r="D2577" t="n">
        <v>85</v>
      </c>
    </row>
    <row r="2578">
      <c r="A2578" t="inlineStr">
        <is>
          <t>ED202642</t>
        </is>
      </c>
      <c r="B2578" s="56" t="n">
        <v>45440.78819444445</v>
      </c>
      <c r="C2578" t="inlineStr">
        <is>
          <t>Bluestone Memorial Hospital</t>
        </is>
      </c>
      <c r="D2578" t="n">
        <v>7</v>
      </c>
    </row>
    <row r="2579">
      <c r="A2579" t="inlineStr">
        <is>
          <t>ED202643</t>
        </is>
      </c>
      <c r="B2579" s="56" t="n">
        <v>45440.89930555555</v>
      </c>
      <c r="C2579" t="inlineStr">
        <is>
          <t>Bluestone Memorial Hospital</t>
        </is>
      </c>
      <c r="D2579" t="n">
        <v>3</v>
      </c>
    </row>
    <row r="2580">
      <c r="A2580" t="inlineStr">
        <is>
          <t>ED202644</t>
        </is>
      </c>
      <c r="B2580" s="56" t="n">
        <v>45441.32569444444</v>
      </c>
      <c r="C2580" t="inlineStr">
        <is>
          <t>Ashby Falls Community Hospital</t>
        </is>
      </c>
      <c r="D2580" t="n">
        <v>22</v>
      </c>
    </row>
    <row r="2581">
      <c r="A2581" t="inlineStr">
        <is>
          <t>ED202645</t>
        </is>
      </c>
      <c r="B2581" s="56" t="n">
        <v>45441.34930555556</v>
      </c>
      <c r="C2581" t="inlineStr">
        <is>
          <t>Ashby Falls Community Hospital</t>
        </is>
      </c>
      <c r="D2581" t="n">
        <v>43</v>
      </c>
    </row>
    <row r="2582">
      <c r="A2582" t="inlineStr">
        <is>
          <t>ED202646</t>
        </is>
      </c>
      <c r="B2582" s="56" t="n">
        <v>45441.35902777778</v>
      </c>
      <c r="C2582" t="inlineStr">
        <is>
          <t>Bluestone Memorial Hospital</t>
        </is>
      </c>
      <c r="D2582" t="n">
        <v>83</v>
      </c>
    </row>
    <row r="2583">
      <c r="A2583" t="inlineStr">
        <is>
          <t>ED202647</t>
        </is>
      </c>
      <c r="B2583" s="56" t="n">
        <v>45441.37430555555</v>
      </c>
      <c r="C2583" t="inlineStr">
        <is>
          <t>Ashby Falls Community Hospital</t>
        </is>
      </c>
      <c r="D2583" t="n">
        <v>24</v>
      </c>
    </row>
    <row r="2584">
      <c r="A2584" t="inlineStr">
        <is>
          <t>ED202648</t>
        </is>
      </c>
      <c r="B2584" s="56" t="n">
        <v>45441.41319444445</v>
      </c>
      <c r="C2584" t="inlineStr">
        <is>
          <t>Bluestone Memorial Hospital</t>
        </is>
      </c>
      <c r="D2584" t="n">
        <v>19</v>
      </c>
    </row>
    <row r="2585">
      <c r="A2585" t="inlineStr">
        <is>
          <t>ED202649</t>
        </is>
      </c>
      <c r="B2585" s="56" t="n">
        <v>45441.55555555555</v>
      </c>
      <c r="C2585" t="inlineStr">
        <is>
          <t>Bluestone Memorial Hospital</t>
        </is>
      </c>
      <c r="D2585" t="n">
        <v>55</v>
      </c>
    </row>
    <row r="2586">
      <c r="A2586" t="inlineStr">
        <is>
          <t>ED202650</t>
        </is>
      </c>
      <c r="B2586" s="56" t="n">
        <v>45441.57777777778</v>
      </c>
      <c r="C2586" t="inlineStr">
        <is>
          <t>Bluestone Memorial Hospital</t>
        </is>
      </c>
      <c r="D2586" t="n">
        <v>8</v>
      </c>
    </row>
    <row r="2587">
      <c r="A2587" t="inlineStr">
        <is>
          <t>ED202651</t>
        </is>
      </c>
      <c r="B2587" s="56" t="n">
        <v>45441.62013888889</v>
      </c>
      <c r="C2587" t="inlineStr">
        <is>
          <t>Cedar Ridge Medical Center</t>
        </is>
      </c>
      <c r="D2587" t="n">
        <v>48</v>
      </c>
    </row>
    <row r="2588">
      <c r="A2588" t="inlineStr">
        <is>
          <t>ED202652</t>
        </is>
      </c>
      <c r="B2588" s="56" t="n">
        <v>45441.62916666667</v>
      </c>
      <c r="C2588" t="inlineStr">
        <is>
          <t>Bluestone Memorial Hospital</t>
        </is>
      </c>
      <c r="D2588" t="n">
        <v>44</v>
      </c>
    </row>
    <row r="2589">
      <c r="A2589" t="inlineStr">
        <is>
          <t>ED202653</t>
        </is>
      </c>
      <c r="B2589" s="56" t="n">
        <v>45441.66527777778</v>
      </c>
      <c r="C2589" t="inlineStr">
        <is>
          <t>Bluestone Memorial Hospital</t>
        </is>
      </c>
      <c r="D2589" t="n">
        <v>127</v>
      </c>
    </row>
    <row r="2590">
      <c r="A2590" t="inlineStr">
        <is>
          <t>ED202655</t>
        </is>
      </c>
      <c r="B2590" s="56" t="n">
        <v>45441.66805555556</v>
      </c>
      <c r="C2590" t="inlineStr">
        <is>
          <t>Bluestone Memorial Hospital</t>
        </is>
      </c>
      <c r="D2590" t="n">
        <v>20</v>
      </c>
    </row>
    <row r="2591">
      <c r="A2591" t="inlineStr">
        <is>
          <t>ED202656</t>
        </is>
      </c>
      <c r="B2591" s="56" t="n">
        <v>45441.67430555556</v>
      </c>
      <c r="C2591" t="inlineStr">
        <is>
          <t>Bluestone Memorial Hospital</t>
        </is>
      </c>
      <c r="D2591" t="n">
        <v>20</v>
      </c>
    </row>
    <row r="2592">
      <c r="A2592" t="inlineStr">
        <is>
          <t>ED202657</t>
        </is>
      </c>
      <c r="B2592" s="56" t="n">
        <v>45441.70486111111</v>
      </c>
      <c r="C2592" t="inlineStr">
        <is>
          <t>Bluestone Memorial Hospital</t>
        </is>
      </c>
      <c r="D2592" t="n">
        <v>83</v>
      </c>
    </row>
    <row r="2593">
      <c r="A2593" t="inlineStr">
        <is>
          <t>ED202658</t>
        </is>
      </c>
      <c r="B2593" s="56" t="n">
        <v>45441.70694444444</v>
      </c>
      <c r="C2593" t="inlineStr">
        <is>
          <t>Bluestone Memorial Hospital</t>
        </is>
      </c>
      <c r="D2593" t="n">
        <v>3</v>
      </c>
    </row>
    <row r="2594">
      <c r="A2594" t="inlineStr">
        <is>
          <t>ED202659</t>
        </is>
      </c>
      <c r="B2594" s="56" t="n">
        <v>45441.79930555556</v>
      </c>
      <c r="C2594" t="inlineStr">
        <is>
          <t>Bluestone Memorial Hospital</t>
        </is>
      </c>
      <c r="D2594" t="n">
        <v>59</v>
      </c>
    </row>
    <row r="2595">
      <c r="A2595" t="inlineStr">
        <is>
          <t>ED202660</t>
        </is>
      </c>
      <c r="B2595" s="56" t="n">
        <v>45441.87291666667</v>
      </c>
      <c r="C2595" t="inlineStr">
        <is>
          <t>Cedar Ridge Medical Center</t>
        </is>
      </c>
      <c r="D2595" t="n">
        <v>99</v>
      </c>
    </row>
    <row r="2596">
      <c r="A2596" t="inlineStr">
        <is>
          <t>ED202661</t>
        </is>
      </c>
      <c r="B2596" s="56" t="n">
        <v>45441.88472222222</v>
      </c>
      <c r="C2596" t="inlineStr">
        <is>
          <t>Ashby Falls Community Hospital</t>
        </is>
      </c>
      <c r="D2596" t="n">
        <v>44</v>
      </c>
    </row>
    <row r="2597">
      <c r="A2597" t="inlineStr">
        <is>
          <t>ED202662</t>
        </is>
      </c>
      <c r="B2597" s="56" t="n">
        <v>45441.88958333333</v>
      </c>
      <c r="C2597" t="inlineStr">
        <is>
          <t>Cedar Ridge Medical Center</t>
        </is>
      </c>
      <c r="D2597" t="n">
        <v>27</v>
      </c>
    </row>
    <row r="2598">
      <c r="A2598" t="inlineStr">
        <is>
          <t>ED202663</t>
        </is>
      </c>
      <c r="B2598" s="56" t="n">
        <v>45441.89097222222</v>
      </c>
      <c r="C2598" t="inlineStr">
        <is>
          <t>Cedar Ridge Medical Center</t>
        </is>
      </c>
      <c r="D2598" t="n">
        <v>39</v>
      </c>
    </row>
    <row r="2599">
      <c r="A2599" t="inlineStr">
        <is>
          <t>ED202664</t>
        </is>
      </c>
      <c r="B2599" s="56" t="n">
        <v>45442.00277777778</v>
      </c>
      <c r="C2599" t="inlineStr">
        <is>
          <t>Bluestone Memorial Hospital</t>
        </is>
      </c>
      <c r="D2599" t="n">
        <v>17</v>
      </c>
    </row>
    <row r="2600">
      <c r="A2600" t="inlineStr">
        <is>
          <t>ED202665</t>
        </is>
      </c>
      <c r="B2600" s="56" t="n">
        <v>45442.04027777778</v>
      </c>
      <c r="C2600" t="inlineStr">
        <is>
          <t>Bluestone Memorial Hospital</t>
        </is>
      </c>
      <c r="D2600" t="n">
        <v>19</v>
      </c>
    </row>
    <row r="2601">
      <c r="A2601" t="inlineStr">
        <is>
          <t>ED202666</t>
        </is>
      </c>
      <c r="B2601" s="56" t="n">
        <v>45442.18055555555</v>
      </c>
      <c r="C2601" t="inlineStr">
        <is>
          <t>Ashby Falls Community Hospital</t>
        </is>
      </c>
      <c r="D2601" t="n">
        <v>20</v>
      </c>
    </row>
    <row r="2602">
      <c r="A2602" t="inlineStr">
        <is>
          <t>ED202667</t>
        </is>
      </c>
      <c r="B2602" s="56" t="n">
        <v>45442.58333333334</v>
      </c>
      <c r="C2602" t="inlineStr">
        <is>
          <t>Bluestone Memorial Hospital</t>
        </is>
      </c>
      <c r="D2602" t="n">
        <v>20</v>
      </c>
    </row>
    <row r="2603">
      <c r="A2603" t="inlineStr">
        <is>
          <t>ED202668</t>
        </is>
      </c>
      <c r="B2603" s="56" t="n">
        <v>45442.74652777778</v>
      </c>
      <c r="C2603" t="inlineStr">
        <is>
          <t>Bluestone Memorial Hospital</t>
        </is>
      </c>
      <c r="D2603" t="n">
        <v>7</v>
      </c>
    </row>
    <row r="2604">
      <c r="A2604" t="inlineStr">
        <is>
          <t>ED202669</t>
        </is>
      </c>
      <c r="B2604" s="56" t="n">
        <v>45442.81458333333</v>
      </c>
      <c r="C2604" t="inlineStr">
        <is>
          <t>Bluestone Memorial Hospital</t>
        </is>
      </c>
      <c r="D2604" t="n">
        <v>23</v>
      </c>
    </row>
    <row r="2605">
      <c r="A2605" t="inlineStr">
        <is>
          <t>ED202670</t>
        </is>
      </c>
      <c r="B2605" s="56" t="n">
        <v>45442.85833333333</v>
      </c>
      <c r="C2605" t="inlineStr">
        <is>
          <t>Ashby Falls Community Hospital</t>
        </is>
      </c>
      <c r="D2605" t="n">
        <v>19</v>
      </c>
    </row>
    <row r="2606">
      <c r="A2606" t="inlineStr">
        <is>
          <t>ED202671</t>
        </is>
      </c>
      <c r="B2606" s="56" t="n">
        <v>45442.88125</v>
      </c>
      <c r="C2606" t="inlineStr">
        <is>
          <t>Cedar Ridge Medical Center</t>
        </is>
      </c>
      <c r="D2606" t="n">
        <v>42</v>
      </c>
    </row>
    <row r="2607">
      <c r="A2607" t="inlineStr">
        <is>
          <t>ED202672</t>
        </is>
      </c>
      <c r="B2607" s="56" t="n">
        <v>45442.90833333333</v>
      </c>
      <c r="C2607" t="inlineStr">
        <is>
          <t>Bluestone Memorial Hospital</t>
        </is>
      </c>
      <c r="D2607" t="n">
        <v>79</v>
      </c>
    </row>
    <row r="2608">
      <c r="A2608" t="inlineStr">
        <is>
          <t>ED202673</t>
        </is>
      </c>
      <c r="B2608" s="56" t="n">
        <v>45442.98125</v>
      </c>
      <c r="C2608" t="inlineStr">
        <is>
          <t>Bluestone Memorial Hospital</t>
        </is>
      </c>
      <c r="D2608" t="n">
        <v>8</v>
      </c>
    </row>
    <row r="2609">
      <c r="A2609" t="inlineStr">
        <is>
          <t>ED202674</t>
        </is>
      </c>
      <c r="B2609" s="56" t="n">
        <v>45443.27916666667</v>
      </c>
      <c r="C2609" t="inlineStr">
        <is>
          <t>Bluestone Memorial Hospital</t>
        </is>
      </c>
      <c r="D2609" t="n">
        <v>52</v>
      </c>
    </row>
    <row r="2610">
      <c r="A2610" t="inlineStr">
        <is>
          <t>ED202675</t>
        </is>
      </c>
      <c r="B2610" s="56" t="n">
        <v>45443.38125</v>
      </c>
      <c r="C2610" t="inlineStr">
        <is>
          <t>Bluestone Memorial Hospital</t>
        </is>
      </c>
      <c r="D2610" t="n">
        <v>18</v>
      </c>
    </row>
    <row r="2611">
      <c r="A2611" t="inlineStr">
        <is>
          <t>ED202676</t>
        </is>
      </c>
      <c r="B2611" s="56" t="n">
        <v>45443.40416666667</v>
      </c>
      <c r="C2611" t="inlineStr">
        <is>
          <t>Cedar Ridge Medical Center</t>
        </is>
      </c>
      <c r="D2611" t="n">
        <v>57</v>
      </c>
    </row>
    <row r="2612">
      <c r="A2612" t="inlineStr">
        <is>
          <t>ED202677</t>
        </is>
      </c>
      <c r="B2612" s="56" t="n">
        <v>45443.41458333333</v>
      </c>
      <c r="C2612" t="inlineStr">
        <is>
          <t>Cedar Ridge Medical Center</t>
        </is>
      </c>
      <c r="D2612" t="n">
        <v>2</v>
      </c>
    </row>
    <row r="2613">
      <c r="A2613" t="inlineStr">
        <is>
          <t>ED202678</t>
        </is>
      </c>
      <c r="B2613" s="56" t="n">
        <v>45443.49513888889</v>
      </c>
      <c r="C2613" t="inlineStr">
        <is>
          <t>Bluestone Memorial Hospital</t>
        </is>
      </c>
      <c r="D2613" t="n">
        <v>69</v>
      </c>
    </row>
    <row r="2614">
      <c r="A2614" t="inlineStr">
        <is>
          <t>ED202679</t>
        </is>
      </c>
      <c r="B2614" s="56" t="n">
        <v>45443.50138888889</v>
      </c>
      <c r="C2614" t="inlineStr">
        <is>
          <t>Bluestone Memorial Hospital</t>
        </is>
      </c>
      <c r="D2614" t="n">
        <v>23</v>
      </c>
    </row>
    <row r="2615">
      <c r="A2615" t="inlineStr">
        <is>
          <t>ED202680</t>
        </is>
      </c>
      <c r="B2615" s="56" t="n">
        <v>45443.56319444445</v>
      </c>
      <c r="C2615" t="inlineStr">
        <is>
          <t>Cedar Ridge Medical Center</t>
        </is>
      </c>
      <c r="D2615" t="n">
        <v>30</v>
      </c>
    </row>
    <row r="2616">
      <c r="A2616" t="inlineStr">
        <is>
          <t>ED202681</t>
        </is>
      </c>
      <c r="B2616" s="56" t="n">
        <v>45443.65277777778</v>
      </c>
      <c r="C2616" t="inlineStr">
        <is>
          <t>Bluestone Memorial Hospital</t>
        </is>
      </c>
      <c r="D2616" t="n">
        <v>43</v>
      </c>
    </row>
    <row r="2617">
      <c r="A2617" t="inlineStr">
        <is>
          <t>ED202682</t>
        </is>
      </c>
      <c r="B2617" s="56" t="n">
        <v>45443.67847222222</v>
      </c>
      <c r="C2617" t="inlineStr">
        <is>
          <t>Cedar Ridge Medical Center</t>
        </is>
      </c>
      <c r="D2617" t="n">
        <v>33</v>
      </c>
    </row>
    <row r="2618">
      <c r="A2618" t="inlineStr">
        <is>
          <t>ED202683</t>
        </is>
      </c>
      <c r="B2618" s="56" t="n">
        <v>45443.70277777778</v>
      </c>
      <c r="C2618" t="inlineStr">
        <is>
          <t>Bluestone Memorial Hospital</t>
        </is>
      </c>
      <c r="D2618" t="n">
        <v>51</v>
      </c>
    </row>
    <row r="2619">
      <c r="A2619" t="inlineStr">
        <is>
          <t>ED202684</t>
        </is>
      </c>
      <c r="B2619" s="56" t="n">
        <v>45443.70833333334</v>
      </c>
      <c r="C2619" t="inlineStr">
        <is>
          <t>Bluestone Memorial Hospital</t>
        </is>
      </c>
      <c r="D2619" t="n">
        <v>87</v>
      </c>
    </row>
    <row r="2620">
      <c r="A2620" t="inlineStr">
        <is>
          <t>ED202685</t>
        </is>
      </c>
      <c r="B2620" s="56" t="n">
        <v>45443.8</v>
      </c>
      <c r="C2620" t="inlineStr">
        <is>
          <t>Bluestone Memorial Hospital</t>
        </is>
      </c>
      <c r="D2620" t="n">
        <v>47</v>
      </c>
    </row>
    <row r="2621">
      <c r="A2621" t="inlineStr">
        <is>
          <t>ED202686</t>
        </is>
      </c>
      <c r="B2621" s="56" t="n">
        <v>45443.95902777778</v>
      </c>
      <c r="C2621" t="inlineStr">
        <is>
          <t>Bluestone Memorial Hospital</t>
        </is>
      </c>
      <c r="D2621" t="n">
        <v>50</v>
      </c>
    </row>
    <row r="2622">
      <c r="A2622" t="inlineStr">
        <is>
          <t>ED202687</t>
        </is>
      </c>
      <c r="B2622" s="56" t="n">
        <v>45443.98472222222</v>
      </c>
      <c r="C2622" t="inlineStr">
        <is>
          <t>Bluestone Memorial Hospital</t>
        </is>
      </c>
      <c r="D2622" t="n">
        <v>49</v>
      </c>
    </row>
    <row r="2623">
      <c r="A2623" t="inlineStr">
        <is>
          <t>ED202688</t>
        </is>
      </c>
      <c r="B2623" s="56" t="n">
        <v>45443.98541666667</v>
      </c>
      <c r="C2623" t="inlineStr">
        <is>
          <t>Bluestone Memorial Hospital</t>
        </is>
      </c>
      <c r="D2623" t="n">
        <v>43</v>
      </c>
    </row>
    <row r="2624">
      <c r="A2624" t="inlineStr">
        <is>
          <t>ED202689</t>
        </is>
      </c>
      <c r="B2624" s="56" t="n">
        <v>45444.19513888889</v>
      </c>
      <c r="C2624" t="inlineStr">
        <is>
          <t>Bluestone Memorial Hospital</t>
        </is>
      </c>
      <c r="D2624" t="n">
        <v>20</v>
      </c>
    </row>
    <row r="2625">
      <c r="A2625" t="inlineStr">
        <is>
          <t>ED202690</t>
        </is>
      </c>
      <c r="B2625" s="56" t="n">
        <v>45444.24097222222</v>
      </c>
      <c r="C2625" t="inlineStr">
        <is>
          <t>Bluestone Memorial Hospital</t>
        </is>
      </c>
      <c r="D2625" t="n">
        <v>26</v>
      </c>
    </row>
    <row r="2626">
      <c r="A2626" t="inlineStr">
        <is>
          <t>ED202691</t>
        </is>
      </c>
      <c r="B2626" s="56" t="n">
        <v>45444.4625</v>
      </c>
      <c r="C2626" t="inlineStr">
        <is>
          <t>Bluestone Memorial Hospital</t>
        </is>
      </c>
      <c r="D2626" t="n">
        <v>23</v>
      </c>
    </row>
    <row r="2627">
      <c r="A2627" t="inlineStr">
        <is>
          <t>ED202692</t>
        </is>
      </c>
      <c r="B2627" s="56" t="n">
        <v>45444.46666666667</v>
      </c>
      <c r="C2627" t="inlineStr">
        <is>
          <t>Bluestone Memorial Hospital</t>
        </is>
      </c>
      <c r="D2627" t="n">
        <v>11</v>
      </c>
    </row>
    <row r="2628">
      <c r="A2628" t="inlineStr">
        <is>
          <t>ED202693</t>
        </is>
      </c>
      <c r="B2628" s="56" t="n">
        <v>45444.54652777778</v>
      </c>
      <c r="C2628" t="inlineStr">
        <is>
          <t>Bluestone Memorial Hospital</t>
        </is>
      </c>
      <c r="D2628" t="n">
        <v>172</v>
      </c>
    </row>
    <row r="2629">
      <c r="A2629" t="inlineStr">
        <is>
          <t>ED202694</t>
        </is>
      </c>
      <c r="B2629" s="56" t="n">
        <v>45444.62847222222</v>
      </c>
      <c r="C2629" t="inlineStr">
        <is>
          <t>Bluestone Memorial Hospital</t>
        </is>
      </c>
      <c r="D2629" t="n">
        <v>27</v>
      </c>
    </row>
    <row r="2630">
      <c r="A2630" t="inlineStr">
        <is>
          <t>ED202695</t>
        </is>
      </c>
      <c r="B2630" s="56" t="n">
        <v>45444.71458333333</v>
      </c>
      <c r="C2630" t="inlineStr">
        <is>
          <t>Ashby Falls Community Hospital</t>
        </is>
      </c>
      <c r="D2630" t="n">
        <v>43</v>
      </c>
    </row>
    <row r="2631">
      <c r="A2631" t="inlineStr">
        <is>
          <t>ED202696</t>
        </is>
      </c>
      <c r="B2631" s="56" t="n">
        <v>45444.72777777778</v>
      </c>
      <c r="C2631" t="inlineStr">
        <is>
          <t>Ashby Falls Community Hospital</t>
        </is>
      </c>
      <c r="D2631" t="n">
        <v>244</v>
      </c>
    </row>
    <row r="2632">
      <c r="A2632" t="inlineStr">
        <is>
          <t>ED202697</t>
        </is>
      </c>
      <c r="B2632" s="56" t="n">
        <v>45444.81180555555</v>
      </c>
      <c r="C2632" t="inlineStr">
        <is>
          <t>Bluestone Memorial Hospital</t>
        </is>
      </c>
      <c r="D2632" t="n">
        <v>28</v>
      </c>
    </row>
    <row r="2633">
      <c r="A2633" t="inlineStr">
        <is>
          <t>ED202698</t>
        </is>
      </c>
      <c r="B2633" s="56" t="n">
        <v>45445.40486111111</v>
      </c>
      <c r="C2633" t="inlineStr">
        <is>
          <t>Cedar Ridge Medical Center</t>
        </is>
      </c>
      <c r="D2633" t="n">
        <v>57</v>
      </c>
    </row>
    <row r="2634">
      <c r="A2634" t="inlineStr">
        <is>
          <t>ED202699</t>
        </is>
      </c>
      <c r="B2634" s="56" t="n">
        <v>45445.5</v>
      </c>
      <c r="C2634" t="inlineStr">
        <is>
          <t>Ashby Falls Community Hospital</t>
        </is>
      </c>
      <c r="D2634" t="n">
        <v>49</v>
      </c>
    </row>
    <row r="2635">
      <c r="A2635" t="inlineStr">
        <is>
          <t>ED202700</t>
        </is>
      </c>
      <c r="B2635" s="56" t="n">
        <v>45445.525</v>
      </c>
      <c r="C2635" t="inlineStr">
        <is>
          <t>Bluestone Memorial Hospital</t>
        </is>
      </c>
      <c r="D2635" t="n">
        <v>29</v>
      </c>
    </row>
    <row r="2636">
      <c r="A2636" t="inlineStr">
        <is>
          <t>ED202701</t>
        </is>
      </c>
      <c r="B2636" s="56" t="n">
        <v>45445.52916666667</v>
      </c>
      <c r="C2636" t="inlineStr">
        <is>
          <t>Ashby Falls Community Hospital</t>
        </is>
      </c>
      <c r="D2636" t="n">
        <v>55</v>
      </c>
    </row>
    <row r="2637">
      <c r="A2637" t="inlineStr">
        <is>
          <t>ED202702</t>
        </is>
      </c>
      <c r="B2637" s="56" t="n">
        <v>45445.55069444444</v>
      </c>
      <c r="C2637" t="inlineStr">
        <is>
          <t>Bluestone Memorial Hospital</t>
        </is>
      </c>
      <c r="D2637" t="n">
        <v>3</v>
      </c>
    </row>
    <row r="2638">
      <c r="A2638" t="inlineStr">
        <is>
          <t>ED202703</t>
        </is>
      </c>
      <c r="B2638" s="56" t="n">
        <v>45445.57777777778</v>
      </c>
      <c r="C2638" t="inlineStr">
        <is>
          <t>Bluestone Memorial Hospital</t>
        </is>
      </c>
      <c r="D2638" t="n">
        <v>52</v>
      </c>
    </row>
    <row r="2639">
      <c r="A2639" t="inlineStr">
        <is>
          <t>ED202704</t>
        </is>
      </c>
      <c r="B2639" s="56" t="n">
        <v>45445.63194444445</v>
      </c>
      <c r="C2639" t="inlineStr">
        <is>
          <t>Cedar Ridge Medical Center</t>
        </is>
      </c>
      <c r="D2639" t="n">
        <v>142</v>
      </c>
    </row>
    <row r="2640">
      <c r="A2640" t="inlineStr">
        <is>
          <t>ED202705</t>
        </is>
      </c>
      <c r="B2640" s="56" t="n">
        <v>45445.65972222222</v>
      </c>
      <c r="C2640" t="inlineStr">
        <is>
          <t>Bluestone Memorial Hospital</t>
        </is>
      </c>
      <c r="D2640" t="n">
        <v>22</v>
      </c>
    </row>
    <row r="2641">
      <c r="A2641" t="inlineStr">
        <is>
          <t>ED202706</t>
        </is>
      </c>
      <c r="B2641" s="56" t="n">
        <v>45445.92013888889</v>
      </c>
      <c r="C2641" t="inlineStr">
        <is>
          <t>Bluestone Memorial Hospital</t>
        </is>
      </c>
      <c r="D2641" t="n">
        <v>68</v>
      </c>
    </row>
    <row r="2642">
      <c r="A2642" t="inlineStr">
        <is>
          <t>ED202707</t>
        </is>
      </c>
      <c r="B2642" s="56" t="n">
        <v>45446.24305555555</v>
      </c>
      <c r="C2642" t="inlineStr">
        <is>
          <t>Bluestone Memorial Hospital</t>
        </is>
      </c>
      <c r="D2642" t="n">
        <v>10</v>
      </c>
    </row>
    <row r="2643">
      <c r="A2643" t="inlineStr">
        <is>
          <t>ED202708</t>
        </is>
      </c>
      <c r="B2643" s="56" t="n">
        <v>45446.35277777778</v>
      </c>
      <c r="C2643" t="inlineStr">
        <is>
          <t>Ashby Falls Community Hospital</t>
        </is>
      </c>
      <c r="D2643" t="n">
        <v>62</v>
      </c>
    </row>
    <row r="2644">
      <c r="A2644" t="inlineStr">
        <is>
          <t>ED202709</t>
        </is>
      </c>
      <c r="B2644" s="56" t="n">
        <v>45446.37847222222</v>
      </c>
      <c r="C2644" t="inlineStr">
        <is>
          <t>Ashby Falls Community Hospital</t>
        </is>
      </c>
      <c r="D2644" t="n">
        <v>22</v>
      </c>
    </row>
    <row r="2645">
      <c r="A2645" t="inlineStr">
        <is>
          <t>ED202710</t>
        </is>
      </c>
      <c r="B2645" s="56" t="n">
        <v>45446.38541666666</v>
      </c>
      <c r="C2645" t="inlineStr">
        <is>
          <t>Bluestone Memorial Hospital</t>
        </is>
      </c>
      <c r="D2645" t="n">
        <v>29</v>
      </c>
    </row>
    <row r="2646">
      <c r="A2646" t="inlineStr">
        <is>
          <t>ED202711</t>
        </is>
      </c>
      <c r="B2646" s="56" t="n">
        <v>45446.45277777778</v>
      </c>
      <c r="C2646" t="inlineStr">
        <is>
          <t>Cedar Ridge Medical Center</t>
        </is>
      </c>
      <c r="D2646" t="n">
        <v>27</v>
      </c>
    </row>
    <row r="2647">
      <c r="A2647" t="inlineStr">
        <is>
          <t>ED202712</t>
        </is>
      </c>
      <c r="B2647" s="56" t="n">
        <v>45446.49861111111</v>
      </c>
      <c r="C2647" t="inlineStr">
        <is>
          <t>Bluestone Memorial Hospital</t>
        </is>
      </c>
      <c r="D2647" t="n">
        <v>96</v>
      </c>
    </row>
    <row r="2648">
      <c r="A2648" t="inlineStr">
        <is>
          <t>ED202713</t>
        </is>
      </c>
      <c r="B2648" s="56" t="n">
        <v>45446.50833333333</v>
      </c>
      <c r="C2648" t="inlineStr">
        <is>
          <t>Ashby Falls Community Hospital</t>
        </is>
      </c>
      <c r="D2648" t="n">
        <v>113</v>
      </c>
    </row>
    <row r="2649">
      <c r="A2649" t="inlineStr">
        <is>
          <t>ED202714</t>
        </is>
      </c>
      <c r="B2649" s="56" t="n">
        <v>45446.52361111111</v>
      </c>
      <c r="C2649" t="inlineStr">
        <is>
          <t>Bluestone Memorial Hospital</t>
        </is>
      </c>
      <c r="D2649" t="n">
        <v>47</v>
      </c>
    </row>
    <row r="2650">
      <c r="A2650" t="inlineStr">
        <is>
          <t>ED202715</t>
        </is>
      </c>
      <c r="B2650" s="56" t="n">
        <v>45446.56111111111</v>
      </c>
      <c r="C2650" t="inlineStr">
        <is>
          <t>Bluestone Memorial Hospital</t>
        </is>
      </c>
      <c r="D2650" t="n">
        <v>76</v>
      </c>
    </row>
    <row r="2651">
      <c r="A2651" t="inlineStr">
        <is>
          <t>ED202716</t>
        </is>
      </c>
      <c r="B2651" s="56" t="n">
        <v>45446.60902777778</v>
      </c>
      <c r="C2651" t="inlineStr">
        <is>
          <t>Bluestone Memorial Hospital</t>
        </is>
      </c>
      <c r="D2651" t="n">
        <v>5</v>
      </c>
    </row>
    <row r="2652">
      <c r="A2652" t="inlineStr">
        <is>
          <t>ED202717</t>
        </is>
      </c>
      <c r="B2652" s="56" t="n">
        <v>45446.65625</v>
      </c>
      <c r="C2652" t="inlineStr">
        <is>
          <t>Bluestone Memorial Hospital</t>
        </is>
      </c>
      <c r="D2652" t="n">
        <v>26</v>
      </c>
    </row>
    <row r="2653">
      <c r="A2653" t="inlineStr">
        <is>
          <t>ED202718</t>
        </is>
      </c>
      <c r="B2653" s="56" t="n">
        <v>45446.70347222222</v>
      </c>
      <c r="C2653" t="inlineStr">
        <is>
          <t>Bluestone Memorial Hospital</t>
        </is>
      </c>
      <c r="D2653" t="n">
        <v>113</v>
      </c>
    </row>
    <row r="2654">
      <c r="A2654" t="inlineStr">
        <is>
          <t>ED202719</t>
        </is>
      </c>
      <c r="B2654" s="56" t="n">
        <v>45446.71875</v>
      </c>
      <c r="C2654" t="inlineStr">
        <is>
          <t>Bluestone Memorial Hospital</t>
        </is>
      </c>
      <c r="D2654" t="n">
        <v>47</v>
      </c>
    </row>
    <row r="2655">
      <c r="A2655" t="inlineStr">
        <is>
          <t>ED202720</t>
        </is>
      </c>
      <c r="B2655" s="56" t="n">
        <v>45446.78888888889</v>
      </c>
      <c r="C2655" t="inlineStr">
        <is>
          <t>Bluestone Memorial Hospital</t>
        </is>
      </c>
      <c r="D2655" t="n">
        <v>17</v>
      </c>
    </row>
    <row r="2656">
      <c r="A2656" t="inlineStr">
        <is>
          <t>ED202721</t>
        </is>
      </c>
      <c r="B2656" s="56" t="n">
        <v>45446.82916666667</v>
      </c>
      <c r="C2656" t="inlineStr">
        <is>
          <t>Bluestone Memorial Hospital</t>
        </is>
      </c>
      <c r="D2656" t="n">
        <v>64</v>
      </c>
    </row>
    <row r="2657">
      <c r="A2657" t="inlineStr">
        <is>
          <t>ED202722</t>
        </is>
      </c>
      <c r="B2657" s="56" t="n">
        <v>45446.91944444444</v>
      </c>
      <c r="C2657" t="inlineStr">
        <is>
          <t>Cedar Ridge Medical Center</t>
        </is>
      </c>
      <c r="D2657" t="n">
        <v>76</v>
      </c>
    </row>
    <row r="2658">
      <c r="A2658" t="inlineStr">
        <is>
          <t>ED202723</t>
        </is>
      </c>
      <c r="B2658" s="56" t="n">
        <v>45446.93472222222</v>
      </c>
      <c r="C2658" t="inlineStr">
        <is>
          <t>Bluestone Memorial Hospital</t>
        </is>
      </c>
      <c r="D2658" t="n">
        <v>11</v>
      </c>
    </row>
    <row r="2659">
      <c r="A2659" t="inlineStr">
        <is>
          <t>ED202724</t>
        </is>
      </c>
      <c r="B2659" s="56" t="n">
        <v>45447.01875</v>
      </c>
      <c r="C2659" t="inlineStr">
        <is>
          <t>Bluestone Memorial Hospital</t>
        </is>
      </c>
      <c r="D2659" t="n">
        <v>24</v>
      </c>
    </row>
    <row r="2660">
      <c r="A2660" t="inlineStr">
        <is>
          <t>ED202725</t>
        </is>
      </c>
      <c r="B2660" s="56" t="n">
        <v>45447.12152777778</v>
      </c>
      <c r="C2660" t="inlineStr">
        <is>
          <t>Bluestone Memorial Hospital</t>
        </is>
      </c>
      <c r="D2660" t="n">
        <v>19</v>
      </c>
    </row>
    <row r="2661">
      <c r="A2661" t="inlineStr">
        <is>
          <t>ED202726</t>
        </is>
      </c>
      <c r="B2661" s="56" t="n">
        <v>45447.32916666667</v>
      </c>
      <c r="C2661" t="inlineStr">
        <is>
          <t>Ashby Falls Community Hospital</t>
        </is>
      </c>
      <c r="D2661" t="n">
        <v>51</v>
      </c>
    </row>
    <row r="2662">
      <c r="A2662" t="inlineStr">
        <is>
          <t>ED202727</t>
        </is>
      </c>
      <c r="B2662" s="56" t="n">
        <v>45447.68541666667</v>
      </c>
      <c r="C2662" t="inlineStr">
        <is>
          <t>Cedar Ridge Medical Center</t>
        </is>
      </c>
      <c r="D2662" t="n">
        <v>9</v>
      </c>
    </row>
    <row r="2663">
      <c r="A2663" t="inlineStr">
        <is>
          <t>ED202728</t>
        </is>
      </c>
      <c r="B2663" s="56" t="n">
        <v>45447.73402777778</v>
      </c>
      <c r="C2663" t="inlineStr">
        <is>
          <t>Bluestone Memorial Hospital</t>
        </is>
      </c>
      <c r="D2663" t="n">
        <v>13</v>
      </c>
    </row>
    <row r="2664">
      <c r="A2664" t="inlineStr">
        <is>
          <t>ED202729</t>
        </is>
      </c>
      <c r="B2664" s="56" t="n">
        <v>45447.77361111111</v>
      </c>
      <c r="C2664" t="inlineStr">
        <is>
          <t>Bluestone Memorial Hospital</t>
        </is>
      </c>
      <c r="D2664" t="n">
        <v>46</v>
      </c>
    </row>
    <row r="2665">
      <c r="A2665" t="inlineStr">
        <is>
          <t>ED202730</t>
        </is>
      </c>
      <c r="B2665" s="56" t="n">
        <v>45447.84583333333</v>
      </c>
      <c r="C2665" t="inlineStr">
        <is>
          <t>Bluestone Memorial Hospital</t>
        </is>
      </c>
      <c r="D2665" t="n">
        <v>66</v>
      </c>
    </row>
    <row r="2666">
      <c r="A2666" t="inlineStr">
        <is>
          <t>ED202731</t>
        </is>
      </c>
      <c r="B2666" s="56" t="n">
        <v>45447.85486111111</v>
      </c>
      <c r="C2666" t="inlineStr">
        <is>
          <t>Bluestone Memorial Hospital</t>
        </is>
      </c>
      <c r="D2666" t="n">
        <v>15</v>
      </c>
    </row>
    <row r="2667">
      <c r="A2667" t="inlineStr">
        <is>
          <t>ED202732</t>
        </is>
      </c>
      <c r="B2667" s="56" t="n">
        <v>45447.97013888889</v>
      </c>
      <c r="C2667" t="inlineStr">
        <is>
          <t>Bluestone Memorial Hospital</t>
        </is>
      </c>
      <c r="D2667" t="n">
        <v>27</v>
      </c>
    </row>
    <row r="2668">
      <c r="A2668" t="inlineStr">
        <is>
          <t>ED202733</t>
        </is>
      </c>
      <c r="B2668" s="56" t="n">
        <v>45448.04027777778</v>
      </c>
      <c r="C2668" t="inlineStr">
        <is>
          <t>Bluestone Memorial Hospital</t>
        </is>
      </c>
      <c r="D2668" t="n">
        <v>34</v>
      </c>
    </row>
    <row r="2669">
      <c r="A2669" t="inlineStr">
        <is>
          <t>ED202734</t>
        </is>
      </c>
      <c r="B2669" s="56" t="n">
        <v>45448.07847222222</v>
      </c>
      <c r="C2669" t="inlineStr">
        <is>
          <t>Bluestone Memorial Hospital</t>
        </is>
      </c>
      <c r="D2669" t="n">
        <v>24</v>
      </c>
    </row>
    <row r="2670">
      <c r="A2670" t="inlineStr">
        <is>
          <t>ED202735</t>
        </is>
      </c>
      <c r="B2670" s="56" t="n">
        <v>45448.36875</v>
      </c>
      <c r="C2670" t="inlineStr">
        <is>
          <t>Ashby Falls Community Hospital</t>
        </is>
      </c>
      <c r="D2670" t="n">
        <v>29</v>
      </c>
    </row>
    <row r="2671">
      <c r="A2671" t="inlineStr">
        <is>
          <t>ED202736</t>
        </is>
      </c>
      <c r="B2671" s="56" t="n">
        <v>45448.44027777778</v>
      </c>
      <c r="C2671" t="inlineStr">
        <is>
          <t>Bluestone Memorial Hospital</t>
        </is>
      </c>
      <c r="D2671" t="n">
        <v>61</v>
      </c>
    </row>
    <row r="2672">
      <c r="A2672" t="inlineStr">
        <is>
          <t>ED202737</t>
        </is>
      </c>
      <c r="B2672" s="56" t="n">
        <v>45448.45347222222</v>
      </c>
      <c r="C2672" t="inlineStr">
        <is>
          <t>Cedar Ridge Medical Center</t>
        </is>
      </c>
      <c r="D2672" t="n">
        <v>78</v>
      </c>
    </row>
    <row r="2673">
      <c r="A2673" t="inlineStr">
        <is>
          <t>ED202738</t>
        </is>
      </c>
      <c r="B2673" s="56" t="n">
        <v>45448.45347222222</v>
      </c>
      <c r="C2673" t="inlineStr">
        <is>
          <t>Cedar Ridge Medical Center</t>
        </is>
      </c>
      <c r="D2673" t="n">
        <v>24</v>
      </c>
    </row>
    <row r="2674">
      <c r="A2674" t="inlineStr">
        <is>
          <t>ED202739</t>
        </is>
      </c>
      <c r="B2674" s="56" t="n">
        <v>45448.51041666666</v>
      </c>
      <c r="C2674" t="inlineStr">
        <is>
          <t>Bluestone Memorial Hospital</t>
        </is>
      </c>
      <c r="D2674" t="n">
        <v>50</v>
      </c>
    </row>
    <row r="2675">
      <c r="A2675" t="inlineStr">
        <is>
          <t>ED202740</t>
        </is>
      </c>
      <c r="B2675" s="56" t="n">
        <v>45448.52013888889</v>
      </c>
      <c r="C2675" t="inlineStr">
        <is>
          <t>Bluestone Memorial Hospital</t>
        </is>
      </c>
      <c r="D2675" t="n">
        <v>146</v>
      </c>
    </row>
    <row r="2676">
      <c r="A2676" t="inlineStr">
        <is>
          <t>ED202741</t>
        </is>
      </c>
      <c r="B2676" s="56" t="n">
        <v>45448.52152777778</v>
      </c>
      <c r="C2676" t="inlineStr">
        <is>
          <t>Bluestone Memorial Hospital</t>
        </is>
      </c>
      <c r="D2676" t="n">
        <v>29</v>
      </c>
    </row>
    <row r="2677">
      <c r="A2677" t="inlineStr">
        <is>
          <t>ED202742</t>
        </is>
      </c>
      <c r="B2677" s="56" t="n">
        <v>45448.66041666667</v>
      </c>
      <c r="C2677" t="inlineStr">
        <is>
          <t>Bluestone Memorial Hospital</t>
        </is>
      </c>
      <c r="D2677" t="n">
        <v>34</v>
      </c>
    </row>
    <row r="2678">
      <c r="A2678" t="inlineStr">
        <is>
          <t>ED202743</t>
        </is>
      </c>
      <c r="B2678" s="56" t="n">
        <v>45448.75069444445</v>
      </c>
      <c r="C2678" t="inlineStr">
        <is>
          <t>Bluestone Memorial Hospital</t>
        </is>
      </c>
      <c r="D2678" t="n">
        <v>71</v>
      </c>
    </row>
    <row r="2679">
      <c r="A2679" t="inlineStr">
        <is>
          <t>ED202744</t>
        </is>
      </c>
      <c r="B2679" s="56" t="n">
        <v>45448.75555555556</v>
      </c>
      <c r="C2679" t="inlineStr">
        <is>
          <t>Ashby Falls Community Hospital</t>
        </is>
      </c>
      <c r="D2679" t="n">
        <v>58</v>
      </c>
    </row>
    <row r="2680">
      <c r="A2680" t="inlineStr">
        <is>
          <t>ED202745</t>
        </is>
      </c>
      <c r="B2680" s="56" t="n">
        <v>45448.76111111111</v>
      </c>
      <c r="C2680" t="inlineStr">
        <is>
          <t>Cedar Ridge Medical Center</t>
        </is>
      </c>
      <c r="D2680" t="n">
        <v>30</v>
      </c>
    </row>
    <row r="2681">
      <c r="A2681" t="inlineStr">
        <is>
          <t>ED202746</t>
        </is>
      </c>
      <c r="B2681" s="56" t="n">
        <v>45448.93819444445</v>
      </c>
      <c r="C2681" t="inlineStr">
        <is>
          <t>Bluestone Memorial Hospital</t>
        </is>
      </c>
      <c r="D2681" t="n">
        <v>18</v>
      </c>
    </row>
    <row r="2682">
      <c r="A2682" t="inlineStr">
        <is>
          <t>ED202747</t>
        </is>
      </c>
      <c r="B2682" s="56" t="n">
        <v>45448.96875</v>
      </c>
      <c r="C2682" t="inlineStr">
        <is>
          <t>Bluestone Memorial Hospital</t>
        </is>
      </c>
      <c r="D2682" t="n">
        <v>18</v>
      </c>
    </row>
    <row r="2683">
      <c r="A2683" t="inlineStr">
        <is>
          <t>ED202748</t>
        </is>
      </c>
      <c r="B2683" s="56" t="n">
        <v>45449.05277777778</v>
      </c>
      <c r="C2683" t="inlineStr">
        <is>
          <t>Bluestone Memorial Hospital</t>
        </is>
      </c>
      <c r="D2683" t="n">
        <v>29</v>
      </c>
    </row>
    <row r="2684">
      <c r="A2684" t="inlineStr">
        <is>
          <t>ED202749</t>
        </is>
      </c>
      <c r="B2684" s="56" t="n">
        <v>45449.41597222222</v>
      </c>
      <c r="C2684" t="inlineStr">
        <is>
          <t>Bluestone Memorial Hospital</t>
        </is>
      </c>
      <c r="D2684" t="n">
        <v>125</v>
      </c>
    </row>
    <row r="2685">
      <c r="A2685" t="inlineStr">
        <is>
          <t>ED202750</t>
        </is>
      </c>
      <c r="B2685" s="56" t="n">
        <v>45449.46180555555</v>
      </c>
      <c r="C2685" t="inlineStr">
        <is>
          <t>Bluestone Memorial Hospital</t>
        </is>
      </c>
      <c r="D2685" t="n">
        <v>38</v>
      </c>
    </row>
    <row r="2686">
      <c r="A2686" t="inlineStr">
        <is>
          <t>ED202751</t>
        </is>
      </c>
      <c r="B2686" s="56" t="n">
        <v>45449.48611111111</v>
      </c>
      <c r="C2686" t="inlineStr">
        <is>
          <t>Bluestone Memorial Hospital</t>
        </is>
      </c>
      <c r="D2686" t="n">
        <v>33</v>
      </c>
    </row>
    <row r="2687">
      <c r="A2687" t="inlineStr">
        <is>
          <t>ED202752</t>
        </is>
      </c>
      <c r="B2687" s="56" t="n">
        <v>45449.60972222222</v>
      </c>
      <c r="C2687" t="inlineStr">
        <is>
          <t>Bluestone Memorial Hospital</t>
        </is>
      </c>
      <c r="D2687" t="n">
        <v>60</v>
      </c>
    </row>
    <row r="2688">
      <c r="A2688" t="inlineStr">
        <is>
          <t>ED202753</t>
        </is>
      </c>
      <c r="B2688" s="56" t="n">
        <v>45449.70416666667</v>
      </c>
      <c r="C2688" t="inlineStr">
        <is>
          <t>Cedar Ridge Medical Center</t>
        </is>
      </c>
      <c r="D2688" t="n">
        <v>78</v>
      </c>
    </row>
    <row r="2689">
      <c r="A2689" t="inlineStr">
        <is>
          <t>ED202754</t>
        </is>
      </c>
      <c r="B2689" s="56" t="n">
        <v>45449.78541666667</v>
      </c>
      <c r="C2689" t="inlineStr">
        <is>
          <t>Bluestone Memorial Hospital</t>
        </is>
      </c>
      <c r="D2689" t="n">
        <v>40</v>
      </c>
    </row>
    <row r="2690">
      <c r="A2690" t="inlineStr">
        <is>
          <t>ED202755</t>
        </is>
      </c>
      <c r="B2690" s="56" t="n">
        <v>45449.79097222222</v>
      </c>
      <c r="C2690" t="inlineStr">
        <is>
          <t>Bluestone Memorial Hospital</t>
        </is>
      </c>
      <c r="D2690" t="n">
        <v>45</v>
      </c>
    </row>
    <row r="2691">
      <c r="A2691" t="inlineStr">
        <is>
          <t>ED202756</t>
        </is>
      </c>
      <c r="B2691" s="56" t="n">
        <v>45449.79305555556</v>
      </c>
      <c r="C2691" t="inlineStr">
        <is>
          <t>Bluestone Memorial Hospital</t>
        </is>
      </c>
      <c r="D2691" t="n">
        <v>127</v>
      </c>
    </row>
    <row r="2692">
      <c r="A2692" t="inlineStr">
        <is>
          <t>ED202757</t>
        </is>
      </c>
      <c r="B2692" s="56" t="n">
        <v>45449.82291666666</v>
      </c>
      <c r="C2692" t="inlineStr">
        <is>
          <t>Bluestone Memorial Hospital</t>
        </is>
      </c>
      <c r="D2692" t="n">
        <v>65</v>
      </c>
    </row>
    <row r="2693">
      <c r="A2693" t="inlineStr">
        <is>
          <t>ED202758</t>
        </is>
      </c>
      <c r="B2693" s="56" t="n">
        <v>45449.94444444445</v>
      </c>
      <c r="C2693" t="inlineStr">
        <is>
          <t>Bluestone Memorial Hospital</t>
        </is>
      </c>
      <c r="D2693" t="n">
        <v>7</v>
      </c>
    </row>
    <row r="2694">
      <c r="A2694" t="inlineStr">
        <is>
          <t>ED202759</t>
        </is>
      </c>
      <c r="B2694" s="56" t="n">
        <v>45449.95208333333</v>
      </c>
      <c r="C2694" t="inlineStr">
        <is>
          <t>Cedar Ridge Medical Center</t>
        </is>
      </c>
      <c r="D2694" t="n">
        <v>13</v>
      </c>
    </row>
    <row r="2695">
      <c r="A2695" t="inlineStr">
        <is>
          <t>ED202760</t>
        </is>
      </c>
      <c r="B2695" s="56" t="n">
        <v>45450.29166666666</v>
      </c>
      <c r="C2695" t="inlineStr">
        <is>
          <t>Ashby Falls Community Hospital</t>
        </is>
      </c>
      <c r="D2695" t="n">
        <v>26</v>
      </c>
    </row>
    <row r="2696">
      <c r="A2696" t="inlineStr">
        <is>
          <t>ED202761</t>
        </is>
      </c>
      <c r="B2696" s="56" t="n">
        <v>45450.33333333334</v>
      </c>
      <c r="C2696" t="inlineStr">
        <is>
          <t>Bluestone Memorial Hospital</t>
        </is>
      </c>
      <c r="D2696" t="n">
        <v>67</v>
      </c>
    </row>
    <row r="2697">
      <c r="A2697" t="inlineStr">
        <is>
          <t>ED202762</t>
        </is>
      </c>
      <c r="B2697" s="56" t="n">
        <v>45450.36805555555</v>
      </c>
      <c r="C2697" t="inlineStr">
        <is>
          <t>Bluestone Memorial Hospital</t>
        </is>
      </c>
      <c r="D2697" t="n">
        <v>54</v>
      </c>
    </row>
    <row r="2698">
      <c r="A2698" t="inlineStr">
        <is>
          <t>ED202763</t>
        </is>
      </c>
      <c r="B2698" s="56" t="n">
        <v>45450.43888888889</v>
      </c>
      <c r="C2698" t="inlineStr">
        <is>
          <t>Cedar Ridge Medical Center</t>
        </is>
      </c>
      <c r="D2698" t="n">
        <v>11</v>
      </c>
    </row>
    <row r="2699">
      <c r="A2699" t="inlineStr">
        <is>
          <t>ED202764</t>
        </is>
      </c>
      <c r="B2699" s="56" t="n">
        <v>45450.47222222222</v>
      </c>
      <c r="C2699" t="inlineStr">
        <is>
          <t>Bluestone Memorial Hospital</t>
        </is>
      </c>
      <c r="D2699" t="n">
        <v>2</v>
      </c>
    </row>
    <row r="2700">
      <c r="A2700" t="inlineStr">
        <is>
          <t>ED202765</t>
        </is>
      </c>
      <c r="B2700" s="56" t="n">
        <v>45450.48125</v>
      </c>
      <c r="C2700" t="inlineStr">
        <is>
          <t>Cedar Ridge Medical Center</t>
        </is>
      </c>
      <c r="D2700" t="n">
        <v>29</v>
      </c>
    </row>
    <row r="2701">
      <c r="A2701" t="inlineStr">
        <is>
          <t>ED202766</t>
        </is>
      </c>
      <c r="B2701" s="56" t="n">
        <v>45450.52430555555</v>
      </c>
      <c r="C2701" t="inlineStr">
        <is>
          <t>Bluestone Memorial Hospital</t>
        </is>
      </c>
      <c r="D2701" t="n">
        <v>19</v>
      </c>
    </row>
    <row r="2702">
      <c r="A2702" t="inlineStr">
        <is>
          <t>ED202767</t>
        </is>
      </c>
      <c r="B2702" s="56" t="n">
        <v>45450.53125</v>
      </c>
      <c r="C2702" t="inlineStr">
        <is>
          <t>Cedar Ridge Medical Center</t>
        </is>
      </c>
      <c r="D2702" t="n">
        <v>15</v>
      </c>
    </row>
    <row r="2703">
      <c r="A2703" t="inlineStr">
        <is>
          <t>ED202768</t>
        </is>
      </c>
      <c r="B2703" s="56" t="n">
        <v>45450.55</v>
      </c>
      <c r="C2703" t="inlineStr">
        <is>
          <t>Bluestone Memorial Hospital</t>
        </is>
      </c>
      <c r="D2703" t="n">
        <v>13</v>
      </c>
    </row>
    <row r="2704">
      <c r="A2704" t="inlineStr">
        <is>
          <t>ED202769</t>
        </is>
      </c>
      <c r="B2704" s="56" t="n">
        <v>45450.64236111111</v>
      </c>
      <c r="C2704" t="inlineStr">
        <is>
          <t>Ashby Falls Community Hospital</t>
        </is>
      </c>
      <c r="D2704" t="n">
        <v>49</v>
      </c>
    </row>
    <row r="2705">
      <c r="A2705" t="inlineStr">
        <is>
          <t>ED202770</t>
        </is>
      </c>
      <c r="B2705" s="56" t="n">
        <v>45450.69930555556</v>
      </c>
      <c r="C2705" t="inlineStr">
        <is>
          <t>Bluestone Memorial Hospital</t>
        </is>
      </c>
      <c r="D2705" t="n">
        <v>58</v>
      </c>
    </row>
    <row r="2706">
      <c r="A2706" t="inlineStr">
        <is>
          <t>ED202771</t>
        </is>
      </c>
      <c r="B2706" s="56" t="n">
        <v>45450.70416666667</v>
      </c>
      <c r="C2706" t="inlineStr">
        <is>
          <t>Bluestone Memorial Hospital</t>
        </is>
      </c>
      <c r="D2706" t="n">
        <v>121</v>
      </c>
    </row>
    <row r="2707">
      <c r="A2707" t="inlineStr">
        <is>
          <t>ED202772</t>
        </is>
      </c>
      <c r="B2707" s="56" t="n">
        <v>45450.75416666667</v>
      </c>
      <c r="C2707" t="inlineStr">
        <is>
          <t>Cedar Ridge Medical Center</t>
        </is>
      </c>
      <c r="D2707" t="n">
        <v>11</v>
      </c>
    </row>
    <row r="2708">
      <c r="A2708" t="inlineStr">
        <is>
          <t>ED202773</t>
        </is>
      </c>
      <c r="B2708" s="56" t="n">
        <v>45450.77083333334</v>
      </c>
      <c r="C2708" t="inlineStr">
        <is>
          <t>Ashby Falls Community Hospital</t>
        </is>
      </c>
      <c r="D2708" t="n">
        <v>100</v>
      </c>
    </row>
    <row r="2709">
      <c r="A2709" t="inlineStr">
        <is>
          <t>ED202774</t>
        </is>
      </c>
      <c r="B2709" s="56" t="n">
        <v>45450.78125</v>
      </c>
      <c r="C2709" t="inlineStr">
        <is>
          <t>Bluestone Memorial Hospital</t>
        </is>
      </c>
      <c r="D2709" t="n">
        <v>38</v>
      </c>
    </row>
    <row r="2710">
      <c r="A2710" t="inlineStr">
        <is>
          <t>ED202775</t>
        </is>
      </c>
      <c r="B2710" s="56" t="n">
        <v>45450.85625</v>
      </c>
      <c r="C2710" t="inlineStr">
        <is>
          <t>Bluestone Memorial Hospital</t>
        </is>
      </c>
      <c r="D2710" t="n">
        <v>114</v>
      </c>
    </row>
    <row r="2711">
      <c r="A2711" t="inlineStr">
        <is>
          <t>ED202776</t>
        </is>
      </c>
      <c r="B2711" s="56" t="n">
        <v>45450.90555555555</v>
      </c>
      <c r="C2711" t="inlineStr">
        <is>
          <t>Ashby Falls Community Hospital</t>
        </is>
      </c>
      <c r="D2711" t="n">
        <v>10</v>
      </c>
    </row>
    <row r="2712">
      <c r="A2712" t="inlineStr">
        <is>
          <t>ED202777</t>
        </is>
      </c>
      <c r="B2712" s="56" t="n">
        <v>45450.90902777778</v>
      </c>
      <c r="C2712" t="inlineStr">
        <is>
          <t>Bluestone Memorial Hospital</t>
        </is>
      </c>
      <c r="D2712" t="n">
        <v>29</v>
      </c>
    </row>
    <row r="2713">
      <c r="A2713" t="inlineStr">
        <is>
          <t>ED202778</t>
        </is>
      </c>
      <c r="B2713" s="56" t="n">
        <v>45450.92152777778</v>
      </c>
      <c r="C2713" t="inlineStr">
        <is>
          <t>Bluestone Memorial Hospital</t>
        </is>
      </c>
      <c r="D2713" t="n">
        <v>25</v>
      </c>
    </row>
    <row r="2714">
      <c r="A2714" t="inlineStr">
        <is>
          <t>ED202779</t>
        </is>
      </c>
      <c r="B2714" s="56" t="n">
        <v>45450.92430555556</v>
      </c>
      <c r="C2714" t="inlineStr">
        <is>
          <t>Cedar Ridge Medical Center</t>
        </is>
      </c>
      <c r="D2714" t="n">
        <v>36</v>
      </c>
    </row>
    <row r="2715">
      <c r="A2715" t="inlineStr">
        <is>
          <t>ED202780</t>
        </is>
      </c>
      <c r="B2715" s="56" t="n">
        <v>45451.29652777778</v>
      </c>
      <c r="C2715" t="inlineStr">
        <is>
          <t>Bluestone Memorial Hospital</t>
        </is>
      </c>
      <c r="D2715" t="n">
        <v>26</v>
      </c>
    </row>
    <row r="2716">
      <c r="A2716" t="inlineStr">
        <is>
          <t>ED202781</t>
        </is>
      </c>
      <c r="B2716" s="56" t="n">
        <v>45451.35763888889</v>
      </c>
      <c r="C2716" t="inlineStr">
        <is>
          <t>Bluestone Memorial Hospital</t>
        </is>
      </c>
      <c r="D2716" t="n">
        <v>25</v>
      </c>
    </row>
    <row r="2717">
      <c r="A2717" t="inlineStr">
        <is>
          <t>ED202782</t>
        </is>
      </c>
      <c r="B2717" s="56" t="n">
        <v>45451.46180555555</v>
      </c>
      <c r="C2717" t="inlineStr">
        <is>
          <t>Bluestone Memorial Hospital</t>
        </is>
      </c>
      <c r="D2717" t="n">
        <v>103</v>
      </c>
    </row>
    <row r="2718">
      <c r="A2718" t="inlineStr">
        <is>
          <t>ED202783</t>
        </is>
      </c>
      <c r="B2718" s="56" t="n">
        <v>45451.49930555555</v>
      </c>
      <c r="C2718" t="inlineStr">
        <is>
          <t>Bluestone Memorial Hospital</t>
        </is>
      </c>
      <c r="D2718" t="n">
        <v>48</v>
      </c>
    </row>
    <row r="2719">
      <c r="A2719" t="inlineStr">
        <is>
          <t>ED202784</t>
        </is>
      </c>
      <c r="B2719" s="56" t="n">
        <v>45451.62222222222</v>
      </c>
      <c r="C2719" t="inlineStr">
        <is>
          <t>Ashby Falls Community Hospital</t>
        </is>
      </c>
      <c r="D2719" t="n">
        <v>31</v>
      </c>
    </row>
    <row r="2720">
      <c r="A2720" t="inlineStr">
        <is>
          <t>ED202785</t>
        </is>
      </c>
      <c r="B2720" s="56" t="n">
        <v>45451.66319444445</v>
      </c>
      <c r="C2720" t="inlineStr">
        <is>
          <t>Bluestone Memorial Hospital</t>
        </is>
      </c>
      <c r="D2720" t="n">
        <v>95</v>
      </c>
    </row>
    <row r="2721">
      <c r="A2721" t="inlineStr">
        <is>
          <t>ED202786</t>
        </is>
      </c>
      <c r="B2721" s="56" t="n">
        <v>45451.69513888889</v>
      </c>
      <c r="C2721" t="inlineStr">
        <is>
          <t>Bluestone Memorial Hospital</t>
        </is>
      </c>
      <c r="D2721" t="n">
        <v>59</v>
      </c>
    </row>
    <row r="2722">
      <c r="A2722" t="inlineStr">
        <is>
          <t>ED202787</t>
        </is>
      </c>
      <c r="B2722" s="56" t="n">
        <v>45451.74375</v>
      </c>
      <c r="C2722" t="inlineStr">
        <is>
          <t>Bluestone Memorial Hospital</t>
        </is>
      </c>
      <c r="D2722" t="n">
        <v>126</v>
      </c>
    </row>
    <row r="2723">
      <c r="A2723" t="inlineStr">
        <is>
          <t>ED202788</t>
        </is>
      </c>
      <c r="B2723" s="56" t="n">
        <v>45451.76041666666</v>
      </c>
      <c r="C2723" t="inlineStr">
        <is>
          <t>Bluestone Memorial Hospital</t>
        </is>
      </c>
      <c r="D2723" t="n">
        <v>46</v>
      </c>
    </row>
    <row r="2724">
      <c r="A2724" t="inlineStr">
        <is>
          <t>ED202789</t>
        </is>
      </c>
      <c r="B2724" s="56" t="n">
        <v>45451.85763888889</v>
      </c>
      <c r="C2724" t="inlineStr">
        <is>
          <t>Cedar Ridge Medical Center</t>
        </is>
      </c>
      <c r="D2724" t="n">
        <v>33</v>
      </c>
    </row>
    <row r="2725">
      <c r="A2725" t="inlineStr">
        <is>
          <t>ED202790</t>
        </is>
      </c>
      <c r="B2725" s="56" t="n">
        <v>45452.01805555556</v>
      </c>
      <c r="C2725" t="inlineStr">
        <is>
          <t>Ashby Falls Community Hospital</t>
        </is>
      </c>
      <c r="D2725" t="n">
        <v>57</v>
      </c>
    </row>
    <row r="2726">
      <c r="A2726" t="inlineStr">
        <is>
          <t>ED202791</t>
        </is>
      </c>
      <c r="B2726" s="56" t="n">
        <v>45452.11111111111</v>
      </c>
      <c r="C2726" t="inlineStr">
        <is>
          <t>Bluestone Memorial Hospital</t>
        </is>
      </c>
      <c r="D2726" t="n">
        <v>42</v>
      </c>
    </row>
    <row r="2727">
      <c r="A2727" t="inlineStr">
        <is>
          <t>ED202792</t>
        </is>
      </c>
      <c r="B2727" s="56" t="n">
        <v>45452.32222222222</v>
      </c>
      <c r="C2727" t="inlineStr">
        <is>
          <t>Bluestone Memorial Hospital</t>
        </is>
      </c>
      <c r="D2727" t="n">
        <v>28</v>
      </c>
    </row>
    <row r="2728">
      <c r="A2728" t="inlineStr">
        <is>
          <t>ED202793</t>
        </is>
      </c>
      <c r="B2728" s="56" t="n">
        <v>45452.32222222222</v>
      </c>
      <c r="C2728" t="inlineStr">
        <is>
          <t>Bluestone Memorial Hospital</t>
        </is>
      </c>
      <c r="D2728" t="n">
        <v>50</v>
      </c>
    </row>
    <row r="2729">
      <c r="A2729" t="inlineStr">
        <is>
          <t>ED202794</t>
        </is>
      </c>
      <c r="B2729" s="56" t="n">
        <v>45452.34861111111</v>
      </c>
      <c r="C2729" t="inlineStr">
        <is>
          <t>Bluestone Memorial Hospital</t>
        </is>
      </c>
      <c r="D2729" t="n">
        <v>27</v>
      </c>
    </row>
    <row r="2730">
      <c r="A2730" t="inlineStr">
        <is>
          <t>ED202795</t>
        </is>
      </c>
      <c r="B2730" s="56" t="n">
        <v>45452.41666666666</v>
      </c>
      <c r="C2730" t="inlineStr">
        <is>
          <t>Bluestone Memorial Hospital</t>
        </is>
      </c>
      <c r="D2730" t="n">
        <v>16</v>
      </c>
    </row>
    <row r="2731">
      <c r="A2731" t="inlineStr">
        <is>
          <t>ED202796</t>
        </is>
      </c>
      <c r="B2731" s="56" t="n">
        <v>45452.46111111111</v>
      </c>
      <c r="C2731" t="inlineStr">
        <is>
          <t>Bluestone Memorial Hospital</t>
        </is>
      </c>
      <c r="D2731" t="n">
        <v>27</v>
      </c>
    </row>
    <row r="2732">
      <c r="A2732" t="inlineStr">
        <is>
          <t>ED202797</t>
        </is>
      </c>
      <c r="B2732" s="56" t="n">
        <v>45452.50416666667</v>
      </c>
      <c r="C2732" t="inlineStr">
        <is>
          <t>Bluestone Memorial Hospital</t>
        </is>
      </c>
      <c r="D2732" t="n">
        <v>68</v>
      </c>
    </row>
    <row r="2733">
      <c r="A2733" t="inlineStr">
        <is>
          <t>ED202798</t>
        </is>
      </c>
      <c r="B2733" s="56" t="n">
        <v>45452.52361111111</v>
      </c>
      <c r="C2733" t="inlineStr">
        <is>
          <t>Ashby Falls Community Hospital</t>
        </is>
      </c>
      <c r="D2733" t="n">
        <v>29</v>
      </c>
    </row>
    <row r="2734">
      <c r="A2734" t="inlineStr">
        <is>
          <t>ED202799</t>
        </is>
      </c>
      <c r="B2734" s="56" t="n">
        <v>45452.57013888889</v>
      </c>
      <c r="C2734" t="inlineStr">
        <is>
          <t>Bluestone Memorial Hospital</t>
        </is>
      </c>
      <c r="D2734" t="n">
        <v>83</v>
      </c>
    </row>
    <row r="2735">
      <c r="A2735" t="inlineStr">
        <is>
          <t>ED202800</t>
        </is>
      </c>
      <c r="B2735" s="56" t="n">
        <v>45452.65902777778</v>
      </c>
      <c r="C2735" t="inlineStr">
        <is>
          <t>Bluestone Memorial Hospital</t>
        </is>
      </c>
      <c r="D2735" t="n">
        <v>25</v>
      </c>
    </row>
    <row r="2736">
      <c r="A2736" t="inlineStr">
        <is>
          <t>ED202801</t>
        </is>
      </c>
      <c r="B2736" s="56" t="n">
        <v>45452.7125</v>
      </c>
      <c r="C2736" t="inlineStr">
        <is>
          <t>Bluestone Memorial Hospital</t>
        </is>
      </c>
      <c r="D2736" t="n">
        <v>43</v>
      </c>
    </row>
    <row r="2737">
      <c r="A2737" t="inlineStr">
        <is>
          <t>ED202802</t>
        </is>
      </c>
      <c r="B2737" s="56" t="n">
        <v>45452.72777777778</v>
      </c>
      <c r="C2737" t="inlineStr">
        <is>
          <t>Bluestone Memorial Hospital</t>
        </is>
      </c>
      <c r="D2737" t="n">
        <v>43</v>
      </c>
    </row>
    <row r="2738">
      <c r="A2738" t="inlineStr">
        <is>
          <t>ED202803</t>
        </is>
      </c>
      <c r="B2738" s="56" t="n">
        <v>45452.75208333333</v>
      </c>
      <c r="C2738" t="inlineStr">
        <is>
          <t>Cedar Ridge Medical Center</t>
        </is>
      </c>
      <c r="D2738" t="n">
        <v>81</v>
      </c>
    </row>
    <row r="2739">
      <c r="A2739" t="inlineStr">
        <is>
          <t>ED202804</t>
        </is>
      </c>
      <c r="B2739" s="56" t="n">
        <v>45452.75694444445</v>
      </c>
      <c r="C2739" t="inlineStr">
        <is>
          <t>Ashby Falls Community Hospital</t>
        </is>
      </c>
      <c r="D2739" t="n">
        <v>286</v>
      </c>
    </row>
    <row r="2740">
      <c r="A2740" t="inlineStr">
        <is>
          <t>ED202805</t>
        </is>
      </c>
      <c r="B2740" s="56" t="n">
        <v>45452.82777777778</v>
      </c>
      <c r="C2740" t="inlineStr">
        <is>
          <t>Bluestone Memorial Hospital</t>
        </is>
      </c>
      <c r="D2740" t="n">
        <v>36</v>
      </c>
    </row>
    <row r="2741">
      <c r="A2741" t="inlineStr">
        <is>
          <t>ED202806</t>
        </is>
      </c>
      <c r="B2741" s="56" t="n">
        <v>45452.84097222222</v>
      </c>
      <c r="C2741" t="inlineStr">
        <is>
          <t>Bluestone Memorial Hospital</t>
        </is>
      </c>
      <c r="D2741" t="n">
        <v>15</v>
      </c>
    </row>
    <row r="2742">
      <c r="A2742" t="inlineStr">
        <is>
          <t>ED202807</t>
        </is>
      </c>
      <c r="B2742" s="56" t="n">
        <v>45452.92430555556</v>
      </c>
      <c r="C2742" t="inlineStr">
        <is>
          <t>Bluestone Memorial Hospital</t>
        </is>
      </c>
      <c r="D2742" t="n">
        <v>3</v>
      </c>
    </row>
    <row r="2743">
      <c r="A2743" t="inlineStr">
        <is>
          <t>ED202808</t>
        </is>
      </c>
      <c r="B2743" s="56" t="n">
        <v>45452.94097222222</v>
      </c>
      <c r="C2743" t="inlineStr">
        <is>
          <t>Bluestone Memorial Hospital</t>
        </is>
      </c>
      <c r="D2743" t="n">
        <v>24</v>
      </c>
    </row>
    <row r="2744">
      <c r="A2744" t="inlineStr">
        <is>
          <t>ED202809</t>
        </is>
      </c>
      <c r="B2744" s="56" t="n">
        <v>45452.95069444444</v>
      </c>
      <c r="C2744" t="inlineStr">
        <is>
          <t>Bluestone Memorial Hospital</t>
        </is>
      </c>
      <c r="D2744" t="n">
        <v>47</v>
      </c>
    </row>
    <row r="2745">
      <c r="A2745" t="inlineStr">
        <is>
          <t>ED202810</t>
        </is>
      </c>
      <c r="B2745" s="56" t="n">
        <v>45452.96041666667</v>
      </c>
      <c r="C2745" t="inlineStr">
        <is>
          <t>Ashby Falls Community Hospital</t>
        </is>
      </c>
      <c r="D2745" t="n">
        <v>44</v>
      </c>
    </row>
    <row r="2746">
      <c r="A2746" t="inlineStr">
        <is>
          <t>ED202811</t>
        </is>
      </c>
      <c r="B2746" s="56" t="n">
        <v>45453.17291666667</v>
      </c>
      <c r="C2746" t="inlineStr">
        <is>
          <t>Bluestone Memorial Hospital</t>
        </is>
      </c>
      <c r="D2746" t="n">
        <v>3</v>
      </c>
    </row>
    <row r="2747">
      <c r="A2747" t="inlineStr">
        <is>
          <t>ED202812</t>
        </is>
      </c>
      <c r="B2747" s="56" t="n">
        <v>45453.36388888889</v>
      </c>
      <c r="C2747" t="inlineStr">
        <is>
          <t>Bluestone Memorial Hospital</t>
        </is>
      </c>
      <c r="D2747" t="n">
        <v>16</v>
      </c>
    </row>
    <row r="2748">
      <c r="A2748" t="inlineStr">
        <is>
          <t>ED202813</t>
        </is>
      </c>
      <c r="B2748" s="56" t="n">
        <v>45453.40208333333</v>
      </c>
      <c r="C2748" t="inlineStr">
        <is>
          <t>Bluestone Memorial Hospital</t>
        </is>
      </c>
      <c r="D2748" t="n">
        <v>18</v>
      </c>
    </row>
    <row r="2749">
      <c r="A2749" t="inlineStr">
        <is>
          <t>ED202814</t>
        </is>
      </c>
      <c r="B2749" s="56" t="n">
        <v>45453.40902777778</v>
      </c>
      <c r="C2749" t="inlineStr">
        <is>
          <t>Cedar Ridge Medical Center</t>
        </is>
      </c>
      <c r="D2749" t="n">
        <v>18</v>
      </c>
    </row>
    <row r="2750">
      <c r="A2750" t="inlineStr">
        <is>
          <t>ED202815</t>
        </is>
      </c>
      <c r="B2750" s="56" t="n">
        <v>45453.42361111111</v>
      </c>
      <c r="C2750" t="inlineStr">
        <is>
          <t>Cedar Ridge Medical Center</t>
        </is>
      </c>
      <c r="D2750" t="n">
        <v>43</v>
      </c>
    </row>
    <row r="2751">
      <c r="A2751" t="inlineStr">
        <is>
          <t>ED202816</t>
        </is>
      </c>
      <c r="B2751" s="56" t="n">
        <v>45453.45625</v>
      </c>
      <c r="C2751" t="inlineStr">
        <is>
          <t>Cedar Ridge Medical Center</t>
        </is>
      </c>
      <c r="D2751" t="n">
        <v>17</v>
      </c>
    </row>
    <row r="2752">
      <c r="A2752" t="inlineStr">
        <is>
          <t>ED202817</t>
        </is>
      </c>
      <c r="B2752" s="56" t="n">
        <v>45453.55763888889</v>
      </c>
      <c r="C2752" t="inlineStr">
        <is>
          <t>Bluestone Memorial Hospital</t>
        </is>
      </c>
      <c r="D2752" t="n">
        <v>13</v>
      </c>
    </row>
    <row r="2753">
      <c r="A2753" t="inlineStr">
        <is>
          <t>ED202818</t>
        </is>
      </c>
      <c r="B2753" s="56" t="n">
        <v>45453.61527777778</v>
      </c>
      <c r="C2753" t="inlineStr">
        <is>
          <t>Ashby Falls Community Hospital</t>
        </is>
      </c>
      <c r="D2753" t="n">
        <v>43</v>
      </c>
    </row>
    <row r="2754">
      <c r="A2754" t="inlineStr">
        <is>
          <t>ED202819</t>
        </is>
      </c>
      <c r="B2754" s="56" t="n">
        <v>45453.67986111111</v>
      </c>
      <c r="C2754" t="inlineStr">
        <is>
          <t>Cedar Ridge Medical Center</t>
        </is>
      </c>
      <c r="D2754" t="n">
        <v>102</v>
      </c>
    </row>
    <row r="2755">
      <c r="A2755" t="inlineStr">
        <is>
          <t>ED202820</t>
        </is>
      </c>
      <c r="B2755" s="56" t="n">
        <v>45453.75694444445</v>
      </c>
      <c r="C2755" t="inlineStr">
        <is>
          <t>Bluestone Memorial Hospital</t>
        </is>
      </c>
      <c r="D2755" t="n">
        <v>37</v>
      </c>
    </row>
    <row r="2756">
      <c r="A2756" t="inlineStr">
        <is>
          <t>ED202821</t>
        </is>
      </c>
      <c r="B2756" s="56" t="n">
        <v>45453.81458333333</v>
      </c>
      <c r="C2756" t="inlineStr">
        <is>
          <t>Bluestone Memorial Hospital</t>
        </is>
      </c>
      <c r="D2756" t="n">
        <v>25</v>
      </c>
    </row>
    <row r="2757">
      <c r="A2757" t="inlineStr">
        <is>
          <t>ED202822</t>
        </is>
      </c>
      <c r="B2757" s="56" t="n">
        <v>45453.81458333333</v>
      </c>
      <c r="C2757" t="inlineStr">
        <is>
          <t>Bluestone Memorial Hospital</t>
        </is>
      </c>
      <c r="D2757" t="n">
        <v>42</v>
      </c>
    </row>
    <row r="2758">
      <c r="A2758" t="inlineStr">
        <is>
          <t>ED202823</t>
        </is>
      </c>
      <c r="B2758" s="56" t="n">
        <v>45453.98680555556</v>
      </c>
      <c r="C2758" t="inlineStr">
        <is>
          <t>Bluestone Memorial Hospital</t>
        </is>
      </c>
      <c r="D2758" t="n">
        <v>29</v>
      </c>
    </row>
    <row r="2759">
      <c r="A2759" t="inlineStr">
        <is>
          <t>ED202824</t>
        </is>
      </c>
      <c r="B2759" s="56" t="n">
        <v>45453.9875</v>
      </c>
      <c r="C2759" t="inlineStr">
        <is>
          <t>Bluestone Memorial Hospital</t>
        </is>
      </c>
      <c r="D2759" t="n">
        <v>14</v>
      </c>
    </row>
    <row r="2760">
      <c r="A2760" t="inlineStr">
        <is>
          <t>ED202825</t>
        </is>
      </c>
      <c r="B2760" s="56" t="n">
        <v>45454.04722222222</v>
      </c>
      <c r="C2760" t="inlineStr">
        <is>
          <t>Bluestone Memorial Hospital</t>
        </is>
      </c>
      <c r="D2760" t="n">
        <v>59</v>
      </c>
    </row>
    <row r="2761">
      <c r="A2761" t="inlineStr">
        <is>
          <t>ED202826</t>
        </is>
      </c>
      <c r="B2761" s="56" t="n">
        <v>45454.19861111111</v>
      </c>
      <c r="C2761" t="inlineStr">
        <is>
          <t>Bluestone Memorial Hospital</t>
        </is>
      </c>
      <c r="D2761" t="n">
        <v>49</v>
      </c>
    </row>
    <row r="2762">
      <c r="A2762" t="inlineStr">
        <is>
          <t>ED202827</t>
        </is>
      </c>
      <c r="B2762" s="56" t="n">
        <v>45454.35902777778</v>
      </c>
      <c r="C2762" t="inlineStr">
        <is>
          <t>Bluestone Memorial Hospital</t>
        </is>
      </c>
      <c r="D2762" t="n">
        <v>74</v>
      </c>
    </row>
    <row r="2763">
      <c r="A2763" t="inlineStr">
        <is>
          <t>ED202828</t>
        </is>
      </c>
      <c r="B2763" s="56" t="n">
        <v>45454.3625</v>
      </c>
      <c r="C2763" t="inlineStr">
        <is>
          <t>Bluestone Memorial Hospital</t>
        </is>
      </c>
      <c r="D2763" t="n">
        <v>3</v>
      </c>
    </row>
    <row r="2764">
      <c r="A2764" t="inlineStr">
        <is>
          <t>ED202829</t>
        </is>
      </c>
      <c r="B2764" s="56" t="n">
        <v>45454.39583333334</v>
      </c>
      <c r="C2764" t="inlineStr">
        <is>
          <t>Bluestone Memorial Hospital</t>
        </is>
      </c>
      <c r="D2764" t="n">
        <v>110</v>
      </c>
    </row>
    <row r="2765">
      <c r="A2765" t="inlineStr">
        <is>
          <t>ED202830</t>
        </is>
      </c>
      <c r="B2765" s="56" t="n">
        <v>45454.41458333333</v>
      </c>
      <c r="C2765" t="inlineStr">
        <is>
          <t>Bluestone Memorial Hospital</t>
        </is>
      </c>
      <c r="D2765" t="n">
        <v>9</v>
      </c>
    </row>
    <row r="2766">
      <c r="A2766" t="inlineStr">
        <is>
          <t>ED202831</t>
        </is>
      </c>
      <c r="B2766" s="56" t="n">
        <v>45454.47777777778</v>
      </c>
      <c r="C2766" t="inlineStr">
        <is>
          <t>Bluestone Memorial Hospital</t>
        </is>
      </c>
      <c r="D2766" t="n">
        <v>27</v>
      </c>
    </row>
    <row r="2767">
      <c r="A2767" t="inlineStr">
        <is>
          <t>ED202832</t>
        </is>
      </c>
      <c r="B2767" s="56" t="n">
        <v>45454.49652777778</v>
      </c>
      <c r="C2767" t="inlineStr">
        <is>
          <t>Bluestone Memorial Hospital</t>
        </is>
      </c>
      <c r="D2767" t="n">
        <v>43</v>
      </c>
    </row>
    <row r="2768">
      <c r="A2768" t="inlineStr">
        <is>
          <t>ED202833</t>
        </is>
      </c>
      <c r="B2768" s="56" t="n">
        <v>45454.51319444444</v>
      </c>
      <c r="C2768" t="inlineStr">
        <is>
          <t>Ashby Falls Community Hospital</t>
        </is>
      </c>
      <c r="D2768" t="n">
        <v>57</v>
      </c>
    </row>
    <row r="2769">
      <c r="A2769" t="inlineStr">
        <is>
          <t>ED202834</t>
        </is>
      </c>
      <c r="B2769" s="56" t="n">
        <v>45454.55416666667</v>
      </c>
      <c r="C2769" t="inlineStr">
        <is>
          <t>Bluestone Memorial Hospital</t>
        </is>
      </c>
      <c r="D2769" t="n">
        <v>58</v>
      </c>
    </row>
    <row r="2770">
      <c r="A2770" t="inlineStr">
        <is>
          <t>ED202835</t>
        </is>
      </c>
      <c r="B2770" s="56" t="n">
        <v>45454.60625</v>
      </c>
      <c r="C2770" t="inlineStr">
        <is>
          <t>Bluestone Memorial Hospital</t>
        </is>
      </c>
      <c r="D2770" t="n">
        <v>38</v>
      </c>
    </row>
    <row r="2771">
      <c r="A2771" t="inlineStr">
        <is>
          <t>ED202836</t>
        </is>
      </c>
      <c r="B2771" s="56" t="n">
        <v>45454.62083333333</v>
      </c>
      <c r="C2771" t="inlineStr">
        <is>
          <t>Bluestone Memorial Hospital</t>
        </is>
      </c>
      <c r="D2771" t="n">
        <v>88</v>
      </c>
    </row>
    <row r="2772">
      <c r="A2772" t="inlineStr">
        <is>
          <t>ED202837</t>
        </is>
      </c>
      <c r="B2772" s="56" t="n">
        <v>45454.73402777778</v>
      </c>
      <c r="C2772" t="inlineStr">
        <is>
          <t>Bluestone Memorial Hospital</t>
        </is>
      </c>
      <c r="D2772" t="n">
        <v>18</v>
      </c>
    </row>
    <row r="2773">
      <c r="A2773" t="inlineStr">
        <is>
          <t>ED202838</t>
        </is>
      </c>
      <c r="B2773" s="56" t="n">
        <v>45454.74166666667</v>
      </c>
      <c r="C2773" t="inlineStr">
        <is>
          <t>Bluestone Memorial Hospital</t>
        </is>
      </c>
      <c r="D2773" t="n">
        <v>4</v>
      </c>
    </row>
    <row r="2774">
      <c r="A2774" t="inlineStr">
        <is>
          <t>ED202839</t>
        </is>
      </c>
      <c r="B2774" s="56" t="n">
        <v>45454.74375</v>
      </c>
      <c r="C2774" t="inlineStr">
        <is>
          <t>Cedar Ridge Medical Center</t>
        </is>
      </c>
      <c r="D2774" t="n">
        <v>23</v>
      </c>
    </row>
    <row r="2775">
      <c r="A2775" t="inlineStr">
        <is>
          <t>ED202840</t>
        </is>
      </c>
      <c r="B2775" s="56" t="n">
        <v>45454.80069444444</v>
      </c>
      <c r="C2775" t="inlineStr">
        <is>
          <t>Bluestone Memorial Hospital</t>
        </is>
      </c>
      <c r="D2775" t="n">
        <v>50</v>
      </c>
    </row>
    <row r="2776">
      <c r="A2776" t="inlineStr">
        <is>
          <t>ED202841</t>
        </is>
      </c>
      <c r="B2776" s="56" t="n">
        <v>45455.29791666667</v>
      </c>
      <c r="C2776" t="inlineStr">
        <is>
          <t>Ashby Falls Community Hospital</t>
        </is>
      </c>
      <c r="D2776" t="n">
        <v>39</v>
      </c>
    </row>
    <row r="2777">
      <c r="A2777" t="inlineStr">
        <is>
          <t>ED202842</t>
        </is>
      </c>
      <c r="B2777" s="56" t="n">
        <v>45455.30694444444</v>
      </c>
      <c r="C2777" t="inlineStr">
        <is>
          <t>Bluestone Memorial Hospital</t>
        </is>
      </c>
      <c r="D2777" t="n">
        <v>97</v>
      </c>
    </row>
    <row r="2778">
      <c r="A2778" t="inlineStr">
        <is>
          <t>ED202843</t>
        </is>
      </c>
      <c r="B2778" s="56" t="n">
        <v>45455.40208333333</v>
      </c>
      <c r="C2778" t="inlineStr">
        <is>
          <t>Cedar Ridge Medical Center</t>
        </is>
      </c>
      <c r="D2778" t="n">
        <v>28</v>
      </c>
    </row>
    <row r="2779">
      <c r="A2779" t="inlineStr">
        <is>
          <t>ED202844</t>
        </is>
      </c>
      <c r="B2779" s="56" t="n">
        <v>45455.42013888889</v>
      </c>
      <c r="C2779" t="inlineStr">
        <is>
          <t>Ashby Falls Community Hospital</t>
        </is>
      </c>
      <c r="D2779" t="n">
        <v>82</v>
      </c>
    </row>
    <row r="2780">
      <c r="A2780" t="inlineStr">
        <is>
          <t>ED202845</t>
        </is>
      </c>
      <c r="B2780" s="56" t="n">
        <v>45455.56319444445</v>
      </c>
      <c r="C2780" t="inlineStr">
        <is>
          <t>Ashby Falls Community Hospital</t>
        </is>
      </c>
      <c r="D2780" t="n">
        <v>72</v>
      </c>
    </row>
    <row r="2781">
      <c r="A2781" t="inlineStr">
        <is>
          <t>ED202846</t>
        </is>
      </c>
      <c r="B2781" s="56" t="n">
        <v>45455.58263888889</v>
      </c>
      <c r="C2781" t="inlineStr">
        <is>
          <t>Bluestone Memorial Hospital</t>
        </is>
      </c>
      <c r="D2781" t="n">
        <v>36</v>
      </c>
    </row>
    <row r="2782">
      <c r="A2782" t="inlineStr">
        <is>
          <t>ED202848</t>
        </is>
      </c>
      <c r="B2782" s="56" t="n">
        <v>45455.66388888889</v>
      </c>
      <c r="C2782" t="inlineStr">
        <is>
          <t>Bluestone Memorial Hospital</t>
        </is>
      </c>
      <c r="D2782" t="n">
        <v>41</v>
      </c>
    </row>
    <row r="2783">
      <c r="A2783" t="inlineStr">
        <is>
          <t>ED202849</t>
        </is>
      </c>
      <c r="B2783" s="56" t="n">
        <v>45455.75972222222</v>
      </c>
      <c r="C2783" t="inlineStr">
        <is>
          <t>Ashby Falls Community Hospital</t>
        </is>
      </c>
      <c r="D2783" t="n">
        <v>67</v>
      </c>
    </row>
    <row r="2784">
      <c r="A2784" t="inlineStr">
        <is>
          <t>ED202850</t>
        </is>
      </c>
      <c r="B2784" s="56" t="n">
        <v>45455.75972222222</v>
      </c>
      <c r="C2784" t="inlineStr">
        <is>
          <t>Ashby Falls Community Hospital</t>
        </is>
      </c>
      <c r="D2784" t="n">
        <v>32</v>
      </c>
    </row>
    <row r="2785">
      <c r="A2785" t="inlineStr">
        <is>
          <t>ED202851</t>
        </is>
      </c>
      <c r="B2785" s="56" t="n">
        <v>45455.7625</v>
      </c>
      <c r="C2785" t="inlineStr">
        <is>
          <t>Bluestone Memorial Hospital</t>
        </is>
      </c>
      <c r="D2785" t="n">
        <v>16</v>
      </c>
    </row>
    <row r="2786">
      <c r="A2786" t="inlineStr">
        <is>
          <t>ED202852</t>
        </is>
      </c>
      <c r="B2786" s="56" t="n">
        <v>45455.77638888889</v>
      </c>
      <c r="C2786" t="inlineStr">
        <is>
          <t>Cedar Ridge Medical Center</t>
        </is>
      </c>
      <c r="D2786" t="n">
        <v>24</v>
      </c>
    </row>
    <row r="2787">
      <c r="A2787" t="inlineStr">
        <is>
          <t>ED202853</t>
        </is>
      </c>
      <c r="B2787" s="56" t="n">
        <v>45455.81527777778</v>
      </c>
      <c r="C2787" t="inlineStr">
        <is>
          <t>Cedar Ridge Medical Center</t>
        </is>
      </c>
      <c r="D2787" t="n">
        <v>1</v>
      </c>
    </row>
    <row r="2788">
      <c r="A2788" t="inlineStr">
        <is>
          <t>ED202854</t>
        </is>
      </c>
      <c r="B2788" s="56" t="n">
        <v>45455.87847222222</v>
      </c>
      <c r="C2788" t="inlineStr">
        <is>
          <t>Cedar Ridge Medical Center</t>
        </is>
      </c>
      <c r="D2788" t="n">
        <v>5</v>
      </c>
    </row>
    <row r="2789">
      <c r="A2789" t="inlineStr">
        <is>
          <t>ED202855</t>
        </is>
      </c>
      <c r="B2789" s="56" t="n">
        <v>45455.96666666667</v>
      </c>
      <c r="C2789" t="inlineStr">
        <is>
          <t>Bluestone Memorial Hospital</t>
        </is>
      </c>
      <c r="D2789" t="n">
        <v>24</v>
      </c>
    </row>
    <row r="2790">
      <c r="A2790" t="inlineStr">
        <is>
          <t>ED202856</t>
        </is>
      </c>
      <c r="B2790" s="56" t="n">
        <v>45456.275</v>
      </c>
      <c r="C2790" t="inlineStr">
        <is>
          <t>Bluestone Memorial Hospital</t>
        </is>
      </c>
      <c r="D2790" t="n">
        <v>82</v>
      </c>
    </row>
    <row r="2791">
      <c r="A2791" t="inlineStr">
        <is>
          <t>ED202857</t>
        </is>
      </c>
      <c r="B2791" s="56" t="n">
        <v>45456.55763888889</v>
      </c>
      <c r="C2791" t="inlineStr">
        <is>
          <t>Bluestone Memorial Hospital</t>
        </is>
      </c>
      <c r="D2791" t="n">
        <v>43</v>
      </c>
    </row>
    <row r="2792">
      <c r="A2792" t="inlineStr">
        <is>
          <t>ED202858</t>
        </is>
      </c>
      <c r="B2792" s="56" t="n">
        <v>45456.59166666667</v>
      </c>
      <c r="C2792" t="inlineStr">
        <is>
          <t>Bluestone Memorial Hospital</t>
        </is>
      </c>
      <c r="D2792" t="n">
        <v>15</v>
      </c>
    </row>
    <row r="2793">
      <c r="A2793" t="inlineStr">
        <is>
          <t>ED202859</t>
        </is>
      </c>
      <c r="B2793" s="56" t="n">
        <v>45456.65138888889</v>
      </c>
      <c r="C2793" t="inlineStr">
        <is>
          <t>Bluestone Memorial Hospital</t>
        </is>
      </c>
      <c r="D2793" t="n">
        <v>62</v>
      </c>
    </row>
    <row r="2794">
      <c r="A2794" t="inlineStr">
        <is>
          <t>ED202860</t>
        </is>
      </c>
      <c r="B2794" s="56" t="n">
        <v>45456.66319444445</v>
      </c>
      <c r="C2794" t="inlineStr">
        <is>
          <t>Bluestone Memorial Hospital</t>
        </is>
      </c>
      <c r="D2794" t="n">
        <v>42</v>
      </c>
    </row>
    <row r="2795">
      <c r="A2795" t="inlineStr">
        <is>
          <t>ED202861</t>
        </is>
      </c>
      <c r="B2795" s="56" t="n">
        <v>45456.78472222222</v>
      </c>
      <c r="C2795" t="inlineStr">
        <is>
          <t>Cedar Ridge Medical Center</t>
        </is>
      </c>
      <c r="D2795" t="n">
        <v>4</v>
      </c>
    </row>
    <row r="2796">
      <c r="A2796" t="inlineStr">
        <is>
          <t>ED202862</t>
        </is>
      </c>
      <c r="B2796" s="56" t="n">
        <v>45456.81111111111</v>
      </c>
      <c r="C2796" t="inlineStr">
        <is>
          <t>Bluestone Memorial Hospital</t>
        </is>
      </c>
      <c r="D2796" t="n">
        <v>66</v>
      </c>
    </row>
    <row r="2797">
      <c r="A2797" t="inlineStr">
        <is>
          <t>ED202863</t>
        </is>
      </c>
      <c r="B2797" s="56" t="n">
        <v>45456.84513888889</v>
      </c>
      <c r="C2797" t="inlineStr">
        <is>
          <t>Bluestone Memorial Hospital</t>
        </is>
      </c>
      <c r="D2797" t="n">
        <v>33</v>
      </c>
    </row>
    <row r="2798">
      <c r="A2798" t="inlineStr">
        <is>
          <t>ED202864</t>
        </is>
      </c>
      <c r="B2798" s="56" t="n">
        <v>45456.85069444445</v>
      </c>
      <c r="C2798" t="inlineStr">
        <is>
          <t>Bluestone Memorial Hospital</t>
        </is>
      </c>
      <c r="D2798" t="n">
        <v>136</v>
      </c>
    </row>
    <row r="2799">
      <c r="A2799" t="inlineStr">
        <is>
          <t>ED202865</t>
        </is>
      </c>
      <c r="B2799" s="56" t="n">
        <v>45456.87222222222</v>
      </c>
      <c r="C2799" t="inlineStr">
        <is>
          <t>Bluestone Memorial Hospital</t>
        </is>
      </c>
      <c r="D2799" t="n">
        <v>19</v>
      </c>
    </row>
    <row r="2800">
      <c r="A2800" t="inlineStr">
        <is>
          <t>ED202866</t>
        </is>
      </c>
      <c r="B2800" s="56" t="n">
        <v>45456.99236111111</v>
      </c>
      <c r="C2800" t="inlineStr">
        <is>
          <t>Bluestone Memorial Hospital</t>
        </is>
      </c>
      <c r="D2800" t="n">
        <v>79</v>
      </c>
    </row>
    <row r="2801">
      <c r="A2801" t="inlineStr">
        <is>
          <t>ED202867</t>
        </is>
      </c>
      <c r="B2801" s="56" t="n">
        <v>45457.27430555555</v>
      </c>
      <c r="C2801" t="inlineStr">
        <is>
          <t>Ashby Falls Community Hospital</t>
        </is>
      </c>
      <c r="D2801" t="n">
        <v>23</v>
      </c>
    </row>
    <row r="2802">
      <c r="A2802" t="inlineStr">
        <is>
          <t>ED202868</t>
        </is>
      </c>
      <c r="B2802" s="56" t="n">
        <v>45457.29027777778</v>
      </c>
      <c r="C2802" t="inlineStr">
        <is>
          <t>Bluestone Memorial Hospital</t>
        </is>
      </c>
      <c r="D2802" t="n">
        <v>17</v>
      </c>
    </row>
    <row r="2803">
      <c r="A2803" t="inlineStr">
        <is>
          <t>ED202869</t>
        </is>
      </c>
      <c r="B2803" s="56" t="n">
        <v>45457.34166666667</v>
      </c>
      <c r="C2803" t="inlineStr">
        <is>
          <t>Bluestone Memorial Hospital</t>
        </is>
      </c>
      <c r="D2803" t="n">
        <v>90</v>
      </c>
    </row>
    <row r="2804">
      <c r="A2804" t="inlineStr">
        <is>
          <t>ED202870</t>
        </is>
      </c>
      <c r="B2804" s="56" t="n">
        <v>45457.40694444445</v>
      </c>
      <c r="C2804" t="inlineStr">
        <is>
          <t>Bluestone Memorial Hospital</t>
        </is>
      </c>
      <c r="D2804" t="n">
        <v>46</v>
      </c>
    </row>
    <row r="2805">
      <c r="A2805" t="inlineStr">
        <is>
          <t>ED202871</t>
        </is>
      </c>
      <c r="B2805" s="56" t="n">
        <v>45457.47013888889</v>
      </c>
      <c r="C2805" t="inlineStr">
        <is>
          <t>Bluestone Memorial Hospital</t>
        </is>
      </c>
      <c r="D2805" t="n">
        <v>16</v>
      </c>
    </row>
    <row r="2806">
      <c r="A2806" t="inlineStr">
        <is>
          <t>ED202872</t>
        </is>
      </c>
      <c r="B2806" s="56" t="n">
        <v>45457.49513888889</v>
      </c>
      <c r="C2806" t="inlineStr">
        <is>
          <t>Bluestone Memorial Hospital</t>
        </is>
      </c>
      <c r="D2806" t="n">
        <v>45</v>
      </c>
    </row>
    <row r="2807">
      <c r="A2807" t="inlineStr">
        <is>
          <t>ED202873</t>
        </is>
      </c>
      <c r="B2807" s="56" t="n">
        <v>45457.54166666666</v>
      </c>
      <c r="C2807" t="inlineStr">
        <is>
          <t>Cedar Ridge Medical Center</t>
        </is>
      </c>
      <c r="D2807" t="n">
        <v>20</v>
      </c>
    </row>
    <row r="2808">
      <c r="A2808" t="inlineStr">
        <is>
          <t>ED202874</t>
        </is>
      </c>
      <c r="B2808" s="56" t="n">
        <v>45457.58958333333</v>
      </c>
      <c r="C2808" t="inlineStr">
        <is>
          <t>Bluestone Memorial Hospital</t>
        </is>
      </c>
      <c r="D2808" t="n">
        <v>118</v>
      </c>
    </row>
    <row r="2809">
      <c r="A2809" t="inlineStr">
        <is>
          <t>ED202875</t>
        </is>
      </c>
      <c r="B2809" s="56" t="n">
        <v>45457.74027777778</v>
      </c>
      <c r="C2809" t="inlineStr">
        <is>
          <t>Cedar Ridge Medical Center</t>
        </is>
      </c>
      <c r="D2809" t="n">
        <v>41</v>
      </c>
    </row>
    <row r="2810">
      <c r="A2810" t="inlineStr">
        <is>
          <t>ED202876</t>
        </is>
      </c>
      <c r="B2810" s="56" t="n">
        <v>45457.74583333333</v>
      </c>
      <c r="C2810" t="inlineStr">
        <is>
          <t>Bluestone Memorial Hospital</t>
        </is>
      </c>
      <c r="D2810" t="n">
        <v>116</v>
      </c>
    </row>
    <row r="2811">
      <c r="A2811" t="inlineStr">
        <is>
          <t>ED202877</t>
        </is>
      </c>
      <c r="B2811" s="56" t="n">
        <v>45457.74722222222</v>
      </c>
      <c r="C2811" t="inlineStr">
        <is>
          <t>Bluestone Memorial Hospital</t>
        </is>
      </c>
      <c r="D2811" t="n">
        <v>28</v>
      </c>
    </row>
    <row r="2812">
      <c r="A2812" t="inlineStr">
        <is>
          <t>ED202878</t>
        </is>
      </c>
      <c r="B2812" s="56" t="n">
        <v>45457.75416666667</v>
      </c>
      <c r="C2812" t="inlineStr">
        <is>
          <t>Bluestone Memorial Hospital</t>
        </is>
      </c>
      <c r="D2812" t="n">
        <v>115</v>
      </c>
    </row>
    <row r="2813">
      <c r="A2813" t="inlineStr">
        <is>
          <t>ED202879</t>
        </is>
      </c>
      <c r="B2813" s="56" t="n">
        <v>45457.87083333333</v>
      </c>
      <c r="C2813" t="inlineStr">
        <is>
          <t>Ashby Falls Community Hospital</t>
        </is>
      </c>
      <c r="D2813" t="n">
        <v>15</v>
      </c>
    </row>
    <row r="2814">
      <c r="A2814" t="inlineStr">
        <is>
          <t>ED202880</t>
        </is>
      </c>
      <c r="B2814" s="56" t="n">
        <v>45457.87638888889</v>
      </c>
      <c r="C2814" t="inlineStr">
        <is>
          <t>Bluestone Memorial Hospital</t>
        </is>
      </c>
      <c r="D2814" t="n">
        <v>37</v>
      </c>
    </row>
    <row r="2815">
      <c r="A2815" t="inlineStr">
        <is>
          <t>ED202881</t>
        </is>
      </c>
      <c r="B2815" s="56" t="n">
        <v>45458.39791666667</v>
      </c>
      <c r="C2815" t="inlineStr">
        <is>
          <t>Bluestone Memorial Hospital</t>
        </is>
      </c>
      <c r="D2815" t="n">
        <v>65</v>
      </c>
    </row>
    <row r="2816">
      <c r="A2816" t="inlineStr">
        <is>
          <t>ED202882</t>
        </is>
      </c>
      <c r="B2816" s="56" t="n">
        <v>45458.43611111111</v>
      </c>
      <c r="C2816" t="inlineStr">
        <is>
          <t>Ashby Falls Community Hospital</t>
        </is>
      </c>
      <c r="D2816" t="n">
        <v>67</v>
      </c>
    </row>
    <row r="2817">
      <c r="A2817" t="inlineStr">
        <is>
          <t>ED202883</t>
        </is>
      </c>
      <c r="B2817" s="56" t="n">
        <v>45458.59027777778</v>
      </c>
      <c r="C2817" t="inlineStr">
        <is>
          <t>Bluestone Memorial Hospital</t>
        </is>
      </c>
      <c r="D2817" t="n">
        <v>94</v>
      </c>
    </row>
    <row r="2818">
      <c r="A2818" t="inlineStr">
        <is>
          <t>ED202884</t>
        </is>
      </c>
      <c r="B2818" s="56" t="n">
        <v>45458.67847222222</v>
      </c>
      <c r="C2818" t="inlineStr">
        <is>
          <t>Bluestone Memorial Hospital</t>
        </is>
      </c>
      <c r="D2818" t="n">
        <v>32</v>
      </c>
    </row>
    <row r="2819">
      <c r="A2819" t="inlineStr">
        <is>
          <t>ED202885</t>
        </is>
      </c>
      <c r="B2819" s="56" t="n">
        <v>45458.69722222222</v>
      </c>
      <c r="C2819" t="inlineStr">
        <is>
          <t>Ashby Falls Community Hospital</t>
        </is>
      </c>
      <c r="D2819" t="n">
        <v>19</v>
      </c>
    </row>
    <row r="2820">
      <c r="A2820" t="inlineStr">
        <is>
          <t>ED202886</t>
        </is>
      </c>
      <c r="B2820" s="56" t="n">
        <v>45458.91527777778</v>
      </c>
      <c r="C2820" t="inlineStr">
        <is>
          <t>Bluestone Memorial Hospital</t>
        </is>
      </c>
      <c r="D2820" t="n">
        <v>45</v>
      </c>
    </row>
    <row r="2821">
      <c r="A2821" t="inlineStr">
        <is>
          <t>ED202887</t>
        </is>
      </c>
      <c r="B2821" s="56" t="n">
        <v>45459.23888888889</v>
      </c>
      <c r="C2821" t="inlineStr">
        <is>
          <t>Bluestone Memorial Hospital</t>
        </is>
      </c>
      <c r="D2821" t="n">
        <v>52</v>
      </c>
    </row>
    <row r="2822">
      <c r="A2822" t="inlineStr">
        <is>
          <t>ED202888</t>
        </is>
      </c>
      <c r="B2822" s="56" t="n">
        <v>45459.30138888889</v>
      </c>
      <c r="C2822" t="inlineStr">
        <is>
          <t>Bluestone Memorial Hospital</t>
        </is>
      </c>
      <c r="D2822" t="n">
        <v>10</v>
      </c>
    </row>
    <row r="2823">
      <c r="A2823" t="inlineStr">
        <is>
          <t>ED202889</t>
        </is>
      </c>
      <c r="B2823" s="56" t="n">
        <v>45459.40833333333</v>
      </c>
      <c r="C2823" t="inlineStr">
        <is>
          <t>Cedar Ridge Medical Center</t>
        </is>
      </c>
      <c r="D2823" t="n">
        <v>33</v>
      </c>
    </row>
    <row r="2824">
      <c r="A2824" t="inlineStr">
        <is>
          <t>ED202890</t>
        </is>
      </c>
      <c r="B2824" s="56" t="n">
        <v>45459.55277777778</v>
      </c>
      <c r="C2824" t="inlineStr">
        <is>
          <t>Cedar Ridge Medical Center</t>
        </is>
      </c>
      <c r="D2824" t="n">
        <v>36</v>
      </c>
    </row>
    <row r="2825">
      <c r="A2825" t="inlineStr">
        <is>
          <t>ED202891</t>
        </is>
      </c>
      <c r="B2825" s="56" t="n">
        <v>45459.56875</v>
      </c>
      <c r="C2825" t="inlineStr">
        <is>
          <t>Bluestone Memorial Hospital</t>
        </is>
      </c>
      <c r="D2825" t="n">
        <v>53</v>
      </c>
    </row>
    <row r="2826">
      <c r="A2826" t="inlineStr">
        <is>
          <t>ED202892</t>
        </is>
      </c>
      <c r="B2826" s="56" t="n">
        <v>45459.66041666667</v>
      </c>
      <c r="C2826" t="inlineStr">
        <is>
          <t>Bluestone Memorial Hospital</t>
        </is>
      </c>
      <c r="D2826" t="n">
        <v>15</v>
      </c>
    </row>
    <row r="2827">
      <c r="A2827" t="inlineStr">
        <is>
          <t>ED202893</t>
        </is>
      </c>
      <c r="B2827" s="56" t="n">
        <v>45459.66319444445</v>
      </c>
      <c r="C2827" t="inlineStr">
        <is>
          <t>Bluestone Memorial Hospital</t>
        </is>
      </c>
      <c r="D2827" t="n">
        <v>29</v>
      </c>
    </row>
    <row r="2828">
      <c r="A2828" t="inlineStr">
        <is>
          <t>ED202894</t>
        </is>
      </c>
      <c r="B2828" s="56" t="n">
        <v>45459.79027777778</v>
      </c>
      <c r="C2828" t="inlineStr">
        <is>
          <t>Ashby Falls Community Hospital</t>
        </is>
      </c>
      <c r="D2828" t="n">
        <v>48</v>
      </c>
    </row>
    <row r="2829">
      <c r="A2829" t="inlineStr">
        <is>
          <t>ED202895</t>
        </is>
      </c>
      <c r="B2829" s="56" t="n">
        <v>45459.79097222222</v>
      </c>
      <c r="C2829" t="inlineStr">
        <is>
          <t>Bluestone Memorial Hospital</t>
        </is>
      </c>
      <c r="D2829" t="n">
        <v>45</v>
      </c>
    </row>
    <row r="2830">
      <c r="A2830" t="inlineStr">
        <is>
          <t>ED202896</t>
        </is>
      </c>
      <c r="B2830" s="56" t="n">
        <v>45459.87847222222</v>
      </c>
      <c r="C2830" t="inlineStr">
        <is>
          <t>Bluestone Memorial Hospital</t>
        </is>
      </c>
      <c r="D2830" t="n">
        <v>12</v>
      </c>
    </row>
    <row r="2831">
      <c r="A2831" t="inlineStr">
        <is>
          <t>ED202897</t>
        </is>
      </c>
      <c r="B2831" s="56" t="n">
        <v>45459.98958333334</v>
      </c>
      <c r="C2831" t="inlineStr">
        <is>
          <t>Bluestone Memorial Hospital</t>
        </is>
      </c>
      <c r="D2831" t="n">
        <v>57</v>
      </c>
    </row>
    <row r="2832">
      <c r="A2832" t="inlineStr">
        <is>
          <t>ED202898</t>
        </is>
      </c>
      <c r="B2832" s="56" t="n">
        <v>45460.06666666667</v>
      </c>
      <c r="C2832" t="inlineStr">
        <is>
          <t>Cedar Ridge Medical Center</t>
        </is>
      </c>
      <c r="D2832" t="n">
        <v>59</v>
      </c>
    </row>
    <row r="2833">
      <c r="A2833" t="inlineStr">
        <is>
          <t>ED202899</t>
        </is>
      </c>
      <c r="B2833" s="56" t="n">
        <v>45460.13611111111</v>
      </c>
      <c r="C2833" t="inlineStr">
        <is>
          <t>Bluestone Memorial Hospital</t>
        </is>
      </c>
      <c r="D2833" t="n">
        <v>9</v>
      </c>
    </row>
    <row r="2834">
      <c r="A2834" t="inlineStr">
        <is>
          <t>ED202900</t>
        </is>
      </c>
      <c r="B2834" s="56" t="n">
        <v>45460.34930555556</v>
      </c>
      <c r="C2834" t="inlineStr">
        <is>
          <t>Bluestone Memorial Hospital</t>
        </is>
      </c>
      <c r="D2834" t="n">
        <v>40</v>
      </c>
    </row>
    <row r="2835">
      <c r="A2835" t="inlineStr">
        <is>
          <t>ED202901</t>
        </is>
      </c>
      <c r="B2835" s="56" t="n">
        <v>45460.42152777778</v>
      </c>
      <c r="C2835" t="inlineStr">
        <is>
          <t>Bluestone Memorial Hospital</t>
        </is>
      </c>
      <c r="D2835" t="n">
        <v>27</v>
      </c>
    </row>
    <row r="2836">
      <c r="A2836" t="inlineStr">
        <is>
          <t>ED202902</t>
        </is>
      </c>
      <c r="B2836" s="56" t="n">
        <v>45460.42916666667</v>
      </c>
      <c r="C2836" t="inlineStr">
        <is>
          <t>Ashby Falls Community Hospital</t>
        </is>
      </c>
      <c r="D2836" t="n">
        <v>93</v>
      </c>
    </row>
    <row r="2837">
      <c r="A2837" t="inlineStr">
        <is>
          <t>ED202903</t>
        </is>
      </c>
      <c r="B2837" s="56" t="n">
        <v>45460.46875</v>
      </c>
      <c r="C2837" t="inlineStr">
        <is>
          <t>Bluestone Memorial Hospital</t>
        </is>
      </c>
      <c r="D2837" t="n">
        <v>95</v>
      </c>
    </row>
    <row r="2838">
      <c r="A2838" t="inlineStr">
        <is>
          <t>ED202904</t>
        </is>
      </c>
      <c r="B2838" s="56" t="n">
        <v>45460.48958333334</v>
      </c>
      <c r="C2838" t="inlineStr">
        <is>
          <t>Bluestone Memorial Hospital</t>
        </is>
      </c>
      <c r="D2838" t="n">
        <v>16</v>
      </c>
    </row>
    <row r="2839">
      <c r="A2839" t="inlineStr">
        <is>
          <t>ED202905</t>
        </is>
      </c>
      <c r="B2839" s="56" t="n">
        <v>45460.60069444445</v>
      </c>
      <c r="C2839" t="inlineStr">
        <is>
          <t>Bluestone Memorial Hospital</t>
        </is>
      </c>
      <c r="D2839" t="n">
        <v>26</v>
      </c>
    </row>
    <row r="2840">
      <c r="A2840" t="inlineStr">
        <is>
          <t>ED202906</t>
        </is>
      </c>
      <c r="B2840" s="56" t="n">
        <v>45460.60486111111</v>
      </c>
      <c r="C2840" t="inlineStr">
        <is>
          <t>Bluestone Memorial Hospital</t>
        </is>
      </c>
      <c r="D2840" t="n">
        <v>59</v>
      </c>
    </row>
    <row r="2841">
      <c r="A2841" t="inlineStr">
        <is>
          <t>ED202907</t>
        </is>
      </c>
      <c r="B2841" s="56" t="n">
        <v>45460.6625</v>
      </c>
      <c r="C2841" t="inlineStr">
        <is>
          <t>Bluestone Memorial Hospital</t>
        </is>
      </c>
      <c r="D2841" t="n">
        <v>30</v>
      </c>
    </row>
    <row r="2842">
      <c r="A2842" t="inlineStr">
        <is>
          <t>ED202908</t>
        </is>
      </c>
      <c r="B2842" s="56" t="n">
        <v>45460.66875</v>
      </c>
      <c r="C2842" t="inlineStr">
        <is>
          <t>Bluestone Memorial Hospital</t>
        </is>
      </c>
      <c r="D2842" t="n">
        <v>58</v>
      </c>
    </row>
    <row r="2843">
      <c r="A2843" t="inlineStr">
        <is>
          <t>ED202909</t>
        </is>
      </c>
      <c r="B2843" s="56" t="n">
        <v>45460.67361111111</v>
      </c>
      <c r="C2843" t="inlineStr">
        <is>
          <t>Ashby Falls Community Hospital</t>
        </is>
      </c>
      <c r="D2843" t="n">
        <v>27</v>
      </c>
    </row>
    <row r="2844">
      <c r="A2844" t="inlineStr">
        <is>
          <t>ED202910</t>
        </is>
      </c>
      <c r="B2844" s="56" t="n">
        <v>45460.70277777778</v>
      </c>
      <c r="C2844" t="inlineStr">
        <is>
          <t>Bluestone Memorial Hospital</t>
        </is>
      </c>
      <c r="D2844" t="n">
        <v>100</v>
      </c>
    </row>
    <row r="2845">
      <c r="A2845" t="inlineStr">
        <is>
          <t>ED202911</t>
        </is>
      </c>
      <c r="B2845" s="56" t="n">
        <v>45460.72222222222</v>
      </c>
      <c r="C2845" t="inlineStr">
        <is>
          <t>Ashby Falls Community Hospital</t>
        </is>
      </c>
      <c r="D2845" t="n">
        <v>20</v>
      </c>
    </row>
    <row r="2846">
      <c r="A2846" t="inlineStr">
        <is>
          <t>ED202912</t>
        </is>
      </c>
      <c r="B2846" s="56" t="n">
        <v>45460.76597222222</v>
      </c>
      <c r="C2846" t="inlineStr">
        <is>
          <t>Bluestone Memorial Hospital</t>
        </is>
      </c>
      <c r="D2846" t="n">
        <v>48</v>
      </c>
    </row>
    <row r="2847">
      <c r="A2847" t="inlineStr">
        <is>
          <t>ED202913</t>
        </is>
      </c>
      <c r="B2847" s="56" t="n">
        <v>45461.19166666667</v>
      </c>
      <c r="C2847" t="inlineStr">
        <is>
          <t>Cedar Ridge Medical Center</t>
        </is>
      </c>
      <c r="D2847" t="n">
        <v>14</v>
      </c>
    </row>
    <row r="2848">
      <c r="A2848" t="inlineStr">
        <is>
          <t>ED202914</t>
        </is>
      </c>
      <c r="B2848" s="56" t="n">
        <v>45461.42083333333</v>
      </c>
      <c r="C2848" t="inlineStr">
        <is>
          <t>Bluestone Memorial Hospital</t>
        </is>
      </c>
      <c r="D2848" t="n">
        <v>79</v>
      </c>
    </row>
    <row r="2849">
      <c r="A2849" t="inlineStr">
        <is>
          <t>ED202915</t>
        </is>
      </c>
      <c r="B2849" s="56" t="n">
        <v>45461.47013888889</v>
      </c>
      <c r="C2849" t="inlineStr">
        <is>
          <t>Cedar Ridge Medical Center</t>
        </is>
      </c>
      <c r="D2849" t="n">
        <v>43</v>
      </c>
    </row>
    <row r="2850">
      <c r="A2850" t="inlineStr">
        <is>
          <t>ED202916</t>
        </is>
      </c>
      <c r="B2850" s="56" t="n">
        <v>45461.52013888889</v>
      </c>
      <c r="C2850" t="inlineStr">
        <is>
          <t>Bluestone Memorial Hospital</t>
        </is>
      </c>
      <c r="D2850" t="n">
        <v>22</v>
      </c>
    </row>
    <row r="2851">
      <c r="A2851" t="inlineStr">
        <is>
          <t>ED202917</t>
        </is>
      </c>
      <c r="B2851" s="56" t="n">
        <v>45461.53333333333</v>
      </c>
      <c r="C2851" t="inlineStr">
        <is>
          <t>Ashby Falls Community Hospital</t>
        </is>
      </c>
      <c r="D2851" t="n">
        <v>41</v>
      </c>
    </row>
    <row r="2852">
      <c r="A2852" t="inlineStr">
        <is>
          <t>ED202918</t>
        </is>
      </c>
      <c r="B2852" s="56" t="n">
        <v>45461.55763888889</v>
      </c>
      <c r="C2852" t="inlineStr">
        <is>
          <t>Bluestone Memorial Hospital</t>
        </is>
      </c>
      <c r="D2852" t="n">
        <v>71</v>
      </c>
    </row>
    <row r="2853">
      <c r="A2853" t="inlineStr">
        <is>
          <t>ED202919</t>
        </is>
      </c>
      <c r="B2853" s="56" t="n">
        <v>45461.59930555556</v>
      </c>
      <c r="C2853" t="inlineStr">
        <is>
          <t>Ashby Falls Community Hospital</t>
        </is>
      </c>
      <c r="D2853" t="n">
        <v>54</v>
      </c>
    </row>
    <row r="2854">
      <c r="A2854" t="inlineStr">
        <is>
          <t>ED202920</t>
        </is>
      </c>
      <c r="B2854" s="56" t="n">
        <v>45461.72083333333</v>
      </c>
      <c r="C2854" t="inlineStr">
        <is>
          <t>Bluestone Memorial Hospital</t>
        </is>
      </c>
      <c r="D2854" t="n">
        <v>37</v>
      </c>
    </row>
    <row r="2855">
      <c r="A2855" t="inlineStr">
        <is>
          <t>ED202921</t>
        </is>
      </c>
      <c r="B2855" s="56" t="n">
        <v>45461.78125</v>
      </c>
      <c r="C2855" t="inlineStr">
        <is>
          <t>Bluestone Memorial Hospital</t>
        </is>
      </c>
      <c r="D2855" t="n">
        <v>11</v>
      </c>
    </row>
    <row r="2856">
      <c r="A2856" t="inlineStr">
        <is>
          <t>ED202922</t>
        </is>
      </c>
      <c r="B2856" s="56" t="n">
        <v>45461.80972222222</v>
      </c>
      <c r="C2856" t="inlineStr">
        <is>
          <t>Bluestone Memorial Hospital</t>
        </is>
      </c>
      <c r="D2856" t="n">
        <v>28</v>
      </c>
    </row>
    <row r="2857">
      <c r="A2857" t="inlineStr">
        <is>
          <t>ED202923</t>
        </is>
      </c>
      <c r="B2857" s="56" t="n">
        <v>45461.98611111111</v>
      </c>
      <c r="C2857" t="inlineStr">
        <is>
          <t>Bluestone Memorial Hospital</t>
        </is>
      </c>
      <c r="D2857" t="n">
        <v>6</v>
      </c>
    </row>
    <row r="2858">
      <c r="A2858" t="inlineStr">
        <is>
          <t>ED202924</t>
        </is>
      </c>
      <c r="B2858" s="56" t="n">
        <v>45462.1125</v>
      </c>
      <c r="C2858" t="inlineStr">
        <is>
          <t>Bluestone Memorial Hospital</t>
        </is>
      </c>
      <c r="D2858" t="n">
        <v>18</v>
      </c>
    </row>
    <row r="2859">
      <c r="A2859" t="inlineStr">
        <is>
          <t>ED202925</t>
        </is>
      </c>
      <c r="B2859" s="56" t="n">
        <v>45462.28194444445</v>
      </c>
      <c r="C2859" t="inlineStr">
        <is>
          <t>Bluestone Memorial Hospital</t>
        </is>
      </c>
      <c r="D2859" t="n">
        <v>58</v>
      </c>
    </row>
    <row r="2860">
      <c r="A2860" t="inlineStr">
        <is>
          <t>ED202926</t>
        </is>
      </c>
      <c r="B2860" s="56" t="n">
        <v>45462.30208333334</v>
      </c>
      <c r="C2860" t="inlineStr">
        <is>
          <t>Bluestone Memorial Hospital</t>
        </is>
      </c>
      <c r="D2860" t="n">
        <v>11</v>
      </c>
    </row>
    <row r="2861">
      <c r="A2861" t="inlineStr">
        <is>
          <t>ED202927</t>
        </is>
      </c>
      <c r="B2861" s="56" t="n">
        <v>45462.31319444445</v>
      </c>
      <c r="C2861" t="inlineStr">
        <is>
          <t>Bluestone Memorial Hospital</t>
        </is>
      </c>
      <c r="D2861" t="n">
        <v>17</v>
      </c>
    </row>
    <row r="2862">
      <c r="A2862" t="inlineStr">
        <is>
          <t>ED202928</t>
        </is>
      </c>
      <c r="B2862" s="56" t="n">
        <v>45462.41736111111</v>
      </c>
      <c r="C2862" t="inlineStr">
        <is>
          <t>Bluestone Memorial Hospital</t>
        </is>
      </c>
      <c r="D2862" t="n">
        <v>13</v>
      </c>
    </row>
    <row r="2863">
      <c r="A2863" t="inlineStr">
        <is>
          <t>ED202929</t>
        </is>
      </c>
      <c r="B2863" s="56" t="n">
        <v>45462.42986111111</v>
      </c>
      <c r="C2863" t="inlineStr">
        <is>
          <t>Cedar Ridge Medical Center</t>
        </is>
      </c>
      <c r="D2863" t="n">
        <v>27</v>
      </c>
    </row>
    <row r="2864">
      <c r="A2864" t="inlineStr">
        <is>
          <t>ED202930</t>
        </is>
      </c>
      <c r="B2864" s="56" t="n">
        <v>45462.43958333333</v>
      </c>
      <c r="C2864" t="inlineStr">
        <is>
          <t>Bluestone Memorial Hospital</t>
        </is>
      </c>
      <c r="D2864" t="n">
        <v>21</v>
      </c>
    </row>
    <row r="2865">
      <c r="A2865" t="inlineStr">
        <is>
          <t>ED202931</t>
        </is>
      </c>
      <c r="B2865" s="56" t="n">
        <v>45462.46527777778</v>
      </c>
      <c r="C2865" t="inlineStr">
        <is>
          <t>Bluestone Memorial Hospital</t>
        </is>
      </c>
      <c r="D2865" t="n">
        <v>47</v>
      </c>
    </row>
    <row r="2866">
      <c r="A2866" t="inlineStr">
        <is>
          <t>ED202932</t>
        </is>
      </c>
      <c r="B2866" s="56" t="n">
        <v>45462.46736111111</v>
      </c>
      <c r="C2866" t="inlineStr">
        <is>
          <t>Ashby Falls Community Hospital</t>
        </is>
      </c>
      <c r="D2866" t="n">
        <v>23</v>
      </c>
    </row>
    <row r="2867">
      <c r="A2867" t="inlineStr">
        <is>
          <t>ED202933</t>
        </is>
      </c>
      <c r="B2867" s="56" t="n">
        <v>45462.475</v>
      </c>
      <c r="C2867" t="inlineStr">
        <is>
          <t>Bluestone Memorial Hospital</t>
        </is>
      </c>
      <c r="D2867" t="n">
        <v>55</v>
      </c>
    </row>
    <row r="2868">
      <c r="A2868" t="inlineStr">
        <is>
          <t>ED202934</t>
        </is>
      </c>
      <c r="B2868" s="56" t="n">
        <v>45462.55069444444</v>
      </c>
      <c r="C2868" t="inlineStr">
        <is>
          <t>Cedar Ridge Medical Center</t>
        </is>
      </c>
      <c r="D2868" t="n">
        <v>76</v>
      </c>
    </row>
    <row r="2869">
      <c r="A2869" t="inlineStr">
        <is>
          <t>ED202935</t>
        </is>
      </c>
      <c r="B2869" s="56" t="n">
        <v>45462.5625</v>
      </c>
      <c r="C2869" t="inlineStr">
        <is>
          <t>Cedar Ridge Medical Center</t>
        </is>
      </c>
      <c r="D2869" t="n">
        <v>80</v>
      </c>
    </row>
    <row r="2870">
      <c r="A2870" t="inlineStr">
        <is>
          <t>ED202936</t>
        </is>
      </c>
      <c r="B2870" s="56" t="n">
        <v>45462.61111111111</v>
      </c>
      <c r="C2870" t="inlineStr">
        <is>
          <t>Bluestone Memorial Hospital</t>
        </is>
      </c>
      <c r="D2870" t="n">
        <v>96</v>
      </c>
    </row>
    <row r="2871">
      <c r="A2871" t="inlineStr">
        <is>
          <t>ED202937</t>
        </is>
      </c>
      <c r="B2871" s="56" t="n">
        <v>45462.61805555555</v>
      </c>
      <c r="C2871" t="inlineStr">
        <is>
          <t>Bluestone Memorial Hospital</t>
        </is>
      </c>
      <c r="D2871" t="n">
        <v>52</v>
      </c>
    </row>
    <row r="2872">
      <c r="A2872" t="inlineStr">
        <is>
          <t>ED202938</t>
        </is>
      </c>
      <c r="B2872" s="56" t="n">
        <v>45462.68611111111</v>
      </c>
      <c r="C2872" t="inlineStr">
        <is>
          <t>Ashby Falls Community Hospital</t>
        </is>
      </c>
      <c r="D2872" t="n">
        <v>47</v>
      </c>
    </row>
    <row r="2873">
      <c r="A2873" t="inlineStr">
        <is>
          <t>ED202939</t>
        </is>
      </c>
      <c r="B2873" s="56" t="n">
        <v>45462.68888888889</v>
      </c>
      <c r="C2873" t="inlineStr">
        <is>
          <t>Cedar Ridge Medical Center</t>
        </is>
      </c>
      <c r="D2873" t="n">
        <v>163</v>
      </c>
    </row>
    <row r="2874">
      <c r="A2874" t="inlineStr">
        <is>
          <t>ED202940</t>
        </is>
      </c>
      <c r="B2874" s="56" t="n">
        <v>45462.7</v>
      </c>
      <c r="C2874" t="inlineStr">
        <is>
          <t>Bluestone Memorial Hospital</t>
        </is>
      </c>
      <c r="D2874" t="n">
        <v>117</v>
      </c>
    </row>
    <row r="2875">
      <c r="A2875" t="inlineStr">
        <is>
          <t>ED202941</t>
        </is>
      </c>
      <c r="B2875" s="56" t="n">
        <v>45462.70555555556</v>
      </c>
      <c r="C2875" t="inlineStr">
        <is>
          <t>Bluestone Memorial Hospital</t>
        </is>
      </c>
      <c r="D2875" t="n">
        <v>17</v>
      </c>
    </row>
    <row r="2876">
      <c r="A2876" t="inlineStr">
        <is>
          <t>ED202942</t>
        </is>
      </c>
      <c r="B2876" s="56" t="n">
        <v>45462.74652777778</v>
      </c>
      <c r="C2876" t="inlineStr">
        <is>
          <t>Bluestone Memorial Hospital</t>
        </is>
      </c>
      <c r="D2876" t="n">
        <v>21</v>
      </c>
    </row>
    <row r="2877">
      <c r="A2877" t="inlineStr">
        <is>
          <t>ED202943</t>
        </is>
      </c>
      <c r="B2877" s="56" t="n">
        <v>45462.89236111111</v>
      </c>
      <c r="C2877" t="inlineStr">
        <is>
          <t>Bluestone Memorial Hospital</t>
        </is>
      </c>
      <c r="D2877" t="n">
        <v>37</v>
      </c>
    </row>
    <row r="2878">
      <c r="A2878" t="inlineStr">
        <is>
          <t>ED202944</t>
        </is>
      </c>
      <c r="B2878" s="56" t="n">
        <v>45463.02152777778</v>
      </c>
      <c r="C2878" t="inlineStr">
        <is>
          <t>Bluestone Memorial Hospital</t>
        </is>
      </c>
      <c r="D2878" t="n">
        <v>6</v>
      </c>
    </row>
    <row r="2879">
      <c r="A2879" t="inlineStr">
        <is>
          <t>ED202945</t>
        </is>
      </c>
      <c r="B2879" s="56" t="n">
        <v>45463.07152777778</v>
      </c>
      <c r="C2879" t="inlineStr">
        <is>
          <t>Ashby Falls Community Hospital</t>
        </is>
      </c>
      <c r="D2879" t="n">
        <v>65</v>
      </c>
    </row>
    <row r="2880">
      <c r="A2880" t="inlineStr">
        <is>
          <t>ED202946</t>
        </is>
      </c>
      <c r="B2880" s="56" t="n">
        <v>45463.13333333333</v>
      </c>
      <c r="C2880" t="inlineStr">
        <is>
          <t>Bluestone Memorial Hospital</t>
        </is>
      </c>
      <c r="D2880" t="n">
        <v>33</v>
      </c>
    </row>
    <row r="2881">
      <c r="A2881" t="inlineStr">
        <is>
          <t>ED202947</t>
        </is>
      </c>
      <c r="B2881" s="56" t="n">
        <v>45463.275</v>
      </c>
      <c r="C2881" t="inlineStr">
        <is>
          <t>Bluestone Memorial Hospital</t>
        </is>
      </c>
      <c r="D2881" t="n">
        <v>11</v>
      </c>
    </row>
    <row r="2882">
      <c r="A2882" t="inlineStr">
        <is>
          <t>ED202948</t>
        </is>
      </c>
      <c r="B2882" s="56" t="n">
        <v>45463.35486111111</v>
      </c>
      <c r="C2882" t="inlineStr">
        <is>
          <t>Bluestone Memorial Hospital</t>
        </is>
      </c>
      <c r="D2882" t="n">
        <v>76</v>
      </c>
    </row>
    <row r="2883">
      <c r="A2883" t="inlineStr">
        <is>
          <t>ED202949</t>
        </is>
      </c>
      <c r="B2883" s="56" t="n">
        <v>45463.36805555555</v>
      </c>
      <c r="C2883" t="inlineStr">
        <is>
          <t>Bluestone Memorial Hospital</t>
        </is>
      </c>
      <c r="D2883" t="n">
        <v>77</v>
      </c>
    </row>
    <row r="2884">
      <c r="A2884" t="inlineStr">
        <is>
          <t>ED202950</t>
        </is>
      </c>
      <c r="B2884" s="56" t="n">
        <v>45463.38472222222</v>
      </c>
      <c r="C2884" t="inlineStr">
        <is>
          <t>Bluestone Memorial Hospital</t>
        </is>
      </c>
      <c r="D2884" t="n">
        <v>13</v>
      </c>
    </row>
    <row r="2885">
      <c r="A2885" t="inlineStr">
        <is>
          <t>ED202951</t>
        </is>
      </c>
      <c r="B2885" s="56" t="n">
        <v>45463.45</v>
      </c>
      <c r="C2885" t="inlineStr">
        <is>
          <t>Bluestone Memorial Hospital</t>
        </is>
      </c>
      <c r="D2885" t="n">
        <v>76</v>
      </c>
    </row>
    <row r="2886">
      <c r="A2886" t="inlineStr">
        <is>
          <t>ED202952</t>
        </is>
      </c>
      <c r="B2886" s="56" t="n">
        <v>45463.48194444444</v>
      </c>
      <c r="C2886" t="inlineStr">
        <is>
          <t>Bluestone Memorial Hospital</t>
        </is>
      </c>
      <c r="D2886" t="n">
        <v>17</v>
      </c>
    </row>
    <row r="2887">
      <c r="A2887" t="inlineStr">
        <is>
          <t>ED202953</t>
        </is>
      </c>
      <c r="B2887" s="56" t="n">
        <v>45463.53263888889</v>
      </c>
      <c r="C2887" t="inlineStr">
        <is>
          <t>Cedar Ridge Medical Center</t>
        </is>
      </c>
      <c r="D2887" t="n">
        <v>16</v>
      </c>
    </row>
    <row r="2888">
      <c r="A2888" t="inlineStr">
        <is>
          <t>ED202954</t>
        </is>
      </c>
      <c r="B2888" s="56" t="n">
        <v>45463.54236111111</v>
      </c>
      <c r="C2888" t="inlineStr">
        <is>
          <t>Cedar Ridge Medical Center</t>
        </is>
      </c>
      <c r="D2888" t="n">
        <v>3</v>
      </c>
    </row>
    <row r="2889">
      <c r="A2889" t="inlineStr">
        <is>
          <t>ED202955</t>
        </is>
      </c>
      <c r="B2889" s="56" t="n">
        <v>45463.81041666667</v>
      </c>
      <c r="C2889" t="inlineStr">
        <is>
          <t>Bluestone Memorial Hospital</t>
        </is>
      </c>
      <c r="D2889" t="n">
        <v>44</v>
      </c>
    </row>
    <row r="2890">
      <c r="A2890" t="inlineStr">
        <is>
          <t>ED202956</t>
        </is>
      </c>
      <c r="B2890" s="56" t="n">
        <v>45463.82638888889</v>
      </c>
      <c r="C2890" t="inlineStr">
        <is>
          <t>Bluestone Memorial Hospital</t>
        </is>
      </c>
      <c r="D2890" t="n">
        <v>120</v>
      </c>
    </row>
    <row r="2891">
      <c r="A2891" t="inlineStr">
        <is>
          <t>ED202957</t>
        </is>
      </c>
      <c r="B2891" s="56" t="n">
        <v>45463.83402777778</v>
      </c>
      <c r="C2891" t="inlineStr">
        <is>
          <t>Bluestone Memorial Hospital</t>
        </is>
      </c>
      <c r="D2891" t="n">
        <v>98</v>
      </c>
    </row>
    <row r="2892">
      <c r="A2892" t="inlineStr">
        <is>
          <t>ED202958</t>
        </is>
      </c>
      <c r="B2892" s="56" t="n">
        <v>45463.88402777778</v>
      </c>
      <c r="C2892" t="inlineStr">
        <is>
          <t>Cedar Ridge Medical Center</t>
        </is>
      </c>
      <c r="D2892" t="n">
        <v>24</v>
      </c>
    </row>
    <row r="2893">
      <c r="A2893" t="inlineStr">
        <is>
          <t>ED202959</t>
        </is>
      </c>
      <c r="B2893" s="56" t="n">
        <v>45464.29097222222</v>
      </c>
      <c r="C2893" t="inlineStr">
        <is>
          <t>Ashby Falls Community Hospital</t>
        </is>
      </c>
      <c r="D2893" t="n">
        <v>36</v>
      </c>
    </row>
    <row r="2894">
      <c r="A2894" t="inlineStr">
        <is>
          <t>ED202960</t>
        </is>
      </c>
      <c r="B2894" s="56" t="n">
        <v>45464.3</v>
      </c>
      <c r="C2894" t="inlineStr">
        <is>
          <t>Bluestone Memorial Hospital</t>
        </is>
      </c>
      <c r="D2894" t="n">
        <v>27</v>
      </c>
    </row>
    <row r="2895">
      <c r="A2895" t="inlineStr">
        <is>
          <t>ED202961</t>
        </is>
      </c>
      <c r="B2895" s="56" t="n">
        <v>45464.34513888889</v>
      </c>
      <c r="C2895" t="inlineStr">
        <is>
          <t>Bluestone Memorial Hospital</t>
        </is>
      </c>
      <c r="D2895" t="n">
        <v>16</v>
      </c>
    </row>
    <row r="2896">
      <c r="A2896" t="inlineStr">
        <is>
          <t>ED202962</t>
        </is>
      </c>
      <c r="B2896" s="56" t="n">
        <v>45464.37152777778</v>
      </c>
      <c r="C2896" t="inlineStr">
        <is>
          <t>Bluestone Memorial Hospital</t>
        </is>
      </c>
      <c r="D2896" t="n">
        <v>39</v>
      </c>
    </row>
    <row r="2897">
      <c r="A2897" t="inlineStr">
        <is>
          <t>ED202963</t>
        </is>
      </c>
      <c r="B2897" s="56" t="n">
        <v>45464.38402777778</v>
      </c>
      <c r="C2897" t="inlineStr">
        <is>
          <t>Bluestone Memorial Hospital</t>
        </is>
      </c>
      <c r="D2897" t="n">
        <v>15</v>
      </c>
    </row>
    <row r="2898">
      <c r="A2898" t="inlineStr">
        <is>
          <t>ED202964</t>
        </is>
      </c>
      <c r="B2898" s="56" t="n">
        <v>45464.41666666666</v>
      </c>
      <c r="C2898" t="inlineStr">
        <is>
          <t>Cedar Ridge Medical Center</t>
        </is>
      </c>
      <c r="D2898" t="n">
        <v>45</v>
      </c>
    </row>
    <row r="2899">
      <c r="A2899" t="inlineStr">
        <is>
          <t>ED202965</t>
        </is>
      </c>
      <c r="B2899" s="56" t="n">
        <v>45464.46458333333</v>
      </c>
      <c r="C2899" t="inlineStr">
        <is>
          <t>Cedar Ridge Medical Center</t>
        </is>
      </c>
      <c r="D2899" t="n">
        <v>35</v>
      </c>
    </row>
    <row r="2900">
      <c r="A2900" t="inlineStr">
        <is>
          <t>ED202966</t>
        </is>
      </c>
      <c r="B2900" s="56" t="n">
        <v>45464.52569444444</v>
      </c>
      <c r="C2900" t="inlineStr">
        <is>
          <t>Bluestone Memorial Hospital</t>
        </is>
      </c>
      <c r="D2900" t="n">
        <v>60</v>
      </c>
    </row>
    <row r="2901">
      <c r="A2901" t="inlineStr">
        <is>
          <t>ED202967</t>
        </is>
      </c>
      <c r="B2901" s="56" t="n">
        <v>45464.63055555556</v>
      </c>
      <c r="C2901" t="inlineStr">
        <is>
          <t>Bluestone Memorial Hospital</t>
        </is>
      </c>
      <c r="D2901" t="n">
        <v>24</v>
      </c>
    </row>
    <row r="2902">
      <c r="A2902" t="inlineStr">
        <is>
          <t>ED202968</t>
        </is>
      </c>
      <c r="B2902" s="56" t="n">
        <v>45464.94583333333</v>
      </c>
      <c r="C2902" t="inlineStr">
        <is>
          <t>Cedar Ridge Medical Center</t>
        </is>
      </c>
      <c r="D2902" t="n">
        <v>29</v>
      </c>
    </row>
    <row r="2903">
      <c r="A2903" t="inlineStr">
        <is>
          <t>ED202969</t>
        </is>
      </c>
      <c r="B2903" s="56" t="n">
        <v>45465.13680555556</v>
      </c>
      <c r="C2903" t="inlineStr">
        <is>
          <t>Cedar Ridge Medical Center</t>
        </is>
      </c>
      <c r="D2903" t="n">
        <v>20</v>
      </c>
    </row>
    <row r="2904">
      <c r="A2904" t="inlineStr">
        <is>
          <t>ED202970</t>
        </is>
      </c>
      <c r="B2904" s="56" t="n">
        <v>45465.39027777778</v>
      </c>
      <c r="C2904" t="inlineStr">
        <is>
          <t>Bluestone Memorial Hospital</t>
        </is>
      </c>
      <c r="D2904" t="n">
        <v>166</v>
      </c>
    </row>
    <row r="2905">
      <c r="A2905" t="inlineStr">
        <is>
          <t>ED202971</t>
        </is>
      </c>
      <c r="B2905" s="56" t="n">
        <v>45465.42013888889</v>
      </c>
      <c r="C2905" t="inlineStr">
        <is>
          <t>Bluestone Memorial Hospital</t>
        </is>
      </c>
      <c r="D2905" t="n">
        <v>77</v>
      </c>
    </row>
    <row r="2906">
      <c r="A2906" t="inlineStr">
        <is>
          <t>ED202972</t>
        </is>
      </c>
      <c r="B2906" s="56" t="n">
        <v>45465.43125</v>
      </c>
      <c r="C2906" t="inlineStr">
        <is>
          <t>Bluestone Memorial Hospital</t>
        </is>
      </c>
      <c r="D2906" t="n">
        <v>35</v>
      </c>
    </row>
    <row r="2907">
      <c r="A2907" t="inlineStr">
        <is>
          <t>ED202973</t>
        </is>
      </c>
      <c r="B2907" s="56" t="n">
        <v>45465.475</v>
      </c>
      <c r="C2907" t="inlineStr">
        <is>
          <t>Ashby Falls Community Hospital</t>
        </is>
      </c>
      <c r="D2907" t="n">
        <v>26</v>
      </c>
    </row>
    <row r="2908">
      <c r="A2908" t="inlineStr">
        <is>
          <t>ED202974</t>
        </is>
      </c>
      <c r="B2908" s="56" t="n">
        <v>45465.49791666667</v>
      </c>
      <c r="C2908" t="inlineStr">
        <is>
          <t>Bluestone Memorial Hospital</t>
        </is>
      </c>
      <c r="D2908" t="n">
        <v>65</v>
      </c>
    </row>
    <row r="2909">
      <c r="A2909" t="inlineStr">
        <is>
          <t>ED202975</t>
        </is>
      </c>
      <c r="B2909" s="56" t="n">
        <v>45465.52847222222</v>
      </c>
      <c r="C2909" t="inlineStr">
        <is>
          <t>Bluestone Memorial Hospital</t>
        </is>
      </c>
      <c r="D2909" t="n">
        <v>64</v>
      </c>
    </row>
    <row r="2910">
      <c r="A2910" t="inlineStr">
        <is>
          <t>ED202976</t>
        </is>
      </c>
      <c r="B2910" s="56" t="n">
        <v>45465.575</v>
      </c>
      <c r="C2910" t="inlineStr">
        <is>
          <t>Bluestone Memorial Hospital</t>
        </is>
      </c>
      <c r="D2910" t="n">
        <v>55</v>
      </c>
    </row>
    <row r="2911">
      <c r="A2911" t="inlineStr">
        <is>
          <t>ED202977</t>
        </is>
      </c>
      <c r="B2911" s="56" t="n">
        <v>45465.60625</v>
      </c>
      <c r="C2911" t="inlineStr">
        <is>
          <t>Bluestone Memorial Hospital</t>
        </is>
      </c>
      <c r="D2911" t="n">
        <v>55</v>
      </c>
    </row>
    <row r="2912">
      <c r="A2912" t="inlineStr">
        <is>
          <t>ED202978</t>
        </is>
      </c>
      <c r="B2912" s="56" t="n">
        <v>45465.74375</v>
      </c>
      <c r="C2912" t="inlineStr">
        <is>
          <t>Bluestone Memorial Hospital</t>
        </is>
      </c>
      <c r="D2912" t="n">
        <v>32</v>
      </c>
    </row>
    <row r="2913">
      <c r="A2913" t="inlineStr">
        <is>
          <t>ED202979</t>
        </is>
      </c>
      <c r="B2913" s="56" t="n">
        <v>45465.81736111111</v>
      </c>
      <c r="C2913" t="inlineStr">
        <is>
          <t>Bluestone Memorial Hospital</t>
        </is>
      </c>
      <c r="D2913" t="n">
        <v>86</v>
      </c>
    </row>
    <row r="2914">
      <c r="A2914" t="inlineStr">
        <is>
          <t>ED202980</t>
        </is>
      </c>
      <c r="B2914" s="56" t="n">
        <v>45465.84791666667</v>
      </c>
      <c r="C2914" t="inlineStr">
        <is>
          <t>Cedar Ridge Medical Center</t>
        </is>
      </c>
      <c r="D2914" t="n">
        <v>17</v>
      </c>
    </row>
    <row r="2915">
      <c r="A2915" t="inlineStr">
        <is>
          <t>ED202981</t>
        </is>
      </c>
      <c r="B2915" s="56" t="n">
        <v>45465.90069444444</v>
      </c>
      <c r="C2915" t="inlineStr">
        <is>
          <t>Bluestone Memorial Hospital</t>
        </is>
      </c>
      <c r="D2915" t="n">
        <v>91</v>
      </c>
    </row>
    <row r="2916">
      <c r="A2916" t="inlineStr">
        <is>
          <t>ED202982</t>
        </is>
      </c>
      <c r="B2916" s="56" t="n">
        <v>45466.03541666667</v>
      </c>
      <c r="C2916" t="inlineStr">
        <is>
          <t>Bluestone Memorial Hospital</t>
        </is>
      </c>
      <c r="D2916" t="n">
        <v>17</v>
      </c>
    </row>
    <row r="2917">
      <c r="A2917" t="inlineStr">
        <is>
          <t>ED202983</t>
        </is>
      </c>
      <c r="B2917" s="56" t="n">
        <v>45466.24791666667</v>
      </c>
      <c r="C2917" t="inlineStr">
        <is>
          <t>Cedar Ridge Medical Center</t>
        </is>
      </c>
      <c r="D2917" t="n">
        <v>12</v>
      </c>
    </row>
    <row r="2918">
      <c r="A2918" t="inlineStr">
        <is>
          <t>ED202984</t>
        </is>
      </c>
      <c r="B2918" s="56" t="n">
        <v>45466.47013888889</v>
      </c>
      <c r="C2918" t="inlineStr">
        <is>
          <t>Bluestone Memorial Hospital</t>
        </is>
      </c>
      <c r="D2918" t="n">
        <v>13</v>
      </c>
    </row>
    <row r="2919">
      <c r="A2919" t="inlineStr">
        <is>
          <t>ED202985</t>
        </is>
      </c>
      <c r="B2919" s="56" t="n">
        <v>45466.49861111111</v>
      </c>
      <c r="C2919" t="inlineStr">
        <is>
          <t>Bluestone Memorial Hospital</t>
        </is>
      </c>
      <c r="D2919" t="n">
        <v>43</v>
      </c>
    </row>
    <row r="2920">
      <c r="A2920" t="inlineStr">
        <is>
          <t>ED202987</t>
        </is>
      </c>
      <c r="B2920" s="56" t="n">
        <v>45466.54722222222</v>
      </c>
      <c r="C2920" t="inlineStr">
        <is>
          <t>Bluestone Memorial Hospital</t>
        </is>
      </c>
      <c r="D2920" t="n">
        <v>11</v>
      </c>
    </row>
    <row r="2921">
      <c r="A2921" t="inlineStr">
        <is>
          <t>ED202988</t>
        </is>
      </c>
      <c r="B2921" s="56" t="n">
        <v>45466.55347222222</v>
      </c>
      <c r="C2921" t="inlineStr">
        <is>
          <t>Bluestone Memorial Hospital</t>
        </is>
      </c>
      <c r="D2921" t="n">
        <v>82</v>
      </c>
    </row>
    <row r="2922">
      <c r="A2922" t="inlineStr">
        <is>
          <t>ED202989</t>
        </is>
      </c>
      <c r="B2922" s="56" t="n">
        <v>45466.59305555555</v>
      </c>
      <c r="C2922" t="inlineStr">
        <is>
          <t>Bluestone Memorial Hospital</t>
        </is>
      </c>
      <c r="D2922" t="n">
        <v>16</v>
      </c>
    </row>
    <row r="2923">
      <c r="A2923" t="inlineStr">
        <is>
          <t>ED202990</t>
        </is>
      </c>
      <c r="B2923" s="56" t="n">
        <v>45466.61319444444</v>
      </c>
      <c r="C2923" t="inlineStr">
        <is>
          <t>Bluestone Memorial Hospital</t>
        </is>
      </c>
      <c r="D2923" t="n">
        <v>99</v>
      </c>
    </row>
    <row r="2924">
      <c r="A2924" t="inlineStr">
        <is>
          <t>ED202991</t>
        </is>
      </c>
      <c r="B2924" s="56" t="n">
        <v>45467.12222222222</v>
      </c>
      <c r="C2924" t="inlineStr">
        <is>
          <t>Bluestone Memorial Hospital</t>
        </is>
      </c>
      <c r="D2924" t="n">
        <v>17</v>
      </c>
    </row>
    <row r="2925">
      <c r="A2925" t="inlineStr">
        <is>
          <t>ED202992</t>
        </is>
      </c>
      <c r="B2925" s="56" t="n">
        <v>45467.25208333333</v>
      </c>
      <c r="C2925" t="inlineStr">
        <is>
          <t>Bluestone Memorial Hospital</t>
        </is>
      </c>
      <c r="D2925" t="n">
        <v>56</v>
      </c>
    </row>
    <row r="2926">
      <c r="A2926" t="inlineStr">
        <is>
          <t>ED202993</t>
        </is>
      </c>
      <c r="B2926" s="56" t="n">
        <v>45467.34444444445</v>
      </c>
      <c r="C2926" t="inlineStr">
        <is>
          <t>Cedar Ridge Medical Center</t>
        </is>
      </c>
      <c r="D2926" t="n">
        <v>30</v>
      </c>
    </row>
    <row r="2927">
      <c r="A2927" t="inlineStr">
        <is>
          <t>ED202994</t>
        </is>
      </c>
      <c r="B2927" s="56" t="n">
        <v>45467.39513888889</v>
      </c>
      <c r="C2927" t="inlineStr">
        <is>
          <t>Bluestone Memorial Hospital</t>
        </is>
      </c>
      <c r="D2927" t="n">
        <v>70</v>
      </c>
    </row>
    <row r="2928">
      <c r="A2928" t="inlineStr">
        <is>
          <t>ED202995</t>
        </is>
      </c>
      <c r="B2928" s="56" t="n">
        <v>45467.48194444444</v>
      </c>
      <c r="C2928" t="inlineStr">
        <is>
          <t>Bluestone Memorial Hospital</t>
        </is>
      </c>
      <c r="D2928" t="n">
        <v>84</v>
      </c>
    </row>
    <row r="2929">
      <c r="A2929" t="inlineStr">
        <is>
          <t>ED202996</t>
        </is>
      </c>
      <c r="B2929" s="56" t="n">
        <v>45467.49583333333</v>
      </c>
      <c r="C2929" t="inlineStr">
        <is>
          <t>Bluestone Memorial Hospital</t>
        </is>
      </c>
      <c r="D2929" t="n">
        <v>93</v>
      </c>
    </row>
    <row r="2930">
      <c r="A2930" t="inlineStr">
        <is>
          <t>ED202997</t>
        </is>
      </c>
      <c r="B2930" s="56" t="n">
        <v>45467.51388888889</v>
      </c>
      <c r="C2930" t="inlineStr">
        <is>
          <t>Bluestone Memorial Hospital</t>
        </is>
      </c>
      <c r="D2930" t="n">
        <v>56</v>
      </c>
    </row>
    <row r="2931">
      <c r="A2931" t="inlineStr">
        <is>
          <t>ED202998</t>
        </is>
      </c>
      <c r="B2931" s="56" t="n">
        <v>45467.52152777778</v>
      </c>
      <c r="C2931" t="inlineStr">
        <is>
          <t>Bluestone Memorial Hospital</t>
        </is>
      </c>
      <c r="D2931" t="n">
        <v>111</v>
      </c>
    </row>
    <row r="2932">
      <c r="A2932" t="inlineStr">
        <is>
          <t>ED202999</t>
        </is>
      </c>
      <c r="B2932" s="56" t="n">
        <v>45467.58819444444</v>
      </c>
      <c r="C2932" t="inlineStr">
        <is>
          <t>Bluestone Memorial Hospital</t>
        </is>
      </c>
      <c r="D2932" t="n">
        <v>24</v>
      </c>
    </row>
    <row r="2933">
      <c r="A2933" t="inlineStr">
        <is>
          <t>ED203000</t>
        </is>
      </c>
      <c r="B2933" s="56" t="n">
        <v>45467.59930555556</v>
      </c>
      <c r="C2933" t="inlineStr">
        <is>
          <t>Bluestone Memorial Hospital</t>
        </is>
      </c>
      <c r="D2933" t="n">
        <v>49</v>
      </c>
    </row>
    <row r="2934">
      <c r="A2934" t="inlineStr">
        <is>
          <t>ED203002</t>
        </is>
      </c>
      <c r="B2934" s="56" t="n">
        <v>45467.75416666667</v>
      </c>
      <c r="C2934" t="inlineStr">
        <is>
          <t>Bluestone Memorial Hospital</t>
        </is>
      </c>
      <c r="D2934" t="n">
        <v>61</v>
      </c>
    </row>
    <row r="2935">
      <c r="A2935" t="inlineStr">
        <is>
          <t>ED203003</t>
        </is>
      </c>
      <c r="B2935" s="56" t="n">
        <v>45467.77013888889</v>
      </c>
      <c r="C2935" t="inlineStr">
        <is>
          <t>Bluestone Memorial Hospital</t>
        </is>
      </c>
      <c r="D2935" t="n">
        <v>13</v>
      </c>
    </row>
    <row r="2936">
      <c r="A2936" t="inlineStr">
        <is>
          <t>ED203004</t>
        </is>
      </c>
      <c r="B2936" s="56" t="n">
        <v>45467.79652777778</v>
      </c>
      <c r="C2936" t="inlineStr">
        <is>
          <t>Bluestone Memorial Hospital</t>
        </is>
      </c>
      <c r="D2936" t="n">
        <v>106</v>
      </c>
    </row>
    <row r="2937">
      <c r="A2937" t="inlineStr">
        <is>
          <t>ED203005</t>
        </is>
      </c>
      <c r="B2937" s="56" t="n">
        <v>45467.81666666667</v>
      </c>
      <c r="C2937" t="inlineStr">
        <is>
          <t>Bluestone Memorial Hospital</t>
        </is>
      </c>
      <c r="D2937" t="n">
        <v>73</v>
      </c>
    </row>
    <row r="2938">
      <c r="A2938" t="inlineStr">
        <is>
          <t>ED203006</t>
        </is>
      </c>
      <c r="B2938" s="56" t="n">
        <v>45468.04027777778</v>
      </c>
      <c r="C2938" t="inlineStr">
        <is>
          <t>Bluestone Memorial Hospital</t>
        </is>
      </c>
      <c r="D2938" t="n">
        <v>31</v>
      </c>
    </row>
    <row r="2939">
      <c r="A2939" t="inlineStr">
        <is>
          <t>ED203007</t>
        </is>
      </c>
      <c r="B2939" s="56" t="n">
        <v>45468.07777777778</v>
      </c>
      <c r="C2939" t="inlineStr">
        <is>
          <t>Bluestone Memorial Hospital</t>
        </is>
      </c>
      <c r="D2939" t="n">
        <v>15</v>
      </c>
    </row>
    <row r="2940">
      <c r="A2940" t="inlineStr">
        <is>
          <t>ED203008</t>
        </is>
      </c>
      <c r="B2940" s="56" t="n">
        <v>45468.175</v>
      </c>
      <c r="C2940" t="inlineStr">
        <is>
          <t>Cedar Ridge Medical Center</t>
        </is>
      </c>
      <c r="D2940" t="n">
        <v>41</v>
      </c>
    </row>
    <row r="2941">
      <c r="A2941" t="inlineStr">
        <is>
          <t>ED203009</t>
        </is>
      </c>
      <c r="B2941" s="56" t="n">
        <v>45468.31388888889</v>
      </c>
      <c r="C2941" t="inlineStr">
        <is>
          <t>Ashby Falls Community Hospital</t>
        </is>
      </c>
      <c r="D2941" t="n">
        <v>21</v>
      </c>
    </row>
    <row r="2942">
      <c r="A2942" t="inlineStr">
        <is>
          <t>ED203010</t>
        </is>
      </c>
      <c r="B2942" s="56" t="n">
        <v>45468.325</v>
      </c>
      <c r="C2942" t="inlineStr">
        <is>
          <t>Cedar Ridge Medical Center</t>
        </is>
      </c>
      <c r="D2942" t="n">
        <v>32</v>
      </c>
    </row>
    <row r="2943">
      <c r="A2943" t="inlineStr">
        <is>
          <t>ED203011</t>
        </is>
      </c>
      <c r="B2943" s="56" t="n">
        <v>45468.39305555556</v>
      </c>
      <c r="C2943" t="inlineStr">
        <is>
          <t>Ashby Falls Community Hospital</t>
        </is>
      </c>
      <c r="D2943" t="n">
        <v>43</v>
      </c>
    </row>
    <row r="2944">
      <c r="A2944" t="inlineStr">
        <is>
          <t>ED203012</t>
        </is>
      </c>
      <c r="B2944" s="56" t="n">
        <v>45468.41805555556</v>
      </c>
      <c r="C2944" t="inlineStr">
        <is>
          <t>Bluestone Memorial Hospital</t>
        </is>
      </c>
      <c r="D2944" t="n">
        <v>29</v>
      </c>
    </row>
    <row r="2945">
      <c r="A2945" t="inlineStr">
        <is>
          <t>ED203013</t>
        </is>
      </c>
      <c r="B2945" s="56" t="n">
        <v>45468.43819444445</v>
      </c>
      <c r="C2945" t="inlineStr">
        <is>
          <t>Bluestone Memorial Hospital</t>
        </is>
      </c>
      <c r="D2945" t="n">
        <v>9</v>
      </c>
    </row>
    <row r="2946">
      <c r="A2946" t="inlineStr">
        <is>
          <t>ED203014</t>
        </is>
      </c>
      <c r="B2946" s="56" t="n">
        <v>45468.44791666666</v>
      </c>
      <c r="C2946" t="inlineStr">
        <is>
          <t>Bluestone Memorial Hospital</t>
        </is>
      </c>
      <c r="D2946" t="n">
        <v>54</v>
      </c>
    </row>
    <row r="2947">
      <c r="A2947" t="inlineStr">
        <is>
          <t>ED203015</t>
        </is>
      </c>
      <c r="B2947" s="56" t="n">
        <v>45468.51875</v>
      </c>
      <c r="C2947" t="inlineStr">
        <is>
          <t>Cedar Ridge Medical Center</t>
        </is>
      </c>
      <c r="D2947" t="n">
        <v>61</v>
      </c>
    </row>
    <row r="2948">
      <c r="A2948" t="inlineStr">
        <is>
          <t>ED203016</t>
        </is>
      </c>
      <c r="B2948" s="56" t="n">
        <v>45468.54722222222</v>
      </c>
      <c r="C2948" t="inlineStr">
        <is>
          <t>Cedar Ridge Medical Center</t>
        </is>
      </c>
      <c r="D2948" t="n">
        <v>64</v>
      </c>
    </row>
    <row r="2949">
      <c r="A2949" t="inlineStr">
        <is>
          <t>ED203017</t>
        </is>
      </c>
      <c r="B2949" s="56" t="n">
        <v>45468.56111111111</v>
      </c>
      <c r="C2949" t="inlineStr">
        <is>
          <t>Bluestone Memorial Hospital</t>
        </is>
      </c>
      <c r="D2949" t="n">
        <v>68</v>
      </c>
    </row>
    <row r="2950">
      <c r="A2950" t="inlineStr">
        <is>
          <t>ED203018</t>
        </is>
      </c>
      <c r="B2950" s="56" t="n">
        <v>45468.58125</v>
      </c>
      <c r="C2950" t="inlineStr">
        <is>
          <t>Bluestone Memorial Hospital</t>
        </is>
      </c>
      <c r="D2950" t="n">
        <v>52</v>
      </c>
    </row>
    <row r="2951">
      <c r="A2951" t="inlineStr">
        <is>
          <t>ED203019</t>
        </is>
      </c>
      <c r="B2951" s="56" t="n">
        <v>45468.58611111111</v>
      </c>
      <c r="C2951" t="inlineStr">
        <is>
          <t>Bluestone Memorial Hospital</t>
        </is>
      </c>
      <c r="D2951" t="n">
        <v>107</v>
      </c>
    </row>
    <row r="2952">
      <c r="A2952" t="inlineStr">
        <is>
          <t>ED203020</t>
        </is>
      </c>
      <c r="B2952" s="56" t="n">
        <v>45468.60069444445</v>
      </c>
      <c r="C2952" t="inlineStr">
        <is>
          <t>Bluestone Memorial Hospital</t>
        </is>
      </c>
      <c r="D2952" t="n">
        <v>10</v>
      </c>
    </row>
    <row r="2953">
      <c r="A2953" t="inlineStr">
        <is>
          <t>ED203021</t>
        </is>
      </c>
      <c r="B2953" s="56" t="n">
        <v>45468.62013888889</v>
      </c>
      <c r="C2953" t="inlineStr">
        <is>
          <t>Bluestone Memorial Hospital</t>
        </is>
      </c>
      <c r="D2953" t="n">
        <v>31</v>
      </c>
    </row>
    <row r="2954">
      <c r="A2954" t="inlineStr">
        <is>
          <t>ED203022</t>
        </is>
      </c>
      <c r="B2954" s="56" t="n">
        <v>45468.74236111111</v>
      </c>
      <c r="C2954" t="inlineStr">
        <is>
          <t>Cedar Ridge Medical Center</t>
        </is>
      </c>
      <c r="D2954" t="n">
        <v>16</v>
      </c>
    </row>
    <row r="2955">
      <c r="A2955" t="inlineStr">
        <is>
          <t>ED203023</t>
        </is>
      </c>
      <c r="B2955" s="56" t="n">
        <v>45468.81111111111</v>
      </c>
      <c r="C2955" t="inlineStr">
        <is>
          <t>Cedar Ridge Medical Center</t>
        </is>
      </c>
      <c r="D2955" t="n">
        <v>73</v>
      </c>
    </row>
    <row r="2956">
      <c r="A2956" t="inlineStr">
        <is>
          <t>ED203024</t>
        </is>
      </c>
      <c r="B2956" s="56" t="n">
        <v>45468.81458333333</v>
      </c>
      <c r="C2956" t="inlineStr">
        <is>
          <t>Ashby Falls Community Hospital</t>
        </is>
      </c>
      <c r="D2956" t="n">
        <v>81</v>
      </c>
    </row>
    <row r="2957">
      <c r="A2957" t="inlineStr">
        <is>
          <t>ED203025</t>
        </is>
      </c>
      <c r="B2957" s="56" t="n">
        <v>45468.82361111111</v>
      </c>
      <c r="C2957" t="inlineStr">
        <is>
          <t>Ashby Falls Community Hospital</t>
        </is>
      </c>
      <c r="D2957" t="n">
        <v>54</v>
      </c>
    </row>
    <row r="2958">
      <c r="A2958" t="inlineStr">
        <is>
          <t>ED203026</t>
        </is>
      </c>
      <c r="B2958" s="56" t="n">
        <v>45468.88125</v>
      </c>
      <c r="C2958" t="inlineStr">
        <is>
          <t>Cedar Ridge Medical Center</t>
        </is>
      </c>
      <c r="D2958" t="n">
        <v>69</v>
      </c>
    </row>
    <row r="2959">
      <c r="A2959" t="inlineStr">
        <is>
          <t>ED203027</t>
        </is>
      </c>
      <c r="B2959" s="56" t="n">
        <v>45468.99097222222</v>
      </c>
      <c r="C2959" t="inlineStr">
        <is>
          <t>Bluestone Memorial Hospital</t>
        </is>
      </c>
      <c r="D2959" t="n">
        <v>20</v>
      </c>
    </row>
    <row r="2960">
      <c r="A2960" t="inlineStr">
        <is>
          <t>ED203028</t>
        </is>
      </c>
      <c r="B2960" s="56" t="n">
        <v>45469.05277777778</v>
      </c>
      <c r="C2960" t="inlineStr">
        <is>
          <t>Bluestone Memorial Hospital</t>
        </is>
      </c>
      <c r="D2960" t="n">
        <v>9</v>
      </c>
    </row>
    <row r="2961">
      <c r="A2961" t="inlineStr">
        <is>
          <t>ED203029</t>
        </is>
      </c>
      <c r="B2961" s="56" t="n">
        <v>45469.06319444445</v>
      </c>
      <c r="C2961" t="inlineStr">
        <is>
          <t>Bluestone Memorial Hospital</t>
        </is>
      </c>
      <c r="D2961" t="n">
        <v>18</v>
      </c>
    </row>
    <row r="2962">
      <c r="A2962" t="inlineStr">
        <is>
          <t>ED203030</t>
        </is>
      </c>
      <c r="B2962" s="56" t="n">
        <v>45469.09375</v>
      </c>
      <c r="C2962" t="inlineStr">
        <is>
          <t>Bluestone Memorial Hospital</t>
        </is>
      </c>
      <c r="D2962" t="n">
        <v>22</v>
      </c>
    </row>
    <row r="2963">
      <c r="A2963" t="inlineStr">
        <is>
          <t>ED203031</t>
        </is>
      </c>
      <c r="B2963" s="56" t="n">
        <v>45469.10486111111</v>
      </c>
      <c r="C2963" t="inlineStr">
        <is>
          <t>Cedar Ridge Medical Center</t>
        </is>
      </c>
      <c r="D2963" t="n">
        <v>22</v>
      </c>
    </row>
    <row r="2964">
      <c r="A2964" t="inlineStr">
        <is>
          <t>ED203032</t>
        </is>
      </c>
      <c r="B2964" s="56" t="n">
        <v>45469.16180555556</v>
      </c>
      <c r="C2964" t="inlineStr">
        <is>
          <t>Bluestone Memorial Hospital</t>
        </is>
      </c>
      <c r="D2964" t="n">
        <v>17</v>
      </c>
    </row>
    <row r="2965">
      <c r="A2965" t="inlineStr">
        <is>
          <t>ED203033</t>
        </is>
      </c>
      <c r="B2965" s="56" t="n">
        <v>45469.325</v>
      </c>
      <c r="C2965" t="inlineStr">
        <is>
          <t>Ashby Falls Community Hospital</t>
        </is>
      </c>
      <c r="D2965" t="n">
        <v>47</v>
      </c>
    </row>
    <row r="2966">
      <c r="A2966" t="inlineStr">
        <is>
          <t>ED203034</t>
        </is>
      </c>
      <c r="B2966" s="56" t="n">
        <v>45469.45208333333</v>
      </c>
      <c r="C2966" t="inlineStr">
        <is>
          <t>Bluestone Memorial Hospital</t>
        </is>
      </c>
      <c r="D2966" t="n">
        <v>124</v>
      </c>
    </row>
    <row r="2967">
      <c r="A2967" t="inlineStr">
        <is>
          <t>ED203035</t>
        </is>
      </c>
      <c r="B2967" s="56" t="n">
        <v>45469.50138888889</v>
      </c>
      <c r="C2967" t="inlineStr">
        <is>
          <t>Bluestone Memorial Hospital</t>
        </is>
      </c>
      <c r="D2967" t="n">
        <v>58</v>
      </c>
    </row>
    <row r="2968">
      <c r="A2968" t="inlineStr">
        <is>
          <t>ED203036</t>
        </is>
      </c>
      <c r="B2968" s="56" t="n">
        <v>45469.51041666666</v>
      </c>
      <c r="C2968" t="inlineStr">
        <is>
          <t>Bluestone Memorial Hospital</t>
        </is>
      </c>
      <c r="D2968" t="n">
        <v>25</v>
      </c>
    </row>
    <row r="2969">
      <c r="A2969" t="inlineStr">
        <is>
          <t>ED203037</t>
        </is>
      </c>
      <c r="B2969" s="56" t="n">
        <v>45469.52638888889</v>
      </c>
      <c r="C2969" t="inlineStr">
        <is>
          <t>Cedar Ridge Medical Center</t>
        </is>
      </c>
      <c r="D2969" t="n">
        <v>13</v>
      </c>
    </row>
    <row r="2970">
      <c r="A2970" t="inlineStr">
        <is>
          <t>ED203038</t>
        </is>
      </c>
      <c r="B2970" s="56" t="n">
        <v>45469.53402777778</v>
      </c>
      <c r="C2970" t="inlineStr">
        <is>
          <t>Bluestone Memorial Hospital</t>
        </is>
      </c>
      <c r="D2970" t="n">
        <v>51</v>
      </c>
    </row>
    <row r="2971">
      <c r="A2971" t="inlineStr">
        <is>
          <t>ED203039</t>
        </is>
      </c>
      <c r="B2971" s="56" t="n">
        <v>45469.56319444445</v>
      </c>
      <c r="C2971" t="inlineStr">
        <is>
          <t>Bluestone Memorial Hospital</t>
        </is>
      </c>
      <c r="D2971" t="n">
        <v>114</v>
      </c>
    </row>
    <row r="2972">
      <c r="A2972" t="inlineStr">
        <is>
          <t>ED203040</t>
        </is>
      </c>
      <c r="B2972" s="56" t="n">
        <v>45469.57708333333</v>
      </c>
      <c r="C2972" t="inlineStr">
        <is>
          <t>Bluestone Memorial Hospital</t>
        </is>
      </c>
      <c r="D2972" t="n">
        <v>45</v>
      </c>
    </row>
    <row r="2973">
      <c r="A2973" t="inlineStr">
        <is>
          <t>ED203041</t>
        </is>
      </c>
      <c r="B2973" s="56" t="n">
        <v>45469.61041666667</v>
      </c>
      <c r="C2973" t="inlineStr">
        <is>
          <t>Ashby Falls Community Hospital</t>
        </is>
      </c>
      <c r="D2973" t="n">
        <v>29</v>
      </c>
    </row>
    <row r="2974">
      <c r="A2974" t="inlineStr">
        <is>
          <t>ED203042</t>
        </is>
      </c>
      <c r="B2974" s="56" t="n">
        <v>45469.61111111111</v>
      </c>
      <c r="C2974" t="inlineStr">
        <is>
          <t>Ashby Falls Community Hospital</t>
        </is>
      </c>
      <c r="D2974" t="n">
        <v>55</v>
      </c>
    </row>
    <row r="2975">
      <c r="A2975" t="inlineStr">
        <is>
          <t>ED203043</t>
        </is>
      </c>
      <c r="B2975" s="56" t="n">
        <v>45469.69583333333</v>
      </c>
      <c r="C2975" t="inlineStr">
        <is>
          <t>Bluestone Memorial Hospital</t>
        </is>
      </c>
      <c r="D2975" t="n">
        <v>30</v>
      </c>
    </row>
    <row r="2976">
      <c r="A2976" t="inlineStr">
        <is>
          <t>ED203044</t>
        </is>
      </c>
      <c r="B2976" s="56" t="n">
        <v>45469.71666666667</v>
      </c>
      <c r="C2976" t="inlineStr">
        <is>
          <t>Bluestone Memorial Hospital</t>
        </is>
      </c>
      <c r="D2976" t="n">
        <v>16</v>
      </c>
    </row>
    <row r="2977">
      <c r="A2977" t="inlineStr">
        <is>
          <t>ED203045</t>
        </is>
      </c>
      <c r="B2977" s="56" t="n">
        <v>45469.725</v>
      </c>
      <c r="C2977" t="inlineStr">
        <is>
          <t>Bluestone Memorial Hospital</t>
        </is>
      </c>
      <c r="D2977" t="n">
        <v>46</v>
      </c>
    </row>
    <row r="2978">
      <c r="A2978" t="inlineStr">
        <is>
          <t>ED203046</t>
        </is>
      </c>
      <c r="B2978" s="56" t="n">
        <v>45469.79027777778</v>
      </c>
      <c r="C2978" t="inlineStr">
        <is>
          <t>Cedar Ridge Medical Center</t>
        </is>
      </c>
      <c r="D2978" t="n">
        <v>26</v>
      </c>
    </row>
    <row r="2979">
      <c r="A2979" t="inlineStr">
        <is>
          <t>ED203047</t>
        </is>
      </c>
      <c r="B2979" s="56" t="n">
        <v>45469.80208333334</v>
      </c>
      <c r="C2979" t="inlineStr">
        <is>
          <t>Bluestone Memorial Hospital</t>
        </is>
      </c>
      <c r="D2979" t="n">
        <v>25</v>
      </c>
    </row>
    <row r="2980">
      <c r="A2980" t="inlineStr">
        <is>
          <t>ED203048</t>
        </is>
      </c>
      <c r="B2980" s="56" t="n">
        <v>45469.83888888889</v>
      </c>
      <c r="C2980" t="inlineStr">
        <is>
          <t>Cedar Ridge Medical Center</t>
        </is>
      </c>
      <c r="D2980" t="n">
        <v>36</v>
      </c>
    </row>
    <row r="2981">
      <c r="A2981" t="inlineStr">
        <is>
          <t>ED203049</t>
        </is>
      </c>
      <c r="B2981" s="56" t="n">
        <v>45469.90486111111</v>
      </c>
      <c r="C2981" t="inlineStr">
        <is>
          <t>Ashby Falls Community Hospital</t>
        </is>
      </c>
      <c r="D2981" t="n">
        <v>9</v>
      </c>
    </row>
    <row r="2982">
      <c r="A2982" t="inlineStr">
        <is>
          <t>ED203050</t>
        </is>
      </c>
      <c r="B2982" s="56" t="n">
        <v>45470.32569444444</v>
      </c>
      <c r="C2982" t="inlineStr">
        <is>
          <t>Bluestone Memorial Hospital</t>
        </is>
      </c>
      <c r="D2982" t="n">
        <v>36</v>
      </c>
    </row>
    <row r="2983">
      <c r="A2983" t="inlineStr">
        <is>
          <t>ED203051</t>
        </is>
      </c>
      <c r="B2983" s="56" t="n">
        <v>45470.49097222222</v>
      </c>
      <c r="C2983" t="inlineStr">
        <is>
          <t>Bluestone Memorial Hospital</t>
        </is>
      </c>
      <c r="D2983" t="n">
        <v>25</v>
      </c>
    </row>
    <row r="2984">
      <c r="A2984" t="inlineStr">
        <is>
          <t>ED203052</t>
        </is>
      </c>
      <c r="B2984" s="56" t="n">
        <v>45470.52569444444</v>
      </c>
      <c r="C2984" t="inlineStr">
        <is>
          <t>Bluestone Memorial Hospital</t>
        </is>
      </c>
      <c r="D2984" t="n">
        <v>12</v>
      </c>
    </row>
    <row r="2985">
      <c r="A2985" t="inlineStr">
        <is>
          <t>ED203053</t>
        </is>
      </c>
      <c r="B2985" s="56" t="n">
        <v>45470.61805555555</v>
      </c>
      <c r="C2985" t="inlineStr">
        <is>
          <t>Bluestone Memorial Hospital</t>
        </is>
      </c>
      <c r="D2985" t="n">
        <v>23</v>
      </c>
    </row>
    <row r="2986">
      <c r="A2986" t="inlineStr">
        <is>
          <t>ED203054</t>
        </is>
      </c>
      <c r="B2986" s="56" t="n">
        <v>45470.61805555555</v>
      </c>
      <c r="C2986" t="inlineStr">
        <is>
          <t>Bluestone Memorial Hospital</t>
        </is>
      </c>
      <c r="D2986" t="n">
        <v>75</v>
      </c>
    </row>
    <row r="2987">
      <c r="A2987" t="inlineStr">
        <is>
          <t>ED203055</t>
        </is>
      </c>
      <c r="B2987" s="56" t="n">
        <v>45470.62916666667</v>
      </c>
      <c r="C2987" t="inlineStr">
        <is>
          <t>Bluestone Memorial Hospital</t>
        </is>
      </c>
      <c r="D2987" t="n">
        <v>35</v>
      </c>
    </row>
    <row r="2988">
      <c r="A2988" t="inlineStr">
        <is>
          <t>ED203056</t>
        </is>
      </c>
      <c r="B2988" s="56" t="n">
        <v>45470.65972222222</v>
      </c>
      <c r="C2988" t="inlineStr">
        <is>
          <t>Bluestone Memorial Hospital</t>
        </is>
      </c>
      <c r="D2988" t="n">
        <v>25</v>
      </c>
    </row>
    <row r="2989">
      <c r="A2989" t="inlineStr">
        <is>
          <t>ED203057</t>
        </is>
      </c>
      <c r="B2989" s="56" t="n">
        <v>45470.66527777778</v>
      </c>
      <c r="C2989" t="inlineStr">
        <is>
          <t>Bluestone Memorial Hospital</t>
        </is>
      </c>
      <c r="D2989" t="n">
        <v>90</v>
      </c>
    </row>
    <row r="2990">
      <c r="A2990" t="inlineStr">
        <is>
          <t>ED203058</t>
        </is>
      </c>
      <c r="B2990" s="56" t="n">
        <v>45470.67361111111</v>
      </c>
      <c r="C2990" t="inlineStr">
        <is>
          <t>Bluestone Memorial Hospital</t>
        </is>
      </c>
      <c r="D2990" t="n">
        <v>26</v>
      </c>
    </row>
    <row r="2991">
      <c r="A2991" t="inlineStr">
        <is>
          <t>ED203059</t>
        </is>
      </c>
      <c r="B2991" s="56" t="n">
        <v>45470.67708333334</v>
      </c>
      <c r="C2991" t="inlineStr">
        <is>
          <t>Bluestone Memorial Hospital</t>
        </is>
      </c>
      <c r="D2991" t="n">
        <v>65</v>
      </c>
    </row>
    <row r="2992">
      <c r="A2992" t="inlineStr">
        <is>
          <t>ED203060</t>
        </is>
      </c>
      <c r="B2992" s="56" t="n">
        <v>45470.67986111111</v>
      </c>
      <c r="C2992" t="inlineStr">
        <is>
          <t>Bluestone Memorial Hospital</t>
        </is>
      </c>
      <c r="D2992" t="n">
        <v>47</v>
      </c>
    </row>
    <row r="2993">
      <c r="A2993" t="inlineStr">
        <is>
          <t>ED203061</t>
        </is>
      </c>
      <c r="B2993" s="56" t="n">
        <v>45470.69861111111</v>
      </c>
      <c r="C2993" t="inlineStr">
        <is>
          <t>Bluestone Memorial Hospital</t>
        </is>
      </c>
      <c r="D2993" t="n">
        <v>48</v>
      </c>
    </row>
    <row r="2994">
      <c r="A2994" t="inlineStr">
        <is>
          <t>ED203062</t>
        </is>
      </c>
      <c r="B2994" s="56" t="n">
        <v>45470.74791666667</v>
      </c>
      <c r="C2994" t="inlineStr">
        <is>
          <t>Cedar Ridge Medical Center</t>
        </is>
      </c>
      <c r="D2994" t="n">
        <v>49</v>
      </c>
    </row>
    <row r="2995">
      <c r="A2995" t="inlineStr">
        <is>
          <t>ED203063</t>
        </is>
      </c>
      <c r="B2995" s="56" t="n">
        <v>45470.88055555556</v>
      </c>
      <c r="C2995" t="inlineStr">
        <is>
          <t>Bluestone Memorial Hospital</t>
        </is>
      </c>
      <c r="D2995" t="n">
        <v>12</v>
      </c>
    </row>
    <row r="2996">
      <c r="A2996" t="inlineStr">
        <is>
          <t>ED203064</t>
        </is>
      </c>
      <c r="B2996" s="56" t="n">
        <v>45470.94791666666</v>
      </c>
      <c r="C2996" t="inlineStr">
        <is>
          <t>Bluestone Memorial Hospital</t>
        </is>
      </c>
      <c r="D2996" t="n">
        <v>51</v>
      </c>
    </row>
    <row r="2997">
      <c r="A2997" t="inlineStr">
        <is>
          <t>ED203065</t>
        </is>
      </c>
      <c r="B2997" s="56" t="n">
        <v>45471.24583333333</v>
      </c>
      <c r="C2997" t="inlineStr">
        <is>
          <t>Bluestone Memorial Hospital</t>
        </is>
      </c>
      <c r="D2997" t="n">
        <v>13</v>
      </c>
    </row>
    <row r="2998">
      <c r="A2998" t="inlineStr">
        <is>
          <t>ED203066</t>
        </is>
      </c>
      <c r="B2998" s="56" t="n">
        <v>45471.30902777778</v>
      </c>
      <c r="C2998" t="inlineStr">
        <is>
          <t>Bluestone Memorial Hospital</t>
        </is>
      </c>
      <c r="D2998" t="n">
        <v>39</v>
      </c>
    </row>
    <row r="2999">
      <c r="A2999" t="inlineStr">
        <is>
          <t>ED203067</t>
        </is>
      </c>
      <c r="B2999" s="56" t="n">
        <v>45471.33819444444</v>
      </c>
      <c r="C2999" t="inlineStr">
        <is>
          <t>Bluestone Memorial Hospital</t>
        </is>
      </c>
      <c r="D2999" t="n">
        <v>78</v>
      </c>
    </row>
    <row r="3000">
      <c r="A3000" t="inlineStr">
        <is>
          <t>ED203068</t>
        </is>
      </c>
      <c r="B3000" s="56" t="n">
        <v>45471.38680555556</v>
      </c>
      <c r="C3000" t="inlineStr">
        <is>
          <t>Ashby Falls Community Hospital</t>
        </is>
      </c>
      <c r="D3000" t="n">
        <v>45</v>
      </c>
    </row>
    <row r="3001">
      <c r="A3001" t="inlineStr">
        <is>
          <t>ED203069</t>
        </is>
      </c>
      <c r="B3001" s="56" t="n">
        <v>45471.50555555556</v>
      </c>
      <c r="C3001" t="inlineStr">
        <is>
          <t>Bluestone Memorial Hospital</t>
        </is>
      </c>
      <c r="D3001" t="n">
        <v>34</v>
      </c>
    </row>
    <row r="3002">
      <c r="A3002" t="inlineStr">
        <is>
          <t>ED203070</t>
        </is>
      </c>
      <c r="B3002" s="56" t="n">
        <v>45471.70833333334</v>
      </c>
      <c r="C3002" t="inlineStr">
        <is>
          <t>Bluestone Memorial Hospital</t>
        </is>
      </c>
      <c r="D3002" t="n">
        <v>54</v>
      </c>
    </row>
    <row r="3003">
      <c r="A3003" t="inlineStr">
        <is>
          <t>ED203071</t>
        </is>
      </c>
      <c r="B3003" s="56" t="n">
        <v>45471.76111111111</v>
      </c>
      <c r="C3003" t="inlineStr">
        <is>
          <t>Bluestone Memorial Hospital</t>
        </is>
      </c>
      <c r="D3003" t="n">
        <v>51</v>
      </c>
    </row>
    <row r="3004">
      <c r="A3004" t="inlineStr">
        <is>
          <t>ED203072</t>
        </is>
      </c>
      <c r="B3004" s="56" t="n">
        <v>45471.80625</v>
      </c>
      <c r="C3004" t="inlineStr">
        <is>
          <t>Cedar Ridge Medical Center</t>
        </is>
      </c>
      <c r="D3004" t="n">
        <v>53</v>
      </c>
    </row>
    <row r="3005">
      <c r="A3005" t="inlineStr">
        <is>
          <t>ED203073</t>
        </is>
      </c>
      <c r="B3005" s="56" t="n">
        <v>45471.80833333333</v>
      </c>
      <c r="C3005" t="inlineStr">
        <is>
          <t>Bluestone Memorial Hospital</t>
        </is>
      </c>
      <c r="D3005" t="n">
        <v>76</v>
      </c>
    </row>
    <row r="3006">
      <c r="A3006" t="inlineStr">
        <is>
          <t>ED203074</t>
        </is>
      </c>
      <c r="B3006" s="56" t="n">
        <v>45471.83888888889</v>
      </c>
      <c r="C3006" t="inlineStr">
        <is>
          <t>Bluestone Memorial Hospital</t>
        </is>
      </c>
      <c r="D3006" t="n">
        <v>57</v>
      </c>
    </row>
    <row r="3007">
      <c r="A3007" t="inlineStr">
        <is>
          <t>ED203075</t>
        </is>
      </c>
      <c r="B3007" s="56" t="n">
        <v>45471.86597222222</v>
      </c>
      <c r="C3007" t="inlineStr">
        <is>
          <t>Bluestone Memorial Hospital</t>
        </is>
      </c>
      <c r="D3007" t="n">
        <v>43</v>
      </c>
    </row>
    <row r="3008">
      <c r="A3008" t="inlineStr">
        <is>
          <t>ED203076</t>
        </is>
      </c>
      <c r="B3008" s="56" t="n">
        <v>45471.86805555555</v>
      </c>
      <c r="C3008" t="inlineStr">
        <is>
          <t>Bluestone Memorial Hospital</t>
        </is>
      </c>
      <c r="D3008" t="n">
        <v>83</v>
      </c>
    </row>
    <row r="3009">
      <c r="A3009" t="inlineStr">
        <is>
          <t>ED203077</t>
        </is>
      </c>
      <c r="B3009" s="56" t="n">
        <v>45471.99652777778</v>
      </c>
      <c r="C3009" t="inlineStr">
        <is>
          <t>Bluestone Memorial Hospital</t>
        </is>
      </c>
      <c r="D3009" t="n">
        <v>71</v>
      </c>
    </row>
    <row r="3010">
      <c r="A3010" t="inlineStr">
        <is>
          <t>ED203078</t>
        </is>
      </c>
      <c r="B3010" s="56" t="n">
        <v>45472.00277777778</v>
      </c>
      <c r="C3010" t="inlineStr">
        <is>
          <t>Bluestone Memorial Hospital</t>
        </is>
      </c>
      <c r="D3010" t="n">
        <v>15</v>
      </c>
    </row>
    <row r="3011">
      <c r="A3011" t="inlineStr">
        <is>
          <t>ED203079</t>
        </is>
      </c>
      <c r="B3011" s="56" t="n">
        <v>45472.04930555556</v>
      </c>
      <c r="C3011" t="inlineStr">
        <is>
          <t>Bluestone Memorial Hospital</t>
        </is>
      </c>
      <c r="D3011" t="n">
        <v>12</v>
      </c>
    </row>
    <row r="3012">
      <c r="A3012" t="inlineStr">
        <is>
          <t>ED203080</t>
        </is>
      </c>
      <c r="B3012" s="56" t="n">
        <v>45472.06666666667</v>
      </c>
      <c r="C3012" t="inlineStr">
        <is>
          <t>Cedar Ridge Medical Center</t>
        </is>
      </c>
      <c r="D3012" t="n">
        <v>18</v>
      </c>
    </row>
    <row r="3013">
      <c r="A3013" t="inlineStr">
        <is>
          <t>ED203081</t>
        </is>
      </c>
      <c r="B3013" s="56" t="n">
        <v>45472.16736111111</v>
      </c>
      <c r="C3013" t="inlineStr">
        <is>
          <t>Bluestone Memorial Hospital</t>
        </is>
      </c>
      <c r="D3013" t="n">
        <v>85</v>
      </c>
    </row>
    <row r="3014">
      <c r="A3014" t="inlineStr">
        <is>
          <t>ED203082</t>
        </is>
      </c>
      <c r="B3014" s="56" t="n">
        <v>45472.41736111111</v>
      </c>
      <c r="C3014" t="inlineStr">
        <is>
          <t>Ashby Falls Community Hospital</t>
        </is>
      </c>
      <c r="D3014" t="n">
        <v>52</v>
      </c>
    </row>
    <row r="3015">
      <c r="A3015" t="inlineStr">
        <is>
          <t>ED203083</t>
        </is>
      </c>
      <c r="B3015" s="56" t="n">
        <v>45472.42569444444</v>
      </c>
      <c r="C3015" t="inlineStr">
        <is>
          <t>Ashby Falls Community Hospital</t>
        </is>
      </c>
      <c r="D3015" t="n">
        <v>17</v>
      </c>
    </row>
    <row r="3016">
      <c r="A3016" t="inlineStr">
        <is>
          <t>ED203084</t>
        </is>
      </c>
      <c r="B3016" s="56" t="n">
        <v>45472.46388888889</v>
      </c>
      <c r="C3016" t="inlineStr">
        <is>
          <t>Bluestone Memorial Hospital</t>
        </is>
      </c>
      <c r="D3016" t="n">
        <v>35</v>
      </c>
    </row>
    <row r="3017">
      <c r="A3017" t="inlineStr">
        <is>
          <t>ED203085</t>
        </is>
      </c>
      <c r="B3017" s="56" t="n">
        <v>45472.54791666667</v>
      </c>
      <c r="C3017" t="inlineStr">
        <is>
          <t>Bluestone Memorial Hospital</t>
        </is>
      </c>
      <c r="D3017" t="n">
        <v>44</v>
      </c>
    </row>
    <row r="3018">
      <c r="A3018" t="inlineStr">
        <is>
          <t>ED203086</t>
        </is>
      </c>
      <c r="B3018" s="56" t="n">
        <v>45472.56666666667</v>
      </c>
      <c r="C3018" t="inlineStr">
        <is>
          <t>Bluestone Memorial Hospital</t>
        </is>
      </c>
      <c r="D3018" t="n">
        <v>71</v>
      </c>
    </row>
    <row r="3019">
      <c r="A3019" t="inlineStr">
        <is>
          <t>ED203087</t>
        </is>
      </c>
      <c r="B3019" s="56" t="n">
        <v>45472.59513888889</v>
      </c>
      <c r="C3019" t="inlineStr">
        <is>
          <t>Bluestone Memorial Hospital</t>
        </is>
      </c>
      <c r="D3019" t="n">
        <v>69</v>
      </c>
    </row>
    <row r="3020">
      <c r="A3020" t="inlineStr">
        <is>
          <t>ED203088</t>
        </is>
      </c>
      <c r="B3020" s="56" t="n">
        <v>45472.59652777778</v>
      </c>
      <c r="C3020" t="inlineStr">
        <is>
          <t>Bluestone Memorial Hospital</t>
        </is>
      </c>
      <c r="D3020" t="n">
        <v>27</v>
      </c>
    </row>
    <row r="3021">
      <c r="A3021" t="inlineStr">
        <is>
          <t>ED203089</t>
        </is>
      </c>
      <c r="B3021" s="56" t="n">
        <v>45472.61319444444</v>
      </c>
      <c r="C3021" t="inlineStr">
        <is>
          <t>Bluestone Memorial Hospital</t>
        </is>
      </c>
      <c r="D3021" t="n">
        <v>22</v>
      </c>
    </row>
    <row r="3022">
      <c r="A3022" t="inlineStr">
        <is>
          <t>ED203090</t>
        </is>
      </c>
      <c r="B3022" s="56" t="n">
        <v>45472.61805555555</v>
      </c>
      <c r="C3022" t="inlineStr">
        <is>
          <t>Bluestone Memorial Hospital</t>
        </is>
      </c>
      <c r="D3022" t="n">
        <v>44</v>
      </c>
    </row>
    <row r="3023">
      <c r="A3023" t="inlineStr">
        <is>
          <t>ED203091</t>
        </is>
      </c>
      <c r="B3023" s="56" t="n">
        <v>45472.69791666666</v>
      </c>
      <c r="C3023" t="inlineStr">
        <is>
          <t>Bluestone Memorial Hospital</t>
        </is>
      </c>
      <c r="D3023" t="n">
        <v>3</v>
      </c>
    </row>
    <row r="3024">
      <c r="A3024" t="inlineStr">
        <is>
          <t>ED203092</t>
        </is>
      </c>
      <c r="B3024" s="56" t="n">
        <v>45472.70625</v>
      </c>
      <c r="C3024" t="inlineStr">
        <is>
          <t>Bluestone Memorial Hospital</t>
        </is>
      </c>
      <c r="D3024" t="n">
        <v>125</v>
      </c>
    </row>
    <row r="3025">
      <c r="A3025" t="inlineStr">
        <is>
          <t>ED203093</t>
        </is>
      </c>
      <c r="B3025" s="56" t="n">
        <v>45472.7375</v>
      </c>
      <c r="C3025" t="inlineStr">
        <is>
          <t>Cedar Ridge Medical Center</t>
        </is>
      </c>
      <c r="D3025" t="n">
        <v>24</v>
      </c>
    </row>
    <row r="3026">
      <c r="A3026" t="inlineStr">
        <is>
          <t>ED203094</t>
        </is>
      </c>
      <c r="B3026" s="56" t="n">
        <v>45472.79097222222</v>
      </c>
      <c r="C3026" t="inlineStr">
        <is>
          <t>Cedar Ridge Medical Center</t>
        </is>
      </c>
      <c r="D3026" t="n">
        <v>15</v>
      </c>
    </row>
    <row r="3027">
      <c r="A3027" t="inlineStr">
        <is>
          <t>ED203095</t>
        </is>
      </c>
      <c r="B3027" s="56" t="n">
        <v>45472.94097222222</v>
      </c>
      <c r="C3027" t="inlineStr">
        <is>
          <t>Bluestone Memorial Hospital</t>
        </is>
      </c>
      <c r="D3027" t="n">
        <v>51</v>
      </c>
    </row>
    <row r="3028">
      <c r="A3028" t="inlineStr">
        <is>
          <t>ED203096</t>
        </is>
      </c>
      <c r="B3028" s="56" t="n">
        <v>45472.98333333333</v>
      </c>
      <c r="C3028" t="inlineStr">
        <is>
          <t>Bluestone Memorial Hospital</t>
        </is>
      </c>
      <c r="D3028" t="n">
        <v>50</v>
      </c>
    </row>
    <row r="3029">
      <c r="A3029" t="inlineStr">
        <is>
          <t>ED203097</t>
        </is>
      </c>
      <c r="B3029" s="56" t="n">
        <v>45473.16319444445</v>
      </c>
      <c r="C3029" t="inlineStr">
        <is>
          <t>Ashby Falls Community Hospital</t>
        </is>
      </c>
      <c r="D3029" t="n">
        <v>63</v>
      </c>
    </row>
    <row r="3030">
      <c r="A3030" t="inlineStr">
        <is>
          <t>ED203098</t>
        </is>
      </c>
      <c r="B3030" s="56" t="n">
        <v>45473.40972222222</v>
      </c>
      <c r="C3030" t="inlineStr">
        <is>
          <t>Bluestone Memorial Hospital</t>
        </is>
      </c>
      <c r="D3030" t="n">
        <v>14</v>
      </c>
    </row>
    <row r="3031">
      <c r="A3031" t="inlineStr">
        <is>
          <t>ED203099</t>
        </is>
      </c>
      <c r="B3031" s="56" t="n">
        <v>45473.41527777778</v>
      </c>
      <c r="C3031" t="inlineStr">
        <is>
          <t>Bluestone Memorial Hospital</t>
        </is>
      </c>
      <c r="D3031" t="n">
        <v>113</v>
      </c>
    </row>
    <row r="3032">
      <c r="A3032" t="inlineStr">
        <is>
          <t>ED203100</t>
        </is>
      </c>
      <c r="B3032" s="56" t="n">
        <v>45473.47569444445</v>
      </c>
      <c r="C3032" t="inlineStr">
        <is>
          <t>Bluestone Memorial Hospital</t>
        </is>
      </c>
      <c r="D3032" t="n">
        <v>27</v>
      </c>
    </row>
    <row r="3033">
      <c r="A3033" t="inlineStr">
        <is>
          <t>ED203101</t>
        </is>
      </c>
      <c r="B3033" s="56" t="n">
        <v>45473.55972222222</v>
      </c>
      <c r="C3033" t="inlineStr">
        <is>
          <t>Cedar Ridge Medical Center</t>
        </is>
      </c>
      <c r="D3033" t="n">
        <v>46</v>
      </c>
    </row>
    <row r="3034">
      <c r="A3034" t="inlineStr">
        <is>
          <t>ED203102</t>
        </is>
      </c>
      <c r="B3034" s="56" t="n">
        <v>45473.68333333333</v>
      </c>
      <c r="C3034" t="inlineStr">
        <is>
          <t>Ashby Falls Community Hospital</t>
        </is>
      </c>
      <c r="D3034" t="n">
        <v>85</v>
      </c>
    </row>
    <row r="3035">
      <c r="A3035" t="inlineStr">
        <is>
          <t>ED203103</t>
        </is>
      </c>
      <c r="B3035" s="56" t="n">
        <v>45473.69583333333</v>
      </c>
      <c r="C3035" t="inlineStr">
        <is>
          <t>Ashby Falls Community Hospital</t>
        </is>
      </c>
      <c r="D3035" t="n">
        <v>17</v>
      </c>
    </row>
    <row r="3036">
      <c r="A3036" t="inlineStr">
        <is>
          <t>ED203104</t>
        </is>
      </c>
      <c r="B3036" s="56" t="n">
        <v>45473.75416666667</v>
      </c>
      <c r="C3036" t="inlineStr">
        <is>
          <t>Bluestone Memorial Hospital</t>
        </is>
      </c>
      <c r="D3036" t="n">
        <v>73</v>
      </c>
    </row>
    <row r="3037">
      <c r="A3037" t="inlineStr">
        <is>
          <t>ED203105</t>
        </is>
      </c>
      <c r="B3037" s="56" t="n">
        <v>45473.78125</v>
      </c>
      <c r="C3037" t="inlineStr">
        <is>
          <t>Bluestone Memorial Hospital</t>
        </is>
      </c>
      <c r="D3037" t="n">
        <v>22</v>
      </c>
    </row>
    <row r="3038">
      <c r="A3038" t="inlineStr">
        <is>
          <t>ED203106</t>
        </is>
      </c>
      <c r="B3038" s="56" t="n">
        <v>45473.81875</v>
      </c>
      <c r="C3038" t="inlineStr">
        <is>
          <t>Bluestone Memorial Hospital</t>
        </is>
      </c>
      <c r="D3038" t="n">
        <v>24</v>
      </c>
    </row>
    <row r="3039">
      <c r="A3039" t="inlineStr">
        <is>
          <t>ED203107</t>
        </is>
      </c>
      <c r="B3039" s="56" t="n">
        <v>45473.85208333333</v>
      </c>
      <c r="C3039" t="inlineStr">
        <is>
          <t>Bluestone Memorial Hospital</t>
        </is>
      </c>
      <c r="D3039" t="n">
        <v>74</v>
      </c>
    </row>
    <row r="3040">
      <c r="A3040" t="inlineStr">
        <is>
          <t>ED203108</t>
        </is>
      </c>
      <c r="B3040" s="56" t="n">
        <v>45473.87013888889</v>
      </c>
      <c r="C3040" t="inlineStr">
        <is>
          <t>Bluestone Memorial Hospital</t>
        </is>
      </c>
      <c r="D3040" t="n">
        <v>42</v>
      </c>
    </row>
    <row r="3041">
      <c r="A3041" t="inlineStr">
        <is>
          <t>ED203109</t>
        </is>
      </c>
      <c r="B3041" s="56" t="n">
        <v>45473.89166666667</v>
      </c>
      <c r="C3041" t="inlineStr">
        <is>
          <t>Bluestone Memorial Hospital</t>
        </is>
      </c>
      <c r="D3041" t="n">
        <v>21</v>
      </c>
    </row>
    <row r="3042">
      <c r="A3042" t="inlineStr">
        <is>
          <t>ED203110</t>
        </is>
      </c>
      <c r="B3042" s="56" t="n">
        <v>45473.94583333333</v>
      </c>
      <c r="C3042" t="inlineStr">
        <is>
          <t>Cedar Ridge Medical Center</t>
        </is>
      </c>
      <c r="D3042" t="n">
        <v>77</v>
      </c>
    </row>
    <row r="3043">
      <c r="A3043" t="inlineStr">
        <is>
          <t>ED203111</t>
        </is>
      </c>
      <c r="B3043" s="56" t="n">
        <v>45474.06736111111</v>
      </c>
      <c r="C3043" t="inlineStr">
        <is>
          <t>Bluestone Memorial Hospital</t>
        </is>
      </c>
      <c r="D3043" t="n">
        <v>12</v>
      </c>
    </row>
    <row r="3044">
      <c r="A3044" t="inlineStr">
        <is>
          <t>ED203112</t>
        </is>
      </c>
      <c r="B3044" s="56" t="n">
        <v>45474.11388888889</v>
      </c>
      <c r="C3044" t="inlineStr">
        <is>
          <t>Bluestone Memorial Hospital</t>
        </is>
      </c>
      <c r="D3044" t="n">
        <v>26</v>
      </c>
    </row>
    <row r="3045">
      <c r="A3045" t="inlineStr">
        <is>
          <t>ED203113</t>
        </is>
      </c>
      <c r="B3045" s="56" t="n">
        <v>45474.28055555555</v>
      </c>
      <c r="C3045" t="inlineStr">
        <is>
          <t>Bluestone Memorial Hospital</t>
        </is>
      </c>
      <c r="D3045" t="n">
        <v>22</v>
      </c>
    </row>
    <row r="3046">
      <c r="A3046" t="inlineStr">
        <is>
          <t>ED203115</t>
        </is>
      </c>
      <c r="B3046" s="56" t="n">
        <v>45474.39722222222</v>
      </c>
      <c r="C3046" t="inlineStr">
        <is>
          <t>Bluestone Memorial Hospital</t>
        </is>
      </c>
      <c r="D3046" t="n">
        <v>3</v>
      </c>
    </row>
    <row r="3047">
      <c r="A3047" t="inlineStr">
        <is>
          <t>ED203116</t>
        </is>
      </c>
      <c r="B3047" s="56" t="n">
        <v>45474.41944444444</v>
      </c>
      <c r="C3047" t="inlineStr">
        <is>
          <t>Bluestone Memorial Hospital</t>
        </is>
      </c>
      <c r="D3047" t="n">
        <v>48</v>
      </c>
    </row>
    <row r="3048">
      <c r="A3048" t="inlineStr">
        <is>
          <t>ED203117</t>
        </is>
      </c>
      <c r="B3048" s="56" t="n">
        <v>45474.42013888889</v>
      </c>
      <c r="C3048" t="inlineStr">
        <is>
          <t>Bluestone Memorial Hospital</t>
        </is>
      </c>
      <c r="D3048" t="n">
        <v>52</v>
      </c>
    </row>
    <row r="3049">
      <c r="A3049" t="inlineStr">
        <is>
          <t>ED203118</t>
        </is>
      </c>
      <c r="B3049" s="56" t="n">
        <v>45474.45972222222</v>
      </c>
      <c r="C3049" t="inlineStr">
        <is>
          <t>Bluestone Memorial Hospital</t>
        </is>
      </c>
      <c r="D3049" t="n">
        <v>71</v>
      </c>
    </row>
    <row r="3050">
      <c r="A3050" t="inlineStr">
        <is>
          <t>ED203119</t>
        </is>
      </c>
      <c r="B3050" s="56" t="n">
        <v>45474.47222222222</v>
      </c>
      <c r="C3050" t="inlineStr">
        <is>
          <t>Bluestone Memorial Hospital</t>
        </is>
      </c>
      <c r="D3050" t="n">
        <v>112</v>
      </c>
    </row>
    <row r="3051">
      <c r="A3051" t="inlineStr">
        <is>
          <t>ED203120</t>
        </is>
      </c>
      <c r="B3051" s="56" t="n">
        <v>45474.5375</v>
      </c>
      <c r="C3051" t="inlineStr">
        <is>
          <t>Bluestone Memorial Hospital</t>
        </is>
      </c>
      <c r="D3051" t="n">
        <v>90</v>
      </c>
    </row>
    <row r="3052">
      <c r="A3052" t="inlineStr">
        <is>
          <t>ED203121</t>
        </is>
      </c>
      <c r="B3052" s="56" t="n">
        <v>45474.54236111111</v>
      </c>
      <c r="C3052" t="inlineStr">
        <is>
          <t>Bluestone Memorial Hospital</t>
        </is>
      </c>
      <c r="D3052" t="n">
        <v>11</v>
      </c>
    </row>
    <row r="3053">
      <c r="A3053" t="inlineStr">
        <is>
          <t>ED203122</t>
        </is>
      </c>
      <c r="B3053" s="56" t="n">
        <v>45474.58194444444</v>
      </c>
      <c r="C3053" t="inlineStr">
        <is>
          <t>Bluestone Memorial Hospital</t>
        </is>
      </c>
      <c r="D3053" t="n">
        <v>63</v>
      </c>
    </row>
    <row r="3054">
      <c r="A3054" t="inlineStr">
        <is>
          <t>ED203123</t>
        </is>
      </c>
      <c r="B3054" s="56" t="n">
        <v>45474.59236111111</v>
      </c>
      <c r="C3054" t="inlineStr">
        <is>
          <t>Bluestone Memorial Hospital</t>
        </is>
      </c>
      <c r="D3054" t="n">
        <v>62</v>
      </c>
    </row>
    <row r="3055">
      <c r="A3055" t="inlineStr">
        <is>
          <t>ED203124</t>
        </is>
      </c>
      <c r="B3055" s="56" t="n">
        <v>45474.72638888889</v>
      </c>
      <c r="C3055" t="inlineStr">
        <is>
          <t>Ashby Falls Community Hospital</t>
        </is>
      </c>
      <c r="D3055" t="n">
        <v>32</v>
      </c>
    </row>
    <row r="3056">
      <c r="A3056" t="inlineStr">
        <is>
          <t>ED203125</t>
        </is>
      </c>
      <c r="B3056" s="56" t="n">
        <v>45474.73333333333</v>
      </c>
      <c r="C3056" t="inlineStr">
        <is>
          <t>Bluestone Memorial Hospital</t>
        </is>
      </c>
      <c r="D3056" t="n">
        <v>74</v>
      </c>
    </row>
    <row r="3057">
      <c r="A3057" t="inlineStr">
        <is>
          <t>ED203126</t>
        </is>
      </c>
      <c r="B3057" s="56" t="n">
        <v>45474.77430555555</v>
      </c>
      <c r="C3057" t="inlineStr">
        <is>
          <t>Bluestone Memorial Hospital</t>
        </is>
      </c>
      <c r="D3057" t="n">
        <v>8</v>
      </c>
    </row>
    <row r="3058">
      <c r="A3058" t="inlineStr">
        <is>
          <t>ED203127</t>
        </is>
      </c>
      <c r="B3058" s="56" t="n">
        <v>45474.79097222222</v>
      </c>
      <c r="C3058" t="inlineStr">
        <is>
          <t>Cedar Ridge Medical Center</t>
        </is>
      </c>
      <c r="D3058" t="n">
        <v>54</v>
      </c>
    </row>
    <row r="3059">
      <c r="A3059" t="inlineStr">
        <is>
          <t>ED203128</t>
        </is>
      </c>
      <c r="B3059" s="56" t="n">
        <v>45474.79652777778</v>
      </c>
      <c r="C3059" t="inlineStr">
        <is>
          <t>Bluestone Memorial Hospital</t>
        </is>
      </c>
      <c r="D3059" t="n">
        <v>63</v>
      </c>
    </row>
    <row r="3060">
      <c r="A3060" t="inlineStr">
        <is>
          <t>ED203129</t>
        </is>
      </c>
      <c r="B3060" s="56" t="n">
        <v>45475.05347222222</v>
      </c>
      <c r="C3060" t="inlineStr">
        <is>
          <t>Bluestone Memorial Hospital</t>
        </is>
      </c>
      <c r="D3060" t="n">
        <v>43</v>
      </c>
    </row>
    <row r="3061">
      <c r="A3061" t="inlineStr">
        <is>
          <t>ED203130</t>
        </is>
      </c>
      <c r="B3061" s="56" t="n">
        <v>45475.06458333333</v>
      </c>
      <c r="C3061" t="inlineStr">
        <is>
          <t>Bluestone Memorial Hospital</t>
        </is>
      </c>
      <c r="D3061" t="n">
        <v>110</v>
      </c>
    </row>
    <row r="3062">
      <c r="A3062" t="inlineStr">
        <is>
          <t>ED203131</t>
        </is>
      </c>
      <c r="B3062" s="56" t="n">
        <v>45475.34791666667</v>
      </c>
      <c r="C3062" t="inlineStr">
        <is>
          <t>Cedar Ridge Medical Center</t>
        </is>
      </c>
      <c r="D3062" t="n">
        <v>87</v>
      </c>
    </row>
    <row r="3063">
      <c r="A3063" t="inlineStr">
        <is>
          <t>ED203132</t>
        </is>
      </c>
      <c r="B3063" s="56" t="n">
        <v>45475.41666666666</v>
      </c>
      <c r="C3063" t="inlineStr">
        <is>
          <t>Cedar Ridge Medical Center</t>
        </is>
      </c>
      <c r="D3063" t="n">
        <v>37</v>
      </c>
    </row>
    <row r="3064">
      <c r="A3064" t="inlineStr">
        <is>
          <t>ED203133</t>
        </is>
      </c>
      <c r="B3064" s="56" t="n">
        <v>45475.45625</v>
      </c>
      <c r="C3064" t="inlineStr">
        <is>
          <t>Cedar Ridge Medical Center</t>
        </is>
      </c>
      <c r="D3064" t="n">
        <v>42</v>
      </c>
    </row>
    <row r="3065">
      <c r="A3065" t="inlineStr">
        <is>
          <t>ED203134</t>
        </is>
      </c>
      <c r="B3065" s="56" t="n">
        <v>45475.47916666666</v>
      </c>
      <c r="C3065" t="inlineStr">
        <is>
          <t>Bluestone Memorial Hospital</t>
        </is>
      </c>
      <c r="D3065" t="n">
        <v>22</v>
      </c>
    </row>
    <row r="3066">
      <c r="A3066" t="inlineStr">
        <is>
          <t>ED203135</t>
        </is>
      </c>
      <c r="B3066" s="56" t="n">
        <v>45475.58333333334</v>
      </c>
      <c r="C3066" t="inlineStr">
        <is>
          <t>Bluestone Memorial Hospital</t>
        </is>
      </c>
      <c r="D3066" t="n">
        <v>15</v>
      </c>
    </row>
    <row r="3067">
      <c r="A3067" t="inlineStr">
        <is>
          <t>ED203136</t>
        </is>
      </c>
      <c r="B3067" s="56" t="n">
        <v>45475.69444444445</v>
      </c>
      <c r="C3067" t="inlineStr">
        <is>
          <t>Bluestone Memorial Hospital</t>
        </is>
      </c>
      <c r="D3067" t="n">
        <v>2</v>
      </c>
    </row>
    <row r="3068">
      <c r="A3068" t="inlineStr">
        <is>
          <t>ED203137</t>
        </is>
      </c>
      <c r="B3068" s="56" t="n">
        <v>45475.80486111111</v>
      </c>
      <c r="C3068" t="inlineStr">
        <is>
          <t>Bluestone Memorial Hospital</t>
        </is>
      </c>
      <c r="D3068" t="n">
        <v>103</v>
      </c>
    </row>
    <row r="3069">
      <c r="A3069" t="inlineStr">
        <is>
          <t>ED203138</t>
        </is>
      </c>
      <c r="B3069" s="56" t="n">
        <v>45475.81180555555</v>
      </c>
      <c r="C3069" t="inlineStr">
        <is>
          <t>Bluestone Memorial Hospital</t>
        </is>
      </c>
      <c r="D3069" t="n">
        <v>192</v>
      </c>
    </row>
    <row r="3070">
      <c r="A3070" t="inlineStr">
        <is>
          <t>ED203139</t>
        </is>
      </c>
      <c r="B3070" s="56" t="n">
        <v>45475.85625</v>
      </c>
      <c r="C3070" t="inlineStr">
        <is>
          <t>Bluestone Memorial Hospital</t>
        </is>
      </c>
      <c r="D3070" t="n">
        <v>22</v>
      </c>
    </row>
    <row r="3071">
      <c r="A3071" t="inlineStr">
        <is>
          <t>ED203140</t>
        </is>
      </c>
      <c r="B3071" s="56" t="n">
        <v>45475.97916666666</v>
      </c>
      <c r="C3071" t="inlineStr">
        <is>
          <t>Bluestone Memorial Hospital</t>
        </is>
      </c>
      <c r="D3071" t="n">
        <v>23</v>
      </c>
    </row>
    <row r="3072">
      <c r="A3072" t="inlineStr">
        <is>
          <t>ED203141</t>
        </is>
      </c>
      <c r="B3072" s="56" t="n">
        <v>45476.21736111111</v>
      </c>
      <c r="C3072" t="inlineStr">
        <is>
          <t>Bluestone Memorial Hospital</t>
        </is>
      </c>
      <c r="D3072" t="n">
        <v>63</v>
      </c>
    </row>
    <row r="3073">
      <c r="A3073" t="inlineStr">
        <is>
          <t>ED203142</t>
        </is>
      </c>
      <c r="B3073" s="56" t="n">
        <v>45476.41041666667</v>
      </c>
      <c r="C3073" t="inlineStr">
        <is>
          <t>Bluestone Memorial Hospital</t>
        </is>
      </c>
      <c r="D3073" t="n">
        <v>23</v>
      </c>
    </row>
    <row r="3074">
      <c r="A3074" t="inlineStr">
        <is>
          <t>ED203143</t>
        </is>
      </c>
      <c r="B3074" s="56" t="n">
        <v>45476.44513888889</v>
      </c>
      <c r="C3074" t="inlineStr">
        <is>
          <t>Bluestone Memorial Hospital</t>
        </is>
      </c>
      <c r="D3074" t="n">
        <v>6</v>
      </c>
    </row>
    <row r="3075">
      <c r="A3075" t="inlineStr">
        <is>
          <t>ED203144</t>
        </is>
      </c>
      <c r="B3075" s="56" t="n">
        <v>45476.4625</v>
      </c>
      <c r="C3075" t="inlineStr">
        <is>
          <t>Ashby Falls Community Hospital</t>
        </is>
      </c>
      <c r="D3075" t="n">
        <v>96</v>
      </c>
    </row>
    <row r="3076">
      <c r="A3076" t="inlineStr">
        <is>
          <t>ED203145</t>
        </is>
      </c>
      <c r="B3076" s="56" t="n">
        <v>45476.49583333333</v>
      </c>
      <c r="C3076" t="inlineStr">
        <is>
          <t>Bluestone Memorial Hospital</t>
        </is>
      </c>
      <c r="D3076" t="n">
        <v>19</v>
      </c>
    </row>
    <row r="3077">
      <c r="A3077" t="inlineStr">
        <is>
          <t>ED203146</t>
        </is>
      </c>
      <c r="B3077" s="56" t="n">
        <v>45476.55625</v>
      </c>
      <c r="C3077" t="inlineStr">
        <is>
          <t>Cedar Ridge Medical Center</t>
        </is>
      </c>
      <c r="D3077" t="n">
        <v>62</v>
      </c>
    </row>
    <row r="3078">
      <c r="A3078" t="inlineStr">
        <is>
          <t>ED203147</t>
        </is>
      </c>
      <c r="B3078" s="56" t="n">
        <v>45476.575</v>
      </c>
      <c r="C3078" t="inlineStr">
        <is>
          <t>Cedar Ridge Medical Center</t>
        </is>
      </c>
      <c r="D3078" t="n">
        <v>32</v>
      </c>
    </row>
    <row r="3079">
      <c r="A3079" t="inlineStr">
        <is>
          <t>ED203148</t>
        </is>
      </c>
      <c r="B3079" s="56" t="n">
        <v>45476.57708333333</v>
      </c>
      <c r="C3079" t="inlineStr">
        <is>
          <t>Ashby Falls Community Hospital</t>
        </is>
      </c>
      <c r="D3079" t="n">
        <v>177</v>
      </c>
    </row>
    <row r="3080">
      <c r="A3080" t="inlineStr">
        <is>
          <t>ED203149</t>
        </is>
      </c>
      <c r="B3080" s="56" t="n">
        <v>45476.67986111111</v>
      </c>
      <c r="C3080" t="inlineStr">
        <is>
          <t>Cedar Ridge Medical Center</t>
        </is>
      </c>
      <c r="D3080" t="n">
        <v>57</v>
      </c>
    </row>
    <row r="3081">
      <c r="A3081" t="inlineStr">
        <is>
          <t>ED203150</t>
        </is>
      </c>
      <c r="B3081" s="56" t="n">
        <v>45476.73194444444</v>
      </c>
      <c r="C3081" t="inlineStr">
        <is>
          <t>Bluestone Memorial Hospital</t>
        </is>
      </c>
      <c r="D3081" t="n">
        <v>25</v>
      </c>
    </row>
    <row r="3082">
      <c r="A3082" t="inlineStr">
        <is>
          <t>ED203151</t>
        </is>
      </c>
      <c r="B3082" s="56" t="n">
        <v>45476.75486111111</v>
      </c>
      <c r="C3082" t="inlineStr">
        <is>
          <t>Bluestone Memorial Hospital</t>
        </is>
      </c>
      <c r="D3082" t="n">
        <v>14</v>
      </c>
    </row>
    <row r="3083">
      <c r="A3083" t="inlineStr">
        <is>
          <t>ED203152</t>
        </is>
      </c>
      <c r="B3083" s="56" t="n">
        <v>45476.77708333333</v>
      </c>
      <c r="C3083" t="inlineStr">
        <is>
          <t>Bluestone Memorial Hospital</t>
        </is>
      </c>
      <c r="D3083" t="n">
        <v>31</v>
      </c>
    </row>
    <row r="3084">
      <c r="A3084" t="inlineStr">
        <is>
          <t>ED203153</t>
        </is>
      </c>
      <c r="B3084" s="56" t="n">
        <v>45476.78611111111</v>
      </c>
      <c r="C3084" t="inlineStr">
        <is>
          <t>Bluestone Memorial Hospital</t>
        </is>
      </c>
      <c r="D3084" t="n">
        <v>19</v>
      </c>
    </row>
    <row r="3085">
      <c r="A3085" t="inlineStr">
        <is>
          <t>ED203154</t>
        </is>
      </c>
      <c r="B3085" s="56" t="n">
        <v>45476.80208333334</v>
      </c>
      <c r="C3085" t="inlineStr">
        <is>
          <t>Bluestone Memorial Hospital</t>
        </is>
      </c>
      <c r="D3085" t="n">
        <v>40</v>
      </c>
    </row>
    <row r="3086">
      <c r="A3086" t="inlineStr">
        <is>
          <t>ED203155</t>
        </is>
      </c>
      <c r="B3086" s="56" t="n">
        <v>45476.80416666667</v>
      </c>
      <c r="C3086" t="inlineStr">
        <is>
          <t>Bluestone Memorial Hospital</t>
        </is>
      </c>
      <c r="D3086" t="n">
        <v>35</v>
      </c>
    </row>
    <row r="3087">
      <c r="A3087" t="inlineStr">
        <is>
          <t>ED203156</t>
        </is>
      </c>
      <c r="B3087" s="56" t="n">
        <v>45476.81180555555</v>
      </c>
      <c r="C3087" t="inlineStr">
        <is>
          <t>Ashby Falls Community Hospital</t>
        </is>
      </c>
      <c r="D3087" t="n">
        <v>77</v>
      </c>
    </row>
    <row r="3088">
      <c r="A3088" t="inlineStr">
        <is>
          <t>ED203157</t>
        </is>
      </c>
      <c r="B3088" s="56" t="n">
        <v>45476.84930555556</v>
      </c>
      <c r="C3088" t="inlineStr">
        <is>
          <t>Ashby Falls Community Hospital</t>
        </is>
      </c>
      <c r="D3088" t="n">
        <v>71</v>
      </c>
    </row>
    <row r="3089">
      <c r="A3089" t="inlineStr">
        <is>
          <t>ED203158</t>
        </is>
      </c>
      <c r="B3089" s="56" t="n">
        <v>45477.3125</v>
      </c>
      <c r="C3089" t="inlineStr">
        <is>
          <t>Cedar Ridge Medical Center</t>
        </is>
      </c>
      <c r="D3089" t="n">
        <v>15</v>
      </c>
    </row>
    <row r="3090">
      <c r="A3090" t="inlineStr">
        <is>
          <t>ED203159</t>
        </is>
      </c>
      <c r="B3090" s="56" t="n">
        <v>45477.38541666666</v>
      </c>
      <c r="C3090" t="inlineStr">
        <is>
          <t>Bluestone Memorial Hospital</t>
        </is>
      </c>
      <c r="D3090" t="n">
        <v>15</v>
      </c>
    </row>
    <row r="3091">
      <c r="A3091" t="inlineStr">
        <is>
          <t>ED203160</t>
        </is>
      </c>
      <c r="B3091" s="56" t="n">
        <v>45477.43472222222</v>
      </c>
      <c r="C3091" t="inlineStr">
        <is>
          <t>Bluestone Memorial Hospital</t>
        </is>
      </c>
      <c r="D3091" t="n">
        <v>15</v>
      </c>
    </row>
    <row r="3092">
      <c r="A3092" t="inlineStr">
        <is>
          <t>ED203161</t>
        </is>
      </c>
      <c r="B3092" s="56" t="n">
        <v>45477.44861111111</v>
      </c>
      <c r="C3092" t="inlineStr">
        <is>
          <t>Bluestone Memorial Hospital</t>
        </is>
      </c>
      <c r="D3092" t="n">
        <v>43</v>
      </c>
    </row>
    <row r="3093">
      <c r="A3093" t="inlineStr">
        <is>
          <t>ED203162</t>
        </is>
      </c>
      <c r="B3093" s="56" t="n">
        <v>45477.61041666667</v>
      </c>
      <c r="C3093" t="inlineStr">
        <is>
          <t>Cedar Ridge Medical Center</t>
        </is>
      </c>
      <c r="D3093" t="n">
        <v>59</v>
      </c>
    </row>
    <row r="3094">
      <c r="A3094" t="inlineStr">
        <is>
          <t>ED203163</t>
        </is>
      </c>
      <c r="B3094" s="56" t="n">
        <v>45477.66944444444</v>
      </c>
      <c r="C3094" t="inlineStr">
        <is>
          <t>Bluestone Memorial Hospital</t>
        </is>
      </c>
      <c r="D3094" t="n">
        <v>10</v>
      </c>
    </row>
    <row r="3095">
      <c r="A3095" t="inlineStr">
        <is>
          <t>ED203164</t>
        </is>
      </c>
      <c r="B3095" s="56" t="n">
        <v>45477.72847222222</v>
      </c>
      <c r="C3095" t="inlineStr">
        <is>
          <t>Bluestone Memorial Hospital</t>
        </is>
      </c>
      <c r="D3095" t="n">
        <v>7</v>
      </c>
    </row>
    <row r="3096">
      <c r="A3096" t="inlineStr">
        <is>
          <t>ED203165</t>
        </is>
      </c>
      <c r="B3096" s="56" t="n">
        <v>45477.75902777778</v>
      </c>
      <c r="C3096" t="inlineStr">
        <is>
          <t>Bluestone Memorial Hospital</t>
        </is>
      </c>
      <c r="D3096" t="n">
        <v>93</v>
      </c>
    </row>
    <row r="3097">
      <c r="A3097" t="inlineStr">
        <is>
          <t>ED203166</t>
        </is>
      </c>
      <c r="B3097" s="56" t="n">
        <v>45477.82847222222</v>
      </c>
      <c r="C3097" t="inlineStr">
        <is>
          <t>Ashby Falls Community Hospital</t>
        </is>
      </c>
      <c r="D3097" t="n">
        <v>20</v>
      </c>
    </row>
    <row r="3098">
      <c r="A3098" t="inlineStr">
        <is>
          <t>ED203167</t>
        </is>
      </c>
      <c r="B3098" s="56" t="n">
        <v>45477.87361111111</v>
      </c>
      <c r="C3098" t="inlineStr">
        <is>
          <t>Bluestone Memorial Hospital</t>
        </is>
      </c>
      <c r="D3098" t="n">
        <v>13</v>
      </c>
    </row>
    <row r="3099">
      <c r="A3099" t="inlineStr">
        <is>
          <t>ED203168</t>
        </is>
      </c>
      <c r="B3099" s="56" t="n">
        <v>45477.87430555555</v>
      </c>
      <c r="C3099" t="inlineStr">
        <is>
          <t>Cedar Ridge Medical Center</t>
        </is>
      </c>
      <c r="D3099" t="n">
        <v>14</v>
      </c>
    </row>
    <row r="3100">
      <c r="A3100" t="inlineStr">
        <is>
          <t>ED203169</t>
        </is>
      </c>
      <c r="B3100" s="56" t="n">
        <v>45477.98680555556</v>
      </c>
      <c r="C3100" t="inlineStr">
        <is>
          <t>Cedar Ridge Medical Center</t>
        </is>
      </c>
      <c r="D3100" t="n">
        <v>15</v>
      </c>
    </row>
    <row r="3101">
      <c r="A3101" t="inlineStr">
        <is>
          <t>ED203170</t>
        </is>
      </c>
      <c r="B3101" s="56" t="n">
        <v>45478.00347222222</v>
      </c>
      <c r="C3101" t="inlineStr">
        <is>
          <t>Bluestone Memorial Hospital</t>
        </is>
      </c>
      <c r="D3101" t="n">
        <v>250</v>
      </c>
    </row>
    <row r="3102">
      <c r="A3102" t="inlineStr">
        <is>
          <t>ED203171</t>
        </is>
      </c>
      <c r="B3102" s="56" t="n">
        <v>45478.03680555556</v>
      </c>
      <c r="C3102" t="inlineStr">
        <is>
          <t>Bluestone Memorial Hospital</t>
        </is>
      </c>
      <c r="D3102" t="n">
        <v>30</v>
      </c>
    </row>
    <row r="3103">
      <c r="A3103" t="inlineStr">
        <is>
          <t>ED203172</t>
        </is>
      </c>
      <c r="B3103" s="56" t="n">
        <v>45478.33819444444</v>
      </c>
      <c r="C3103" t="inlineStr">
        <is>
          <t>Bluestone Memorial Hospital</t>
        </is>
      </c>
      <c r="D3103" t="n">
        <v>45</v>
      </c>
    </row>
    <row r="3104">
      <c r="A3104" t="inlineStr">
        <is>
          <t>ED203173</t>
        </is>
      </c>
      <c r="B3104" s="56" t="n">
        <v>45478.35069444445</v>
      </c>
      <c r="C3104" t="inlineStr">
        <is>
          <t>Cedar Ridge Medical Center</t>
        </is>
      </c>
      <c r="D3104" t="n">
        <v>28</v>
      </c>
    </row>
    <row r="3105">
      <c r="A3105" t="inlineStr">
        <is>
          <t>ED203174</t>
        </is>
      </c>
      <c r="B3105" s="56" t="n">
        <v>45478.35069444445</v>
      </c>
      <c r="C3105" t="inlineStr">
        <is>
          <t>Cedar Ridge Medical Center</t>
        </is>
      </c>
      <c r="D3105" t="n">
        <v>24</v>
      </c>
    </row>
    <row r="3106">
      <c r="A3106" t="inlineStr">
        <is>
          <t>ED203175</t>
        </is>
      </c>
      <c r="B3106" s="56" t="n">
        <v>45478.4875</v>
      </c>
      <c r="C3106" t="inlineStr">
        <is>
          <t>Ashby Falls Community Hospital</t>
        </is>
      </c>
      <c r="D3106" t="n">
        <v>66</v>
      </c>
    </row>
    <row r="3107">
      <c r="A3107" t="inlineStr">
        <is>
          <t>ED203176</t>
        </is>
      </c>
      <c r="B3107" s="56" t="n">
        <v>45478.51319444444</v>
      </c>
      <c r="C3107" t="inlineStr">
        <is>
          <t>Ashby Falls Community Hospital</t>
        </is>
      </c>
      <c r="D3107" t="n">
        <v>19</v>
      </c>
    </row>
    <row r="3108">
      <c r="A3108" t="inlineStr">
        <is>
          <t>ED203177</t>
        </is>
      </c>
      <c r="B3108" s="56" t="n">
        <v>45478.53888888889</v>
      </c>
      <c r="C3108" t="inlineStr">
        <is>
          <t>Bluestone Memorial Hospital</t>
        </is>
      </c>
      <c r="D3108" t="n">
        <v>117</v>
      </c>
    </row>
    <row r="3109">
      <c r="A3109" t="inlineStr">
        <is>
          <t>ED203178</t>
        </is>
      </c>
      <c r="B3109" s="56" t="n">
        <v>45478.66180555556</v>
      </c>
      <c r="C3109" t="inlineStr">
        <is>
          <t>Cedar Ridge Medical Center</t>
        </is>
      </c>
      <c r="D3109" t="n">
        <v>90</v>
      </c>
    </row>
    <row r="3110">
      <c r="A3110" t="inlineStr">
        <is>
          <t>ED203179</t>
        </is>
      </c>
      <c r="B3110" s="56" t="n">
        <v>45478.74166666667</v>
      </c>
      <c r="C3110" t="inlineStr">
        <is>
          <t>Bluestone Memorial Hospital</t>
        </is>
      </c>
      <c r="D3110" t="n">
        <v>8</v>
      </c>
    </row>
    <row r="3111">
      <c r="A3111" t="inlineStr">
        <is>
          <t>ED203180</t>
        </is>
      </c>
      <c r="B3111" s="56" t="n">
        <v>45478.79861111111</v>
      </c>
      <c r="C3111" t="inlineStr">
        <is>
          <t>Ashby Falls Community Hospital</t>
        </is>
      </c>
      <c r="D3111" t="n">
        <v>32</v>
      </c>
    </row>
    <row r="3112">
      <c r="A3112" t="inlineStr">
        <is>
          <t>ED203181</t>
        </is>
      </c>
      <c r="B3112" s="56" t="n">
        <v>45478.81180555555</v>
      </c>
      <c r="C3112" t="inlineStr">
        <is>
          <t>Bluestone Memorial Hospital</t>
        </is>
      </c>
      <c r="D3112" t="n">
        <v>19</v>
      </c>
    </row>
    <row r="3113">
      <c r="A3113" t="inlineStr">
        <is>
          <t>ED203182</t>
        </is>
      </c>
      <c r="B3113" s="56" t="n">
        <v>45478.81527777778</v>
      </c>
      <c r="C3113" t="inlineStr">
        <is>
          <t>Bluestone Memorial Hospital</t>
        </is>
      </c>
      <c r="D3113" t="n">
        <v>42</v>
      </c>
    </row>
    <row r="3114">
      <c r="A3114" t="inlineStr">
        <is>
          <t>ED203183</t>
        </is>
      </c>
      <c r="B3114" s="56" t="n">
        <v>45478.83680555555</v>
      </c>
      <c r="C3114" t="inlineStr">
        <is>
          <t>Bluestone Memorial Hospital</t>
        </is>
      </c>
      <c r="D3114" t="n">
        <v>89</v>
      </c>
    </row>
    <row r="3115">
      <c r="A3115" t="inlineStr">
        <is>
          <t>ED203184</t>
        </is>
      </c>
      <c r="B3115" s="56" t="n">
        <v>45478.88611111111</v>
      </c>
      <c r="C3115" t="inlineStr">
        <is>
          <t>Bluestone Memorial Hospital</t>
        </is>
      </c>
      <c r="D3115" t="n">
        <v>17</v>
      </c>
    </row>
    <row r="3116">
      <c r="A3116" t="inlineStr">
        <is>
          <t>ED203185</t>
        </is>
      </c>
      <c r="B3116" s="56" t="n">
        <v>45478.97847222222</v>
      </c>
      <c r="C3116" t="inlineStr">
        <is>
          <t>Cedar Ridge Medical Center</t>
        </is>
      </c>
      <c r="D3116" t="n">
        <v>59</v>
      </c>
    </row>
    <row r="3117">
      <c r="A3117" t="inlineStr">
        <is>
          <t>ED203186</t>
        </is>
      </c>
      <c r="B3117" s="56" t="n">
        <v>45479.025</v>
      </c>
      <c r="C3117" t="inlineStr">
        <is>
          <t>Bluestone Memorial Hospital</t>
        </is>
      </c>
      <c r="D3117" t="n">
        <v>21</v>
      </c>
    </row>
    <row r="3118">
      <c r="A3118" t="inlineStr">
        <is>
          <t>ED203187</t>
        </is>
      </c>
      <c r="B3118" s="56" t="n">
        <v>45479.02847222222</v>
      </c>
      <c r="C3118" t="inlineStr">
        <is>
          <t>Cedar Ridge Medical Center</t>
        </is>
      </c>
      <c r="D3118" t="n">
        <v>21</v>
      </c>
    </row>
    <row r="3119">
      <c r="A3119" t="inlineStr">
        <is>
          <t>ED203188</t>
        </is>
      </c>
      <c r="B3119" s="56" t="n">
        <v>45479.32291666666</v>
      </c>
      <c r="C3119" t="inlineStr">
        <is>
          <t>Cedar Ridge Medical Center</t>
        </is>
      </c>
      <c r="D3119" t="n">
        <v>65</v>
      </c>
    </row>
    <row r="3120">
      <c r="A3120" t="inlineStr">
        <is>
          <t>ED203189</t>
        </is>
      </c>
      <c r="B3120" s="56" t="n">
        <v>45479.32361111111</v>
      </c>
      <c r="C3120" t="inlineStr">
        <is>
          <t>Ashby Falls Community Hospital</t>
        </is>
      </c>
      <c r="D3120" t="n">
        <v>96</v>
      </c>
    </row>
    <row r="3121">
      <c r="A3121" t="inlineStr">
        <is>
          <t>ED203190</t>
        </is>
      </c>
      <c r="B3121" s="56" t="n">
        <v>45479.44861111111</v>
      </c>
      <c r="C3121" t="inlineStr">
        <is>
          <t>Bluestone Memorial Hospital</t>
        </is>
      </c>
      <c r="D3121" t="n">
        <v>65</v>
      </c>
    </row>
    <row r="3122">
      <c r="A3122" t="inlineStr">
        <is>
          <t>ED203191</t>
        </is>
      </c>
      <c r="B3122" s="56" t="n">
        <v>45479.53402777778</v>
      </c>
      <c r="C3122" t="inlineStr">
        <is>
          <t>Bluestone Memorial Hospital</t>
        </is>
      </c>
      <c r="D3122" t="n">
        <v>131</v>
      </c>
    </row>
    <row r="3123">
      <c r="A3123" t="inlineStr">
        <is>
          <t>ED203192</t>
        </is>
      </c>
      <c r="B3123" s="56" t="n">
        <v>45479.58541666667</v>
      </c>
      <c r="C3123" t="inlineStr">
        <is>
          <t>Bluestone Memorial Hospital</t>
        </is>
      </c>
      <c r="D3123" t="n">
        <v>10</v>
      </c>
    </row>
    <row r="3124">
      <c r="A3124" t="inlineStr">
        <is>
          <t>ED203193</t>
        </is>
      </c>
      <c r="B3124" s="56" t="n">
        <v>45479.92361111111</v>
      </c>
      <c r="C3124" t="inlineStr">
        <is>
          <t>Bluestone Memorial Hospital</t>
        </is>
      </c>
      <c r="D3124" t="n">
        <v>111</v>
      </c>
    </row>
    <row r="3125">
      <c r="A3125" t="inlineStr">
        <is>
          <t>ED203194</t>
        </is>
      </c>
      <c r="B3125" s="56" t="n">
        <v>45480.36458333334</v>
      </c>
      <c r="C3125" t="inlineStr">
        <is>
          <t>Bluestone Memorial Hospital</t>
        </is>
      </c>
      <c r="D3125" t="n">
        <v>37</v>
      </c>
    </row>
    <row r="3126">
      <c r="A3126" t="inlineStr">
        <is>
          <t>ED203195</t>
        </is>
      </c>
      <c r="B3126" s="56" t="n">
        <v>45480.36597222222</v>
      </c>
      <c r="C3126" t="inlineStr">
        <is>
          <t>Bluestone Memorial Hospital</t>
        </is>
      </c>
      <c r="D3126" t="n">
        <v>7</v>
      </c>
    </row>
    <row r="3127">
      <c r="A3127" t="inlineStr">
        <is>
          <t>ED203196</t>
        </is>
      </c>
      <c r="B3127" s="56" t="n">
        <v>45480.37569444445</v>
      </c>
      <c r="C3127" t="inlineStr">
        <is>
          <t>Bluestone Memorial Hospital</t>
        </is>
      </c>
      <c r="D3127" t="n">
        <v>50</v>
      </c>
    </row>
    <row r="3128">
      <c r="A3128" t="inlineStr">
        <is>
          <t>ED203197</t>
        </is>
      </c>
      <c r="B3128" s="56" t="n">
        <v>45480.40555555555</v>
      </c>
      <c r="C3128" t="inlineStr">
        <is>
          <t>Bluestone Memorial Hospital</t>
        </is>
      </c>
      <c r="D3128" t="n">
        <v>24</v>
      </c>
    </row>
    <row r="3129">
      <c r="A3129" t="inlineStr">
        <is>
          <t>ED203198</t>
        </is>
      </c>
      <c r="B3129" s="56" t="n">
        <v>45480.45486111111</v>
      </c>
      <c r="C3129" t="inlineStr">
        <is>
          <t>Bluestone Memorial Hospital</t>
        </is>
      </c>
      <c r="D3129" t="n">
        <v>27</v>
      </c>
    </row>
    <row r="3130">
      <c r="A3130" t="inlineStr">
        <is>
          <t>ED203199</t>
        </is>
      </c>
      <c r="B3130" s="56" t="n">
        <v>45480.48402777778</v>
      </c>
      <c r="C3130" t="inlineStr">
        <is>
          <t>Bluestone Memorial Hospital</t>
        </is>
      </c>
      <c r="D3130" t="n">
        <v>65</v>
      </c>
    </row>
    <row r="3131">
      <c r="A3131" t="inlineStr">
        <is>
          <t>ED203200</t>
        </is>
      </c>
      <c r="B3131" s="56" t="n">
        <v>45480.51111111111</v>
      </c>
      <c r="C3131" t="inlineStr">
        <is>
          <t>Bluestone Memorial Hospital</t>
        </is>
      </c>
      <c r="D3131" t="n">
        <v>19</v>
      </c>
    </row>
    <row r="3132">
      <c r="A3132" t="inlineStr">
        <is>
          <t>ED203201</t>
        </is>
      </c>
      <c r="B3132" s="56" t="n">
        <v>45480.53888888889</v>
      </c>
      <c r="C3132" t="inlineStr">
        <is>
          <t>Cedar Ridge Medical Center</t>
        </is>
      </c>
      <c r="D3132" t="n">
        <v>60</v>
      </c>
    </row>
    <row r="3133">
      <c r="A3133" t="inlineStr">
        <is>
          <t>ED203202</t>
        </is>
      </c>
      <c r="B3133" s="56" t="n">
        <v>45480.575</v>
      </c>
      <c r="C3133" t="inlineStr">
        <is>
          <t>Bluestone Memorial Hospital</t>
        </is>
      </c>
      <c r="D3133" t="n">
        <v>103</v>
      </c>
    </row>
    <row r="3134">
      <c r="A3134" t="inlineStr">
        <is>
          <t>ED203203</t>
        </is>
      </c>
      <c r="B3134" s="56" t="n">
        <v>45480.60555555556</v>
      </c>
      <c r="C3134" t="inlineStr">
        <is>
          <t>Bluestone Memorial Hospital</t>
        </is>
      </c>
      <c r="D3134" t="n">
        <v>43</v>
      </c>
    </row>
    <row r="3135">
      <c r="A3135" t="inlineStr">
        <is>
          <t>ED203205</t>
        </is>
      </c>
      <c r="B3135" s="56" t="n">
        <v>45480.73125</v>
      </c>
      <c r="C3135" t="inlineStr">
        <is>
          <t>Bluestone Memorial Hospital</t>
        </is>
      </c>
      <c r="D3135" t="n">
        <v>3</v>
      </c>
    </row>
    <row r="3136">
      <c r="A3136" t="inlineStr">
        <is>
          <t>ED203206</t>
        </is>
      </c>
      <c r="B3136" s="56" t="n">
        <v>45480.8125</v>
      </c>
      <c r="C3136" t="inlineStr">
        <is>
          <t>Cedar Ridge Medical Center</t>
        </is>
      </c>
      <c r="D3136" t="n">
        <v>10</v>
      </c>
    </row>
    <row r="3137">
      <c r="A3137" t="inlineStr">
        <is>
          <t>ED203207</t>
        </is>
      </c>
      <c r="B3137" s="56" t="n">
        <v>45480.81388888889</v>
      </c>
      <c r="C3137" t="inlineStr">
        <is>
          <t>Bluestone Memorial Hospital</t>
        </is>
      </c>
      <c r="D3137" t="n">
        <v>156</v>
      </c>
    </row>
    <row r="3138">
      <c r="A3138" t="inlineStr">
        <is>
          <t>ED203208</t>
        </is>
      </c>
      <c r="B3138" s="56" t="n">
        <v>45480.825</v>
      </c>
      <c r="C3138" t="inlineStr">
        <is>
          <t>Bluestone Memorial Hospital</t>
        </is>
      </c>
      <c r="D3138" t="n">
        <v>12</v>
      </c>
    </row>
    <row r="3139">
      <c r="A3139" t="inlineStr">
        <is>
          <t>ED203209</t>
        </is>
      </c>
      <c r="B3139" s="56" t="n">
        <v>45480.84583333333</v>
      </c>
      <c r="C3139" t="inlineStr">
        <is>
          <t>Bluestone Memorial Hospital</t>
        </is>
      </c>
      <c r="D3139" t="n">
        <v>52</v>
      </c>
    </row>
    <row r="3140">
      <c r="A3140" t="inlineStr">
        <is>
          <t>ED203210</t>
        </is>
      </c>
      <c r="B3140" s="56" t="n">
        <v>45480.86319444444</v>
      </c>
      <c r="C3140" t="inlineStr">
        <is>
          <t>Bluestone Memorial Hospital</t>
        </is>
      </c>
      <c r="D3140" t="n">
        <v>3</v>
      </c>
    </row>
    <row r="3141">
      <c r="A3141" t="inlineStr">
        <is>
          <t>ED203211</t>
        </is>
      </c>
      <c r="B3141" s="56" t="n">
        <v>45480.86458333334</v>
      </c>
      <c r="C3141" t="inlineStr">
        <is>
          <t>Bluestone Memorial Hospital</t>
        </is>
      </c>
      <c r="D3141" t="n">
        <v>46</v>
      </c>
    </row>
    <row r="3142">
      <c r="A3142" t="inlineStr">
        <is>
          <t>ED203212</t>
        </is>
      </c>
      <c r="B3142" s="56" t="n">
        <v>45480.89444444444</v>
      </c>
      <c r="C3142" t="inlineStr">
        <is>
          <t>Bluestone Memorial Hospital</t>
        </is>
      </c>
      <c r="D3142" t="n">
        <v>12</v>
      </c>
    </row>
    <row r="3143">
      <c r="A3143" t="inlineStr">
        <is>
          <t>ED203213</t>
        </is>
      </c>
      <c r="B3143" s="56" t="n">
        <v>45480.97986111111</v>
      </c>
      <c r="C3143" t="inlineStr">
        <is>
          <t>Cedar Ridge Medical Center</t>
        </is>
      </c>
      <c r="D3143" t="n">
        <v>71</v>
      </c>
    </row>
    <row r="3144">
      <c r="A3144" t="inlineStr">
        <is>
          <t>ED203214</t>
        </is>
      </c>
      <c r="B3144" s="56" t="n">
        <v>45481.05416666667</v>
      </c>
      <c r="C3144" t="inlineStr">
        <is>
          <t>Bluestone Memorial Hospital</t>
        </is>
      </c>
      <c r="D3144" t="n">
        <v>27</v>
      </c>
    </row>
    <row r="3145">
      <c r="A3145" t="inlineStr">
        <is>
          <t>ED203215</t>
        </is>
      </c>
      <c r="B3145" s="56" t="n">
        <v>45481.13125</v>
      </c>
      <c r="C3145" t="inlineStr">
        <is>
          <t>Bluestone Memorial Hospital</t>
        </is>
      </c>
      <c r="D3145" t="n">
        <v>14</v>
      </c>
    </row>
    <row r="3146">
      <c r="A3146" t="inlineStr">
        <is>
          <t>ED203216</t>
        </is>
      </c>
      <c r="B3146" s="56" t="n">
        <v>45481.35347222222</v>
      </c>
      <c r="C3146" t="inlineStr">
        <is>
          <t>Bluestone Memorial Hospital</t>
        </is>
      </c>
      <c r="D3146" t="n">
        <v>21</v>
      </c>
    </row>
    <row r="3147">
      <c r="A3147" t="inlineStr">
        <is>
          <t>ED203217</t>
        </is>
      </c>
      <c r="B3147" s="56" t="n">
        <v>45481.36111111111</v>
      </c>
      <c r="C3147" t="inlineStr">
        <is>
          <t>Cedar Ridge Medical Center</t>
        </is>
      </c>
      <c r="D3147" t="n">
        <v>82</v>
      </c>
    </row>
    <row r="3148">
      <c r="A3148" t="inlineStr">
        <is>
          <t>ED203218</t>
        </is>
      </c>
      <c r="B3148" s="56" t="n">
        <v>45481.42638888889</v>
      </c>
      <c r="C3148" t="inlineStr">
        <is>
          <t>Bluestone Memorial Hospital</t>
        </is>
      </c>
      <c r="D3148" t="n">
        <v>46</v>
      </c>
    </row>
    <row r="3149">
      <c r="A3149" t="inlineStr">
        <is>
          <t>ED203219</t>
        </is>
      </c>
      <c r="B3149" s="56" t="n">
        <v>45481.55972222222</v>
      </c>
      <c r="C3149" t="inlineStr">
        <is>
          <t>Bluestone Memorial Hospital</t>
        </is>
      </c>
      <c r="D3149" t="n">
        <v>117</v>
      </c>
    </row>
    <row r="3150">
      <c r="A3150" t="inlineStr">
        <is>
          <t>ED203220</t>
        </is>
      </c>
      <c r="B3150" s="56" t="n">
        <v>45481.56111111111</v>
      </c>
      <c r="C3150" t="inlineStr">
        <is>
          <t>Bluestone Memorial Hospital</t>
        </is>
      </c>
      <c r="D3150" t="n">
        <v>36</v>
      </c>
    </row>
    <row r="3151">
      <c r="A3151" t="inlineStr">
        <is>
          <t>ED203221</t>
        </is>
      </c>
      <c r="B3151" s="56" t="n">
        <v>45481.56944444445</v>
      </c>
      <c r="C3151" t="inlineStr">
        <is>
          <t>Cedar Ridge Medical Center</t>
        </is>
      </c>
      <c r="D3151" t="n">
        <v>88</v>
      </c>
    </row>
    <row r="3152">
      <c r="A3152" t="inlineStr">
        <is>
          <t>ED203222</t>
        </is>
      </c>
      <c r="B3152" s="56" t="n">
        <v>45481.59097222222</v>
      </c>
      <c r="C3152" t="inlineStr">
        <is>
          <t>Bluestone Memorial Hospital</t>
        </is>
      </c>
      <c r="D3152" t="n">
        <v>110</v>
      </c>
    </row>
    <row r="3153">
      <c r="A3153" t="inlineStr">
        <is>
          <t>ED203223</t>
        </is>
      </c>
      <c r="B3153" s="56" t="n">
        <v>45481.65555555555</v>
      </c>
      <c r="C3153" t="inlineStr">
        <is>
          <t>Bluestone Memorial Hospital</t>
        </is>
      </c>
      <c r="D3153" t="n">
        <v>69</v>
      </c>
    </row>
    <row r="3154">
      <c r="A3154" t="inlineStr">
        <is>
          <t>ED203224</t>
        </is>
      </c>
      <c r="B3154" s="56" t="n">
        <v>45481.67291666667</v>
      </c>
      <c r="C3154" t="inlineStr">
        <is>
          <t>Bluestone Memorial Hospital</t>
        </is>
      </c>
      <c r="D3154" t="n">
        <v>38</v>
      </c>
    </row>
    <row r="3155">
      <c r="A3155" t="inlineStr">
        <is>
          <t>ED203225</t>
        </is>
      </c>
      <c r="B3155" s="56" t="n">
        <v>45481.74097222222</v>
      </c>
      <c r="C3155" t="inlineStr">
        <is>
          <t>Bluestone Memorial Hospital</t>
        </is>
      </c>
      <c r="D3155" t="n">
        <v>123</v>
      </c>
    </row>
    <row r="3156">
      <c r="A3156" t="inlineStr">
        <is>
          <t>ED203226</t>
        </is>
      </c>
      <c r="B3156" s="56" t="n">
        <v>45481.74513888889</v>
      </c>
      <c r="C3156" t="inlineStr">
        <is>
          <t>Bluestone Memorial Hospital</t>
        </is>
      </c>
      <c r="D3156" t="n">
        <v>79</v>
      </c>
    </row>
    <row r="3157">
      <c r="A3157" t="inlineStr">
        <is>
          <t>ED203227</t>
        </is>
      </c>
      <c r="B3157" s="56" t="n">
        <v>45481.80069444444</v>
      </c>
      <c r="C3157" t="inlineStr">
        <is>
          <t>Bluestone Memorial Hospital</t>
        </is>
      </c>
      <c r="D3157" t="n">
        <v>40</v>
      </c>
    </row>
    <row r="3158">
      <c r="A3158" t="inlineStr">
        <is>
          <t>ED203228</t>
        </is>
      </c>
      <c r="B3158" s="56" t="n">
        <v>45481.80625</v>
      </c>
      <c r="C3158" t="inlineStr">
        <is>
          <t>Bluestone Memorial Hospital</t>
        </is>
      </c>
      <c r="D3158" t="n">
        <v>40</v>
      </c>
    </row>
    <row r="3159">
      <c r="A3159" t="inlineStr">
        <is>
          <t>ED203229</t>
        </is>
      </c>
      <c r="B3159" s="56" t="n">
        <v>45481.83194444444</v>
      </c>
      <c r="C3159" t="inlineStr">
        <is>
          <t>Bluestone Memorial Hospital</t>
        </is>
      </c>
      <c r="D3159" t="n">
        <v>67</v>
      </c>
    </row>
    <row r="3160">
      <c r="A3160" t="inlineStr">
        <is>
          <t>ED203230</t>
        </is>
      </c>
      <c r="B3160" s="56" t="n">
        <v>45481.86805555555</v>
      </c>
      <c r="C3160" t="inlineStr">
        <is>
          <t>Bluestone Memorial Hospital</t>
        </is>
      </c>
      <c r="D3160" t="n">
        <v>104</v>
      </c>
    </row>
    <row r="3161">
      <c r="A3161" t="inlineStr">
        <is>
          <t>ED203231</t>
        </is>
      </c>
      <c r="B3161" s="56" t="n">
        <v>45482.04513888889</v>
      </c>
      <c r="C3161" t="inlineStr">
        <is>
          <t>Bluestone Memorial Hospital</t>
        </is>
      </c>
      <c r="D3161" t="n">
        <v>12</v>
      </c>
    </row>
    <row r="3162">
      <c r="A3162" t="inlineStr">
        <is>
          <t>ED203232</t>
        </is>
      </c>
      <c r="B3162" s="56" t="n">
        <v>45482.24513888889</v>
      </c>
      <c r="C3162" t="inlineStr">
        <is>
          <t>Bluestone Memorial Hospital</t>
        </is>
      </c>
      <c r="D3162" t="n">
        <v>67</v>
      </c>
    </row>
    <row r="3163">
      <c r="A3163" t="inlineStr">
        <is>
          <t>ED203233</t>
        </is>
      </c>
      <c r="B3163" s="56" t="n">
        <v>45482.27291666667</v>
      </c>
      <c r="C3163" t="inlineStr">
        <is>
          <t>Bluestone Memorial Hospital</t>
        </is>
      </c>
      <c r="D3163" t="n">
        <v>27</v>
      </c>
    </row>
    <row r="3164">
      <c r="A3164" t="inlineStr">
        <is>
          <t>ED203234</t>
        </is>
      </c>
      <c r="B3164" s="56" t="n">
        <v>45482.55138888889</v>
      </c>
      <c r="C3164" t="inlineStr">
        <is>
          <t>Bluestone Memorial Hospital</t>
        </is>
      </c>
      <c r="D3164" t="n">
        <v>16</v>
      </c>
    </row>
    <row r="3165">
      <c r="A3165" t="inlineStr">
        <is>
          <t>ED203235</t>
        </is>
      </c>
      <c r="B3165" s="56" t="n">
        <v>45482.57083333333</v>
      </c>
      <c r="C3165" t="inlineStr">
        <is>
          <t>Bluestone Memorial Hospital</t>
        </is>
      </c>
      <c r="D3165" t="n">
        <v>23</v>
      </c>
    </row>
    <row r="3166">
      <c r="A3166" t="inlineStr">
        <is>
          <t>ED203236</t>
        </is>
      </c>
      <c r="B3166" s="56" t="n">
        <v>45482.57291666666</v>
      </c>
      <c r="C3166" t="inlineStr">
        <is>
          <t>Bluestone Memorial Hospital</t>
        </is>
      </c>
      <c r="D3166" t="n">
        <v>14</v>
      </c>
    </row>
    <row r="3167">
      <c r="A3167" t="inlineStr">
        <is>
          <t>ED203237</t>
        </is>
      </c>
      <c r="B3167" s="56" t="n">
        <v>45482.58263888889</v>
      </c>
      <c r="C3167" t="inlineStr">
        <is>
          <t>Bluestone Memorial Hospital</t>
        </is>
      </c>
      <c r="D3167" t="n">
        <v>3</v>
      </c>
    </row>
    <row r="3168">
      <c r="A3168" t="inlineStr">
        <is>
          <t>ED203238</t>
        </is>
      </c>
      <c r="B3168" s="56" t="n">
        <v>45482.59583333333</v>
      </c>
      <c r="C3168" t="inlineStr">
        <is>
          <t>Bluestone Memorial Hospital</t>
        </is>
      </c>
      <c r="D3168" t="n">
        <v>45</v>
      </c>
    </row>
    <row r="3169">
      <c r="A3169" t="inlineStr">
        <is>
          <t>ED203239</t>
        </is>
      </c>
      <c r="B3169" s="56" t="n">
        <v>45482.61805555555</v>
      </c>
      <c r="C3169" t="inlineStr">
        <is>
          <t>Bluestone Memorial Hospital</t>
        </is>
      </c>
      <c r="D3169" t="n">
        <v>41</v>
      </c>
    </row>
    <row r="3170">
      <c r="A3170" t="inlineStr">
        <is>
          <t>ED203240</t>
        </is>
      </c>
      <c r="B3170" s="56" t="n">
        <v>45482.67291666667</v>
      </c>
      <c r="C3170" t="inlineStr">
        <is>
          <t>Bluestone Memorial Hospital</t>
        </is>
      </c>
      <c r="D3170" t="n">
        <v>29</v>
      </c>
    </row>
    <row r="3171">
      <c r="A3171" t="inlineStr">
        <is>
          <t>ED203241</t>
        </is>
      </c>
      <c r="B3171" s="56" t="n">
        <v>45482.81597222222</v>
      </c>
      <c r="C3171" t="inlineStr">
        <is>
          <t>Bluestone Memorial Hospital</t>
        </is>
      </c>
      <c r="D3171" t="n">
        <v>47</v>
      </c>
    </row>
    <row r="3172">
      <c r="A3172" t="inlineStr">
        <is>
          <t>ED203242</t>
        </is>
      </c>
      <c r="B3172" s="56" t="n">
        <v>45482.91805555556</v>
      </c>
      <c r="C3172" t="inlineStr">
        <is>
          <t>Bluestone Memorial Hospital</t>
        </is>
      </c>
      <c r="D3172" t="n">
        <v>50</v>
      </c>
    </row>
    <row r="3173">
      <c r="A3173" t="inlineStr">
        <is>
          <t>ED203243</t>
        </is>
      </c>
      <c r="B3173" s="56" t="n">
        <v>45482.925</v>
      </c>
      <c r="C3173" t="inlineStr">
        <is>
          <t>Ashby Falls Community Hospital</t>
        </is>
      </c>
      <c r="D3173" t="n">
        <v>12</v>
      </c>
    </row>
    <row r="3174">
      <c r="A3174" t="inlineStr">
        <is>
          <t>ED203244</t>
        </is>
      </c>
      <c r="B3174" s="56" t="n">
        <v>45483.11458333334</v>
      </c>
      <c r="C3174" t="inlineStr">
        <is>
          <t>Bluestone Memorial Hospital</t>
        </is>
      </c>
      <c r="D3174" t="n">
        <v>19</v>
      </c>
    </row>
    <row r="3175">
      <c r="A3175" t="inlineStr">
        <is>
          <t>ED203245</t>
        </is>
      </c>
      <c r="B3175" s="56" t="n">
        <v>45483.29791666667</v>
      </c>
      <c r="C3175" t="inlineStr">
        <is>
          <t>Ashby Falls Community Hospital</t>
        </is>
      </c>
      <c r="D3175" t="n">
        <v>53</v>
      </c>
    </row>
    <row r="3176">
      <c r="A3176" t="inlineStr">
        <is>
          <t>ED203246</t>
        </is>
      </c>
      <c r="B3176" s="56" t="n">
        <v>45483.36041666667</v>
      </c>
      <c r="C3176" t="inlineStr">
        <is>
          <t>Bluestone Memorial Hospital</t>
        </is>
      </c>
      <c r="D3176" t="n">
        <v>24</v>
      </c>
    </row>
    <row r="3177">
      <c r="A3177" t="inlineStr">
        <is>
          <t>ED203247</t>
        </is>
      </c>
      <c r="B3177" s="56" t="n">
        <v>45483.40833333333</v>
      </c>
      <c r="C3177" t="inlineStr">
        <is>
          <t>Bluestone Memorial Hospital</t>
        </is>
      </c>
      <c r="D3177" t="n">
        <v>74</v>
      </c>
    </row>
    <row r="3178">
      <c r="A3178" t="inlineStr">
        <is>
          <t>ED203248</t>
        </is>
      </c>
      <c r="B3178" s="56" t="n">
        <v>45483.48055555556</v>
      </c>
      <c r="C3178" t="inlineStr">
        <is>
          <t>Cedar Ridge Medical Center</t>
        </is>
      </c>
      <c r="D3178" t="n">
        <v>69</v>
      </c>
    </row>
    <row r="3179">
      <c r="A3179" t="inlineStr">
        <is>
          <t>ED203249</t>
        </is>
      </c>
      <c r="B3179" s="56" t="n">
        <v>45483.49305555555</v>
      </c>
      <c r="C3179" t="inlineStr">
        <is>
          <t>Bluestone Memorial Hospital</t>
        </is>
      </c>
      <c r="D3179" t="n">
        <v>74</v>
      </c>
    </row>
    <row r="3180">
      <c r="A3180" t="inlineStr">
        <is>
          <t>ED203250</t>
        </is>
      </c>
      <c r="B3180" s="56" t="n">
        <v>45483.52777777778</v>
      </c>
      <c r="C3180" t="inlineStr">
        <is>
          <t>Bluestone Memorial Hospital</t>
        </is>
      </c>
      <c r="D3180" t="n">
        <v>30</v>
      </c>
    </row>
    <row r="3181">
      <c r="A3181" t="inlineStr">
        <is>
          <t>ED203251</t>
        </is>
      </c>
      <c r="B3181" s="56" t="n">
        <v>45483.57013888889</v>
      </c>
      <c r="C3181" t="inlineStr">
        <is>
          <t>Bluestone Memorial Hospital</t>
        </is>
      </c>
      <c r="D3181" t="n">
        <v>85</v>
      </c>
    </row>
    <row r="3182">
      <c r="A3182" t="inlineStr">
        <is>
          <t>ED203252</t>
        </is>
      </c>
      <c r="B3182" s="56" t="n">
        <v>45483.59652777778</v>
      </c>
      <c r="C3182" t="inlineStr">
        <is>
          <t>Bluestone Memorial Hospital</t>
        </is>
      </c>
      <c r="D3182" t="n">
        <v>90</v>
      </c>
    </row>
    <row r="3183">
      <c r="A3183" t="inlineStr">
        <is>
          <t>ED203253</t>
        </is>
      </c>
      <c r="B3183" s="56" t="n">
        <v>45483.60208333333</v>
      </c>
      <c r="C3183" t="inlineStr">
        <is>
          <t>Bluestone Memorial Hospital</t>
        </is>
      </c>
      <c r="D3183" t="n">
        <v>28</v>
      </c>
    </row>
    <row r="3184">
      <c r="A3184" t="inlineStr">
        <is>
          <t>ED203254</t>
        </is>
      </c>
      <c r="B3184" s="56" t="n">
        <v>45483.64513888889</v>
      </c>
      <c r="C3184" t="inlineStr">
        <is>
          <t>Bluestone Memorial Hospital</t>
        </is>
      </c>
      <c r="D3184" t="n">
        <v>25</v>
      </c>
    </row>
    <row r="3185">
      <c r="A3185" t="inlineStr">
        <is>
          <t>ED203255</t>
        </is>
      </c>
      <c r="B3185" s="56" t="n">
        <v>45483.69027777778</v>
      </c>
      <c r="C3185" t="inlineStr">
        <is>
          <t>Bluestone Memorial Hospital</t>
        </is>
      </c>
      <c r="D3185" t="n">
        <v>17</v>
      </c>
    </row>
    <row r="3186">
      <c r="A3186" t="inlineStr">
        <is>
          <t>ED203256</t>
        </is>
      </c>
      <c r="B3186" s="56" t="n">
        <v>45483.78819444445</v>
      </c>
      <c r="C3186" t="inlineStr">
        <is>
          <t>Bluestone Memorial Hospital</t>
        </is>
      </c>
      <c r="D3186" t="n">
        <v>76</v>
      </c>
    </row>
    <row r="3187">
      <c r="A3187" t="inlineStr">
        <is>
          <t>ED203257</t>
        </is>
      </c>
      <c r="B3187" s="56" t="n">
        <v>45483.85208333333</v>
      </c>
      <c r="C3187" t="inlineStr">
        <is>
          <t>Cedar Ridge Medical Center</t>
        </is>
      </c>
      <c r="D3187" t="n">
        <v>72</v>
      </c>
    </row>
    <row r="3188">
      <c r="A3188" t="inlineStr">
        <is>
          <t>ED203258</t>
        </is>
      </c>
      <c r="B3188" s="56" t="n">
        <v>45483.85277777778</v>
      </c>
      <c r="C3188" t="inlineStr">
        <is>
          <t>Ashby Falls Community Hospital</t>
        </is>
      </c>
      <c r="D3188" t="n">
        <v>75</v>
      </c>
    </row>
    <row r="3189">
      <c r="A3189" t="inlineStr">
        <is>
          <t>ED203259</t>
        </is>
      </c>
      <c r="B3189" s="56" t="n">
        <v>45483.90625</v>
      </c>
      <c r="C3189" t="inlineStr">
        <is>
          <t>Bluestone Memorial Hospital</t>
        </is>
      </c>
      <c r="D3189" t="n">
        <v>15</v>
      </c>
    </row>
    <row r="3190">
      <c r="A3190" t="inlineStr">
        <is>
          <t>ED203260</t>
        </is>
      </c>
      <c r="B3190" s="56" t="n">
        <v>45483.91597222222</v>
      </c>
      <c r="C3190" t="inlineStr">
        <is>
          <t>Bluestone Memorial Hospital</t>
        </is>
      </c>
      <c r="D3190" t="n">
        <v>25</v>
      </c>
    </row>
    <row r="3191">
      <c r="A3191" t="inlineStr">
        <is>
          <t>ED203261</t>
        </is>
      </c>
      <c r="B3191" s="56" t="n">
        <v>45484.32013888889</v>
      </c>
      <c r="C3191" t="inlineStr">
        <is>
          <t>Bluestone Memorial Hospital</t>
        </is>
      </c>
      <c r="D3191" t="n">
        <v>55</v>
      </c>
    </row>
    <row r="3192">
      <c r="A3192" t="inlineStr">
        <is>
          <t>ED203262</t>
        </is>
      </c>
      <c r="B3192" s="56" t="n">
        <v>45484.34305555555</v>
      </c>
      <c r="C3192" t="inlineStr">
        <is>
          <t>Bluestone Memorial Hospital</t>
        </is>
      </c>
      <c r="D3192" t="n">
        <v>103</v>
      </c>
    </row>
    <row r="3193">
      <c r="A3193" t="inlineStr">
        <is>
          <t>ED203263</t>
        </is>
      </c>
      <c r="B3193" s="56" t="n">
        <v>45484.35972222222</v>
      </c>
      <c r="C3193" t="inlineStr">
        <is>
          <t>Bluestone Memorial Hospital</t>
        </is>
      </c>
      <c r="D3193" t="n">
        <v>13</v>
      </c>
    </row>
    <row r="3194">
      <c r="A3194" t="inlineStr">
        <is>
          <t>ED203264</t>
        </is>
      </c>
      <c r="B3194" s="56" t="n">
        <v>45484.42638888889</v>
      </c>
      <c r="C3194" t="inlineStr">
        <is>
          <t>Bluestone Memorial Hospital</t>
        </is>
      </c>
      <c r="D3194" t="n">
        <v>109</v>
      </c>
    </row>
    <row r="3195">
      <c r="A3195" t="inlineStr">
        <is>
          <t>ED203265</t>
        </is>
      </c>
      <c r="B3195" s="56" t="n">
        <v>45484.49097222222</v>
      </c>
      <c r="C3195" t="inlineStr">
        <is>
          <t>Ashby Falls Community Hospital</t>
        </is>
      </c>
      <c r="D3195" t="n">
        <v>44</v>
      </c>
    </row>
    <row r="3196">
      <c r="A3196" t="inlineStr">
        <is>
          <t>ED203266</t>
        </is>
      </c>
      <c r="B3196" s="56" t="n">
        <v>45484.50347222222</v>
      </c>
      <c r="C3196" t="inlineStr">
        <is>
          <t>Bluestone Memorial Hospital</t>
        </is>
      </c>
      <c r="D3196" t="n">
        <v>9</v>
      </c>
    </row>
    <row r="3197">
      <c r="A3197" t="inlineStr">
        <is>
          <t>ED203267</t>
        </is>
      </c>
      <c r="B3197" s="56" t="n">
        <v>45484.51944444444</v>
      </c>
      <c r="C3197" t="inlineStr">
        <is>
          <t>Bluestone Memorial Hospital</t>
        </is>
      </c>
      <c r="D3197" t="n">
        <v>18</v>
      </c>
    </row>
    <row r="3198">
      <c r="A3198" t="inlineStr">
        <is>
          <t>ED203268</t>
        </is>
      </c>
      <c r="B3198" s="56" t="n">
        <v>45484.60069444445</v>
      </c>
      <c r="C3198" t="inlineStr">
        <is>
          <t>Bluestone Memorial Hospital</t>
        </is>
      </c>
      <c r="D3198" t="n">
        <v>46</v>
      </c>
    </row>
    <row r="3199">
      <c r="A3199" t="inlineStr">
        <is>
          <t>ED203269</t>
        </is>
      </c>
      <c r="B3199" s="56" t="n">
        <v>45484.71736111111</v>
      </c>
      <c r="C3199" t="inlineStr">
        <is>
          <t>Ashby Falls Community Hospital</t>
        </is>
      </c>
      <c r="D3199" t="n">
        <v>13</v>
      </c>
    </row>
    <row r="3200">
      <c r="A3200" t="inlineStr">
        <is>
          <t>ED203270</t>
        </is>
      </c>
      <c r="B3200" s="56" t="n">
        <v>45484.79305555556</v>
      </c>
      <c r="C3200" t="inlineStr">
        <is>
          <t>Ashby Falls Community Hospital</t>
        </is>
      </c>
      <c r="D3200" t="n">
        <v>162</v>
      </c>
    </row>
    <row r="3201">
      <c r="A3201" t="inlineStr">
        <is>
          <t>ED203271</t>
        </is>
      </c>
      <c r="B3201" s="56" t="n">
        <v>45484.82083333333</v>
      </c>
      <c r="C3201" t="inlineStr">
        <is>
          <t>Bluestone Memorial Hospital</t>
        </is>
      </c>
      <c r="D3201" t="n">
        <v>33</v>
      </c>
    </row>
    <row r="3202">
      <c r="A3202" t="inlineStr">
        <is>
          <t>ED203272</t>
        </is>
      </c>
      <c r="B3202" s="56" t="n">
        <v>45484.83819444444</v>
      </c>
      <c r="C3202" t="inlineStr">
        <is>
          <t>Bluestone Memorial Hospital</t>
        </is>
      </c>
      <c r="D3202" t="n">
        <v>7</v>
      </c>
    </row>
    <row r="3203">
      <c r="A3203" t="inlineStr">
        <is>
          <t>ED203273</t>
        </is>
      </c>
      <c r="B3203" s="56" t="n">
        <v>45485.06180555555</v>
      </c>
      <c r="C3203" t="inlineStr">
        <is>
          <t>Bluestone Memorial Hospital</t>
        </is>
      </c>
      <c r="D3203" t="n">
        <v>7</v>
      </c>
    </row>
    <row r="3204">
      <c r="A3204" t="inlineStr">
        <is>
          <t>ED203274</t>
        </is>
      </c>
      <c r="B3204" s="56" t="n">
        <v>45485.25833333333</v>
      </c>
      <c r="C3204" t="inlineStr">
        <is>
          <t>Ashby Falls Community Hospital</t>
        </is>
      </c>
      <c r="D3204" t="n">
        <v>26</v>
      </c>
    </row>
    <row r="3205">
      <c r="A3205" t="inlineStr">
        <is>
          <t>ED203275</t>
        </is>
      </c>
      <c r="B3205" s="56" t="n">
        <v>45485.27847222222</v>
      </c>
      <c r="C3205" t="inlineStr">
        <is>
          <t>Bluestone Memorial Hospital</t>
        </is>
      </c>
      <c r="D3205" t="n">
        <v>26</v>
      </c>
    </row>
    <row r="3206">
      <c r="A3206" t="inlineStr">
        <is>
          <t>ED203276</t>
        </is>
      </c>
      <c r="B3206" s="56" t="n">
        <v>45485.31527777778</v>
      </c>
      <c r="C3206" t="inlineStr">
        <is>
          <t>Ashby Falls Community Hospital</t>
        </is>
      </c>
      <c r="D3206" t="n">
        <v>44</v>
      </c>
    </row>
    <row r="3207">
      <c r="A3207" t="inlineStr">
        <is>
          <t>ED203277</t>
        </is>
      </c>
      <c r="B3207" s="56" t="n">
        <v>45485.35347222222</v>
      </c>
      <c r="C3207" t="inlineStr">
        <is>
          <t>Cedar Ridge Medical Center</t>
        </is>
      </c>
      <c r="D3207" t="n">
        <v>18</v>
      </c>
    </row>
    <row r="3208">
      <c r="A3208" t="inlineStr">
        <is>
          <t>ED203278</t>
        </is>
      </c>
      <c r="B3208" s="56" t="n">
        <v>45485.38263888889</v>
      </c>
      <c r="C3208" t="inlineStr">
        <is>
          <t>Bluestone Memorial Hospital</t>
        </is>
      </c>
      <c r="D3208" t="n">
        <v>15</v>
      </c>
    </row>
    <row r="3209">
      <c r="A3209" t="inlineStr">
        <is>
          <t>ED203279</t>
        </is>
      </c>
      <c r="B3209" s="56" t="n">
        <v>45485.40138888889</v>
      </c>
      <c r="C3209" t="inlineStr">
        <is>
          <t>Bluestone Memorial Hospital</t>
        </is>
      </c>
      <c r="D3209" t="n">
        <v>48</v>
      </c>
    </row>
    <row r="3210">
      <c r="A3210" t="inlineStr">
        <is>
          <t>ED203280</t>
        </is>
      </c>
      <c r="B3210" s="56" t="n">
        <v>45485.43958333333</v>
      </c>
      <c r="C3210" t="inlineStr">
        <is>
          <t>Bluestone Memorial Hospital</t>
        </is>
      </c>
      <c r="D3210" t="n">
        <v>10</v>
      </c>
    </row>
    <row r="3211">
      <c r="A3211" t="inlineStr">
        <is>
          <t>ED203281</t>
        </is>
      </c>
      <c r="B3211" s="56" t="n">
        <v>45485.44375</v>
      </c>
      <c r="C3211" t="inlineStr">
        <is>
          <t>Bluestone Memorial Hospital</t>
        </is>
      </c>
      <c r="D3211" t="n">
        <v>35</v>
      </c>
    </row>
    <row r="3212">
      <c r="A3212" t="inlineStr">
        <is>
          <t>ED203282</t>
        </is>
      </c>
      <c r="B3212" s="56" t="n">
        <v>45485.45069444444</v>
      </c>
      <c r="C3212" t="inlineStr">
        <is>
          <t>Bluestone Memorial Hospital</t>
        </is>
      </c>
      <c r="D3212" t="n">
        <v>36</v>
      </c>
    </row>
    <row r="3213">
      <c r="A3213" t="inlineStr">
        <is>
          <t>ED203283</t>
        </is>
      </c>
      <c r="B3213" s="56" t="n">
        <v>45485.47083333333</v>
      </c>
      <c r="C3213" t="inlineStr">
        <is>
          <t>Bluestone Memorial Hospital</t>
        </is>
      </c>
      <c r="D3213" t="n">
        <v>44</v>
      </c>
    </row>
    <row r="3214">
      <c r="A3214" t="inlineStr">
        <is>
          <t>ED203284</t>
        </is>
      </c>
      <c r="B3214" s="56" t="n">
        <v>45485.60625</v>
      </c>
      <c r="C3214" t="inlineStr">
        <is>
          <t>Bluestone Memorial Hospital</t>
        </is>
      </c>
      <c r="D3214" t="n">
        <v>129</v>
      </c>
    </row>
    <row r="3215">
      <c r="A3215" t="inlineStr">
        <is>
          <t>ED203285</t>
        </is>
      </c>
      <c r="B3215" s="56" t="n">
        <v>45485.64305555556</v>
      </c>
      <c r="C3215" t="inlineStr">
        <is>
          <t>Cedar Ridge Medical Center</t>
        </is>
      </c>
      <c r="D3215" t="n">
        <v>82</v>
      </c>
    </row>
    <row r="3216">
      <c r="A3216" t="inlineStr">
        <is>
          <t>ED203286</t>
        </is>
      </c>
      <c r="B3216" s="56" t="n">
        <v>45485.66736111111</v>
      </c>
      <c r="C3216" t="inlineStr">
        <is>
          <t>Bluestone Memorial Hospital</t>
        </is>
      </c>
      <c r="D3216" t="n">
        <v>16</v>
      </c>
    </row>
    <row r="3217">
      <c r="A3217" t="inlineStr">
        <is>
          <t>ED203287</t>
        </is>
      </c>
      <c r="B3217" s="56" t="n">
        <v>45485.67638888889</v>
      </c>
      <c r="C3217" t="inlineStr">
        <is>
          <t>Bluestone Memorial Hospital</t>
        </is>
      </c>
      <c r="D3217" t="n">
        <v>29</v>
      </c>
    </row>
    <row r="3218">
      <c r="A3218" t="inlineStr">
        <is>
          <t>ED203288</t>
        </is>
      </c>
      <c r="B3218" s="56" t="n">
        <v>45485.68402777778</v>
      </c>
      <c r="C3218" t="inlineStr">
        <is>
          <t>Bluestone Memorial Hospital</t>
        </is>
      </c>
      <c r="D3218" t="n">
        <v>27</v>
      </c>
    </row>
    <row r="3219">
      <c r="A3219" t="inlineStr">
        <is>
          <t>ED203289</t>
        </is>
      </c>
      <c r="B3219" s="56" t="n">
        <v>45485.69444444445</v>
      </c>
      <c r="C3219" t="inlineStr">
        <is>
          <t>Cedar Ridge Medical Center</t>
        </is>
      </c>
      <c r="D3219" t="n">
        <v>31</v>
      </c>
    </row>
    <row r="3220">
      <c r="A3220" t="inlineStr">
        <is>
          <t>ED203290</t>
        </is>
      </c>
      <c r="B3220" s="56" t="n">
        <v>45485.69444444445</v>
      </c>
      <c r="C3220" t="inlineStr">
        <is>
          <t>Bluestone Memorial Hospital</t>
        </is>
      </c>
      <c r="D3220" t="n">
        <v>23</v>
      </c>
    </row>
    <row r="3221">
      <c r="A3221" t="inlineStr">
        <is>
          <t>ED203291</t>
        </is>
      </c>
      <c r="B3221" s="56" t="n">
        <v>45485.75347222222</v>
      </c>
      <c r="C3221" t="inlineStr">
        <is>
          <t>Bluestone Memorial Hospital</t>
        </is>
      </c>
      <c r="D3221" t="n">
        <v>89</v>
      </c>
    </row>
    <row r="3222">
      <c r="A3222" t="inlineStr">
        <is>
          <t>ED203292</t>
        </is>
      </c>
      <c r="B3222" s="56" t="n">
        <v>45485.84583333333</v>
      </c>
      <c r="C3222" t="inlineStr">
        <is>
          <t>Bluestone Memorial Hospital</t>
        </is>
      </c>
      <c r="D3222" t="n">
        <v>37</v>
      </c>
    </row>
    <row r="3223">
      <c r="A3223" t="inlineStr">
        <is>
          <t>ED203293</t>
        </is>
      </c>
      <c r="B3223" s="56" t="n">
        <v>45485.87013888889</v>
      </c>
      <c r="C3223" t="inlineStr">
        <is>
          <t>Bluestone Memorial Hospital</t>
        </is>
      </c>
      <c r="D3223" t="n">
        <v>81</v>
      </c>
    </row>
    <row r="3224">
      <c r="A3224" t="inlineStr">
        <is>
          <t>ED203294</t>
        </is>
      </c>
      <c r="B3224" s="56" t="n">
        <v>45485.97708333333</v>
      </c>
      <c r="C3224" t="inlineStr">
        <is>
          <t>Ashby Falls Community Hospital</t>
        </is>
      </c>
      <c r="D3224" t="n">
        <v>32</v>
      </c>
    </row>
    <row r="3225">
      <c r="A3225" t="inlineStr">
        <is>
          <t>ED203295</t>
        </is>
      </c>
      <c r="B3225" s="56" t="n">
        <v>45486.0625</v>
      </c>
      <c r="C3225" t="inlineStr">
        <is>
          <t>Bluestone Memorial Hospital</t>
        </is>
      </c>
      <c r="D3225" t="n">
        <v>35</v>
      </c>
    </row>
    <row r="3226">
      <c r="A3226" t="inlineStr">
        <is>
          <t>ED203296</t>
        </is>
      </c>
      <c r="B3226" s="56" t="n">
        <v>45486.29652777778</v>
      </c>
      <c r="C3226" t="inlineStr">
        <is>
          <t>Ashby Falls Community Hospital</t>
        </is>
      </c>
      <c r="D3226" t="n">
        <v>45</v>
      </c>
    </row>
    <row r="3227">
      <c r="A3227" t="inlineStr">
        <is>
          <t>ED203297</t>
        </is>
      </c>
      <c r="B3227" s="56" t="n">
        <v>45486.55</v>
      </c>
      <c r="C3227" t="inlineStr">
        <is>
          <t>Ashby Falls Community Hospital</t>
        </is>
      </c>
      <c r="D3227" t="n">
        <v>53</v>
      </c>
    </row>
    <row r="3228">
      <c r="A3228" t="inlineStr">
        <is>
          <t>ED203298</t>
        </is>
      </c>
      <c r="B3228" s="56" t="n">
        <v>45486.625</v>
      </c>
      <c r="C3228" t="inlineStr">
        <is>
          <t>Bluestone Memorial Hospital</t>
        </is>
      </c>
      <c r="D3228" t="n">
        <v>24</v>
      </c>
    </row>
    <row r="3229">
      <c r="A3229" t="inlineStr">
        <is>
          <t>ED203299</t>
        </is>
      </c>
      <c r="B3229" s="56" t="n">
        <v>45486.63888888889</v>
      </c>
      <c r="C3229" t="inlineStr">
        <is>
          <t>Ashby Falls Community Hospital</t>
        </is>
      </c>
      <c r="D3229" t="n">
        <v>63</v>
      </c>
    </row>
    <row r="3230">
      <c r="A3230" t="inlineStr">
        <is>
          <t>ED203300</t>
        </is>
      </c>
      <c r="B3230" s="56" t="n">
        <v>45486.64791666667</v>
      </c>
      <c r="C3230" t="inlineStr">
        <is>
          <t>Bluestone Memorial Hospital</t>
        </is>
      </c>
      <c r="D3230" t="n">
        <v>45</v>
      </c>
    </row>
    <row r="3231">
      <c r="A3231" t="inlineStr">
        <is>
          <t>ED203301</t>
        </is>
      </c>
      <c r="B3231" s="56" t="n">
        <v>45486.725</v>
      </c>
      <c r="C3231" t="inlineStr">
        <is>
          <t>Cedar Ridge Medical Center</t>
        </is>
      </c>
      <c r="D3231" t="n">
        <v>49</v>
      </c>
    </row>
    <row r="3232">
      <c r="A3232" t="inlineStr">
        <is>
          <t>ED203302</t>
        </is>
      </c>
      <c r="B3232" s="56" t="n">
        <v>45486.73333333333</v>
      </c>
      <c r="C3232" t="inlineStr">
        <is>
          <t>Bluestone Memorial Hospital</t>
        </is>
      </c>
      <c r="D3232" t="n">
        <v>35</v>
      </c>
    </row>
    <row r="3233">
      <c r="A3233" t="inlineStr">
        <is>
          <t>ED203303</t>
        </is>
      </c>
      <c r="B3233" s="56" t="n">
        <v>45486.75277777778</v>
      </c>
      <c r="C3233" t="inlineStr">
        <is>
          <t>Bluestone Memorial Hospital</t>
        </is>
      </c>
      <c r="D3233" t="n">
        <v>14</v>
      </c>
    </row>
    <row r="3234">
      <c r="A3234" t="inlineStr">
        <is>
          <t>ED203304</t>
        </is>
      </c>
      <c r="B3234" s="56" t="n">
        <v>45486.78472222222</v>
      </c>
      <c r="C3234" t="inlineStr">
        <is>
          <t>Bluestone Memorial Hospital</t>
        </is>
      </c>
      <c r="D3234" t="n">
        <v>16</v>
      </c>
    </row>
    <row r="3235">
      <c r="A3235" t="inlineStr">
        <is>
          <t>ED203305</t>
        </is>
      </c>
      <c r="B3235" s="56" t="n">
        <v>45486.98125</v>
      </c>
      <c r="C3235" t="inlineStr">
        <is>
          <t>Cedar Ridge Medical Center</t>
        </is>
      </c>
      <c r="D3235" t="n">
        <v>70</v>
      </c>
    </row>
    <row r="3236">
      <c r="A3236" t="inlineStr">
        <is>
          <t>ED203306</t>
        </is>
      </c>
      <c r="B3236" s="56" t="n">
        <v>45487.06875</v>
      </c>
      <c r="C3236" t="inlineStr">
        <is>
          <t>Bluestone Memorial Hospital</t>
        </is>
      </c>
      <c r="D3236" t="n">
        <v>23</v>
      </c>
    </row>
    <row r="3237">
      <c r="A3237" t="inlineStr">
        <is>
          <t>ED203307</t>
        </is>
      </c>
      <c r="B3237" s="56" t="n">
        <v>45487.28819444445</v>
      </c>
      <c r="C3237" t="inlineStr">
        <is>
          <t>Bluestone Memorial Hospital</t>
        </is>
      </c>
      <c r="D3237" t="n">
        <v>23</v>
      </c>
    </row>
    <row r="3238">
      <c r="A3238" t="inlineStr">
        <is>
          <t>ED203308</t>
        </is>
      </c>
      <c r="B3238" s="56" t="n">
        <v>45487.29861111111</v>
      </c>
      <c r="C3238" t="inlineStr">
        <is>
          <t>Bluestone Memorial Hospital</t>
        </is>
      </c>
      <c r="D3238" t="n">
        <v>18</v>
      </c>
    </row>
    <row r="3239">
      <c r="A3239" t="inlineStr">
        <is>
          <t>ED203309</t>
        </is>
      </c>
      <c r="B3239" s="56" t="n">
        <v>45487.37916666667</v>
      </c>
      <c r="C3239" t="inlineStr">
        <is>
          <t>Ashby Falls Community Hospital</t>
        </is>
      </c>
      <c r="D3239" t="n">
        <v>23</v>
      </c>
    </row>
    <row r="3240">
      <c r="A3240" t="inlineStr">
        <is>
          <t>ED203310</t>
        </is>
      </c>
      <c r="B3240" s="56" t="n">
        <v>45487.39027777778</v>
      </c>
      <c r="C3240" t="inlineStr">
        <is>
          <t>Bluestone Memorial Hospital</t>
        </is>
      </c>
      <c r="D3240" t="n">
        <v>69</v>
      </c>
    </row>
    <row r="3241">
      <c r="A3241" t="inlineStr">
        <is>
          <t>ED203311</t>
        </is>
      </c>
      <c r="B3241" s="56" t="n">
        <v>45487.46111111111</v>
      </c>
      <c r="C3241" t="inlineStr">
        <is>
          <t>Cedar Ridge Medical Center</t>
        </is>
      </c>
      <c r="D3241" t="n">
        <v>20</v>
      </c>
    </row>
    <row r="3242">
      <c r="A3242" t="inlineStr">
        <is>
          <t>ED203312</t>
        </is>
      </c>
      <c r="B3242" s="56" t="n">
        <v>45487.47986111111</v>
      </c>
      <c r="C3242" t="inlineStr">
        <is>
          <t>Ashby Falls Community Hospital</t>
        </is>
      </c>
      <c r="D3242" t="n">
        <v>58</v>
      </c>
    </row>
    <row r="3243">
      <c r="A3243" t="inlineStr">
        <is>
          <t>ED203313</t>
        </is>
      </c>
      <c r="B3243" s="56" t="n">
        <v>45487.5125</v>
      </c>
      <c r="C3243" t="inlineStr">
        <is>
          <t>Cedar Ridge Medical Center</t>
        </is>
      </c>
      <c r="D3243" t="n">
        <v>23</v>
      </c>
    </row>
    <row r="3244">
      <c r="A3244" t="inlineStr">
        <is>
          <t>ED203314</t>
        </is>
      </c>
      <c r="B3244" s="56" t="n">
        <v>45487.78541666667</v>
      </c>
      <c r="C3244" t="inlineStr">
        <is>
          <t>Bluestone Memorial Hospital</t>
        </is>
      </c>
      <c r="D3244" t="n">
        <v>72</v>
      </c>
    </row>
    <row r="3245">
      <c r="A3245" t="inlineStr">
        <is>
          <t>ED203315</t>
        </is>
      </c>
      <c r="B3245" s="56" t="n">
        <v>45487.86944444444</v>
      </c>
      <c r="C3245" t="inlineStr">
        <is>
          <t>Ashby Falls Community Hospital</t>
        </is>
      </c>
      <c r="D3245" t="n">
        <v>10</v>
      </c>
    </row>
    <row r="3246">
      <c r="A3246" t="inlineStr">
        <is>
          <t>ED203316</t>
        </is>
      </c>
      <c r="B3246" s="56" t="n">
        <v>45487.87986111111</v>
      </c>
      <c r="C3246" t="inlineStr">
        <is>
          <t>Bluestone Memorial Hospital</t>
        </is>
      </c>
      <c r="D3246" t="n">
        <v>21</v>
      </c>
    </row>
    <row r="3247">
      <c r="A3247" t="inlineStr">
        <is>
          <t>ED203317</t>
        </is>
      </c>
      <c r="B3247" s="56" t="n">
        <v>45488.10833333333</v>
      </c>
      <c r="C3247" t="inlineStr">
        <is>
          <t>Bluestone Memorial Hospital</t>
        </is>
      </c>
      <c r="D3247" t="n">
        <v>10</v>
      </c>
    </row>
    <row r="3248">
      <c r="A3248" t="inlineStr">
        <is>
          <t>ED203318</t>
        </is>
      </c>
      <c r="B3248" s="56" t="n">
        <v>45488.19097222222</v>
      </c>
      <c r="C3248" t="inlineStr">
        <is>
          <t>Cedar Ridge Medical Center</t>
        </is>
      </c>
      <c r="D3248" t="n">
        <v>14</v>
      </c>
    </row>
    <row r="3249">
      <c r="A3249" t="inlineStr">
        <is>
          <t>ED203319</t>
        </is>
      </c>
      <c r="B3249" s="56" t="n">
        <v>45488.28680555556</v>
      </c>
      <c r="C3249" t="inlineStr">
        <is>
          <t>Bluestone Memorial Hospital</t>
        </is>
      </c>
      <c r="D3249" t="n">
        <v>14</v>
      </c>
    </row>
    <row r="3250">
      <c r="A3250" t="inlineStr">
        <is>
          <t>ED203320</t>
        </is>
      </c>
      <c r="B3250" s="56" t="n">
        <v>45488.37569444445</v>
      </c>
      <c r="C3250" t="inlineStr">
        <is>
          <t>Bluestone Memorial Hospital</t>
        </is>
      </c>
      <c r="D3250" t="n">
        <v>66</v>
      </c>
    </row>
    <row r="3251">
      <c r="A3251" t="inlineStr">
        <is>
          <t>ED203321</t>
        </is>
      </c>
      <c r="B3251" s="56" t="n">
        <v>45488.41875</v>
      </c>
      <c r="C3251" t="inlineStr">
        <is>
          <t>Bluestone Memorial Hospital</t>
        </is>
      </c>
      <c r="D3251" t="n">
        <v>74</v>
      </c>
    </row>
    <row r="3252">
      <c r="A3252" t="inlineStr">
        <is>
          <t>ED203322</t>
        </is>
      </c>
      <c r="B3252" s="56" t="n">
        <v>45488.44027777778</v>
      </c>
      <c r="C3252" t="inlineStr">
        <is>
          <t>Cedar Ridge Medical Center</t>
        </is>
      </c>
      <c r="D3252" t="n">
        <v>24</v>
      </c>
    </row>
    <row r="3253">
      <c r="A3253" t="inlineStr">
        <is>
          <t>ED203323</t>
        </is>
      </c>
      <c r="B3253" s="56" t="n">
        <v>45488.46944444445</v>
      </c>
      <c r="C3253" t="inlineStr">
        <is>
          <t>Ashby Falls Community Hospital</t>
        </is>
      </c>
      <c r="D3253" t="n">
        <v>117</v>
      </c>
    </row>
    <row r="3254">
      <c r="A3254" t="inlineStr">
        <is>
          <t>ED203324</t>
        </is>
      </c>
      <c r="B3254" s="56" t="n">
        <v>45488.47708333333</v>
      </c>
      <c r="C3254" t="inlineStr">
        <is>
          <t>Ashby Falls Community Hospital</t>
        </is>
      </c>
      <c r="D3254" t="n">
        <v>31</v>
      </c>
    </row>
    <row r="3255">
      <c r="A3255" t="inlineStr">
        <is>
          <t>ED203325</t>
        </is>
      </c>
      <c r="B3255" s="56" t="n">
        <v>45488.51180555556</v>
      </c>
      <c r="C3255" t="inlineStr">
        <is>
          <t>Bluestone Memorial Hospital</t>
        </is>
      </c>
      <c r="D3255" t="n">
        <v>105</v>
      </c>
    </row>
    <row r="3256">
      <c r="A3256" t="inlineStr">
        <is>
          <t>ED203326</t>
        </is>
      </c>
      <c r="B3256" s="56" t="n">
        <v>45488.53472222222</v>
      </c>
      <c r="C3256" t="inlineStr">
        <is>
          <t>Bluestone Memorial Hospital</t>
        </is>
      </c>
      <c r="D3256" t="n">
        <v>19</v>
      </c>
    </row>
    <row r="3257">
      <c r="A3257" t="inlineStr">
        <is>
          <t>ED203327</t>
        </is>
      </c>
      <c r="B3257" s="56" t="n">
        <v>45488.55</v>
      </c>
      <c r="C3257" t="inlineStr">
        <is>
          <t>Bluestone Memorial Hospital</t>
        </is>
      </c>
      <c r="D3257" t="n">
        <v>179</v>
      </c>
    </row>
    <row r="3258">
      <c r="A3258" t="inlineStr">
        <is>
          <t>ED203328</t>
        </is>
      </c>
      <c r="B3258" s="56" t="n">
        <v>45488.66805555556</v>
      </c>
      <c r="C3258" t="inlineStr">
        <is>
          <t>Cedar Ridge Medical Center</t>
        </is>
      </c>
      <c r="D3258" t="n">
        <v>50</v>
      </c>
    </row>
    <row r="3259">
      <c r="A3259" t="inlineStr">
        <is>
          <t>ED203329</t>
        </is>
      </c>
      <c r="B3259" s="56" t="n">
        <v>45488.67291666667</v>
      </c>
      <c r="C3259" t="inlineStr">
        <is>
          <t>Bluestone Memorial Hospital</t>
        </is>
      </c>
      <c r="D3259" t="n">
        <v>71</v>
      </c>
    </row>
    <row r="3260">
      <c r="A3260" t="inlineStr">
        <is>
          <t>ED203330</t>
        </is>
      </c>
      <c r="B3260" s="56" t="n">
        <v>45488.69166666667</v>
      </c>
      <c r="C3260" t="inlineStr">
        <is>
          <t>Bluestone Memorial Hospital</t>
        </is>
      </c>
      <c r="D3260" t="n">
        <v>47</v>
      </c>
    </row>
    <row r="3261">
      <c r="A3261" t="inlineStr">
        <is>
          <t>ED203331</t>
        </is>
      </c>
      <c r="B3261" s="56" t="n">
        <v>45488.77777777778</v>
      </c>
      <c r="C3261" t="inlineStr">
        <is>
          <t>Bluestone Memorial Hospital</t>
        </is>
      </c>
      <c r="D3261" t="n">
        <v>21</v>
      </c>
    </row>
    <row r="3262">
      <c r="A3262" t="inlineStr">
        <is>
          <t>ED203332</t>
        </is>
      </c>
      <c r="B3262" s="56" t="n">
        <v>45488.81736111111</v>
      </c>
      <c r="C3262" t="inlineStr">
        <is>
          <t>Bluestone Memorial Hospital</t>
        </is>
      </c>
      <c r="D3262" t="n">
        <v>28</v>
      </c>
    </row>
    <row r="3263">
      <c r="A3263" t="inlineStr">
        <is>
          <t>ED203333</t>
        </is>
      </c>
      <c r="B3263" s="56" t="n">
        <v>45488.89305555556</v>
      </c>
      <c r="C3263" t="inlineStr">
        <is>
          <t>Bluestone Memorial Hospital</t>
        </is>
      </c>
      <c r="D3263" t="n">
        <v>62</v>
      </c>
    </row>
    <row r="3264">
      <c r="A3264" t="inlineStr">
        <is>
          <t>ED203334</t>
        </is>
      </c>
      <c r="B3264" s="56" t="n">
        <v>45488.90902777778</v>
      </c>
      <c r="C3264" t="inlineStr">
        <is>
          <t>Cedar Ridge Medical Center</t>
        </is>
      </c>
      <c r="D3264" t="n">
        <v>27</v>
      </c>
    </row>
    <row r="3265">
      <c r="A3265" t="inlineStr">
        <is>
          <t>ED203335</t>
        </is>
      </c>
      <c r="B3265" s="56" t="n">
        <v>45488.91527777778</v>
      </c>
      <c r="C3265" t="inlineStr">
        <is>
          <t>Bluestone Memorial Hospital</t>
        </is>
      </c>
      <c r="D3265" t="n">
        <v>92</v>
      </c>
    </row>
    <row r="3266">
      <c r="A3266" t="inlineStr">
        <is>
          <t>ED203336</t>
        </is>
      </c>
      <c r="B3266" s="56" t="n">
        <v>45489.02569444444</v>
      </c>
      <c r="C3266" t="inlineStr">
        <is>
          <t>Bluestone Memorial Hospital</t>
        </is>
      </c>
      <c r="D3266" t="n">
        <v>76</v>
      </c>
    </row>
    <row r="3267">
      <c r="A3267" t="inlineStr">
        <is>
          <t>ED203337</t>
        </is>
      </c>
      <c r="B3267" s="56" t="n">
        <v>45489.33611111111</v>
      </c>
      <c r="C3267" t="inlineStr">
        <is>
          <t>Cedar Ridge Medical Center</t>
        </is>
      </c>
      <c r="D3267" t="n">
        <v>15</v>
      </c>
    </row>
    <row r="3268">
      <c r="A3268" t="inlineStr">
        <is>
          <t>ED203338</t>
        </is>
      </c>
      <c r="B3268" s="56" t="n">
        <v>45489.44375</v>
      </c>
      <c r="C3268" t="inlineStr">
        <is>
          <t>Ashby Falls Community Hospital</t>
        </is>
      </c>
      <c r="D3268" t="n">
        <v>19</v>
      </c>
    </row>
    <row r="3269">
      <c r="A3269" t="inlineStr">
        <is>
          <t>ED203339</t>
        </is>
      </c>
      <c r="B3269" s="56" t="n">
        <v>45489.53055555555</v>
      </c>
      <c r="C3269" t="inlineStr">
        <is>
          <t>Bluestone Memorial Hospital</t>
        </is>
      </c>
      <c r="D3269" t="n">
        <v>48</v>
      </c>
    </row>
    <row r="3270">
      <c r="A3270" t="inlineStr">
        <is>
          <t>ED203340</t>
        </is>
      </c>
      <c r="B3270" s="56" t="n">
        <v>45489.64583333334</v>
      </c>
      <c r="C3270" t="inlineStr">
        <is>
          <t>Cedar Ridge Medical Center</t>
        </is>
      </c>
      <c r="D3270" t="n">
        <v>39</v>
      </c>
    </row>
    <row r="3271">
      <c r="A3271" t="inlineStr">
        <is>
          <t>ED203341</t>
        </is>
      </c>
      <c r="B3271" s="56" t="n">
        <v>45489.69097222222</v>
      </c>
      <c r="C3271" t="inlineStr">
        <is>
          <t>Bluestone Memorial Hospital</t>
        </is>
      </c>
      <c r="D3271" t="n">
        <v>22</v>
      </c>
    </row>
    <row r="3272">
      <c r="A3272" t="inlineStr">
        <is>
          <t>ED203342</t>
        </is>
      </c>
      <c r="B3272" s="56" t="n">
        <v>45489.82152777778</v>
      </c>
      <c r="C3272" t="inlineStr">
        <is>
          <t>Bluestone Memorial Hospital</t>
        </is>
      </c>
      <c r="D3272" t="n">
        <v>41</v>
      </c>
    </row>
    <row r="3273">
      <c r="A3273" t="inlineStr">
        <is>
          <t>ED203343</t>
        </is>
      </c>
      <c r="B3273" s="56" t="n">
        <v>45490.33611111111</v>
      </c>
      <c r="C3273" t="inlineStr">
        <is>
          <t>Bluestone Memorial Hospital</t>
        </is>
      </c>
      <c r="D3273" t="n">
        <v>24</v>
      </c>
    </row>
    <row r="3274">
      <c r="A3274" t="inlineStr">
        <is>
          <t>ED203344</t>
        </is>
      </c>
      <c r="B3274" s="56" t="n">
        <v>45490.37777777778</v>
      </c>
      <c r="C3274" t="inlineStr">
        <is>
          <t>Bluestone Memorial Hospital</t>
        </is>
      </c>
      <c r="D3274" t="n">
        <v>13</v>
      </c>
    </row>
    <row r="3275">
      <c r="A3275" t="inlineStr">
        <is>
          <t>ED203345</t>
        </is>
      </c>
      <c r="B3275" s="56" t="n">
        <v>45490.39583333334</v>
      </c>
      <c r="C3275" t="inlineStr">
        <is>
          <t>Bluestone Memorial Hospital</t>
        </is>
      </c>
      <c r="D3275" t="n">
        <v>24</v>
      </c>
    </row>
    <row r="3276">
      <c r="A3276" t="inlineStr">
        <is>
          <t>ED203346</t>
        </is>
      </c>
      <c r="B3276" s="56" t="n">
        <v>45490.45138888889</v>
      </c>
      <c r="C3276" t="inlineStr">
        <is>
          <t>Bluestone Memorial Hospital</t>
        </is>
      </c>
      <c r="D3276" t="n">
        <v>44</v>
      </c>
    </row>
    <row r="3277">
      <c r="A3277" t="inlineStr">
        <is>
          <t>ED203347</t>
        </is>
      </c>
      <c r="B3277" s="56" t="n">
        <v>45490.45694444444</v>
      </c>
      <c r="C3277" t="inlineStr">
        <is>
          <t>Cedar Ridge Medical Center</t>
        </is>
      </c>
      <c r="D3277" t="n">
        <v>45</v>
      </c>
    </row>
    <row r="3278">
      <c r="A3278" t="inlineStr">
        <is>
          <t>ED203348</t>
        </is>
      </c>
      <c r="B3278" s="56" t="n">
        <v>45490.51527777778</v>
      </c>
      <c r="C3278" t="inlineStr">
        <is>
          <t>Bluestone Memorial Hospital</t>
        </is>
      </c>
      <c r="D3278" t="n">
        <v>60</v>
      </c>
    </row>
    <row r="3279">
      <c r="A3279" t="inlineStr">
        <is>
          <t>ED203349</t>
        </is>
      </c>
      <c r="B3279" s="56" t="n">
        <v>45490.52430555555</v>
      </c>
      <c r="C3279" t="inlineStr">
        <is>
          <t>Bluestone Memorial Hospital</t>
        </is>
      </c>
      <c r="D3279" t="n">
        <v>39</v>
      </c>
    </row>
    <row r="3280">
      <c r="A3280" t="inlineStr">
        <is>
          <t>ED203350</t>
        </is>
      </c>
      <c r="B3280" s="56" t="n">
        <v>45490.56666666667</v>
      </c>
      <c r="C3280" t="inlineStr">
        <is>
          <t>Ashby Falls Community Hospital</t>
        </is>
      </c>
      <c r="D3280" t="n">
        <v>116</v>
      </c>
    </row>
    <row r="3281">
      <c r="A3281" t="inlineStr">
        <is>
          <t>ED203351</t>
        </is>
      </c>
      <c r="B3281" s="56" t="n">
        <v>45490.57152777778</v>
      </c>
      <c r="C3281" t="inlineStr">
        <is>
          <t>Bluestone Memorial Hospital</t>
        </is>
      </c>
      <c r="D3281" t="n">
        <v>101</v>
      </c>
    </row>
    <row r="3282">
      <c r="A3282" t="inlineStr">
        <is>
          <t>ED203352</t>
        </is>
      </c>
      <c r="B3282" s="56" t="n">
        <v>45490.59722222222</v>
      </c>
      <c r="C3282" t="inlineStr">
        <is>
          <t>Bluestone Memorial Hospital</t>
        </is>
      </c>
      <c r="D3282" t="n">
        <v>17</v>
      </c>
    </row>
    <row r="3283">
      <c r="A3283" t="inlineStr">
        <is>
          <t>ED203353</t>
        </is>
      </c>
      <c r="B3283" s="56" t="n">
        <v>45490.72291666667</v>
      </c>
      <c r="C3283" t="inlineStr">
        <is>
          <t>Bluestone Memorial Hospital</t>
        </is>
      </c>
      <c r="D3283" t="n">
        <v>29</v>
      </c>
    </row>
    <row r="3284">
      <c r="A3284" t="inlineStr">
        <is>
          <t>ED203354</t>
        </is>
      </c>
      <c r="B3284" s="56" t="n">
        <v>45490.80347222222</v>
      </c>
      <c r="C3284" t="inlineStr">
        <is>
          <t>Bluestone Memorial Hospital</t>
        </is>
      </c>
      <c r="D3284" t="n">
        <v>32</v>
      </c>
    </row>
    <row r="3285">
      <c r="A3285" t="inlineStr">
        <is>
          <t>ED203355</t>
        </is>
      </c>
      <c r="B3285" s="56" t="n">
        <v>45490.81875</v>
      </c>
      <c r="C3285" t="inlineStr">
        <is>
          <t>Bluestone Memorial Hospital</t>
        </is>
      </c>
      <c r="D3285" t="n">
        <v>30</v>
      </c>
    </row>
    <row r="3286">
      <c r="A3286" t="inlineStr">
        <is>
          <t>ED203356</t>
        </is>
      </c>
      <c r="B3286" s="56" t="n">
        <v>45490.89861111111</v>
      </c>
      <c r="C3286" t="inlineStr">
        <is>
          <t>Bluestone Memorial Hospital</t>
        </is>
      </c>
      <c r="D3286" t="n">
        <v>27</v>
      </c>
    </row>
    <row r="3287">
      <c r="A3287" t="inlineStr">
        <is>
          <t>ED203357</t>
        </is>
      </c>
      <c r="B3287" s="56" t="n">
        <v>45490.96388888889</v>
      </c>
      <c r="C3287" t="inlineStr">
        <is>
          <t>Bluestone Memorial Hospital</t>
        </is>
      </c>
      <c r="D3287" t="n">
        <v>22</v>
      </c>
    </row>
    <row r="3288">
      <c r="A3288" t="inlineStr">
        <is>
          <t>ED203358</t>
        </is>
      </c>
      <c r="B3288" s="56" t="n">
        <v>45490.97916666666</v>
      </c>
      <c r="C3288" t="inlineStr">
        <is>
          <t>Bluestone Memorial Hospital</t>
        </is>
      </c>
      <c r="D3288" t="n">
        <v>43</v>
      </c>
    </row>
    <row r="3289">
      <c r="A3289" t="inlineStr">
        <is>
          <t>ED203359</t>
        </is>
      </c>
      <c r="B3289" s="56" t="n">
        <v>45491.06805555556</v>
      </c>
      <c r="C3289" t="inlineStr">
        <is>
          <t>Bluestone Memorial Hospital</t>
        </is>
      </c>
      <c r="D3289" t="n">
        <v>21</v>
      </c>
    </row>
    <row r="3290">
      <c r="A3290" t="inlineStr">
        <is>
          <t>ED203360</t>
        </is>
      </c>
      <c r="B3290" s="56" t="n">
        <v>45491.18611111111</v>
      </c>
      <c r="C3290" t="inlineStr">
        <is>
          <t>Cedar Ridge Medical Center</t>
        </is>
      </c>
      <c r="D3290" t="n">
        <v>4</v>
      </c>
    </row>
    <row r="3291">
      <c r="A3291" t="inlineStr">
        <is>
          <t>ED203361</t>
        </is>
      </c>
      <c r="B3291" s="56" t="n">
        <v>45491.32986111111</v>
      </c>
      <c r="C3291" t="inlineStr">
        <is>
          <t>Bluestone Memorial Hospital</t>
        </is>
      </c>
      <c r="D3291" t="n">
        <v>3</v>
      </c>
    </row>
    <row r="3292">
      <c r="A3292" t="inlineStr">
        <is>
          <t>ED203362</t>
        </is>
      </c>
      <c r="B3292" s="56" t="n">
        <v>45491.35486111111</v>
      </c>
      <c r="C3292" t="inlineStr">
        <is>
          <t>Bluestone Memorial Hospital</t>
        </is>
      </c>
      <c r="D3292" t="n">
        <v>9</v>
      </c>
    </row>
    <row r="3293">
      <c r="A3293" t="inlineStr">
        <is>
          <t>ED203363</t>
        </is>
      </c>
      <c r="B3293" s="56" t="n">
        <v>45491.43333333333</v>
      </c>
      <c r="C3293" t="inlineStr">
        <is>
          <t>Bluestone Memorial Hospital</t>
        </is>
      </c>
      <c r="D3293" t="n">
        <v>30</v>
      </c>
    </row>
    <row r="3294">
      <c r="A3294" t="inlineStr">
        <is>
          <t>ED203364</t>
        </is>
      </c>
      <c r="B3294" s="56" t="n">
        <v>45491.47152777778</v>
      </c>
      <c r="C3294" t="inlineStr">
        <is>
          <t>Bluestone Memorial Hospital</t>
        </is>
      </c>
      <c r="D3294" t="n">
        <v>12</v>
      </c>
    </row>
    <row r="3295">
      <c r="A3295" t="inlineStr">
        <is>
          <t>ED203365</t>
        </is>
      </c>
      <c r="B3295" s="56" t="n">
        <v>45491.52638888889</v>
      </c>
      <c r="C3295" t="inlineStr">
        <is>
          <t>Bluestone Memorial Hospital</t>
        </is>
      </c>
      <c r="D3295" t="n">
        <v>89</v>
      </c>
    </row>
    <row r="3296">
      <c r="A3296" t="inlineStr">
        <is>
          <t>ED203366</t>
        </is>
      </c>
      <c r="B3296" s="56" t="n">
        <v>45491.55555555555</v>
      </c>
      <c r="C3296" t="inlineStr">
        <is>
          <t>Bluestone Memorial Hospital</t>
        </is>
      </c>
      <c r="D3296" t="n">
        <v>22</v>
      </c>
    </row>
    <row r="3297">
      <c r="A3297" t="inlineStr">
        <is>
          <t>ED203367</t>
        </is>
      </c>
      <c r="B3297" s="56" t="n">
        <v>45491.59236111111</v>
      </c>
      <c r="C3297" t="inlineStr">
        <is>
          <t>Bluestone Memorial Hospital</t>
        </is>
      </c>
      <c r="D3297" t="n">
        <v>30</v>
      </c>
    </row>
    <row r="3298">
      <c r="A3298" t="inlineStr">
        <is>
          <t>ED203368</t>
        </is>
      </c>
      <c r="B3298" s="56" t="n">
        <v>45491.64513888889</v>
      </c>
      <c r="C3298" t="inlineStr">
        <is>
          <t>Bluestone Memorial Hospital</t>
        </is>
      </c>
      <c r="D3298" t="n">
        <v>18</v>
      </c>
    </row>
    <row r="3299">
      <c r="A3299" t="inlineStr">
        <is>
          <t>ED203369</t>
        </is>
      </c>
      <c r="B3299" s="56" t="n">
        <v>45491.66805555556</v>
      </c>
      <c r="C3299" t="inlineStr">
        <is>
          <t>Ashby Falls Community Hospital</t>
        </is>
      </c>
      <c r="D3299" t="n">
        <v>147</v>
      </c>
    </row>
    <row r="3300">
      <c r="A3300" t="inlineStr">
        <is>
          <t>ED203370</t>
        </is>
      </c>
      <c r="B3300" s="56" t="n">
        <v>45491.68680555555</v>
      </c>
      <c r="C3300" t="inlineStr">
        <is>
          <t>Bluestone Memorial Hospital</t>
        </is>
      </c>
      <c r="D3300" t="n">
        <v>19</v>
      </c>
    </row>
    <row r="3301">
      <c r="A3301" t="inlineStr">
        <is>
          <t>ED203371</t>
        </is>
      </c>
      <c r="B3301" s="56" t="n">
        <v>45491.80416666667</v>
      </c>
      <c r="C3301" t="inlineStr">
        <is>
          <t>Ashby Falls Community Hospital</t>
        </is>
      </c>
      <c r="D3301" t="n">
        <v>49</v>
      </c>
    </row>
    <row r="3302">
      <c r="A3302" t="inlineStr">
        <is>
          <t>ED203372</t>
        </is>
      </c>
      <c r="B3302" s="56" t="n">
        <v>45491.92708333334</v>
      </c>
      <c r="C3302" t="inlineStr">
        <is>
          <t>Bluestone Memorial Hospital</t>
        </is>
      </c>
      <c r="D3302" t="n">
        <v>11</v>
      </c>
    </row>
    <row r="3303">
      <c r="A3303" t="inlineStr">
        <is>
          <t>ED203373</t>
        </is>
      </c>
      <c r="B3303" s="56" t="n">
        <v>45492.05416666667</v>
      </c>
      <c r="C3303" t="inlineStr">
        <is>
          <t>Bluestone Memorial Hospital</t>
        </is>
      </c>
      <c r="D3303" t="n">
        <v>17</v>
      </c>
    </row>
    <row r="3304">
      <c r="A3304" t="inlineStr">
        <is>
          <t>ED203374</t>
        </is>
      </c>
      <c r="B3304" s="56" t="n">
        <v>45492.24930555555</v>
      </c>
      <c r="C3304" t="inlineStr">
        <is>
          <t>Cedar Ridge Medical Center</t>
        </is>
      </c>
      <c r="D3304" t="n">
        <v>16</v>
      </c>
    </row>
    <row r="3305">
      <c r="A3305" t="inlineStr">
        <is>
          <t>ED203375</t>
        </is>
      </c>
      <c r="B3305" s="56" t="n">
        <v>45492.34375</v>
      </c>
      <c r="C3305" t="inlineStr">
        <is>
          <t>Bluestone Memorial Hospital</t>
        </is>
      </c>
      <c r="D3305" t="n">
        <v>29</v>
      </c>
    </row>
    <row r="3306">
      <c r="A3306" t="inlineStr">
        <is>
          <t>ED203376</t>
        </is>
      </c>
      <c r="B3306" s="56" t="n">
        <v>45492.35</v>
      </c>
      <c r="C3306" t="inlineStr">
        <is>
          <t>Bluestone Memorial Hospital</t>
        </is>
      </c>
      <c r="D3306" t="n">
        <v>34</v>
      </c>
    </row>
    <row r="3307">
      <c r="A3307" t="inlineStr">
        <is>
          <t>ED203377</t>
        </is>
      </c>
      <c r="B3307" s="56" t="n">
        <v>45492.35208333333</v>
      </c>
      <c r="C3307" t="inlineStr">
        <is>
          <t>Bluestone Memorial Hospital</t>
        </is>
      </c>
      <c r="D3307" t="n">
        <v>7</v>
      </c>
    </row>
    <row r="3308">
      <c r="A3308" t="inlineStr">
        <is>
          <t>ED203378</t>
        </is>
      </c>
      <c r="B3308" s="56" t="n">
        <v>45492.41666666666</v>
      </c>
      <c r="C3308" t="inlineStr">
        <is>
          <t>Bluestone Memorial Hospital</t>
        </is>
      </c>
      <c r="D3308" t="n">
        <v>18</v>
      </c>
    </row>
    <row r="3309">
      <c r="A3309" t="inlineStr">
        <is>
          <t>ED203379</t>
        </is>
      </c>
      <c r="B3309" s="56" t="n">
        <v>45492.43888888889</v>
      </c>
      <c r="C3309" t="inlineStr">
        <is>
          <t>Bluestone Memorial Hospital</t>
        </is>
      </c>
      <c r="D3309" t="n">
        <v>24</v>
      </c>
    </row>
    <row r="3310">
      <c r="A3310" t="inlineStr">
        <is>
          <t>ED203380</t>
        </is>
      </c>
      <c r="B3310" s="56" t="n">
        <v>45492.47152777778</v>
      </c>
      <c r="C3310" t="inlineStr">
        <is>
          <t>Ashby Falls Community Hospital</t>
        </is>
      </c>
      <c r="D3310" t="n">
        <v>39</v>
      </c>
    </row>
    <row r="3311">
      <c r="A3311" t="inlineStr">
        <is>
          <t>ED203381</t>
        </is>
      </c>
      <c r="B3311" s="56" t="n">
        <v>45492.48472222222</v>
      </c>
      <c r="C3311" t="inlineStr">
        <is>
          <t>Bluestone Memorial Hospital</t>
        </is>
      </c>
      <c r="D3311" t="n">
        <v>5</v>
      </c>
    </row>
    <row r="3312">
      <c r="A3312" t="inlineStr">
        <is>
          <t>ED203383</t>
        </is>
      </c>
      <c r="B3312" s="56" t="n">
        <v>45492.52638888889</v>
      </c>
      <c r="C3312" t="inlineStr">
        <is>
          <t>Cedar Ridge Medical Center</t>
        </is>
      </c>
      <c r="D3312" t="n">
        <v>43</v>
      </c>
    </row>
    <row r="3313">
      <c r="A3313" t="inlineStr">
        <is>
          <t>ED203384</t>
        </is>
      </c>
      <c r="B3313" s="56" t="n">
        <v>45492.53611111111</v>
      </c>
      <c r="C3313" t="inlineStr">
        <is>
          <t>Bluestone Memorial Hospital</t>
        </is>
      </c>
      <c r="D3313" t="n">
        <v>64</v>
      </c>
    </row>
    <row r="3314">
      <c r="A3314" t="inlineStr">
        <is>
          <t>ED203385</t>
        </is>
      </c>
      <c r="B3314" s="56" t="n">
        <v>45492.72222222222</v>
      </c>
      <c r="C3314" t="inlineStr">
        <is>
          <t>Ashby Falls Community Hospital</t>
        </is>
      </c>
      <c r="D3314" t="n">
        <v>107</v>
      </c>
    </row>
    <row r="3315">
      <c r="A3315" t="inlineStr">
        <is>
          <t>ED203386</t>
        </is>
      </c>
      <c r="B3315" s="56" t="n">
        <v>45492.79305555556</v>
      </c>
      <c r="C3315" t="inlineStr">
        <is>
          <t>Bluestone Memorial Hospital</t>
        </is>
      </c>
      <c r="D3315" t="n">
        <v>35</v>
      </c>
    </row>
    <row r="3316">
      <c r="A3316" t="inlineStr">
        <is>
          <t>ED203387</t>
        </is>
      </c>
      <c r="B3316" s="56" t="n">
        <v>45492.82291666666</v>
      </c>
      <c r="C3316" t="inlineStr">
        <is>
          <t>Cedar Ridge Medical Center</t>
        </is>
      </c>
      <c r="D3316" t="n">
        <v>4</v>
      </c>
    </row>
    <row r="3317">
      <c r="A3317" t="inlineStr">
        <is>
          <t>ED203388</t>
        </is>
      </c>
      <c r="B3317" s="56" t="n">
        <v>45492.85416666666</v>
      </c>
      <c r="C3317" t="inlineStr">
        <is>
          <t>Bluestone Memorial Hospital</t>
        </is>
      </c>
      <c r="D3317" t="n">
        <v>63</v>
      </c>
    </row>
    <row r="3318">
      <c r="A3318" t="inlineStr">
        <is>
          <t>ED203389</t>
        </is>
      </c>
      <c r="B3318" s="56" t="n">
        <v>45492.85555555556</v>
      </c>
      <c r="C3318" t="inlineStr">
        <is>
          <t>Cedar Ridge Medical Center</t>
        </is>
      </c>
      <c r="D3318" t="n">
        <v>7</v>
      </c>
    </row>
    <row r="3319">
      <c r="A3319" t="inlineStr">
        <is>
          <t>ED203390</t>
        </is>
      </c>
      <c r="B3319" s="56" t="n">
        <v>45492.88472222222</v>
      </c>
      <c r="C3319" t="inlineStr">
        <is>
          <t>Cedar Ridge Medical Center</t>
        </is>
      </c>
      <c r="D3319" t="n">
        <v>27</v>
      </c>
    </row>
    <row r="3320">
      <c r="A3320" t="inlineStr">
        <is>
          <t>ED203391</t>
        </is>
      </c>
      <c r="B3320" s="56" t="n">
        <v>45493.27222222222</v>
      </c>
      <c r="C3320" t="inlineStr">
        <is>
          <t>Bluestone Memorial Hospital</t>
        </is>
      </c>
      <c r="D3320" t="n">
        <v>11</v>
      </c>
    </row>
    <row r="3321">
      <c r="A3321" t="inlineStr">
        <is>
          <t>ED203392</t>
        </is>
      </c>
      <c r="B3321" s="56" t="n">
        <v>45493.39027777778</v>
      </c>
      <c r="C3321" t="inlineStr">
        <is>
          <t>Bluestone Memorial Hospital</t>
        </is>
      </c>
      <c r="D3321" t="n">
        <v>78</v>
      </c>
    </row>
    <row r="3322">
      <c r="A3322" t="inlineStr">
        <is>
          <t>ED203393</t>
        </is>
      </c>
      <c r="B3322" s="56" t="n">
        <v>45493.40277777778</v>
      </c>
      <c r="C3322" t="inlineStr">
        <is>
          <t>Bluestone Memorial Hospital</t>
        </is>
      </c>
      <c r="D3322" t="n">
        <v>29</v>
      </c>
    </row>
    <row r="3323">
      <c r="A3323" t="inlineStr">
        <is>
          <t>ED203394</t>
        </is>
      </c>
      <c r="B3323" s="56" t="n">
        <v>45493.49583333333</v>
      </c>
      <c r="C3323" t="inlineStr">
        <is>
          <t>Bluestone Memorial Hospital</t>
        </is>
      </c>
      <c r="D3323" t="n">
        <v>65</v>
      </c>
    </row>
    <row r="3324">
      <c r="A3324" t="inlineStr">
        <is>
          <t>ED203396</t>
        </is>
      </c>
      <c r="B3324" s="56" t="n">
        <v>45493.51805555556</v>
      </c>
      <c r="C3324" t="inlineStr">
        <is>
          <t>Bluestone Memorial Hospital</t>
        </is>
      </c>
      <c r="D3324" t="n">
        <v>15</v>
      </c>
    </row>
    <row r="3325">
      <c r="A3325" t="inlineStr">
        <is>
          <t>ED203397</t>
        </is>
      </c>
      <c r="B3325" s="56" t="n">
        <v>45493.59930555556</v>
      </c>
      <c r="C3325" t="inlineStr">
        <is>
          <t>Bluestone Memorial Hospital</t>
        </is>
      </c>
      <c r="D3325" t="n">
        <v>63</v>
      </c>
    </row>
    <row r="3326">
      <c r="A3326" t="inlineStr">
        <is>
          <t>ED203398</t>
        </is>
      </c>
      <c r="B3326" s="56" t="n">
        <v>45493.61666666667</v>
      </c>
      <c r="C3326" t="inlineStr">
        <is>
          <t>Ashby Falls Community Hospital</t>
        </is>
      </c>
      <c r="D3326" t="n">
        <v>72</v>
      </c>
    </row>
    <row r="3327">
      <c r="A3327" t="inlineStr">
        <is>
          <t>ED203399</t>
        </is>
      </c>
      <c r="B3327" s="56" t="n">
        <v>45493.62916666667</v>
      </c>
      <c r="C3327" t="inlineStr">
        <is>
          <t>Ashby Falls Community Hospital</t>
        </is>
      </c>
      <c r="D3327" t="n">
        <v>42</v>
      </c>
    </row>
    <row r="3328">
      <c r="A3328" t="inlineStr">
        <is>
          <t>ED203400</t>
        </is>
      </c>
      <c r="B3328" s="56" t="n">
        <v>45493.70694444444</v>
      </c>
      <c r="C3328" t="inlineStr">
        <is>
          <t>Bluestone Memorial Hospital</t>
        </is>
      </c>
      <c r="D3328" t="n">
        <v>3</v>
      </c>
    </row>
    <row r="3329">
      <c r="A3329" t="inlineStr">
        <is>
          <t>ED203401</t>
        </is>
      </c>
      <c r="B3329" s="56" t="n">
        <v>45493.85555555556</v>
      </c>
      <c r="C3329" t="inlineStr">
        <is>
          <t>Ashby Falls Community Hospital</t>
        </is>
      </c>
      <c r="D3329" t="n">
        <v>30</v>
      </c>
    </row>
    <row r="3330">
      <c r="A3330" t="inlineStr">
        <is>
          <t>ED203402</t>
        </is>
      </c>
      <c r="B3330" s="56" t="n">
        <v>45494.01180555556</v>
      </c>
      <c r="C3330" t="inlineStr">
        <is>
          <t>Ashby Falls Community Hospital</t>
        </is>
      </c>
      <c r="D3330" t="n">
        <v>17</v>
      </c>
    </row>
    <row r="3331">
      <c r="A3331" t="inlineStr">
        <is>
          <t>ED203403</t>
        </is>
      </c>
      <c r="B3331" s="56" t="n">
        <v>45494.13402777778</v>
      </c>
      <c r="C3331" t="inlineStr">
        <is>
          <t>Cedar Ridge Medical Center</t>
        </is>
      </c>
      <c r="D3331" t="n">
        <v>19</v>
      </c>
    </row>
    <row r="3332">
      <c r="A3332" t="inlineStr">
        <is>
          <t>ED203404</t>
        </is>
      </c>
      <c r="B3332" s="56" t="n">
        <v>45494.15277777778</v>
      </c>
      <c r="C3332" t="inlineStr">
        <is>
          <t>Bluestone Memorial Hospital</t>
        </is>
      </c>
      <c r="D3332" t="n">
        <v>14</v>
      </c>
    </row>
    <row r="3333">
      <c r="A3333" t="inlineStr">
        <is>
          <t>ED203405</t>
        </is>
      </c>
      <c r="B3333" s="56" t="n">
        <v>45494.30069444444</v>
      </c>
      <c r="C3333" t="inlineStr">
        <is>
          <t>Ashby Falls Community Hospital</t>
        </is>
      </c>
      <c r="D3333" t="n">
        <v>165</v>
      </c>
    </row>
    <row r="3334">
      <c r="A3334" t="inlineStr">
        <is>
          <t>ED203406</t>
        </is>
      </c>
      <c r="B3334" s="56" t="n">
        <v>45494.34652777778</v>
      </c>
      <c r="C3334" t="inlineStr">
        <is>
          <t>Bluestone Memorial Hospital</t>
        </is>
      </c>
      <c r="D3334" t="n">
        <v>85</v>
      </c>
    </row>
    <row r="3335">
      <c r="A3335" t="inlineStr">
        <is>
          <t>ED203407</t>
        </is>
      </c>
      <c r="B3335" s="56" t="n">
        <v>45494.42152777778</v>
      </c>
      <c r="C3335" t="inlineStr">
        <is>
          <t>Ashby Falls Community Hospital</t>
        </is>
      </c>
      <c r="D3335" t="n">
        <v>3</v>
      </c>
    </row>
    <row r="3336">
      <c r="A3336" t="inlineStr">
        <is>
          <t>ED203408</t>
        </is>
      </c>
      <c r="B3336" s="56" t="n">
        <v>45494.42361111111</v>
      </c>
      <c r="C3336" t="inlineStr">
        <is>
          <t>Bluestone Memorial Hospital</t>
        </is>
      </c>
      <c r="D3336" t="n">
        <v>32</v>
      </c>
    </row>
    <row r="3337">
      <c r="A3337" t="inlineStr">
        <is>
          <t>ED203409</t>
        </is>
      </c>
      <c r="B3337" s="56" t="n">
        <v>45494.45416666667</v>
      </c>
      <c r="C3337" t="inlineStr">
        <is>
          <t>Bluestone Memorial Hospital</t>
        </is>
      </c>
      <c r="D3337" t="n">
        <v>9</v>
      </c>
    </row>
    <row r="3338">
      <c r="A3338" t="inlineStr">
        <is>
          <t>ED203410</t>
        </is>
      </c>
      <c r="B3338" s="56" t="n">
        <v>45494.51666666667</v>
      </c>
      <c r="C3338" t="inlineStr">
        <is>
          <t>Bluestone Memorial Hospital</t>
        </is>
      </c>
      <c r="D3338" t="n">
        <v>83</v>
      </c>
    </row>
    <row r="3339">
      <c r="A3339" t="inlineStr">
        <is>
          <t>ED203411</t>
        </is>
      </c>
      <c r="B3339" s="56" t="n">
        <v>45494.56111111111</v>
      </c>
      <c r="C3339" t="inlineStr">
        <is>
          <t>Bluestone Memorial Hospital</t>
        </is>
      </c>
      <c r="D3339" t="n">
        <v>22</v>
      </c>
    </row>
    <row r="3340">
      <c r="A3340" t="inlineStr">
        <is>
          <t>ED203412</t>
        </is>
      </c>
      <c r="B3340" s="56" t="n">
        <v>45494.56388888889</v>
      </c>
      <c r="C3340" t="inlineStr">
        <is>
          <t>Bluestone Memorial Hospital</t>
        </is>
      </c>
      <c r="D3340" t="n">
        <v>24</v>
      </c>
    </row>
    <row r="3341">
      <c r="A3341" t="inlineStr">
        <is>
          <t>ED203413</t>
        </is>
      </c>
      <c r="B3341" s="56" t="n">
        <v>45494.56944444445</v>
      </c>
      <c r="C3341" t="inlineStr">
        <is>
          <t>Cedar Ridge Medical Center</t>
        </is>
      </c>
      <c r="D3341" t="n">
        <v>28</v>
      </c>
    </row>
    <row r="3342">
      <c r="A3342" t="inlineStr">
        <is>
          <t>ED203414</t>
        </is>
      </c>
      <c r="B3342" s="56" t="n">
        <v>45494.64861111111</v>
      </c>
      <c r="C3342" t="inlineStr">
        <is>
          <t>Bluestone Memorial Hospital</t>
        </is>
      </c>
      <c r="D3342" t="n">
        <v>14</v>
      </c>
    </row>
    <row r="3343">
      <c r="A3343" t="inlineStr">
        <is>
          <t>ED203415</t>
        </is>
      </c>
      <c r="B3343" s="56" t="n">
        <v>45494.68888888889</v>
      </c>
      <c r="C3343" t="inlineStr">
        <is>
          <t>Bluestone Memorial Hospital</t>
        </is>
      </c>
      <c r="D3343" t="n">
        <v>65</v>
      </c>
    </row>
    <row r="3344">
      <c r="A3344" t="inlineStr">
        <is>
          <t>ED203416</t>
        </is>
      </c>
      <c r="B3344" s="56" t="n">
        <v>45494.69722222222</v>
      </c>
      <c r="C3344" t="inlineStr">
        <is>
          <t>Bluestone Memorial Hospital</t>
        </is>
      </c>
      <c r="D3344" t="n">
        <v>120</v>
      </c>
    </row>
    <row r="3345">
      <c r="A3345" t="inlineStr">
        <is>
          <t>ED203417</t>
        </is>
      </c>
      <c r="B3345" s="56" t="n">
        <v>45494.74791666667</v>
      </c>
      <c r="C3345" t="inlineStr">
        <is>
          <t>Bluestone Memorial Hospital</t>
        </is>
      </c>
      <c r="D3345" t="n">
        <v>60</v>
      </c>
    </row>
    <row r="3346">
      <c r="A3346" t="inlineStr">
        <is>
          <t>ED203418</t>
        </is>
      </c>
      <c r="B3346" s="56" t="n">
        <v>45494.87569444445</v>
      </c>
      <c r="C3346" t="inlineStr">
        <is>
          <t>Bluestone Memorial Hospital</t>
        </is>
      </c>
      <c r="D3346" t="n">
        <v>26</v>
      </c>
    </row>
    <row r="3347">
      <c r="A3347" t="inlineStr">
        <is>
          <t>ED203419</t>
        </is>
      </c>
      <c r="B3347" s="56" t="n">
        <v>45494.89444444444</v>
      </c>
      <c r="C3347" t="inlineStr">
        <is>
          <t>Bluestone Memorial Hospital</t>
        </is>
      </c>
      <c r="D3347" t="n">
        <v>37</v>
      </c>
    </row>
    <row r="3348">
      <c r="A3348" t="inlineStr">
        <is>
          <t>ED203420</t>
        </is>
      </c>
      <c r="B3348" s="56" t="n">
        <v>45495.40972222222</v>
      </c>
      <c r="C3348" t="inlineStr">
        <is>
          <t>Cedar Ridge Medical Center</t>
        </is>
      </c>
      <c r="D3348" t="n">
        <v>54</v>
      </c>
    </row>
    <row r="3349">
      <c r="A3349" t="inlineStr">
        <is>
          <t>ED203421</t>
        </is>
      </c>
      <c r="B3349" s="56" t="n">
        <v>45495.43472222222</v>
      </c>
      <c r="C3349" t="inlineStr">
        <is>
          <t>Cedar Ridge Medical Center</t>
        </is>
      </c>
      <c r="D3349" t="n">
        <v>37</v>
      </c>
    </row>
    <row r="3350">
      <c r="A3350" t="inlineStr">
        <is>
          <t>ED203422</t>
        </is>
      </c>
      <c r="B3350" s="56" t="n">
        <v>45495.43888888889</v>
      </c>
      <c r="C3350" t="inlineStr">
        <is>
          <t>Bluestone Memorial Hospital</t>
        </is>
      </c>
      <c r="D3350" t="n">
        <v>68</v>
      </c>
    </row>
    <row r="3351">
      <c r="A3351" t="inlineStr">
        <is>
          <t>ED203423</t>
        </is>
      </c>
      <c r="B3351" s="56" t="n">
        <v>45495.44791666666</v>
      </c>
      <c r="C3351" t="inlineStr">
        <is>
          <t>Ashby Falls Community Hospital</t>
        </is>
      </c>
      <c r="D3351" t="n">
        <v>23</v>
      </c>
    </row>
    <row r="3352">
      <c r="A3352" t="inlineStr">
        <is>
          <t>ED203424</t>
        </is>
      </c>
      <c r="B3352" s="56" t="n">
        <v>45495.50138888889</v>
      </c>
      <c r="C3352" t="inlineStr">
        <is>
          <t>Bluestone Memorial Hospital</t>
        </is>
      </c>
      <c r="D3352" t="n">
        <v>69</v>
      </c>
    </row>
    <row r="3353">
      <c r="A3353" t="inlineStr">
        <is>
          <t>ED203425</t>
        </is>
      </c>
      <c r="B3353" s="56" t="n">
        <v>45495.51458333333</v>
      </c>
      <c r="C3353" t="inlineStr">
        <is>
          <t>Bluestone Memorial Hospital</t>
        </is>
      </c>
      <c r="D3353" t="n">
        <v>99</v>
      </c>
    </row>
    <row r="3354">
      <c r="A3354" t="inlineStr">
        <is>
          <t>ED203426</t>
        </is>
      </c>
      <c r="B3354" s="56" t="n">
        <v>45495.53888888889</v>
      </c>
      <c r="C3354" t="inlineStr">
        <is>
          <t>Bluestone Memorial Hospital</t>
        </is>
      </c>
      <c r="D3354" t="n">
        <v>64</v>
      </c>
    </row>
    <row r="3355">
      <c r="A3355" t="inlineStr">
        <is>
          <t>ED203427</t>
        </is>
      </c>
      <c r="B3355" s="56" t="n">
        <v>45495.7</v>
      </c>
      <c r="C3355" t="inlineStr">
        <is>
          <t>Bluestone Memorial Hospital</t>
        </is>
      </c>
      <c r="D3355" t="n">
        <v>53</v>
      </c>
    </row>
    <row r="3356">
      <c r="A3356" t="inlineStr">
        <is>
          <t>ED203428</t>
        </is>
      </c>
      <c r="B3356" s="56" t="n">
        <v>45495.72777777778</v>
      </c>
      <c r="C3356" t="inlineStr">
        <is>
          <t>Bluestone Memorial Hospital</t>
        </is>
      </c>
      <c r="D3356" t="n">
        <v>137</v>
      </c>
    </row>
    <row r="3357">
      <c r="A3357" t="inlineStr">
        <is>
          <t>ED203429</t>
        </is>
      </c>
      <c r="B3357" s="56" t="n">
        <v>45495.75625</v>
      </c>
      <c r="C3357" t="inlineStr">
        <is>
          <t>Cedar Ridge Medical Center</t>
        </is>
      </c>
      <c r="D3357" t="n">
        <v>28</v>
      </c>
    </row>
    <row r="3358">
      <c r="A3358" t="inlineStr">
        <is>
          <t>ED203430</t>
        </is>
      </c>
      <c r="B3358" s="56" t="n">
        <v>45495.79027777778</v>
      </c>
      <c r="C3358" t="inlineStr">
        <is>
          <t>Bluestone Memorial Hospital</t>
        </is>
      </c>
      <c r="D3358" t="n">
        <v>209</v>
      </c>
    </row>
    <row r="3359">
      <c r="A3359" t="inlineStr">
        <is>
          <t>ED203431</t>
        </is>
      </c>
      <c r="B3359" s="56" t="n">
        <v>45495.81736111111</v>
      </c>
      <c r="C3359" t="inlineStr">
        <is>
          <t>Bluestone Memorial Hospital</t>
        </is>
      </c>
      <c r="D3359" t="n">
        <v>52</v>
      </c>
    </row>
    <row r="3360">
      <c r="A3360" t="inlineStr">
        <is>
          <t>ED203432</t>
        </is>
      </c>
      <c r="B3360" s="56" t="n">
        <v>45495.83402777778</v>
      </c>
      <c r="C3360" t="inlineStr">
        <is>
          <t>Cedar Ridge Medical Center</t>
        </is>
      </c>
      <c r="D3360" t="n">
        <v>82</v>
      </c>
    </row>
    <row r="3361">
      <c r="A3361" t="inlineStr">
        <is>
          <t>ED203433</t>
        </is>
      </c>
      <c r="B3361" s="56" t="n">
        <v>45495.95625</v>
      </c>
      <c r="C3361" t="inlineStr">
        <is>
          <t>Bluestone Memorial Hospital</t>
        </is>
      </c>
      <c r="D3361" t="n">
        <v>28</v>
      </c>
    </row>
    <row r="3362">
      <c r="A3362" t="inlineStr">
        <is>
          <t>ED203434</t>
        </is>
      </c>
      <c r="B3362" s="56" t="n">
        <v>45496.36388888889</v>
      </c>
      <c r="C3362" t="inlineStr">
        <is>
          <t>Bluestone Memorial Hospital</t>
        </is>
      </c>
      <c r="D3362" t="n">
        <v>22</v>
      </c>
    </row>
    <row r="3363">
      <c r="A3363" t="inlineStr">
        <is>
          <t>ED203435</t>
        </is>
      </c>
      <c r="B3363" s="56" t="n">
        <v>45496.45902777778</v>
      </c>
      <c r="C3363" t="inlineStr">
        <is>
          <t>Bluestone Memorial Hospital</t>
        </is>
      </c>
      <c r="D3363" t="n">
        <v>25</v>
      </c>
    </row>
    <row r="3364">
      <c r="A3364" t="inlineStr">
        <is>
          <t>ED203436</t>
        </is>
      </c>
      <c r="B3364" s="56" t="n">
        <v>45496.47986111111</v>
      </c>
      <c r="C3364" t="inlineStr">
        <is>
          <t>Bluestone Memorial Hospital</t>
        </is>
      </c>
      <c r="D3364" t="n">
        <v>5</v>
      </c>
    </row>
    <row r="3365">
      <c r="A3365" t="inlineStr">
        <is>
          <t>ED203437</t>
        </is>
      </c>
      <c r="B3365" s="56" t="n">
        <v>45496.50972222222</v>
      </c>
      <c r="C3365" t="inlineStr">
        <is>
          <t>Bluestone Memorial Hospital</t>
        </is>
      </c>
      <c r="D3365" t="n">
        <v>15</v>
      </c>
    </row>
    <row r="3366">
      <c r="A3366" t="inlineStr">
        <is>
          <t>ED203438</t>
        </is>
      </c>
      <c r="B3366" s="56" t="n">
        <v>45496.54375</v>
      </c>
      <c r="C3366" t="inlineStr">
        <is>
          <t>Bluestone Memorial Hospital</t>
        </is>
      </c>
      <c r="D3366" t="n">
        <v>41</v>
      </c>
    </row>
    <row r="3367">
      <c r="A3367" t="inlineStr">
        <is>
          <t>ED203439</t>
        </is>
      </c>
      <c r="B3367" s="56" t="n">
        <v>45496.63194444445</v>
      </c>
      <c r="C3367" t="inlineStr">
        <is>
          <t>Bluestone Memorial Hospital</t>
        </is>
      </c>
      <c r="D3367" t="n">
        <v>28</v>
      </c>
    </row>
    <row r="3368">
      <c r="A3368" t="inlineStr">
        <is>
          <t>ED203440</t>
        </is>
      </c>
      <c r="B3368" s="56" t="n">
        <v>45496.65833333333</v>
      </c>
      <c r="C3368" t="inlineStr">
        <is>
          <t>Bluestone Memorial Hospital</t>
        </is>
      </c>
      <c r="D3368" t="n">
        <v>143</v>
      </c>
    </row>
    <row r="3369">
      <c r="A3369" t="inlineStr">
        <is>
          <t>ED203441</t>
        </is>
      </c>
      <c r="B3369" s="56" t="n">
        <v>45496.69166666667</v>
      </c>
      <c r="C3369" t="inlineStr">
        <is>
          <t>Bluestone Memorial Hospital</t>
        </is>
      </c>
      <c r="D3369" t="n">
        <v>63</v>
      </c>
    </row>
    <row r="3370">
      <c r="A3370" t="inlineStr">
        <is>
          <t>ED203442</t>
        </is>
      </c>
      <c r="B3370" s="56" t="n">
        <v>45496.70625</v>
      </c>
      <c r="C3370" t="inlineStr">
        <is>
          <t>Bluestone Memorial Hospital</t>
        </is>
      </c>
      <c r="D3370" t="n">
        <v>56</v>
      </c>
    </row>
    <row r="3371">
      <c r="A3371" t="inlineStr">
        <is>
          <t>ED203443</t>
        </is>
      </c>
      <c r="B3371" s="56" t="n">
        <v>45496.73263888889</v>
      </c>
      <c r="C3371" t="inlineStr">
        <is>
          <t>Bluestone Memorial Hospital</t>
        </is>
      </c>
      <c r="D3371" t="n">
        <v>41</v>
      </c>
    </row>
    <row r="3372">
      <c r="A3372" t="inlineStr">
        <is>
          <t>ED203444</t>
        </is>
      </c>
      <c r="B3372" s="56" t="n">
        <v>45496.8375</v>
      </c>
      <c r="C3372" t="inlineStr">
        <is>
          <t>Bluestone Memorial Hospital</t>
        </is>
      </c>
      <c r="D3372" t="n">
        <v>42</v>
      </c>
    </row>
    <row r="3373">
      <c r="A3373" t="inlineStr">
        <is>
          <t>ED203445</t>
        </is>
      </c>
      <c r="B3373" s="56" t="n">
        <v>45496.85</v>
      </c>
      <c r="C3373" t="inlineStr">
        <is>
          <t>Cedar Ridge Medical Center</t>
        </is>
      </c>
      <c r="D3373" t="n">
        <v>85</v>
      </c>
    </row>
    <row r="3374">
      <c r="A3374" t="inlineStr">
        <is>
          <t>ED203446</t>
        </is>
      </c>
      <c r="B3374" s="56" t="n">
        <v>45496.90763888889</v>
      </c>
      <c r="C3374" t="inlineStr">
        <is>
          <t>Cedar Ridge Medical Center</t>
        </is>
      </c>
      <c r="D3374" t="n">
        <v>92</v>
      </c>
    </row>
    <row r="3375">
      <c r="A3375" t="inlineStr">
        <is>
          <t>ED203447</t>
        </is>
      </c>
      <c r="B3375" s="56" t="n">
        <v>45496.93680555555</v>
      </c>
      <c r="C3375" t="inlineStr">
        <is>
          <t>Bluestone Memorial Hospital</t>
        </is>
      </c>
      <c r="D3375" t="n">
        <v>50</v>
      </c>
    </row>
    <row r="3376">
      <c r="A3376" t="inlineStr">
        <is>
          <t>ED203448</t>
        </is>
      </c>
      <c r="B3376" s="56" t="n">
        <v>45496.93680555555</v>
      </c>
      <c r="C3376" t="inlineStr">
        <is>
          <t>Bluestone Memorial Hospital</t>
        </is>
      </c>
      <c r="D3376" t="n">
        <v>7</v>
      </c>
    </row>
    <row r="3377">
      <c r="A3377" t="inlineStr">
        <is>
          <t>ED203449</t>
        </is>
      </c>
      <c r="B3377" s="56" t="n">
        <v>45497.10972222222</v>
      </c>
      <c r="C3377" t="inlineStr">
        <is>
          <t>Bluestone Memorial Hospital</t>
        </is>
      </c>
      <c r="D3377" t="n">
        <v>57</v>
      </c>
    </row>
    <row r="3378">
      <c r="A3378" t="inlineStr">
        <is>
          <t>ED203450</t>
        </is>
      </c>
      <c r="B3378" s="56" t="n">
        <v>45497.20069444444</v>
      </c>
      <c r="C3378" t="inlineStr">
        <is>
          <t>Bluestone Memorial Hospital</t>
        </is>
      </c>
      <c r="D3378" t="n">
        <v>14</v>
      </c>
    </row>
    <row r="3379">
      <c r="A3379" t="inlineStr">
        <is>
          <t>ED203451</t>
        </is>
      </c>
      <c r="B3379" s="56" t="n">
        <v>45497.33958333333</v>
      </c>
      <c r="C3379" t="inlineStr">
        <is>
          <t>Bluestone Memorial Hospital</t>
        </is>
      </c>
      <c r="D3379" t="n">
        <v>62</v>
      </c>
    </row>
    <row r="3380">
      <c r="A3380" t="inlineStr">
        <is>
          <t>ED203452</t>
        </is>
      </c>
      <c r="B3380" s="56" t="n">
        <v>45497.45486111111</v>
      </c>
      <c r="C3380" t="inlineStr">
        <is>
          <t>Bluestone Memorial Hospital</t>
        </is>
      </c>
      <c r="D3380" t="n">
        <v>30</v>
      </c>
    </row>
    <row r="3381">
      <c r="A3381" t="inlineStr">
        <is>
          <t>ED203453</t>
        </is>
      </c>
      <c r="B3381" s="56" t="n">
        <v>45497.53472222222</v>
      </c>
      <c r="C3381" t="inlineStr">
        <is>
          <t>Bluestone Memorial Hospital</t>
        </is>
      </c>
      <c r="D3381" t="n">
        <v>109</v>
      </c>
    </row>
    <row r="3382">
      <c r="A3382" t="inlineStr">
        <is>
          <t>ED203454</t>
        </is>
      </c>
      <c r="B3382" s="56" t="n">
        <v>45497.59652777778</v>
      </c>
      <c r="C3382" t="inlineStr">
        <is>
          <t>Bluestone Memorial Hospital</t>
        </is>
      </c>
      <c r="D3382" t="n">
        <v>92</v>
      </c>
    </row>
    <row r="3383">
      <c r="A3383" t="inlineStr">
        <is>
          <t>ED203455</t>
        </is>
      </c>
      <c r="B3383" s="56" t="n">
        <v>45497.60208333333</v>
      </c>
      <c r="C3383" t="inlineStr">
        <is>
          <t>Bluestone Memorial Hospital</t>
        </is>
      </c>
      <c r="D3383" t="n">
        <v>21</v>
      </c>
    </row>
    <row r="3384">
      <c r="A3384" t="inlineStr">
        <is>
          <t>ED203456</t>
        </is>
      </c>
      <c r="B3384" s="56" t="n">
        <v>45497.65694444445</v>
      </c>
      <c r="C3384" t="inlineStr">
        <is>
          <t>Cedar Ridge Medical Center</t>
        </is>
      </c>
      <c r="D3384" t="n">
        <v>39</v>
      </c>
    </row>
    <row r="3385">
      <c r="A3385" t="inlineStr">
        <is>
          <t>ED203457</t>
        </is>
      </c>
      <c r="B3385" s="56" t="n">
        <v>45497.66111111111</v>
      </c>
      <c r="C3385" t="inlineStr">
        <is>
          <t>Bluestone Memorial Hospital</t>
        </is>
      </c>
      <c r="D3385" t="n">
        <v>40</v>
      </c>
    </row>
    <row r="3386">
      <c r="A3386" t="inlineStr">
        <is>
          <t>ED203458</t>
        </is>
      </c>
      <c r="B3386" s="56" t="n">
        <v>45497.67569444444</v>
      </c>
      <c r="C3386" t="inlineStr">
        <is>
          <t>Bluestone Memorial Hospital</t>
        </is>
      </c>
      <c r="D3386" t="n">
        <v>27</v>
      </c>
    </row>
    <row r="3387">
      <c r="A3387" t="inlineStr">
        <is>
          <t>ED203459</t>
        </is>
      </c>
      <c r="B3387" s="56" t="n">
        <v>45497.70277777778</v>
      </c>
      <c r="C3387" t="inlineStr">
        <is>
          <t>Bluestone Memorial Hospital</t>
        </is>
      </c>
      <c r="D3387" t="n">
        <v>39</v>
      </c>
    </row>
    <row r="3388">
      <c r="A3388" t="inlineStr">
        <is>
          <t>ED203460</t>
        </is>
      </c>
      <c r="B3388" s="56" t="n">
        <v>45497.74861111111</v>
      </c>
      <c r="C3388" t="inlineStr">
        <is>
          <t>Cedar Ridge Medical Center</t>
        </is>
      </c>
      <c r="D3388" t="n">
        <v>30</v>
      </c>
    </row>
    <row r="3389">
      <c r="A3389" t="inlineStr">
        <is>
          <t>ED203461</t>
        </is>
      </c>
      <c r="B3389" s="56" t="n">
        <v>45497.75694444445</v>
      </c>
      <c r="C3389" t="inlineStr">
        <is>
          <t>Cedar Ridge Medical Center</t>
        </is>
      </c>
      <c r="D3389" t="n">
        <v>13</v>
      </c>
    </row>
    <row r="3390">
      <c r="A3390" t="inlineStr">
        <is>
          <t>ED203462</t>
        </is>
      </c>
      <c r="B3390" s="56" t="n">
        <v>45497.78888888889</v>
      </c>
      <c r="C3390" t="inlineStr">
        <is>
          <t>Cedar Ridge Medical Center</t>
        </is>
      </c>
      <c r="D3390" t="n">
        <v>69</v>
      </c>
    </row>
    <row r="3391">
      <c r="A3391" t="inlineStr">
        <is>
          <t>ED203463</t>
        </is>
      </c>
      <c r="B3391" s="56" t="n">
        <v>45497.81180555555</v>
      </c>
      <c r="C3391" t="inlineStr">
        <is>
          <t>Ashby Falls Community Hospital</t>
        </is>
      </c>
      <c r="D3391" t="n">
        <v>17</v>
      </c>
    </row>
    <row r="3392">
      <c r="A3392" t="inlineStr">
        <is>
          <t>ED203464</t>
        </is>
      </c>
      <c r="B3392" s="56" t="n">
        <v>45497.82708333333</v>
      </c>
      <c r="C3392" t="inlineStr">
        <is>
          <t>Bluestone Memorial Hospital</t>
        </is>
      </c>
      <c r="D3392" t="n">
        <v>99</v>
      </c>
    </row>
    <row r="3393">
      <c r="A3393" t="inlineStr">
        <is>
          <t>ED203465</t>
        </is>
      </c>
      <c r="B3393" s="56" t="n">
        <v>45498.12847222222</v>
      </c>
      <c r="C3393" t="inlineStr">
        <is>
          <t>Bluestone Memorial Hospital</t>
        </is>
      </c>
      <c r="D3393" t="n">
        <v>10</v>
      </c>
    </row>
    <row r="3394">
      <c r="A3394" t="inlineStr">
        <is>
          <t>ED203466</t>
        </is>
      </c>
      <c r="B3394" s="56" t="n">
        <v>45498.17708333334</v>
      </c>
      <c r="C3394" t="inlineStr">
        <is>
          <t>Bluestone Memorial Hospital</t>
        </is>
      </c>
      <c r="D3394" t="n">
        <v>10</v>
      </c>
    </row>
    <row r="3395">
      <c r="A3395" t="inlineStr">
        <is>
          <t>ED203467</t>
        </is>
      </c>
      <c r="B3395" s="56" t="n">
        <v>45498.275</v>
      </c>
      <c r="C3395" t="inlineStr">
        <is>
          <t>Cedar Ridge Medical Center</t>
        </is>
      </c>
      <c r="D3395" t="n">
        <v>45</v>
      </c>
    </row>
    <row r="3396">
      <c r="A3396" t="inlineStr">
        <is>
          <t>ED203468</t>
        </is>
      </c>
      <c r="B3396" s="56" t="n">
        <v>45498.45972222222</v>
      </c>
      <c r="C3396" t="inlineStr">
        <is>
          <t>Bluestone Memorial Hospital</t>
        </is>
      </c>
      <c r="D3396" t="n">
        <v>104</v>
      </c>
    </row>
    <row r="3397">
      <c r="A3397" t="inlineStr">
        <is>
          <t>ED203469</t>
        </is>
      </c>
      <c r="B3397" s="56" t="n">
        <v>45498.50625</v>
      </c>
      <c r="C3397" t="inlineStr">
        <is>
          <t>Bluestone Memorial Hospital</t>
        </is>
      </c>
      <c r="D3397" t="n">
        <v>25</v>
      </c>
    </row>
    <row r="3398">
      <c r="A3398" t="inlineStr">
        <is>
          <t>ED203470</t>
        </is>
      </c>
      <c r="B3398" s="56" t="n">
        <v>45498.54375</v>
      </c>
      <c r="C3398" t="inlineStr">
        <is>
          <t>Bluestone Memorial Hospital</t>
        </is>
      </c>
      <c r="D3398" t="n">
        <v>10</v>
      </c>
    </row>
    <row r="3399">
      <c r="A3399" t="inlineStr">
        <is>
          <t>ED203471</t>
        </is>
      </c>
      <c r="B3399" s="56" t="n">
        <v>45498.54722222222</v>
      </c>
      <c r="C3399" t="inlineStr">
        <is>
          <t>Cedar Ridge Medical Center</t>
        </is>
      </c>
      <c r="D3399" t="n">
        <v>67</v>
      </c>
    </row>
    <row r="3400">
      <c r="A3400" t="inlineStr">
        <is>
          <t>ED203472</t>
        </is>
      </c>
      <c r="B3400" s="56" t="n">
        <v>45498.57361111111</v>
      </c>
      <c r="C3400" t="inlineStr">
        <is>
          <t>Bluestone Memorial Hospital</t>
        </is>
      </c>
      <c r="D3400" t="n">
        <v>25</v>
      </c>
    </row>
    <row r="3401">
      <c r="A3401" t="inlineStr">
        <is>
          <t>ED203473</t>
        </is>
      </c>
      <c r="B3401" s="56" t="n">
        <v>45498.62708333333</v>
      </c>
      <c r="C3401" t="inlineStr">
        <is>
          <t>Bluestone Memorial Hospital</t>
        </is>
      </c>
      <c r="D3401" t="n">
        <v>32</v>
      </c>
    </row>
    <row r="3402">
      <c r="A3402" t="inlineStr">
        <is>
          <t>ED203474</t>
        </is>
      </c>
      <c r="B3402" s="56" t="n">
        <v>45498.77638888889</v>
      </c>
      <c r="C3402" t="inlineStr">
        <is>
          <t>Bluestone Memorial Hospital</t>
        </is>
      </c>
      <c r="D3402" t="n">
        <v>103</v>
      </c>
    </row>
    <row r="3403">
      <c r="A3403" t="inlineStr">
        <is>
          <t>ED203476</t>
        </is>
      </c>
      <c r="B3403" s="56" t="n">
        <v>45498.81736111111</v>
      </c>
      <c r="C3403" t="inlineStr">
        <is>
          <t>Bluestone Memorial Hospital</t>
        </is>
      </c>
      <c r="D3403" t="n">
        <v>26</v>
      </c>
    </row>
    <row r="3404">
      <c r="A3404" t="inlineStr">
        <is>
          <t>ED203477</t>
        </is>
      </c>
      <c r="B3404" s="56" t="n">
        <v>45498.85694444444</v>
      </c>
      <c r="C3404" t="inlineStr">
        <is>
          <t>Ashby Falls Community Hospital</t>
        </is>
      </c>
      <c r="D3404" t="n">
        <v>32</v>
      </c>
    </row>
    <row r="3405">
      <c r="A3405" t="inlineStr">
        <is>
          <t>ED203478</t>
        </is>
      </c>
      <c r="B3405" s="56" t="n">
        <v>45498.85833333333</v>
      </c>
      <c r="C3405" t="inlineStr">
        <is>
          <t>Cedar Ridge Medical Center</t>
        </is>
      </c>
      <c r="D3405" t="n">
        <v>35</v>
      </c>
    </row>
    <row r="3406">
      <c r="A3406" t="inlineStr">
        <is>
          <t>ED203479</t>
        </is>
      </c>
      <c r="B3406" s="56" t="n">
        <v>45498.91944444444</v>
      </c>
      <c r="C3406" t="inlineStr">
        <is>
          <t>Ashby Falls Community Hospital</t>
        </is>
      </c>
      <c r="D3406" t="n">
        <v>26</v>
      </c>
    </row>
    <row r="3407">
      <c r="A3407" t="inlineStr">
        <is>
          <t>ED203480</t>
        </is>
      </c>
      <c r="B3407" s="56" t="n">
        <v>45499.02430555555</v>
      </c>
      <c r="C3407" t="inlineStr">
        <is>
          <t>Bluestone Memorial Hospital</t>
        </is>
      </c>
      <c r="D3407" t="n">
        <v>26</v>
      </c>
    </row>
    <row r="3408">
      <c r="A3408" t="inlineStr">
        <is>
          <t>ED203481</t>
        </is>
      </c>
      <c r="B3408" s="56" t="n">
        <v>45499.13541666666</v>
      </c>
      <c r="C3408" t="inlineStr">
        <is>
          <t>Bluestone Memorial Hospital</t>
        </is>
      </c>
      <c r="D3408" t="n">
        <v>17</v>
      </c>
    </row>
    <row r="3409">
      <c r="A3409" t="inlineStr">
        <is>
          <t>ED203482</t>
        </is>
      </c>
      <c r="B3409" s="56" t="n">
        <v>45499.22013888889</v>
      </c>
      <c r="C3409" t="inlineStr">
        <is>
          <t>Bluestone Memorial Hospital</t>
        </is>
      </c>
      <c r="D3409" t="n">
        <v>9</v>
      </c>
    </row>
    <row r="3410">
      <c r="A3410" t="inlineStr">
        <is>
          <t>ED203483</t>
        </is>
      </c>
      <c r="B3410" s="56" t="n">
        <v>45499.45555555556</v>
      </c>
      <c r="C3410" t="inlineStr">
        <is>
          <t>Bluestone Memorial Hospital</t>
        </is>
      </c>
      <c r="D3410" t="n">
        <v>27</v>
      </c>
    </row>
    <row r="3411">
      <c r="A3411" t="inlineStr">
        <is>
          <t>ED203484</t>
        </is>
      </c>
      <c r="B3411" s="56" t="n">
        <v>45499.50208333333</v>
      </c>
      <c r="C3411" t="inlineStr">
        <is>
          <t>Cedar Ridge Medical Center</t>
        </is>
      </c>
      <c r="D3411" t="n">
        <v>150</v>
      </c>
    </row>
    <row r="3412">
      <c r="A3412" t="inlineStr">
        <is>
          <t>ED203485</t>
        </is>
      </c>
      <c r="B3412" s="56" t="n">
        <v>45499.51319444444</v>
      </c>
      <c r="C3412" t="inlineStr">
        <is>
          <t>Ashby Falls Community Hospital</t>
        </is>
      </c>
      <c r="D3412" t="n">
        <v>5</v>
      </c>
    </row>
    <row r="3413">
      <c r="A3413" t="inlineStr">
        <is>
          <t>ED203486</t>
        </is>
      </c>
      <c r="B3413" s="56" t="n">
        <v>45499.53680555556</v>
      </c>
      <c r="C3413" t="inlineStr">
        <is>
          <t>Cedar Ridge Medical Center</t>
        </is>
      </c>
      <c r="D3413" t="n">
        <v>14</v>
      </c>
    </row>
    <row r="3414">
      <c r="A3414" t="inlineStr">
        <is>
          <t>ED203487</t>
        </is>
      </c>
      <c r="B3414" s="56" t="n">
        <v>45499.55277777778</v>
      </c>
      <c r="C3414" t="inlineStr">
        <is>
          <t>Ashby Falls Community Hospital</t>
        </is>
      </c>
      <c r="D3414" t="n">
        <v>46</v>
      </c>
    </row>
    <row r="3415">
      <c r="A3415" t="inlineStr">
        <is>
          <t>ED203488</t>
        </is>
      </c>
      <c r="B3415" s="56" t="n">
        <v>45499.56041666667</v>
      </c>
      <c r="C3415" t="inlineStr">
        <is>
          <t>Bluestone Memorial Hospital</t>
        </is>
      </c>
      <c r="D3415" t="n">
        <v>85</v>
      </c>
    </row>
    <row r="3416">
      <c r="A3416" t="inlineStr">
        <is>
          <t>ED203489</t>
        </is>
      </c>
      <c r="B3416" s="56" t="n">
        <v>45499.59652777778</v>
      </c>
      <c r="C3416" t="inlineStr">
        <is>
          <t>Bluestone Memorial Hospital</t>
        </is>
      </c>
      <c r="D3416" t="n">
        <v>23</v>
      </c>
    </row>
    <row r="3417">
      <c r="A3417" t="inlineStr">
        <is>
          <t>ED203490</t>
        </is>
      </c>
      <c r="B3417" s="56" t="n">
        <v>45499.62569444445</v>
      </c>
      <c r="C3417" t="inlineStr">
        <is>
          <t>Bluestone Memorial Hospital</t>
        </is>
      </c>
      <c r="D3417" t="n">
        <v>63</v>
      </c>
    </row>
    <row r="3418">
      <c r="A3418" t="inlineStr">
        <is>
          <t>ED203491</t>
        </is>
      </c>
      <c r="B3418" s="56" t="n">
        <v>45499.6875</v>
      </c>
      <c r="C3418" t="inlineStr">
        <is>
          <t>Bluestone Memorial Hospital</t>
        </is>
      </c>
      <c r="D3418" t="n">
        <v>59</v>
      </c>
    </row>
    <row r="3419">
      <c r="A3419" t="inlineStr">
        <is>
          <t>ED203492</t>
        </is>
      </c>
      <c r="B3419" s="56" t="n">
        <v>45499.71388888889</v>
      </c>
      <c r="C3419" t="inlineStr">
        <is>
          <t>Bluestone Memorial Hospital</t>
        </is>
      </c>
      <c r="D3419" t="n">
        <v>51</v>
      </c>
    </row>
    <row r="3420">
      <c r="A3420" t="inlineStr">
        <is>
          <t>ED203493</t>
        </is>
      </c>
      <c r="B3420" s="56" t="n">
        <v>45499.71944444445</v>
      </c>
      <c r="C3420" t="inlineStr">
        <is>
          <t>Bluestone Memorial Hospital</t>
        </is>
      </c>
      <c r="D3420" t="n">
        <v>18</v>
      </c>
    </row>
    <row r="3421">
      <c r="A3421" t="inlineStr">
        <is>
          <t>ED203494</t>
        </is>
      </c>
      <c r="B3421" s="56" t="n">
        <v>45499.73125</v>
      </c>
      <c r="C3421" t="inlineStr">
        <is>
          <t>Bluestone Memorial Hospital</t>
        </is>
      </c>
      <c r="D3421" t="n">
        <v>61</v>
      </c>
    </row>
    <row r="3422">
      <c r="A3422" t="inlineStr">
        <is>
          <t>ED203495</t>
        </is>
      </c>
      <c r="B3422" s="56" t="n">
        <v>45499.83194444444</v>
      </c>
      <c r="C3422" t="inlineStr">
        <is>
          <t>Bluestone Memorial Hospital</t>
        </is>
      </c>
      <c r="D3422" t="n">
        <v>112</v>
      </c>
    </row>
    <row r="3423">
      <c r="A3423" t="inlineStr">
        <is>
          <t>ED203496</t>
        </is>
      </c>
      <c r="B3423" s="56" t="n">
        <v>45499.88680555556</v>
      </c>
      <c r="C3423" t="inlineStr">
        <is>
          <t>Cedar Ridge Medical Center</t>
        </is>
      </c>
      <c r="D3423" t="n">
        <v>101</v>
      </c>
    </row>
    <row r="3424">
      <c r="A3424" t="inlineStr">
        <is>
          <t>ED203497</t>
        </is>
      </c>
      <c r="B3424" s="56" t="n">
        <v>45500.01666666667</v>
      </c>
      <c r="C3424" t="inlineStr">
        <is>
          <t>Bluestone Memorial Hospital</t>
        </is>
      </c>
      <c r="D3424" t="n">
        <v>32</v>
      </c>
    </row>
    <row r="3425">
      <c r="A3425" t="inlineStr">
        <is>
          <t>ED203498</t>
        </is>
      </c>
      <c r="B3425" s="56" t="n">
        <v>45500.17847222222</v>
      </c>
      <c r="C3425" t="inlineStr">
        <is>
          <t>Bluestone Memorial Hospital</t>
        </is>
      </c>
      <c r="D3425" t="n">
        <v>31</v>
      </c>
    </row>
    <row r="3426">
      <c r="A3426" t="inlineStr">
        <is>
          <t>ED203499</t>
        </is>
      </c>
      <c r="B3426" s="56" t="n">
        <v>45500.28402777778</v>
      </c>
      <c r="C3426" t="inlineStr">
        <is>
          <t>Bluestone Memorial Hospital</t>
        </is>
      </c>
      <c r="D3426" t="n">
        <v>11</v>
      </c>
    </row>
    <row r="3427">
      <c r="A3427" t="inlineStr">
        <is>
          <t>ED203500</t>
        </is>
      </c>
      <c r="B3427" s="56" t="n">
        <v>45500.35277777778</v>
      </c>
      <c r="C3427" t="inlineStr">
        <is>
          <t>Bluestone Memorial Hospital</t>
        </is>
      </c>
      <c r="D3427" t="n">
        <v>56</v>
      </c>
    </row>
    <row r="3428">
      <c r="A3428" t="inlineStr">
        <is>
          <t>ED203501</t>
        </is>
      </c>
      <c r="B3428" s="56" t="n">
        <v>45500.59583333333</v>
      </c>
      <c r="C3428" t="inlineStr">
        <is>
          <t>Bluestone Memorial Hospital</t>
        </is>
      </c>
      <c r="D3428" t="n">
        <v>63</v>
      </c>
    </row>
    <row r="3429">
      <c r="A3429" t="inlineStr">
        <is>
          <t>ED203502</t>
        </is>
      </c>
      <c r="B3429" s="56" t="n">
        <v>45500.65625</v>
      </c>
      <c r="C3429" t="inlineStr">
        <is>
          <t>Bluestone Memorial Hospital</t>
        </is>
      </c>
      <c r="D3429" t="n">
        <v>8</v>
      </c>
    </row>
    <row r="3430">
      <c r="A3430" t="inlineStr">
        <is>
          <t>ED203503</t>
        </is>
      </c>
      <c r="B3430" s="56" t="n">
        <v>45500.70416666667</v>
      </c>
      <c r="C3430" t="inlineStr">
        <is>
          <t>Bluestone Memorial Hospital</t>
        </is>
      </c>
      <c r="D3430" t="n">
        <v>51</v>
      </c>
    </row>
    <row r="3431">
      <c r="A3431" t="inlineStr">
        <is>
          <t>ED203504</t>
        </is>
      </c>
      <c r="B3431" s="56" t="n">
        <v>45500.72361111111</v>
      </c>
      <c r="C3431" t="inlineStr">
        <is>
          <t>Bluestone Memorial Hospital</t>
        </is>
      </c>
      <c r="D3431" t="n">
        <v>51</v>
      </c>
    </row>
    <row r="3432">
      <c r="A3432" t="inlineStr">
        <is>
          <t>ED203505</t>
        </is>
      </c>
      <c r="B3432" s="56" t="n">
        <v>45500.76041666666</v>
      </c>
      <c r="C3432" t="inlineStr">
        <is>
          <t>Bluestone Memorial Hospital</t>
        </is>
      </c>
      <c r="D3432" t="n">
        <v>34</v>
      </c>
    </row>
    <row r="3433">
      <c r="A3433" t="inlineStr">
        <is>
          <t>ED203506</t>
        </is>
      </c>
      <c r="B3433" s="56" t="n">
        <v>45500.80763888889</v>
      </c>
      <c r="C3433" t="inlineStr">
        <is>
          <t>Bluestone Memorial Hospital</t>
        </is>
      </c>
      <c r="D3433" t="n">
        <v>86</v>
      </c>
    </row>
    <row r="3434">
      <c r="A3434" t="inlineStr">
        <is>
          <t>ED203507</t>
        </is>
      </c>
      <c r="B3434" s="56" t="n">
        <v>45500.89513888889</v>
      </c>
      <c r="C3434" t="inlineStr">
        <is>
          <t>Bluestone Memorial Hospital</t>
        </is>
      </c>
      <c r="D3434" t="n">
        <v>13</v>
      </c>
    </row>
    <row r="3435">
      <c r="A3435" t="inlineStr">
        <is>
          <t>ED203508</t>
        </is>
      </c>
      <c r="B3435" s="56" t="n">
        <v>45500.99444444444</v>
      </c>
      <c r="C3435" t="inlineStr">
        <is>
          <t>Bluestone Memorial Hospital</t>
        </is>
      </c>
      <c r="D3435" t="n">
        <v>10</v>
      </c>
    </row>
    <row r="3436">
      <c r="A3436" t="inlineStr">
        <is>
          <t>ED203509</t>
        </is>
      </c>
      <c r="B3436" s="56" t="n">
        <v>45501.10625</v>
      </c>
      <c r="C3436" t="inlineStr">
        <is>
          <t>Bluestone Memorial Hospital</t>
        </is>
      </c>
      <c r="D3436" t="n">
        <v>25</v>
      </c>
    </row>
    <row r="3437">
      <c r="A3437" t="inlineStr">
        <is>
          <t>ED203510</t>
        </is>
      </c>
      <c r="B3437" s="56" t="n">
        <v>45501.16805555556</v>
      </c>
      <c r="C3437" t="inlineStr">
        <is>
          <t>Ashby Falls Community Hospital</t>
        </is>
      </c>
      <c r="D3437" t="n">
        <v>13</v>
      </c>
    </row>
    <row r="3438">
      <c r="A3438" t="inlineStr">
        <is>
          <t>ED203511</t>
        </is>
      </c>
      <c r="B3438" s="56" t="n">
        <v>45501.17916666667</v>
      </c>
      <c r="C3438" t="inlineStr">
        <is>
          <t>Bluestone Memorial Hospital</t>
        </is>
      </c>
      <c r="D3438" t="n">
        <v>8</v>
      </c>
    </row>
    <row r="3439">
      <c r="A3439" t="inlineStr">
        <is>
          <t>ED203512</t>
        </is>
      </c>
      <c r="B3439" s="56" t="n">
        <v>45501.36041666667</v>
      </c>
      <c r="C3439" t="inlineStr">
        <is>
          <t>Cedar Ridge Medical Center</t>
        </is>
      </c>
      <c r="D3439" t="n">
        <v>49</v>
      </c>
    </row>
    <row r="3440">
      <c r="A3440" t="inlineStr">
        <is>
          <t>ED203513</t>
        </is>
      </c>
      <c r="B3440" s="56" t="n">
        <v>45501.37777777778</v>
      </c>
      <c r="C3440" t="inlineStr">
        <is>
          <t>Bluestone Memorial Hospital</t>
        </is>
      </c>
      <c r="D3440" t="n">
        <v>127</v>
      </c>
    </row>
    <row r="3441">
      <c r="A3441" t="inlineStr">
        <is>
          <t>ED203514</t>
        </is>
      </c>
      <c r="B3441" s="56" t="n">
        <v>45501.38680555556</v>
      </c>
      <c r="C3441" t="inlineStr">
        <is>
          <t>Bluestone Memorial Hospital</t>
        </is>
      </c>
      <c r="D3441" t="n">
        <v>81</v>
      </c>
    </row>
    <row r="3442">
      <c r="A3442" t="inlineStr">
        <is>
          <t>ED203515</t>
        </is>
      </c>
      <c r="B3442" s="56" t="n">
        <v>45501.39513888889</v>
      </c>
      <c r="C3442" t="inlineStr">
        <is>
          <t>Bluestone Memorial Hospital</t>
        </is>
      </c>
      <c r="D3442" t="n">
        <v>26</v>
      </c>
    </row>
    <row r="3443">
      <c r="A3443" t="inlineStr">
        <is>
          <t>ED203516</t>
        </is>
      </c>
      <c r="B3443" s="56" t="n">
        <v>45501.40138888889</v>
      </c>
      <c r="C3443" t="inlineStr">
        <is>
          <t>Bluestone Memorial Hospital</t>
        </is>
      </c>
      <c r="D3443" t="n">
        <v>44</v>
      </c>
    </row>
    <row r="3444">
      <c r="A3444" t="inlineStr">
        <is>
          <t>ED203517</t>
        </is>
      </c>
      <c r="B3444" s="56" t="n">
        <v>45501.53402777778</v>
      </c>
      <c r="C3444" t="inlineStr">
        <is>
          <t>Bluestone Memorial Hospital</t>
        </is>
      </c>
      <c r="D3444" t="n">
        <v>20</v>
      </c>
    </row>
    <row r="3445">
      <c r="A3445" t="inlineStr">
        <is>
          <t>ED203519</t>
        </is>
      </c>
      <c r="B3445" s="56" t="n">
        <v>45501.81875</v>
      </c>
      <c r="C3445" t="inlineStr">
        <is>
          <t>Bluestone Memorial Hospital</t>
        </is>
      </c>
      <c r="D3445" t="n">
        <v>27</v>
      </c>
    </row>
    <row r="3446">
      <c r="A3446" t="inlineStr">
        <is>
          <t>ED203520</t>
        </is>
      </c>
      <c r="B3446" s="56" t="n">
        <v>45501.89236111111</v>
      </c>
      <c r="C3446" t="inlineStr">
        <is>
          <t>Bluestone Memorial Hospital</t>
        </is>
      </c>
      <c r="D3446" t="n">
        <v>24</v>
      </c>
    </row>
    <row r="3447">
      <c r="A3447" t="inlineStr">
        <is>
          <t>ED203521</t>
        </is>
      </c>
      <c r="B3447" s="56" t="n">
        <v>45501.99861111111</v>
      </c>
      <c r="C3447" t="inlineStr">
        <is>
          <t>Bluestone Memorial Hospital</t>
        </is>
      </c>
      <c r="D3447" t="n">
        <v>111</v>
      </c>
    </row>
    <row r="3448">
      <c r="A3448" t="inlineStr">
        <is>
          <t>ED203522</t>
        </is>
      </c>
      <c r="B3448" s="56" t="n">
        <v>45502.00763888889</v>
      </c>
      <c r="C3448" t="inlineStr">
        <is>
          <t>Cedar Ridge Medical Center</t>
        </is>
      </c>
      <c r="D3448" t="n">
        <v>177</v>
      </c>
    </row>
    <row r="3449">
      <c r="A3449" t="inlineStr">
        <is>
          <t>ED203523</t>
        </is>
      </c>
      <c r="B3449" s="56" t="n">
        <v>45502.35416666666</v>
      </c>
      <c r="C3449" t="inlineStr">
        <is>
          <t>Ashby Falls Community Hospital</t>
        </is>
      </c>
      <c r="D3449" t="n">
        <v>56</v>
      </c>
    </row>
    <row r="3450">
      <c r="A3450" t="inlineStr">
        <is>
          <t>ED203524</t>
        </is>
      </c>
      <c r="B3450" s="56" t="n">
        <v>45502.41597222222</v>
      </c>
      <c r="C3450" t="inlineStr">
        <is>
          <t>Bluestone Memorial Hospital</t>
        </is>
      </c>
      <c r="D3450" t="n">
        <v>85</v>
      </c>
    </row>
    <row r="3451">
      <c r="A3451" t="inlineStr">
        <is>
          <t>ED203525</t>
        </is>
      </c>
      <c r="B3451" s="56" t="n">
        <v>45502.46458333333</v>
      </c>
      <c r="C3451" t="inlineStr">
        <is>
          <t>Bluestone Memorial Hospital</t>
        </is>
      </c>
      <c r="D3451" t="n">
        <v>18</v>
      </c>
    </row>
    <row r="3452">
      <c r="A3452" t="inlineStr">
        <is>
          <t>ED203526</t>
        </is>
      </c>
      <c r="B3452" s="56" t="n">
        <v>45502.47152777778</v>
      </c>
      <c r="C3452" t="inlineStr">
        <is>
          <t>Bluestone Memorial Hospital</t>
        </is>
      </c>
      <c r="D3452" t="n">
        <v>18</v>
      </c>
    </row>
    <row r="3453">
      <c r="A3453" t="inlineStr">
        <is>
          <t>ED203527</t>
        </is>
      </c>
      <c r="B3453" s="56" t="n">
        <v>45502.49722222222</v>
      </c>
      <c r="C3453" t="inlineStr">
        <is>
          <t>Bluestone Memorial Hospital</t>
        </is>
      </c>
      <c r="D3453" t="n">
        <v>23</v>
      </c>
    </row>
    <row r="3454">
      <c r="A3454" t="inlineStr">
        <is>
          <t>ED203528</t>
        </is>
      </c>
      <c r="B3454" s="56" t="n">
        <v>45502.71458333333</v>
      </c>
      <c r="C3454" t="inlineStr">
        <is>
          <t>Ashby Falls Community Hospital</t>
        </is>
      </c>
      <c r="D3454" t="n">
        <v>51</v>
      </c>
    </row>
    <row r="3455">
      <c r="A3455" t="inlineStr">
        <is>
          <t>ED203530</t>
        </is>
      </c>
      <c r="B3455" s="56" t="n">
        <v>45502.86527777778</v>
      </c>
      <c r="C3455" t="inlineStr">
        <is>
          <t>Bluestone Memorial Hospital</t>
        </is>
      </c>
      <c r="D3455" t="n">
        <v>52</v>
      </c>
    </row>
    <row r="3456">
      <c r="A3456" t="inlineStr">
        <is>
          <t>ED203531</t>
        </is>
      </c>
      <c r="B3456" s="56" t="n">
        <v>45502.95694444444</v>
      </c>
      <c r="C3456" t="inlineStr">
        <is>
          <t>Bluestone Memorial Hospital</t>
        </is>
      </c>
      <c r="D3456" t="n">
        <v>48</v>
      </c>
    </row>
    <row r="3457">
      <c r="A3457" t="inlineStr">
        <is>
          <t>ED203532</t>
        </is>
      </c>
      <c r="B3457" s="56" t="n">
        <v>45503.26388888889</v>
      </c>
      <c r="C3457" t="inlineStr">
        <is>
          <t>Ashby Falls Community Hospital</t>
        </is>
      </c>
      <c r="D3457" t="n">
        <v>38</v>
      </c>
    </row>
    <row r="3458">
      <c r="A3458" t="inlineStr">
        <is>
          <t>ED203533</t>
        </is>
      </c>
      <c r="B3458" s="56" t="n">
        <v>45503.31319444445</v>
      </c>
      <c r="C3458" t="inlineStr">
        <is>
          <t>Bluestone Memorial Hospital</t>
        </is>
      </c>
      <c r="D3458" t="n">
        <v>41</v>
      </c>
    </row>
    <row r="3459">
      <c r="A3459" t="inlineStr">
        <is>
          <t>ED203534</t>
        </is>
      </c>
      <c r="B3459" s="56" t="n">
        <v>45503.32013888889</v>
      </c>
      <c r="C3459" t="inlineStr">
        <is>
          <t>Bluestone Memorial Hospital</t>
        </is>
      </c>
      <c r="D3459" t="n">
        <v>56</v>
      </c>
    </row>
    <row r="3460">
      <c r="A3460" t="inlineStr">
        <is>
          <t>ED203535</t>
        </is>
      </c>
      <c r="B3460" s="56" t="n">
        <v>45503.43194444444</v>
      </c>
      <c r="C3460" t="inlineStr">
        <is>
          <t>Bluestone Memorial Hospital</t>
        </is>
      </c>
      <c r="D3460" t="n">
        <v>39</v>
      </c>
    </row>
    <row r="3461">
      <c r="A3461" t="inlineStr">
        <is>
          <t>ED203536</t>
        </is>
      </c>
      <c r="B3461" s="56" t="n">
        <v>45503.525</v>
      </c>
      <c r="C3461" t="inlineStr">
        <is>
          <t>Bluestone Memorial Hospital</t>
        </is>
      </c>
      <c r="D3461" t="n">
        <v>26</v>
      </c>
    </row>
    <row r="3462">
      <c r="A3462" t="inlineStr">
        <is>
          <t>ED203537</t>
        </is>
      </c>
      <c r="B3462" s="56" t="n">
        <v>45503.56527777778</v>
      </c>
      <c r="C3462" t="inlineStr">
        <is>
          <t>Ashby Falls Community Hospital</t>
        </is>
      </c>
      <c r="D3462" t="n">
        <v>40</v>
      </c>
    </row>
    <row r="3463">
      <c r="A3463" t="inlineStr">
        <is>
          <t>ED203538</t>
        </is>
      </c>
      <c r="B3463" s="56" t="n">
        <v>45503.63402777778</v>
      </c>
      <c r="C3463" t="inlineStr">
        <is>
          <t>Bluestone Memorial Hospital</t>
        </is>
      </c>
      <c r="D3463" t="n">
        <v>53</v>
      </c>
    </row>
    <row r="3464">
      <c r="A3464" t="inlineStr">
        <is>
          <t>ED203539</t>
        </is>
      </c>
      <c r="B3464" s="56" t="n">
        <v>45503.65625</v>
      </c>
      <c r="C3464" t="inlineStr">
        <is>
          <t>Bluestone Memorial Hospital</t>
        </is>
      </c>
      <c r="D3464" t="n">
        <v>29</v>
      </c>
    </row>
    <row r="3465">
      <c r="A3465" t="inlineStr">
        <is>
          <t>ED203540</t>
        </is>
      </c>
      <c r="B3465" s="56" t="n">
        <v>45503.69861111111</v>
      </c>
      <c r="C3465" t="inlineStr">
        <is>
          <t>Bluestone Memorial Hospital</t>
        </is>
      </c>
      <c r="D3465" t="n">
        <v>35</v>
      </c>
    </row>
    <row r="3466">
      <c r="A3466" t="inlineStr">
        <is>
          <t>ED203541</t>
        </is>
      </c>
      <c r="B3466" s="56" t="n">
        <v>45503.73611111111</v>
      </c>
      <c r="C3466" t="inlineStr">
        <is>
          <t>Bluestone Memorial Hospital</t>
        </is>
      </c>
      <c r="D3466" t="n">
        <v>21</v>
      </c>
    </row>
    <row r="3467">
      <c r="A3467" t="inlineStr">
        <is>
          <t>ED203542</t>
        </is>
      </c>
      <c r="B3467" s="56" t="n">
        <v>45503.77986111111</v>
      </c>
      <c r="C3467" t="inlineStr">
        <is>
          <t>Cedar Ridge Medical Center</t>
        </is>
      </c>
      <c r="D3467" t="n">
        <v>133</v>
      </c>
    </row>
    <row r="3468">
      <c r="A3468" t="inlineStr">
        <is>
          <t>ED203543</t>
        </is>
      </c>
      <c r="B3468" s="56" t="n">
        <v>45503.81944444445</v>
      </c>
      <c r="C3468" t="inlineStr">
        <is>
          <t>Ashby Falls Community Hospital</t>
        </is>
      </c>
      <c r="D3468" t="n">
        <v>43</v>
      </c>
    </row>
    <row r="3469">
      <c r="A3469" t="inlineStr">
        <is>
          <t>ED203544</t>
        </is>
      </c>
      <c r="B3469" s="56" t="n">
        <v>45503.82430555556</v>
      </c>
      <c r="C3469" t="inlineStr">
        <is>
          <t>Cedar Ridge Medical Center</t>
        </is>
      </c>
      <c r="D3469" t="n">
        <v>48</v>
      </c>
    </row>
    <row r="3470">
      <c r="A3470" t="inlineStr">
        <is>
          <t>ED203545</t>
        </is>
      </c>
      <c r="B3470" s="56" t="n">
        <v>45504.05763888889</v>
      </c>
      <c r="C3470" t="inlineStr">
        <is>
          <t>Cedar Ridge Medical Center</t>
        </is>
      </c>
      <c r="D3470" t="n">
        <v>20</v>
      </c>
    </row>
    <row r="3471">
      <c r="A3471" t="inlineStr">
        <is>
          <t>ED203546</t>
        </is>
      </c>
      <c r="B3471" s="56" t="n">
        <v>45504.22569444445</v>
      </c>
      <c r="C3471" t="inlineStr">
        <is>
          <t>Ashby Falls Community Hospital</t>
        </is>
      </c>
      <c r="D3471" t="n">
        <v>18</v>
      </c>
    </row>
    <row r="3472">
      <c r="A3472" t="inlineStr">
        <is>
          <t>ED203547</t>
        </is>
      </c>
      <c r="B3472" s="56" t="n">
        <v>45504.32291666666</v>
      </c>
      <c r="C3472" t="inlineStr">
        <is>
          <t>Bluestone Memorial Hospital</t>
        </is>
      </c>
      <c r="D3472" t="n">
        <v>13</v>
      </c>
    </row>
    <row r="3473">
      <c r="A3473" t="inlineStr">
        <is>
          <t>ED203548</t>
        </is>
      </c>
      <c r="B3473" s="56" t="n">
        <v>45504.46180555555</v>
      </c>
      <c r="C3473" t="inlineStr">
        <is>
          <t>Bluestone Memorial Hospital</t>
        </is>
      </c>
      <c r="D3473" t="n">
        <v>34</v>
      </c>
    </row>
    <row r="3474">
      <c r="A3474" t="inlineStr">
        <is>
          <t>ED203549</t>
        </is>
      </c>
      <c r="B3474" s="56" t="n">
        <v>45504.57152777778</v>
      </c>
      <c r="C3474" t="inlineStr">
        <is>
          <t>Bluestone Memorial Hospital</t>
        </is>
      </c>
      <c r="D3474" t="n">
        <v>43</v>
      </c>
    </row>
    <row r="3475">
      <c r="A3475" t="inlineStr">
        <is>
          <t>ED203550</t>
        </is>
      </c>
      <c r="B3475" s="56" t="n">
        <v>45504.62708333333</v>
      </c>
      <c r="C3475" t="inlineStr">
        <is>
          <t>Cedar Ridge Medical Center</t>
        </is>
      </c>
      <c r="D3475" t="n">
        <v>50</v>
      </c>
    </row>
    <row r="3476">
      <c r="A3476" t="inlineStr">
        <is>
          <t>ED203551</t>
        </is>
      </c>
      <c r="B3476" s="56" t="n">
        <v>45504.67152777778</v>
      </c>
      <c r="C3476" t="inlineStr">
        <is>
          <t>Bluestone Memorial Hospital</t>
        </is>
      </c>
      <c r="D3476" t="n">
        <v>44</v>
      </c>
    </row>
    <row r="3477">
      <c r="A3477" t="inlineStr">
        <is>
          <t>ED203552</t>
        </is>
      </c>
      <c r="B3477" s="56" t="n">
        <v>45504.67708333334</v>
      </c>
      <c r="C3477" t="inlineStr">
        <is>
          <t>Cedar Ridge Medical Center</t>
        </is>
      </c>
      <c r="D3477" t="n">
        <v>22</v>
      </c>
    </row>
    <row r="3478">
      <c r="A3478" t="inlineStr">
        <is>
          <t>ED203553</t>
        </is>
      </c>
      <c r="B3478" s="56" t="n">
        <v>45504.87777777778</v>
      </c>
      <c r="C3478" t="inlineStr">
        <is>
          <t>Bluestone Memorial Hospital</t>
        </is>
      </c>
      <c r="D3478" t="n">
        <v>35</v>
      </c>
    </row>
    <row r="3479">
      <c r="A3479" t="inlineStr">
        <is>
          <t>ED203554</t>
        </is>
      </c>
      <c r="B3479" s="56" t="n">
        <v>45504.93125</v>
      </c>
      <c r="C3479" t="inlineStr">
        <is>
          <t>Bluestone Memorial Hospital</t>
        </is>
      </c>
      <c r="D3479" t="n">
        <v>35</v>
      </c>
    </row>
    <row r="3480">
      <c r="A3480" t="inlineStr">
        <is>
          <t>ED203555</t>
        </is>
      </c>
      <c r="B3480" s="56" t="n">
        <v>45505.01388888889</v>
      </c>
      <c r="C3480" t="inlineStr">
        <is>
          <t>Bluestone Memorial Hospital</t>
        </is>
      </c>
      <c r="D3480" t="n">
        <v>7</v>
      </c>
    </row>
    <row r="3481">
      <c r="A3481" t="inlineStr">
        <is>
          <t>ED203556</t>
        </is>
      </c>
      <c r="B3481" s="56" t="n">
        <v>45505.37847222222</v>
      </c>
      <c r="C3481" t="inlineStr">
        <is>
          <t>Bluestone Memorial Hospital</t>
        </is>
      </c>
      <c r="D3481" t="n">
        <v>66</v>
      </c>
    </row>
    <row r="3482">
      <c r="A3482" t="inlineStr">
        <is>
          <t>ED203557</t>
        </is>
      </c>
      <c r="B3482" s="56" t="n">
        <v>45505.49444444444</v>
      </c>
      <c r="C3482" t="inlineStr">
        <is>
          <t>Cedar Ridge Medical Center</t>
        </is>
      </c>
      <c r="D3482" t="n">
        <v>3</v>
      </c>
    </row>
    <row r="3483">
      <c r="A3483" t="inlineStr">
        <is>
          <t>ED203558</t>
        </is>
      </c>
      <c r="B3483" s="56" t="n">
        <v>45505.55486111111</v>
      </c>
      <c r="C3483" t="inlineStr">
        <is>
          <t>Bluestone Memorial Hospital</t>
        </is>
      </c>
      <c r="D3483" t="n">
        <v>59</v>
      </c>
    </row>
    <row r="3484">
      <c r="A3484" t="inlineStr">
        <is>
          <t>ED203559</t>
        </is>
      </c>
      <c r="B3484" s="56" t="n">
        <v>45505.60277777778</v>
      </c>
      <c r="C3484" t="inlineStr">
        <is>
          <t>Ashby Falls Community Hospital</t>
        </is>
      </c>
      <c r="D3484" t="n">
        <v>70</v>
      </c>
    </row>
    <row r="3485">
      <c r="A3485" t="inlineStr">
        <is>
          <t>ED203560</t>
        </is>
      </c>
      <c r="B3485" s="56" t="n">
        <v>45505.68333333333</v>
      </c>
      <c r="C3485" t="inlineStr">
        <is>
          <t>Ashby Falls Community Hospital</t>
        </is>
      </c>
      <c r="D3485" t="n">
        <v>10</v>
      </c>
    </row>
    <row r="3486">
      <c r="A3486" t="inlineStr">
        <is>
          <t>ED203561</t>
        </is>
      </c>
      <c r="B3486" s="56" t="n">
        <v>45505.68541666667</v>
      </c>
      <c r="C3486" t="inlineStr">
        <is>
          <t>Bluestone Memorial Hospital</t>
        </is>
      </c>
      <c r="D3486" t="n">
        <v>8</v>
      </c>
    </row>
    <row r="3487">
      <c r="A3487" t="inlineStr">
        <is>
          <t>ED203562</t>
        </is>
      </c>
      <c r="B3487" s="56" t="n">
        <v>45505.71736111111</v>
      </c>
      <c r="C3487" t="inlineStr">
        <is>
          <t>Bluestone Memorial Hospital</t>
        </is>
      </c>
      <c r="D3487" t="n">
        <v>40</v>
      </c>
    </row>
    <row r="3488">
      <c r="A3488" t="inlineStr">
        <is>
          <t>ED203563</t>
        </is>
      </c>
      <c r="B3488" s="56" t="n">
        <v>45505.88541666666</v>
      </c>
      <c r="C3488" t="inlineStr">
        <is>
          <t>Cedar Ridge Medical Center</t>
        </is>
      </c>
      <c r="D3488" t="n">
        <v>22</v>
      </c>
    </row>
    <row r="3489">
      <c r="A3489" t="inlineStr">
        <is>
          <t>ED203564</t>
        </is>
      </c>
      <c r="B3489" s="56" t="n">
        <v>45505.90763888889</v>
      </c>
      <c r="C3489" t="inlineStr">
        <is>
          <t>Bluestone Memorial Hospital</t>
        </is>
      </c>
      <c r="D3489" t="n">
        <v>26</v>
      </c>
    </row>
    <row r="3490">
      <c r="A3490" t="inlineStr">
        <is>
          <t>ED203565</t>
        </is>
      </c>
      <c r="B3490" s="56" t="n">
        <v>45505.91111111111</v>
      </c>
      <c r="C3490" t="inlineStr">
        <is>
          <t>Bluestone Memorial Hospital</t>
        </is>
      </c>
      <c r="D3490" t="n">
        <v>56</v>
      </c>
    </row>
    <row r="3491">
      <c r="A3491" t="inlineStr">
        <is>
          <t>ED203566</t>
        </is>
      </c>
      <c r="B3491" s="56" t="n">
        <v>45506.01875</v>
      </c>
      <c r="C3491" t="inlineStr">
        <is>
          <t>Ashby Falls Community Hospital</t>
        </is>
      </c>
      <c r="D3491" t="n">
        <v>24</v>
      </c>
    </row>
    <row r="3492">
      <c r="A3492" t="inlineStr">
        <is>
          <t>ED203567</t>
        </is>
      </c>
      <c r="B3492" s="56" t="n">
        <v>45506.26388888889</v>
      </c>
      <c r="C3492" t="inlineStr">
        <is>
          <t>Cedar Ridge Medical Center</t>
        </is>
      </c>
      <c r="D3492" t="n">
        <v>14</v>
      </c>
    </row>
    <row r="3493">
      <c r="A3493" t="inlineStr">
        <is>
          <t>ED203568</t>
        </is>
      </c>
      <c r="B3493" s="56" t="n">
        <v>45506.33680555555</v>
      </c>
      <c r="C3493" t="inlineStr">
        <is>
          <t>Bluestone Memorial Hospital</t>
        </is>
      </c>
      <c r="D3493" t="n">
        <v>16</v>
      </c>
    </row>
    <row r="3494">
      <c r="A3494" t="inlineStr">
        <is>
          <t>ED203569</t>
        </is>
      </c>
      <c r="B3494" s="56" t="n">
        <v>45506.36458333334</v>
      </c>
      <c r="C3494" t="inlineStr">
        <is>
          <t>Bluestone Memorial Hospital</t>
        </is>
      </c>
      <c r="D3494" t="n">
        <v>50</v>
      </c>
    </row>
    <row r="3495">
      <c r="A3495" t="inlineStr">
        <is>
          <t>ED203570</t>
        </is>
      </c>
      <c r="B3495" s="56" t="n">
        <v>45506.40555555555</v>
      </c>
      <c r="C3495" t="inlineStr">
        <is>
          <t>Bluestone Memorial Hospital</t>
        </is>
      </c>
      <c r="D3495" t="n">
        <v>22</v>
      </c>
    </row>
    <row r="3496">
      <c r="A3496" t="inlineStr">
        <is>
          <t>ED203571</t>
        </is>
      </c>
      <c r="B3496" s="56" t="n">
        <v>45506.43055555555</v>
      </c>
      <c r="C3496" t="inlineStr">
        <is>
          <t>Cedar Ridge Medical Center</t>
        </is>
      </c>
      <c r="D3496" t="n">
        <v>23</v>
      </c>
    </row>
    <row r="3497">
      <c r="A3497" t="inlineStr">
        <is>
          <t>ED203572</t>
        </is>
      </c>
      <c r="B3497" s="56" t="n">
        <v>45506.49305555555</v>
      </c>
      <c r="C3497" t="inlineStr">
        <is>
          <t>Bluestone Memorial Hospital</t>
        </is>
      </c>
      <c r="D3497" t="n">
        <v>23</v>
      </c>
    </row>
    <row r="3498">
      <c r="A3498" t="inlineStr">
        <is>
          <t>ED203573</t>
        </is>
      </c>
      <c r="B3498" s="56" t="n">
        <v>45506.52847222222</v>
      </c>
      <c r="C3498" t="inlineStr">
        <is>
          <t>Bluestone Memorial Hospital</t>
        </is>
      </c>
      <c r="D3498" t="n">
        <v>12</v>
      </c>
    </row>
    <row r="3499">
      <c r="A3499" t="inlineStr">
        <is>
          <t>ED203574</t>
        </is>
      </c>
      <c r="B3499" s="56" t="n">
        <v>45506.53472222222</v>
      </c>
      <c r="C3499" t="inlineStr">
        <is>
          <t>Bluestone Memorial Hospital</t>
        </is>
      </c>
      <c r="D3499" t="n">
        <v>71</v>
      </c>
    </row>
    <row r="3500">
      <c r="A3500" t="inlineStr">
        <is>
          <t>ED203575</t>
        </is>
      </c>
      <c r="B3500" s="56" t="n">
        <v>45506.56041666667</v>
      </c>
      <c r="C3500" t="inlineStr">
        <is>
          <t>Cedar Ridge Medical Center</t>
        </is>
      </c>
      <c r="D3500" t="n">
        <v>18</v>
      </c>
    </row>
    <row r="3501">
      <c r="A3501" t="inlineStr">
        <is>
          <t>ED203576</t>
        </is>
      </c>
      <c r="B3501" s="56" t="n">
        <v>45506.59722222222</v>
      </c>
      <c r="C3501" t="inlineStr">
        <is>
          <t>Bluestone Memorial Hospital</t>
        </is>
      </c>
      <c r="D3501" t="n">
        <v>119</v>
      </c>
    </row>
    <row r="3502">
      <c r="A3502" t="inlineStr">
        <is>
          <t>ED203577</t>
        </is>
      </c>
      <c r="B3502" s="56" t="n">
        <v>45506.63819444444</v>
      </c>
      <c r="C3502" t="inlineStr">
        <is>
          <t>Bluestone Memorial Hospital</t>
        </is>
      </c>
      <c r="D3502" t="n">
        <v>17</v>
      </c>
    </row>
    <row r="3503">
      <c r="A3503" t="inlineStr">
        <is>
          <t>ED203578</t>
        </is>
      </c>
      <c r="B3503" s="56" t="n">
        <v>45506.74930555555</v>
      </c>
      <c r="C3503" t="inlineStr">
        <is>
          <t>Bluestone Memorial Hospital</t>
        </is>
      </c>
      <c r="D3503" t="n">
        <v>63</v>
      </c>
    </row>
    <row r="3504">
      <c r="A3504" t="inlineStr">
        <is>
          <t>ED203579</t>
        </is>
      </c>
      <c r="B3504" s="56" t="n">
        <v>45506.75069444445</v>
      </c>
      <c r="C3504" t="inlineStr">
        <is>
          <t>Bluestone Memorial Hospital</t>
        </is>
      </c>
      <c r="D3504" t="n">
        <v>174</v>
      </c>
    </row>
    <row r="3505">
      <c r="A3505" t="inlineStr">
        <is>
          <t>ED203580</t>
        </is>
      </c>
      <c r="B3505" s="56" t="n">
        <v>45506.76180555556</v>
      </c>
      <c r="C3505" t="inlineStr">
        <is>
          <t>Ashby Falls Community Hospital</t>
        </is>
      </c>
      <c r="D3505" t="n">
        <v>63</v>
      </c>
    </row>
    <row r="3506">
      <c r="A3506" t="inlineStr">
        <is>
          <t>ED203581</t>
        </is>
      </c>
      <c r="B3506" s="56" t="n">
        <v>45506.79236111111</v>
      </c>
      <c r="C3506" t="inlineStr">
        <is>
          <t>Cedar Ridge Medical Center</t>
        </is>
      </c>
      <c r="D3506" t="n">
        <v>51</v>
      </c>
    </row>
    <row r="3507">
      <c r="A3507" t="inlineStr">
        <is>
          <t>ED203582</t>
        </is>
      </c>
      <c r="B3507" s="56" t="n">
        <v>45506.79375</v>
      </c>
      <c r="C3507" t="inlineStr">
        <is>
          <t>Bluestone Memorial Hospital</t>
        </is>
      </c>
      <c r="D3507" t="n">
        <v>3</v>
      </c>
    </row>
    <row r="3508">
      <c r="A3508" t="inlineStr">
        <is>
          <t>ED203583</t>
        </is>
      </c>
      <c r="B3508" s="56" t="n">
        <v>45506.81527777778</v>
      </c>
      <c r="C3508" t="inlineStr">
        <is>
          <t>Ashby Falls Community Hospital</t>
        </is>
      </c>
      <c r="D3508" t="n">
        <v>21</v>
      </c>
    </row>
    <row r="3509">
      <c r="A3509" t="inlineStr">
        <is>
          <t>ED203584</t>
        </is>
      </c>
      <c r="B3509" s="56" t="n">
        <v>45506.89930555555</v>
      </c>
      <c r="C3509" t="inlineStr">
        <is>
          <t>Bluestone Memorial Hospital</t>
        </is>
      </c>
      <c r="D3509" t="n">
        <v>35</v>
      </c>
    </row>
    <row r="3510">
      <c r="A3510" t="inlineStr">
        <is>
          <t>ED203585</t>
        </is>
      </c>
      <c r="B3510" s="56" t="n">
        <v>45507.0125</v>
      </c>
      <c r="C3510" t="inlineStr">
        <is>
          <t>Bluestone Memorial Hospital</t>
        </is>
      </c>
      <c r="D3510" t="n">
        <v>95</v>
      </c>
    </row>
    <row r="3511">
      <c r="A3511" t="inlineStr">
        <is>
          <t>ED203586</t>
        </is>
      </c>
      <c r="B3511" s="56" t="n">
        <v>45507.28888888889</v>
      </c>
      <c r="C3511" t="inlineStr">
        <is>
          <t>Bluestone Memorial Hospital</t>
        </is>
      </c>
      <c r="D3511" t="n">
        <v>14</v>
      </c>
    </row>
    <row r="3512">
      <c r="A3512" t="inlineStr">
        <is>
          <t>ED203587</t>
        </is>
      </c>
      <c r="B3512" s="56" t="n">
        <v>45507.30277777778</v>
      </c>
      <c r="C3512" t="inlineStr">
        <is>
          <t>Ashby Falls Community Hospital</t>
        </is>
      </c>
      <c r="D3512" t="n">
        <v>34</v>
      </c>
    </row>
    <row r="3513">
      <c r="A3513" t="inlineStr">
        <is>
          <t>ED203588</t>
        </is>
      </c>
      <c r="B3513" s="56" t="n">
        <v>45507.38194444445</v>
      </c>
      <c r="C3513" t="inlineStr">
        <is>
          <t>Bluestone Memorial Hospital</t>
        </is>
      </c>
      <c r="D3513" t="n">
        <v>16</v>
      </c>
    </row>
    <row r="3514">
      <c r="A3514" t="inlineStr">
        <is>
          <t>ED203589</t>
        </is>
      </c>
      <c r="B3514" s="56" t="n">
        <v>45507.38680555556</v>
      </c>
      <c r="C3514" t="inlineStr">
        <is>
          <t>Cedar Ridge Medical Center</t>
        </is>
      </c>
      <c r="D3514" t="n">
        <v>20</v>
      </c>
    </row>
    <row r="3515">
      <c r="A3515" t="inlineStr">
        <is>
          <t>ED203590</t>
        </is>
      </c>
      <c r="B3515" s="56" t="n">
        <v>45507.46666666667</v>
      </c>
      <c r="C3515" t="inlineStr">
        <is>
          <t>Bluestone Memorial Hospital</t>
        </is>
      </c>
      <c r="D3515" t="n">
        <v>57</v>
      </c>
    </row>
    <row r="3516">
      <c r="A3516" t="inlineStr">
        <is>
          <t>ED203591</t>
        </is>
      </c>
      <c r="B3516" s="56" t="n">
        <v>45507.52708333333</v>
      </c>
      <c r="C3516" t="inlineStr">
        <is>
          <t>Bluestone Memorial Hospital</t>
        </is>
      </c>
      <c r="D3516" t="n">
        <v>30</v>
      </c>
    </row>
    <row r="3517">
      <c r="A3517" t="inlineStr">
        <is>
          <t>ED203592</t>
        </is>
      </c>
      <c r="B3517" s="56" t="n">
        <v>45507.58263888889</v>
      </c>
      <c r="C3517" t="inlineStr">
        <is>
          <t>Bluestone Memorial Hospital</t>
        </is>
      </c>
      <c r="D3517" t="n">
        <v>8</v>
      </c>
    </row>
    <row r="3518">
      <c r="A3518" t="inlineStr">
        <is>
          <t>ED203593</t>
        </is>
      </c>
      <c r="B3518" s="56" t="n">
        <v>45507.60347222222</v>
      </c>
      <c r="C3518" t="inlineStr">
        <is>
          <t>Cedar Ridge Medical Center</t>
        </is>
      </c>
      <c r="D3518" t="n">
        <v>3</v>
      </c>
    </row>
    <row r="3519">
      <c r="A3519" t="inlineStr">
        <is>
          <t>ED203594</t>
        </is>
      </c>
      <c r="B3519" s="56" t="n">
        <v>45507.70416666667</v>
      </c>
      <c r="C3519" t="inlineStr">
        <is>
          <t>Ashby Falls Community Hospital</t>
        </is>
      </c>
      <c r="D3519" t="n">
        <v>202</v>
      </c>
    </row>
    <row r="3520">
      <c r="A3520" t="inlineStr">
        <is>
          <t>ED203595</t>
        </is>
      </c>
      <c r="B3520" s="56" t="n">
        <v>45507.75833333333</v>
      </c>
      <c r="C3520" t="inlineStr">
        <is>
          <t>Bluestone Memorial Hospital</t>
        </is>
      </c>
      <c r="D3520" t="n">
        <v>56</v>
      </c>
    </row>
    <row r="3521">
      <c r="A3521" t="inlineStr">
        <is>
          <t>ED203596</t>
        </is>
      </c>
      <c r="B3521" s="56" t="n">
        <v>45507.78472222222</v>
      </c>
      <c r="C3521" t="inlineStr">
        <is>
          <t>Ashby Falls Community Hospital</t>
        </is>
      </c>
      <c r="D3521" t="n">
        <v>10</v>
      </c>
    </row>
    <row r="3522">
      <c r="A3522" t="inlineStr">
        <is>
          <t>ED203597</t>
        </is>
      </c>
      <c r="B3522" s="56" t="n">
        <v>45507.80833333333</v>
      </c>
      <c r="C3522" t="inlineStr">
        <is>
          <t>Bluestone Memorial Hospital</t>
        </is>
      </c>
      <c r="D3522" t="n">
        <v>14</v>
      </c>
    </row>
    <row r="3523">
      <c r="A3523" t="inlineStr">
        <is>
          <t>ED203598</t>
        </is>
      </c>
      <c r="B3523" s="56" t="n">
        <v>45507.82777777778</v>
      </c>
      <c r="C3523" t="inlineStr">
        <is>
          <t>Ashby Falls Community Hospital</t>
        </is>
      </c>
      <c r="D3523" t="n">
        <v>37</v>
      </c>
    </row>
    <row r="3524">
      <c r="A3524" t="inlineStr">
        <is>
          <t>ED203599</t>
        </is>
      </c>
      <c r="B3524" s="56" t="n">
        <v>45507.90069444444</v>
      </c>
      <c r="C3524" t="inlineStr">
        <is>
          <t>Cedar Ridge Medical Center</t>
        </is>
      </c>
      <c r="D3524" t="n">
        <v>98</v>
      </c>
    </row>
    <row r="3525">
      <c r="A3525" t="inlineStr">
        <is>
          <t>ED203600</t>
        </is>
      </c>
      <c r="B3525" s="56" t="n">
        <v>45507.91527777778</v>
      </c>
      <c r="C3525" t="inlineStr">
        <is>
          <t>Bluestone Memorial Hospital</t>
        </is>
      </c>
      <c r="D3525" t="n">
        <v>35</v>
      </c>
    </row>
    <row r="3526">
      <c r="A3526" t="inlineStr">
        <is>
          <t>ED203601</t>
        </is>
      </c>
      <c r="B3526" s="56" t="n">
        <v>45507.93611111111</v>
      </c>
      <c r="C3526" t="inlineStr">
        <is>
          <t>Bluestone Memorial Hospital</t>
        </is>
      </c>
      <c r="D3526" t="n">
        <v>24</v>
      </c>
    </row>
    <row r="3527">
      <c r="A3527" t="inlineStr">
        <is>
          <t>ED203602</t>
        </is>
      </c>
      <c r="B3527" s="56" t="n">
        <v>45508.25347222222</v>
      </c>
      <c r="C3527" t="inlineStr">
        <is>
          <t>Bluestone Memorial Hospital</t>
        </is>
      </c>
      <c r="D3527" t="n">
        <v>61</v>
      </c>
    </row>
    <row r="3528">
      <c r="A3528" t="inlineStr">
        <is>
          <t>ED203603</t>
        </is>
      </c>
      <c r="B3528" s="56" t="n">
        <v>45508.32291666666</v>
      </c>
      <c r="C3528" t="inlineStr">
        <is>
          <t>Bluestone Memorial Hospital</t>
        </is>
      </c>
      <c r="D3528" t="n">
        <v>23</v>
      </c>
    </row>
    <row r="3529">
      <c r="A3529" t="inlineStr">
        <is>
          <t>ED203604</t>
        </is>
      </c>
      <c r="B3529" s="56" t="n">
        <v>45508.38958333333</v>
      </c>
      <c r="C3529" t="inlineStr">
        <is>
          <t>Cedar Ridge Medical Center</t>
        </is>
      </c>
      <c r="D3529" t="n">
        <v>50</v>
      </c>
    </row>
    <row r="3530">
      <c r="A3530" t="inlineStr">
        <is>
          <t>ED203605</t>
        </is>
      </c>
      <c r="B3530" s="56" t="n">
        <v>45508.39097222222</v>
      </c>
      <c r="C3530" t="inlineStr">
        <is>
          <t>Ashby Falls Community Hospital</t>
        </is>
      </c>
      <c r="D3530" t="n">
        <v>89</v>
      </c>
    </row>
    <row r="3531">
      <c r="A3531" t="inlineStr">
        <is>
          <t>ED203606</t>
        </is>
      </c>
      <c r="B3531" s="56" t="n">
        <v>45508.41527777778</v>
      </c>
      <c r="C3531" t="inlineStr">
        <is>
          <t>Bluestone Memorial Hospital</t>
        </is>
      </c>
      <c r="D3531" t="n">
        <v>10</v>
      </c>
    </row>
    <row r="3532">
      <c r="A3532" t="inlineStr">
        <is>
          <t>ED203607</t>
        </is>
      </c>
      <c r="B3532" s="56" t="n">
        <v>45508.41666666666</v>
      </c>
      <c r="C3532" t="inlineStr">
        <is>
          <t>Bluestone Memorial Hospital</t>
        </is>
      </c>
      <c r="D3532" t="n">
        <v>80</v>
      </c>
    </row>
    <row r="3533">
      <c r="A3533" t="inlineStr">
        <is>
          <t>ED203608</t>
        </is>
      </c>
      <c r="B3533" s="56" t="n">
        <v>45508.43402777778</v>
      </c>
      <c r="C3533" t="inlineStr">
        <is>
          <t>Ashby Falls Community Hospital</t>
        </is>
      </c>
      <c r="D3533" t="n">
        <v>20</v>
      </c>
    </row>
    <row r="3534">
      <c r="A3534" t="inlineStr">
        <is>
          <t>ED203609</t>
        </is>
      </c>
      <c r="B3534" s="56" t="n">
        <v>45508.49513888889</v>
      </c>
      <c r="C3534" t="inlineStr">
        <is>
          <t>Bluestone Memorial Hospital</t>
        </is>
      </c>
      <c r="D3534" t="n">
        <v>64</v>
      </c>
    </row>
    <row r="3535">
      <c r="A3535" t="inlineStr">
        <is>
          <t>ED203610</t>
        </is>
      </c>
      <c r="B3535" s="56" t="n">
        <v>45508.60833333333</v>
      </c>
      <c r="C3535" t="inlineStr">
        <is>
          <t>Bluestone Memorial Hospital</t>
        </is>
      </c>
      <c r="D3535" t="n">
        <v>61</v>
      </c>
    </row>
    <row r="3536">
      <c r="A3536" t="inlineStr">
        <is>
          <t>ED203611</t>
        </is>
      </c>
      <c r="B3536" s="56" t="n">
        <v>45508.61736111111</v>
      </c>
      <c r="C3536" t="inlineStr">
        <is>
          <t>Bluestone Memorial Hospital</t>
        </is>
      </c>
      <c r="D3536" t="n">
        <v>40</v>
      </c>
    </row>
    <row r="3537">
      <c r="A3537" t="inlineStr">
        <is>
          <t>ED203612</t>
        </is>
      </c>
      <c r="B3537" s="56" t="n">
        <v>45508.64027777778</v>
      </c>
      <c r="C3537" t="inlineStr">
        <is>
          <t>Bluestone Memorial Hospital</t>
        </is>
      </c>
      <c r="D3537" t="n">
        <v>18</v>
      </c>
    </row>
    <row r="3538">
      <c r="A3538" t="inlineStr">
        <is>
          <t>ED203613</t>
        </is>
      </c>
      <c r="B3538" s="56" t="n">
        <v>45508.65625</v>
      </c>
      <c r="C3538" t="inlineStr">
        <is>
          <t>Cedar Ridge Medical Center</t>
        </is>
      </c>
      <c r="D3538" t="n">
        <v>104</v>
      </c>
    </row>
    <row r="3539">
      <c r="A3539" t="inlineStr">
        <is>
          <t>ED203614</t>
        </is>
      </c>
      <c r="B3539" s="56" t="n">
        <v>45508.68055555555</v>
      </c>
      <c r="C3539" t="inlineStr">
        <is>
          <t>Bluestone Memorial Hospital</t>
        </is>
      </c>
      <c r="D3539" t="n">
        <v>28</v>
      </c>
    </row>
    <row r="3540">
      <c r="A3540" t="inlineStr">
        <is>
          <t>ED203615</t>
        </is>
      </c>
      <c r="B3540" s="56" t="n">
        <v>45508.86319444444</v>
      </c>
      <c r="C3540" t="inlineStr">
        <is>
          <t>Bluestone Memorial Hospital</t>
        </is>
      </c>
      <c r="D3540" t="n">
        <v>55</v>
      </c>
    </row>
    <row r="3541">
      <c r="A3541" t="inlineStr">
        <is>
          <t>ED203616</t>
        </is>
      </c>
      <c r="B3541" s="56" t="n">
        <v>45508.97986111111</v>
      </c>
      <c r="C3541" t="inlineStr">
        <is>
          <t>Bluestone Memorial Hospital</t>
        </is>
      </c>
      <c r="D3541" t="n">
        <v>19</v>
      </c>
    </row>
    <row r="3542">
      <c r="A3542" t="inlineStr">
        <is>
          <t>ED203617</t>
        </is>
      </c>
      <c r="B3542" s="56" t="n">
        <v>45509.00555555556</v>
      </c>
      <c r="C3542" t="inlineStr">
        <is>
          <t>Bluestone Memorial Hospital</t>
        </is>
      </c>
      <c r="D3542" t="n">
        <v>12</v>
      </c>
    </row>
    <row r="3543">
      <c r="A3543" t="inlineStr">
        <is>
          <t>ED203618</t>
        </is>
      </c>
      <c r="B3543" s="56" t="n">
        <v>45509.02361111111</v>
      </c>
      <c r="C3543" t="inlineStr">
        <is>
          <t>Cedar Ridge Medical Center</t>
        </is>
      </c>
      <c r="D3543" t="n">
        <v>33</v>
      </c>
    </row>
    <row r="3544">
      <c r="A3544" t="inlineStr">
        <is>
          <t>ED203619</t>
        </is>
      </c>
      <c r="B3544" s="56" t="n">
        <v>45509.02430555555</v>
      </c>
      <c r="C3544" t="inlineStr">
        <is>
          <t>Bluestone Memorial Hospital</t>
        </is>
      </c>
      <c r="D3544" t="n">
        <v>16</v>
      </c>
    </row>
    <row r="3545">
      <c r="A3545" t="inlineStr">
        <is>
          <t>ED203620</t>
        </is>
      </c>
      <c r="B3545" s="56" t="n">
        <v>45509.13680555556</v>
      </c>
      <c r="C3545" t="inlineStr">
        <is>
          <t>Bluestone Memorial Hospital</t>
        </is>
      </c>
      <c r="D3545" t="n">
        <v>53</v>
      </c>
    </row>
    <row r="3546">
      <c r="A3546" t="inlineStr">
        <is>
          <t>ED203621</t>
        </is>
      </c>
      <c r="B3546" s="56" t="n">
        <v>45509.37916666667</v>
      </c>
      <c r="C3546" t="inlineStr">
        <is>
          <t>Bluestone Memorial Hospital</t>
        </is>
      </c>
      <c r="D3546" t="n">
        <v>32</v>
      </c>
    </row>
    <row r="3547">
      <c r="A3547" t="inlineStr">
        <is>
          <t>ED203622</t>
        </is>
      </c>
      <c r="B3547" s="56" t="n">
        <v>45509.37986111111</v>
      </c>
      <c r="C3547" t="inlineStr">
        <is>
          <t>Bluestone Memorial Hospital</t>
        </is>
      </c>
      <c r="D3547" t="n">
        <v>24</v>
      </c>
    </row>
    <row r="3548">
      <c r="A3548" t="inlineStr">
        <is>
          <t>ED203623</t>
        </is>
      </c>
      <c r="B3548" s="56" t="n">
        <v>45509.43263888889</v>
      </c>
      <c r="C3548" t="inlineStr">
        <is>
          <t>Cedar Ridge Medical Center</t>
        </is>
      </c>
      <c r="D3548" t="n">
        <v>78</v>
      </c>
    </row>
    <row r="3549">
      <c r="A3549" t="inlineStr">
        <is>
          <t>ED203624</t>
        </is>
      </c>
      <c r="B3549" s="56" t="n">
        <v>45509.49583333333</v>
      </c>
      <c r="C3549" t="inlineStr">
        <is>
          <t>Bluestone Memorial Hospital</t>
        </is>
      </c>
      <c r="D3549" t="n">
        <v>103</v>
      </c>
    </row>
    <row r="3550">
      <c r="A3550" t="inlineStr">
        <is>
          <t>ED203625</t>
        </is>
      </c>
      <c r="B3550" s="56" t="n">
        <v>45509.59236111111</v>
      </c>
      <c r="C3550" t="inlineStr">
        <is>
          <t>Bluestone Memorial Hospital</t>
        </is>
      </c>
      <c r="D3550" t="n">
        <v>104</v>
      </c>
    </row>
    <row r="3551">
      <c r="A3551" t="inlineStr">
        <is>
          <t>ED203626</t>
        </is>
      </c>
      <c r="B3551" s="56" t="n">
        <v>45509.62361111111</v>
      </c>
      <c r="C3551" t="inlineStr">
        <is>
          <t>Bluestone Memorial Hospital</t>
        </is>
      </c>
      <c r="D3551" t="n">
        <v>1</v>
      </c>
    </row>
    <row r="3552">
      <c r="A3552" t="inlineStr">
        <is>
          <t>ED203627</t>
        </is>
      </c>
      <c r="B3552" s="56" t="n">
        <v>45509.74513888889</v>
      </c>
      <c r="C3552" t="inlineStr">
        <is>
          <t>Bluestone Memorial Hospital</t>
        </is>
      </c>
      <c r="D3552" t="n">
        <v>52</v>
      </c>
    </row>
    <row r="3553">
      <c r="A3553" t="inlineStr">
        <is>
          <t>ED203628</t>
        </is>
      </c>
      <c r="B3553" s="56" t="n">
        <v>45509.77083333334</v>
      </c>
      <c r="C3553" t="inlineStr">
        <is>
          <t>Bluestone Memorial Hospital</t>
        </is>
      </c>
      <c r="D3553" t="n">
        <v>15</v>
      </c>
    </row>
    <row r="3554">
      <c r="A3554" t="inlineStr">
        <is>
          <t>ED203630</t>
        </is>
      </c>
      <c r="B3554" s="56" t="n">
        <v>45509.9125</v>
      </c>
      <c r="C3554" t="inlineStr">
        <is>
          <t>Cedar Ridge Medical Center</t>
        </is>
      </c>
      <c r="D3554" t="n">
        <v>28</v>
      </c>
    </row>
    <row r="3555">
      <c r="A3555" t="inlineStr">
        <is>
          <t>ED203631</t>
        </is>
      </c>
      <c r="B3555" s="56" t="n">
        <v>45510.08541666667</v>
      </c>
      <c r="C3555" t="inlineStr">
        <is>
          <t>Cedar Ridge Medical Center</t>
        </is>
      </c>
      <c r="D3555" t="n">
        <v>57</v>
      </c>
    </row>
    <row r="3556">
      <c r="A3556" t="inlineStr">
        <is>
          <t>ED203632</t>
        </is>
      </c>
      <c r="B3556" s="56" t="n">
        <v>45510.08958333333</v>
      </c>
      <c r="C3556" t="inlineStr">
        <is>
          <t>Bluestone Memorial Hospital</t>
        </is>
      </c>
      <c r="D3556" t="n">
        <v>17</v>
      </c>
    </row>
    <row r="3557">
      <c r="A3557" t="inlineStr">
        <is>
          <t>ED203633</t>
        </is>
      </c>
      <c r="B3557" s="56" t="n">
        <v>45510.14583333334</v>
      </c>
      <c r="C3557" t="inlineStr">
        <is>
          <t>Bluestone Memorial Hospital</t>
        </is>
      </c>
      <c r="D3557" t="n">
        <v>14</v>
      </c>
    </row>
    <row r="3558">
      <c r="A3558" t="inlineStr">
        <is>
          <t>ED203634</t>
        </is>
      </c>
      <c r="B3558" s="56" t="n">
        <v>45510.3375</v>
      </c>
      <c r="C3558" t="inlineStr">
        <is>
          <t>Ashby Falls Community Hospital</t>
        </is>
      </c>
      <c r="D3558" t="n">
        <v>57</v>
      </c>
    </row>
    <row r="3559">
      <c r="A3559" t="inlineStr">
        <is>
          <t>ED203635</t>
        </is>
      </c>
      <c r="B3559" s="56" t="n">
        <v>45510.37083333333</v>
      </c>
      <c r="C3559" t="inlineStr">
        <is>
          <t>Bluestone Memorial Hospital</t>
        </is>
      </c>
      <c r="D3559" t="n">
        <v>9</v>
      </c>
    </row>
    <row r="3560">
      <c r="A3560" t="inlineStr">
        <is>
          <t>ED203636</t>
        </is>
      </c>
      <c r="B3560" s="56" t="n">
        <v>45510.48055555556</v>
      </c>
      <c r="C3560" t="inlineStr">
        <is>
          <t>Bluestone Memorial Hospital</t>
        </is>
      </c>
      <c r="D3560" t="n">
        <v>54</v>
      </c>
    </row>
    <row r="3561">
      <c r="A3561" t="inlineStr">
        <is>
          <t>ED203637</t>
        </is>
      </c>
      <c r="B3561" s="56" t="n">
        <v>45510.51805555556</v>
      </c>
      <c r="C3561" t="inlineStr">
        <is>
          <t>Bluestone Memorial Hospital</t>
        </is>
      </c>
      <c r="D3561" t="n">
        <v>11</v>
      </c>
    </row>
    <row r="3562">
      <c r="A3562" t="inlineStr">
        <is>
          <t>ED203638</t>
        </is>
      </c>
      <c r="B3562" s="56" t="n">
        <v>45510.55277777778</v>
      </c>
      <c r="C3562" t="inlineStr">
        <is>
          <t>Bluestone Memorial Hospital</t>
        </is>
      </c>
      <c r="D3562" t="n">
        <v>2</v>
      </c>
    </row>
    <row r="3563">
      <c r="A3563" t="inlineStr">
        <is>
          <t>ED203639</t>
        </is>
      </c>
      <c r="B3563" s="56" t="n">
        <v>45510.55833333333</v>
      </c>
      <c r="C3563" t="inlineStr">
        <is>
          <t>Bluestone Memorial Hospital</t>
        </is>
      </c>
      <c r="D3563" t="n">
        <v>53</v>
      </c>
    </row>
    <row r="3564">
      <c r="A3564" t="inlineStr">
        <is>
          <t>ED203640</t>
        </is>
      </c>
      <c r="B3564" s="56" t="n">
        <v>45510.57638888889</v>
      </c>
      <c r="C3564" t="inlineStr">
        <is>
          <t>Bluestone Memorial Hospital</t>
        </is>
      </c>
      <c r="D3564" t="n">
        <v>28</v>
      </c>
    </row>
    <row r="3565">
      <c r="A3565" t="inlineStr">
        <is>
          <t>ED203641</t>
        </is>
      </c>
      <c r="B3565" s="56" t="n">
        <v>45510.59027777778</v>
      </c>
      <c r="C3565" t="inlineStr">
        <is>
          <t>Bluestone Memorial Hospital</t>
        </is>
      </c>
      <c r="D3565" t="n">
        <v>32</v>
      </c>
    </row>
    <row r="3566">
      <c r="A3566" t="inlineStr">
        <is>
          <t>ED203642</t>
        </is>
      </c>
      <c r="B3566" s="56" t="n">
        <v>45510.62777777778</v>
      </c>
      <c r="C3566" t="inlineStr">
        <is>
          <t>Ashby Falls Community Hospital</t>
        </is>
      </c>
      <c r="D3566" t="n">
        <v>8</v>
      </c>
    </row>
    <row r="3567">
      <c r="A3567" t="inlineStr">
        <is>
          <t>ED203643</t>
        </is>
      </c>
      <c r="B3567" s="56" t="n">
        <v>45510.67361111111</v>
      </c>
      <c r="C3567" t="inlineStr">
        <is>
          <t>Bluestone Memorial Hospital</t>
        </is>
      </c>
      <c r="D3567" t="n">
        <v>42</v>
      </c>
    </row>
    <row r="3568">
      <c r="A3568" t="inlineStr">
        <is>
          <t>ED203644</t>
        </is>
      </c>
      <c r="B3568" s="56" t="n">
        <v>45510.68263888889</v>
      </c>
      <c r="C3568" t="inlineStr">
        <is>
          <t>Bluestone Memorial Hospital</t>
        </is>
      </c>
      <c r="D3568" t="n">
        <v>72</v>
      </c>
    </row>
    <row r="3569">
      <c r="A3569" t="inlineStr">
        <is>
          <t>ED203645</t>
        </is>
      </c>
      <c r="B3569" s="56" t="n">
        <v>45510.75277777778</v>
      </c>
      <c r="C3569" t="inlineStr">
        <is>
          <t>Ashby Falls Community Hospital</t>
        </is>
      </c>
      <c r="D3569" t="n">
        <v>61</v>
      </c>
    </row>
    <row r="3570">
      <c r="A3570" t="inlineStr">
        <is>
          <t>ED203646</t>
        </is>
      </c>
      <c r="B3570" s="56" t="n">
        <v>45510.80763888889</v>
      </c>
      <c r="C3570" t="inlineStr">
        <is>
          <t>Bluestone Memorial Hospital</t>
        </is>
      </c>
      <c r="D3570" t="n">
        <v>17</v>
      </c>
    </row>
    <row r="3571">
      <c r="A3571" t="inlineStr">
        <is>
          <t>ED203647</t>
        </is>
      </c>
      <c r="B3571" s="56" t="n">
        <v>45510.94791666666</v>
      </c>
      <c r="C3571" t="inlineStr">
        <is>
          <t>Bluestone Memorial Hospital</t>
        </is>
      </c>
      <c r="D3571" t="n">
        <v>42</v>
      </c>
    </row>
    <row r="3572">
      <c r="A3572" t="inlineStr">
        <is>
          <t>ED203648</t>
        </is>
      </c>
      <c r="B3572" s="56" t="n">
        <v>45511.12708333333</v>
      </c>
      <c r="C3572" t="inlineStr">
        <is>
          <t>Bluestone Memorial Hospital</t>
        </is>
      </c>
      <c r="D3572" t="n">
        <v>1</v>
      </c>
    </row>
    <row r="3573">
      <c r="A3573" t="inlineStr">
        <is>
          <t>ED203649</t>
        </is>
      </c>
      <c r="B3573" s="56" t="n">
        <v>45511.13333333333</v>
      </c>
      <c r="C3573" t="inlineStr">
        <is>
          <t>Bluestone Memorial Hospital</t>
        </is>
      </c>
      <c r="D3573" t="n">
        <v>36</v>
      </c>
    </row>
    <row r="3574">
      <c r="A3574" t="inlineStr">
        <is>
          <t>ED203650</t>
        </is>
      </c>
      <c r="B3574" s="56" t="n">
        <v>45511.14722222222</v>
      </c>
      <c r="C3574" t="inlineStr">
        <is>
          <t>Cedar Ridge Medical Center</t>
        </is>
      </c>
      <c r="D3574" t="n">
        <v>68</v>
      </c>
    </row>
    <row r="3575">
      <c r="A3575" t="inlineStr">
        <is>
          <t>ED203651</t>
        </is>
      </c>
      <c r="B3575" s="56" t="n">
        <v>45511.22708333333</v>
      </c>
      <c r="C3575" t="inlineStr">
        <is>
          <t>Ashby Falls Community Hospital</t>
        </is>
      </c>
      <c r="D3575" t="n">
        <v>42</v>
      </c>
    </row>
    <row r="3576">
      <c r="A3576" t="inlineStr">
        <is>
          <t>ED203652</t>
        </is>
      </c>
      <c r="B3576" s="56" t="n">
        <v>45511.29930555556</v>
      </c>
      <c r="C3576" t="inlineStr">
        <is>
          <t>Cedar Ridge Medical Center</t>
        </is>
      </c>
      <c r="D3576" t="n">
        <v>32</v>
      </c>
    </row>
    <row r="3577">
      <c r="A3577" t="inlineStr">
        <is>
          <t>ED203653</t>
        </is>
      </c>
      <c r="B3577" s="56" t="n">
        <v>45511.45625</v>
      </c>
      <c r="C3577" t="inlineStr">
        <is>
          <t>Bluestone Memorial Hospital</t>
        </is>
      </c>
      <c r="D3577" t="n">
        <v>58</v>
      </c>
    </row>
    <row r="3578">
      <c r="A3578" t="inlineStr">
        <is>
          <t>ED203654</t>
        </is>
      </c>
      <c r="B3578" s="56" t="n">
        <v>45511.47222222222</v>
      </c>
      <c r="C3578" t="inlineStr">
        <is>
          <t>Ashby Falls Community Hospital</t>
        </is>
      </c>
      <c r="D3578" t="n">
        <v>20</v>
      </c>
    </row>
    <row r="3579">
      <c r="A3579" t="inlineStr">
        <is>
          <t>ED203655</t>
        </is>
      </c>
      <c r="B3579" s="56" t="n">
        <v>45511.50416666667</v>
      </c>
      <c r="C3579" t="inlineStr">
        <is>
          <t>Bluestone Memorial Hospital</t>
        </is>
      </c>
      <c r="D3579" t="n">
        <v>37</v>
      </c>
    </row>
    <row r="3580">
      <c r="A3580" t="inlineStr">
        <is>
          <t>ED203656</t>
        </is>
      </c>
      <c r="B3580" s="56" t="n">
        <v>45511.53055555555</v>
      </c>
      <c r="C3580" t="inlineStr">
        <is>
          <t>Ashby Falls Community Hospital</t>
        </is>
      </c>
      <c r="D3580" t="n">
        <v>115</v>
      </c>
    </row>
    <row r="3581">
      <c r="A3581" t="inlineStr">
        <is>
          <t>ED203657</t>
        </is>
      </c>
      <c r="B3581" s="56" t="n">
        <v>45511.54375</v>
      </c>
      <c r="C3581" t="inlineStr">
        <is>
          <t>Cedar Ridge Medical Center</t>
        </is>
      </c>
      <c r="D3581" t="n">
        <v>12</v>
      </c>
    </row>
    <row r="3582">
      <c r="A3582" t="inlineStr">
        <is>
          <t>ED203658</t>
        </is>
      </c>
      <c r="B3582" s="56" t="n">
        <v>45511.63611111111</v>
      </c>
      <c r="C3582" t="inlineStr">
        <is>
          <t>Bluestone Memorial Hospital</t>
        </is>
      </c>
      <c r="D3582" t="n">
        <v>24</v>
      </c>
    </row>
    <row r="3583">
      <c r="A3583" t="inlineStr">
        <is>
          <t>ED203659</t>
        </is>
      </c>
      <c r="B3583" s="56" t="n">
        <v>45511.64444444444</v>
      </c>
      <c r="C3583" t="inlineStr">
        <is>
          <t>Ashby Falls Community Hospital</t>
        </is>
      </c>
      <c r="D3583" t="n">
        <v>77</v>
      </c>
    </row>
    <row r="3584">
      <c r="A3584" t="inlineStr">
        <is>
          <t>ED203660</t>
        </is>
      </c>
      <c r="B3584" s="56" t="n">
        <v>45511.65833333333</v>
      </c>
      <c r="C3584" t="inlineStr">
        <is>
          <t>Bluestone Memorial Hospital</t>
        </is>
      </c>
      <c r="D3584" t="n">
        <v>29</v>
      </c>
    </row>
    <row r="3585">
      <c r="A3585" t="inlineStr">
        <is>
          <t>ED203661</t>
        </is>
      </c>
      <c r="B3585" s="56" t="n">
        <v>45511.6875</v>
      </c>
      <c r="C3585" t="inlineStr">
        <is>
          <t>Bluestone Memorial Hospital</t>
        </is>
      </c>
      <c r="D3585" t="n">
        <v>20</v>
      </c>
    </row>
    <row r="3586">
      <c r="A3586" t="inlineStr">
        <is>
          <t>ED203662</t>
        </is>
      </c>
      <c r="B3586" s="56" t="n">
        <v>45511.73263888889</v>
      </c>
      <c r="C3586" t="inlineStr">
        <is>
          <t>Cedar Ridge Medical Center</t>
        </is>
      </c>
      <c r="D3586" t="n">
        <v>40</v>
      </c>
    </row>
    <row r="3587">
      <c r="A3587" t="inlineStr">
        <is>
          <t>ED203663</t>
        </is>
      </c>
      <c r="B3587" s="56" t="n">
        <v>45511.76875</v>
      </c>
      <c r="C3587" t="inlineStr">
        <is>
          <t>Bluestone Memorial Hospital</t>
        </is>
      </c>
      <c r="D3587" t="n">
        <v>42</v>
      </c>
    </row>
    <row r="3588">
      <c r="A3588" t="inlineStr">
        <is>
          <t>ED203664</t>
        </is>
      </c>
      <c r="B3588" s="56" t="n">
        <v>45511.81944444445</v>
      </c>
      <c r="C3588" t="inlineStr">
        <is>
          <t>Bluestone Memorial Hospital</t>
        </is>
      </c>
      <c r="D3588" t="n">
        <v>21</v>
      </c>
    </row>
    <row r="3589">
      <c r="A3589" t="inlineStr">
        <is>
          <t>ED203665</t>
        </is>
      </c>
      <c r="B3589" s="56" t="n">
        <v>45511.91666666666</v>
      </c>
      <c r="C3589" t="inlineStr">
        <is>
          <t>Bluestone Memorial Hospital</t>
        </is>
      </c>
      <c r="D3589" t="n">
        <v>19</v>
      </c>
    </row>
    <row r="3590">
      <c r="A3590" t="inlineStr">
        <is>
          <t>ED203666</t>
        </is>
      </c>
      <c r="B3590" s="56" t="n">
        <v>45512.19513888889</v>
      </c>
      <c r="C3590" t="inlineStr">
        <is>
          <t>Bluestone Memorial Hospital</t>
        </is>
      </c>
      <c r="D3590" t="n">
        <v>33</v>
      </c>
    </row>
    <row r="3591">
      <c r="A3591" t="inlineStr">
        <is>
          <t>ED203667</t>
        </is>
      </c>
      <c r="B3591" s="56" t="n">
        <v>45512.40208333333</v>
      </c>
      <c r="C3591" t="inlineStr">
        <is>
          <t>Bluestone Memorial Hospital</t>
        </is>
      </c>
      <c r="D3591" t="n">
        <v>2</v>
      </c>
    </row>
    <row r="3592">
      <c r="A3592" t="inlineStr">
        <is>
          <t>ED203668</t>
        </is>
      </c>
      <c r="B3592" s="56" t="n">
        <v>45512.42847222222</v>
      </c>
      <c r="C3592" t="inlineStr">
        <is>
          <t>Bluestone Memorial Hospital</t>
        </is>
      </c>
      <c r="D3592" t="n">
        <v>14</v>
      </c>
    </row>
    <row r="3593">
      <c r="A3593" t="inlineStr">
        <is>
          <t>ED203669</t>
        </is>
      </c>
      <c r="B3593" s="56" t="n">
        <v>45512.63541666666</v>
      </c>
      <c r="C3593" t="inlineStr">
        <is>
          <t>Ashby Falls Community Hospital</t>
        </is>
      </c>
      <c r="D3593" t="n">
        <v>45</v>
      </c>
    </row>
    <row r="3594">
      <c r="A3594" t="inlineStr">
        <is>
          <t>ED203670</t>
        </is>
      </c>
      <c r="B3594" s="56" t="n">
        <v>45512.64513888889</v>
      </c>
      <c r="C3594" t="inlineStr">
        <is>
          <t>Bluestone Memorial Hospital</t>
        </is>
      </c>
      <c r="D3594" t="n">
        <v>54</v>
      </c>
    </row>
    <row r="3595">
      <c r="A3595" t="inlineStr">
        <is>
          <t>ED203671</t>
        </is>
      </c>
      <c r="B3595" s="56" t="n">
        <v>45512.7</v>
      </c>
      <c r="C3595" t="inlineStr">
        <is>
          <t>Ashby Falls Community Hospital</t>
        </is>
      </c>
      <c r="D3595" t="n">
        <v>90</v>
      </c>
    </row>
    <row r="3596">
      <c r="A3596" t="inlineStr">
        <is>
          <t>ED203672</t>
        </is>
      </c>
      <c r="B3596" s="56" t="n">
        <v>45512.76319444444</v>
      </c>
      <c r="C3596" t="inlineStr">
        <is>
          <t>Bluestone Memorial Hospital</t>
        </is>
      </c>
      <c r="D3596" t="n">
        <v>54</v>
      </c>
    </row>
    <row r="3597">
      <c r="A3597" t="inlineStr">
        <is>
          <t>ED203673</t>
        </is>
      </c>
      <c r="B3597" s="56" t="n">
        <v>45512.89166666667</v>
      </c>
      <c r="C3597" t="inlineStr">
        <is>
          <t>Bluestone Memorial Hospital</t>
        </is>
      </c>
      <c r="D3597" t="n">
        <v>38</v>
      </c>
    </row>
    <row r="3598">
      <c r="A3598" t="inlineStr">
        <is>
          <t>ED203674</t>
        </is>
      </c>
      <c r="B3598" s="56" t="n">
        <v>45513.05416666667</v>
      </c>
      <c r="C3598" t="inlineStr">
        <is>
          <t>Bluestone Memorial Hospital</t>
        </is>
      </c>
      <c r="D3598" t="n">
        <v>39</v>
      </c>
    </row>
    <row r="3599">
      <c r="A3599" t="inlineStr">
        <is>
          <t>ED203675</t>
        </is>
      </c>
      <c r="B3599" s="56" t="n">
        <v>45513.21111111111</v>
      </c>
      <c r="C3599" t="inlineStr">
        <is>
          <t>Bluestone Memorial Hospital</t>
        </is>
      </c>
      <c r="D3599" t="n">
        <v>100</v>
      </c>
    </row>
    <row r="3600">
      <c r="A3600" t="inlineStr">
        <is>
          <t>ED203676</t>
        </is>
      </c>
      <c r="B3600" s="56" t="n">
        <v>45513.24861111111</v>
      </c>
      <c r="C3600" t="inlineStr">
        <is>
          <t>Cedar Ridge Medical Center</t>
        </is>
      </c>
      <c r="D3600" t="n">
        <v>16</v>
      </c>
    </row>
    <row r="3601">
      <c r="A3601" t="inlineStr">
        <is>
          <t>ED203677</t>
        </is>
      </c>
      <c r="B3601" s="56" t="n">
        <v>45513.275</v>
      </c>
      <c r="C3601" t="inlineStr">
        <is>
          <t>Bluestone Memorial Hospital</t>
        </is>
      </c>
      <c r="D3601" t="n">
        <v>121</v>
      </c>
    </row>
    <row r="3602">
      <c r="A3602" t="inlineStr">
        <is>
          <t>ED203678</t>
        </is>
      </c>
      <c r="B3602" s="56" t="n">
        <v>45513.37916666667</v>
      </c>
      <c r="C3602" t="inlineStr">
        <is>
          <t>Bluestone Memorial Hospital</t>
        </is>
      </c>
      <c r="D3602" t="n">
        <v>79</v>
      </c>
    </row>
    <row r="3603">
      <c r="A3603" t="inlineStr">
        <is>
          <t>ED203679</t>
        </is>
      </c>
      <c r="B3603" s="56" t="n">
        <v>45513.46736111111</v>
      </c>
      <c r="C3603" t="inlineStr">
        <is>
          <t>Cedar Ridge Medical Center</t>
        </is>
      </c>
      <c r="D3603" t="n">
        <v>93</v>
      </c>
    </row>
    <row r="3604">
      <c r="A3604" t="inlineStr">
        <is>
          <t>ED203680</t>
        </is>
      </c>
      <c r="B3604" s="56" t="n">
        <v>45513.53541666667</v>
      </c>
      <c r="C3604" t="inlineStr">
        <is>
          <t>Cedar Ridge Medical Center</t>
        </is>
      </c>
      <c r="D3604" t="n">
        <v>51</v>
      </c>
    </row>
    <row r="3605">
      <c r="A3605" t="inlineStr">
        <is>
          <t>ED203681</t>
        </is>
      </c>
      <c r="B3605" s="56" t="n">
        <v>45513.57847222222</v>
      </c>
      <c r="C3605" t="inlineStr">
        <is>
          <t>Cedar Ridge Medical Center</t>
        </is>
      </c>
      <c r="D3605" t="n">
        <v>22</v>
      </c>
    </row>
    <row r="3606">
      <c r="A3606" t="inlineStr">
        <is>
          <t>ED203682</t>
        </is>
      </c>
      <c r="B3606" s="56" t="n">
        <v>45513.58680555555</v>
      </c>
      <c r="C3606" t="inlineStr">
        <is>
          <t>Bluestone Memorial Hospital</t>
        </is>
      </c>
      <c r="D3606" t="n">
        <v>10</v>
      </c>
    </row>
    <row r="3607">
      <c r="A3607" t="inlineStr">
        <is>
          <t>ED203683</t>
        </is>
      </c>
      <c r="B3607" s="56" t="n">
        <v>45513.63263888889</v>
      </c>
      <c r="C3607" t="inlineStr">
        <is>
          <t>Bluestone Memorial Hospital</t>
        </is>
      </c>
      <c r="D3607" t="n">
        <v>87</v>
      </c>
    </row>
    <row r="3608">
      <c r="A3608" t="inlineStr">
        <is>
          <t>ED203684</t>
        </is>
      </c>
      <c r="B3608" s="56" t="n">
        <v>45513.63333333333</v>
      </c>
      <c r="C3608" t="inlineStr">
        <is>
          <t>Ashby Falls Community Hospital</t>
        </is>
      </c>
      <c r="D3608" t="n">
        <v>40</v>
      </c>
    </row>
    <row r="3609">
      <c r="A3609" t="inlineStr">
        <is>
          <t>ED203685</t>
        </is>
      </c>
      <c r="B3609" s="56" t="n">
        <v>45513.65833333333</v>
      </c>
      <c r="C3609" t="inlineStr">
        <is>
          <t>Bluestone Memorial Hospital</t>
        </is>
      </c>
      <c r="D3609" t="n">
        <v>31</v>
      </c>
    </row>
    <row r="3610">
      <c r="A3610" t="inlineStr">
        <is>
          <t>ED203686</t>
        </is>
      </c>
      <c r="B3610" s="56" t="n">
        <v>45513.74097222222</v>
      </c>
      <c r="C3610" t="inlineStr">
        <is>
          <t>Bluestone Memorial Hospital</t>
        </is>
      </c>
      <c r="D3610" t="n">
        <v>41</v>
      </c>
    </row>
    <row r="3611">
      <c r="A3611" t="inlineStr">
        <is>
          <t>ED203687</t>
        </is>
      </c>
      <c r="B3611" s="56" t="n">
        <v>45513.74861111111</v>
      </c>
      <c r="C3611" t="inlineStr">
        <is>
          <t>Bluestone Memorial Hospital</t>
        </is>
      </c>
      <c r="D3611" t="n">
        <v>123</v>
      </c>
    </row>
    <row r="3612">
      <c r="A3612" t="inlineStr">
        <is>
          <t>ED203688</t>
        </is>
      </c>
      <c r="B3612" s="56" t="n">
        <v>45513.76319444444</v>
      </c>
      <c r="C3612" t="inlineStr">
        <is>
          <t>Bluestone Memorial Hospital</t>
        </is>
      </c>
      <c r="D3612" t="n">
        <v>98</v>
      </c>
    </row>
    <row r="3613">
      <c r="A3613" t="inlineStr">
        <is>
          <t>ED203689</t>
        </is>
      </c>
      <c r="B3613" s="56" t="n">
        <v>45513.77569444444</v>
      </c>
      <c r="C3613" t="inlineStr">
        <is>
          <t>Cedar Ridge Medical Center</t>
        </is>
      </c>
      <c r="D3613" t="n">
        <v>82</v>
      </c>
    </row>
    <row r="3614">
      <c r="A3614" t="inlineStr">
        <is>
          <t>ED203690</t>
        </is>
      </c>
      <c r="B3614" s="56" t="n">
        <v>45514.44027777778</v>
      </c>
      <c r="C3614" t="inlineStr">
        <is>
          <t>Cedar Ridge Medical Center</t>
        </is>
      </c>
      <c r="D3614" t="n">
        <v>64</v>
      </c>
    </row>
    <row r="3615">
      <c r="A3615" t="inlineStr">
        <is>
          <t>ED203691</t>
        </is>
      </c>
      <c r="B3615" s="56" t="n">
        <v>45514.48541666667</v>
      </c>
      <c r="C3615" t="inlineStr">
        <is>
          <t>Cedar Ridge Medical Center</t>
        </is>
      </c>
      <c r="D3615" t="n">
        <v>57</v>
      </c>
    </row>
    <row r="3616">
      <c r="A3616" t="inlineStr">
        <is>
          <t>ED203692</t>
        </is>
      </c>
      <c r="B3616" s="56" t="n">
        <v>45514.50416666667</v>
      </c>
      <c r="C3616" t="inlineStr">
        <is>
          <t>Bluestone Memorial Hospital</t>
        </is>
      </c>
      <c r="D3616" t="n">
        <v>67</v>
      </c>
    </row>
    <row r="3617">
      <c r="A3617" t="inlineStr">
        <is>
          <t>ED203693</t>
        </is>
      </c>
      <c r="B3617" s="56" t="n">
        <v>45514.57291666666</v>
      </c>
      <c r="C3617" t="inlineStr">
        <is>
          <t>Bluestone Memorial Hospital</t>
        </is>
      </c>
      <c r="D3617" t="n">
        <v>101</v>
      </c>
    </row>
    <row r="3618">
      <c r="A3618" t="inlineStr">
        <is>
          <t>ED203694</t>
        </is>
      </c>
      <c r="B3618" s="56" t="n">
        <v>45514.64375</v>
      </c>
      <c r="C3618" t="inlineStr">
        <is>
          <t>Bluestone Memorial Hospital</t>
        </is>
      </c>
      <c r="D3618" t="n">
        <v>53</v>
      </c>
    </row>
    <row r="3619">
      <c r="A3619" t="inlineStr">
        <is>
          <t>ED203695</t>
        </is>
      </c>
      <c r="B3619" s="56" t="n">
        <v>45514.64444444444</v>
      </c>
      <c r="C3619" t="inlineStr">
        <is>
          <t>Ashby Falls Community Hospital</t>
        </is>
      </c>
      <c r="D3619" t="n">
        <v>10</v>
      </c>
    </row>
    <row r="3620">
      <c r="A3620" t="inlineStr">
        <is>
          <t>ED203696</t>
        </is>
      </c>
      <c r="B3620" s="56" t="n">
        <v>45514.70694444444</v>
      </c>
      <c r="C3620" t="inlineStr">
        <is>
          <t>Bluestone Memorial Hospital</t>
        </is>
      </c>
      <c r="D3620" t="n">
        <v>205</v>
      </c>
    </row>
    <row r="3621">
      <c r="A3621" t="inlineStr">
        <is>
          <t>ED203697</t>
        </is>
      </c>
      <c r="B3621" s="56" t="n">
        <v>45514.85277777778</v>
      </c>
      <c r="C3621" t="inlineStr">
        <is>
          <t>Ashby Falls Community Hospital</t>
        </is>
      </c>
      <c r="D3621" t="n">
        <v>62</v>
      </c>
    </row>
    <row r="3622">
      <c r="A3622" t="inlineStr">
        <is>
          <t>ED203698</t>
        </is>
      </c>
      <c r="B3622" s="56" t="n">
        <v>45514.87916666667</v>
      </c>
      <c r="C3622" t="inlineStr">
        <is>
          <t>Bluestone Memorial Hospital</t>
        </is>
      </c>
      <c r="D3622" t="n">
        <v>16</v>
      </c>
    </row>
    <row r="3623">
      <c r="A3623" t="inlineStr">
        <is>
          <t>ED203699</t>
        </is>
      </c>
      <c r="B3623" s="56" t="n">
        <v>45514.99236111111</v>
      </c>
      <c r="C3623" t="inlineStr">
        <is>
          <t>Cedar Ridge Medical Center</t>
        </is>
      </c>
      <c r="D3623" t="n">
        <v>14</v>
      </c>
    </row>
    <row r="3624">
      <c r="A3624" t="inlineStr">
        <is>
          <t>ED203700</t>
        </is>
      </c>
      <c r="B3624" s="56" t="n">
        <v>45515.33263888889</v>
      </c>
      <c r="C3624" t="inlineStr">
        <is>
          <t>Bluestone Memorial Hospital</t>
        </is>
      </c>
      <c r="D3624" t="n">
        <v>123</v>
      </c>
    </row>
    <row r="3625">
      <c r="A3625" t="inlineStr">
        <is>
          <t>ED203701</t>
        </is>
      </c>
      <c r="B3625" s="56" t="n">
        <v>45515.39791666667</v>
      </c>
      <c r="C3625" t="inlineStr">
        <is>
          <t>Bluestone Memorial Hospital</t>
        </is>
      </c>
      <c r="D3625" t="n">
        <v>23</v>
      </c>
    </row>
    <row r="3626">
      <c r="A3626" t="inlineStr">
        <is>
          <t>ED203702</t>
        </is>
      </c>
      <c r="B3626" s="56" t="n">
        <v>45515.47569444445</v>
      </c>
      <c r="C3626" t="inlineStr">
        <is>
          <t>Cedar Ridge Medical Center</t>
        </is>
      </c>
      <c r="D3626" t="n">
        <v>31</v>
      </c>
    </row>
    <row r="3627">
      <c r="A3627" t="inlineStr">
        <is>
          <t>ED203703</t>
        </is>
      </c>
      <c r="B3627" s="56" t="n">
        <v>45515.49583333333</v>
      </c>
      <c r="C3627" t="inlineStr">
        <is>
          <t>Bluestone Memorial Hospital</t>
        </is>
      </c>
      <c r="D3627" t="n">
        <v>76</v>
      </c>
    </row>
    <row r="3628">
      <c r="A3628" t="inlineStr">
        <is>
          <t>ED203704</t>
        </is>
      </c>
      <c r="B3628" s="56" t="n">
        <v>45515.50972222222</v>
      </c>
      <c r="C3628" t="inlineStr">
        <is>
          <t>Bluestone Memorial Hospital</t>
        </is>
      </c>
      <c r="D3628" t="n">
        <v>109</v>
      </c>
    </row>
    <row r="3629">
      <c r="A3629" t="inlineStr">
        <is>
          <t>ED203705</t>
        </is>
      </c>
      <c r="B3629" s="56" t="n">
        <v>45515.51805555556</v>
      </c>
      <c r="C3629" t="inlineStr">
        <is>
          <t>Cedar Ridge Medical Center</t>
        </is>
      </c>
      <c r="D3629" t="n">
        <v>169</v>
      </c>
    </row>
    <row r="3630">
      <c r="A3630" t="inlineStr">
        <is>
          <t>ED203706</t>
        </is>
      </c>
      <c r="B3630" s="56" t="n">
        <v>45515.53958333333</v>
      </c>
      <c r="C3630" t="inlineStr">
        <is>
          <t>Bluestone Memorial Hospital</t>
        </is>
      </c>
      <c r="D3630" t="n">
        <v>10</v>
      </c>
    </row>
    <row r="3631">
      <c r="A3631" t="inlineStr">
        <is>
          <t>ED203707</t>
        </is>
      </c>
      <c r="B3631" s="56" t="n">
        <v>45515.54305555556</v>
      </c>
      <c r="C3631" t="inlineStr">
        <is>
          <t>Bluestone Memorial Hospital</t>
        </is>
      </c>
      <c r="D3631" t="n">
        <v>27</v>
      </c>
    </row>
    <row r="3632">
      <c r="A3632" t="inlineStr">
        <is>
          <t>ED203708</t>
        </is>
      </c>
      <c r="B3632" s="56" t="n">
        <v>45515.56527777778</v>
      </c>
      <c r="C3632" t="inlineStr">
        <is>
          <t>Bluestone Memorial Hospital</t>
        </is>
      </c>
      <c r="D3632" t="n">
        <v>41</v>
      </c>
    </row>
    <row r="3633">
      <c r="A3633" t="inlineStr">
        <is>
          <t>ED203709</t>
        </is>
      </c>
      <c r="B3633" s="56" t="n">
        <v>45515.61597222222</v>
      </c>
      <c r="C3633" t="inlineStr">
        <is>
          <t>Bluestone Memorial Hospital</t>
        </is>
      </c>
      <c r="D3633" t="n">
        <v>58</v>
      </c>
    </row>
    <row r="3634">
      <c r="A3634" t="inlineStr">
        <is>
          <t>ED203710</t>
        </is>
      </c>
      <c r="B3634" s="56" t="n">
        <v>45515.7375</v>
      </c>
      <c r="C3634" t="inlineStr">
        <is>
          <t>Bluestone Memorial Hospital</t>
        </is>
      </c>
      <c r="D3634" t="n">
        <v>11</v>
      </c>
    </row>
    <row r="3635">
      <c r="A3635" t="inlineStr">
        <is>
          <t>ED203711</t>
        </is>
      </c>
      <c r="B3635" s="56" t="n">
        <v>45515.74930555555</v>
      </c>
      <c r="C3635" t="inlineStr">
        <is>
          <t>Cedar Ridge Medical Center</t>
        </is>
      </c>
      <c r="D3635" t="n">
        <v>30</v>
      </c>
    </row>
    <row r="3636">
      <c r="A3636" t="inlineStr">
        <is>
          <t>ED203712</t>
        </is>
      </c>
      <c r="B3636" s="56" t="n">
        <v>45515.81041666667</v>
      </c>
      <c r="C3636" t="inlineStr">
        <is>
          <t>Bluestone Memorial Hospital</t>
        </is>
      </c>
      <c r="D3636" t="n">
        <v>19</v>
      </c>
    </row>
    <row r="3637">
      <c r="A3637" t="inlineStr">
        <is>
          <t>ED203713</t>
        </is>
      </c>
      <c r="B3637" s="56" t="n">
        <v>45515.92847222222</v>
      </c>
      <c r="C3637" t="inlineStr">
        <is>
          <t>Bluestone Memorial Hospital</t>
        </is>
      </c>
      <c r="D3637" t="n">
        <v>20</v>
      </c>
    </row>
    <row r="3638">
      <c r="A3638" t="inlineStr">
        <is>
          <t>ED203714</t>
        </is>
      </c>
      <c r="B3638" s="56" t="n">
        <v>45515.93819444445</v>
      </c>
      <c r="C3638" t="inlineStr">
        <is>
          <t>Bluestone Memorial Hospital</t>
        </is>
      </c>
      <c r="D3638" t="n">
        <v>63</v>
      </c>
    </row>
    <row r="3639">
      <c r="A3639" t="inlineStr">
        <is>
          <t>ED203715</t>
        </is>
      </c>
      <c r="B3639" s="56" t="n">
        <v>45515.95833333334</v>
      </c>
      <c r="C3639" t="inlineStr">
        <is>
          <t>Ashby Falls Community Hospital</t>
        </is>
      </c>
      <c r="D3639" t="n">
        <v>72</v>
      </c>
    </row>
    <row r="3640">
      <c r="A3640" t="inlineStr">
        <is>
          <t>ED203716</t>
        </is>
      </c>
      <c r="B3640" s="56" t="n">
        <v>45515.96805555555</v>
      </c>
      <c r="C3640" t="inlineStr">
        <is>
          <t>Cedar Ridge Medical Center</t>
        </is>
      </c>
      <c r="D3640" t="n">
        <v>22</v>
      </c>
    </row>
    <row r="3641">
      <c r="A3641" t="inlineStr">
        <is>
          <t>ED203717</t>
        </is>
      </c>
      <c r="B3641" s="56" t="n">
        <v>45516.09444444445</v>
      </c>
      <c r="C3641" t="inlineStr">
        <is>
          <t>Bluestone Memorial Hospital</t>
        </is>
      </c>
      <c r="D3641" t="n">
        <v>14</v>
      </c>
    </row>
    <row r="3642">
      <c r="A3642" t="inlineStr">
        <is>
          <t>ED203718</t>
        </is>
      </c>
      <c r="B3642" s="56" t="n">
        <v>45516.27430555555</v>
      </c>
      <c r="C3642" t="inlineStr">
        <is>
          <t>Bluestone Memorial Hospital</t>
        </is>
      </c>
      <c r="D3642" t="n">
        <v>31</v>
      </c>
    </row>
    <row r="3643">
      <c r="A3643" t="inlineStr">
        <is>
          <t>ED203719</t>
        </is>
      </c>
      <c r="B3643" s="56" t="n">
        <v>45516.37708333333</v>
      </c>
      <c r="C3643" t="inlineStr">
        <is>
          <t>Cedar Ridge Medical Center</t>
        </is>
      </c>
      <c r="D3643" t="n">
        <v>53</v>
      </c>
    </row>
    <row r="3644">
      <c r="A3644" t="inlineStr">
        <is>
          <t>ED203720</t>
        </is>
      </c>
      <c r="B3644" s="56" t="n">
        <v>45516.41388888889</v>
      </c>
      <c r="C3644" t="inlineStr">
        <is>
          <t>Bluestone Memorial Hospital</t>
        </is>
      </c>
      <c r="D3644" t="n">
        <v>45</v>
      </c>
    </row>
    <row r="3645">
      <c r="A3645" t="inlineStr">
        <is>
          <t>ED203721</t>
        </is>
      </c>
      <c r="B3645" s="56" t="n">
        <v>45516.44375</v>
      </c>
      <c r="C3645" t="inlineStr">
        <is>
          <t>Bluestone Memorial Hospital</t>
        </is>
      </c>
      <c r="D3645" t="n">
        <v>175</v>
      </c>
    </row>
    <row r="3646">
      <c r="A3646" t="inlineStr">
        <is>
          <t>ED203722</t>
        </is>
      </c>
      <c r="B3646" s="56" t="n">
        <v>45516.48819444444</v>
      </c>
      <c r="C3646" t="inlineStr">
        <is>
          <t>Ashby Falls Community Hospital</t>
        </is>
      </c>
      <c r="D3646" t="n">
        <v>99</v>
      </c>
    </row>
    <row r="3647">
      <c r="A3647" t="inlineStr">
        <is>
          <t>ED203723</t>
        </is>
      </c>
      <c r="B3647" s="56" t="n">
        <v>45516.54375</v>
      </c>
      <c r="C3647" t="inlineStr">
        <is>
          <t>Bluestone Memorial Hospital</t>
        </is>
      </c>
      <c r="D3647" t="n">
        <v>33</v>
      </c>
    </row>
    <row r="3648">
      <c r="A3648" t="inlineStr">
        <is>
          <t>ED203724</t>
        </is>
      </c>
      <c r="B3648" s="56" t="n">
        <v>45516.66111111111</v>
      </c>
      <c r="C3648" t="inlineStr">
        <is>
          <t>Cedar Ridge Medical Center</t>
        </is>
      </c>
      <c r="D3648" t="n">
        <v>92</v>
      </c>
    </row>
    <row r="3649">
      <c r="A3649" t="inlineStr">
        <is>
          <t>ED203725</t>
        </is>
      </c>
      <c r="B3649" s="56" t="n">
        <v>45516.70138888889</v>
      </c>
      <c r="C3649" t="inlineStr">
        <is>
          <t>Cedar Ridge Medical Center</t>
        </is>
      </c>
      <c r="D3649" t="n">
        <v>63</v>
      </c>
    </row>
    <row r="3650">
      <c r="A3650" t="inlineStr">
        <is>
          <t>ED203726</t>
        </is>
      </c>
      <c r="B3650" s="56" t="n">
        <v>45516.70833333334</v>
      </c>
      <c r="C3650" t="inlineStr">
        <is>
          <t>Bluestone Memorial Hospital</t>
        </is>
      </c>
      <c r="D3650" t="n">
        <v>63</v>
      </c>
    </row>
    <row r="3651">
      <c r="A3651" t="inlineStr">
        <is>
          <t>ED203727</t>
        </is>
      </c>
      <c r="B3651" s="56" t="n">
        <v>45516.77430555555</v>
      </c>
      <c r="C3651" t="inlineStr">
        <is>
          <t>Bluestone Memorial Hospital</t>
        </is>
      </c>
      <c r="D3651" t="n">
        <v>8</v>
      </c>
    </row>
    <row r="3652">
      <c r="A3652" t="inlineStr">
        <is>
          <t>ED203728</t>
        </is>
      </c>
      <c r="B3652" s="56" t="n">
        <v>45516.80833333333</v>
      </c>
      <c r="C3652" t="inlineStr">
        <is>
          <t>Cedar Ridge Medical Center</t>
        </is>
      </c>
      <c r="D3652" t="n">
        <v>110</v>
      </c>
    </row>
    <row r="3653">
      <c r="A3653" t="inlineStr">
        <is>
          <t>ED203729</t>
        </is>
      </c>
      <c r="B3653" s="56" t="n">
        <v>45516.81319444445</v>
      </c>
      <c r="C3653" t="inlineStr">
        <is>
          <t>Ashby Falls Community Hospital</t>
        </is>
      </c>
      <c r="D3653" t="n">
        <v>28</v>
      </c>
    </row>
    <row r="3654">
      <c r="A3654" t="inlineStr">
        <is>
          <t>ED203730</t>
        </is>
      </c>
      <c r="B3654" s="56" t="n">
        <v>45516.85277777778</v>
      </c>
      <c r="C3654" t="inlineStr">
        <is>
          <t>Ashby Falls Community Hospital</t>
        </is>
      </c>
      <c r="D3654" t="n">
        <v>5</v>
      </c>
    </row>
    <row r="3655">
      <c r="A3655" t="inlineStr">
        <is>
          <t>ED203731</t>
        </is>
      </c>
      <c r="B3655" s="56" t="n">
        <v>45516.96041666667</v>
      </c>
      <c r="C3655" t="inlineStr">
        <is>
          <t>Bluestone Memorial Hospital</t>
        </is>
      </c>
      <c r="D3655" t="n">
        <v>49</v>
      </c>
    </row>
    <row r="3656">
      <c r="A3656" t="inlineStr">
        <is>
          <t>ED203732</t>
        </is>
      </c>
      <c r="B3656" s="56" t="n">
        <v>45517.01944444444</v>
      </c>
      <c r="C3656" t="inlineStr">
        <is>
          <t>Bluestone Memorial Hospital</t>
        </is>
      </c>
      <c r="D3656" t="n">
        <v>71</v>
      </c>
    </row>
    <row r="3657">
      <c r="A3657" t="inlineStr">
        <is>
          <t>ED203733</t>
        </is>
      </c>
      <c r="B3657" s="56" t="n">
        <v>45517.15694444445</v>
      </c>
      <c r="C3657" t="inlineStr">
        <is>
          <t>Bluestone Memorial Hospital</t>
        </is>
      </c>
      <c r="D3657" t="n">
        <v>62</v>
      </c>
    </row>
    <row r="3658">
      <c r="A3658" t="inlineStr">
        <is>
          <t>ED203734</t>
        </is>
      </c>
      <c r="B3658" s="56" t="n">
        <v>45517.23472222222</v>
      </c>
      <c r="C3658" t="inlineStr">
        <is>
          <t>Bluestone Memorial Hospital</t>
        </is>
      </c>
      <c r="D3658" t="n">
        <v>54</v>
      </c>
    </row>
    <row r="3659">
      <c r="A3659" t="inlineStr">
        <is>
          <t>ED203735</t>
        </is>
      </c>
      <c r="B3659" s="56" t="n">
        <v>45517.43263888889</v>
      </c>
      <c r="C3659" t="inlineStr">
        <is>
          <t>Bluestone Memorial Hospital</t>
        </is>
      </c>
      <c r="D3659" t="n">
        <v>21</v>
      </c>
    </row>
    <row r="3660">
      <c r="A3660" t="inlineStr">
        <is>
          <t>ED203737</t>
        </is>
      </c>
      <c r="B3660" s="56" t="n">
        <v>45517.54375</v>
      </c>
      <c r="C3660" t="inlineStr">
        <is>
          <t>Bluestone Memorial Hospital</t>
        </is>
      </c>
      <c r="D3660" t="n">
        <v>31</v>
      </c>
    </row>
    <row r="3661">
      <c r="A3661" t="inlineStr">
        <is>
          <t>ED203738</t>
        </is>
      </c>
      <c r="B3661" s="56" t="n">
        <v>45517.55902777778</v>
      </c>
      <c r="C3661" t="inlineStr">
        <is>
          <t>Bluestone Memorial Hospital</t>
        </is>
      </c>
      <c r="D3661" t="n">
        <v>74</v>
      </c>
    </row>
    <row r="3662">
      <c r="A3662" t="inlineStr">
        <is>
          <t>ED203739</t>
        </is>
      </c>
      <c r="B3662" s="56" t="n">
        <v>45517.56944444445</v>
      </c>
      <c r="C3662" t="inlineStr">
        <is>
          <t>Cedar Ridge Medical Center</t>
        </is>
      </c>
      <c r="D3662" t="n">
        <v>66</v>
      </c>
    </row>
    <row r="3663">
      <c r="A3663" t="inlineStr">
        <is>
          <t>ED203740</t>
        </is>
      </c>
      <c r="B3663" s="56" t="n">
        <v>45517.61180555556</v>
      </c>
      <c r="C3663" t="inlineStr">
        <is>
          <t>Ashby Falls Community Hospital</t>
        </is>
      </c>
      <c r="D3663" t="n">
        <v>17</v>
      </c>
    </row>
    <row r="3664">
      <c r="A3664" t="inlineStr">
        <is>
          <t>ED203741</t>
        </is>
      </c>
      <c r="B3664" s="56" t="n">
        <v>45517.63680555556</v>
      </c>
      <c r="C3664" t="inlineStr">
        <is>
          <t>Bluestone Memorial Hospital</t>
        </is>
      </c>
      <c r="D3664" t="n">
        <v>58</v>
      </c>
    </row>
    <row r="3665">
      <c r="A3665" t="inlineStr">
        <is>
          <t>ED203742</t>
        </is>
      </c>
      <c r="B3665" s="56" t="n">
        <v>45517.6625</v>
      </c>
      <c r="C3665" t="inlineStr">
        <is>
          <t>Bluestone Memorial Hospital</t>
        </is>
      </c>
      <c r="D3665" t="n">
        <v>40</v>
      </c>
    </row>
    <row r="3666">
      <c r="A3666" t="inlineStr">
        <is>
          <t>ED203743</t>
        </is>
      </c>
      <c r="B3666" s="56" t="n">
        <v>45517.70972222222</v>
      </c>
      <c r="C3666" t="inlineStr">
        <is>
          <t>Bluestone Memorial Hospital</t>
        </is>
      </c>
      <c r="D3666" t="n">
        <v>22</v>
      </c>
    </row>
    <row r="3667">
      <c r="A3667" t="inlineStr">
        <is>
          <t>ED203744</t>
        </is>
      </c>
      <c r="B3667" s="56" t="n">
        <v>45517.82569444444</v>
      </c>
      <c r="C3667" t="inlineStr">
        <is>
          <t>Bluestone Memorial Hospital</t>
        </is>
      </c>
      <c r="D3667" t="n">
        <v>71</v>
      </c>
    </row>
    <row r="3668">
      <c r="A3668" t="inlineStr">
        <is>
          <t>ED203745</t>
        </is>
      </c>
      <c r="B3668" s="56" t="n">
        <v>45517.92916666667</v>
      </c>
      <c r="C3668" t="inlineStr">
        <is>
          <t>Bluestone Memorial Hospital</t>
        </is>
      </c>
      <c r="D3668" t="n">
        <v>112</v>
      </c>
    </row>
    <row r="3669">
      <c r="A3669" t="inlineStr">
        <is>
          <t>ED203746</t>
        </is>
      </c>
      <c r="B3669" s="56" t="n">
        <v>45517.93194444444</v>
      </c>
      <c r="C3669" t="inlineStr">
        <is>
          <t>Bluestone Memorial Hospital</t>
        </is>
      </c>
      <c r="D3669" t="n">
        <v>24</v>
      </c>
    </row>
    <row r="3670">
      <c r="A3670" t="inlineStr">
        <is>
          <t>ED203747</t>
        </is>
      </c>
      <c r="B3670" s="56" t="n">
        <v>45518.38611111111</v>
      </c>
      <c r="C3670" t="inlineStr">
        <is>
          <t>Bluestone Memorial Hospital</t>
        </is>
      </c>
      <c r="D3670" t="n">
        <v>88</v>
      </c>
    </row>
    <row r="3671">
      <c r="A3671" t="inlineStr">
        <is>
          <t>ED203748</t>
        </is>
      </c>
      <c r="B3671" s="56" t="n">
        <v>45518.39305555556</v>
      </c>
      <c r="C3671" t="inlineStr">
        <is>
          <t>Bluestone Memorial Hospital</t>
        </is>
      </c>
      <c r="D3671" t="n">
        <v>51</v>
      </c>
    </row>
    <row r="3672">
      <c r="A3672" t="inlineStr">
        <is>
          <t>ED203749</t>
        </is>
      </c>
      <c r="B3672" s="56" t="n">
        <v>45518.45347222222</v>
      </c>
      <c r="C3672" t="inlineStr">
        <is>
          <t>Bluestone Memorial Hospital</t>
        </is>
      </c>
      <c r="D3672" t="n">
        <v>72</v>
      </c>
    </row>
    <row r="3673">
      <c r="A3673" t="inlineStr">
        <is>
          <t>ED203750</t>
        </is>
      </c>
      <c r="B3673" s="56" t="n">
        <v>45518.48055555556</v>
      </c>
      <c r="C3673" t="inlineStr">
        <is>
          <t>Bluestone Memorial Hospital</t>
        </is>
      </c>
      <c r="D3673" t="n">
        <v>40</v>
      </c>
    </row>
    <row r="3674">
      <c r="A3674" t="inlineStr">
        <is>
          <t>ED203751</t>
        </is>
      </c>
      <c r="B3674" s="56" t="n">
        <v>45518.55902777778</v>
      </c>
      <c r="C3674" t="inlineStr">
        <is>
          <t>Bluestone Memorial Hospital</t>
        </is>
      </c>
      <c r="D3674" t="n">
        <v>60</v>
      </c>
    </row>
    <row r="3675">
      <c r="A3675" t="inlineStr">
        <is>
          <t>ED203752</t>
        </is>
      </c>
      <c r="B3675" s="56" t="n">
        <v>45518.56319444445</v>
      </c>
      <c r="C3675" t="inlineStr">
        <is>
          <t>Bluestone Memorial Hospital</t>
        </is>
      </c>
      <c r="D3675" t="n">
        <v>71</v>
      </c>
    </row>
    <row r="3676">
      <c r="A3676" t="inlineStr">
        <is>
          <t>ED203753</t>
        </is>
      </c>
      <c r="B3676" s="56" t="n">
        <v>45518.61111111111</v>
      </c>
      <c r="C3676" t="inlineStr">
        <is>
          <t>Bluestone Memorial Hospital</t>
        </is>
      </c>
      <c r="D3676" t="n">
        <v>42</v>
      </c>
    </row>
    <row r="3677">
      <c r="A3677" t="inlineStr">
        <is>
          <t>ED203754</t>
        </is>
      </c>
      <c r="B3677" s="56" t="n">
        <v>45518.66597222222</v>
      </c>
      <c r="C3677" t="inlineStr">
        <is>
          <t>Bluestone Memorial Hospital</t>
        </is>
      </c>
      <c r="D3677" t="n">
        <v>51</v>
      </c>
    </row>
    <row r="3678">
      <c r="A3678" t="inlineStr">
        <is>
          <t>ED203755</t>
        </is>
      </c>
      <c r="B3678" s="56" t="n">
        <v>45518.675</v>
      </c>
      <c r="C3678" t="inlineStr">
        <is>
          <t>Ashby Falls Community Hospital</t>
        </is>
      </c>
      <c r="D3678" t="n">
        <v>12</v>
      </c>
    </row>
    <row r="3679">
      <c r="A3679" t="inlineStr">
        <is>
          <t>ED203756</t>
        </is>
      </c>
      <c r="B3679" s="56" t="n">
        <v>45518.72013888889</v>
      </c>
      <c r="C3679" t="inlineStr">
        <is>
          <t>Bluestone Memorial Hospital</t>
        </is>
      </c>
      <c r="D3679" t="n">
        <v>110</v>
      </c>
    </row>
    <row r="3680">
      <c r="A3680" t="inlineStr">
        <is>
          <t>ED203757</t>
        </is>
      </c>
      <c r="B3680" s="56" t="n">
        <v>45518.76805555556</v>
      </c>
      <c r="C3680" t="inlineStr">
        <is>
          <t>Bluestone Memorial Hospital</t>
        </is>
      </c>
      <c r="D3680" t="n">
        <v>38</v>
      </c>
    </row>
    <row r="3681">
      <c r="A3681" t="inlineStr">
        <is>
          <t>ED203758</t>
        </is>
      </c>
      <c r="B3681" s="56" t="n">
        <v>45518.78333333333</v>
      </c>
      <c r="C3681" t="inlineStr">
        <is>
          <t>Bluestone Memorial Hospital</t>
        </is>
      </c>
      <c r="D3681" t="n">
        <v>48</v>
      </c>
    </row>
    <row r="3682">
      <c r="A3682" t="inlineStr">
        <is>
          <t>ED203759</t>
        </is>
      </c>
      <c r="B3682" s="56" t="n">
        <v>45518.82152777778</v>
      </c>
      <c r="C3682" t="inlineStr">
        <is>
          <t>Bluestone Memorial Hospital</t>
        </is>
      </c>
      <c r="D3682" t="n">
        <v>24</v>
      </c>
    </row>
    <row r="3683">
      <c r="A3683" t="inlineStr">
        <is>
          <t>ED203760</t>
        </is>
      </c>
      <c r="B3683" s="56" t="n">
        <v>45518.84305555555</v>
      </c>
      <c r="C3683" t="inlineStr">
        <is>
          <t>Cedar Ridge Medical Center</t>
        </is>
      </c>
      <c r="D3683" t="n">
        <v>57</v>
      </c>
    </row>
    <row r="3684">
      <c r="A3684" t="inlineStr">
        <is>
          <t>ED203761</t>
        </is>
      </c>
      <c r="B3684" s="56" t="n">
        <v>45518.85972222222</v>
      </c>
      <c r="C3684" t="inlineStr">
        <is>
          <t>Bluestone Memorial Hospital</t>
        </is>
      </c>
      <c r="D3684" t="n">
        <v>33</v>
      </c>
    </row>
    <row r="3685">
      <c r="A3685" t="inlineStr">
        <is>
          <t>ED203762</t>
        </is>
      </c>
      <c r="B3685" s="56" t="n">
        <v>45518.8625</v>
      </c>
      <c r="C3685" t="inlineStr">
        <is>
          <t>Bluestone Memorial Hospital</t>
        </is>
      </c>
      <c r="D3685" t="n">
        <v>31</v>
      </c>
    </row>
    <row r="3686">
      <c r="A3686" t="inlineStr">
        <is>
          <t>ED203763</t>
        </is>
      </c>
      <c r="B3686" s="56" t="n">
        <v>45518.98125</v>
      </c>
      <c r="C3686" t="inlineStr">
        <is>
          <t>Bluestone Memorial Hospital</t>
        </is>
      </c>
      <c r="D3686" t="n">
        <v>73</v>
      </c>
    </row>
    <row r="3687">
      <c r="A3687" t="inlineStr">
        <is>
          <t>ED203764</t>
        </is>
      </c>
      <c r="B3687" s="56" t="n">
        <v>45519.38125</v>
      </c>
      <c r="C3687" t="inlineStr">
        <is>
          <t>Ashby Falls Community Hospital</t>
        </is>
      </c>
      <c r="D3687" t="n">
        <v>56</v>
      </c>
    </row>
    <row r="3688">
      <c r="A3688" t="inlineStr">
        <is>
          <t>ED203765</t>
        </is>
      </c>
      <c r="B3688" s="56" t="n">
        <v>45519.38888888889</v>
      </c>
      <c r="C3688" t="inlineStr">
        <is>
          <t>Bluestone Memorial Hospital</t>
        </is>
      </c>
      <c r="D3688" t="n">
        <v>77</v>
      </c>
    </row>
    <row r="3689">
      <c r="A3689" t="inlineStr">
        <is>
          <t>ED203766</t>
        </is>
      </c>
      <c r="B3689" s="56" t="n">
        <v>45519.42291666667</v>
      </c>
      <c r="C3689" t="inlineStr">
        <is>
          <t>Bluestone Memorial Hospital</t>
        </is>
      </c>
      <c r="D3689" t="n">
        <v>21</v>
      </c>
    </row>
    <row r="3690">
      <c r="A3690" t="inlineStr">
        <is>
          <t>ED203767</t>
        </is>
      </c>
      <c r="B3690" s="56" t="n">
        <v>45519.43263888889</v>
      </c>
      <c r="C3690" t="inlineStr">
        <is>
          <t>Bluestone Memorial Hospital</t>
        </is>
      </c>
      <c r="D3690" t="n">
        <v>107</v>
      </c>
    </row>
    <row r="3691">
      <c r="A3691" t="inlineStr">
        <is>
          <t>ED203768</t>
        </is>
      </c>
      <c r="B3691" s="56" t="n">
        <v>45519.4375</v>
      </c>
      <c r="C3691" t="inlineStr">
        <is>
          <t>Bluestone Memorial Hospital</t>
        </is>
      </c>
      <c r="D3691" t="n">
        <v>77</v>
      </c>
    </row>
    <row r="3692">
      <c r="A3692" t="inlineStr">
        <is>
          <t>ED203769</t>
        </is>
      </c>
      <c r="B3692" s="56" t="n">
        <v>45519.54097222222</v>
      </c>
      <c r="C3692" t="inlineStr">
        <is>
          <t>Bluestone Memorial Hospital</t>
        </is>
      </c>
      <c r="D3692" t="n">
        <v>184</v>
      </c>
    </row>
    <row r="3693">
      <c r="A3693" t="inlineStr">
        <is>
          <t>ED203770</t>
        </is>
      </c>
      <c r="B3693" s="56" t="n">
        <v>45519.62361111111</v>
      </c>
      <c r="C3693" t="inlineStr">
        <is>
          <t>Cedar Ridge Medical Center</t>
        </is>
      </c>
      <c r="D3693" t="n">
        <v>26</v>
      </c>
    </row>
    <row r="3694">
      <c r="A3694" t="inlineStr">
        <is>
          <t>ED203771</t>
        </is>
      </c>
      <c r="B3694" s="56" t="n">
        <v>45519.65555555555</v>
      </c>
      <c r="C3694" t="inlineStr">
        <is>
          <t>Bluestone Memorial Hospital</t>
        </is>
      </c>
      <c r="D3694" t="n">
        <v>65</v>
      </c>
    </row>
    <row r="3695">
      <c r="A3695" t="inlineStr">
        <is>
          <t>ED203772</t>
        </is>
      </c>
      <c r="B3695" s="56" t="n">
        <v>45519.6875</v>
      </c>
      <c r="C3695" t="inlineStr">
        <is>
          <t>Bluestone Memorial Hospital</t>
        </is>
      </c>
      <c r="D3695" t="n">
        <v>39</v>
      </c>
    </row>
    <row r="3696">
      <c r="A3696" t="inlineStr">
        <is>
          <t>ED203773</t>
        </is>
      </c>
      <c r="B3696" s="56" t="n">
        <v>45519.74513888889</v>
      </c>
      <c r="C3696" t="inlineStr">
        <is>
          <t>Bluestone Memorial Hospital</t>
        </is>
      </c>
      <c r="D3696" t="n">
        <v>127</v>
      </c>
    </row>
    <row r="3697">
      <c r="A3697" t="inlineStr">
        <is>
          <t>ED203774</t>
        </is>
      </c>
      <c r="B3697" s="56" t="n">
        <v>45519.7625</v>
      </c>
      <c r="C3697" t="inlineStr">
        <is>
          <t>Cedar Ridge Medical Center</t>
        </is>
      </c>
      <c r="D3697" t="n">
        <v>175</v>
      </c>
    </row>
    <row r="3698">
      <c r="A3698" t="inlineStr">
        <is>
          <t>ED203775</t>
        </is>
      </c>
      <c r="B3698" s="56" t="n">
        <v>45519.80277777778</v>
      </c>
      <c r="C3698" t="inlineStr">
        <is>
          <t>Bluestone Memorial Hospital</t>
        </is>
      </c>
      <c r="D3698" t="n">
        <v>46</v>
      </c>
    </row>
    <row r="3699">
      <c r="A3699" t="inlineStr">
        <is>
          <t>ED203776</t>
        </is>
      </c>
      <c r="B3699" s="56" t="n">
        <v>45519.85208333333</v>
      </c>
      <c r="C3699" t="inlineStr">
        <is>
          <t>Bluestone Memorial Hospital</t>
        </is>
      </c>
      <c r="D3699" t="n">
        <v>107</v>
      </c>
    </row>
    <row r="3700">
      <c r="A3700" t="inlineStr">
        <is>
          <t>ED203777</t>
        </is>
      </c>
      <c r="B3700" s="56" t="n">
        <v>45519.93402777778</v>
      </c>
      <c r="C3700" t="inlineStr">
        <is>
          <t>Bluestone Memorial Hospital</t>
        </is>
      </c>
      <c r="D3700" t="n">
        <v>20</v>
      </c>
    </row>
    <row r="3701">
      <c r="A3701" t="inlineStr">
        <is>
          <t>ED203778</t>
        </is>
      </c>
      <c r="B3701" s="56" t="n">
        <v>45520.04444444444</v>
      </c>
      <c r="C3701" t="inlineStr">
        <is>
          <t>Ashby Falls Community Hospital</t>
        </is>
      </c>
      <c r="D3701" t="n">
        <v>80</v>
      </c>
    </row>
    <row r="3702">
      <c r="A3702" t="inlineStr">
        <is>
          <t>ED203779</t>
        </is>
      </c>
      <c r="B3702" s="56" t="n">
        <v>45520.25347222222</v>
      </c>
      <c r="C3702" t="inlineStr">
        <is>
          <t>Bluestone Memorial Hospital</t>
        </is>
      </c>
      <c r="D3702" t="n">
        <v>48</v>
      </c>
    </row>
    <row r="3703">
      <c r="A3703" t="inlineStr">
        <is>
          <t>ED203780</t>
        </is>
      </c>
      <c r="B3703" s="56" t="n">
        <v>45520.53055555555</v>
      </c>
      <c r="C3703" t="inlineStr">
        <is>
          <t>Bluestone Memorial Hospital</t>
        </is>
      </c>
      <c r="D3703" t="n">
        <v>103</v>
      </c>
    </row>
    <row r="3704">
      <c r="A3704" t="inlineStr">
        <is>
          <t>ED203781</t>
        </is>
      </c>
      <c r="B3704" s="56" t="n">
        <v>45520.5375</v>
      </c>
      <c r="C3704" t="inlineStr">
        <is>
          <t>Ashby Falls Community Hospital</t>
        </is>
      </c>
      <c r="D3704" t="n">
        <v>56</v>
      </c>
    </row>
    <row r="3705">
      <c r="A3705" t="inlineStr">
        <is>
          <t>ED203782</t>
        </is>
      </c>
      <c r="B3705" s="56" t="n">
        <v>45520.57777777778</v>
      </c>
      <c r="C3705" t="inlineStr">
        <is>
          <t>Ashby Falls Community Hospital</t>
        </is>
      </c>
      <c r="D3705" t="n">
        <v>42</v>
      </c>
    </row>
    <row r="3706">
      <c r="A3706" t="inlineStr">
        <is>
          <t>ED203783</t>
        </is>
      </c>
      <c r="B3706" s="56" t="n">
        <v>45520.69236111111</v>
      </c>
      <c r="C3706" t="inlineStr">
        <is>
          <t>Bluestone Memorial Hospital</t>
        </is>
      </c>
      <c r="D3706" t="n">
        <v>2</v>
      </c>
    </row>
    <row r="3707">
      <c r="A3707" t="inlineStr">
        <is>
          <t>ED203784</t>
        </is>
      </c>
      <c r="B3707" s="56" t="n">
        <v>45520.74861111111</v>
      </c>
      <c r="C3707" t="inlineStr">
        <is>
          <t>Bluestone Memorial Hospital</t>
        </is>
      </c>
      <c r="D3707" t="n">
        <v>86</v>
      </c>
    </row>
    <row r="3708">
      <c r="A3708" t="inlineStr">
        <is>
          <t>ED203785</t>
        </is>
      </c>
      <c r="B3708" s="56" t="n">
        <v>45520.75625</v>
      </c>
      <c r="C3708" t="inlineStr">
        <is>
          <t>Bluestone Memorial Hospital</t>
        </is>
      </c>
      <c r="D3708" t="n">
        <v>21</v>
      </c>
    </row>
    <row r="3709">
      <c r="A3709" t="inlineStr">
        <is>
          <t>ED203786</t>
        </is>
      </c>
      <c r="B3709" s="56" t="n">
        <v>45520.76458333333</v>
      </c>
      <c r="C3709" t="inlineStr">
        <is>
          <t>Bluestone Memorial Hospital</t>
        </is>
      </c>
      <c r="D3709" t="n">
        <v>134</v>
      </c>
    </row>
    <row r="3710">
      <c r="A3710" t="inlineStr">
        <is>
          <t>ED203787</t>
        </is>
      </c>
      <c r="B3710" s="56" t="n">
        <v>45520.77569444444</v>
      </c>
      <c r="C3710" t="inlineStr">
        <is>
          <t>Ashby Falls Community Hospital</t>
        </is>
      </c>
      <c r="D3710" t="n">
        <v>59</v>
      </c>
    </row>
    <row r="3711">
      <c r="A3711" t="inlineStr">
        <is>
          <t>ED203788</t>
        </is>
      </c>
      <c r="B3711" s="56" t="n">
        <v>45520.92361111111</v>
      </c>
      <c r="C3711" t="inlineStr">
        <is>
          <t>Bluestone Memorial Hospital</t>
        </is>
      </c>
      <c r="D3711" t="n">
        <v>18</v>
      </c>
    </row>
    <row r="3712">
      <c r="A3712" t="inlineStr">
        <is>
          <t>ED203789</t>
        </is>
      </c>
      <c r="B3712" s="56" t="n">
        <v>45521.02222222222</v>
      </c>
      <c r="C3712" t="inlineStr">
        <is>
          <t>Bluestone Memorial Hospital</t>
        </is>
      </c>
      <c r="D3712" t="n">
        <v>9</v>
      </c>
    </row>
    <row r="3713">
      <c r="A3713" t="inlineStr">
        <is>
          <t>ED203790</t>
        </is>
      </c>
      <c r="B3713" s="56" t="n">
        <v>45521.25694444445</v>
      </c>
      <c r="C3713" t="inlineStr">
        <is>
          <t>Ashby Falls Community Hospital</t>
        </is>
      </c>
      <c r="D3713" t="n">
        <v>68</v>
      </c>
    </row>
    <row r="3714">
      <c r="A3714" t="inlineStr">
        <is>
          <t>ED203791</t>
        </is>
      </c>
      <c r="B3714" s="56" t="n">
        <v>45521.31180555555</v>
      </c>
      <c r="C3714" t="inlineStr">
        <is>
          <t>Cedar Ridge Medical Center</t>
        </is>
      </c>
      <c r="D3714" t="n">
        <v>92</v>
      </c>
    </row>
    <row r="3715">
      <c r="A3715" t="inlineStr">
        <is>
          <t>ED203792</t>
        </is>
      </c>
      <c r="B3715" s="56" t="n">
        <v>45521.325</v>
      </c>
      <c r="C3715" t="inlineStr">
        <is>
          <t>Bluestone Memorial Hospital</t>
        </is>
      </c>
      <c r="D3715" t="n">
        <v>39</v>
      </c>
    </row>
    <row r="3716">
      <c r="A3716" t="inlineStr">
        <is>
          <t>ED203793</t>
        </is>
      </c>
      <c r="B3716" s="56" t="n">
        <v>45521.33055555556</v>
      </c>
      <c r="C3716" t="inlineStr">
        <is>
          <t>Bluestone Memorial Hospital</t>
        </is>
      </c>
      <c r="D3716" t="n">
        <v>58</v>
      </c>
    </row>
    <row r="3717">
      <c r="A3717" t="inlineStr">
        <is>
          <t>ED203794</t>
        </is>
      </c>
      <c r="B3717" s="56" t="n">
        <v>45521.43611111111</v>
      </c>
      <c r="C3717" t="inlineStr">
        <is>
          <t>Cedar Ridge Medical Center</t>
        </is>
      </c>
      <c r="D3717" t="n">
        <v>29</v>
      </c>
    </row>
    <row r="3718">
      <c r="A3718" t="inlineStr">
        <is>
          <t>ED203795</t>
        </is>
      </c>
      <c r="B3718" s="56" t="n">
        <v>45521.44166666667</v>
      </c>
      <c r="C3718" t="inlineStr">
        <is>
          <t>Bluestone Memorial Hospital</t>
        </is>
      </c>
      <c r="D3718" t="n">
        <v>8</v>
      </c>
    </row>
    <row r="3719">
      <c r="A3719" t="inlineStr">
        <is>
          <t>ED203796</t>
        </is>
      </c>
      <c r="B3719" s="56" t="n">
        <v>45521.4625</v>
      </c>
      <c r="C3719" t="inlineStr">
        <is>
          <t>Bluestone Memorial Hospital</t>
        </is>
      </c>
      <c r="D3719" t="n">
        <v>26</v>
      </c>
    </row>
    <row r="3720">
      <c r="A3720" t="inlineStr">
        <is>
          <t>ED203797</t>
        </is>
      </c>
      <c r="B3720" s="56" t="n">
        <v>45521.56805555556</v>
      </c>
      <c r="C3720" t="inlineStr">
        <is>
          <t>Cedar Ridge Medical Center</t>
        </is>
      </c>
      <c r="D3720" t="n">
        <v>30</v>
      </c>
    </row>
    <row r="3721">
      <c r="A3721" t="inlineStr">
        <is>
          <t>ED203798</t>
        </is>
      </c>
      <c r="B3721" s="56" t="n">
        <v>45521.62083333333</v>
      </c>
      <c r="C3721" t="inlineStr">
        <is>
          <t>Cedar Ridge Medical Center</t>
        </is>
      </c>
      <c r="D3721" t="n">
        <v>24</v>
      </c>
    </row>
    <row r="3722">
      <c r="A3722" t="inlineStr">
        <is>
          <t>ED203799</t>
        </is>
      </c>
      <c r="B3722" s="56" t="n">
        <v>45521.64166666667</v>
      </c>
      <c r="C3722" t="inlineStr">
        <is>
          <t>Bluestone Memorial Hospital</t>
        </is>
      </c>
      <c r="D3722" t="n">
        <v>45</v>
      </c>
    </row>
    <row r="3723">
      <c r="A3723" t="inlineStr">
        <is>
          <t>ED203800</t>
        </is>
      </c>
      <c r="B3723" s="56" t="n">
        <v>45521.64513888889</v>
      </c>
      <c r="C3723" t="inlineStr">
        <is>
          <t>Bluestone Memorial Hospital</t>
        </is>
      </c>
      <c r="D3723" t="n">
        <v>51</v>
      </c>
    </row>
    <row r="3724">
      <c r="A3724" t="inlineStr">
        <is>
          <t>ED203801</t>
        </is>
      </c>
      <c r="B3724" s="56" t="n">
        <v>45521.65625</v>
      </c>
      <c r="C3724" t="inlineStr">
        <is>
          <t>Bluestone Memorial Hospital</t>
        </is>
      </c>
      <c r="D3724" t="n">
        <v>3</v>
      </c>
    </row>
    <row r="3725">
      <c r="A3725" t="inlineStr">
        <is>
          <t>ED203802</t>
        </is>
      </c>
      <c r="B3725" s="56" t="n">
        <v>45521.72013888889</v>
      </c>
      <c r="C3725" t="inlineStr">
        <is>
          <t>Bluestone Memorial Hospital</t>
        </is>
      </c>
      <c r="D3725" t="n">
        <v>45</v>
      </c>
    </row>
    <row r="3726">
      <c r="A3726" t="inlineStr">
        <is>
          <t>ED203803</t>
        </is>
      </c>
      <c r="B3726" s="56" t="n">
        <v>45521.75555555556</v>
      </c>
      <c r="C3726" t="inlineStr">
        <is>
          <t>Bluestone Memorial Hospital</t>
        </is>
      </c>
      <c r="D3726" t="n">
        <v>15</v>
      </c>
    </row>
    <row r="3727">
      <c r="A3727" t="inlineStr">
        <is>
          <t>ED203804</t>
        </is>
      </c>
      <c r="B3727" s="56" t="n">
        <v>45521.80138888889</v>
      </c>
      <c r="C3727" t="inlineStr">
        <is>
          <t>Bluestone Memorial Hospital</t>
        </is>
      </c>
      <c r="D3727" t="n">
        <v>97</v>
      </c>
    </row>
    <row r="3728">
      <c r="A3728" t="inlineStr">
        <is>
          <t>ED203805</t>
        </is>
      </c>
      <c r="B3728" s="56" t="n">
        <v>45521.80555555555</v>
      </c>
      <c r="C3728" t="inlineStr">
        <is>
          <t>Bluestone Memorial Hospital</t>
        </is>
      </c>
      <c r="D3728" t="n">
        <v>23</v>
      </c>
    </row>
    <row r="3729">
      <c r="A3729" t="inlineStr">
        <is>
          <t>ED203806</t>
        </is>
      </c>
      <c r="B3729" s="56" t="n">
        <v>45521.83055555556</v>
      </c>
      <c r="C3729" t="inlineStr">
        <is>
          <t>Bluestone Memorial Hospital</t>
        </is>
      </c>
      <c r="D3729" t="n">
        <v>21</v>
      </c>
    </row>
    <row r="3730">
      <c r="A3730" t="inlineStr">
        <is>
          <t>ED203807</t>
        </is>
      </c>
      <c r="B3730" s="56" t="n">
        <v>45521.86805555555</v>
      </c>
      <c r="C3730" t="inlineStr">
        <is>
          <t>Cedar Ridge Medical Center</t>
        </is>
      </c>
      <c r="D3730" t="n">
        <v>98</v>
      </c>
    </row>
    <row r="3731">
      <c r="A3731" t="inlineStr">
        <is>
          <t>ED203808</t>
        </is>
      </c>
      <c r="B3731" s="56" t="n">
        <v>45521.91041666667</v>
      </c>
      <c r="C3731" t="inlineStr">
        <is>
          <t>Bluestone Memorial Hospital</t>
        </is>
      </c>
      <c r="D3731" t="n">
        <v>18</v>
      </c>
    </row>
    <row r="3732">
      <c r="A3732" t="inlineStr">
        <is>
          <t>ED203809</t>
        </is>
      </c>
      <c r="B3732" s="56" t="n">
        <v>45522.19652777778</v>
      </c>
      <c r="C3732" t="inlineStr">
        <is>
          <t>Ashby Falls Community Hospital</t>
        </is>
      </c>
      <c r="D3732" t="n">
        <v>11</v>
      </c>
    </row>
    <row r="3733">
      <c r="A3733" t="inlineStr">
        <is>
          <t>ED203810</t>
        </is>
      </c>
      <c r="B3733" s="56" t="n">
        <v>45522.53888888889</v>
      </c>
      <c r="C3733" t="inlineStr">
        <is>
          <t>Bluestone Memorial Hospital</t>
        </is>
      </c>
      <c r="D3733" t="n">
        <v>46</v>
      </c>
    </row>
    <row r="3734">
      <c r="A3734" t="inlineStr">
        <is>
          <t>ED203811</t>
        </is>
      </c>
      <c r="B3734" s="56" t="n">
        <v>45522.62986111111</v>
      </c>
      <c r="C3734" t="inlineStr">
        <is>
          <t>Bluestone Memorial Hospital</t>
        </is>
      </c>
      <c r="D3734" t="n">
        <v>220</v>
      </c>
    </row>
    <row r="3735">
      <c r="A3735" t="inlineStr">
        <is>
          <t>ED203812</t>
        </is>
      </c>
      <c r="B3735" s="56" t="n">
        <v>45522.69791666666</v>
      </c>
      <c r="C3735" t="inlineStr">
        <is>
          <t>Bluestone Memorial Hospital</t>
        </is>
      </c>
      <c r="D3735" t="n">
        <v>22</v>
      </c>
    </row>
    <row r="3736">
      <c r="A3736" t="inlineStr">
        <is>
          <t>ED203813</t>
        </is>
      </c>
      <c r="B3736" s="56" t="n">
        <v>45522.72083333333</v>
      </c>
      <c r="C3736" t="inlineStr">
        <is>
          <t>Bluestone Memorial Hospital</t>
        </is>
      </c>
      <c r="D3736" t="n">
        <v>19</v>
      </c>
    </row>
    <row r="3737">
      <c r="A3737" t="inlineStr">
        <is>
          <t>ED203814</t>
        </is>
      </c>
      <c r="B3737" s="56" t="n">
        <v>45522.74097222222</v>
      </c>
      <c r="C3737" t="inlineStr">
        <is>
          <t>Bluestone Memorial Hospital</t>
        </is>
      </c>
      <c r="D3737" t="n">
        <v>58</v>
      </c>
    </row>
    <row r="3738">
      <c r="A3738" t="inlineStr">
        <is>
          <t>ED203815</t>
        </is>
      </c>
      <c r="B3738" s="56" t="n">
        <v>45522.77291666667</v>
      </c>
      <c r="C3738" t="inlineStr">
        <is>
          <t>Bluestone Memorial Hospital</t>
        </is>
      </c>
      <c r="D3738" t="n">
        <v>86</v>
      </c>
    </row>
    <row r="3739">
      <c r="A3739" t="inlineStr">
        <is>
          <t>ED203816</t>
        </is>
      </c>
      <c r="B3739" s="56" t="n">
        <v>45522.8</v>
      </c>
      <c r="C3739" t="inlineStr">
        <is>
          <t>Bluestone Memorial Hospital</t>
        </is>
      </c>
      <c r="D3739" t="n">
        <v>29</v>
      </c>
    </row>
    <row r="3740">
      <c r="A3740" t="inlineStr">
        <is>
          <t>ED203817</t>
        </is>
      </c>
      <c r="B3740" s="56" t="n">
        <v>45522.84583333333</v>
      </c>
      <c r="C3740" t="inlineStr">
        <is>
          <t>Ashby Falls Community Hospital</t>
        </is>
      </c>
      <c r="D3740" t="n">
        <v>49</v>
      </c>
    </row>
    <row r="3741">
      <c r="A3741" t="inlineStr">
        <is>
          <t>ED203818</t>
        </is>
      </c>
      <c r="B3741" s="56" t="n">
        <v>45523.01666666667</v>
      </c>
      <c r="C3741" t="inlineStr">
        <is>
          <t>Bluestone Memorial Hospital</t>
        </is>
      </c>
      <c r="D3741" t="n">
        <v>8</v>
      </c>
    </row>
    <row r="3742">
      <c r="A3742" t="inlineStr">
        <is>
          <t>ED203819</t>
        </is>
      </c>
      <c r="B3742" s="56" t="n">
        <v>45523.04722222222</v>
      </c>
      <c r="C3742" t="inlineStr">
        <is>
          <t>Cedar Ridge Medical Center</t>
        </is>
      </c>
      <c r="D3742" t="n">
        <v>28</v>
      </c>
    </row>
    <row r="3743">
      <c r="A3743" t="inlineStr">
        <is>
          <t>ED203820</t>
        </is>
      </c>
      <c r="B3743" s="56" t="n">
        <v>45523.09375</v>
      </c>
      <c r="C3743" t="inlineStr">
        <is>
          <t>Ashby Falls Community Hospital</t>
        </is>
      </c>
      <c r="D3743" t="n">
        <v>84</v>
      </c>
    </row>
    <row r="3744">
      <c r="A3744" t="inlineStr">
        <is>
          <t>ED203821</t>
        </is>
      </c>
      <c r="B3744" s="56" t="n">
        <v>45523.34930555556</v>
      </c>
      <c r="C3744" t="inlineStr">
        <is>
          <t>Cedar Ridge Medical Center</t>
        </is>
      </c>
      <c r="D3744" t="n">
        <v>40</v>
      </c>
    </row>
    <row r="3745">
      <c r="A3745" t="inlineStr">
        <is>
          <t>ED203822</t>
        </is>
      </c>
      <c r="B3745" s="56" t="n">
        <v>45523.45833333334</v>
      </c>
      <c r="C3745" t="inlineStr">
        <is>
          <t>Ashby Falls Community Hospital</t>
        </is>
      </c>
      <c r="D3745" t="n">
        <v>245</v>
      </c>
    </row>
    <row r="3746">
      <c r="A3746" t="inlineStr">
        <is>
          <t>ED203823</t>
        </is>
      </c>
      <c r="B3746" s="56" t="n">
        <v>45523.47083333333</v>
      </c>
      <c r="C3746" t="inlineStr">
        <is>
          <t>Cedar Ridge Medical Center</t>
        </is>
      </c>
      <c r="D3746" t="n">
        <v>30</v>
      </c>
    </row>
    <row r="3747">
      <c r="A3747" t="inlineStr">
        <is>
          <t>ED203824</t>
        </is>
      </c>
      <c r="B3747" s="56" t="n">
        <v>45523.47708333333</v>
      </c>
      <c r="C3747" t="inlineStr">
        <is>
          <t>Cedar Ridge Medical Center</t>
        </is>
      </c>
      <c r="D3747" t="n">
        <v>37</v>
      </c>
    </row>
    <row r="3748">
      <c r="A3748" t="inlineStr">
        <is>
          <t>ED203825</t>
        </is>
      </c>
      <c r="B3748" s="56" t="n">
        <v>45523.48263888889</v>
      </c>
      <c r="C3748" t="inlineStr">
        <is>
          <t>Bluestone Memorial Hospital</t>
        </is>
      </c>
      <c r="D3748" t="n">
        <v>18</v>
      </c>
    </row>
    <row r="3749">
      <c r="A3749" t="inlineStr">
        <is>
          <t>ED203826</t>
        </is>
      </c>
      <c r="B3749" s="56" t="n">
        <v>45523.50277777778</v>
      </c>
      <c r="C3749" t="inlineStr">
        <is>
          <t>Cedar Ridge Medical Center</t>
        </is>
      </c>
      <c r="D3749" t="n">
        <v>98</v>
      </c>
    </row>
    <row r="3750">
      <c r="A3750" t="inlineStr">
        <is>
          <t>ED203827</t>
        </is>
      </c>
      <c r="B3750" s="56" t="n">
        <v>45523.55277777778</v>
      </c>
      <c r="C3750" t="inlineStr">
        <is>
          <t>Bluestone Memorial Hospital</t>
        </is>
      </c>
      <c r="D3750" t="n">
        <v>26</v>
      </c>
    </row>
    <row r="3751">
      <c r="A3751" t="inlineStr">
        <is>
          <t>ED203828</t>
        </is>
      </c>
      <c r="B3751" s="56" t="n">
        <v>45523.56597222222</v>
      </c>
      <c r="C3751" t="inlineStr">
        <is>
          <t>Ashby Falls Community Hospital</t>
        </is>
      </c>
      <c r="D3751" t="n">
        <v>179</v>
      </c>
    </row>
    <row r="3752">
      <c r="A3752" t="inlineStr">
        <is>
          <t>ED203829</t>
        </is>
      </c>
      <c r="B3752" s="56" t="n">
        <v>45523.60833333333</v>
      </c>
      <c r="C3752" t="inlineStr">
        <is>
          <t>Bluestone Memorial Hospital</t>
        </is>
      </c>
      <c r="D3752" t="n">
        <v>21</v>
      </c>
    </row>
    <row r="3753">
      <c r="A3753" t="inlineStr">
        <is>
          <t>ED203831</t>
        </is>
      </c>
      <c r="B3753" s="56" t="n">
        <v>45523.70625</v>
      </c>
      <c r="C3753" t="inlineStr">
        <is>
          <t>Bluestone Memorial Hospital</t>
        </is>
      </c>
      <c r="D3753" t="n">
        <v>61</v>
      </c>
    </row>
    <row r="3754">
      <c r="A3754" t="inlineStr">
        <is>
          <t>ED203832</t>
        </is>
      </c>
      <c r="B3754" s="56" t="n">
        <v>45523.74444444444</v>
      </c>
      <c r="C3754" t="inlineStr">
        <is>
          <t>Bluestone Memorial Hospital</t>
        </is>
      </c>
      <c r="D3754" t="n">
        <v>8</v>
      </c>
    </row>
    <row r="3755">
      <c r="A3755" t="inlineStr">
        <is>
          <t>ED203833</t>
        </is>
      </c>
      <c r="B3755" s="56" t="n">
        <v>45523.79583333333</v>
      </c>
      <c r="C3755" t="inlineStr">
        <is>
          <t>Bluestone Memorial Hospital</t>
        </is>
      </c>
      <c r="D3755" t="n">
        <v>97</v>
      </c>
    </row>
    <row r="3756">
      <c r="A3756" t="inlineStr">
        <is>
          <t>ED203834</t>
        </is>
      </c>
      <c r="B3756" s="56" t="n">
        <v>45523.80347222222</v>
      </c>
      <c r="C3756" t="inlineStr">
        <is>
          <t>Bluestone Memorial Hospital</t>
        </is>
      </c>
      <c r="D3756" t="n">
        <v>25</v>
      </c>
    </row>
    <row r="3757">
      <c r="A3757" t="inlineStr">
        <is>
          <t>ED203835</t>
        </is>
      </c>
      <c r="B3757" s="56" t="n">
        <v>45523.82291666666</v>
      </c>
      <c r="C3757" t="inlineStr">
        <is>
          <t>Bluestone Memorial Hospital</t>
        </is>
      </c>
      <c r="D3757" t="n">
        <v>70</v>
      </c>
    </row>
    <row r="3758">
      <c r="A3758" t="inlineStr">
        <is>
          <t>ED203836</t>
        </is>
      </c>
      <c r="B3758" s="56" t="n">
        <v>45523.83680555555</v>
      </c>
      <c r="C3758" t="inlineStr">
        <is>
          <t>Bluestone Memorial Hospital</t>
        </is>
      </c>
      <c r="D3758" t="n">
        <v>128</v>
      </c>
    </row>
    <row r="3759">
      <c r="A3759" t="inlineStr">
        <is>
          <t>ED203837</t>
        </is>
      </c>
      <c r="B3759" s="56" t="n">
        <v>45523.83888888889</v>
      </c>
      <c r="C3759" t="inlineStr">
        <is>
          <t>Cedar Ridge Medical Center</t>
        </is>
      </c>
      <c r="D3759" t="n">
        <v>72</v>
      </c>
    </row>
    <row r="3760">
      <c r="A3760" t="inlineStr">
        <is>
          <t>ED203838</t>
        </is>
      </c>
      <c r="B3760" s="56" t="n">
        <v>45523.86736111111</v>
      </c>
      <c r="C3760" t="inlineStr">
        <is>
          <t>Bluestone Memorial Hospital</t>
        </is>
      </c>
      <c r="D3760" t="n">
        <v>63</v>
      </c>
    </row>
    <row r="3761">
      <c r="A3761" t="inlineStr">
        <is>
          <t>ED203839</t>
        </is>
      </c>
      <c r="B3761" s="56" t="n">
        <v>45524.30486111111</v>
      </c>
      <c r="C3761" t="inlineStr">
        <is>
          <t>Ashby Falls Community Hospital</t>
        </is>
      </c>
      <c r="D3761" t="n">
        <v>44</v>
      </c>
    </row>
    <row r="3762">
      <c r="A3762" t="inlineStr">
        <is>
          <t>ED203840</t>
        </is>
      </c>
      <c r="B3762" s="56" t="n">
        <v>45524.35486111111</v>
      </c>
      <c r="C3762" t="inlineStr">
        <is>
          <t>Bluestone Memorial Hospital</t>
        </is>
      </c>
      <c r="D3762" t="n">
        <v>24</v>
      </c>
    </row>
    <row r="3763">
      <c r="A3763" t="inlineStr">
        <is>
          <t>ED203841</t>
        </is>
      </c>
      <c r="B3763" s="56" t="n">
        <v>45524.49305555555</v>
      </c>
      <c r="C3763" t="inlineStr">
        <is>
          <t>Bluestone Memorial Hospital</t>
        </is>
      </c>
      <c r="D3763" t="n">
        <v>66</v>
      </c>
    </row>
    <row r="3764">
      <c r="A3764" t="inlineStr">
        <is>
          <t>ED203842</t>
        </is>
      </c>
      <c r="B3764" s="56" t="n">
        <v>45524.55277777778</v>
      </c>
      <c r="C3764" t="inlineStr">
        <is>
          <t>Bluestone Memorial Hospital</t>
        </is>
      </c>
      <c r="D3764" t="n">
        <v>44</v>
      </c>
    </row>
    <row r="3765">
      <c r="A3765" t="inlineStr">
        <is>
          <t>ED203843</t>
        </is>
      </c>
      <c r="B3765" s="56" t="n">
        <v>45524.55902777778</v>
      </c>
      <c r="C3765" t="inlineStr">
        <is>
          <t>Bluestone Memorial Hospital</t>
        </is>
      </c>
      <c r="D3765" t="n">
        <v>35</v>
      </c>
    </row>
    <row r="3766">
      <c r="A3766" t="inlineStr">
        <is>
          <t>ED203844</t>
        </is>
      </c>
      <c r="B3766" s="56" t="n">
        <v>45524.57847222222</v>
      </c>
      <c r="C3766" t="inlineStr">
        <is>
          <t>Bluestone Memorial Hospital</t>
        </is>
      </c>
      <c r="D3766" t="n">
        <v>44</v>
      </c>
    </row>
    <row r="3767">
      <c r="A3767" t="inlineStr">
        <is>
          <t>ED203845</t>
        </is>
      </c>
      <c r="B3767" s="56" t="n">
        <v>45524.68194444444</v>
      </c>
      <c r="C3767" t="inlineStr">
        <is>
          <t>Bluestone Memorial Hospital</t>
        </is>
      </c>
      <c r="D3767" t="n">
        <v>42</v>
      </c>
    </row>
    <row r="3768">
      <c r="A3768" t="inlineStr">
        <is>
          <t>ED203846</t>
        </is>
      </c>
      <c r="B3768" s="56" t="n">
        <v>45524.68472222222</v>
      </c>
      <c r="C3768" t="inlineStr">
        <is>
          <t>Bluestone Memorial Hospital</t>
        </is>
      </c>
      <c r="D3768" t="n">
        <v>28</v>
      </c>
    </row>
    <row r="3769">
      <c r="A3769" t="inlineStr">
        <is>
          <t>ED203847</t>
        </is>
      </c>
      <c r="B3769" s="56" t="n">
        <v>45524.71666666667</v>
      </c>
      <c r="C3769" t="inlineStr">
        <is>
          <t>Bluestone Memorial Hospital</t>
        </is>
      </c>
      <c r="D3769" t="n">
        <v>27</v>
      </c>
    </row>
    <row r="3770">
      <c r="A3770" t="inlineStr">
        <is>
          <t>ED203848</t>
        </is>
      </c>
      <c r="B3770" s="56" t="n">
        <v>45524.73958333334</v>
      </c>
      <c r="C3770" t="inlineStr">
        <is>
          <t>Bluestone Memorial Hospital</t>
        </is>
      </c>
      <c r="D3770" t="n">
        <v>195</v>
      </c>
    </row>
    <row r="3771">
      <c r="A3771" t="inlineStr">
        <is>
          <t>ED203850</t>
        </is>
      </c>
      <c r="B3771" s="56" t="n">
        <v>45524.80069444444</v>
      </c>
      <c r="C3771" t="inlineStr">
        <is>
          <t>Bluestone Memorial Hospital</t>
        </is>
      </c>
      <c r="D3771" t="n">
        <v>92</v>
      </c>
    </row>
    <row r="3772">
      <c r="A3772" t="inlineStr">
        <is>
          <t>ED203851</t>
        </is>
      </c>
      <c r="B3772" s="56" t="n">
        <v>45524.84861111111</v>
      </c>
      <c r="C3772" t="inlineStr">
        <is>
          <t>Cedar Ridge Medical Center</t>
        </is>
      </c>
      <c r="D3772" t="n">
        <v>74</v>
      </c>
    </row>
    <row r="3773">
      <c r="A3773" t="inlineStr">
        <is>
          <t>ED203852</t>
        </is>
      </c>
      <c r="B3773" s="56" t="n">
        <v>45525.26736111111</v>
      </c>
      <c r="C3773" t="inlineStr">
        <is>
          <t>Bluestone Memorial Hospital</t>
        </is>
      </c>
      <c r="D3773" t="n">
        <v>34</v>
      </c>
    </row>
    <row r="3774">
      <c r="A3774" t="inlineStr">
        <is>
          <t>ED203853</t>
        </is>
      </c>
      <c r="B3774" s="56" t="n">
        <v>45525.31319444445</v>
      </c>
      <c r="C3774" t="inlineStr">
        <is>
          <t>Bluestone Memorial Hospital</t>
        </is>
      </c>
      <c r="D3774" t="n">
        <v>19</v>
      </c>
    </row>
    <row r="3775">
      <c r="A3775" t="inlineStr">
        <is>
          <t>ED203854</t>
        </is>
      </c>
      <c r="B3775" s="56" t="n">
        <v>45525.46458333333</v>
      </c>
      <c r="C3775" t="inlineStr">
        <is>
          <t>Bluestone Memorial Hospital</t>
        </is>
      </c>
      <c r="D3775" t="n">
        <v>134</v>
      </c>
    </row>
    <row r="3776">
      <c r="A3776" t="inlineStr">
        <is>
          <t>ED203855</t>
        </is>
      </c>
      <c r="B3776" s="56" t="n">
        <v>45525.47847222222</v>
      </c>
      <c r="C3776" t="inlineStr">
        <is>
          <t>Bluestone Memorial Hospital</t>
        </is>
      </c>
      <c r="D3776" t="n">
        <v>134</v>
      </c>
    </row>
    <row r="3777">
      <c r="A3777" t="inlineStr">
        <is>
          <t>ED203856</t>
        </is>
      </c>
      <c r="B3777" s="56" t="n">
        <v>45525.56388888889</v>
      </c>
      <c r="C3777" t="inlineStr">
        <is>
          <t>Ashby Falls Community Hospital</t>
        </is>
      </c>
      <c r="D3777" t="n">
        <v>18</v>
      </c>
    </row>
    <row r="3778">
      <c r="A3778" t="inlineStr">
        <is>
          <t>ED203857</t>
        </is>
      </c>
      <c r="B3778" s="56" t="n">
        <v>45525.59930555556</v>
      </c>
      <c r="C3778" t="inlineStr">
        <is>
          <t>Bluestone Memorial Hospital</t>
        </is>
      </c>
      <c r="D3778" t="n">
        <v>24</v>
      </c>
    </row>
    <row r="3779">
      <c r="A3779" t="inlineStr">
        <is>
          <t>ED203858</t>
        </is>
      </c>
      <c r="B3779" s="56" t="n">
        <v>45525.625</v>
      </c>
      <c r="C3779" t="inlineStr">
        <is>
          <t>Bluestone Memorial Hospital</t>
        </is>
      </c>
      <c r="D3779" t="n">
        <v>10</v>
      </c>
    </row>
    <row r="3780">
      <c r="A3780" t="inlineStr">
        <is>
          <t>ED203860</t>
        </is>
      </c>
      <c r="B3780" s="56" t="n">
        <v>45525.67916666667</v>
      </c>
      <c r="C3780" t="inlineStr">
        <is>
          <t>Bluestone Memorial Hospital</t>
        </is>
      </c>
      <c r="D3780" t="n">
        <v>24</v>
      </c>
    </row>
    <row r="3781">
      <c r="A3781" t="inlineStr">
        <is>
          <t>ED203861</t>
        </is>
      </c>
      <c r="B3781" s="56" t="n">
        <v>45525.76875</v>
      </c>
      <c r="C3781" t="inlineStr">
        <is>
          <t>Bluestone Memorial Hospital</t>
        </is>
      </c>
      <c r="D3781" t="n">
        <v>15</v>
      </c>
    </row>
    <row r="3782">
      <c r="A3782" t="inlineStr">
        <is>
          <t>ED203862</t>
        </is>
      </c>
      <c r="B3782" s="56" t="n">
        <v>45525.79583333333</v>
      </c>
      <c r="C3782" t="inlineStr">
        <is>
          <t>Bluestone Memorial Hospital</t>
        </is>
      </c>
      <c r="D3782" t="n">
        <v>167</v>
      </c>
    </row>
    <row r="3783">
      <c r="A3783" t="inlineStr">
        <is>
          <t>ED203863</t>
        </is>
      </c>
      <c r="B3783" s="56" t="n">
        <v>45525.80069444444</v>
      </c>
      <c r="C3783" t="inlineStr">
        <is>
          <t>Bluestone Memorial Hospital</t>
        </is>
      </c>
      <c r="D3783" t="n">
        <v>57</v>
      </c>
    </row>
    <row r="3784">
      <c r="A3784" t="inlineStr">
        <is>
          <t>ED203864</t>
        </is>
      </c>
      <c r="B3784" s="56" t="n">
        <v>45525.88263888889</v>
      </c>
      <c r="C3784" t="inlineStr">
        <is>
          <t>Bluestone Memorial Hospital</t>
        </is>
      </c>
      <c r="D3784" t="n">
        <v>19</v>
      </c>
    </row>
    <row r="3785">
      <c r="A3785" t="inlineStr">
        <is>
          <t>ED203865</t>
        </is>
      </c>
      <c r="B3785" s="56" t="n">
        <v>45525.90486111111</v>
      </c>
      <c r="C3785" t="inlineStr">
        <is>
          <t>Cedar Ridge Medical Center</t>
        </is>
      </c>
      <c r="D3785" t="n">
        <v>69</v>
      </c>
    </row>
    <row r="3786">
      <c r="A3786" t="inlineStr">
        <is>
          <t>ED203866</t>
        </is>
      </c>
      <c r="B3786" s="56" t="n">
        <v>45525.92847222222</v>
      </c>
      <c r="C3786" t="inlineStr">
        <is>
          <t>Ashby Falls Community Hospital</t>
        </is>
      </c>
      <c r="D3786" t="n">
        <v>26</v>
      </c>
    </row>
    <row r="3787">
      <c r="A3787" t="inlineStr">
        <is>
          <t>ED203867</t>
        </is>
      </c>
      <c r="B3787" s="56" t="n">
        <v>45525.94930555556</v>
      </c>
      <c r="C3787" t="inlineStr">
        <is>
          <t>Bluestone Memorial Hospital</t>
        </is>
      </c>
      <c r="D3787" t="n">
        <v>82</v>
      </c>
    </row>
    <row r="3788">
      <c r="A3788" t="inlineStr">
        <is>
          <t>ED203868</t>
        </is>
      </c>
      <c r="B3788" s="56" t="n">
        <v>45525.97222222222</v>
      </c>
      <c r="C3788" t="inlineStr">
        <is>
          <t>Cedar Ridge Medical Center</t>
        </is>
      </c>
      <c r="D3788" t="n">
        <v>25</v>
      </c>
    </row>
    <row r="3789">
      <c r="A3789" t="inlineStr">
        <is>
          <t>ED203869</t>
        </is>
      </c>
      <c r="B3789" s="56" t="n">
        <v>45526.225</v>
      </c>
      <c r="C3789" t="inlineStr">
        <is>
          <t>Bluestone Memorial Hospital</t>
        </is>
      </c>
      <c r="D3789" t="n">
        <v>17</v>
      </c>
    </row>
    <row r="3790">
      <c r="A3790" t="inlineStr">
        <is>
          <t>ED203870</t>
        </is>
      </c>
      <c r="B3790" s="56" t="n">
        <v>45526.28333333333</v>
      </c>
      <c r="C3790" t="inlineStr">
        <is>
          <t>Bluestone Memorial Hospital</t>
        </is>
      </c>
      <c r="D3790" t="n">
        <v>59</v>
      </c>
    </row>
    <row r="3791">
      <c r="A3791" t="inlineStr">
        <is>
          <t>ED203871</t>
        </is>
      </c>
      <c r="B3791" s="56" t="n">
        <v>45526.33194444444</v>
      </c>
      <c r="C3791" t="inlineStr">
        <is>
          <t>Bluestone Memorial Hospital</t>
        </is>
      </c>
      <c r="D3791" t="n">
        <v>59</v>
      </c>
    </row>
    <row r="3792">
      <c r="A3792" t="inlineStr">
        <is>
          <t>ED203872</t>
        </is>
      </c>
      <c r="B3792" s="56" t="n">
        <v>45526.36180555556</v>
      </c>
      <c r="C3792" t="inlineStr">
        <is>
          <t>Bluestone Memorial Hospital</t>
        </is>
      </c>
      <c r="D3792" t="n">
        <v>23</v>
      </c>
    </row>
    <row r="3793">
      <c r="A3793" t="inlineStr">
        <is>
          <t>ED203873</t>
        </is>
      </c>
      <c r="B3793" s="56" t="n">
        <v>45526.43055555555</v>
      </c>
      <c r="C3793" t="inlineStr">
        <is>
          <t>Cedar Ridge Medical Center</t>
        </is>
      </c>
      <c r="D3793" t="n">
        <v>88</v>
      </c>
    </row>
    <row r="3794">
      <c r="A3794" t="inlineStr">
        <is>
          <t>ED203874</t>
        </is>
      </c>
      <c r="B3794" s="56" t="n">
        <v>45526.45902777778</v>
      </c>
      <c r="C3794" t="inlineStr">
        <is>
          <t>Bluestone Memorial Hospital</t>
        </is>
      </c>
      <c r="D3794" t="n">
        <v>23</v>
      </c>
    </row>
    <row r="3795">
      <c r="A3795" t="inlineStr">
        <is>
          <t>ED203875</t>
        </is>
      </c>
      <c r="B3795" s="56" t="n">
        <v>45526.4875</v>
      </c>
      <c r="C3795" t="inlineStr">
        <is>
          <t>Bluestone Memorial Hospital</t>
        </is>
      </c>
      <c r="D3795" t="n">
        <v>34</v>
      </c>
    </row>
    <row r="3796">
      <c r="A3796" t="inlineStr">
        <is>
          <t>ED203876</t>
        </is>
      </c>
      <c r="B3796" s="56" t="n">
        <v>45526.51875</v>
      </c>
      <c r="C3796" t="inlineStr">
        <is>
          <t>Cedar Ridge Medical Center</t>
        </is>
      </c>
      <c r="D3796" t="n">
        <v>46</v>
      </c>
    </row>
    <row r="3797">
      <c r="A3797" t="inlineStr">
        <is>
          <t>ED203877</t>
        </is>
      </c>
      <c r="B3797" s="56" t="n">
        <v>45526.52638888889</v>
      </c>
      <c r="C3797" t="inlineStr">
        <is>
          <t>Bluestone Memorial Hospital</t>
        </is>
      </c>
      <c r="D3797" t="n">
        <v>42</v>
      </c>
    </row>
    <row r="3798">
      <c r="A3798" t="inlineStr">
        <is>
          <t>ED203878</t>
        </is>
      </c>
      <c r="B3798" s="56" t="n">
        <v>45526.52986111111</v>
      </c>
      <c r="C3798" t="inlineStr">
        <is>
          <t>Ashby Falls Community Hospital</t>
        </is>
      </c>
      <c r="D3798" t="n">
        <v>119</v>
      </c>
    </row>
    <row r="3799">
      <c r="A3799" t="inlineStr">
        <is>
          <t>ED203879</t>
        </is>
      </c>
      <c r="B3799" s="56" t="n">
        <v>45526.53680555556</v>
      </c>
      <c r="C3799" t="inlineStr">
        <is>
          <t>Bluestone Memorial Hospital</t>
        </is>
      </c>
      <c r="D3799" t="n">
        <v>54</v>
      </c>
    </row>
    <row r="3800">
      <c r="A3800" t="inlineStr">
        <is>
          <t>ED203880</t>
        </is>
      </c>
      <c r="B3800" s="56" t="n">
        <v>45526.60555555556</v>
      </c>
      <c r="C3800" t="inlineStr">
        <is>
          <t>Bluestone Memorial Hospital</t>
        </is>
      </c>
      <c r="D3800" t="n">
        <v>61</v>
      </c>
    </row>
    <row r="3801">
      <c r="A3801" t="inlineStr">
        <is>
          <t>ED203881</t>
        </is>
      </c>
      <c r="B3801" s="56" t="n">
        <v>45526.64375</v>
      </c>
      <c r="C3801" t="inlineStr">
        <is>
          <t>Ashby Falls Community Hospital</t>
        </is>
      </c>
      <c r="D3801" t="n">
        <v>26</v>
      </c>
    </row>
    <row r="3802">
      <c r="A3802" t="inlineStr">
        <is>
          <t>ED203882</t>
        </is>
      </c>
      <c r="B3802" s="56" t="n">
        <v>45526.65555555555</v>
      </c>
      <c r="C3802" t="inlineStr">
        <is>
          <t>Bluestone Memorial Hospital</t>
        </is>
      </c>
      <c r="D3802" t="n">
        <v>88</v>
      </c>
    </row>
    <row r="3803">
      <c r="A3803" t="inlineStr">
        <is>
          <t>ED203883</t>
        </is>
      </c>
      <c r="B3803" s="56" t="n">
        <v>45526.69930555556</v>
      </c>
      <c r="C3803" t="inlineStr">
        <is>
          <t>Bluestone Memorial Hospital</t>
        </is>
      </c>
      <c r="D3803" t="n">
        <v>20</v>
      </c>
    </row>
    <row r="3804">
      <c r="A3804" t="inlineStr">
        <is>
          <t>ED203884</t>
        </is>
      </c>
      <c r="B3804" s="56" t="n">
        <v>45526.73611111111</v>
      </c>
      <c r="C3804" t="inlineStr">
        <is>
          <t>Bluestone Memorial Hospital</t>
        </is>
      </c>
      <c r="D3804" t="n">
        <v>92</v>
      </c>
    </row>
    <row r="3805">
      <c r="A3805" t="inlineStr">
        <is>
          <t>ED203885</t>
        </is>
      </c>
      <c r="B3805" s="56" t="n">
        <v>45526.78819444445</v>
      </c>
      <c r="C3805" t="inlineStr">
        <is>
          <t>Bluestone Memorial Hospital</t>
        </is>
      </c>
      <c r="D3805" t="n">
        <v>20</v>
      </c>
    </row>
    <row r="3806">
      <c r="A3806" t="inlineStr">
        <is>
          <t>ED203886</t>
        </is>
      </c>
      <c r="B3806" s="56" t="n">
        <v>45526.88472222222</v>
      </c>
      <c r="C3806" t="inlineStr">
        <is>
          <t>Bluestone Memorial Hospital</t>
        </is>
      </c>
      <c r="D3806" t="n">
        <v>119</v>
      </c>
    </row>
    <row r="3807">
      <c r="A3807" t="inlineStr">
        <is>
          <t>ED203887</t>
        </is>
      </c>
      <c r="B3807" s="56" t="n">
        <v>45526.89236111111</v>
      </c>
      <c r="C3807" t="inlineStr">
        <is>
          <t>Bluestone Memorial Hospital</t>
        </is>
      </c>
      <c r="D3807" t="n">
        <v>165</v>
      </c>
    </row>
    <row r="3808">
      <c r="A3808" t="inlineStr">
        <is>
          <t>ED203888</t>
        </is>
      </c>
      <c r="B3808" s="56" t="n">
        <v>45526.92222222222</v>
      </c>
      <c r="C3808" t="inlineStr">
        <is>
          <t>Bluestone Memorial Hospital</t>
        </is>
      </c>
      <c r="D3808" t="n">
        <v>16</v>
      </c>
    </row>
    <row r="3809">
      <c r="A3809" t="inlineStr">
        <is>
          <t>ED203889</t>
        </is>
      </c>
      <c r="B3809" s="56" t="n">
        <v>45526.95555555556</v>
      </c>
      <c r="C3809" t="inlineStr">
        <is>
          <t>Bluestone Memorial Hospital</t>
        </is>
      </c>
      <c r="D3809" t="n">
        <v>134</v>
      </c>
    </row>
    <row r="3810">
      <c r="A3810" t="inlineStr">
        <is>
          <t>ED203890</t>
        </is>
      </c>
      <c r="B3810" s="56" t="n">
        <v>45527.32569444444</v>
      </c>
      <c r="C3810" t="inlineStr">
        <is>
          <t>Bluestone Memorial Hospital</t>
        </is>
      </c>
      <c r="D3810" t="n">
        <v>96</v>
      </c>
    </row>
    <row r="3811">
      <c r="A3811" t="inlineStr">
        <is>
          <t>ED203891</t>
        </is>
      </c>
      <c r="B3811" s="56" t="n">
        <v>45527.38541666666</v>
      </c>
      <c r="C3811" t="inlineStr">
        <is>
          <t>Bluestone Memorial Hospital</t>
        </is>
      </c>
      <c r="D3811" t="n">
        <v>84</v>
      </c>
    </row>
    <row r="3812">
      <c r="A3812" t="inlineStr">
        <is>
          <t>ED203892</t>
        </is>
      </c>
      <c r="B3812" s="56" t="n">
        <v>45527.40208333333</v>
      </c>
      <c r="C3812" t="inlineStr">
        <is>
          <t>Bluestone Memorial Hospital</t>
        </is>
      </c>
      <c r="D3812" t="n">
        <v>25</v>
      </c>
    </row>
    <row r="3813">
      <c r="A3813" t="inlineStr">
        <is>
          <t>ED203894</t>
        </is>
      </c>
      <c r="B3813" s="56" t="n">
        <v>45527.55277777778</v>
      </c>
      <c r="C3813" t="inlineStr">
        <is>
          <t>Ashby Falls Community Hospital</t>
        </is>
      </c>
      <c r="D3813" t="n">
        <v>70</v>
      </c>
    </row>
    <row r="3814">
      <c r="A3814" t="inlineStr">
        <is>
          <t>ED203895</t>
        </is>
      </c>
      <c r="B3814" s="56" t="n">
        <v>45527.57222222222</v>
      </c>
      <c r="C3814" t="inlineStr">
        <is>
          <t>Ashby Falls Community Hospital</t>
        </is>
      </c>
      <c r="D3814" t="n">
        <v>29</v>
      </c>
    </row>
    <row r="3815">
      <c r="A3815" t="inlineStr">
        <is>
          <t>ED203896</t>
        </is>
      </c>
      <c r="B3815" s="56" t="n">
        <v>45527.60208333333</v>
      </c>
      <c r="C3815" t="inlineStr">
        <is>
          <t>Bluestone Memorial Hospital</t>
        </is>
      </c>
      <c r="D3815" t="n">
        <v>72</v>
      </c>
    </row>
    <row r="3816">
      <c r="A3816" t="inlineStr">
        <is>
          <t>ED203897</t>
        </is>
      </c>
      <c r="B3816" s="56" t="n">
        <v>45527.68402777778</v>
      </c>
      <c r="C3816" t="inlineStr">
        <is>
          <t>Bluestone Memorial Hospital</t>
        </is>
      </c>
      <c r="D3816" t="n">
        <v>61</v>
      </c>
    </row>
    <row r="3817">
      <c r="A3817" t="inlineStr">
        <is>
          <t>ED203898</t>
        </is>
      </c>
      <c r="B3817" s="56" t="n">
        <v>45527.78958333333</v>
      </c>
      <c r="C3817" t="inlineStr">
        <is>
          <t>Cedar Ridge Medical Center</t>
        </is>
      </c>
      <c r="D3817" t="n">
        <v>13</v>
      </c>
    </row>
    <row r="3818">
      <c r="A3818" t="inlineStr">
        <is>
          <t>ED203899</t>
        </is>
      </c>
      <c r="B3818" s="56" t="n">
        <v>45527.81875</v>
      </c>
      <c r="C3818" t="inlineStr">
        <is>
          <t>Bluestone Memorial Hospital</t>
        </is>
      </c>
      <c r="D3818" t="n">
        <v>20</v>
      </c>
    </row>
    <row r="3819">
      <c r="A3819" t="inlineStr">
        <is>
          <t>ED203900</t>
        </is>
      </c>
      <c r="B3819" s="56" t="n">
        <v>45527.82986111111</v>
      </c>
      <c r="C3819" t="inlineStr">
        <is>
          <t>Bluestone Memorial Hospital</t>
        </is>
      </c>
      <c r="D3819" t="n">
        <v>52</v>
      </c>
    </row>
    <row r="3820">
      <c r="A3820" t="inlineStr">
        <is>
          <t>ED203901</t>
        </is>
      </c>
      <c r="B3820" s="56" t="n">
        <v>45527.86805555555</v>
      </c>
      <c r="C3820" t="inlineStr">
        <is>
          <t>Bluestone Memorial Hospital</t>
        </is>
      </c>
      <c r="D3820" t="n">
        <v>16</v>
      </c>
    </row>
    <row r="3821">
      <c r="A3821" t="inlineStr">
        <is>
          <t>ED203902</t>
        </is>
      </c>
      <c r="B3821" s="56" t="n">
        <v>45528.17222222222</v>
      </c>
      <c r="C3821" t="inlineStr">
        <is>
          <t>Bluestone Memorial Hospital</t>
        </is>
      </c>
      <c r="D3821" t="n">
        <v>69</v>
      </c>
    </row>
    <row r="3822">
      <c r="A3822" t="inlineStr">
        <is>
          <t>ED203903</t>
        </is>
      </c>
      <c r="B3822" s="56" t="n">
        <v>45528.24930555555</v>
      </c>
      <c r="C3822" t="inlineStr">
        <is>
          <t>Bluestone Memorial Hospital</t>
        </is>
      </c>
      <c r="D3822" t="n">
        <v>26</v>
      </c>
    </row>
    <row r="3823">
      <c r="A3823" t="inlineStr">
        <is>
          <t>ED203904</t>
        </is>
      </c>
      <c r="B3823" s="56" t="n">
        <v>45528.37708333333</v>
      </c>
      <c r="C3823" t="inlineStr">
        <is>
          <t>Bluestone Memorial Hospital</t>
        </is>
      </c>
      <c r="D3823" t="n">
        <v>92</v>
      </c>
    </row>
    <row r="3824">
      <c r="A3824" t="inlineStr">
        <is>
          <t>ED203905</t>
        </is>
      </c>
      <c r="B3824" s="56" t="n">
        <v>45528.46388888889</v>
      </c>
      <c r="C3824" t="inlineStr">
        <is>
          <t>Ashby Falls Community Hospital</t>
        </is>
      </c>
      <c r="D3824" t="n">
        <v>53</v>
      </c>
    </row>
    <row r="3825">
      <c r="A3825" t="inlineStr">
        <is>
          <t>ED203906</t>
        </is>
      </c>
      <c r="B3825" s="56" t="n">
        <v>45528.46805555555</v>
      </c>
      <c r="C3825" t="inlineStr">
        <is>
          <t>Bluestone Memorial Hospital</t>
        </is>
      </c>
      <c r="D3825" t="n">
        <v>47</v>
      </c>
    </row>
    <row r="3826">
      <c r="A3826" t="inlineStr">
        <is>
          <t>ED203907</t>
        </is>
      </c>
      <c r="B3826" s="56" t="n">
        <v>45528.50069444445</v>
      </c>
      <c r="C3826" t="inlineStr">
        <is>
          <t>Cedar Ridge Medical Center</t>
        </is>
      </c>
      <c r="D3826" t="n">
        <v>23</v>
      </c>
    </row>
    <row r="3827">
      <c r="A3827" t="inlineStr">
        <is>
          <t>ED203909</t>
        </is>
      </c>
      <c r="B3827" s="56" t="n">
        <v>45528.56041666667</v>
      </c>
      <c r="C3827" t="inlineStr">
        <is>
          <t>Bluestone Memorial Hospital</t>
        </is>
      </c>
      <c r="D3827" t="n">
        <v>43</v>
      </c>
    </row>
    <row r="3828">
      <c r="A3828" t="inlineStr">
        <is>
          <t>ED203910</t>
        </is>
      </c>
      <c r="B3828" s="56" t="n">
        <v>45528.56597222222</v>
      </c>
      <c r="C3828" t="inlineStr">
        <is>
          <t>Bluestone Memorial Hospital</t>
        </is>
      </c>
      <c r="D3828" t="n">
        <v>27</v>
      </c>
    </row>
    <row r="3829">
      <c r="A3829" t="inlineStr">
        <is>
          <t>ED203911</t>
        </is>
      </c>
      <c r="B3829" s="56" t="n">
        <v>45528.56597222222</v>
      </c>
      <c r="C3829" t="inlineStr">
        <is>
          <t>Bluestone Memorial Hospital</t>
        </is>
      </c>
      <c r="D3829" t="n">
        <v>28</v>
      </c>
    </row>
    <row r="3830">
      <c r="A3830" t="inlineStr">
        <is>
          <t>ED203912</t>
        </is>
      </c>
      <c r="B3830" s="56" t="n">
        <v>45528.58611111111</v>
      </c>
      <c r="C3830" t="inlineStr">
        <is>
          <t>Cedar Ridge Medical Center</t>
        </is>
      </c>
      <c r="D3830" t="n">
        <v>15</v>
      </c>
    </row>
    <row r="3831">
      <c r="A3831" t="inlineStr">
        <is>
          <t>ED203913</t>
        </is>
      </c>
      <c r="B3831" s="56" t="n">
        <v>45528.62083333333</v>
      </c>
      <c r="C3831" t="inlineStr">
        <is>
          <t>Bluestone Memorial Hospital</t>
        </is>
      </c>
      <c r="D3831" t="n">
        <v>68</v>
      </c>
    </row>
    <row r="3832">
      <c r="A3832" t="inlineStr">
        <is>
          <t>ED203914</t>
        </is>
      </c>
      <c r="B3832" s="56" t="n">
        <v>45528.64583333334</v>
      </c>
      <c r="C3832" t="inlineStr">
        <is>
          <t>Bluestone Memorial Hospital</t>
        </is>
      </c>
      <c r="D3832" t="n">
        <v>9</v>
      </c>
    </row>
    <row r="3833">
      <c r="A3833" t="inlineStr">
        <is>
          <t>ED203915</t>
        </is>
      </c>
      <c r="B3833" s="56" t="n">
        <v>45528.81805555556</v>
      </c>
      <c r="C3833" t="inlineStr">
        <is>
          <t>Ashby Falls Community Hospital</t>
        </is>
      </c>
      <c r="D3833" t="n">
        <v>30</v>
      </c>
    </row>
    <row r="3834">
      <c r="A3834" t="inlineStr">
        <is>
          <t>ED203916</t>
        </is>
      </c>
      <c r="B3834" s="56" t="n">
        <v>45528.88888888889</v>
      </c>
      <c r="C3834" t="inlineStr">
        <is>
          <t>Ashby Falls Community Hospital</t>
        </is>
      </c>
      <c r="D3834" t="n">
        <v>52</v>
      </c>
    </row>
    <row r="3835">
      <c r="A3835" t="inlineStr">
        <is>
          <t>ED203917</t>
        </is>
      </c>
      <c r="B3835" s="56" t="n">
        <v>45529.00069444445</v>
      </c>
      <c r="C3835" t="inlineStr">
        <is>
          <t>Bluestone Memorial Hospital</t>
        </is>
      </c>
      <c r="D3835" t="n">
        <v>11</v>
      </c>
    </row>
    <row r="3836">
      <c r="A3836" t="inlineStr">
        <is>
          <t>ED203918</t>
        </is>
      </c>
      <c r="B3836" s="56" t="n">
        <v>45529.11319444444</v>
      </c>
      <c r="C3836" t="inlineStr">
        <is>
          <t>Bluestone Memorial Hospital</t>
        </is>
      </c>
      <c r="D3836" t="n">
        <v>34</v>
      </c>
    </row>
    <row r="3837">
      <c r="A3837" t="inlineStr">
        <is>
          <t>ED203919</t>
        </is>
      </c>
      <c r="B3837" s="56" t="n">
        <v>45529.20208333333</v>
      </c>
      <c r="C3837" t="inlineStr">
        <is>
          <t>Bluestone Memorial Hospital</t>
        </is>
      </c>
      <c r="D3837" t="n">
        <v>6</v>
      </c>
    </row>
    <row r="3838">
      <c r="A3838" t="inlineStr">
        <is>
          <t>ED203920</t>
        </is>
      </c>
      <c r="B3838" s="56" t="n">
        <v>45529.22152777778</v>
      </c>
      <c r="C3838" t="inlineStr">
        <is>
          <t>Bluestone Memorial Hospital</t>
        </is>
      </c>
      <c r="D3838" t="n">
        <v>16</v>
      </c>
    </row>
    <row r="3839">
      <c r="A3839" t="inlineStr">
        <is>
          <t>ED203921</t>
        </is>
      </c>
      <c r="B3839" s="56" t="n">
        <v>45529.45069444444</v>
      </c>
      <c r="C3839" t="inlineStr">
        <is>
          <t>Cedar Ridge Medical Center</t>
        </is>
      </c>
      <c r="D3839" t="n">
        <v>193</v>
      </c>
    </row>
    <row r="3840">
      <c r="A3840" t="inlineStr">
        <is>
          <t>ED203922</t>
        </is>
      </c>
      <c r="B3840" s="56" t="n">
        <v>45529.46527777778</v>
      </c>
      <c r="C3840" t="inlineStr">
        <is>
          <t>Bluestone Memorial Hospital</t>
        </is>
      </c>
      <c r="D3840" t="n">
        <v>42</v>
      </c>
    </row>
    <row r="3841">
      <c r="A3841" t="inlineStr">
        <is>
          <t>ED203923</t>
        </is>
      </c>
      <c r="B3841" s="56" t="n">
        <v>45529.46875</v>
      </c>
      <c r="C3841" t="inlineStr">
        <is>
          <t>Bluestone Memorial Hospital</t>
        </is>
      </c>
      <c r="D3841" t="n">
        <v>25</v>
      </c>
    </row>
    <row r="3842">
      <c r="A3842" t="inlineStr">
        <is>
          <t>ED203924</t>
        </is>
      </c>
      <c r="B3842" s="56" t="n">
        <v>45529.47361111111</v>
      </c>
      <c r="C3842" t="inlineStr">
        <is>
          <t>Bluestone Memorial Hospital</t>
        </is>
      </c>
      <c r="D3842" t="n">
        <v>67</v>
      </c>
    </row>
    <row r="3843">
      <c r="A3843" t="inlineStr">
        <is>
          <t>ED203925</t>
        </is>
      </c>
      <c r="B3843" s="56" t="n">
        <v>45529.47916666666</v>
      </c>
      <c r="C3843" t="inlineStr">
        <is>
          <t>Bluestone Memorial Hospital</t>
        </is>
      </c>
      <c r="D3843" t="n">
        <v>27</v>
      </c>
    </row>
    <row r="3844">
      <c r="A3844" t="inlineStr">
        <is>
          <t>ED203926</t>
        </is>
      </c>
      <c r="B3844" s="56" t="n">
        <v>45529.56111111111</v>
      </c>
      <c r="C3844" t="inlineStr">
        <is>
          <t>Bluestone Memorial Hospital</t>
        </is>
      </c>
      <c r="D3844" t="n">
        <v>55</v>
      </c>
    </row>
    <row r="3845">
      <c r="A3845" t="inlineStr">
        <is>
          <t>ED203927</t>
        </is>
      </c>
      <c r="B3845" s="56" t="n">
        <v>45529.59027777778</v>
      </c>
      <c r="C3845" t="inlineStr">
        <is>
          <t>Ashby Falls Community Hospital</t>
        </is>
      </c>
      <c r="D3845" t="n">
        <v>35</v>
      </c>
    </row>
    <row r="3846">
      <c r="A3846" t="inlineStr">
        <is>
          <t>ED203928</t>
        </is>
      </c>
      <c r="B3846" s="56" t="n">
        <v>45529.59097222222</v>
      </c>
      <c r="C3846" t="inlineStr">
        <is>
          <t>Bluestone Memorial Hospital</t>
        </is>
      </c>
      <c r="D3846" t="n">
        <v>65</v>
      </c>
    </row>
    <row r="3847">
      <c r="A3847" t="inlineStr">
        <is>
          <t>ED203929</t>
        </is>
      </c>
      <c r="B3847" s="56" t="n">
        <v>45529.75833333333</v>
      </c>
      <c r="C3847" t="inlineStr">
        <is>
          <t>Ashby Falls Community Hospital</t>
        </is>
      </c>
      <c r="D3847" t="n">
        <v>22</v>
      </c>
    </row>
    <row r="3848">
      <c r="A3848" t="inlineStr">
        <is>
          <t>ED203930</t>
        </is>
      </c>
      <c r="B3848" s="56" t="n">
        <v>45529.92291666667</v>
      </c>
      <c r="C3848" t="inlineStr">
        <is>
          <t>Bluestone Memorial Hospital</t>
        </is>
      </c>
      <c r="D3848" t="n">
        <v>70</v>
      </c>
    </row>
    <row r="3849">
      <c r="A3849" t="inlineStr">
        <is>
          <t>ED203931</t>
        </is>
      </c>
      <c r="B3849" s="56" t="n">
        <v>45529.96875</v>
      </c>
      <c r="C3849" t="inlineStr">
        <is>
          <t>Bluestone Memorial Hospital</t>
        </is>
      </c>
      <c r="D3849" t="n">
        <v>10</v>
      </c>
    </row>
    <row r="3850">
      <c r="A3850" t="inlineStr">
        <is>
          <t>ED203932</t>
        </is>
      </c>
      <c r="B3850" s="56" t="n">
        <v>45529.97083333333</v>
      </c>
      <c r="C3850" t="inlineStr">
        <is>
          <t>Bluestone Memorial Hospital</t>
        </is>
      </c>
      <c r="D3850" t="n">
        <v>12</v>
      </c>
    </row>
    <row r="3851">
      <c r="A3851" t="inlineStr">
        <is>
          <t>ED203933</t>
        </is>
      </c>
      <c r="B3851" s="56" t="n">
        <v>45529.98819444444</v>
      </c>
      <c r="C3851" t="inlineStr">
        <is>
          <t>Ashby Falls Community Hospital</t>
        </is>
      </c>
      <c r="D3851" t="n">
        <v>21</v>
      </c>
    </row>
    <row r="3852">
      <c r="A3852" t="inlineStr">
        <is>
          <t>ED203934</t>
        </is>
      </c>
      <c r="B3852" s="56" t="n">
        <v>45529.98888888889</v>
      </c>
      <c r="C3852" t="inlineStr">
        <is>
          <t>Bluestone Memorial Hospital</t>
        </is>
      </c>
      <c r="D3852" t="n">
        <v>95</v>
      </c>
    </row>
    <row r="3853">
      <c r="A3853" t="inlineStr">
        <is>
          <t>ED203935</t>
        </is>
      </c>
      <c r="B3853" s="56" t="n">
        <v>45530.00833333333</v>
      </c>
      <c r="C3853" t="inlineStr">
        <is>
          <t>Bluestone Memorial Hospital</t>
        </is>
      </c>
      <c r="D3853" t="n">
        <v>74</v>
      </c>
    </row>
    <row r="3854">
      <c r="A3854" t="inlineStr">
        <is>
          <t>ED203936</t>
        </is>
      </c>
      <c r="B3854" s="56" t="n">
        <v>45530.31805555556</v>
      </c>
      <c r="C3854" t="inlineStr">
        <is>
          <t>Cedar Ridge Medical Center</t>
        </is>
      </c>
      <c r="D3854" t="n">
        <v>35</v>
      </c>
    </row>
    <row r="3855">
      <c r="A3855" t="inlineStr">
        <is>
          <t>ED203937</t>
        </is>
      </c>
      <c r="B3855" s="56" t="n">
        <v>45530.3875</v>
      </c>
      <c r="C3855" t="inlineStr">
        <is>
          <t>Cedar Ridge Medical Center</t>
        </is>
      </c>
      <c r="D3855" t="n">
        <v>20</v>
      </c>
    </row>
    <row r="3856">
      <c r="A3856" t="inlineStr">
        <is>
          <t>ED203938</t>
        </is>
      </c>
      <c r="B3856" s="56" t="n">
        <v>45530.41041666667</v>
      </c>
      <c r="C3856" t="inlineStr">
        <is>
          <t>Cedar Ridge Medical Center</t>
        </is>
      </c>
      <c r="D3856" t="n">
        <v>46</v>
      </c>
    </row>
    <row r="3857">
      <c r="A3857" t="inlineStr">
        <is>
          <t>ED203939</t>
        </is>
      </c>
      <c r="B3857" s="56" t="n">
        <v>45530.4125</v>
      </c>
      <c r="C3857" t="inlineStr">
        <is>
          <t>Bluestone Memorial Hospital</t>
        </is>
      </c>
      <c r="D3857" t="n">
        <v>43</v>
      </c>
    </row>
    <row r="3858">
      <c r="A3858" t="inlineStr">
        <is>
          <t>ED203940</t>
        </is>
      </c>
      <c r="B3858" s="56" t="n">
        <v>45530.43263888889</v>
      </c>
      <c r="C3858" t="inlineStr">
        <is>
          <t>Bluestone Memorial Hospital</t>
        </is>
      </c>
      <c r="D3858" t="n">
        <v>24</v>
      </c>
    </row>
    <row r="3859">
      <c r="A3859" t="inlineStr">
        <is>
          <t>ED203941</t>
        </is>
      </c>
      <c r="B3859" s="56" t="n">
        <v>45530.4375</v>
      </c>
      <c r="C3859" t="inlineStr">
        <is>
          <t>Bluestone Memorial Hospital</t>
        </is>
      </c>
      <c r="D3859" t="n">
        <v>29</v>
      </c>
    </row>
    <row r="3860">
      <c r="A3860" t="inlineStr">
        <is>
          <t>ED203942</t>
        </is>
      </c>
      <c r="B3860" s="56" t="n">
        <v>45530.46666666667</v>
      </c>
      <c r="C3860" t="inlineStr">
        <is>
          <t>Cedar Ridge Medical Center</t>
        </is>
      </c>
      <c r="D3860" t="n">
        <v>79</v>
      </c>
    </row>
    <row r="3861">
      <c r="A3861" t="inlineStr">
        <is>
          <t>ED203943</t>
        </is>
      </c>
      <c r="B3861" s="56" t="n">
        <v>45530.4875</v>
      </c>
      <c r="C3861" t="inlineStr">
        <is>
          <t>Bluestone Memorial Hospital</t>
        </is>
      </c>
      <c r="D3861" t="n">
        <v>164</v>
      </c>
    </row>
    <row r="3862">
      <c r="A3862" t="inlineStr">
        <is>
          <t>ED203944</t>
        </is>
      </c>
      <c r="B3862" s="56" t="n">
        <v>45530.57777777778</v>
      </c>
      <c r="C3862" t="inlineStr">
        <is>
          <t>Ashby Falls Community Hospital</t>
        </is>
      </c>
      <c r="D3862" t="n">
        <v>94</v>
      </c>
    </row>
    <row r="3863">
      <c r="A3863" t="inlineStr">
        <is>
          <t>ED203945</t>
        </is>
      </c>
      <c r="B3863" s="56" t="n">
        <v>45530.58263888889</v>
      </c>
      <c r="C3863" t="inlineStr">
        <is>
          <t>Bluestone Memorial Hospital</t>
        </is>
      </c>
      <c r="D3863" t="n">
        <v>43</v>
      </c>
    </row>
    <row r="3864">
      <c r="A3864" t="inlineStr">
        <is>
          <t>ED203946</t>
        </is>
      </c>
      <c r="B3864" s="56" t="n">
        <v>45530.61736111111</v>
      </c>
      <c r="C3864" t="inlineStr">
        <is>
          <t>Bluestone Memorial Hospital</t>
        </is>
      </c>
      <c r="D3864" t="n">
        <v>90</v>
      </c>
    </row>
    <row r="3865">
      <c r="A3865" t="inlineStr">
        <is>
          <t>ED203947</t>
        </is>
      </c>
      <c r="B3865" s="56" t="n">
        <v>45530.64027777778</v>
      </c>
      <c r="C3865" t="inlineStr">
        <is>
          <t>Bluestone Memorial Hospital</t>
        </is>
      </c>
      <c r="D3865" t="n">
        <v>60</v>
      </c>
    </row>
    <row r="3866">
      <c r="A3866" t="inlineStr">
        <is>
          <t>ED203948</t>
        </is>
      </c>
      <c r="B3866" s="56" t="n">
        <v>45530.64097222222</v>
      </c>
      <c r="C3866" t="inlineStr">
        <is>
          <t>Cedar Ridge Medical Center</t>
        </is>
      </c>
      <c r="D3866" t="n">
        <v>108</v>
      </c>
    </row>
    <row r="3867">
      <c r="A3867" t="inlineStr">
        <is>
          <t>ED203949</t>
        </is>
      </c>
      <c r="B3867" s="56" t="n">
        <v>45530.65</v>
      </c>
      <c r="C3867" t="inlineStr">
        <is>
          <t>Ashby Falls Community Hospital</t>
        </is>
      </c>
      <c r="D3867" t="n">
        <v>42</v>
      </c>
    </row>
    <row r="3868">
      <c r="A3868" t="inlineStr">
        <is>
          <t>ED203950</t>
        </is>
      </c>
      <c r="B3868" s="56" t="n">
        <v>45530.73125</v>
      </c>
      <c r="C3868" t="inlineStr">
        <is>
          <t>Bluestone Memorial Hospital</t>
        </is>
      </c>
      <c r="D3868" t="n">
        <v>38</v>
      </c>
    </row>
    <row r="3869">
      <c r="A3869" t="inlineStr">
        <is>
          <t>ED203951</t>
        </is>
      </c>
      <c r="B3869" s="56" t="n">
        <v>45530.75416666667</v>
      </c>
      <c r="C3869" t="inlineStr">
        <is>
          <t>Cedar Ridge Medical Center</t>
        </is>
      </c>
      <c r="D3869" t="n">
        <v>66</v>
      </c>
    </row>
    <row r="3870">
      <c r="A3870" t="inlineStr">
        <is>
          <t>ED203952</t>
        </is>
      </c>
      <c r="B3870" s="56" t="n">
        <v>45530.75833333333</v>
      </c>
      <c r="C3870" t="inlineStr">
        <is>
          <t>Bluestone Memorial Hospital</t>
        </is>
      </c>
      <c r="D3870" t="n">
        <v>81</v>
      </c>
    </row>
    <row r="3871">
      <c r="A3871" t="inlineStr">
        <is>
          <t>ED203953</t>
        </is>
      </c>
      <c r="B3871" s="56" t="n">
        <v>45530.83888888889</v>
      </c>
      <c r="C3871" t="inlineStr">
        <is>
          <t>Bluestone Memorial Hospital</t>
        </is>
      </c>
      <c r="D3871" t="n">
        <v>16</v>
      </c>
    </row>
    <row r="3872">
      <c r="A3872" t="inlineStr">
        <is>
          <t>ED203954</t>
        </is>
      </c>
      <c r="B3872" s="56" t="n">
        <v>45531.00625</v>
      </c>
      <c r="C3872" t="inlineStr">
        <is>
          <t>Cedar Ridge Medical Center</t>
        </is>
      </c>
      <c r="D3872" t="n">
        <v>13</v>
      </c>
    </row>
    <row r="3873">
      <c r="A3873" t="inlineStr">
        <is>
          <t>ED203955</t>
        </is>
      </c>
      <c r="B3873" s="56" t="n">
        <v>45531.01388888889</v>
      </c>
      <c r="C3873" t="inlineStr">
        <is>
          <t>Ashby Falls Community Hospital</t>
        </is>
      </c>
      <c r="D3873" t="n">
        <v>21</v>
      </c>
    </row>
    <row r="3874">
      <c r="A3874" t="inlineStr">
        <is>
          <t>ED203956</t>
        </is>
      </c>
      <c r="B3874" s="56" t="n">
        <v>45531.3875</v>
      </c>
      <c r="C3874" t="inlineStr">
        <is>
          <t>Bluestone Memorial Hospital</t>
        </is>
      </c>
      <c r="D3874" t="n">
        <v>12</v>
      </c>
    </row>
    <row r="3875">
      <c r="A3875" t="inlineStr">
        <is>
          <t>ED203957</t>
        </is>
      </c>
      <c r="B3875" s="56" t="n">
        <v>45531.40347222222</v>
      </c>
      <c r="C3875" t="inlineStr">
        <is>
          <t>Cedar Ridge Medical Center</t>
        </is>
      </c>
      <c r="D3875" t="n">
        <v>17</v>
      </c>
    </row>
    <row r="3876">
      <c r="A3876" t="inlineStr">
        <is>
          <t>ED203958</t>
        </is>
      </c>
      <c r="B3876" s="56" t="n">
        <v>45531.44027777778</v>
      </c>
      <c r="C3876" t="inlineStr">
        <is>
          <t>Bluestone Memorial Hospital</t>
        </is>
      </c>
      <c r="D3876" t="n">
        <v>21</v>
      </c>
    </row>
    <row r="3877">
      <c r="A3877" t="inlineStr">
        <is>
          <t>ED203959</t>
        </is>
      </c>
      <c r="B3877" s="56" t="n">
        <v>45531.44166666667</v>
      </c>
      <c r="C3877" t="inlineStr">
        <is>
          <t>Bluestone Memorial Hospital</t>
        </is>
      </c>
      <c r="D3877" t="n">
        <v>42</v>
      </c>
    </row>
    <row r="3878">
      <c r="A3878" t="inlineStr">
        <is>
          <t>ED203960</t>
        </is>
      </c>
      <c r="B3878" s="56" t="n">
        <v>45531.47222222222</v>
      </c>
      <c r="C3878" t="inlineStr">
        <is>
          <t>Ashby Falls Community Hospital</t>
        </is>
      </c>
      <c r="D3878" t="n">
        <v>34</v>
      </c>
    </row>
    <row r="3879">
      <c r="A3879" t="inlineStr">
        <is>
          <t>ED203961</t>
        </is>
      </c>
      <c r="B3879" s="56" t="n">
        <v>45531.54513888889</v>
      </c>
      <c r="C3879" t="inlineStr">
        <is>
          <t>Cedar Ridge Medical Center</t>
        </is>
      </c>
      <c r="D3879" t="n">
        <v>53</v>
      </c>
    </row>
    <row r="3880">
      <c r="A3880" t="inlineStr">
        <is>
          <t>ED203962</t>
        </is>
      </c>
      <c r="B3880" s="56" t="n">
        <v>45531.54930555556</v>
      </c>
      <c r="C3880" t="inlineStr">
        <is>
          <t>Bluestone Memorial Hospital</t>
        </is>
      </c>
      <c r="D3880" t="n">
        <v>62</v>
      </c>
    </row>
    <row r="3881">
      <c r="A3881" t="inlineStr">
        <is>
          <t>ED203963</t>
        </is>
      </c>
      <c r="B3881" s="56" t="n">
        <v>45531.69236111111</v>
      </c>
      <c r="C3881" t="inlineStr">
        <is>
          <t>Cedar Ridge Medical Center</t>
        </is>
      </c>
      <c r="D3881" t="n">
        <v>127</v>
      </c>
    </row>
    <row r="3882">
      <c r="A3882" t="inlineStr">
        <is>
          <t>ED203964</t>
        </is>
      </c>
      <c r="B3882" s="56" t="n">
        <v>45531.72152777778</v>
      </c>
      <c r="C3882" t="inlineStr">
        <is>
          <t>Ashby Falls Community Hospital</t>
        </is>
      </c>
      <c r="D3882" t="n">
        <v>26</v>
      </c>
    </row>
    <row r="3883">
      <c r="A3883" t="inlineStr">
        <is>
          <t>ED203965</t>
        </is>
      </c>
      <c r="B3883" s="56" t="n">
        <v>45531.91180555556</v>
      </c>
      <c r="C3883" t="inlineStr">
        <is>
          <t>Ashby Falls Community Hospital</t>
        </is>
      </c>
      <c r="D3883" t="n">
        <v>114</v>
      </c>
    </row>
    <row r="3884">
      <c r="A3884" t="inlineStr">
        <is>
          <t>ED203966</t>
        </is>
      </c>
      <c r="B3884" s="56" t="n">
        <v>45532.03125</v>
      </c>
      <c r="C3884" t="inlineStr">
        <is>
          <t>Bluestone Memorial Hospital</t>
        </is>
      </c>
      <c r="D3884" t="n">
        <v>3</v>
      </c>
    </row>
    <row r="3885">
      <c r="A3885" t="inlineStr">
        <is>
          <t>ED203967</t>
        </is>
      </c>
      <c r="B3885" s="56" t="n">
        <v>45532.19652777778</v>
      </c>
      <c r="C3885" t="inlineStr">
        <is>
          <t>Bluestone Memorial Hospital</t>
        </is>
      </c>
      <c r="D3885" t="n">
        <v>17</v>
      </c>
    </row>
    <row r="3886">
      <c r="A3886" t="inlineStr">
        <is>
          <t>ED203968</t>
        </is>
      </c>
      <c r="B3886" s="56" t="n">
        <v>45532.43333333333</v>
      </c>
      <c r="C3886" t="inlineStr">
        <is>
          <t>Cedar Ridge Medical Center</t>
        </is>
      </c>
      <c r="D3886" t="n">
        <v>30</v>
      </c>
    </row>
    <row r="3887">
      <c r="A3887" t="inlineStr">
        <is>
          <t>ED203969</t>
        </is>
      </c>
      <c r="B3887" s="56" t="n">
        <v>45532.46458333333</v>
      </c>
      <c r="C3887" t="inlineStr">
        <is>
          <t>Bluestone Memorial Hospital</t>
        </is>
      </c>
      <c r="D3887" t="n">
        <v>26</v>
      </c>
    </row>
    <row r="3888">
      <c r="A3888" t="inlineStr">
        <is>
          <t>ED203970</t>
        </is>
      </c>
      <c r="B3888" s="56" t="n">
        <v>45532.47777777778</v>
      </c>
      <c r="C3888" t="inlineStr">
        <is>
          <t>Bluestone Memorial Hospital</t>
        </is>
      </c>
      <c r="D3888" t="n">
        <v>16</v>
      </c>
    </row>
    <row r="3889">
      <c r="A3889" t="inlineStr">
        <is>
          <t>ED203971</t>
        </is>
      </c>
      <c r="B3889" s="56" t="n">
        <v>45532.50277777778</v>
      </c>
      <c r="C3889" t="inlineStr">
        <is>
          <t>Ashby Falls Community Hospital</t>
        </is>
      </c>
      <c r="D3889" t="n">
        <v>23</v>
      </c>
    </row>
    <row r="3890">
      <c r="A3890" t="inlineStr">
        <is>
          <t>ED203972</t>
        </is>
      </c>
      <c r="B3890" s="56" t="n">
        <v>45532.60555555556</v>
      </c>
      <c r="C3890" t="inlineStr">
        <is>
          <t>Bluestone Memorial Hospital</t>
        </is>
      </c>
      <c r="D3890" t="n">
        <v>60</v>
      </c>
    </row>
    <row r="3891">
      <c r="A3891" t="inlineStr">
        <is>
          <t>ED203973</t>
        </is>
      </c>
      <c r="B3891" s="56" t="n">
        <v>45532.61597222222</v>
      </c>
      <c r="C3891" t="inlineStr">
        <is>
          <t>Bluestone Memorial Hospital</t>
        </is>
      </c>
      <c r="D3891" t="n">
        <v>64</v>
      </c>
    </row>
    <row r="3892">
      <c r="A3892" t="inlineStr">
        <is>
          <t>ED203974</t>
        </is>
      </c>
      <c r="B3892" s="56" t="n">
        <v>45532.72916666666</v>
      </c>
      <c r="C3892" t="inlineStr">
        <is>
          <t>Bluestone Memorial Hospital</t>
        </is>
      </c>
      <c r="D3892" t="n">
        <v>29</v>
      </c>
    </row>
    <row r="3893">
      <c r="A3893" t="inlineStr">
        <is>
          <t>ED203975</t>
        </is>
      </c>
      <c r="B3893" s="56" t="n">
        <v>45532.73194444444</v>
      </c>
      <c r="C3893" t="inlineStr">
        <is>
          <t>Ashby Falls Community Hospital</t>
        </is>
      </c>
      <c r="D3893" t="n">
        <v>63</v>
      </c>
    </row>
    <row r="3894">
      <c r="A3894" t="inlineStr">
        <is>
          <t>ED203976</t>
        </is>
      </c>
      <c r="B3894" s="56" t="n">
        <v>45532.75069444445</v>
      </c>
      <c r="C3894" t="inlineStr">
        <is>
          <t>Bluestone Memorial Hospital</t>
        </is>
      </c>
      <c r="D3894" t="n">
        <v>10</v>
      </c>
    </row>
    <row r="3895">
      <c r="A3895" t="inlineStr">
        <is>
          <t>ED203977</t>
        </is>
      </c>
      <c r="B3895" s="56" t="n">
        <v>45532.84305555555</v>
      </c>
      <c r="C3895" t="inlineStr">
        <is>
          <t>Ashby Falls Community Hospital</t>
        </is>
      </c>
      <c r="D3895" t="n">
        <v>46</v>
      </c>
    </row>
    <row r="3896">
      <c r="A3896" t="inlineStr">
        <is>
          <t>ED203978</t>
        </is>
      </c>
      <c r="B3896" s="56" t="n">
        <v>45532.87291666667</v>
      </c>
      <c r="C3896" t="inlineStr">
        <is>
          <t>Ashby Falls Community Hospital</t>
        </is>
      </c>
      <c r="D3896" t="n">
        <v>46</v>
      </c>
    </row>
    <row r="3897">
      <c r="A3897" t="inlineStr">
        <is>
          <t>ED203979</t>
        </is>
      </c>
      <c r="B3897" s="56" t="n">
        <v>45532.97569444445</v>
      </c>
      <c r="C3897" t="inlineStr">
        <is>
          <t>Bluestone Memorial Hospital</t>
        </is>
      </c>
      <c r="D3897" t="n">
        <v>15</v>
      </c>
    </row>
    <row r="3898">
      <c r="A3898" t="inlineStr">
        <is>
          <t>ED203980</t>
        </is>
      </c>
      <c r="B3898" s="56" t="n">
        <v>45533.03333333333</v>
      </c>
      <c r="C3898" t="inlineStr">
        <is>
          <t>Bluestone Memorial Hospital</t>
        </is>
      </c>
      <c r="D3898" t="n">
        <v>18</v>
      </c>
    </row>
    <row r="3899">
      <c r="A3899" t="inlineStr">
        <is>
          <t>ED203981</t>
        </is>
      </c>
      <c r="B3899" s="56" t="n">
        <v>45533.29513888889</v>
      </c>
      <c r="C3899" t="inlineStr">
        <is>
          <t>Bluestone Memorial Hospital</t>
        </is>
      </c>
      <c r="D3899" t="n">
        <v>22</v>
      </c>
    </row>
    <row r="3900">
      <c r="A3900" t="inlineStr">
        <is>
          <t>ED203982</t>
        </is>
      </c>
      <c r="B3900" s="56" t="n">
        <v>45533.34236111111</v>
      </c>
      <c r="C3900" t="inlineStr">
        <is>
          <t>Cedar Ridge Medical Center</t>
        </is>
      </c>
      <c r="D3900" t="n">
        <v>23</v>
      </c>
    </row>
    <row r="3901">
      <c r="A3901" t="inlineStr">
        <is>
          <t>ED203983</t>
        </is>
      </c>
      <c r="B3901" s="56" t="n">
        <v>45533.34305555555</v>
      </c>
      <c r="C3901" t="inlineStr">
        <is>
          <t>Cedar Ridge Medical Center</t>
        </is>
      </c>
      <c r="D3901" t="n">
        <v>29</v>
      </c>
    </row>
    <row r="3902">
      <c r="A3902" t="inlineStr">
        <is>
          <t>ED203984</t>
        </is>
      </c>
      <c r="B3902" s="56" t="n">
        <v>45533.43263888889</v>
      </c>
      <c r="C3902" t="inlineStr">
        <is>
          <t>Bluestone Memorial Hospital</t>
        </is>
      </c>
      <c r="D3902" t="n">
        <v>39</v>
      </c>
    </row>
    <row r="3903">
      <c r="A3903" t="inlineStr">
        <is>
          <t>ED203985</t>
        </is>
      </c>
      <c r="B3903" s="56" t="n">
        <v>45533.48472222222</v>
      </c>
      <c r="C3903" t="inlineStr">
        <is>
          <t>Bluestone Memorial Hospital</t>
        </is>
      </c>
      <c r="D3903" t="n">
        <v>61</v>
      </c>
    </row>
    <row r="3904">
      <c r="A3904" t="inlineStr">
        <is>
          <t>ED203986</t>
        </is>
      </c>
      <c r="B3904" s="56" t="n">
        <v>45533.49930555555</v>
      </c>
      <c r="C3904" t="inlineStr">
        <is>
          <t>Bluestone Memorial Hospital</t>
        </is>
      </c>
      <c r="D3904" t="n">
        <v>68</v>
      </c>
    </row>
    <row r="3905">
      <c r="A3905" t="inlineStr">
        <is>
          <t>ED203987</t>
        </is>
      </c>
      <c r="B3905" s="56" t="n">
        <v>45533.50416666667</v>
      </c>
      <c r="C3905" t="inlineStr">
        <is>
          <t>Ashby Falls Community Hospital</t>
        </is>
      </c>
      <c r="D3905" t="n">
        <v>56</v>
      </c>
    </row>
    <row r="3906">
      <c r="A3906" t="inlineStr">
        <is>
          <t>ED203988</t>
        </is>
      </c>
      <c r="B3906" s="56" t="n">
        <v>45533.50902777778</v>
      </c>
      <c r="C3906" t="inlineStr">
        <is>
          <t>Bluestone Memorial Hospital</t>
        </is>
      </c>
      <c r="D3906" t="n">
        <v>17</v>
      </c>
    </row>
    <row r="3907">
      <c r="A3907" t="inlineStr">
        <is>
          <t>ED203989</t>
        </is>
      </c>
      <c r="B3907" s="56" t="n">
        <v>45533.53888888889</v>
      </c>
      <c r="C3907" t="inlineStr">
        <is>
          <t>Cedar Ridge Medical Center</t>
        </is>
      </c>
      <c r="D3907" t="n">
        <v>75</v>
      </c>
    </row>
    <row r="3908">
      <c r="A3908" t="inlineStr">
        <is>
          <t>ED203990</t>
        </is>
      </c>
      <c r="B3908" s="56" t="n">
        <v>45533.63472222222</v>
      </c>
      <c r="C3908" t="inlineStr">
        <is>
          <t>Bluestone Memorial Hospital</t>
        </is>
      </c>
      <c r="D3908" t="n">
        <v>29</v>
      </c>
    </row>
    <row r="3909">
      <c r="A3909" t="inlineStr">
        <is>
          <t>ED203991</t>
        </is>
      </c>
      <c r="B3909" s="56" t="n">
        <v>45533.75208333333</v>
      </c>
      <c r="C3909" t="inlineStr">
        <is>
          <t>Bluestone Memorial Hospital</t>
        </is>
      </c>
      <c r="D3909" t="n">
        <v>55</v>
      </c>
    </row>
    <row r="3910">
      <c r="A3910" t="inlineStr">
        <is>
          <t>ED203992</t>
        </is>
      </c>
      <c r="B3910" s="56" t="n">
        <v>45533.78263888889</v>
      </c>
      <c r="C3910" t="inlineStr">
        <is>
          <t>Bluestone Memorial Hospital</t>
        </is>
      </c>
      <c r="D3910" t="n">
        <v>92</v>
      </c>
    </row>
    <row r="3911">
      <c r="A3911" t="inlineStr">
        <is>
          <t>ED203993</t>
        </is>
      </c>
      <c r="B3911" s="56" t="n">
        <v>45533.83194444444</v>
      </c>
      <c r="C3911" t="inlineStr">
        <is>
          <t>Cedar Ridge Medical Center</t>
        </is>
      </c>
      <c r="D3911" t="n">
        <v>29</v>
      </c>
    </row>
    <row r="3912">
      <c r="A3912" t="inlineStr">
        <is>
          <t>ED203995</t>
        </is>
      </c>
      <c r="B3912" s="56" t="n">
        <v>45534.04652777778</v>
      </c>
      <c r="C3912" t="inlineStr">
        <is>
          <t>Cedar Ridge Medical Center</t>
        </is>
      </c>
      <c r="D3912" t="n">
        <v>23</v>
      </c>
    </row>
    <row r="3913">
      <c r="A3913" t="inlineStr">
        <is>
          <t>ED203996</t>
        </is>
      </c>
      <c r="B3913" s="56" t="n">
        <v>45534.21597222222</v>
      </c>
      <c r="C3913" t="inlineStr">
        <is>
          <t>Cedar Ridge Medical Center</t>
        </is>
      </c>
      <c r="D3913" t="n">
        <v>18</v>
      </c>
    </row>
    <row r="3914">
      <c r="A3914" t="inlineStr">
        <is>
          <t>ED203997</t>
        </is>
      </c>
      <c r="B3914" s="56" t="n">
        <v>45534.34097222222</v>
      </c>
      <c r="C3914" t="inlineStr">
        <is>
          <t>Bluestone Memorial Hospital</t>
        </is>
      </c>
      <c r="D3914" t="n">
        <v>104</v>
      </c>
    </row>
    <row r="3915">
      <c r="A3915" t="inlineStr">
        <is>
          <t>ED203999</t>
        </is>
      </c>
      <c r="B3915" s="56" t="n">
        <v>45534.69791666666</v>
      </c>
      <c r="C3915" t="inlineStr">
        <is>
          <t>Bluestone Memorial Hospital</t>
        </is>
      </c>
      <c r="D3915" t="n">
        <v>64</v>
      </c>
    </row>
    <row r="3916">
      <c r="A3916" t="inlineStr">
        <is>
          <t>ED204000</t>
        </is>
      </c>
      <c r="B3916" s="56" t="n">
        <v>45534.70694444444</v>
      </c>
      <c r="C3916" t="inlineStr">
        <is>
          <t>Bluestone Memorial Hospital</t>
        </is>
      </c>
      <c r="D3916" t="n">
        <v>69</v>
      </c>
    </row>
    <row r="3917">
      <c r="A3917" t="inlineStr">
        <is>
          <t>ED204001</t>
        </is>
      </c>
      <c r="B3917" s="56" t="n">
        <v>45534.74097222222</v>
      </c>
      <c r="C3917" t="inlineStr">
        <is>
          <t>Ashby Falls Community Hospital</t>
        </is>
      </c>
      <c r="D3917" t="n">
        <v>76</v>
      </c>
    </row>
    <row r="3918">
      <c r="A3918" t="inlineStr">
        <is>
          <t>ED204002</t>
        </is>
      </c>
      <c r="B3918" s="56" t="n">
        <v>45534.75486111111</v>
      </c>
      <c r="C3918" t="inlineStr">
        <is>
          <t>Bluestone Memorial Hospital</t>
        </is>
      </c>
      <c r="D3918" t="n">
        <v>48</v>
      </c>
    </row>
    <row r="3919">
      <c r="A3919" t="inlineStr">
        <is>
          <t>ED204003</t>
        </is>
      </c>
      <c r="B3919" s="56" t="n">
        <v>45534.79652777778</v>
      </c>
      <c r="C3919" t="inlineStr">
        <is>
          <t>Bluestone Memorial Hospital</t>
        </is>
      </c>
      <c r="D3919" t="n">
        <v>60</v>
      </c>
    </row>
    <row r="3920">
      <c r="A3920" t="inlineStr">
        <is>
          <t>ED204004</t>
        </is>
      </c>
      <c r="B3920" s="56" t="n">
        <v>45534.86597222222</v>
      </c>
      <c r="C3920" t="inlineStr">
        <is>
          <t>Bluestone Memorial Hospital</t>
        </is>
      </c>
      <c r="D3920" t="n">
        <v>22</v>
      </c>
    </row>
    <row r="3921">
      <c r="A3921" t="inlineStr">
        <is>
          <t>ED204005</t>
        </is>
      </c>
      <c r="B3921" s="56" t="n">
        <v>45534.91527777778</v>
      </c>
      <c r="C3921" t="inlineStr">
        <is>
          <t>Ashby Falls Community Hospital</t>
        </is>
      </c>
      <c r="D3921" t="n">
        <v>23</v>
      </c>
    </row>
    <row r="3922">
      <c r="A3922" t="inlineStr">
        <is>
          <t>ED204006</t>
        </is>
      </c>
      <c r="B3922" s="56" t="n">
        <v>45534.91597222222</v>
      </c>
      <c r="C3922" t="inlineStr">
        <is>
          <t>Bluestone Memorial Hospital</t>
        </is>
      </c>
      <c r="D3922" t="n">
        <v>54</v>
      </c>
    </row>
    <row r="3923">
      <c r="A3923" t="inlineStr">
        <is>
          <t>ED204007</t>
        </is>
      </c>
      <c r="B3923" s="56" t="n">
        <v>45534.93125</v>
      </c>
      <c r="C3923" t="inlineStr">
        <is>
          <t>Cedar Ridge Medical Center</t>
        </is>
      </c>
      <c r="D3923" t="n">
        <v>30</v>
      </c>
    </row>
    <row r="3924">
      <c r="A3924" t="inlineStr">
        <is>
          <t>ED204008</t>
        </is>
      </c>
      <c r="B3924" s="56" t="n">
        <v>45534.97569444445</v>
      </c>
      <c r="C3924" t="inlineStr">
        <is>
          <t>Ashby Falls Community Hospital</t>
        </is>
      </c>
      <c r="D3924" t="n">
        <v>77</v>
      </c>
    </row>
    <row r="3925">
      <c r="A3925" t="inlineStr">
        <is>
          <t>ED204009</t>
        </is>
      </c>
      <c r="B3925" s="56" t="n">
        <v>45535.11736111111</v>
      </c>
      <c r="C3925" t="inlineStr">
        <is>
          <t>Bluestone Memorial Hospital</t>
        </is>
      </c>
      <c r="D3925" t="n">
        <v>27</v>
      </c>
    </row>
    <row r="3926">
      <c r="A3926" t="inlineStr">
        <is>
          <t>ED204010</t>
        </is>
      </c>
      <c r="B3926" s="56" t="n">
        <v>45535.34513888889</v>
      </c>
      <c r="C3926" t="inlineStr">
        <is>
          <t>Bluestone Memorial Hospital</t>
        </is>
      </c>
      <c r="D3926" t="n">
        <v>3</v>
      </c>
    </row>
    <row r="3927">
      <c r="A3927" t="inlineStr">
        <is>
          <t>ED204011</t>
        </is>
      </c>
      <c r="B3927" s="56" t="n">
        <v>45535.47430555556</v>
      </c>
      <c r="C3927" t="inlineStr">
        <is>
          <t>Ashby Falls Community Hospital</t>
        </is>
      </c>
      <c r="D3927" t="n">
        <v>32</v>
      </c>
    </row>
    <row r="3928">
      <c r="A3928" t="inlineStr">
        <is>
          <t>ED204012</t>
        </is>
      </c>
      <c r="B3928" s="56" t="n">
        <v>45535.50625</v>
      </c>
      <c r="C3928" t="inlineStr">
        <is>
          <t>Bluestone Memorial Hospital</t>
        </is>
      </c>
      <c r="D3928" t="n">
        <v>18</v>
      </c>
    </row>
    <row r="3929">
      <c r="A3929" t="inlineStr">
        <is>
          <t>ED204013</t>
        </is>
      </c>
      <c r="B3929" s="56" t="n">
        <v>45535.51597222222</v>
      </c>
      <c r="C3929" t="inlineStr">
        <is>
          <t>Ashby Falls Community Hospital</t>
        </is>
      </c>
      <c r="D3929" t="n">
        <v>82</v>
      </c>
    </row>
    <row r="3930">
      <c r="A3930" t="inlineStr">
        <is>
          <t>ED204014</t>
        </is>
      </c>
      <c r="B3930" s="56" t="n">
        <v>45535.56736111111</v>
      </c>
      <c r="C3930" t="inlineStr">
        <is>
          <t>Bluestone Memorial Hospital</t>
        </is>
      </c>
      <c r="D3930" t="n">
        <v>3</v>
      </c>
    </row>
    <row r="3931">
      <c r="A3931" t="inlineStr">
        <is>
          <t>ED204015</t>
        </is>
      </c>
      <c r="B3931" s="56" t="n">
        <v>45535.60694444444</v>
      </c>
      <c r="C3931" t="inlineStr">
        <is>
          <t>Bluestone Memorial Hospital</t>
        </is>
      </c>
      <c r="D3931" t="n">
        <v>41</v>
      </c>
    </row>
    <row r="3932">
      <c r="A3932" t="inlineStr">
        <is>
          <t>ED204016</t>
        </is>
      </c>
      <c r="B3932" s="56" t="n">
        <v>45535.62152777778</v>
      </c>
      <c r="C3932" t="inlineStr">
        <is>
          <t>Cedar Ridge Medical Center</t>
        </is>
      </c>
      <c r="D3932" t="n">
        <v>119</v>
      </c>
    </row>
    <row r="3933">
      <c r="A3933" t="inlineStr">
        <is>
          <t>ED204017</t>
        </is>
      </c>
      <c r="B3933" s="56" t="n">
        <v>45535.64444444444</v>
      </c>
      <c r="C3933" t="inlineStr">
        <is>
          <t>Bluestone Memorial Hospital</t>
        </is>
      </c>
      <c r="D3933" t="n">
        <v>88</v>
      </c>
    </row>
    <row r="3934">
      <c r="A3934" t="inlineStr">
        <is>
          <t>ED204018</t>
        </is>
      </c>
      <c r="B3934" s="56" t="n">
        <v>45535.71111111111</v>
      </c>
      <c r="C3934" t="inlineStr">
        <is>
          <t>Bluestone Memorial Hospital</t>
        </is>
      </c>
      <c r="D3934" t="n">
        <v>35</v>
      </c>
    </row>
    <row r="3935">
      <c r="A3935" t="inlineStr">
        <is>
          <t>ED204019</t>
        </is>
      </c>
      <c r="B3935" s="56" t="n">
        <v>45535.75902777778</v>
      </c>
      <c r="C3935" t="inlineStr">
        <is>
          <t>Cedar Ridge Medical Center</t>
        </is>
      </c>
      <c r="D3935" t="n">
        <v>52</v>
      </c>
    </row>
    <row r="3936">
      <c r="A3936" t="inlineStr">
        <is>
          <t>ED204020</t>
        </is>
      </c>
      <c r="B3936" s="56" t="n">
        <v>45535.775</v>
      </c>
      <c r="C3936" t="inlineStr">
        <is>
          <t>Bluestone Memorial Hospital</t>
        </is>
      </c>
      <c r="D3936" t="n">
        <v>28</v>
      </c>
    </row>
    <row r="3937">
      <c r="A3937" t="inlineStr">
        <is>
          <t>ED204021</t>
        </is>
      </c>
      <c r="B3937" s="56" t="n">
        <v>45535.87013888889</v>
      </c>
      <c r="C3937" t="inlineStr">
        <is>
          <t>Ashby Falls Community Hospital</t>
        </is>
      </c>
      <c r="D3937" t="n">
        <v>40</v>
      </c>
    </row>
    <row r="3938">
      <c r="A3938" t="inlineStr">
        <is>
          <t>ED204022</t>
        </is>
      </c>
      <c r="B3938" s="56" t="n">
        <v>45535.88125</v>
      </c>
      <c r="C3938" t="inlineStr">
        <is>
          <t>Bluestone Memorial Hospital</t>
        </is>
      </c>
      <c r="D3938" t="n">
        <v>48</v>
      </c>
    </row>
    <row r="3939">
      <c r="A3939" t="inlineStr">
        <is>
          <t>ED204023</t>
        </is>
      </c>
      <c r="B3939" s="56" t="n">
        <v>45535.98472222222</v>
      </c>
      <c r="C3939" t="inlineStr">
        <is>
          <t>Bluestone Memorial Hospital</t>
        </is>
      </c>
      <c r="D3939" t="n">
        <v>18</v>
      </c>
    </row>
    <row r="3940">
      <c r="A3940" t="inlineStr">
        <is>
          <t>ED204024</t>
        </is>
      </c>
      <c r="B3940" s="56" t="n">
        <v>45536.07777777778</v>
      </c>
      <c r="C3940" t="inlineStr">
        <is>
          <t>Bluestone Memorial Hospital</t>
        </is>
      </c>
      <c r="D3940" t="n">
        <v>17</v>
      </c>
    </row>
    <row r="3941">
      <c r="A3941" t="inlineStr">
        <is>
          <t>ED204025</t>
        </is>
      </c>
      <c r="B3941" s="56" t="n">
        <v>45536.35763888889</v>
      </c>
      <c r="C3941" t="inlineStr">
        <is>
          <t>Cedar Ridge Medical Center</t>
        </is>
      </c>
      <c r="D3941" t="n">
        <v>75</v>
      </c>
    </row>
    <row r="3942">
      <c r="A3942" t="inlineStr">
        <is>
          <t>ED204026</t>
        </is>
      </c>
      <c r="B3942" s="56" t="n">
        <v>45536.52361111111</v>
      </c>
      <c r="C3942" t="inlineStr">
        <is>
          <t>Bluestone Memorial Hospital</t>
        </is>
      </c>
      <c r="D3942" t="n">
        <v>101</v>
      </c>
    </row>
    <row r="3943">
      <c r="A3943" t="inlineStr">
        <is>
          <t>ED204027</t>
        </is>
      </c>
      <c r="B3943" s="56" t="n">
        <v>45536.54305555556</v>
      </c>
      <c r="C3943" t="inlineStr">
        <is>
          <t>Cedar Ridge Medical Center</t>
        </is>
      </c>
      <c r="D3943" t="n">
        <v>24</v>
      </c>
    </row>
    <row r="3944">
      <c r="A3944" t="inlineStr">
        <is>
          <t>ED204028</t>
        </is>
      </c>
      <c r="B3944" s="56" t="n">
        <v>45536.57638888889</v>
      </c>
      <c r="C3944" t="inlineStr">
        <is>
          <t>Bluestone Memorial Hospital</t>
        </is>
      </c>
      <c r="D3944" t="n">
        <v>91</v>
      </c>
    </row>
    <row r="3945">
      <c r="A3945" t="inlineStr">
        <is>
          <t>ED204029</t>
        </is>
      </c>
      <c r="B3945" s="56" t="n">
        <v>45536.60972222222</v>
      </c>
      <c r="C3945" t="inlineStr">
        <is>
          <t>Bluestone Memorial Hospital</t>
        </is>
      </c>
      <c r="D3945" t="n">
        <v>35</v>
      </c>
    </row>
    <row r="3946">
      <c r="A3946" t="inlineStr">
        <is>
          <t>ED204030</t>
        </is>
      </c>
      <c r="B3946" s="56" t="n">
        <v>45536.67986111111</v>
      </c>
      <c r="C3946" t="inlineStr">
        <is>
          <t>Bluestone Memorial Hospital</t>
        </is>
      </c>
      <c r="D3946" t="n">
        <v>40</v>
      </c>
    </row>
    <row r="3947">
      <c r="A3947" t="inlineStr">
        <is>
          <t>ED204031</t>
        </is>
      </c>
      <c r="B3947" s="56" t="n">
        <v>45536.69305555556</v>
      </c>
      <c r="C3947" t="inlineStr">
        <is>
          <t>Cedar Ridge Medical Center</t>
        </is>
      </c>
      <c r="D3947" t="n">
        <v>38</v>
      </c>
    </row>
    <row r="3948">
      <c r="A3948" t="inlineStr">
        <is>
          <t>ED204032</t>
        </is>
      </c>
      <c r="B3948" s="56" t="n">
        <v>45536.71805555555</v>
      </c>
      <c r="C3948" t="inlineStr">
        <is>
          <t>Cedar Ridge Medical Center</t>
        </is>
      </c>
      <c r="D3948" t="n">
        <v>8</v>
      </c>
    </row>
    <row r="3949">
      <c r="A3949" t="inlineStr">
        <is>
          <t>ED204033</t>
        </is>
      </c>
      <c r="B3949" s="56" t="n">
        <v>45536.80347222222</v>
      </c>
      <c r="C3949" t="inlineStr">
        <is>
          <t>Bluestone Memorial Hospital</t>
        </is>
      </c>
      <c r="D3949" t="n">
        <v>14</v>
      </c>
    </row>
    <row r="3950">
      <c r="A3950" t="inlineStr">
        <is>
          <t>ED204034</t>
        </is>
      </c>
      <c r="B3950" s="56" t="n">
        <v>45536.93680555555</v>
      </c>
      <c r="C3950" t="inlineStr">
        <is>
          <t>Cedar Ridge Medical Center</t>
        </is>
      </c>
      <c r="D3950" t="n">
        <v>23</v>
      </c>
    </row>
    <row r="3951">
      <c r="A3951" t="inlineStr">
        <is>
          <t>ED204035</t>
        </is>
      </c>
      <c r="B3951" s="56" t="n">
        <v>45537.02986111111</v>
      </c>
      <c r="C3951" t="inlineStr">
        <is>
          <t>Bluestone Memorial Hospital</t>
        </is>
      </c>
      <c r="D3951" t="n">
        <v>26</v>
      </c>
    </row>
    <row r="3952">
      <c r="A3952" t="inlineStr">
        <is>
          <t>ED204036</t>
        </is>
      </c>
      <c r="B3952" s="56" t="n">
        <v>45537.08055555556</v>
      </c>
      <c r="C3952" t="inlineStr">
        <is>
          <t>Bluestone Memorial Hospital</t>
        </is>
      </c>
      <c r="D3952" t="n">
        <v>11</v>
      </c>
    </row>
    <row r="3953">
      <c r="A3953" t="inlineStr">
        <is>
          <t>ED204037</t>
        </is>
      </c>
      <c r="B3953" s="56" t="n">
        <v>45537.10972222222</v>
      </c>
      <c r="C3953" t="inlineStr">
        <is>
          <t>Cedar Ridge Medical Center</t>
        </is>
      </c>
      <c r="D3953" t="n">
        <v>23</v>
      </c>
    </row>
    <row r="3954">
      <c r="A3954" t="inlineStr">
        <is>
          <t>ED204038</t>
        </is>
      </c>
      <c r="B3954" s="56" t="n">
        <v>45537.25902777778</v>
      </c>
      <c r="C3954" t="inlineStr">
        <is>
          <t>Bluestone Memorial Hospital</t>
        </is>
      </c>
      <c r="D3954" t="n">
        <v>6</v>
      </c>
    </row>
    <row r="3955">
      <c r="A3955" t="inlineStr">
        <is>
          <t>ED204039</t>
        </is>
      </c>
      <c r="B3955" s="56" t="n">
        <v>45537.36597222222</v>
      </c>
      <c r="C3955" t="inlineStr">
        <is>
          <t>Bluestone Memorial Hospital</t>
        </is>
      </c>
      <c r="D3955" t="n">
        <v>41</v>
      </c>
    </row>
    <row r="3956">
      <c r="A3956" t="inlineStr">
        <is>
          <t>ED204040</t>
        </is>
      </c>
      <c r="B3956" s="56" t="n">
        <v>45537.37638888889</v>
      </c>
      <c r="C3956" t="inlineStr">
        <is>
          <t>Bluestone Memorial Hospital</t>
        </is>
      </c>
      <c r="D3956" t="n">
        <v>19</v>
      </c>
    </row>
    <row r="3957">
      <c r="A3957" t="inlineStr">
        <is>
          <t>ED204041</t>
        </is>
      </c>
      <c r="B3957" s="56" t="n">
        <v>45537.41458333333</v>
      </c>
      <c r="C3957" t="inlineStr">
        <is>
          <t>Bluestone Memorial Hospital</t>
        </is>
      </c>
      <c r="D3957" t="n">
        <v>69</v>
      </c>
    </row>
    <row r="3958">
      <c r="A3958" t="inlineStr">
        <is>
          <t>ED204042</t>
        </is>
      </c>
      <c r="B3958" s="56" t="n">
        <v>45537.44513888889</v>
      </c>
      <c r="C3958" t="inlineStr">
        <is>
          <t>Bluestone Memorial Hospital</t>
        </is>
      </c>
      <c r="D3958" t="n">
        <v>92</v>
      </c>
    </row>
    <row r="3959">
      <c r="A3959" t="inlineStr">
        <is>
          <t>ED204043</t>
        </is>
      </c>
      <c r="B3959" s="56" t="n">
        <v>45537.50416666667</v>
      </c>
      <c r="C3959" t="inlineStr">
        <is>
          <t>Bluestone Memorial Hospital</t>
        </is>
      </c>
      <c r="D3959" t="n">
        <v>47</v>
      </c>
    </row>
    <row r="3960">
      <c r="A3960" t="inlineStr">
        <is>
          <t>ED204044</t>
        </is>
      </c>
      <c r="B3960" s="56" t="n">
        <v>45537.52430555555</v>
      </c>
      <c r="C3960" t="inlineStr">
        <is>
          <t>Ashby Falls Community Hospital</t>
        </is>
      </c>
      <c r="D3960" t="n">
        <v>46</v>
      </c>
    </row>
    <row r="3961">
      <c r="A3961" t="inlineStr">
        <is>
          <t>ED204045</t>
        </is>
      </c>
      <c r="B3961" s="56" t="n">
        <v>45537.53055555555</v>
      </c>
      <c r="C3961" t="inlineStr">
        <is>
          <t>Bluestone Memorial Hospital</t>
        </is>
      </c>
      <c r="D3961" t="n">
        <v>46</v>
      </c>
    </row>
    <row r="3962">
      <c r="A3962" t="inlineStr">
        <is>
          <t>ED204046</t>
        </is>
      </c>
      <c r="B3962" s="56" t="n">
        <v>45537.60138888889</v>
      </c>
      <c r="C3962" t="inlineStr">
        <is>
          <t>Bluestone Memorial Hospital</t>
        </is>
      </c>
      <c r="D3962" t="n">
        <v>3</v>
      </c>
    </row>
    <row r="3963">
      <c r="A3963" t="inlineStr">
        <is>
          <t>ED204047</t>
        </is>
      </c>
      <c r="B3963" s="56" t="n">
        <v>45537.62708333333</v>
      </c>
      <c r="C3963" t="inlineStr">
        <is>
          <t>Bluestone Memorial Hospital</t>
        </is>
      </c>
      <c r="D3963" t="n">
        <v>41</v>
      </c>
    </row>
    <row r="3964">
      <c r="A3964" t="inlineStr">
        <is>
          <t>ED204048</t>
        </is>
      </c>
      <c r="B3964" s="56" t="n">
        <v>45537.68055555555</v>
      </c>
      <c r="C3964" t="inlineStr">
        <is>
          <t>Ashby Falls Community Hospital</t>
        </is>
      </c>
      <c r="D3964" t="n">
        <v>65</v>
      </c>
    </row>
    <row r="3965">
      <c r="A3965" t="inlineStr">
        <is>
          <t>ED204049</t>
        </is>
      </c>
      <c r="B3965" s="56" t="n">
        <v>45537.73958333334</v>
      </c>
      <c r="C3965" t="inlineStr">
        <is>
          <t>Cedar Ridge Medical Center</t>
        </is>
      </c>
      <c r="D3965" t="n">
        <v>43</v>
      </c>
    </row>
    <row r="3966">
      <c r="A3966" t="inlineStr">
        <is>
          <t>ED204050</t>
        </is>
      </c>
      <c r="B3966" s="56" t="n">
        <v>45537.83541666667</v>
      </c>
      <c r="C3966" t="inlineStr">
        <is>
          <t>Bluestone Memorial Hospital</t>
        </is>
      </c>
      <c r="D3966" t="n">
        <v>71</v>
      </c>
    </row>
    <row r="3967">
      <c r="A3967" t="inlineStr">
        <is>
          <t>ED204051</t>
        </is>
      </c>
      <c r="B3967" s="56" t="n">
        <v>45537.95763888889</v>
      </c>
      <c r="C3967" t="inlineStr">
        <is>
          <t>Bluestone Memorial Hospital</t>
        </is>
      </c>
      <c r="D3967" t="n">
        <v>5</v>
      </c>
    </row>
    <row r="3968">
      <c r="A3968" t="inlineStr">
        <is>
          <t>ED204052</t>
        </is>
      </c>
      <c r="B3968" s="56" t="n">
        <v>45538.03680555556</v>
      </c>
      <c r="C3968" t="inlineStr">
        <is>
          <t>Bluestone Memorial Hospital</t>
        </is>
      </c>
      <c r="D3968" t="n">
        <v>44</v>
      </c>
    </row>
    <row r="3969">
      <c r="A3969" t="inlineStr">
        <is>
          <t>ED204053</t>
        </is>
      </c>
      <c r="B3969" s="56" t="n">
        <v>45538.10208333333</v>
      </c>
      <c r="C3969" t="inlineStr">
        <is>
          <t>Bluestone Memorial Hospital</t>
        </is>
      </c>
      <c r="D3969" t="n">
        <v>19</v>
      </c>
    </row>
    <row r="3970">
      <c r="A3970" t="inlineStr">
        <is>
          <t>ED204054</t>
        </is>
      </c>
      <c r="B3970" s="56" t="n">
        <v>45538.21527777778</v>
      </c>
      <c r="C3970" t="inlineStr">
        <is>
          <t>Bluestone Memorial Hospital</t>
        </is>
      </c>
      <c r="D3970" t="n">
        <v>92</v>
      </c>
    </row>
    <row r="3971">
      <c r="A3971" t="inlineStr">
        <is>
          <t>ED204055</t>
        </is>
      </c>
      <c r="B3971" s="56" t="n">
        <v>45538.35902777778</v>
      </c>
      <c r="C3971" t="inlineStr">
        <is>
          <t>Bluestone Memorial Hospital</t>
        </is>
      </c>
      <c r="D3971" t="n">
        <v>42</v>
      </c>
    </row>
    <row r="3972">
      <c r="A3972" t="inlineStr">
        <is>
          <t>ED204056</t>
        </is>
      </c>
      <c r="B3972" s="56" t="n">
        <v>45538.49583333333</v>
      </c>
      <c r="C3972" t="inlineStr">
        <is>
          <t>Ashby Falls Community Hospital</t>
        </is>
      </c>
      <c r="D3972" t="n">
        <v>48</v>
      </c>
    </row>
    <row r="3973">
      <c r="A3973" t="inlineStr">
        <is>
          <t>ED204057</t>
        </is>
      </c>
      <c r="B3973" s="56" t="n">
        <v>45538.525</v>
      </c>
      <c r="C3973" t="inlineStr">
        <is>
          <t>Bluestone Memorial Hospital</t>
        </is>
      </c>
      <c r="D3973" t="n">
        <v>13</v>
      </c>
    </row>
    <row r="3974">
      <c r="A3974" t="inlineStr">
        <is>
          <t>ED204058</t>
        </is>
      </c>
      <c r="B3974" s="56" t="n">
        <v>45538.55972222222</v>
      </c>
      <c r="C3974" t="inlineStr">
        <is>
          <t>Ashby Falls Community Hospital</t>
        </is>
      </c>
      <c r="D3974" t="n">
        <v>15</v>
      </c>
    </row>
    <row r="3975">
      <c r="A3975" t="inlineStr">
        <is>
          <t>ED204059</t>
        </is>
      </c>
      <c r="B3975" s="56" t="n">
        <v>45538.66458333333</v>
      </c>
      <c r="C3975" t="inlineStr">
        <is>
          <t>Cedar Ridge Medical Center</t>
        </is>
      </c>
      <c r="D3975" t="n">
        <v>142</v>
      </c>
    </row>
    <row r="3976">
      <c r="A3976" t="inlineStr">
        <is>
          <t>ED204060</t>
        </is>
      </c>
      <c r="B3976" s="56" t="n">
        <v>45538.73958333334</v>
      </c>
      <c r="C3976" t="inlineStr">
        <is>
          <t>Bluestone Memorial Hospital</t>
        </is>
      </c>
      <c r="D3976" t="n">
        <v>99</v>
      </c>
    </row>
    <row r="3977">
      <c r="A3977" t="inlineStr">
        <is>
          <t>ED204061</t>
        </is>
      </c>
      <c r="B3977" s="56" t="n">
        <v>45538.73958333334</v>
      </c>
      <c r="C3977" t="inlineStr">
        <is>
          <t>Bluestone Memorial Hospital</t>
        </is>
      </c>
      <c r="D3977" t="n">
        <v>26</v>
      </c>
    </row>
    <row r="3978">
      <c r="A3978" t="inlineStr">
        <is>
          <t>ED204062</t>
        </is>
      </c>
      <c r="B3978" s="56" t="n">
        <v>45538.79305555556</v>
      </c>
      <c r="C3978" t="inlineStr">
        <is>
          <t>Bluestone Memorial Hospital</t>
        </is>
      </c>
      <c r="D3978" t="n">
        <v>16</v>
      </c>
    </row>
    <row r="3979">
      <c r="A3979" t="inlineStr">
        <is>
          <t>ED204063</t>
        </is>
      </c>
      <c r="B3979" s="56" t="n">
        <v>45538.80069444444</v>
      </c>
      <c r="C3979" t="inlineStr">
        <is>
          <t>Ashby Falls Community Hospital</t>
        </is>
      </c>
      <c r="D3979" t="n">
        <v>51</v>
      </c>
    </row>
    <row r="3980">
      <c r="A3980" t="inlineStr">
        <is>
          <t>ED204064</t>
        </is>
      </c>
      <c r="B3980" s="56" t="n">
        <v>45538.85833333333</v>
      </c>
      <c r="C3980" t="inlineStr">
        <is>
          <t>Bluestone Memorial Hospital</t>
        </is>
      </c>
      <c r="D3980" t="n">
        <v>120</v>
      </c>
    </row>
    <row r="3981">
      <c r="A3981" t="inlineStr">
        <is>
          <t>ED204065</t>
        </is>
      </c>
      <c r="B3981" s="56" t="n">
        <v>45538.87638888889</v>
      </c>
      <c r="C3981" t="inlineStr">
        <is>
          <t>Bluestone Memorial Hospital</t>
        </is>
      </c>
      <c r="D3981" t="n">
        <v>68</v>
      </c>
    </row>
    <row r="3982">
      <c r="A3982" t="inlineStr">
        <is>
          <t>ED204066</t>
        </is>
      </c>
      <c r="B3982" s="56" t="n">
        <v>45538.91666666666</v>
      </c>
      <c r="C3982" t="inlineStr">
        <is>
          <t>Cedar Ridge Medical Center</t>
        </is>
      </c>
      <c r="D3982" t="n">
        <v>21</v>
      </c>
    </row>
    <row r="3983">
      <c r="A3983" t="inlineStr">
        <is>
          <t>ED204067</t>
        </is>
      </c>
      <c r="B3983" s="56" t="n">
        <v>45539.10416666666</v>
      </c>
      <c r="C3983" t="inlineStr">
        <is>
          <t>Bluestone Memorial Hospital</t>
        </is>
      </c>
      <c r="D3983" t="n">
        <v>14</v>
      </c>
    </row>
    <row r="3984">
      <c r="A3984" t="inlineStr">
        <is>
          <t>ED204068</t>
        </is>
      </c>
      <c r="B3984" s="56" t="n">
        <v>45539.11041666667</v>
      </c>
      <c r="C3984" t="inlineStr">
        <is>
          <t>Bluestone Memorial Hospital</t>
        </is>
      </c>
      <c r="D3984" t="n">
        <v>26</v>
      </c>
    </row>
    <row r="3985">
      <c r="A3985" t="inlineStr">
        <is>
          <t>ED204069</t>
        </is>
      </c>
      <c r="B3985" s="56" t="n">
        <v>45539.18472222222</v>
      </c>
      <c r="C3985" t="inlineStr">
        <is>
          <t>Bluestone Memorial Hospital</t>
        </is>
      </c>
      <c r="D3985" t="n">
        <v>10</v>
      </c>
    </row>
    <row r="3986">
      <c r="A3986" t="inlineStr">
        <is>
          <t>ED204070</t>
        </is>
      </c>
      <c r="B3986" s="56" t="n">
        <v>45539.31388888889</v>
      </c>
      <c r="C3986" t="inlineStr">
        <is>
          <t>Bluestone Memorial Hospital</t>
        </is>
      </c>
      <c r="D3986" t="n">
        <v>48</v>
      </c>
    </row>
    <row r="3987">
      <c r="A3987" t="inlineStr">
        <is>
          <t>ED204071</t>
        </is>
      </c>
      <c r="B3987" s="56" t="n">
        <v>45539.5</v>
      </c>
      <c r="C3987" t="inlineStr">
        <is>
          <t>Bluestone Memorial Hospital</t>
        </is>
      </c>
      <c r="D3987" t="n">
        <v>23</v>
      </c>
    </row>
    <row r="3988">
      <c r="A3988" t="inlineStr">
        <is>
          <t>ED204072</t>
        </is>
      </c>
      <c r="B3988" s="56" t="n">
        <v>45539.54027777778</v>
      </c>
      <c r="C3988" t="inlineStr">
        <is>
          <t>Bluestone Memorial Hospital</t>
        </is>
      </c>
      <c r="D3988" t="n">
        <v>80</v>
      </c>
    </row>
    <row r="3989">
      <c r="A3989" t="inlineStr">
        <is>
          <t>ED204073</t>
        </is>
      </c>
      <c r="B3989" s="56" t="n">
        <v>45539.57430555556</v>
      </c>
      <c r="C3989" t="inlineStr">
        <is>
          <t>Ashby Falls Community Hospital</t>
        </is>
      </c>
      <c r="D3989" t="n">
        <v>12</v>
      </c>
    </row>
    <row r="3990">
      <c r="A3990" t="inlineStr">
        <is>
          <t>ED204074</t>
        </is>
      </c>
      <c r="B3990" s="56" t="n">
        <v>45539.625</v>
      </c>
      <c r="C3990" t="inlineStr">
        <is>
          <t>Bluestone Memorial Hospital</t>
        </is>
      </c>
      <c r="D3990" t="n">
        <v>9</v>
      </c>
    </row>
    <row r="3991">
      <c r="A3991" t="inlineStr">
        <is>
          <t>ED204075</t>
        </is>
      </c>
      <c r="B3991" s="56" t="n">
        <v>45539.68055555555</v>
      </c>
      <c r="C3991" t="inlineStr">
        <is>
          <t>Cedar Ridge Medical Center</t>
        </is>
      </c>
      <c r="D3991" t="n">
        <v>59</v>
      </c>
    </row>
    <row r="3992">
      <c r="A3992" t="inlineStr">
        <is>
          <t>ED204076</t>
        </is>
      </c>
      <c r="B3992" s="56" t="n">
        <v>45539.69930555556</v>
      </c>
      <c r="C3992" t="inlineStr">
        <is>
          <t>Ashby Falls Community Hospital</t>
        </is>
      </c>
      <c r="D3992" t="n">
        <v>35</v>
      </c>
    </row>
    <row r="3993">
      <c r="A3993" t="inlineStr">
        <is>
          <t>ED204077</t>
        </is>
      </c>
      <c r="B3993" s="56" t="n">
        <v>45539.79861111111</v>
      </c>
      <c r="C3993" t="inlineStr">
        <is>
          <t>Bluestone Memorial Hospital</t>
        </is>
      </c>
      <c r="D3993" t="n">
        <v>69</v>
      </c>
    </row>
    <row r="3994">
      <c r="A3994" t="inlineStr">
        <is>
          <t>ED204078</t>
        </is>
      </c>
      <c r="B3994" s="56" t="n">
        <v>45539.87222222222</v>
      </c>
      <c r="C3994" t="inlineStr">
        <is>
          <t>Cedar Ridge Medical Center</t>
        </is>
      </c>
      <c r="D3994" t="n">
        <v>26</v>
      </c>
    </row>
    <row r="3995">
      <c r="A3995" t="inlineStr">
        <is>
          <t>ED204079</t>
        </is>
      </c>
      <c r="B3995" s="56" t="n">
        <v>45540.15902777778</v>
      </c>
      <c r="C3995" t="inlineStr">
        <is>
          <t>Bluestone Memorial Hospital</t>
        </is>
      </c>
      <c r="D3995" t="n">
        <v>11</v>
      </c>
    </row>
    <row r="3996">
      <c r="A3996" t="inlineStr">
        <is>
          <t>ED204080</t>
        </is>
      </c>
      <c r="B3996" s="56" t="n">
        <v>45540.34097222222</v>
      </c>
      <c r="C3996" t="inlineStr">
        <is>
          <t>Bluestone Memorial Hospital</t>
        </is>
      </c>
      <c r="D3996" t="n">
        <v>34</v>
      </c>
    </row>
    <row r="3997">
      <c r="A3997" t="inlineStr">
        <is>
          <t>ED204082</t>
        </is>
      </c>
      <c r="B3997" s="56" t="n">
        <v>45540.44652777778</v>
      </c>
      <c r="C3997" t="inlineStr">
        <is>
          <t>Bluestone Memorial Hospital</t>
        </is>
      </c>
      <c r="D3997" t="n">
        <v>80</v>
      </c>
    </row>
    <row r="3998">
      <c r="A3998" t="inlineStr">
        <is>
          <t>ED204084</t>
        </is>
      </c>
      <c r="B3998" s="56" t="n">
        <v>45540.49236111111</v>
      </c>
      <c r="C3998" t="inlineStr">
        <is>
          <t>Bluestone Memorial Hospital</t>
        </is>
      </c>
      <c r="D3998" t="n">
        <v>98</v>
      </c>
    </row>
    <row r="3999">
      <c r="A3999" t="inlineStr">
        <is>
          <t>ED204085</t>
        </is>
      </c>
      <c r="B3999" s="56" t="n">
        <v>45540.51597222222</v>
      </c>
      <c r="C3999" t="inlineStr">
        <is>
          <t>Bluestone Memorial Hospital</t>
        </is>
      </c>
      <c r="D3999" t="n">
        <v>12</v>
      </c>
    </row>
    <row r="4000">
      <c r="A4000" t="inlineStr">
        <is>
          <t>ED204086</t>
        </is>
      </c>
      <c r="B4000" s="56" t="n">
        <v>45540.54583333333</v>
      </c>
      <c r="C4000" t="inlineStr">
        <is>
          <t>Bluestone Memorial Hospital</t>
        </is>
      </c>
      <c r="D4000" t="n">
        <v>18</v>
      </c>
    </row>
    <row r="4001">
      <c r="A4001" t="inlineStr">
        <is>
          <t>ED204087</t>
        </is>
      </c>
      <c r="B4001" s="56" t="n">
        <v>45540.54930555556</v>
      </c>
      <c r="C4001" t="inlineStr">
        <is>
          <t>Bluestone Memorial Hospital</t>
        </is>
      </c>
      <c r="D4001" t="n">
        <v>78</v>
      </c>
    </row>
    <row r="4002">
      <c r="A4002" t="inlineStr">
        <is>
          <t>ED204088</t>
        </is>
      </c>
      <c r="B4002" s="56" t="n">
        <v>45540.74166666667</v>
      </c>
      <c r="C4002" t="inlineStr">
        <is>
          <t>Ashby Falls Community Hospital</t>
        </is>
      </c>
      <c r="D4002" t="n">
        <v>44</v>
      </c>
    </row>
    <row r="4003">
      <c r="A4003" t="inlineStr">
        <is>
          <t>ED204089</t>
        </is>
      </c>
      <c r="B4003" s="56" t="n">
        <v>45540.75555555556</v>
      </c>
      <c r="C4003" t="inlineStr">
        <is>
          <t>Bluestone Memorial Hospital</t>
        </is>
      </c>
      <c r="D4003" t="n">
        <v>49</v>
      </c>
    </row>
    <row r="4004">
      <c r="A4004" t="inlineStr">
        <is>
          <t>ED204090</t>
        </is>
      </c>
      <c r="B4004" s="56" t="n">
        <v>45540.76388888889</v>
      </c>
      <c r="C4004" t="inlineStr">
        <is>
          <t>Cedar Ridge Medical Center</t>
        </is>
      </c>
      <c r="D4004" t="n">
        <v>59</v>
      </c>
    </row>
    <row r="4005">
      <c r="A4005" t="inlineStr">
        <is>
          <t>ED204091</t>
        </is>
      </c>
      <c r="B4005" s="56" t="n">
        <v>45540.87708333333</v>
      </c>
      <c r="C4005" t="inlineStr">
        <is>
          <t>Cedar Ridge Medical Center</t>
        </is>
      </c>
      <c r="D4005" t="n">
        <v>7</v>
      </c>
    </row>
    <row r="4006">
      <c r="A4006" t="inlineStr">
        <is>
          <t>ED204092</t>
        </is>
      </c>
      <c r="B4006" s="56" t="n">
        <v>45541.01319444444</v>
      </c>
      <c r="C4006" t="inlineStr">
        <is>
          <t>Bluestone Memorial Hospital</t>
        </is>
      </c>
      <c r="D4006" t="n">
        <v>37</v>
      </c>
    </row>
    <row r="4007">
      <c r="A4007" t="inlineStr">
        <is>
          <t>ED204093</t>
        </is>
      </c>
      <c r="B4007" s="56" t="n">
        <v>45541.04236111111</v>
      </c>
      <c r="C4007" t="inlineStr">
        <is>
          <t>Bluestone Memorial Hospital</t>
        </is>
      </c>
      <c r="D4007" t="n">
        <v>72</v>
      </c>
    </row>
    <row r="4008">
      <c r="A4008" t="inlineStr">
        <is>
          <t>ED204094</t>
        </is>
      </c>
      <c r="B4008" s="56" t="n">
        <v>45541.06388888889</v>
      </c>
      <c r="C4008" t="inlineStr">
        <is>
          <t>Bluestone Memorial Hospital</t>
        </is>
      </c>
      <c r="D4008" t="n">
        <v>19</v>
      </c>
    </row>
    <row r="4009">
      <c r="A4009" t="inlineStr">
        <is>
          <t>ED204095</t>
        </is>
      </c>
      <c r="B4009" s="56" t="n">
        <v>45541.32430555556</v>
      </c>
      <c r="C4009" t="inlineStr">
        <is>
          <t>Bluestone Memorial Hospital</t>
        </is>
      </c>
      <c r="D4009" t="n">
        <v>64</v>
      </c>
    </row>
    <row r="4010">
      <c r="A4010" t="inlineStr">
        <is>
          <t>ED204096</t>
        </is>
      </c>
      <c r="B4010" s="56" t="n">
        <v>45541.34375</v>
      </c>
      <c r="C4010" t="inlineStr">
        <is>
          <t>Bluestone Memorial Hospital</t>
        </is>
      </c>
      <c r="D4010" t="n">
        <v>30</v>
      </c>
    </row>
    <row r="4011">
      <c r="A4011" t="inlineStr">
        <is>
          <t>ED204097</t>
        </is>
      </c>
      <c r="B4011" s="56" t="n">
        <v>45541.37083333333</v>
      </c>
      <c r="C4011" t="inlineStr">
        <is>
          <t>Bluestone Memorial Hospital</t>
        </is>
      </c>
      <c r="D4011" t="n">
        <v>49</v>
      </c>
    </row>
    <row r="4012">
      <c r="A4012" t="inlineStr">
        <is>
          <t>ED204098</t>
        </is>
      </c>
      <c r="B4012" s="56" t="n">
        <v>45541.42222222222</v>
      </c>
      <c r="C4012" t="inlineStr">
        <is>
          <t>Bluestone Memorial Hospital</t>
        </is>
      </c>
      <c r="D4012" t="n">
        <v>2</v>
      </c>
    </row>
    <row r="4013">
      <c r="A4013" t="inlineStr">
        <is>
          <t>ED204100</t>
        </is>
      </c>
      <c r="B4013" s="56" t="n">
        <v>45541.44791666666</v>
      </c>
      <c r="C4013" t="inlineStr">
        <is>
          <t>Bluestone Memorial Hospital</t>
        </is>
      </c>
      <c r="D4013" t="n">
        <v>16</v>
      </c>
    </row>
    <row r="4014">
      <c r="A4014" t="inlineStr">
        <is>
          <t>ED204101</t>
        </is>
      </c>
      <c r="B4014" s="56" t="n">
        <v>45541.51944444444</v>
      </c>
      <c r="C4014" t="inlineStr">
        <is>
          <t>Bluestone Memorial Hospital</t>
        </is>
      </c>
      <c r="D4014" t="n">
        <v>19</v>
      </c>
    </row>
    <row r="4015">
      <c r="A4015" t="inlineStr">
        <is>
          <t>ED204102</t>
        </is>
      </c>
      <c r="B4015" s="56" t="n">
        <v>45541.52777777778</v>
      </c>
      <c r="C4015" t="inlineStr">
        <is>
          <t>Bluestone Memorial Hospital</t>
        </is>
      </c>
      <c r="D4015" t="n">
        <v>61</v>
      </c>
    </row>
    <row r="4016">
      <c r="A4016" t="inlineStr">
        <is>
          <t>ED204103</t>
        </is>
      </c>
      <c r="B4016" s="56" t="n">
        <v>45541.7625</v>
      </c>
      <c r="C4016" t="inlineStr">
        <is>
          <t>Bluestone Memorial Hospital</t>
        </is>
      </c>
      <c r="D4016" t="n">
        <v>104</v>
      </c>
    </row>
    <row r="4017">
      <c r="A4017" t="inlineStr">
        <is>
          <t>ED204104</t>
        </is>
      </c>
      <c r="B4017" s="56" t="n">
        <v>45541.78402777778</v>
      </c>
      <c r="C4017" t="inlineStr">
        <is>
          <t>Cedar Ridge Medical Center</t>
        </is>
      </c>
      <c r="D4017" t="n">
        <v>42</v>
      </c>
    </row>
    <row r="4018">
      <c r="A4018" t="inlineStr">
        <is>
          <t>ED204105</t>
        </is>
      </c>
      <c r="B4018" s="56" t="n">
        <v>45541.82638888889</v>
      </c>
      <c r="C4018" t="inlineStr">
        <is>
          <t>Bluestone Memorial Hospital</t>
        </is>
      </c>
      <c r="D4018" t="n">
        <v>29</v>
      </c>
    </row>
    <row r="4019">
      <c r="A4019" t="inlineStr">
        <is>
          <t>ED204106</t>
        </is>
      </c>
      <c r="B4019" s="56" t="n">
        <v>45541.88402777778</v>
      </c>
      <c r="C4019" t="inlineStr">
        <is>
          <t>Bluestone Memorial Hospital</t>
        </is>
      </c>
      <c r="D4019" t="n">
        <v>36</v>
      </c>
    </row>
    <row r="4020">
      <c r="A4020" t="inlineStr">
        <is>
          <t>ED204107</t>
        </is>
      </c>
      <c r="B4020" s="56" t="n">
        <v>45541.94861111111</v>
      </c>
      <c r="C4020" t="inlineStr">
        <is>
          <t>Bluestone Memorial Hospital</t>
        </is>
      </c>
      <c r="D4020" t="n">
        <v>4</v>
      </c>
    </row>
    <row r="4021">
      <c r="A4021" t="inlineStr">
        <is>
          <t>ED204108</t>
        </is>
      </c>
      <c r="B4021" s="56" t="n">
        <v>45542.28888888889</v>
      </c>
      <c r="C4021" t="inlineStr">
        <is>
          <t>Bluestone Memorial Hospital</t>
        </is>
      </c>
      <c r="D4021" t="n">
        <v>28</v>
      </c>
    </row>
    <row r="4022">
      <c r="A4022" t="inlineStr">
        <is>
          <t>ED204109</t>
        </is>
      </c>
      <c r="B4022" s="56" t="n">
        <v>45542.30277777778</v>
      </c>
      <c r="C4022" t="inlineStr">
        <is>
          <t>Bluestone Memorial Hospital</t>
        </is>
      </c>
      <c r="D4022" t="n">
        <v>30</v>
      </c>
    </row>
    <row r="4023">
      <c r="A4023" t="inlineStr">
        <is>
          <t>ED204110</t>
        </is>
      </c>
      <c r="B4023" s="56" t="n">
        <v>45542.36111111111</v>
      </c>
      <c r="C4023" t="inlineStr">
        <is>
          <t>Ashby Falls Community Hospital</t>
        </is>
      </c>
      <c r="D4023" t="n">
        <v>33</v>
      </c>
    </row>
    <row r="4024">
      <c r="A4024" t="inlineStr">
        <is>
          <t>ED204111</t>
        </is>
      </c>
      <c r="B4024" s="56" t="n">
        <v>45542.41597222222</v>
      </c>
      <c r="C4024" t="inlineStr">
        <is>
          <t>Bluestone Memorial Hospital</t>
        </is>
      </c>
      <c r="D4024" t="n">
        <v>91</v>
      </c>
    </row>
    <row r="4025">
      <c r="A4025" t="inlineStr">
        <is>
          <t>ED204112</t>
        </is>
      </c>
      <c r="B4025" s="56" t="n">
        <v>45542.44652777778</v>
      </c>
      <c r="C4025" t="inlineStr">
        <is>
          <t>Bluestone Memorial Hospital</t>
        </is>
      </c>
      <c r="D4025" t="n">
        <v>78</v>
      </c>
    </row>
    <row r="4026">
      <c r="A4026" t="inlineStr">
        <is>
          <t>ED204113</t>
        </is>
      </c>
      <c r="B4026" s="56" t="n">
        <v>45542.44861111111</v>
      </c>
      <c r="C4026" t="inlineStr">
        <is>
          <t>Bluestone Memorial Hospital</t>
        </is>
      </c>
      <c r="D4026" t="n">
        <v>45</v>
      </c>
    </row>
    <row r="4027">
      <c r="A4027" t="inlineStr">
        <is>
          <t>ED204114</t>
        </is>
      </c>
      <c r="B4027" s="56" t="n">
        <v>45542.55486111111</v>
      </c>
      <c r="C4027" t="inlineStr">
        <is>
          <t>Bluestone Memorial Hospital</t>
        </is>
      </c>
      <c r="D4027" t="n">
        <v>111</v>
      </c>
    </row>
    <row r="4028">
      <c r="A4028" t="inlineStr">
        <is>
          <t>ED204115</t>
        </is>
      </c>
      <c r="B4028" s="56" t="n">
        <v>45542.55972222222</v>
      </c>
      <c r="C4028" t="inlineStr">
        <is>
          <t>Bluestone Memorial Hospital</t>
        </is>
      </c>
      <c r="D4028" t="n">
        <v>15</v>
      </c>
    </row>
    <row r="4029">
      <c r="A4029" t="inlineStr">
        <is>
          <t>ED204116</t>
        </is>
      </c>
      <c r="B4029" s="56" t="n">
        <v>45542.58541666667</v>
      </c>
      <c r="C4029" t="inlineStr">
        <is>
          <t>Bluestone Memorial Hospital</t>
        </is>
      </c>
      <c r="D4029" t="n">
        <v>3</v>
      </c>
    </row>
    <row r="4030">
      <c r="A4030" t="inlineStr">
        <is>
          <t>ED204117</t>
        </is>
      </c>
      <c r="B4030" s="56" t="n">
        <v>45542.61597222222</v>
      </c>
      <c r="C4030" t="inlineStr">
        <is>
          <t>Bluestone Memorial Hospital</t>
        </is>
      </c>
      <c r="D4030" t="n">
        <v>81</v>
      </c>
    </row>
    <row r="4031">
      <c r="A4031" t="inlineStr">
        <is>
          <t>ED204118</t>
        </is>
      </c>
      <c r="B4031" s="56" t="n">
        <v>45542.65277777778</v>
      </c>
      <c r="C4031" t="inlineStr">
        <is>
          <t>Bluestone Memorial Hospital</t>
        </is>
      </c>
      <c r="D4031" t="n">
        <v>34</v>
      </c>
    </row>
    <row r="4032">
      <c r="A4032" t="inlineStr">
        <is>
          <t>ED204119</t>
        </is>
      </c>
      <c r="B4032" s="56" t="n">
        <v>45542.7125</v>
      </c>
      <c r="C4032" t="inlineStr">
        <is>
          <t>Bluestone Memorial Hospital</t>
        </is>
      </c>
      <c r="D4032" t="n">
        <v>68</v>
      </c>
    </row>
    <row r="4033">
      <c r="A4033" t="inlineStr">
        <is>
          <t>ED204120</t>
        </is>
      </c>
      <c r="B4033" s="56" t="n">
        <v>45542.78888888889</v>
      </c>
      <c r="C4033" t="inlineStr">
        <is>
          <t>Ashby Falls Community Hospital</t>
        </is>
      </c>
      <c r="D4033" t="n">
        <v>77</v>
      </c>
    </row>
    <row r="4034">
      <c r="A4034" t="inlineStr">
        <is>
          <t>ED204121</t>
        </is>
      </c>
      <c r="B4034" s="56" t="n">
        <v>45542.89097222222</v>
      </c>
      <c r="C4034" t="inlineStr">
        <is>
          <t>Bluestone Memorial Hospital</t>
        </is>
      </c>
      <c r="D4034" t="n">
        <v>19</v>
      </c>
    </row>
    <row r="4035">
      <c r="A4035" t="inlineStr">
        <is>
          <t>ED204123</t>
        </is>
      </c>
      <c r="B4035" s="56" t="n">
        <v>45543.47222222222</v>
      </c>
      <c r="C4035" t="inlineStr">
        <is>
          <t>Ashby Falls Community Hospital</t>
        </is>
      </c>
      <c r="D4035" t="n">
        <v>24</v>
      </c>
    </row>
    <row r="4036">
      <c r="A4036" t="inlineStr">
        <is>
          <t>ED204124</t>
        </is>
      </c>
      <c r="B4036" s="56" t="n">
        <v>45543.55486111111</v>
      </c>
      <c r="C4036" t="inlineStr">
        <is>
          <t>Bluestone Memorial Hospital</t>
        </is>
      </c>
      <c r="D4036" t="n">
        <v>11</v>
      </c>
    </row>
    <row r="4037">
      <c r="A4037" t="inlineStr">
        <is>
          <t>ED204125</t>
        </is>
      </c>
      <c r="B4037" s="56" t="n">
        <v>45543.5625</v>
      </c>
      <c r="C4037" t="inlineStr">
        <is>
          <t>Bluestone Memorial Hospital</t>
        </is>
      </c>
      <c r="D4037" t="n">
        <v>74</v>
      </c>
    </row>
    <row r="4038">
      <c r="A4038" t="inlineStr">
        <is>
          <t>ED204126</t>
        </is>
      </c>
      <c r="B4038" s="56" t="n">
        <v>45543.57083333333</v>
      </c>
      <c r="C4038" t="inlineStr">
        <is>
          <t>Bluestone Memorial Hospital</t>
        </is>
      </c>
      <c r="D4038" t="n">
        <v>5</v>
      </c>
    </row>
    <row r="4039">
      <c r="A4039" t="inlineStr">
        <is>
          <t>ED204127</t>
        </is>
      </c>
      <c r="B4039" s="56" t="n">
        <v>45543.57986111111</v>
      </c>
      <c r="C4039" t="inlineStr">
        <is>
          <t>Ashby Falls Community Hospital</t>
        </is>
      </c>
      <c r="D4039" t="n">
        <v>20</v>
      </c>
    </row>
    <row r="4040">
      <c r="A4040" t="inlineStr">
        <is>
          <t>ED204128</t>
        </is>
      </c>
      <c r="B4040" s="56" t="n">
        <v>45543.58263888889</v>
      </c>
      <c r="C4040" t="inlineStr">
        <is>
          <t>Bluestone Memorial Hospital</t>
        </is>
      </c>
      <c r="D4040" t="n">
        <v>15</v>
      </c>
    </row>
    <row r="4041">
      <c r="A4041" t="inlineStr">
        <is>
          <t>ED204129</t>
        </is>
      </c>
      <c r="B4041" s="56" t="n">
        <v>45543.58680555555</v>
      </c>
      <c r="C4041" t="inlineStr">
        <is>
          <t>Bluestone Memorial Hospital</t>
        </is>
      </c>
      <c r="D4041" t="n">
        <v>19</v>
      </c>
    </row>
    <row r="4042">
      <c r="A4042" t="inlineStr">
        <is>
          <t>ED204130</t>
        </is>
      </c>
      <c r="B4042" s="56" t="n">
        <v>45543.69861111111</v>
      </c>
      <c r="C4042" t="inlineStr">
        <is>
          <t>Ashby Falls Community Hospital</t>
        </is>
      </c>
      <c r="D4042" t="n">
        <v>38</v>
      </c>
    </row>
    <row r="4043">
      <c r="A4043" t="inlineStr">
        <is>
          <t>ED204131</t>
        </is>
      </c>
      <c r="B4043" s="56" t="n">
        <v>45543.88541666666</v>
      </c>
      <c r="C4043" t="inlineStr">
        <is>
          <t>Bluestone Memorial Hospital</t>
        </is>
      </c>
      <c r="D4043" t="n">
        <v>40</v>
      </c>
    </row>
    <row r="4044">
      <c r="A4044" t="inlineStr">
        <is>
          <t>ED204132</t>
        </is>
      </c>
      <c r="B4044" s="56" t="n">
        <v>45544.24791666667</v>
      </c>
      <c r="C4044" t="inlineStr">
        <is>
          <t>Bluestone Memorial Hospital</t>
        </is>
      </c>
      <c r="D4044" t="n">
        <v>14</v>
      </c>
    </row>
    <row r="4045">
      <c r="A4045" t="inlineStr">
        <is>
          <t>ED204133</t>
        </is>
      </c>
      <c r="B4045" s="56" t="n">
        <v>45544.48333333333</v>
      </c>
      <c r="C4045" t="inlineStr">
        <is>
          <t>Ashby Falls Community Hospital</t>
        </is>
      </c>
      <c r="D4045" t="n">
        <v>34</v>
      </c>
    </row>
    <row r="4046">
      <c r="A4046" t="inlineStr">
        <is>
          <t>ED204134</t>
        </is>
      </c>
      <c r="B4046" s="56" t="n">
        <v>45544.49236111111</v>
      </c>
      <c r="C4046" t="inlineStr">
        <is>
          <t>Bluestone Memorial Hospital</t>
        </is>
      </c>
      <c r="D4046" t="n">
        <v>3</v>
      </c>
    </row>
    <row r="4047">
      <c r="A4047" t="inlineStr">
        <is>
          <t>ED204135</t>
        </is>
      </c>
      <c r="B4047" s="56" t="n">
        <v>45544.49791666667</v>
      </c>
      <c r="C4047" t="inlineStr">
        <is>
          <t>Bluestone Memorial Hospital</t>
        </is>
      </c>
      <c r="D4047" t="n">
        <v>72</v>
      </c>
    </row>
    <row r="4048">
      <c r="A4048" t="inlineStr">
        <is>
          <t>ED204136</t>
        </is>
      </c>
      <c r="B4048" s="56" t="n">
        <v>45544.50763888889</v>
      </c>
      <c r="C4048" t="inlineStr">
        <is>
          <t>Bluestone Memorial Hospital</t>
        </is>
      </c>
      <c r="D4048" t="n">
        <v>25</v>
      </c>
    </row>
    <row r="4049">
      <c r="A4049" t="inlineStr">
        <is>
          <t>ED204137</t>
        </is>
      </c>
      <c r="B4049" s="56" t="n">
        <v>45544.525</v>
      </c>
      <c r="C4049" t="inlineStr">
        <is>
          <t>Bluestone Memorial Hospital</t>
        </is>
      </c>
      <c r="D4049" t="n">
        <v>47</v>
      </c>
    </row>
    <row r="4050">
      <c r="A4050" t="inlineStr">
        <is>
          <t>ED204138</t>
        </is>
      </c>
      <c r="B4050" s="56" t="n">
        <v>45544.54652777778</v>
      </c>
      <c r="C4050" t="inlineStr">
        <is>
          <t>Bluestone Memorial Hospital</t>
        </is>
      </c>
      <c r="D4050" t="n">
        <v>49</v>
      </c>
    </row>
    <row r="4051">
      <c r="A4051" t="inlineStr">
        <is>
          <t>ED204139</t>
        </is>
      </c>
      <c r="B4051" s="56" t="n">
        <v>45544.70486111111</v>
      </c>
      <c r="C4051" t="inlineStr">
        <is>
          <t>Bluestone Memorial Hospital</t>
        </is>
      </c>
      <c r="D4051" t="n">
        <v>73</v>
      </c>
    </row>
    <row r="4052">
      <c r="A4052" t="inlineStr">
        <is>
          <t>ED204140</t>
        </is>
      </c>
      <c r="B4052" s="56" t="n">
        <v>45544.70972222222</v>
      </c>
      <c r="C4052" t="inlineStr">
        <is>
          <t>Bluestone Memorial Hospital</t>
        </is>
      </c>
      <c r="D4052" t="n">
        <v>32</v>
      </c>
    </row>
    <row r="4053">
      <c r="A4053" t="inlineStr">
        <is>
          <t>ED204141</t>
        </is>
      </c>
      <c r="B4053" s="56" t="n">
        <v>45544.72916666666</v>
      </c>
      <c r="C4053" t="inlineStr">
        <is>
          <t>Bluestone Memorial Hospital</t>
        </is>
      </c>
      <c r="D4053" t="n">
        <v>106</v>
      </c>
    </row>
    <row r="4054">
      <c r="A4054" t="inlineStr">
        <is>
          <t>ED204142</t>
        </is>
      </c>
      <c r="B4054" s="56" t="n">
        <v>45544.76805555556</v>
      </c>
      <c r="C4054" t="inlineStr">
        <is>
          <t>Cedar Ridge Medical Center</t>
        </is>
      </c>
      <c r="D4054" t="n">
        <v>96</v>
      </c>
    </row>
    <row r="4055">
      <c r="A4055" t="inlineStr">
        <is>
          <t>ED204143</t>
        </is>
      </c>
      <c r="B4055" s="56" t="n">
        <v>45544.78402777778</v>
      </c>
      <c r="C4055" t="inlineStr">
        <is>
          <t>Bluestone Memorial Hospital</t>
        </is>
      </c>
      <c r="D4055" t="n">
        <v>249</v>
      </c>
    </row>
    <row r="4056">
      <c r="A4056" t="inlineStr">
        <is>
          <t>ED204144</t>
        </is>
      </c>
      <c r="B4056" s="56" t="n">
        <v>45544.83125</v>
      </c>
      <c r="C4056" t="inlineStr">
        <is>
          <t>Bluestone Memorial Hospital</t>
        </is>
      </c>
      <c r="D4056" t="n">
        <v>16</v>
      </c>
    </row>
    <row r="4057">
      <c r="A4057" t="inlineStr">
        <is>
          <t>ED204145</t>
        </is>
      </c>
      <c r="B4057" s="56" t="n">
        <v>45544.8375</v>
      </c>
      <c r="C4057" t="inlineStr">
        <is>
          <t>Ashby Falls Community Hospital</t>
        </is>
      </c>
      <c r="D4057" t="n">
        <v>7</v>
      </c>
    </row>
    <row r="4058">
      <c r="A4058" t="inlineStr">
        <is>
          <t>ED204146</t>
        </is>
      </c>
      <c r="B4058" s="56" t="n">
        <v>45544.83819444444</v>
      </c>
      <c r="C4058" t="inlineStr">
        <is>
          <t>Bluestone Memorial Hospital</t>
        </is>
      </c>
      <c r="D4058" t="n">
        <v>143</v>
      </c>
    </row>
    <row r="4059">
      <c r="A4059" t="inlineStr">
        <is>
          <t>ED204147</t>
        </is>
      </c>
      <c r="B4059" s="56" t="n">
        <v>45544.86527777778</v>
      </c>
      <c r="C4059" t="inlineStr">
        <is>
          <t>Bluestone Memorial Hospital</t>
        </is>
      </c>
      <c r="D4059" t="n">
        <v>10</v>
      </c>
    </row>
    <row r="4060">
      <c r="A4060" t="inlineStr">
        <is>
          <t>ED204148</t>
        </is>
      </c>
      <c r="B4060" s="56" t="n">
        <v>45545.15277777778</v>
      </c>
      <c r="C4060" t="inlineStr">
        <is>
          <t>Bluestone Memorial Hospital</t>
        </is>
      </c>
      <c r="D4060" t="n">
        <v>22</v>
      </c>
    </row>
    <row r="4061">
      <c r="A4061" t="inlineStr">
        <is>
          <t>ED204149</t>
        </is>
      </c>
      <c r="B4061" s="56" t="n">
        <v>45545.17222222222</v>
      </c>
      <c r="C4061" t="inlineStr">
        <is>
          <t>Bluestone Memorial Hospital</t>
        </is>
      </c>
      <c r="D4061" t="n">
        <v>12</v>
      </c>
    </row>
    <row r="4062">
      <c r="A4062" t="inlineStr">
        <is>
          <t>ED204150</t>
        </is>
      </c>
      <c r="B4062" s="56" t="n">
        <v>45545.44236111111</v>
      </c>
      <c r="C4062" t="inlineStr">
        <is>
          <t>Bluestone Memorial Hospital</t>
        </is>
      </c>
      <c r="D4062" t="n">
        <v>30</v>
      </c>
    </row>
    <row r="4063">
      <c r="A4063" t="inlineStr">
        <is>
          <t>ED204151</t>
        </is>
      </c>
      <c r="B4063" s="56" t="n">
        <v>45545.51597222222</v>
      </c>
      <c r="C4063" t="inlineStr">
        <is>
          <t>Cedar Ridge Medical Center</t>
        </is>
      </c>
      <c r="D4063" t="n">
        <v>22</v>
      </c>
    </row>
    <row r="4064">
      <c r="A4064" t="inlineStr">
        <is>
          <t>ED204152</t>
        </is>
      </c>
      <c r="B4064" s="56" t="n">
        <v>45545.51736111111</v>
      </c>
      <c r="C4064" t="inlineStr">
        <is>
          <t>Bluestone Memorial Hospital</t>
        </is>
      </c>
      <c r="D4064" t="n">
        <v>97</v>
      </c>
    </row>
    <row r="4065">
      <c r="A4065" t="inlineStr">
        <is>
          <t>ED204153</t>
        </is>
      </c>
      <c r="B4065" s="56" t="n">
        <v>45545.55763888889</v>
      </c>
      <c r="C4065" t="inlineStr">
        <is>
          <t>Bluestone Memorial Hospital</t>
        </is>
      </c>
      <c r="D4065" t="n">
        <v>60</v>
      </c>
    </row>
    <row r="4066">
      <c r="A4066" t="inlineStr">
        <is>
          <t>ED204154</t>
        </is>
      </c>
      <c r="B4066" s="56" t="n">
        <v>45545.60277777778</v>
      </c>
      <c r="C4066" t="inlineStr">
        <is>
          <t>Cedar Ridge Medical Center</t>
        </is>
      </c>
      <c r="D4066" t="n">
        <v>16</v>
      </c>
    </row>
    <row r="4067">
      <c r="A4067" t="inlineStr">
        <is>
          <t>ED204155</t>
        </is>
      </c>
      <c r="B4067" s="56" t="n">
        <v>45545.62013888889</v>
      </c>
      <c r="C4067" t="inlineStr">
        <is>
          <t>Cedar Ridge Medical Center</t>
        </is>
      </c>
      <c r="D4067" t="n">
        <v>219</v>
      </c>
    </row>
    <row r="4068">
      <c r="A4068" t="inlineStr">
        <is>
          <t>ED204156</t>
        </is>
      </c>
      <c r="B4068" s="56" t="n">
        <v>45545.65486111111</v>
      </c>
      <c r="C4068" t="inlineStr">
        <is>
          <t>Cedar Ridge Medical Center</t>
        </is>
      </c>
      <c r="D4068" t="n">
        <v>92</v>
      </c>
    </row>
    <row r="4069">
      <c r="A4069" t="inlineStr">
        <is>
          <t>ED204157</t>
        </is>
      </c>
      <c r="B4069" s="56" t="n">
        <v>45545.67291666667</v>
      </c>
      <c r="C4069" t="inlineStr">
        <is>
          <t>Bluestone Memorial Hospital</t>
        </is>
      </c>
      <c r="D4069" t="n">
        <v>12</v>
      </c>
    </row>
    <row r="4070">
      <c r="A4070" t="inlineStr">
        <is>
          <t>ED204159</t>
        </is>
      </c>
      <c r="B4070" s="56" t="n">
        <v>45545.70069444444</v>
      </c>
      <c r="C4070" t="inlineStr">
        <is>
          <t>Bluestone Memorial Hospital</t>
        </is>
      </c>
      <c r="D4070" t="n">
        <v>90</v>
      </c>
    </row>
    <row r="4071">
      <c r="A4071" t="inlineStr">
        <is>
          <t>ED204160</t>
        </is>
      </c>
      <c r="B4071" s="56" t="n">
        <v>45545.74236111111</v>
      </c>
      <c r="C4071" t="inlineStr">
        <is>
          <t>Bluestone Memorial Hospital</t>
        </is>
      </c>
      <c r="D4071" t="n">
        <v>72</v>
      </c>
    </row>
    <row r="4072">
      <c r="A4072" t="inlineStr">
        <is>
          <t>ED204161</t>
        </is>
      </c>
      <c r="B4072" s="56" t="n">
        <v>45545.89583333334</v>
      </c>
      <c r="C4072" t="inlineStr">
        <is>
          <t>Bluestone Memorial Hospital</t>
        </is>
      </c>
      <c r="D4072" t="n">
        <v>11</v>
      </c>
    </row>
    <row r="4073">
      <c r="A4073" t="inlineStr">
        <is>
          <t>ED204162</t>
        </is>
      </c>
      <c r="B4073" s="56" t="n">
        <v>45546.01527777778</v>
      </c>
      <c r="C4073" t="inlineStr">
        <is>
          <t>Bluestone Memorial Hospital</t>
        </is>
      </c>
      <c r="D4073" t="n">
        <v>9</v>
      </c>
    </row>
    <row r="4074">
      <c r="A4074" t="inlineStr">
        <is>
          <t>ED204163</t>
        </is>
      </c>
      <c r="B4074" s="56" t="n">
        <v>45546.06041666667</v>
      </c>
      <c r="C4074" t="inlineStr">
        <is>
          <t>Bluestone Memorial Hospital</t>
        </is>
      </c>
      <c r="D4074" t="n">
        <v>27</v>
      </c>
    </row>
    <row r="4075">
      <c r="A4075" t="inlineStr">
        <is>
          <t>ED204164</t>
        </is>
      </c>
      <c r="B4075" s="56" t="n">
        <v>45546.25555555556</v>
      </c>
      <c r="C4075" t="inlineStr">
        <is>
          <t>Bluestone Memorial Hospital</t>
        </is>
      </c>
      <c r="D4075" t="n">
        <v>34</v>
      </c>
    </row>
    <row r="4076">
      <c r="A4076" t="inlineStr">
        <is>
          <t>ED204165</t>
        </is>
      </c>
      <c r="B4076" s="56" t="n">
        <v>45546.31111111111</v>
      </c>
      <c r="C4076" t="inlineStr">
        <is>
          <t>Ashby Falls Community Hospital</t>
        </is>
      </c>
      <c r="D4076" t="n">
        <v>35</v>
      </c>
    </row>
    <row r="4077">
      <c r="A4077" t="inlineStr">
        <is>
          <t>ED204166</t>
        </is>
      </c>
      <c r="B4077" s="56" t="n">
        <v>45546.41319444445</v>
      </c>
      <c r="C4077" t="inlineStr">
        <is>
          <t>Bluestone Memorial Hospital</t>
        </is>
      </c>
      <c r="D4077" t="n">
        <v>18</v>
      </c>
    </row>
    <row r="4078">
      <c r="A4078" t="inlineStr">
        <is>
          <t>ED204167</t>
        </is>
      </c>
      <c r="B4078" s="56" t="n">
        <v>45546.45694444444</v>
      </c>
      <c r="C4078" t="inlineStr">
        <is>
          <t>Bluestone Memorial Hospital</t>
        </is>
      </c>
      <c r="D4078" t="n">
        <v>19</v>
      </c>
    </row>
    <row r="4079">
      <c r="A4079" t="inlineStr">
        <is>
          <t>ED204168</t>
        </is>
      </c>
      <c r="B4079" s="56" t="n">
        <v>45546.49236111111</v>
      </c>
      <c r="C4079" t="inlineStr">
        <is>
          <t>Ashby Falls Community Hospital</t>
        </is>
      </c>
      <c r="D4079" t="n">
        <v>21</v>
      </c>
    </row>
    <row r="4080">
      <c r="A4080" t="inlineStr">
        <is>
          <t>ED204169</t>
        </is>
      </c>
      <c r="B4080" s="56" t="n">
        <v>45546.65416666667</v>
      </c>
      <c r="C4080" t="inlineStr">
        <is>
          <t>Bluestone Memorial Hospital</t>
        </is>
      </c>
      <c r="D4080" t="n">
        <v>84</v>
      </c>
    </row>
    <row r="4081">
      <c r="A4081" t="inlineStr">
        <is>
          <t>ED204170</t>
        </is>
      </c>
      <c r="B4081" s="56" t="n">
        <v>45546.67638888889</v>
      </c>
      <c r="C4081" t="inlineStr">
        <is>
          <t>Cedar Ridge Medical Center</t>
        </is>
      </c>
      <c r="D4081" t="n">
        <v>65</v>
      </c>
    </row>
    <row r="4082">
      <c r="A4082" t="inlineStr">
        <is>
          <t>ED204171</t>
        </is>
      </c>
      <c r="B4082" s="56" t="n">
        <v>45546.78611111111</v>
      </c>
      <c r="C4082" t="inlineStr">
        <is>
          <t>Bluestone Memorial Hospital</t>
        </is>
      </c>
      <c r="D4082" t="n">
        <v>43</v>
      </c>
    </row>
    <row r="4083">
      <c r="A4083" t="inlineStr">
        <is>
          <t>ED204172</t>
        </is>
      </c>
      <c r="B4083" s="56" t="n">
        <v>45546.87083333333</v>
      </c>
      <c r="C4083" t="inlineStr">
        <is>
          <t>Bluestone Memorial Hospital</t>
        </is>
      </c>
      <c r="D4083" t="n">
        <v>13</v>
      </c>
    </row>
    <row r="4084">
      <c r="A4084" t="inlineStr">
        <is>
          <t>ED204173</t>
        </is>
      </c>
      <c r="B4084" s="56" t="n">
        <v>45546.92430555556</v>
      </c>
      <c r="C4084" t="inlineStr">
        <is>
          <t>Ashby Falls Community Hospital</t>
        </is>
      </c>
      <c r="D4084" t="n">
        <v>37</v>
      </c>
    </row>
    <row r="4085">
      <c r="A4085" t="inlineStr">
        <is>
          <t>ED204174</t>
        </is>
      </c>
      <c r="B4085" s="56" t="n">
        <v>45547.20208333333</v>
      </c>
      <c r="C4085" t="inlineStr">
        <is>
          <t>Bluestone Memorial Hospital</t>
        </is>
      </c>
      <c r="D4085" t="n">
        <v>11</v>
      </c>
    </row>
    <row r="4086">
      <c r="A4086" t="inlineStr">
        <is>
          <t>ED204175</t>
        </is>
      </c>
      <c r="B4086" s="56" t="n">
        <v>45547.4</v>
      </c>
      <c r="C4086" t="inlineStr">
        <is>
          <t>Cedar Ridge Medical Center</t>
        </is>
      </c>
      <c r="D4086" t="n">
        <v>53</v>
      </c>
    </row>
    <row r="4087">
      <c r="A4087" t="inlineStr">
        <is>
          <t>ED204176</t>
        </is>
      </c>
      <c r="B4087" s="56" t="n">
        <v>45547.42569444444</v>
      </c>
      <c r="C4087" t="inlineStr">
        <is>
          <t>Cedar Ridge Medical Center</t>
        </is>
      </c>
      <c r="D4087" t="n">
        <v>88</v>
      </c>
    </row>
    <row r="4088">
      <c r="A4088" t="inlineStr">
        <is>
          <t>ED204177</t>
        </is>
      </c>
      <c r="B4088" s="56" t="n">
        <v>45547.43263888889</v>
      </c>
      <c r="C4088" t="inlineStr">
        <is>
          <t>Bluestone Memorial Hospital</t>
        </is>
      </c>
      <c r="D4088" t="n">
        <v>110</v>
      </c>
    </row>
    <row r="4089">
      <c r="A4089" t="inlineStr">
        <is>
          <t>ED204178</t>
        </is>
      </c>
      <c r="B4089" s="56" t="n">
        <v>45547.44097222222</v>
      </c>
      <c r="C4089" t="inlineStr">
        <is>
          <t>Bluestone Memorial Hospital</t>
        </is>
      </c>
      <c r="D4089" t="n">
        <v>19</v>
      </c>
    </row>
    <row r="4090">
      <c r="A4090" t="inlineStr">
        <is>
          <t>ED204179</t>
        </is>
      </c>
      <c r="B4090" s="56" t="n">
        <v>45547.44513888889</v>
      </c>
      <c r="C4090" t="inlineStr">
        <is>
          <t>Bluestone Memorial Hospital</t>
        </is>
      </c>
      <c r="D4090" t="n">
        <v>1</v>
      </c>
    </row>
    <row r="4091">
      <c r="A4091" t="inlineStr">
        <is>
          <t>ED204180</t>
        </is>
      </c>
      <c r="B4091" s="56" t="n">
        <v>45547.47291666667</v>
      </c>
      <c r="C4091" t="inlineStr">
        <is>
          <t>Bluestone Memorial Hospital</t>
        </is>
      </c>
      <c r="D4091" t="n">
        <v>62</v>
      </c>
    </row>
    <row r="4092">
      <c r="A4092" t="inlineStr">
        <is>
          <t>ED204181</t>
        </is>
      </c>
      <c r="B4092" s="56" t="n">
        <v>45547.58402777778</v>
      </c>
      <c r="C4092" t="inlineStr">
        <is>
          <t>Bluestone Memorial Hospital</t>
        </is>
      </c>
      <c r="D4092" t="n">
        <v>33</v>
      </c>
    </row>
    <row r="4093">
      <c r="A4093" t="inlineStr">
        <is>
          <t>ED204182</t>
        </is>
      </c>
      <c r="B4093" s="56" t="n">
        <v>45547.61319444444</v>
      </c>
      <c r="C4093" t="inlineStr">
        <is>
          <t>Bluestone Memorial Hospital</t>
        </is>
      </c>
      <c r="D4093" t="n">
        <v>95</v>
      </c>
    </row>
    <row r="4094">
      <c r="A4094" t="inlineStr">
        <is>
          <t>ED204184</t>
        </is>
      </c>
      <c r="B4094" s="56" t="n">
        <v>45547.65833333333</v>
      </c>
      <c r="C4094" t="inlineStr">
        <is>
          <t>Bluestone Memorial Hospital</t>
        </is>
      </c>
      <c r="D4094" t="n">
        <v>64</v>
      </c>
    </row>
    <row r="4095">
      <c r="A4095" t="inlineStr">
        <is>
          <t>ED204185</t>
        </is>
      </c>
      <c r="B4095" s="56" t="n">
        <v>45547.69166666667</v>
      </c>
      <c r="C4095" t="inlineStr">
        <is>
          <t>Bluestone Memorial Hospital</t>
        </is>
      </c>
      <c r="D4095" t="n">
        <v>78</v>
      </c>
    </row>
    <row r="4096">
      <c r="A4096" t="inlineStr">
        <is>
          <t>ED204186</t>
        </is>
      </c>
      <c r="B4096" s="56" t="n">
        <v>45547.72222222222</v>
      </c>
      <c r="C4096" t="inlineStr">
        <is>
          <t>Ashby Falls Community Hospital</t>
        </is>
      </c>
      <c r="D4096" t="n">
        <v>25</v>
      </c>
    </row>
    <row r="4097">
      <c r="A4097" t="inlineStr">
        <is>
          <t>ED204187</t>
        </is>
      </c>
      <c r="B4097" s="56" t="n">
        <v>45547.72291666667</v>
      </c>
      <c r="C4097" t="inlineStr">
        <is>
          <t>Cedar Ridge Medical Center</t>
        </is>
      </c>
      <c r="D4097" t="n">
        <v>292</v>
      </c>
    </row>
    <row r="4098">
      <c r="A4098" t="inlineStr">
        <is>
          <t>ED204188</t>
        </is>
      </c>
      <c r="B4098" s="56" t="n">
        <v>45547.74861111111</v>
      </c>
      <c r="C4098" t="inlineStr">
        <is>
          <t>Bluestone Memorial Hospital</t>
        </is>
      </c>
      <c r="D4098" t="n">
        <v>61</v>
      </c>
    </row>
    <row r="4099">
      <c r="A4099" t="inlineStr">
        <is>
          <t>ED204189</t>
        </is>
      </c>
      <c r="B4099" s="56" t="n">
        <v>45547.78611111111</v>
      </c>
      <c r="C4099" t="inlineStr">
        <is>
          <t>Bluestone Memorial Hospital</t>
        </is>
      </c>
      <c r="D4099" t="n">
        <v>99</v>
      </c>
    </row>
    <row r="4100">
      <c r="A4100" t="inlineStr">
        <is>
          <t>ED204190</t>
        </is>
      </c>
      <c r="B4100" s="56" t="n">
        <v>45547.96111111111</v>
      </c>
      <c r="C4100" t="inlineStr">
        <is>
          <t>Bluestone Memorial Hospital</t>
        </is>
      </c>
      <c r="D4100" t="n">
        <v>13</v>
      </c>
    </row>
    <row r="4101">
      <c r="A4101" t="inlineStr">
        <is>
          <t>ED204191</t>
        </is>
      </c>
      <c r="B4101" s="56" t="n">
        <v>45548.27916666667</v>
      </c>
      <c r="C4101" t="inlineStr">
        <is>
          <t>Cedar Ridge Medical Center</t>
        </is>
      </c>
      <c r="D4101" t="n">
        <v>16</v>
      </c>
    </row>
    <row r="4102">
      <c r="A4102" t="inlineStr">
        <is>
          <t>ED204192</t>
        </is>
      </c>
      <c r="B4102" s="56" t="n">
        <v>45548.51736111111</v>
      </c>
      <c r="C4102" t="inlineStr">
        <is>
          <t>Bluestone Memorial Hospital</t>
        </is>
      </c>
      <c r="D4102" t="n">
        <v>20</v>
      </c>
    </row>
    <row r="4103">
      <c r="A4103" t="inlineStr">
        <is>
          <t>ED204193</t>
        </is>
      </c>
      <c r="B4103" s="56" t="n">
        <v>45548.55486111111</v>
      </c>
      <c r="C4103" t="inlineStr">
        <is>
          <t>Bluestone Memorial Hospital</t>
        </is>
      </c>
      <c r="D4103" t="n">
        <v>13</v>
      </c>
    </row>
    <row r="4104">
      <c r="A4104" t="inlineStr">
        <is>
          <t>ED204194</t>
        </is>
      </c>
      <c r="B4104" s="56" t="n">
        <v>45548.72291666667</v>
      </c>
      <c r="C4104" t="inlineStr">
        <is>
          <t>Bluestone Memorial Hospital</t>
        </is>
      </c>
      <c r="D4104" t="n">
        <v>83</v>
      </c>
    </row>
    <row r="4105">
      <c r="A4105" t="inlineStr">
        <is>
          <t>ED204195</t>
        </is>
      </c>
      <c r="B4105" s="56" t="n">
        <v>45548.7375</v>
      </c>
      <c r="C4105" t="inlineStr">
        <is>
          <t>Ashby Falls Community Hospital</t>
        </is>
      </c>
      <c r="D4105" t="n">
        <v>55</v>
      </c>
    </row>
    <row r="4106">
      <c r="A4106" t="inlineStr">
        <is>
          <t>ED204196</t>
        </is>
      </c>
      <c r="B4106" s="56" t="n">
        <v>45548.7375</v>
      </c>
      <c r="C4106" t="inlineStr">
        <is>
          <t>Bluestone Memorial Hospital</t>
        </is>
      </c>
      <c r="D4106" t="n">
        <v>7</v>
      </c>
    </row>
    <row r="4107">
      <c r="A4107" t="inlineStr">
        <is>
          <t>ED204197</t>
        </is>
      </c>
      <c r="B4107" s="56" t="n">
        <v>45548.81666666667</v>
      </c>
      <c r="C4107" t="inlineStr">
        <is>
          <t>Bluestone Memorial Hospital</t>
        </is>
      </c>
      <c r="D4107" t="n">
        <v>37</v>
      </c>
    </row>
    <row r="4108">
      <c r="A4108" t="inlineStr">
        <is>
          <t>ED204198</t>
        </is>
      </c>
      <c r="B4108" s="56" t="n">
        <v>45548.82291666666</v>
      </c>
      <c r="C4108" t="inlineStr">
        <is>
          <t>Ashby Falls Community Hospital</t>
        </is>
      </c>
      <c r="D4108" t="n">
        <v>48</v>
      </c>
    </row>
    <row r="4109">
      <c r="A4109" t="inlineStr">
        <is>
          <t>ED204199</t>
        </is>
      </c>
      <c r="B4109" s="56" t="n">
        <v>45548.83263888889</v>
      </c>
      <c r="C4109" t="inlineStr">
        <is>
          <t>Bluestone Memorial Hospital</t>
        </is>
      </c>
      <c r="D4109" t="n">
        <v>51</v>
      </c>
    </row>
    <row r="4110">
      <c r="A4110" t="inlineStr">
        <is>
          <t>ED204200</t>
        </is>
      </c>
      <c r="B4110" s="56" t="n">
        <v>45549.07361111111</v>
      </c>
      <c r="C4110" t="inlineStr">
        <is>
          <t>Bluestone Memorial Hospital</t>
        </is>
      </c>
      <c r="D4110" t="n">
        <v>15</v>
      </c>
    </row>
    <row r="4111">
      <c r="A4111" t="inlineStr">
        <is>
          <t>ED204201</t>
        </is>
      </c>
      <c r="B4111" s="56" t="n">
        <v>45549.22569444445</v>
      </c>
      <c r="C4111" t="inlineStr">
        <is>
          <t>Ashby Falls Community Hospital</t>
        </is>
      </c>
      <c r="D4111" t="n">
        <v>38</v>
      </c>
    </row>
    <row r="4112">
      <c r="A4112" t="inlineStr">
        <is>
          <t>ED204202</t>
        </is>
      </c>
      <c r="B4112" s="56" t="n">
        <v>45549.33055555556</v>
      </c>
      <c r="C4112" t="inlineStr">
        <is>
          <t>Bluestone Memorial Hospital</t>
        </is>
      </c>
      <c r="D4112" t="n">
        <v>50</v>
      </c>
    </row>
    <row r="4113">
      <c r="A4113" t="inlineStr">
        <is>
          <t>ED204203</t>
        </is>
      </c>
      <c r="B4113" s="56" t="n">
        <v>45549.34375</v>
      </c>
      <c r="C4113" t="inlineStr">
        <is>
          <t>Bluestone Memorial Hospital</t>
        </is>
      </c>
      <c r="D4113" t="n">
        <v>63</v>
      </c>
    </row>
    <row r="4114">
      <c r="A4114" t="inlineStr">
        <is>
          <t>ED204204</t>
        </is>
      </c>
      <c r="B4114" s="56" t="n">
        <v>45549.39375</v>
      </c>
      <c r="C4114" t="inlineStr">
        <is>
          <t>Bluestone Memorial Hospital</t>
        </is>
      </c>
      <c r="D4114" t="n">
        <v>58</v>
      </c>
    </row>
    <row r="4115">
      <c r="A4115" t="inlineStr">
        <is>
          <t>ED204206</t>
        </is>
      </c>
      <c r="B4115" s="56" t="n">
        <v>45549.48333333333</v>
      </c>
      <c r="C4115" t="inlineStr">
        <is>
          <t>Ashby Falls Community Hospital</t>
        </is>
      </c>
      <c r="D4115" t="n">
        <v>39</v>
      </c>
    </row>
    <row r="4116">
      <c r="A4116" t="inlineStr">
        <is>
          <t>ED204207</t>
        </is>
      </c>
      <c r="B4116" s="56" t="n">
        <v>45549.59375</v>
      </c>
      <c r="C4116" t="inlineStr">
        <is>
          <t>Bluestone Memorial Hospital</t>
        </is>
      </c>
      <c r="D4116" t="n">
        <v>112</v>
      </c>
    </row>
    <row r="4117">
      <c r="A4117" t="inlineStr">
        <is>
          <t>ED204208</t>
        </is>
      </c>
      <c r="B4117" s="56" t="n">
        <v>45549.61458333334</v>
      </c>
      <c r="C4117" t="inlineStr">
        <is>
          <t>Bluestone Memorial Hospital</t>
        </is>
      </c>
      <c r="D4117" t="n">
        <v>204</v>
      </c>
    </row>
    <row r="4118">
      <c r="A4118" t="inlineStr">
        <is>
          <t>ED204209</t>
        </is>
      </c>
      <c r="B4118" s="56" t="n">
        <v>45549.65347222222</v>
      </c>
      <c r="C4118" t="inlineStr">
        <is>
          <t>Bluestone Memorial Hospital</t>
        </is>
      </c>
      <c r="D4118" t="n">
        <v>40</v>
      </c>
    </row>
    <row r="4119">
      <c r="A4119" t="inlineStr">
        <is>
          <t>ED204210</t>
        </is>
      </c>
      <c r="B4119" s="56" t="n">
        <v>45549.69513888889</v>
      </c>
      <c r="C4119" t="inlineStr">
        <is>
          <t>Bluestone Memorial Hospital</t>
        </is>
      </c>
      <c r="D4119" t="n">
        <v>4</v>
      </c>
    </row>
    <row r="4120">
      <c r="A4120" t="inlineStr">
        <is>
          <t>ED204211</t>
        </is>
      </c>
      <c r="B4120" s="56" t="n">
        <v>45549.72916666666</v>
      </c>
      <c r="C4120" t="inlineStr">
        <is>
          <t>Ashby Falls Community Hospital</t>
        </is>
      </c>
      <c r="D4120" t="n">
        <v>92</v>
      </c>
    </row>
    <row r="4121">
      <c r="A4121" t="inlineStr">
        <is>
          <t>ED204213</t>
        </is>
      </c>
      <c r="B4121" s="56" t="n">
        <v>45549.80902777778</v>
      </c>
      <c r="C4121" t="inlineStr">
        <is>
          <t>Bluestone Memorial Hospital</t>
        </is>
      </c>
      <c r="D4121" t="n">
        <v>15</v>
      </c>
    </row>
    <row r="4122">
      <c r="A4122" t="inlineStr">
        <is>
          <t>ED204214</t>
        </is>
      </c>
      <c r="B4122" s="56" t="n">
        <v>45549.82430555556</v>
      </c>
      <c r="C4122" t="inlineStr">
        <is>
          <t>Cedar Ridge Medical Center</t>
        </is>
      </c>
      <c r="D4122" t="n">
        <v>90</v>
      </c>
    </row>
    <row r="4123">
      <c r="A4123" t="inlineStr">
        <is>
          <t>ED204215</t>
        </is>
      </c>
      <c r="B4123" s="56" t="n">
        <v>45549.85486111111</v>
      </c>
      <c r="C4123" t="inlineStr">
        <is>
          <t>Bluestone Memorial Hospital</t>
        </is>
      </c>
      <c r="D4123" t="n">
        <v>50</v>
      </c>
    </row>
    <row r="4124">
      <c r="A4124" t="inlineStr">
        <is>
          <t>ED204216</t>
        </is>
      </c>
      <c r="B4124" s="56" t="n">
        <v>45550.29444444444</v>
      </c>
      <c r="C4124" t="inlineStr">
        <is>
          <t>Ashby Falls Community Hospital</t>
        </is>
      </c>
      <c r="D4124" t="n">
        <v>15</v>
      </c>
    </row>
    <row r="4125">
      <c r="A4125" t="inlineStr">
        <is>
          <t>ED204217</t>
        </is>
      </c>
      <c r="B4125" s="56" t="n">
        <v>45550.35347222222</v>
      </c>
      <c r="C4125" t="inlineStr">
        <is>
          <t>Bluestone Memorial Hospital</t>
        </is>
      </c>
      <c r="D4125" t="n">
        <v>29</v>
      </c>
    </row>
    <row r="4126">
      <c r="A4126" t="inlineStr">
        <is>
          <t>ED204218</t>
        </is>
      </c>
      <c r="B4126" s="56" t="n">
        <v>45550.37013888889</v>
      </c>
      <c r="C4126" t="inlineStr">
        <is>
          <t>Bluestone Memorial Hospital</t>
        </is>
      </c>
      <c r="D4126" t="n">
        <v>2</v>
      </c>
    </row>
    <row r="4127">
      <c r="A4127" t="inlineStr">
        <is>
          <t>ED204219</t>
        </is>
      </c>
      <c r="B4127" s="56" t="n">
        <v>45550.37569444445</v>
      </c>
      <c r="C4127" t="inlineStr">
        <is>
          <t>Bluestone Memorial Hospital</t>
        </is>
      </c>
      <c r="D4127" t="n">
        <v>43</v>
      </c>
    </row>
    <row r="4128">
      <c r="A4128" t="inlineStr">
        <is>
          <t>ED204220</t>
        </is>
      </c>
      <c r="B4128" s="56" t="n">
        <v>45550.55972222222</v>
      </c>
      <c r="C4128" t="inlineStr">
        <is>
          <t>Ashby Falls Community Hospital</t>
        </is>
      </c>
      <c r="D4128" t="n">
        <v>73</v>
      </c>
    </row>
    <row r="4129">
      <c r="A4129" t="inlineStr">
        <is>
          <t>ED204221</t>
        </is>
      </c>
      <c r="B4129" s="56" t="n">
        <v>45550.61180555556</v>
      </c>
      <c r="C4129" t="inlineStr">
        <is>
          <t>Bluestone Memorial Hospital</t>
        </is>
      </c>
      <c r="D4129" t="n">
        <v>30</v>
      </c>
    </row>
    <row r="4130">
      <c r="A4130" t="inlineStr">
        <is>
          <t>ED204222</t>
        </is>
      </c>
      <c r="B4130" s="56" t="n">
        <v>45550.75486111111</v>
      </c>
      <c r="C4130" t="inlineStr">
        <is>
          <t>Bluestone Memorial Hospital</t>
        </is>
      </c>
      <c r="D4130" t="n">
        <v>158</v>
      </c>
    </row>
    <row r="4131">
      <c r="A4131" t="inlineStr">
        <is>
          <t>ED204223</t>
        </is>
      </c>
      <c r="B4131" s="56" t="n">
        <v>45550.91597222222</v>
      </c>
      <c r="C4131" t="inlineStr">
        <is>
          <t>Bluestone Memorial Hospital</t>
        </is>
      </c>
      <c r="D4131" t="n">
        <v>45</v>
      </c>
    </row>
    <row r="4132">
      <c r="A4132" t="inlineStr">
        <is>
          <t>ED204224</t>
        </is>
      </c>
      <c r="B4132" s="56" t="n">
        <v>45550.95069444444</v>
      </c>
      <c r="C4132" t="inlineStr">
        <is>
          <t>Bluestone Memorial Hospital</t>
        </is>
      </c>
      <c r="D4132" t="n">
        <v>17</v>
      </c>
    </row>
    <row r="4133">
      <c r="A4133" t="inlineStr">
        <is>
          <t>ED204225</t>
        </is>
      </c>
      <c r="B4133" s="56" t="n">
        <v>45551.12013888889</v>
      </c>
      <c r="C4133" t="inlineStr">
        <is>
          <t>Cedar Ridge Medical Center</t>
        </is>
      </c>
      <c r="D4133" t="n">
        <v>18</v>
      </c>
    </row>
    <row r="4134">
      <c r="A4134" t="inlineStr">
        <is>
          <t>ED204226</t>
        </is>
      </c>
      <c r="B4134" s="56" t="n">
        <v>45551.29097222222</v>
      </c>
      <c r="C4134" t="inlineStr">
        <is>
          <t>Bluestone Memorial Hospital</t>
        </is>
      </c>
      <c r="D4134" t="n">
        <v>63</v>
      </c>
    </row>
    <row r="4135">
      <c r="A4135" t="inlineStr">
        <is>
          <t>ED204228</t>
        </is>
      </c>
      <c r="B4135" s="56" t="n">
        <v>45551.51111111111</v>
      </c>
      <c r="C4135" t="inlineStr">
        <is>
          <t>Cedar Ridge Medical Center</t>
        </is>
      </c>
      <c r="D4135" t="n">
        <v>59</v>
      </c>
    </row>
    <row r="4136">
      <c r="A4136" t="inlineStr">
        <is>
          <t>ED204229</t>
        </is>
      </c>
      <c r="B4136" s="56" t="n">
        <v>45551.55833333333</v>
      </c>
      <c r="C4136" t="inlineStr">
        <is>
          <t>Bluestone Memorial Hospital</t>
        </is>
      </c>
      <c r="D4136" t="n">
        <v>24</v>
      </c>
    </row>
    <row r="4137">
      <c r="A4137" t="inlineStr">
        <is>
          <t>ED204230</t>
        </is>
      </c>
      <c r="B4137" s="56" t="n">
        <v>45551.56319444445</v>
      </c>
      <c r="C4137" t="inlineStr">
        <is>
          <t>Ashby Falls Community Hospital</t>
        </is>
      </c>
      <c r="D4137" t="n">
        <v>171</v>
      </c>
    </row>
    <row r="4138">
      <c r="A4138" t="inlineStr">
        <is>
          <t>ED204232</t>
        </is>
      </c>
      <c r="B4138" s="56" t="n">
        <v>45551.65</v>
      </c>
      <c r="C4138" t="inlineStr">
        <is>
          <t>Bluestone Memorial Hospital</t>
        </is>
      </c>
      <c r="D4138" t="n">
        <v>101</v>
      </c>
    </row>
    <row r="4139">
      <c r="A4139" t="inlineStr">
        <is>
          <t>ED204233</t>
        </is>
      </c>
      <c r="B4139" s="56" t="n">
        <v>45551.65208333333</v>
      </c>
      <c r="C4139" t="inlineStr">
        <is>
          <t>Ashby Falls Community Hospital</t>
        </is>
      </c>
      <c r="D4139" t="n">
        <v>115</v>
      </c>
    </row>
    <row r="4140">
      <c r="A4140" t="inlineStr">
        <is>
          <t>ED204234</t>
        </is>
      </c>
      <c r="B4140" s="56" t="n">
        <v>45551.79375</v>
      </c>
      <c r="C4140" t="inlineStr">
        <is>
          <t>Bluestone Memorial Hospital</t>
        </is>
      </c>
      <c r="D4140" t="n">
        <v>47</v>
      </c>
    </row>
    <row r="4141">
      <c r="A4141" t="inlineStr">
        <is>
          <t>ED204235</t>
        </is>
      </c>
      <c r="B4141" s="56" t="n">
        <v>45551.79791666667</v>
      </c>
      <c r="C4141" t="inlineStr">
        <is>
          <t>Bluestone Memorial Hospital</t>
        </is>
      </c>
      <c r="D4141" t="n">
        <v>9</v>
      </c>
    </row>
    <row r="4142">
      <c r="A4142" t="inlineStr">
        <is>
          <t>ED204236</t>
        </is>
      </c>
      <c r="B4142" s="56" t="n">
        <v>45551.85208333333</v>
      </c>
      <c r="C4142" t="inlineStr">
        <is>
          <t>Cedar Ridge Medical Center</t>
        </is>
      </c>
      <c r="D4142" t="n">
        <v>93</v>
      </c>
    </row>
    <row r="4143">
      <c r="A4143" t="inlineStr">
        <is>
          <t>ED204237</t>
        </is>
      </c>
      <c r="B4143" s="56" t="n">
        <v>45551.97222222222</v>
      </c>
      <c r="C4143" t="inlineStr">
        <is>
          <t>Ashby Falls Community Hospital</t>
        </is>
      </c>
      <c r="D4143" t="n">
        <v>9</v>
      </c>
    </row>
    <row r="4144">
      <c r="A4144" t="inlineStr">
        <is>
          <t>ED204238</t>
        </is>
      </c>
      <c r="B4144" s="56" t="n">
        <v>45552.04097222222</v>
      </c>
      <c r="C4144" t="inlineStr">
        <is>
          <t>Cedar Ridge Medical Center</t>
        </is>
      </c>
      <c r="D4144" t="n">
        <v>38</v>
      </c>
    </row>
    <row r="4145">
      <c r="A4145" t="inlineStr">
        <is>
          <t>ED204239</t>
        </is>
      </c>
      <c r="B4145" s="56" t="n">
        <v>45552.09236111111</v>
      </c>
      <c r="C4145" t="inlineStr">
        <is>
          <t>Bluestone Memorial Hospital</t>
        </is>
      </c>
      <c r="D4145" t="n">
        <v>30</v>
      </c>
    </row>
    <row r="4146">
      <c r="A4146" t="inlineStr">
        <is>
          <t>ED204240</t>
        </is>
      </c>
      <c r="B4146" s="56" t="n">
        <v>45552.30486111111</v>
      </c>
      <c r="C4146" t="inlineStr">
        <is>
          <t>Ashby Falls Community Hospital</t>
        </is>
      </c>
      <c r="D4146" t="n">
        <v>23</v>
      </c>
    </row>
    <row r="4147">
      <c r="A4147" t="inlineStr">
        <is>
          <t>ED204241</t>
        </is>
      </c>
      <c r="B4147" s="56" t="n">
        <v>45552.36458333334</v>
      </c>
      <c r="C4147" t="inlineStr">
        <is>
          <t>Bluestone Memorial Hospital</t>
        </is>
      </c>
      <c r="D4147" t="n">
        <v>53</v>
      </c>
    </row>
    <row r="4148">
      <c r="A4148" t="inlineStr">
        <is>
          <t>ED204242</t>
        </is>
      </c>
      <c r="B4148" s="56" t="n">
        <v>45552.54583333333</v>
      </c>
      <c r="C4148" t="inlineStr">
        <is>
          <t>Cedar Ridge Medical Center</t>
        </is>
      </c>
      <c r="D4148" t="n">
        <v>57</v>
      </c>
    </row>
    <row r="4149">
      <c r="A4149" t="inlineStr">
        <is>
          <t>ED204243</t>
        </is>
      </c>
      <c r="B4149" s="56" t="n">
        <v>45552.60138888889</v>
      </c>
      <c r="C4149" t="inlineStr">
        <is>
          <t>Bluestone Memorial Hospital</t>
        </is>
      </c>
      <c r="D4149" t="n">
        <v>18</v>
      </c>
    </row>
    <row r="4150">
      <c r="A4150" t="inlineStr">
        <is>
          <t>ED204244</t>
        </is>
      </c>
      <c r="B4150" s="56" t="n">
        <v>45552.62986111111</v>
      </c>
      <c r="C4150" t="inlineStr">
        <is>
          <t>Cedar Ridge Medical Center</t>
        </is>
      </c>
      <c r="D4150" t="n">
        <v>37</v>
      </c>
    </row>
    <row r="4151">
      <c r="A4151" t="inlineStr">
        <is>
          <t>ED204245</t>
        </is>
      </c>
      <c r="B4151" s="56" t="n">
        <v>45552.84513888889</v>
      </c>
      <c r="C4151" t="inlineStr">
        <is>
          <t>Bluestone Memorial Hospital</t>
        </is>
      </c>
      <c r="D4151" t="n">
        <v>40</v>
      </c>
    </row>
    <row r="4152">
      <c r="A4152" t="inlineStr">
        <is>
          <t>ED204246</t>
        </is>
      </c>
      <c r="B4152" s="56" t="n">
        <v>45552.84722222222</v>
      </c>
      <c r="C4152" t="inlineStr">
        <is>
          <t>Bluestone Memorial Hospital</t>
        </is>
      </c>
      <c r="D4152" t="n">
        <v>52</v>
      </c>
    </row>
    <row r="4153">
      <c r="A4153" t="inlineStr">
        <is>
          <t>ED204247</t>
        </is>
      </c>
      <c r="B4153" s="56" t="n">
        <v>45553.00972222222</v>
      </c>
      <c r="C4153" t="inlineStr">
        <is>
          <t>Bluestone Memorial Hospital</t>
        </is>
      </c>
      <c r="D4153" t="n">
        <v>73</v>
      </c>
    </row>
    <row r="4154">
      <c r="A4154" t="inlineStr">
        <is>
          <t>ED204248</t>
        </is>
      </c>
      <c r="B4154" s="56" t="n">
        <v>45553.01458333333</v>
      </c>
      <c r="C4154" t="inlineStr">
        <is>
          <t>Ashby Falls Community Hospital</t>
        </is>
      </c>
      <c r="D4154" t="n">
        <v>37</v>
      </c>
    </row>
    <row r="4155">
      <c r="A4155" t="inlineStr">
        <is>
          <t>ED204249</t>
        </is>
      </c>
      <c r="B4155" s="56" t="n">
        <v>45553.29791666667</v>
      </c>
      <c r="C4155" t="inlineStr">
        <is>
          <t>Bluestone Memorial Hospital</t>
        </is>
      </c>
      <c r="D4155" t="n">
        <v>28</v>
      </c>
    </row>
    <row r="4156">
      <c r="A4156" t="inlineStr">
        <is>
          <t>ED204250</t>
        </is>
      </c>
      <c r="B4156" s="56" t="n">
        <v>45553.35972222222</v>
      </c>
      <c r="C4156" t="inlineStr">
        <is>
          <t>Cedar Ridge Medical Center</t>
        </is>
      </c>
      <c r="D4156" t="n">
        <v>69</v>
      </c>
    </row>
    <row r="4157">
      <c r="A4157" t="inlineStr">
        <is>
          <t>ED204251</t>
        </is>
      </c>
      <c r="B4157" s="56" t="n">
        <v>45553.38055555556</v>
      </c>
      <c r="C4157" t="inlineStr">
        <is>
          <t>Bluestone Memorial Hospital</t>
        </is>
      </c>
      <c r="D4157" t="n">
        <v>9</v>
      </c>
    </row>
    <row r="4158">
      <c r="A4158" t="inlineStr">
        <is>
          <t>ED204252</t>
        </is>
      </c>
      <c r="B4158" s="56" t="n">
        <v>45553.60972222222</v>
      </c>
      <c r="C4158" t="inlineStr">
        <is>
          <t>Cedar Ridge Medical Center</t>
        </is>
      </c>
      <c r="D4158" t="n">
        <v>22</v>
      </c>
    </row>
    <row r="4159">
      <c r="A4159" t="inlineStr">
        <is>
          <t>ED204253</t>
        </is>
      </c>
      <c r="B4159" s="56" t="n">
        <v>45553.64166666667</v>
      </c>
      <c r="C4159" t="inlineStr">
        <is>
          <t>Bluestone Memorial Hospital</t>
        </is>
      </c>
      <c r="D4159" t="n">
        <v>16</v>
      </c>
    </row>
    <row r="4160">
      <c r="A4160" t="inlineStr">
        <is>
          <t>ED204254</t>
        </is>
      </c>
      <c r="B4160" s="56" t="n">
        <v>45553.72013888889</v>
      </c>
      <c r="C4160" t="inlineStr">
        <is>
          <t>Bluestone Memorial Hospital</t>
        </is>
      </c>
      <c r="D4160" t="n">
        <v>52</v>
      </c>
    </row>
    <row r="4161">
      <c r="A4161" t="inlineStr">
        <is>
          <t>ED204255</t>
        </is>
      </c>
      <c r="B4161" s="56" t="n">
        <v>45553.73958333334</v>
      </c>
      <c r="C4161" t="inlineStr">
        <is>
          <t>Bluestone Memorial Hospital</t>
        </is>
      </c>
      <c r="D4161" t="n">
        <v>100</v>
      </c>
    </row>
    <row r="4162">
      <c r="A4162" t="inlineStr">
        <is>
          <t>ED204256</t>
        </is>
      </c>
      <c r="B4162" s="56" t="n">
        <v>45553.79722222222</v>
      </c>
      <c r="C4162" t="inlineStr">
        <is>
          <t>Bluestone Memorial Hospital</t>
        </is>
      </c>
      <c r="D4162" t="n">
        <v>19</v>
      </c>
    </row>
    <row r="4163">
      <c r="A4163" t="inlineStr">
        <is>
          <t>ED204257</t>
        </is>
      </c>
      <c r="B4163" s="56" t="n">
        <v>45553.81875</v>
      </c>
      <c r="C4163" t="inlineStr">
        <is>
          <t>Bluestone Memorial Hospital</t>
        </is>
      </c>
      <c r="D4163" t="n">
        <v>48</v>
      </c>
    </row>
    <row r="4164">
      <c r="A4164" t="inlineStr">
        <is>
          <t>ED204258</t>
        </is>
      </c>
      <c r="B4164" s="56" t="n">
        <v>45553.84166666667</v>
      </c>
      <c r="C4164" t="inlineStr">
        <is>
          <t>Bluestone Memorial Hospital</t>
        </is>
      </c>
      <c r="D4164" t="n">
        <v>5</v>
      </c>
    </row>
    <row r="4165">
      <c r="A4165" t="inlineStr">
        <is>
          <t>ED204259</t>
        </is>
      </c>
      <c r="B4165" s="56" t="n">
        <v>45553.85972222222</v>
      </c>
      <c r="C4165" t="inlineStr">
        <is>
          <t>Bluestone Memorial Hospital</t>
        </is>
      </c>
      <c r="D4165" t="n">
        <v>34</v>
      </c>
    </row>
    <row r="4166">
      <c r="A4166" t="inlineStr">
        <is>
          <t>ED204260</t>
        </is>
      </c>
      <c r="B4166" s="56" t="n">
        <v>45553.87430555555</v>
      </c>
      <c r="C4166" t="inlineStr">
        <is>
          <t>Bluestone Memorial Hospital</t>
        </is>
      </c>
      <c r="D4166" t="n">
        <v>75</v>
      </c>
    </row>
    <row r="4167">
      <c r="A4167" t="inlineStr">
        <is>
          <t>ED204261</t>
        </is>
      </c>
      <c r="B4167" s="56" t="n">
        <v>45554.11736111111</v>
      </c>
      <c r="C4167" t="inlineStr">
        <is>
          <t>Ashby Falls Community Hospital</t>
        </is>
      </c>
      <c r="D4167" t="n">
        <v>32</v>
      </c>
    </row>
    <row r="4168">
      <c r="A4168" t="inlineStr">
        <is>
          <t>ED204262</t>
        </is>
      </c>
      <c r="B4168" s="56" t="n">
        <v>45554.225</v>
      </c>
      <c r="C4168" t="inlineStr">
        <is>
          <t>Bluestone Memorial Hospital</t>
        </is>
      </c>
      <c r="D4168" t="n">
        <v>31</v>
      </c>
    </row>
    <row r="4169">
      <c r="A4169" t="inlineStr">
        <is>
          <t>ED204263</t>
        </is>
      </c>
      <c r="B4169" s="56" t="n">
        <v>45554.37916666667</v>
      </c>
      <c r="C4169" t="inlineStr">
        <is>
          <t>Cedar Ridge Medical Center</t>
        </is>
      </c>
      <c r="D4169" t="n">
        <v>9</v>
      </c>
    </row>
    <row r="4170">
      <c r="A4170" t="inlineStr">
        <is>
          <t>ED204264</t>
        </is>
      </c>
      <c r="B4170" s="56" t="n">
        <v>45554.39375</v>
      </c>
      <c r="C4170" t="inlineStr">
        <is>
          <t>Bluestone Memorial Hospital</t>
        </is>
      </c>
      <c r="D4170" t="n">
        <v>40</v>
      </c>
    </row>
    <row r="4171">
      <c r="A4171" t="inlineStr">
        <is>
          <t>ED204265</t>
        </is>
      </c>
      <c r="B4171" s="56" t="n">
        <v>45554.42569444444</v>
      </c>
      <c r="C4171" t="inlineStr">
        <is>
          <t>Cedar Ridge Medical Center</t>
        </is>
      </c>
      <c r="D4171" t="n">
        <v>20</v>
      </c>
    </row>
    <row r="4172">
      <c r="A4172" t="inlineStr">
        <is>
          <t>ED204266</t>
        </is>
      </c>
      <c r="B4172" s="56" t="n">
        <v>45554.43125</v>
      </c>
      <c r="C4172" t="inlineStr">
        <is>
          <t>Cedar Ridge Medical Center</t>
        </is>
      </c>
      <c r="D4172" t="n">
        <v>34</v>
      </c>
    </row>
    <row r="4173">
      <c r="A4173" t="inlineStr">
        <is>
          <t>ED204267</t>
        </is>
      </c>
      <c r="B4173" s="56" t="n">
        <v>45554.43819444445</v>
      </c>
      <c r="C4173" t="inlineStr">
        <is>
          <t>Bluestone Memorial Hospital</t>
        </is>
      </c>
      <c r="D4173" t="n">
        <v>17</v>
      </c>
    </row>
    <row r="4174">
      <c r="A4174" t="inlineStr">
        <is>
          <t>ED204268</t>
        </is>
      </c>
      <c r="B4174" s="56" t="n">
        <v>45554.45208333333</v>
      </c>
      <c r="C4174" t="inlineStr">
        <is>
          <t>Cedar Ridge Medical Center</t>
        </is>
      </c>
      <c r="D4174" t="n">
        <v>62</v>
      </c>
    </row>
    <row r="4175">
      <c r="A4175" t="inlineStr">
        <is>
          <t>ED204269</t>
        </is>
      </c>
      <c r="B4175" s="56" t="n">
        <v>45554.45277777778</v>
      </c>
      <c r="C4175" t="inlineStr">
        <is>
          <t>Bluestone Memorial Hospital</t>
        </is>
      </c>
      <c r="D4175" t="n">
        <v>11</v>
      </c>
    </row>
    <row r="4176">
      <c r="A4176" t="inlineStr">
        <is>
          <t>ED204270</t>
        </is>
      </c>
      <c r="B4176" s="56" t="n">
        <v>45554.57013888889</v>
      </c>
      <c r="C4176" t="inlineStr">
        <is>
          <t>Cedar Ridge Medical Center</t>
        </is>
      </c>
      <c r="D4176" t="n">
        <v>109</v>
      </c>
    </row>
    <row r="4177">
      <c r="A4177" t="inlineStr">
        <is>
          <t>ED204271</t>
        </is>
      </c>
      <c r="B4177" s="56" t="n">
        <v>45554.67986111111</v>
      </c>
      <c r="C4177" t="inlineStr">
        <is>
          <t>Bluestone Memorial Hospital</t>
        </is>
      </c>
      <c r="D4177" t="n">
        <v>19</v>
      </c>
    </row>
    <row r="4178">
      <c r="A4178" t="inlineStr">
        <is>
          <t>ED204272</t>
        </is>
      </c>
      <c r="B4178" s="56" t="n">
        <v>45554.74027777778</v>
      </c>
      <c r="C4178" t="inlineStr">
        <is>
          <t>Bluestone Memorial Hospital</t>
        </is>
      </c>
      <c r="D4178" t="n">
        <v>42</v>
      </c>
    </row>
    <row r="4179">
      <c r="A4179" t="inlineStr">
        <is>
          <t>ED204273</t>
        </is>
      </c>
      <c r="B4179" s="56" t="n">
        <v>45554.79583333333</v>
      </c>
      <c r="C4179" t="inlineStr">
        <is>
          <t>Bluestone Memorial Hospital</t>
        </is>
      </c>
      <c r="D4179" t="n">
        <v>40</v>
      </c>
    </row>
    <row r="4180">
      <c r="A4180" t="inlineStr">
        <is>
          <t>ED204274</t>
        </is>
      </c>
      <c r="B4180" s="56" t="n">
        <v>45554.81666666667</v>
      </c>
      <c r="C4180" t="inlineStr">
        <is>
          <t>Ashby Falls Community Hospital</t>
        </is>
      </c>
      <c r="D4180" t="n">
        <v>31</v>
      </c>
    </row>
    <row r="4181">
      <c r="A4181" t="inlineStr">
        <is>
          <t>ED204275</t>
        </is>
      </c>
      <c r="B4181" s="56" t="n">
        <v>45554.81805555556</v>
      </c>
      <c r="C4181" t="inlineStr">
        <is>
          <t>Cedar Ridge Medical Center</t>
        </is>
      </c>
      <c r="D4181" t="n">
        <v>76</v>
      </c>
    </row>
    <row r="4182">
      <c r="A4182" t="inlineStr">
        <is>
          <t>ED204276</t>
        </is>
      </c>
      <c r="B4182" s="56" t="n">
        <v>45554.87916666667</v>
      </c>
      <c r="C4182" t="inlineStr">
        <is>
          <t>Bluestone Memorial Hospital</t>
        </is>
      </c>
      <c r="D4182" t="n">
        <v>42</v>
      </c>
    </row>
    <row r="4183">
      <c r="A4183" t="inlineStr">
        <is>
          <t>ED204277</t>
        </is>
      </c>
      <c r="B4183" s="56" t="n">
        <v>45555.05347222222</v>
      </c>
      <c r="C4183" t="inlineStr">
        <is>
          <t>Bluestone Memorial Hospital</t>
        </is>
      </c>
      <c r="D4183" t="n">
        <v>24</v>
      </c>
    </row>
    <row r="4184">
      <c r="A4184" t="inlineStr">
        <is>
          <t>ED204278</t>
        </is>
      </c>
      <c r="B4184" s="56" t="n">
        <v>45555.33402777778</v>
      </c>
      <c r="C4184" t="inlineStr">
        <is>
          <t>Bluestone Memorial Hospital</t>
        </is>
      </c>
      <c r="D4184" t="n">
        <v>41</v>
      </c>
    </row>
    <row r="4185">
      <c r="A4185" t="inlineStr">
        <is>
          <t>ED204279</t>
        </is>
      </c>
      <c r="B4185" s="56" t="n">
        <v>45555.36875</v>
      </c>
      <c r="C4185" t="inlineStr">
        <is>
          <t>Bluestone Memorial Hospital</t>
        </is>
      </c>
      <c r="D4185" t="n">
        <v>31</v>
      </c>
    </row>
    <row r="4186">
      <c r="A4186" t="inlineStr">
        <is>
          <t>ED204280</t>
        </is>
      </c>
      <c r="B4186" s="56" t="n">
        <v>45555.37777777778</v>
      </c>
      <c r="C4186" t="inlineStr">
        <is>
          <t>Cedar Ridge Medical Center</t>
        </is>
      </c>
      <c r="D4186" t="n">
        <v>46</v>
      </c>
    </row>
    <row r="4187">
      <c r="A4187" t="inlineStr">
        <is>
          <t>ED204281</t>
        </is>
      </c>
      <c r="B4187" s="56" t="n">
        <v>45555.48680555556</v>
      </c>
      <c r="C4187" t="inlineStr">
        <is>
          <t>Bluestone Memorial Hospital</t>
        </is>
      </c>
      <c r="D4187" t="n">
        <v>22</v>
      </c>
    </row>
    <row r="4188">
      <c r="A4188" t="inlineStr">
        <is>
          <t>ED204282</t>
        </is>
      </c>
      <c r="B4188" s="56" t="n">
        <v>45555.49583333333</v>
      </c>
      <c r="C4188" t="inlineStr">
        <is>
          <t>Bluestone Memorial Hospital</t>
        </is>
      </c>
      <c r="D4188" t="n">
        <v>27</v>
      </c>
    </row>
    <row r="4189">
      <c r="A4189" t="inlineStr">
        <is>
          <t>ED204283</t>
        </is>
      </c>
      <c r="B4189" s="56" t="n">
        <v>45555.49930555555</v>
      </c>
      <c r="C4189" t="inlineStr">
        <is>
          <t>Bluestone Memorial Hospital</t>
        </is>
      </c>
      <c r="D4189" t="n">
        <v>115</v>
      </c>
    </row>
    <row r="4190">
      <c r="A4190" t="inlineStr">
        <is>
          <t>ED204285</t>
        </is>
      </c>
      <c r="B4190" s="56" t="n">
        <v>45555.64513888889</v>
      </c>
      <c r="C4190" t="inlineStr">
        <is>
          <t>Bluestone Memorial Hospital</t>
        </is>
      </c>
      <c r="D4190" t="n">
        <v>35</v>
      </c>
    </row>
    <row r="4191">
      <c r="A4191" t="inlineStr">
        <is>
          <t>ED204286</t>
        </is>
      </c>
      <c r="B4191" s="56" t="n">
        <v>45555.66458333333</v>
      </c>
      <c r="C4191" t="inlineStr">
        <is>
          <t>Bluestone Memorial Hospital</t>
        </is>
      </c>
      <c r="D4191" t="n">
        <v>127</v>
      </c>
    </row>
    <row r="4192">
      <c r="A4192" t="inlineStr">
        <is>
          <t>ED204287</t>
        </is>
      </c>
      <c r="B4192" s="56" t="n">
        <v>45555.70555555556</v>
      </c>
      <c r="C4192" t="inlineStr">
        <is>
          <t>Cedar Ridge Medical Center</t>
        </is>
      </c>
      <c r="D4192" t="n">
        <v>20</v>
      </c>
    </row>
    <row r="4193">
      <c r="A4193" t="inlineStr">
        <is>
          <t>ED204290</t>
        </is>
      </c>
      <c r="B4193" s="56" t="n">
        <v>45555.80555555555</v>
      </c>
      <c r="C4193" t="inlineStr">
        <is>
          <t>Ashby Falls Community Hospital</t>
        </is>
      </c>
      <c r="D4193" t="n">
        <v>256</v>
      </c>
    </row>
    <row r="4194">
      <c r="A4194" t="inlineStr">
        <is>
          <t>ED204291</t>
        </is>
      </c>
      <c r="B4194" s="56" t="n">
        <v>45555.82708333333</v>
      </c>
      <c r="C4194" t="inlineStr">
        <is>
          <t>Bluestone Memorial Hospital</t>
        </is>
      </c>
      <c r="D4194" t="n">
        <v>28</v>
      </c>
    </row>
    <row r="4195">
      <c r="A4195" t="inlineStr">
        <is>
          <t>ED204292</t>
        </is>
      </c>
      <c r="B4195" s="56" t="n">
        <v>45555.83125</v>
      </c>
      <c r="C4195" t="inlineStr">
        <is>
          <t>Bluestone Memorial Hospital</t>
        </is>
      </c>
      <c r="D4195" t="n">
        <v>22</v>
      </c>
    </row>
    <row r="4196">
      <c r="A4196" t="inlineStr">
        <is>
          <t>ED204293</t>
        </is>
      </c>
      <c r="B4196" s="56" t="n">
        <v>45555.84513888889</v>
      </c>
      <c r="C4196" t="inlineStr">
        <is>
          <t>Bluestone Memorial Hospital</t>
        </is>
      </c>
      <c r="D4196" t="n">
        <v>68</v>
      </c>
    </row>
    <row r="4197">
      <c r="A4197" t="inlineStr">
        <is>
          <t>ED204294</t>
        </is>
      </c>
      <c r="B4197" s="56" t="n">
        <v>45555.9625</v>
      </c>
      <c r="C4197" t="inlineStr">
        <is>
          <t>Ashby Falls Community Hospital</t>
        </is>
      </c>
      <c r="D4197" t="n">
        <v>26</v>
      </c>
    </row>
    <row r="4198">
      <c r="A4198" t="inlineStr">
        <is>
          <t>ED204295</t>
        </is>
      </c>
      <c r="B4198" s="56" t="n">
        <v>45555.98958333334</v>
      </c>
      <c r="C4198" t="inlineStr">
        <is>
          <t>Bluestone Memorial Hospital</t>
        </is>
      </c>
      <c r="D4198" t="n">
        <v>16</v>
      </c>
    </row>
    <row r="4199">
      <c r="A4199" t="inlineStr">
        <is>
          <t>ED204296</t>
        </is>
      </c>
      <c r="B4199" s="56" t="n">
        <v>45556.00833333333</v>
      </c>
      <c r="C4199" t="inlineStr">
        <is>
          <t>Bluestone Memorial Hospital</t>
        </is>
      </c>
      <c r="D4199" t="n">
        <v>78</v>
      </c>
    </row>
    <row r="4200">
      <c r="A4200" t="inlineStr">
        <is>
          <t>ED204297</t>
        </is>
      </c>
      <c r="B4200" s="56" t="n">
        <v>45556.07847222222</v>
      </c>
      <c r="C4200" t="inlineStr">
        <is>
          <t>Ashby Falls Community Hospital</t>
        </is>
      </c>
      <c r="D4200" t="n">
        <v>7</v>
      </c>
    </row>
    <row r="4201">
      <c r="A4201" t="inlineStr">
        <is>
          <t>ED204298</t>
        </is>
      </c>
      <c r="B4201" s="56" t="n">
        <v>45556.13263888889</v>
      </c>
      <c r="C4201" t="inlineStr">
        <is>
          <t>Bluestone Memorial Hospital</t>
        </is>
      </c>
      <c r="D4201" t="n">
        <v>14</v>
      </c>
    </row>
    <row r="4202">
      <c r="A4202" t="inlineStr">
        <is>
          <t>ED204299</t>
        </is>
      </c>
      <c r="B4202" s="56" t="n">
        <v>45556.30486111111</v>
      </c>
      <c r="C4202" t="inlineStr">
        <is>
          <t>Bluestone Memorial Hospital</t>
        </is>
      </c>
      <c r="D4202" t="n">
        <v>37</v>
      </c>
    </row>
    <row r="4203">
      <c r="A4203" t="inlineStr">
        <is>
          <t>ED204300</t>
        </is>
      </c>
      <c r="B4203" s="56" t="n">
        <v>45556.3125</v>
      </c>
      <c r="C4203" t="inlineStr">
        <is>
          <t>Bluestone Memorial Hospital</t>
        </is>
      </c>
      <c r="D4203" t="n">
        <v>17</v>
      </c>
    </row>
    <row r="4204">
      <c r="A4204" t="inlineStr">
        <is>
          <t>ED204301</t>
        </is>
      </c>
      <c r="B4204" s="56" t="n">
        <v>45556.43958333333</v>
      </c>
      <c r="C4204" t="inlineStr">
        <is>
          <t>Bluestone Memorial Hospital</t>
        </is>
      </c>
      <c r="D4204" t="n">
        <v>21</v>
      </c>
    </row>
    <row r="4205">
      <c r="A4205" t="inlineStr">
        <is>
          <t>ED204302</t>
        </is>
      </c>
      <c r="B4205" s="56" t="n">
        <v>45556.44166666667</v>
      </c>
      <c r="C4205" t="inlineStr">
        <is>
          <t>Ashby Falls Community Hospital</t>
        </is>
      </c>
      <c r="D4205" t="n">
        <v>55</v>
      </c>
    </row>
    <row r="4206">
      <c r="A4206" t="inlineStr">
        <is>
          <t>ED204303</t>
        </is>
      </c>
      <c r="B4206" s="56" t="n">
        <v>45556.47083333333</v>
      </c>
      <c r="C4206" t="inlineStr">
        <is>
          <t>Bluestone Memorial Hospital</t>
        </is>
      </c>
      <c r="D4206" t="n">
        <v>30</v>
      </c>
    </row>
    <row r="4207">
      <c r="A4207" t="inlineStr">
        <is>
          <t>ED204304</t>
        </is>
      </c>
      <c r="B4207" s="56" t="n">
        <v>45556.63402777778</v>
      </c>
      <c r="C4207" t="inlineStr">
        <is>
          <t>Bluestone Memorial Hospital</t>
        </is>
      </c>
      <c r="D4207" t="n">
        <v>164</v>
      </c>
    </row>
    <row r="4208">
      <c r="A4208" t="inlineStr">
        <is>
          <t>ED204305</t>
        </is>
      </c>
      <c r="B4208" s="56" t="n">
        <v>45556.64583333334</v>
      </c>
      <c r="C4208" t="inlineStr">
        <is>
          <t>Bluestone Memorial Hospital</t>
        </is>
      </c>
      <c r="D4208" t="n">
        <v>79</v>
      </c>
    </row>
    <row r="4209">
      <c r="A4209" t="inlineStr">
        <is>
          <t>ED204306</t>
        </is>
      </c>
      <c r="B4209" s="56" t="n">
        <v>45556.68402777778</v>
      </c>
      <c r="C4209" t="inlineStr">
        <is>
          <t>Bluestone Memorial Hospital</t>
        </is>
      </c>
      <c r="D4209" t="n">
        <v>65</v>
      </c>
    </row>
    <row r="4210">
      <c r="A4210" t="inlineStr">
        <is>
          <t>ED204307</t>
        </is>
      </c>
      <c r="B4210" s="56" t="n">
        <v>45556.69444444445</v>
      </c>
      <c r="C4210" t="inlineStr">
        <is>
          <t>Ashby Falls Community Hospital</t>
        </is>
      </c>
      <c r="D4210" t="n">
        <v>67</v>
      </c>
    </row>
    <row r="4211">
      <c r="A4211" t="inlineStr">
        <is>
          <t>ED204308</t>
        </is>
      </c>
      <c r="B4211" s="56" t="n">
        <v>45556.76666666667</v>
      </c>
      <c r="C4211" t="inlineStr">
        <is>
          <t>Cedar Ridge Medical Center</t>
        </is>
      </c>
      <c r="D4211" t="n">
        <v>60</v>
      </c>
    </row>
    <row r="4212">
      <c r="A4212" t="inlineStr">
        <is>
          <t>ED204309</t>
        </is>
      </c>
      <c r="B4212" s="56" t="n">
        <v>45556.77777777778</v>
      </c>
      <c r="C4212" t="inlineStr">
        <is>
          <t>Cedar Ridge Medical Center</t>
        </is>
      </c>
      <c r="D4212" t="n">
        <v>95</v>
      </c>
    </row>
    <row r="4213">
      <c r="A4213" t="inlineStr">
        <is>
          <t>ED204310</t>
        </is>
      </c>
      <c r="B4213" s="56" t="n">
        <v>45556.88680555556</v>
      </c>
      <c r="C4213" t="inlineStr">
        <is>
          <t>Ashby Falls Community Hospital</t>
        </is>
      </c>
      <c r="D4213" t="n">
        <v>40</v>
      </c>
    </row>
    <row r="4214">
      <c r="A4214" t="inlineStr">
        <is>
          <t>ED204311</t>
        </is>
      </c>
      <c r="B4214" s="56" t="n">
        <v>45556.91666666666</v>
      </c>
      <c r="C4214" t="inlineStr">
        <is>
          <t>Ashby Falls Community Hospital</t>
        </is>
      </c>
      <c r="D4214" t="n">
        <v>54</v>
      </c>
    </row>
    <row r="4215">
      <c r="A4215" t="inlineStr">
        <is>
          <t>ED204312</t>
        </is>
      </c>
      <c r="B4215" s="56" t="n">
        <v>45556.94305555556</v>
      </c>
      <c r="C4215" t="inlineStr">
        <is>
          <t>Cedar Ridge Medical Center</t>
        </is>
      </c>
      <c r="D4215" t="n">
        <v>72</v>
      </c>
    </row>
    <row r="4216">
      <c r="A4216" t="inlineStr">
        <is>
          <t>ED204313</t>
        </is>
      </c>
      <c r="B4216" s="56" t="n">
        <v>45556.9625</v>
      </c>
      <c r="C4216" t="inlineStr">
        <is>
          <t>Ashby Falls Community Hospital</t>
        </is>
      </c>
      <c r="D4216" t="n">
        <v>51</v>
      </c>
    </row>
    <row r="4217">
      <c r="A4217" t="inlineStr">
        <is>
          <t>ED204314</t>
        </is>
      </c>
      <c r="B4217" s="56" t="n">
        <v>45557.08125</v>
      </c>
      <c r="C4217" t="inlineStr">
        <is>
          <t>Bluestone Memorial Hospital</t>
        </is>
      </c>
      <c r="D4217" t="n">
        <v>48</v>
      </c>
    </row>
    <row r="4218">
      <c r="A4218" t="inlineStr">
        <is>
          <t>ED204315</t>
        </is>
      </c>
      <c r="B4218" s="56" t="n">
        <v>45557.37986111111</v>
      </c>
      <c r="C4218" t="inlineStr">
        <is>
          <t>Ashby Falls Community Hospital</t>
        </is>
      </c>
      <c r="D4218" t="n">
        <v>81</v>
      </c>
    </row>
    <row r="4219">
      <c r="A4219" t="inlineStr">
        <is>
          <t>ED204316</t>
        </is>
      </c>
      <c r="B4219" s="56" t="n">
        <v>45557.53680555556</v>
      </c>
      <c r="C4219" t="inlineStr">
        <is>
          <t>Bluestone Memorial Hospital</t>
        </is>
      </c>
      <c r="D4219" t="n">
        <v>14</v>
      </c>
    </row>
    <row r="4220">
      <c r="A4220" t="inlineStr">
        <is>
          <t>ED204317</t>
        </is>
      </c>
      <c r="B4220" s="56" t="n">
        <v>45557.69305555556</v>
      </c>
      <c r="C4220" t="inlineStr">
        <is>
          <t>Bluestone Memorial Hospital</t>
        </is>
      </c>
      <c r="D4220" t="n">
        <v>68</v>
      </c>
    </row>
    <row r="4221">
      <c r="A4221" t="inlineStr">
        <is>
          <t>ED204318</t>
        </is>
      </c>
      <c r="B4221" s="56" t="n">
        <v>45557.69305555556</v>
      </c>
      <c r="C4221" t="inlineStr">
        <is>
          <t>Bluestone Memorial Hospital</t>
        </is>
      </c>
      <c r="D4221" t="n">
        <v>6</v>
      </c>
    </row>
    <row r="4222">
      <c r="A4222" t="inlineStr">
        <is>
          <t>ED204319</t>
        </is>
      </c>
      <c r="B4222" s="56" t="n">
        <v>45557.74861111111</v>
      </c>
      <c r="C4222" t="inlineStr">
        <is>
          <t>Bluestone Memorial Hospital</t>
        </is>
      </c>
      <c r="D4222" t="n">
        <v>75</v>
      </c>
    </row>
    <row r="4223">
      <c r="A4223" t="inlineStr">
        <is>
          <t>ED204320</t>
        </is>
      </c>
      <c r="B4223" s="56" t="n">
        <v>45557.8875</v>
      </c>
      <c r="C4223" t="inlineStr">
        <is>
          <t>Cedar Ridge Medical Center</t>
        </is>
      </c>
      <c r="D4223" t="n">
        <v>26</v>
      </c>
    </row>
    <row r="4224">
      <c r="A4224" t="inlineStr">
        <is>
          <t>ED204321</t>
        </is>
      </c>
      <c r="B4224" s="56" t="n">
        <v>45558.21041666667</v>
      </c>
      <c r="C4224" t="inlineStr">
        <is>
          <t>Bluestone Memorial Hospital</t>
        </is>
      </c>
      <c r="D4224" t="n">
        <v>26</v>
      </c>
    </row>
    <row r="4225">
      <c r="A4225" t="inlineStr">
        <is>
          <t>ED204322</t>
        </is>
      </c>
      <c r="B4225" s="56" t="n">
        <v>45558.24861111111</v>
      </c>
      <c r="C4225" t="inlineStr">
        <is>
          <t>Cedar Ridge Medical Center</t>
        </is>
      </c>
      <c r="D4225" t="n">
        <v>14</v>
      </c>
    </row>
    <row r="4226">
      <c r="A4226" t="inlineStr">
        <is>
          <t>ED204323</t>
        </is>
      </c>
      <c r="B4226" s="56" t="n">
        <v>45558.30972222222</v>
      </c>
      <c r="C4226" t="inlineStr">
        <is>
          <t>Bluestone Memorial Hospital</t>
        </is>
      </c>
      <c r="D4226" t="n">
        <v>88</v>
      </c>
    </row>
    <row r="4227">
      <c r="A4227" t="inlineStr">
        <is>
          <t>ED204324</t>
        </is>
      </c>
      <c r="B4227" s="56" t="n">
        <v>45558.45486111111</v>
      </c>
      <c r="C4227" t="inlineStr">
        <is>
          <t>Bluestone Memorial Hospital</t>
        </is>
      </c>
      <c r="D4227" t="n">
        <v>53</v>
      </c>
    </row>
    <row r="4228">
      <c r="A4228" t="inlineStr">
        <is>
          <t>ED204325</t>
        </is>
      </c>
      <c r="B4228" s="56" t="n">
        <v>45558.47708333333</v>
      </c>
      <c r="C4228" t="inlineStr">
        <is>
          <t>Bluestone Memorial Hospital</t>
        </is>
      </c>
      <c r="D4228" t="n">
        <v>66</v>
      </c>
    </row>
    <row r="4229">
      <c r="A4229" t="inlineStr">
        <is>
          <t>ED204326</t>
        </is>
      </c>
      <c r="B4229" s="56" t="n">
        <v>45558.52083333334</v>
      </c>
      <c r="C4229" t="inlineStr">
        <is>
          <t>Ashby Falls Community Hospital</t>
        </is>
      </c>
      <c r="D4229" t="n">
        <v>24</v>
      </c>
    </row>
    <row r="4230">
      <c r="A4230" t="inlineStr">
        <is>
          <t>ED204328</t>
        </is>
      </c>
      <c r="B4230" s="56" t="n">
        <v>45558.75277777778</v>
      </c>
      <c r="C4230" t="inlineStr">
        <is>
          <t>Bluestone Memorial Hospital</t>
        </is>
      </c>
      <c r="D4230" t="n">
        <v>30</v>
      </c>
    </row>
    <row r="4231">
      <c r="A4231" t="inlineStr">
        <is>
          <t>ED204329</t>
        </is>
      </c>
      <c r="B4231" s="56" t="n">
        <v>45558.76875</v>
      </c>
      <c r="C4231" t="inlineStr">
        <is>
          <t>Bluestone Memorial Hospital</t>
        </is>
      </c>
      <c r="D4231" t="n">
        <v>181</v>
      </c>
    </row>
    <row r="4232">
      <c r="A4232" t="inlineStr">
        <is>
          <t>ED204330</t>
        </is>
      </c>
      <c r="B4232" s="56" t="n">
        <v>45558.78125</v>
      </c>
      <c r="C4232" t="inlineStr">
        <is>
          <t>Bluestone Memorial Hospital</t>
        </is>
      </c>
      <c r="D4232" t="n">
        <v>43</v>
      </c>
    </row>
    <row r="4233">
      <c r="A4233" t="inlineStr">
        <is>
          <t>ED204331</t>
        </is>
      </c>
      <c r="B4233" s="56" t="n">
        <v>45558.84930555556</v>
      </c>
      <c r="C4233" t="inlineStr">
        <is>
          <t>Bluestone Memorial Hospital</t>
        </is>
      </c>
      <c r="D4233" t="n">
        <v>94</v>
      </c>
    </row>
    <row r="4234">
      <c r="A4234" t="inlineStr">
        <is>
          <t>ED204332</t>
        </is>
      </c>
      <c r="B4234" s="56" t="n">
        <v>45558.88125</v>
      </c>
      <c r="C4234" t="inlineStr">
        <is>
          <t>Bluestone Memorial Hospital</t>
        </is>
      </c>
      <c r="D4234" t="n">
        <v>10</v>
      </c>
    </row>
    <row r="4235">
      <c r="A4235" t="inlineStr">
        <is>
          <t>ED204333</t>
        </is>
      </c>
      <c r="B4235" s="56" t="n">
        <v>45558.89097222222</v>
      </c>
      <c r="C4235" t="inlineStr">
        <is>
          <t>Cedar Ridge Medical Center</t>
        </is>
      </c>
      <c r="D4235" t="n">
        <v>32</v>
      </c>
    </row>
    <row r="4236">
      <c r="A4236" t="inlineStr">
        <is>
          <t>ED204334</t>
        </is>
      </c>
      <c r="B4236" s="56" t="n">
        <v>45558.89861111111</v>
      </c>
      <c r="C4236" t="inlineStr">
        <is>
          <t>Bluestone Memorial Hospital</t>
        </is>
      </c>
      <c r="D4236" t="n">
        <v>27</v>
      </c>
    </row>
    <row r="4237">
      <c r="A4237" t="inlineStr">
        <is>
          <t>ED204335</t>
        </is>
      </c>
      <c r="B4237" s="56" t="n">
        <v>45558.95486111111</v>
      </c>
      <c r="C4237" t="inlineStr">
        <is>
          <t>Bluestone Memorial Hospital</t>
        </is>
      </c>
      <c r="D4237" t="n">
        <v>30</v>
      </c>
    </row>
    <row r="4238">
      <c r="A4238" t="inlineStr">
        <is>
          <t>ED204336</t>
        </is>
      </c>
      <c r="B4238" s="56" t="n">
        <v>45559.04027777778</v>
      </c>
      <c r="C4238" t="inlineStr">
        <is>
          <t>Bluestone Memorial Hospital</t>
        </is>
      </c>
      <c r="D4238" t="n">
        <v>22</v>
      </c>
    </row>
    <row r="4239">
      <c r="A4239" t="inlineStr">
        <is>
          <t>ED204337</t>
        </is>
      </c>
      <c r="B4239" s="56" t="n">
        <v>45559.39097222222</v>
      </c>
      <c r="C4239" t="inlineStr">
        <is>
          <t>Bluestone Memorial Hospital</t>
        </is>
      </c>
      <c r="D4239" t="n">
        <v>107</v>
      </c>
    </row>
    <row r="4240">
      <c r="A4240" t="inlineStr">
        <is>
          <t>ED204338</t>
        </is>
      </c>
      <c r="B4240" s="56" t="n">
        <v>45559.41736111111</v>
      </c>
      <c r="C4240" t="inlineStr">
        <is>
          <t>Bluestone Memorial Hospital</t>
        </is>
      </c>
      <c r="D4240" t="n">
        <v>15</v>
      </c>
    </row>
    <row r="4241">
      <c r="A4241" t="inlineStr">
        <is>
          <t>ED204339</t>
        </is>
      </c>
      <c r="B4241" s="56" t="n">
        <v>45559.42708333334</v>
      </c>
      <c r="C4241" t="inlineStr">
        <is>
          <t>Bluestone Memorial Hospital</t>
        </is>
      </c>
      <c r="D4241" t="n">
        <v>37</v>
      </c>
    </row>
    <row r="4242">
      <c r="A4242" t="inlineStr">
        <is>
          <t>ED204340</t>
        </is>
      </c>
      <c r="B4242" s="56" t="n">
        <v>45559.55069444444</v>
      </c>
      <c r="C4242" t="inlineStr">
        <is>
          <t>Bluestone Memorial Hospital</t>
        </is>
      </c>
      <c r="D4242" t="n">
        <v>80</v>
      </c>
    </row>
    <row r="4243">
      <c r="A4243" t="inlineStr">
        <is>
          <t>ED204341</t>
        </is>
      </c>
      <c r="B4243" s="56" t="n">
        <v>45559.57361111111</v>
      </c>
      <c r="C4243" t="inlineStr">
        <is>
          <t>Ashby Falls Community Hospital</t>
        </is>
      </c>
      <c r="D4243" t="n">
        <v>46</v>
      </c>
    </row>
    <row r="4244">
      <c r="A4244" t="inlineStr">
        <is>
          <t>ED204342</t>
        </is>
      </c>
      <c r="B4244" s="56" t="n">
        <v>45559.68125</v>
      </c>
      <c r="C4244" t="inlineStr">
        <is>
          <t>Bluestone Memorial Hospital</t>
        </is>
      </c>
      <c r="D4244" t="n">
        <v>3</v>
      </c>
    </row>
    <row r="4245">
      <c r="A4245" t="inlineStr">
        <is>
          <t>ED204343</t>
        </is>
      </c>
      <c r="B4245" s="56" t="n">
        <v>45559.69583333333</v>
      </c>
      <c r="C4245" t="inlineStr">
        <is>
          <t>Bluestone Memorial Hospital</t>
        </is>
      </c>
      <c r="D4245" t="n">
        <v>36</v>
      </c>
    </row>
    <row r="4246">
      <c r="A4246" t="inlineStr">
        <is>
          <t>ED204344</t>
        </is>
      </c>
      <c r="B4246" s="56" t="n">
        <v>45559.72291666667</v>
      </c>
      <c r="C4246" t="inlineStr">
        <is>
          <t>Cedar Ridge Medical Center</t>
        </is>
      </c>
      <c r="D4246" t="n">
        <v>134</v>
      </c>
    </row>
    <row r="4247">
      <c r="A4247" t="inlineStr">
        <is>
          <t>ED204345</t>
        </is>
      </c>
      <c r="B4247" s="56" t="n">
        <v>45559.73263888889</v>
      </c>
      <c r="C4247" t="inlineStr">
        <is>
          <t>Cedar Ridge Medical Center</t>
        </is>
      </c>
      <c r="D4247" t="n">
        <v>23</v>
      </c>
    </row>
    <row r="4248">
      <c r="A4248" t="inlineStr">
        <is>
          <t>ED204346</t>
        </is>
      </c>
      <c r="B4248" s="56" t="n">
        <v>45559.76666666667</v>
      </c>
      <c r="C4248" t="inlineStr">
        <is>
          <t>Bluestone Memorial Hospital</t>
        </is>
      </c>
      <c r="D4248" t="n">
        <v>53</v>
      </c>
    </row>
    <row r="4249">
      <c r="A4249" t="inlineStr">
        <is>
          <t>ED204347</t>
        </is>
      </c>
      <c r="B4249" s="56" t="n">
        <v>45559.84097222222</v>
      </c>
      <c r="C4249" t="inlineStr">
        <is>
          <t>Bluestone Memorial Hospital</t>
        </is>
      </c>
      <c r="D4249" t="n">
        <v>49</v>
      </c>
    </row>
    <row r="4250">
      <c r="A4250" t="inlineStr">
        <is>
          <t>ED204348</t>
        </is>
      </c>
      <c r="B4250" s="56" t="n">
        <v>45560.23888888889</v>
      </c>
      <c r="C4250" t="inlineStr">
        <is>
          <t>Bluestone Memorial Hospital</t>
        </is>
      </c>
      <c r="D4250" t="n">
        <v>40</v>
      </c>
    </row>
    <row r="4251">
      <c r="A4251" t="inlineStr">
        <is>
          <t>ED204349</t>
        </is>
      </c>
      <c r="B4251" s="56" t="n">
        <v>45560.24444444444</v>
      </c>
      <c r="C4251" t="inlineStr">
        <is>
          <t>Bluestone Memorial Hospital</t>
        </is>
      </c>
      <c r="D4251" t="n">
        <v>102</v>
      </c>
    </row>
    <row r="4252">
      <c r="A4252" t="inlineStr">
        <is>
          <t>ED204350</t>
        </is>
      </c>
      <c r="B4252" s="56" t="n">
        <v>45560.36944444444</v>
      </c>
      <c r="C4252" t="inlineStr">
        <is>
          <t>Bluestone Memorial Hospital</t>
        </is>
      </c>
      <c r="D4252" t="n">
        <v>49</v>
      </c>
    </row>
    <row r="4253">
      <c r="A4253" t="inlineStr">
        <is>
          <t>ED204351</t>
        </is>
      </c>
      <c r="B4253" s="56" t="n">
        <v>45560.41666666666</v>
      </c>
      <c r="C4253" t="inlineStr">
        <is>
          <t>Bluestone Memorial Hospital</t>
        </is>
      </c>
      <c r="D4253" t="n">
        <v>208</v>
      </c>
    </row>
    <row r="4254">
      <c r="A4254" t="inlineStr">
        <is>
          <t>ED204352</t>
        </is>
      </c>
      <c r="B4254" s="56" t="n">
        <v>45560.48194444444</v>
      </c>
      <c r="C4254" t="inlineStr">
        <is>
          <t>Bluestone Memorial Hospital</t>
        </is>
      </c>
      <c r="D4254" t="n">
        <v>77</v>
      </c>
    </row>
    <row r="4255">
      <c r="A4255" t="inlineStr">
        <is>
          <t>ED204353</t>
        </is>
      </c>
      <c r="B4255" s="56" t="n">
        <v>45560.50486111111</v>
      </c>
      <c r="C4255" t="inlineStr">
        <is>
          <t>Bluestone Memorial Hospital</t>
        </is>
      </c>
      <c r="D4255" t="n">
        <v>87</v>
      </c>
    </row>
    <row r="4256">
      <c r="A4256" t="inlineStr">
        <is>
          <t>ED204354</t>
        </is>
      </c>
      <c r="B4256" s="56" t="n">
        <v>45560.51041666666</v>
      </c>
      <c r="C4256" t="inlineStr">
        <is>
          <t>Bluestone Memorial Hospital</t>
        </is>
      </c>
      <c r="D4256" t="n">
        <v>88</v>
      </c>
    </row>
    <row r="4257">
      <c r="A4257" t="inlineStr">
        <is>
          <t>ED204355</t>
        </is>
      </c>
      <c r="B4257" s="56" t="n">
        <v>45560.52222222222</v>
      </c>
      <c r="C4257" t="inlineStr">
        <is>
          <t>Bluestone Memorial Hospital</t>
        </is>
      </c>
      <c r="D4257" t="n">
        <v>105</v>
      </c>
    </row>
    <row r="4258">
      <c r="A4258" t="inlineStr">
        <is>
          <t>ED204356</t>
        </is>
      </c>
      <c r="B4258" s="56" t="n">
        <v>45560.55</v>
      </c>
      <c r="C4258" t="inlineStr">
        <is>
          <t>Bluestone Memorial Hospital</t>
        </is>
      </c>
      <c r="D4258" t="n">
        <v>33</v>
      </c>
    </row>
    <row r="4259">
      <c r="A4259" t="inlineStr">
        <is>
          <t>ED204357</t>
        </is>
      </c>
      <c r="B4259" s="56" t="n">
        <v>45560.61875</v>
      </c>
      <c r="C4259" t="inlineStr">
        <is>
          <t>Cedar Ridge Medical Center</t>
        </is>
      </c>
      <c r="D4259" t="n">
        <v>17</v>
      </c>
    </row>
    <row r="4260">
      <c r="A4260" t="inlineStr">
        <is>
          <t>ED204358</t>
        </is>
      </c>
      <c r="B4260" s="56" t="n">
        <v>45560.69583333333</v>
      </c>
      <c r="C4260" t="inlineStr">
        <is>
          <t>Bluestone Memorial Hospital</t>
        </is>
      </c>
      <c r="D4260" t="n">
        <v>3</v>
      </c>
    </row>
    <row r="4261">
      <c r="A4261" t="inlineStr">
        <is>
          <t>ED204359</t>
        </is>
      </c>
      <c r="B4261" s="56" t="n">
        <v>45560.70694444444</v>
      </c>
      <c r="C4261" t="inlineStr">
        <is>
          <t>Bluestone Memorial Hospital</t>
        </is>
      </c>
      <c r="D4261" t="n">
        <v>14</v>
      </c>
    </row>
    <row r="4262">
      <c r="A4262" t="inlineStr">
        <is>
          <t>ED204360</t>
        </is>
      </c>
      <c r="B4262" s="56" t="n">
        <v>45560.72361111111</v>
      </c>
      <c r="C4262" t="inlineStr">
        <is>
          <t>Bluestone Memorial Hospital</t>
        </is>
      </c>
      <c r="D4262" t="n">
        <v>30</v>
      </c>
    </row>
    <row r="4263">
      <c r="A4263" t="inlineStr">
        <is>
          <t>ED204361</t>
        </is>
      </c>
      <c r="B4263" s="56" t="n">
        <v>45560.77638888889</v>
      </c>
      <c r="C4263" t="inlineStr">
        <is>
          <t>Bluestone Memorial Hospital</t>
        </is>
      </c>
      <c r="D4263" t="n">
        <v>43</v>
      </c>
    </row>
    <row r="4264">
      <c r="A4264" t="inlineStr">
        <is>
          <t>ED204362</t>
        </is>
      </c>
      <c r="B4264" s="56" t="n">
        <v>45560.77847222222</v>
      </c>
      <c r="C4264" t="inlineStr">
        <is>
          <t>Ashby Falls Community Hospital</t>
        </is>
      </c>
      <c r="D4264" t="n">
        <v>78</v>
      </c>
    </row>
    <row r="4265">
      <c r="A4265" t="inlineStr">
        <is>
          <t>ED204363</t>
        </is>
      </c>
      <c r="B4265" s="56" t="n">
        <v>45560.86805555555</v>
      </c>
      <c r="C4265" t="inlineStr">
        <is>
          <t>Ashby Falls Community Hospital</t>
        </is>
      </c>
      <c r="D4265" t="n">
        <v>10</v>
      </c>
    </row>
    <row r="4266">
      <c r="A4266" t="inlineStr">
        <is>
          <t>ED204364</t>
        </is>
      </c>
      <c r="B4266" s="56" t="n">
        <v>45560.94930555556</v>
      </c>
      <c r="C4266" t="inlineStr">
        <is>
          <t>Bluestone Memorial Hospital</t>
        </is>
      </c>
      <c r="D4266" t="n">
        <v>22</v>
      </c>
    </row>
    <row r="4267">
      <c r="A4267" t="inlineStr">
        <is>
          <t>ED204365</t>
        </is>
      </c>
      <c r="B4267" s="56" t="n">
        <v>45561.12013888889</v>
      </c>
      <c r="C4267" t="inlineStr">
        <is>
          <t>Bluestone Memorial Hospital</t>
        </is>
      </c>
      <c r="D4267" t="n">
        <v>59</v>
      </c>
    </row>
    <row r="4268">
      <c r="A4268" t="inlineStr">
        <is>
          <t>ED204366</t>
        </is>
      </c>
      <c r="B4268" s="56" t="n">
        <v>45561.41111111111</v>
      </c>
      <c r="C4268" t="inlineStr">
        <is>
          <t>Bluestone Memorial Hospital</t>
        </is>
      </c>
      <c r="D4268" t="n">
        <v>16</v>
      </c>
    </row>
    <row r="4269">
      <c r="A4269" t="inlineStr">
        <is>
          <t>ED204367</t>
        </is>
      </c>
      <c r="B4269" s="56" t="n">
        <v>45561.41388888889</v>
      </c>
      <c r="C4269" t="inlineStr">
        <is>
          <t>Bluestone Memorial Hospital</t>
        </is>
      </c>
      <c r="D4269" t="n">
        <v>33</v>
      </c>
    </row>
    <row r="4270">
      <c r="A4270" t="inlineStr">
        <is>
          <t>ED204368</t>
        </is>
      </c>
      <c r="B4270" s="56" t="n">
        <v>45561.41458333333</v>
      </c>
      <c r="C4270" t="inlineStr">
        <is>
          <t>Bluestone Memorial Hospital</t>
        </is>
      </c>
      <c r="D4270" t="n">
        <v>80</v>
      </c>
    </row>
    <row r="4271">
      <c r="A4271" t="inlineStr">
        <is>
          <t>ED204369</t>
        </is>
      </c>
      <c r="B4271" s="56" t="n">
        <v>45561.46736111111</v>
      </c>
      <c r="C4271" t="inlineStr">
        <is>
          <t>Bluestone Memorial Hospital</t>
        </is>
      </c>
      <c r="D4271" t="n">
        <v>26</v>
      </c>
    </row>
    <row r="4272">
      <c r="A4272" t="inlineStr">
        <is>
          <t>ED204370</t>
        </is>
      </c>
      <c r="B4272" s="56" t="n">
        <v>45561.48680555556</v>
      </c>
      <c r="C4272" t="inlineStr">
        <is>
          <t>Bluestone Memorial Hospital</t>
        </is>
      </c>
      <c r="D4272" t="n">
        <v>35</v>
      </c>
    </row>
    <row r="4273">
      <c r="A4273" t="inlineStr">
        <is>
          <t>ED204371</t>
        </is>
      </c>
      <c r="B4273" s="56" t="n">
        <v>45561.51805555556</v>
      </c>
      <c r="C4273" t="inlineStr">
        <is>
          <t>Bluestone Memorial Hospital</t>
        </is>
      </c>
      <c r="D4273" t="n">
        <v>17</v>
      </c>
    </row>
    <row r="4274">
      <c r="A4274" t="inlineStr">
        <is>
          <t>ED204372</t>
        </is>
      </c>
      <c r="B4274" s="56" t="n">
        <v>45561.52777777778</v>
      </c>
      <c r="C4274" t="inlineStr">
        <is>
          <t>Bluestone Memorial Hospital</t>
        </is>
      </c>
      <c r="D4274" t="n">
        <v>139</v>
      </c>
    </row>
    <row r="4275">
      <c r="A4275" t="inlineStr">
        <is>
          <t>ED204373</t>
        </is>
      </c>
      <c r="B4275" s="56" t="n">
        <v>45561.55486111111</v>
      </c>
      <c r="C4275" t="inlineStr">
        <is>
          <t>Bluestone Memorial Hospital</t>
        </is>
      </c>
      <c r="D4275" t="n">
        <v>25</v>
      </c>
    </row>
    <row r="4276">
      <c r="A4276" t="inlineStr">
        <is>
          <t>ED204374</t>
        </is>
      </c>
      <c r="B4276" s="56" t="n">
        <v>45561.60486111111</v>
      </c>
      <c r="C4276" t="inlineStr">
        <is>
          <t>Bluestone Memorial Hospital</t>
        </is>
      </c>
      <c r="D4276" t="n">
        <v>17</v>
      </c>
    </row>
    <row r="4277">
      <c r="A4277" t="inlineStr">
        <is>
          <t>ED204375</t>
        </is>
      </c>
      <c r="B4277" s="56" t="n">
        <v>45561.6375</v>
      </c>
      <c r="C4277" t="inlineStr">
        <is>
          <t>Bluestone Memorial Hospital</t>
        </is>
      </c>
      <c r="D4277" t="n">
        <v>106</v>
      </c>
    </row>
    <row r="4278">
      <c r="A4278" t="inlineStr">
        <is>
          <t>ED204376</t>
        </is>
      </c>
      <c r="B4278" s="56" t="n">
        <v>45561.64722222222</v>
      </c>
      <c r="C4278" t="inlineStr">
        <is>
          <t>Bluestone Memorial Hospital</t>
        </is>
      </c>
      <c r="D4278" t="n">
        <v>50</v>
      </c>
    </row>
    <row r="4279">
      <c r="A4279" t="inlineStr">
        <is>
          <t>ED204377</t>
        </is>
      </c>
      <c r="B4279" s="56" t="n">
        <v>45561.70208333333</v>
      </c>
      <c r="C4279" t="inlineStr">
        <is>
          <t>Bluestone Memorial Hospital</t>
        </is>
      </c>
      <c r="D4279" t="n">
        <v>22</v>
      </c>
    </row>
    <row r="4280">
      <c r="A4280" t="inlineStr">
        <is>
          <t>ED204378</t>
        </is>
      </c>
      <c r="B4280" s="56" t="n">
        <v>45561.71805555555</v>
      </c>
      <c r="C4280" t="inlineStr">
        <is>
          <t>Bluestone Memorial Hospital</t>
        </is>
      </c>
      <c r="D4280" t="n">
        <v>16</v>
      </c>
    </row>
    <row r="4281">
      <c r="A4281" t="inlineStr">
        <is>
          <t>ED204379</t>
        </is>
      </c>
      <c r="B4281" s="56" t="n">
        <v>45561.76180555556</v>
      </c>
      <c r="C4281" t="inlineStr">
        <is>
          <t>Cedar Ridge Medical Center</t>
        </is>
      </c>
      <c r="D4281" t="n">
        <v>19</v>
      </c>
    </row>
    <row r="4282">
      <c r="A4282" t="inlineStr">
        <is>
          <t>ED204380</t>
        </is>
      </c>
      <c r="B4282" s="56" t="n">
        <v>45561.8125</v>
      </c>
      <c r="C4282" t="inlineStr">
        <is>
          <t>Bluestone Memorial Hospital</t>
        </is>
      </c>
      <c r="D4282" t="n">
        <v>18</v>
      </c>
    </row>
    <row r="4283">
      <c r="A4283" t="inlineStr">
        <is>
          <t>ED204381</t>
        </is>
      </c>
      <c r="B4283" s="56" t="n">
        <v>45562.08055555556</v>
      </c>
      <c r="C4283" t="inlineStr">
        <is>
          <t>Ashby Falls Community Hospital</t>
        </is>
      </c>
      <c r="D4283" t="n">
        <v>24</v>
      </c>
    </row>
    <row r="4284">
      <c r="A4284" t="inlineStr">
        <is>
          <t>ED204382</t>
        </is>
      </c>
      <c r="B4284" s="56" t="n">
        <v>45562.23125</v>
      </c>
      <c r="C4284" t="inlineStr">
        <is>
          <t>Ashby Falls Community Hospital</t>
        </is>
      </c>
      <c r="D4284" t="n">
        <v>14</v>
      </c>
    </row>
    <row r="4285">
      <c r="A4285" t="inlineStr">
        <is>
          <t>ED204383</t>
        </is>
      </c>
      <c r="B4285" s="56" t="n">
        <v>45562.37986111111</v>
      </c>
      <c r="C4285" t="inlineStr">
        <is>
          <t>Bluestone Memorial Hospital</t>
        </is>
      </c>
      <c r="D4285" t="n">
        <v>55</v>
      </c>
    </row>
    <row r="4286">
      <c r="A4286" t="inlineStr">
        <is>
          <t>ED204384</t>
        </is>
      </c>
      <c r="B4286" s="56" t="n">
        <v>45562.38402777778</v>
      </c>
      <c r="C4286" t="inlineStr">
        <is>
          <t>Bluestone Memorial Hospital</t>
        </is>
      </c>
      <c r="D4286" t="n">
        <v>56</v>
      </c>
    </row>
    <row r="4287">
      <c r="A4287" t="inlineStr">
        <is>
          <t>ED204386</t>
        </is>
      </c>
      <c r="B4287" s="56" t="n">
        <v>45562.49166666667</v>
      </c>
      <c r="C4287" t="inlineStr">
        <is>
          <t>Cedar Ridge Medical Center</t>
        </is>
      </c>
      <c r="D4287" t="n">
        <v>5</v>
      </c>
    </row>
    <row r="4288">
      <c r="A4288" t="inlineStr">
        <is>
          <t>ED204387</t>
        </is>
      </c>
      <c r="B4288" s="56" t="n">
        <v>45562.55138888889</v>
      </c>
      <c r="C4288" t="inlineStr">
        <is>
          <t>Bluestone Memorial Hospital</t>
        </is>
      </c>
      <c r="D4288" t="n">
        <v>46</v>
      </c>
    </row>
    <row r="4289">
      <c r="A4289" t="inlineStr">
        <is>
          <t>ED204388</t>
        </is>
      </c>
      <c r="B4289" s="56" t="n">
        <v>45562.60277777778</v>
      </c>
      <c r="C4289" t="inlineStr">
        <is>
          <t>Bluestone Memorial Hospital</t>
        </is>
      </c>
      <c r="D4289" t="n">
        <v>62</v>
      </c>
    </row>
    <row r="4290">
      <c r="A4290" t="inlineStr">
        <is>
          <t>ED204389</t>
        </is>
      </c>
      <c r="B4290" s="56" t="n">
        <v>45562.60555555556</v>
      </c>
      <c r="C4290" t="inlineStr">
        <is>
          <t>Bluestone Memorial Hospital</t>
        </is>
      </c>
      <c r="D4290" t="n">
        <v>44</v>
      </c>
    </row>
    <row r="4291">
      <c r="A4291" t="inlineStr">
        <is>
          <t>ED204390</t>
        </is>
      </c>
      <c r="B4291" s="56" t="n">
        <v>45562.60763888889</v>
      </c>
      <c r="C4291" t="inlineStr">
        <is>
          <t>Bluestone Memorial Hospital</t>
        </is>
      </c>
      <c r="D4291" t="n">
        <v>79</v>
      </c>
    </row>
    <row r="4292">
      <c r="A4292" t="inlineStr">
        <is>
          <t>ED204391</t>
        </is>
      </c>
      <c r="B4292" s="56" t="n">
        <v>45562.71875</v>
      </c>
      <c r="C4292" t="inlineStr">
        <is>
          <t>Bluestone Memorial Hospital</t>
        </is>
      </c>
      <c r="D4292" t="n">
        <v>119</v>
      </c>
    </row>
    <row r="4293">
      <c r="A4293" t="inlineStr">
        <is>
          <t>ED204392</t>
        </is>
      </c>
      <c r="B4293" s="56" t="n">
        <v>45562.72638888889</v>
      </c>
      <c r="C4293" t="inlineStr">
        <is>
          <t>Ashby Falls Community Hospital</t>
        </is>
      </c>
      <c r="D4293" t="n">
        <v>106</v>
      </c>
    </row>
    <row r="4294">
      <c r="A4294" t="inlineStr">
        <is>
          <t>ED204393</t>
        </is>
      </c>
      <c r="B4294" s="56" t="n">
        <v>45562.74930555555</v>
      </c>
      <c r="C4294" t="inlineStr">
        <is>
          <t>Bluestone Memorial Hospital</t>
        </is>
      </c>
      <c r="D4294" t="n">
        <v>91</v>
      </c>
    </row>
    <row r="4295">
      <c r="A4295" t="inlineStr">
        <is>
          <t>ED204394</t>
        </is>
      </c>
      <c r="B4295" s="56" t="n">
        <v>45562.76111111111</v>
      </c>
      <c r="C4295" t="inlineStr">
        <is>
          <t>Bluestone Memorial Hospital</t>
        </is>
      </c>
      <c r="D4295" t="n">
        <v>52</v>
      </c>
    </row>
    <row r="4296">
      <c r="A4296" t="inlineStr">
        <is>
          <t>ED204395</t>
        </is>
      </c>
      <c r="B4296" s="56" t="n">
        <v>45562.76388888889</v>
      </c>
      <c r="C4296" t="inlineStr">
        <is>
          <t>Cedar Ridge Medical Center</t>
        </is>
      </c>
      <c r="D4296" t="n">
        <v>65</v>
      </c>
    </row>
    <row r="4297">
      <c r="A4297" t="inlineStr">
        <is>
          <t>ED204396</t>
        </is>
      </c>
      <c r="B4297" s="56" t="n">
        <v>45562.79027777778</v>
      </c>
      <c r="C4297" t="inlineStr">
        <is>
          <t>Bluestone Memorial Hospital</t>
        </is>
      </c>
      <c r="D4297" t="n">
        <v>30</v>
      </c>
    </row>
    <row r="4298">
      <c r="A4298" t="inlineStr">
        <is>
          <t>ED204397</t>
        </is>
      </c>
      <c r="B4298" s="56" t="n">
        <v>45562.8375</v>
      </c>
      <c r="C4298" t="inlineStr">
        <is>
          <t>Ashby Falls Community Hospital</t>
        </is>
      </c>
      <c r="D4298" t="n">
        <v>36</v>
      </c>
    </row>
    <row r="4299">
      <c r="A4299" t="inlineStr">
        <is>
          <t>ED204398</t>
        </is>
      </c>
      <c r="B4299" s="56" t="n">
        <v>45563.02569444444</v>
      </c>
      <c r="C4299" t="inlineStr">
        <is>
          <t>Ashby Falls Community Hospital</t>
        </is>
      </c>
      <c r="D4299" t="n">
        <v>24</v>
      </c>
    </row>
    <row r="4300">
      <c r="A4300" t="inlineStr">
        <is>
          <t>ED204399</t>
        </is>
      </c>
      <c r="B4300" s="56" t="n">
        <v>45563.08472222222</v>
      </c>
      <c r="C4300" t="inlineStr">
        <is>
          <t>Bluestone Memorial Hospital</t>
        </is>
      </c>
      <c r="D4300" t="n">
        <v>19</v>
      </c>
    </row>
    <row r="4301">
      <c r="A4301" t="inlineStr">
        <is>
          <t>ED204400</t>
        </is>
      </c>
      <c r="B4301" s="56" t="n">
        <v>45563.41736111111</v>
      </c>
      <c r="C4301" t="inlineStr">
        <is>
          <t>Bluestone Memorial Hospital</t>
        </is>
      </c>
      <c r="D4301" t="n">
        <v>37</v>
      </c>
    </row>
    <row r="4302">
      <c r="A4302" t="inlineStr">
        <is>
          <t>ED204401</t>
        </is>
      </c>
      <c r="B4302" s="56" t="n">
        <v>45563.4625</v>
      </c>
      <c r="C4302" t="inlineStr">
        <is>
          <t>Bluestone Memorial Hospital</t>
        </is>
      </c>
      <c r="D4302" t="n">
        <v>35</v>
      </c>
    </row>
    <row r="4303">
      <c r="A4303" t="inlineStr">
        <is>
          <t>ED204402</t>
        </is>
      </c>
      <c r="B4303" s="56" t="n">
        <v>45563.63472222222</v>
      </c>
      <c r="C4303" t="inlineStr">
        <is>
          <t>Ashby Falls Community Hospital</t>
        </is>
      </c>
      <c r="D4303" t="n">
        <v>102</v>
      </c>
    </row>
    <row r="4304">
      <c r="A4304" t="inlineStr">
        <is>
          <t>ED204403</t>
        </is>
      </c>
      <c r="B4304" s="56" t="n">
        <v>45563.67152777778</v>
      </c>
      <c r="C4304" t="inlineStr">
        <is>
          <t>Bluestone Memorial Hospital</t>
        </is>
      </c>
      <c r="D4304" t="n">
        <v>61</v>
      </c>
    </row>
    <row r="4305">
      <c r="A4305" t="inlineStr">
        <is>
          <t>ED204404</t>
        </is>
      </c>
      <c r="B4305" s="56" t="n">
        <v>45563.73819444444</v>
      </c>
      <c r="C4305" t="inlineStr">
        <is>
          <t>Bluestone Memorial Hospital</t>
        </is>
      </c>
      <c r="D4305" t="n">
        <v>96</v>
      </c>
    </row>
    <row r="4306">
      <c r="A4306" t="inlineStr">
        <is>
          <t>ED204405</t>
        </is>
      </c>
      <c r="B4306" s="56" t="n">
        <v>45563.8</v>
      </c>
      <c r="C4306" t="inlineStr">
        <is>
          <t>Bluestone Memorial Hospital</t>
        </is>
      </c>
      <c r="D4306" t="n">
        <v>23</v>
      </c>
    </row>
    <row r="4307">
      <c r="A4307" t="inlineStr">
        <is>
          <t>ED204406</t>
        </is>
      </c>
      <c r="B4307" s="56" t="n">
        <v>45564.39791666667</v>
      </c>
      <c r="C4307" t="inlineStr">
        <is>
          <t>Ashby Falls Community Hospital</t>
        </is>
      </c>
      <c r="D4307" t="n">
        <v>7</v>
      </c>
    </row>
    <row r="4308">
      <c r="A4308" t="inlineStr">
        <is>
          <t>ED204407</t>
        </is>
      </c>
      <c r="B4308" s="56" t="n">
        <v>45564.46458333333</v>
      </c>
      <c r="C4308" t="inlineStr">
        <is>
          <t>Cedar Ridge Medical Center</t>
        </is>
      </c>
      <c r="D4308" t="n">
        <v>20</v>
      </c>
    </row>
    <row r="4309">
      <c r="A4309" t="inlineStr">
        <is>
          <t>ED204408</t>
        </is>
      </c>
      <c r="B4309" s="56" t="n">
        <v>45564.54652777778</v>
      </c>
      <c r="C4309" t="inlineStr">
        <is>
          <t>Bluestone Memorial Hospital</t>
        </is>
      </c>
      <c r="D4309" t="n">
        <v>72</v>
      </c>
    </row>
    <row r="4310">
      <c r="A4310" t="inlineStr">
        <is>
          <t>ED204409</t>
        </is>
      </c>
      <c r="B4310" s="56" t="n">
        <v>45564.70416666667</v>
      </c>
      <c r="C4310" t="inlineStr">
        <is>
          <t>Bluestone Memorial Hospital</t>
        </is>
      </c>
      <c r="D4310" t="n">
        <v>59</v>
      </c>
    </row>
    <row r="4311">
      <c r="A4311" t="inlineStr">
        <is>
          <t>ED204410</t>
        </is>
      </c>
      <c r="B4311" s="56" t="n">
        <v>45564.71111111111</v>
      </c>
      <c r="C4311" t="inlineStr">
        <is>
          <t>Ashby Falls Community Hospital</t>
        </is>
      </c>
      <c r="D4311" t="n">
        <v>65</v>
      </c>
    </row>
    <row r="4312">
      <c r="A4312" t="inlineStr">
        <is>
          <t>ED204411</t>
        </is>
      </c>
      <c r="B4312" s="56" t="n">
        <v>45564.71805555555</v>
      </c>
      <c r="C4312" t="inlineStr">
        <is>
          <t>Bluestone Memorial Hospital</t>
        </is>
      </c>
      <c r="D4312" t="n">
        <v>1</v>
      </c>
    </row>
    <row r="4313">
      <c r="A4313" t="inlineStr">
        <is>
          <t>ED204412</t>
        </is>
      </c>
      <c r="B4313" s="56" t="n">
        <v>45564.76458333333</v>
      </c>
      <c r="C4313" t="inlineStr">
        <is>
          <t>Bluestone Memorial Hospital</t>
        </is>
      </c>
      <c r="D4313" t="n">
        <v>308</v>
      </c>
    </row>
    <row r="4314">
      <c r="A4314" t="inlineStr">
        <is>
          <t>ED204413</t>
        </is>
      </c>
      <c r="B4314" s="56" t="n">
        <v>45564.79722222222</v>
      </c>
      <c r="C4314" t="inlineStr">
        <is>
          <t>Bluestone Memorial Hospital</t>
        </is>
      </c>
      <c r="D4314" t="n">
        <v>29</v>
      </c>
    </row>
    <row r="4315">
      <c r="A4315" t="inlineStr">
        <is>
          <t>ED204414</t>
        </is>
      </c>
      <c r="B4315" s="56" t="n">
        <v>45565.03055555555</v>
      </c>
      <c r="C4315" t="inlineStr">
        <is>
          <t>Cedar Ridge Medical Center</t>
        </is>
      </c>
      <c r="D4315" t="n">
        <v>26</v>
      </c>
    </row>
    <row r="4316">
      <c r="A4316" t="inlineStr">
        <is>
          <t>ED204415</t>
        </is>
      </c>
      <c r="B4316" s="56" t="n">
        <v>45565.06944444445</v>
      </c>
      <c r="C4316" t="inlineStr">
        <is>
          <t>Bluestone Memorial Hospital</t>
        </is>
      </c>
      <c r="D4316" t="n">
        <v>39</v>
      </c>
    </row>
    <row r="4317">
      <c r="A4317" t="inlineStr">
        <is>
          <t>ED204416</t>
        </is>
      </c>
      <c r="B4317" s="56" t="n">
        <v>45565.28819444445</v>
      </c>
      <c r="C4317" t="inlineStr">
        <is>
          <t>Bluestone Memorial Hospital</t>
        </is>
      </c>
      <c r="D4317" t="n">
        <v>11</v>
      </c>
    </row>
    <row r="4318">
      <c r="A4318" t="inlineStr">
        <is>
          <t>ED204417</t>
        </is>
      </c>
      <c r="B4318" s="56" t="n">
        <v>45565.35763888889</v>
      </c>
      <c r="C4318" t="inlineStr">
        <is>
          <t>Bluestone Memorial Hospital</t>
        </is>
      </c>
      <c r="D4318" t="n">
        <v>23</v>
      </c>
    </row>
    <row r="4319">
      <c r="A4319" t="inlineStr">
        <is>
          <t>ED204418</t>
        </is>
      </c>
      <c r="B4319" s="56" t="n">
        <v>45565.42361111111</v>
      </c>
      <c r="C4319" t="inlineStr">
        <is>
          <t>Bluestone Memorial Hospital</t>
        </is>
      </c>
      <c r="D4319" t="n">
        <v>10</v>
      </c>
    </row>
    <row r="4320">
      <c r="A4320" t="inlineStr">
        <is>
          <t>ED204419</t>
        </is>
      </c>
      <c r="B4320" s="56" t="n">
        <v>45565.43333333333</v>
      </c>
      <c r="C4320" t="inlineStr">
        <is>
          <t>Cedar Ridge Medical Center</t>
        </is>
      </c>
      <c r="D4320" t="n">
        <v>39</v>
      </c>
    </row>
    <row r="4321">
      <c r="A4321" t="inlineStr">
        <is>
          <t>ED204420</t>
        </is>
      </c>
      <c r="B4321" s="56" t="n">
        <v>45565.45902777778</v>
      </c>
      <c r="C4321" t="inlineStr">
        <is>
          <t>Bluestone Memorial Hospital</t>
        </is>
      </c>
      <c r="D4321" t="n">
        <v>7</v>
      </c>
    </row>
    <row r="4322">
      <c r="A4322" t="inlineStr">
        <is>
          <t>ED204421</t>
        </is>
      </c>
      <c r="B4322" s="56" t="n">
        <v>45565.48958333334</v>
      </c>
      <c r="C4322" t="inlineStr">
        <is>
          <t>Bluestone Memorial Hospital</t>
        </is>
      </c>
      <c r="D4322" t="n">
        <v>63</v>
      </c>
    </row>
    <row r="4323">
      <c r="A4323" t="inlineStr">
        <is>
          <t>ED204422</t>
        </is>
      </c>
      <c r="B4323" s="56" t="n">
        <v>45565.55138888889</v>
      </c>
      <c r="C4323" t="inlineStr">
        <is>
          <t>Cedar Ridge Medical Center</t>
        </is>
      </c>
      <c r="D4323" t="n">
        <v>42</v>
      </c>
    </row>
    <row r="4324">
      <c r="A4324" t="inlineStr">
        <is>
          <t>ED204423</t>
        </is>
      </c>
      <c r="B4324" s="56" t="n">
        <v>45565.56458333333</v>
      </c>
      <c r="C4324" t="inlineStr">
        <is>
          <t>Bluestone Memorial Hospital</t>
        </is>
      </c>
      <c r="D4324" t="n">
        <v>69</v>
      </c>
    </row>
    <row r="4325">
      <c r="A4325" t="inlineStr">
        <is>
          <t>ED204424</t>
        </is>
      </c>
      <c r="B4325" s="56" t="n">
        <v>45565.66319444445</v>
      </c>
      <c r="C4325" t="inlineStr">
        <is>
          <t>Bluestone Memorial Hospital</t>
        </is>
      </c>
      <c r="D4325" t="n">
        <v>33</v>
      </c>
    </row>
    <row r="4326">
      <c r="A4326" t="inlineStr">
        <is>
          <t>ED204425</t>
        </is>
      </c>
      <c r="B4326" s="56" t="n">
        <v>45565.72083333333</v>
      </c>
      <c r="C4326" t="inlineStr">
        <is>
          <t>Bluestone Memorial Hospital</t>
        </is>
      </c>
      <c r="D4326" t="n">
        <v>38</v>
      </c>
    </row>
    <row r="4327">
      <c r="A4327" t="inlineStr">
        <is>
          <t>ED204426</t>
        </is>
      </c>
      <c r="B4327" s="56" t="n">
        <v>45565.87152777778</v>
      </c>
      <c r="C4327" t="inlineStr">
        <is>
          <t>Bluestone Memorial Hospital</t>
        </is>
      </c>
      <c r="D4327" t="n">
        <v>18</v>
      </c>
    </row>
    <row r="4328">
      <c r="A4328" t="inlineStr">
        <is>
          <t>ED204427</t>
        </is>
      </c>
      <c r="B4328" s="56" t="n">
        <v>45566.01111111111</v>
      </c>
      <c r="C4328" t="inlineStr">
        <is>
          <t>Bluestone Memorial Hospital</t>
        </is>
      </c>
      <c r="D4328" t="n">
        <v>30</v>
      </c>
    </row>
    <row r="4329">
      <c r="A4329" t="inlineStr">
        <is>
          <t>ED204428</t>
        </is>
      </c>
      <c r="B4329" s="56" t="n">
        <v>45566.21388888889</v>
      </c>
      <c r="C4329" t="inlineStr">
        <is>
          <t>Cedar Ridge Medical Center</t>
        </is>
      </c>
      <c r="D4329" t="n">
        <v>18</v>
      </c>
    </row>
    <row r="4330">
      <c r="A4330" t="inlineStr">
        <is>
          <t>ED204429</t>
        </is>
      </c>
      <c r="B4330" s="56" t="n">
        <v>45566.36944444444</v>
      </c>
      <c r="C4330" t="inlineStr">
        <is>
          <t>Cedar Ridge Medical Center</t>
        </is>
      </c>
      <c r="D4330" t="n">
        <v>46</v>
      </c>
    </row>
    <row r="4331">
      <c r="A4331" t="inlineStr">
        <is>
          <t>ED204430</t>
        </is>
      </c>
      <c r="B4331" s="56" t="n">
        <v>45566.42638888889</v>
      </c>
      <c r="C4331" t="inlineStr">
        <is>
          <t>Cedar Ridge Medical Center</t>
        </is>
      </c>
      <c r="D4331" t="n">
        <v>51</v>
      </c>
    </row>
    <row r="4332">
      <c r="A4332" t="inlineStr">
        <is>
          <t>ED204431</t>
        </is>
      </c>
      <c r="B4332" s="56" t="n">
        <v>45566.48055555556</v>
      </c>
      <c r="C4332" t="inlineStr">
        <is>
          <t>Bluestone Memorial Hospital</t>
        </is>
      </c>
      <c r="D4332" t="n">
        <v>12</v>
      </c>
    </row>
    <row r="4333">
      <c r="A4333" t="inlineStr">
        <is>
          <t>ED204432</t>
        </is>
      </c>
      <c r="B4333" s="56" t="n">
        <v>45566.50486111111</v>
      </c>
      <c r="C4333" t="inlineStr">
        <is>
          <t>Bluestone Memorial Hospital</t>
        </is>
      </c>
      <c r="D4333" t="n">
        <v>71</v>
      </c>
    </row>
    <row r="4334">
      <c r="A4334" t="inlineStr">
        <is>
          <t>ED204433</t>
        </is>
      </c>
      <c r="B4334" s="56" t="n">
        <v>45566.59375</v>
      </c>
      <c r="C4334" t="inlineStr">
        <is>
          <t>Bluestone Memorial Hospital</t>
        </is>
      </c>
      <c r="D4334" t="n">
        <v>113</v>
      </c>
    </row>
    <row r="4335">
      <c r="A4335" t="inlineStr">
        <is>
          <t>ED204434</t>
        </is>
      </c>
      <c r="B4335" s="56" t="n">
        <v>45566.59513888889</v>
      </c>
      <c r="C4335" t="inlineStr">
        <is>
          <t>Ashby Falls Community Hospital</t>
        </is>
      </c>
      <c r="D4335" t="n">
        <v>40</v>
      </c>
    </row>
    <row r="4336">
      <c r="A4336" t="inlineStr">
        <is>
          <t>ED204435</t>
        </is>
      </c>
      <c r="B4336" s="56" t="n">
        <v>45566.61875</v>
      </c>
      <c r="C4336" t="inlineStr">
        <is>
          <t>Bluestone Memorial Hospital</t>
        </is>
      </c>
      <c r="D4336" t="n">
        <v>55</v>
      </c>
    </row>
    <row r="4337">
      <c r="A4337" t="inlineStr">
        <is>
          <t>ED204436</t>
        </is>
      </c>
      <c r="B4337" s="56" t="n">
        <v>45566.62986111111</v>
      </c>
      <c r="C4337" t="inlineStr">
        <is>
          <t>Bluestone Memorial Hospital</t>
        </is>
      </c>
      <c r="D4337" t="n">
        <v>46</v>
      </c>
    </row>
    <row r="4338">
      <c r="A4338" t="inlineStr">
        <is>
          <t>ED204437</t>
        </is>
      </c>
      <c r="B4338" s="56" t="n">
        <v>45566.65069444444</v>
      </c>
      <c r="C4338" t="inlineStr">
        <is>
          <t>Bluestone Memorial Hospital</t>
        </is>
      </c>
      <c r="D4338" t="n">
        <v>20</v>
      </c>
    </row>
    <row r="4339">
      <c r="A4339" t="inlineStr">
        <is>
          <t>ED204438</t>
        </is>
      </c>
      <c r="B4339" s="56" t="n">
        <v>45566.66944444444</v>
      </c>
      <c r="C4339" t="inlineStr">
        <is>
          <t>Bluestone Memorial Hospital</t>
        </is>
      </c>
      <c r="D4339" t="n">
        <v>76</v>
      </c>
    </row>
    <row r="4340">
      <c r="A4340" t="inlineStr">
        <is>
          <t>ED204439</t>
        </is>
      </c>
      <c r="B4340" s="56" t="n">
        <v>45566.68402777778</v>
      </c>
      <c r="C4340" t="inlineStr">
        <is>
          <t>Bluestone Memorial Hospital</t>
        </is>
      </c>
      <c r="D4340" t="n">
        <v>19</v>
      </c>
    </row>
    <row r="4341">
      <c r="A4341" t="inlineStr">
        <is>
          <t>ED204440</t>
        </is>
      </c>
      <c r="B4341" s="56" t="n">
        <v>45566.69375</v>
      </c>
      <c r="C4341" t="inlineStr">
        <is>
          <t>Ashby Falls Community Hospital</t>
        </is>
      </c>
      <c r="D4341" t="n">
        <v>128</v>
      </c>
    </row>
    <row r="4342">
      <c r="A4342" t="inlineStr">
        <is>
          <t>ED204441</t>
        </is>
      </c>
      <c r="B4342" s="56" t="n">
        <v>45566.72222222222</v>
      </c>
      <c r="C4342" t="inlineStr">
        <is>
          <t>Bluestone Memorial Hospital</t>
        </is>
      </c>
      <c r="D4342" t="n">
        <v>68</v>
      </c>
    </row>
    <row r="4343">
      <c r="A4343" t="inlineStr">
        <is>
          <t>ED204442</t>
        </is>
      </c>
      <c r="B4343" s="56" t="n">
        <v>45566.72291666667</v>
      </c>
      <c r="C4343" t="inlineStr">
        <is>
          <t>Bluestone Memorial Hospital</t>
        </is>
      </c>
      <c r="D4343" t="n">
        <v>19</v>
      </c>
    </row>
    <row r="4344">
      <c r="A4344" t="inlineStr">
        <is>
          <t>ED204443</t>
        </is>
      </c>
      <c r="B4344" s="56" t="n">
        <v>45566.75972222222</v>
      </c>
      <c r="C4344" t="inlineStr">
        <is>
          <t>Bluestone Memorial Hospital</t>
        </is>
      </c>
      <c r="D4344" t="n">
        <v>40</v>
      </c>
    </row>
    <row r="4345">
      <c r="A4345" t="inlineStr">
        <is>
          <t>ED204444</t>
        </is>
      </c>
      <c r="B4345" s="56" t="n">
        <v>45566.77986111111</v>
      </c>
      <c r="C4345" t="inlineStr">
        <is>
          <t>Bluestone Memorial Hospital</t>
        </is>
      </c>
      <c r="D4345" t="n">
        <v>38</v>
      </c>
    </row>
    <row r="4346">
      <c r="A4346" t="inlineStr">
        <is>
          <t>ED204445</t>
        </is>
      </c>
      <c r="B4346" s="56" t="n">
        <v>45566.78888888889</v>
      </c>
      <c r="C4346" t="inlineStr">
        <is>
          <t>Cedar Ridge Medical Center</t>
        </is>
      </c>
      <c r="D4346" t="n">
        <v>65</v>
      </c>
    </row>
    <row r="4347">
      <c r="A4347" t="inlineStr">
        <is>
          <t>ED204446</t>
        </is>
      </c>
      <c r="B4347" s="56" t="n">
        <v>45566.78958333333</v>
      </c>
      <c r="C4347" t="inlineStr">
        <is>
          <t>Bluestone Memorial Hospital</t>
        </is>
      </c>
      <c r="D4347" t="n">
        <v>12</v>
      </c>
    </row>
    <row r="4348">
      <c r="A4348" t="inlineStr">
        <is>
          <t>ED204447</t>
        </is>
      </c>
      <c r="B4348" s="56" t="n">
        <v>45566.79236111111</v>
      </c>
      <c r="C4348" t="inlineStr">
        <is>
          <t>Bluestone Memorial Hospital</t>
        </is>
      </c>
      <c r="D4348" t="n">
        <v>42</v>
      </c>
    </row>
    <row r="4349">
      <c r="A4349" t="inlineStr">
        <is>
          <t>ED204448</t>
        </is>
      </c>
      <c r="B4349" s="56" t="n">
        <v>45566.81597222222</v>
      </c>
      <c r="C4349" t="inlineStr">
        <is>
          <t>Bluestone Memorial Hospital</t>
        </is>
      </c>
      <c r="D4349" t="n">
        <v>86</v>
      </c>
    </row>
    <row r="4350">
      <c r="A4350" t="inlineStr">
        <is>
          <t>ED204449</t>
        </is>
      </c>
      <c r="B4350" s="56" t="n">
        <v>45566.87569444445</v>
      </c>
      <c r="C4350" t="inlineStr">
        <is>
          <t>Ashby Falls Community Hospital</t>
        </is>
      </c>
      <c r="D4350" t="n">
        <v>45</v>
      </c>
    </row>
    <row r="4351">
      <c r="A4351" t="inlineStr">
        <is>
          <t>ED204450</t>
        </is>
      </c>
      <c r="B4351" s="56" t="n">
        <v>45566.93958333333</v>
      </c>
      <c r="C4351" t="inlineStr">
        <is>
          <t>Bluestone Memorial Hospital</t>
        </is>
      </c>
      <c r="D4351" t="n">
        <v>51</v>
      </c>
    </row>
    <row r="4352">
      <c r="A4352" t="inlineStr">
        <is>
          <t>ED204451</t>
        </is>
      </c>
      <c r="B4352" s="56" t="n">
        <v>45567.18819444445</v>
      </c>
      <c r="C4352" t="inlineStr">
        <is>
          <t>Bluestone Memorial Hospital</t>
        </is>
      </c>
      <c r="D4352" t="n">
        <v>12</v>
      </c>
    </row>
    <row r="4353">
      <c r="A4353" t="inlineStr">
        <is>
          <t>ED204452</t>
        </is>
      </c>
      <c r="B4353" s="56" t="n">
        <v>45567.34791666667</v>
      </c>
      <c r="C4353" t="inlineStr">
        <is>
          <t>Bluestone Memorial Hospital</t>
        </is>
      </c>
      <c r="D4353" t="n">
        <v>126</v>
      </c>
    </row>
    <row r="4354">
      <c r="A4354" t="inlineStr">
        <is>
          <t>ED204453</t>
        </is>
      </c>
      <c r="B4354" s="56" t="n">
        <v>45567.39027777778</v>
      </c>
      <c r="C4354" t="inlineStr">
        <is>
          <t>Bluestone Memorial Hospital</t>
        </is>
      </c>
      <c r="D4354" t="n">
        <v>119</v>
      </c>
    </row>
    <row r="4355">
      <c r="A4355" t="inlineStr">
        <is>
          <t>ED204454</t>
        </is>
      </c>
      <c r="B4355" s="56" t="n">
        <v>45567.41388888889</v>
      </c>
      <c r="C4355" t="inlineStr">
        <is>
          <t>Bluestone Memorial Hospital</t>
        </is>
      </c>
      <c r="D4355" t="n">
        <v>30</v>
      </c>
    </row>
    <row r="4356">
      <c r="A4356" t="inlineStr">
        <is>
          <t>ED204455</t>
        </is>
      </c>
      <c r="B4356" s="56" t="n">
        <v>45567.53888888889</v>
      </c>
      <c r="C4356" t="inlineStr">
        <is>
          <t>Cedar Ridge Medical Center</t>
        </is>
      </c>
      <c r="D4356" t="n">
        <v>8</v>
      </c>
    </row>
    <row r="4357">
      <c r="A4357" t="inlineStr">
        <is>
          <t>ED204456</t>
        </is>
      </c>
      <c r="B4357" s="56" t="n">
        <v>45567.54861111111</v>
      </c>
      <c r="C4357" t="inlineStr">
        <is>
          <t>Bluestone Memorial Hospital</t>
        </is>
      </c>
      <c r="D4357" t="n">
        <v>45</v>
      </c>
    </row>
    <row r="4358">
      <c r="A4358" t="inlineStr">
        <is>
          <t>ED204457</t>
        </is>
      </c>
      <c r="B4358" s="56" t="n">
        <v>45567.66944444444</v>
      </c>
      <c r="C4358" t="inlineStr">
        <is>
          <t>Bluestone Memorial Hospital</t>
        </is>
      </c>
      <c r="D4358" t="n">
        <v>28</v>
      </c>
    </row>
    <row r="4359">
      <c r="A4359" t="inlineStr">
        <is>
          <t>ED204458</t>
        </is>
      </c>
      <c r="B4359" s="56" t="n">
        <v>45567.69166666667</v>
      </c>
      <c r="C4359" t="inlineStr">
        <is>
          <t>Ashby Falls Community Hospital</t>
        </is>
      </c>
      <c r="D4359" t="n">
        <v>25</v>
      </c>
    </row>
    <row r="4360">
      <c r="A4360" t="inlineStr">
        <is>
          <t>ED204459</t>
        </is>
      </c>
      <c r="B4360" s="56" t="n">
        <v>45567.71944444445</v>
      </c>
      <c r="C4360" t="inlineStr">
        <is>
          <t>Bluestone Memorial Hospital</t>
        </is>
      </c>
      <c r="D4360" t="n">
        <v>90</v>
      </c>
    </row>
    <row r="4361">
      <c r="A4361" t="inlineStr">
        <is>
          <t>ED204460</t>
        </is>
      </c>
      <c r="B4361" s="56" t="n">
        <v>45567.84027777778</v>
      </c>
      <c r="C4361" t="inlineStr">
        <is>
          <t>Bluestone Memorial Hospital</t>
        </is>
      </c>
      <c r="D4361" t="n">
        <v>3</v>
      </c>
    </row>
    <row r="4362">
      <c r="A4362" t="inlineStr">
        <is>
          <t>ED204461</t>
        </is>
      </c>
      <c r="B4362" s="56" t="n">
        <v>45567.89513888889</v>
      </c>
      <c r="C4362" t="inlineStr">
        <is>
          <t>Cedar Ridge Medical Center</t>
        </is>
      </c>
      <c r="D4362" t="n">
        <v>92</v>
      </c>
    </row>
    <row r="4363">
      <c r="A4363" t="inlineStr">
        <is>
          <t>ED204462</t>
        </is>
      </c>
      <c r="B4363" s="56" t="n">
        <v>45567.96180555555</v>
      </c>
      <c r="C4363" t="inlineStr">
        <is>
          <t>Bluestone Memorial Hospital</t>
        </is>
      </c>
      <c r="D4363" t="n">
        <v>33</v>
      </c>
    </row>
    <row r="4364">
      <c r="A4364" t="inlineStr">
        <is>
          <t>ED204463</t>
        </is>
      </c>
      <c r="B4364" s="56" t="n">
        <v>45568.35208333333</v>
      </c>
      <c r="C4364" t="inlineStr">
        <is>
          <t>Bluestone Memorial Hospital</t>
        </is>
      </c>
      <c r="D4364" t="n">
        <v>14</v>
      </c>
    </row>
    <row r="4365">
      <c r="A4365" t="inlineStr">
        <is>
          <t>ED204464</t>
        </is>
      </c>
      <c r="B4365" s="56" t="n">
        <v>45568.41944444444</v>
      </c>
      <c r="C4365" t="inlineStr">
        <is>
          <t>Bluestone Memorial Hospital</t>
        </is>
      </c>
      <c r="D4365" t="n">
        <v>71</v>
      </c>
    </row>
    <row r="4366">
      <c r="A4366" t="inlineStr">
        <is>
          <t>ED204465</t>
        </is>
      </c>
      <c r="B4366" s="56" t="n">
        <v>45568.49305555555</v>
      </c>
      <c r="C4366" t="inlineStr">
        <is>
          <t>Bluestone Memorial Hospital</t>
        </is>
      </c>
      <c r="D4366" t="n">
        <v>75</v>
      </c>
    </row>
    <row r="4367">
      <c r="A4367" t="inlineStr">
        <is>
          <t>ED204466</t>
        </is>
      </c>
      <c r="B4367" s="56" t="n">
        <v>45568.62222222222</v>
      </c>
      <c r="C4367" t="inlineStr">
        <is>
          <t>Bluestone Memorial Hospital</t>
        </is>
      </c>
      <c r="D4367" t="n">
        <v>53</v>
      </c>
    </row>
    <row r="4368">
      <c r="A4368" t="inlineStr">
        <is>
          <t>ED204467</t>
        </is>
      </c>
      <c r="B4368" s="56" t="n">
        <v>45568.65208333333</v>
      </c>
      <c r="C4368" t="inlineStr">
        <is>
          <t>Ashby Falls Community Hospital</t>
        </is>
      </c>
      <c r="D4368" t="n">
        <v>42</v>
      </c>
    </row>
    <row r="4369">
      <c r="A4369" t="inlineStr">
        <is>
          <t>ED204468</t>
        </is>
      </c>
      <c r="B4369" s="56" t="n">
        <v>45568.66666666666</v>
      </c>
      <c r="C4369" t="inlineStr">
        <is>
          <t>Cedar Ridge Medical Center</t>
        </is>
      </c>
      <c r="D4369" t="n">
        <v>51</v>
      </c>
    </row>
    <row r="4370">
      <c r="A4370" t="inlineStr">
        <is>
          <t>ED204469</t>
        </is>
      </c>
      <c r="B4370" s="56" t="n">
        <v>45568.69166666667</v>
      </c>
      <c r="C4370" t="inlineStr">
        <is>
          <t>Bluestone Memorial Hospital</t>
        </is>
      </c>
      <c r="D4370" t="n">
        <v>85</v>
      </c>
    </row>
    <row r="4371">
      <c r="A4371" t="inlineStr">
        <is>
          <t>ED204471</t>
        </is>
      </c>
      <c r="B4371" s="56" t="n">
        <v>45568.73611111111</v>
      </c>
      <c r="C4371" t="inlineStr">
        <is>
          <t>Bluestone Memorial Hospital</t>
        </is>
      </c>
      <c r="D4371" t="n">
        <v>5</v>
      </c>
    </row>
    <row r="4372">
      <c r="A4372" t="inlineStr">
        <is>
          <t>ED204472</t>
        </is>
      </c>
      <c r="B4372" s="56" t="n">
        <v>45568.76180555556</v>
      </c>
      <c r="C4372" t="inlineStr">
        <is>
          <t>Bluestone Memorial Hospital</t>
        </is>
      </c>
      <c r="D4372" t="n">
        <v>47</v>
      </c>
    </row>
    <row r="4373">
      <c r="A4373" t="inlineStr">
        <is>
          <t>ED204473</t>
        </is>
      </c>
      <c r="B4373" s="56" t="n">
        <v>45568.81805555556</v>
      </c>
      <c r="C4373" t="inlineStr">
        <is>
          <t>Bluestone Memorial Hospital</t>
        </is>
      </c>
      <c r="D4373" t="n">
        <v>3</v>
      </c>
    </row>
    <row r="4374">
      <c r="A4374" t="inlineStr">
        <is>
          <t>ED204474</t>
        </is>
      </c>
      <c r="B4374" s="56" t="n">
        <v>45568.81944444445</v>
      </c>
      <c r="C4374" t="inlineStr">
        <is>
          <t>Bluestone Memorial Hospital</t>
        </is>
      </c>
      <c r="D4374" t="n">
        <v>82</v>
      </c>
    </row>
    <row r="4375">
      <c r="A4375" t="inlineStr">
        <is>
          <t>ED204475</t>
        </is>
      </c>
      <c r="B4375" s="56" t="n">
        <v>45568.8625</v>
      </c>
      <c r="C4375" t="inlineStr">
        <is>
          <t>Bluestone Memorial Hospital</t>
        </is>
      </c>
      <c r="D4375" t="n">
        <v>52</v>
      </c>
    </row>
    <row r="4376">
      <c r="A4376" t="inlineStr">
        <is>
          <t>ED204476</t>
        </is>
      </c>
      <c r="B4376" s="56" t="n">
        <v>45568.95555555556</v>
      </c>
      <c r="C4376" t="inlineStr">
        <is>
          <t>Bluestone Memorial Hospital</t>
        </is>
      </c>
      <c r="D4376" t="n">
        <v>35</v>
      </c>
    </row>
    <row r="4377">
      <c r="A4377" t="inlineStr">
        <is>
          <t>ED204477</t>
        </is>
      </c>
      <c r="B4377" s="56" t="n">
        <v>45568.97569444445</v>
      </c>
      <c r="C4377" t="inlineStr">
        <is>
          <t>Bluestone Memorial Hospital</t>
        </is>
      </c>
      <c r="D4377" t="n">
        <v>9</v>
      </c>
    </row>
    <row r="4378">
      <c r="A4378" t="inlineStr">
        <is>
          <t>ED204478</t>
        </is>
      </c>
      <c r="B4378" s="56" t="n">
        <v>45569.03055555555</v>
      </c>
      <c r="C4378" t="inlineStr">
        <is>
          <t>Bluestone Memorial Hospital</t>
        </is>
      </c>
      <c r="D4378" t="n">
        <v>30</v>
      </c>
    </row>
    <row r="4379">
      <c r="A4379" t="inlineStr">
        <is>
          <t>ED204479</t>
        </is>
      </c>
      <c r="B4379" s="56" t="n">
        <v>45569.03125</v>
      </c>
      <c r="C4379" t="inlineStr">
        <is>
          <t>Cedar Ridge Medical Center</t>
        </is>
      </c>
      <c r="D4379" t="n">
        <v>23</v>
      </c>
    </row>
    <row r="4380">
      <c r="A4380" t="inlineStr">
        <is>
          <t>ED204480</t>
        </is>
      </c>
      <c r="B4380" s="56" t="n">
        <v>45569.21736111111</v>
      </c>
      <c r="C4380" t="inlineStr">
        <is>
          <t>Bluestone Memorial Hospital</t>
        </is>
      </c>
      <c r="D4380" t="n">
        <v>31</v>
      </c>
    </row>
    <row r="4381">
      <c r="A4381" t="inlineStr">
        <is>
          <t>ED204481</t>
        </is>
      </c>
      <c r="B4381" s="56" t="n">
        <v>45569.26388888889</v>
      </c>
      <c r="C4381" t="inlineStr">
        <is>
          <t>Ashby Falls Community Hospital</t>
        </is>
      </c>
      <c r="D4381" t="n">
        <v>47</v>
      </c>
    </row>
    <row r="4382">
      <c r="A4382" t="inlineStr">
        <is>
          <t>ED204482</t>
        </is>
      </c>
      <c r="B4382" s="56" t="n">
        <v>45569.37638888889</v>
      </c>
      <c r="C4382" t="inlineStr">
        <is>
          <t>Bluestone Memorial Hospital</t>
        </is>
      </c>
      <c r="D4382" t="n">
        <v>29</v>
      </c>
    </row>
    <row r="4383">
      <c r="A4383" t="inlineStr">
        <is>
          <t>ED204483</t>
        </is>
      </c>
      <c r="B4383" s="56" t="n">
        <v>45569.40069444444</v>
      </c>
      <c r="C4383" t="inlineStr">
        <is>
          <t>Bluestone Memorial Hospital</t>
        </is>
      </c>
      <c r="D4383" t="n">
        <v>60</v>
      </c>
    </row>
    <row r="4384">
      <c r="A4384" t="inlineStr">
        <is>
          <t>ED204484</t>
        </is>
      </c>
      <c r="B4384" s="56" t="n">
        <v>45569.44236111111</v>
      </c>
      <c r="C4384" t="inlineStr">
        <is>
          <t>Bluestone Memorial Hospital</t>
        </is>
      </c>
      <c r="D4384" t="n">
        <v>67</v>
      </c>
    </row>
    <row r="4385">
      <c r="A4385" t="inlineStr">
        <is>
          <t>ED204485</t>
        </is>
      </c>
      <c r="B4385" s="56" t="n">
        <v>45569.45138888889</v>
      </c>
      <c r="C4385" t="inlineStr">
        <is>
          <t>Cedar Ridge Medical Center</t>
        </is>
      </c>
      <c r="D4385" t="n">
        <v>102</v>
      </c>
    </row>
    <row r="4386">
      <c r="A4386" t="inlineStr">
        <is>
          <t>ED204486</t>
        </is>
      </c>
      <c r="B4386" s="56" t="n">
        <v>45569.47083333333</v>
      </c>
      <c r="C4386" t="inlineStr">
        <is>
          <t>Bluestone Memorial Hospital</t>
        </is>
      </c>
      <c r="D4386" t="n">
        <v>17</v>
      </c>
    </row>
    <row r="4387">
      <c r="A4387" t="inlineStr">
        <is>
          <t>ED204487</t>
        </is>
      </c>
      <c r="B4387" s="56" t="n">
        <v>45569.57430555556</v>
      </c>
      <c r="C4387" t="inlineStr">
        <is>
          <t>Cedar Ridge Medical Center</t>
        </is>
      </c>
      <c r="D4387" t="n">
        <v>11</v>
      </c>
    </row>
    <row r="4388">
      <c r="A4388" t="inlineStr">
        <is>
          <t>ED204488</t>
        </is>
      </c>
      <c r="B4388" s="56" t="n">
        <v>45569.58263888889</v>
      </c>
      <c r="C4388" t="inlineStr">
        <is>
          <t>Bluestone Memorial Hospital</t>
        </is>
      </c>
      <c r="D4388" t="n">
        <v>91</v>
      </c>
    </row>
    <row r="4389">
      <c r="A4389" t="inlineStr">
        <is>
          <t>ED204489</t>
        </is>
      </c>
      <c r="B4389" s="56" t="n">
        <v>45569.625</v>
      </c>
      <c r="C4389" t="inlineStr">
        <is>
          <t>Bluestone Memorial Hospital</t>
        </is>
      </c>
      <c r="D4389" t="n">
        <v>64</v>
      </c>
    </row>
    <row r="4390">
      <c r="A4390" t="inlineStr">
        <is>
          <t>ED204490</t>
        </is>
      </c>
      <c r="B4390" s="56" t="n">
        <v>45569.63402777778</v>
      </c>
      <c r="C4390" t="inlineStr">
        <is>
          <t>Bluestone Memorial Hospital</t>
        </is>
      </c>
      <c r="D4390" t="n">
        <v>90</v>
      </c>
    </row>
    <row r="4391">
      <c r="A4391" t="inlineStr">
        <is>
          <t>ED204491</t>
        </is>
      </c>
      <c r="B4391" s="56" t="n">
        <v>45569.67152777778</v>
      </c>
      <c r="C4391" t="inlineStr">
        <is>
          <t>Bluestone Memorial Hospital</t>
        </is>
      </c>
      <c r="D4391" t="n">
        <v>35</v>
      </c>
    </row>
    <row r="4392">
      <c r="A4392" t="inlineStr">
        <is>
          <t>ED204492</t>
        </is>
      </c>
      <c r="B4392" s="56" t="n">
        <v>45569.67430555556</v>
      </c>
      <c r="C4392" t="inlineStr">
        <is>
          <t>Bluestone Memorial Hospital</t>
        </is>
      </c>
      <c r="D4392" t="n">
        <v>45</v>
      </c>
    </row>
    <row r="4393">
      <c r="A4393" t="inlineStr">
        <is>
          <t>ED204493</t>
        </is>
      </c>
      <c r="B4393" s="56" t="n">
        <v>45569.81805555556</v>
      </c>
      <c r="C4393" t="inlineStr">
        <is>
          <t>Bluestone Memorial Hospital</t>
        </is>
      </c>
      <c r="D4393" t="n">
        <v>84</v>
      </c>
    </row>
    <row r="4394">
      <c r="A4394" t="inlineStr">
        <is>
          <t>ED204494</t>
        </is>
      </c>
      <c r="B4394" s="56" t="n">
        <v>45570.0625</v>
      </c>
      <c r="C4394" t="inlineStr">
        <is>
          <t>Bluestone Memorial Hospital</t>
        </is>
      </c>
      <c r="D4394" t="n">
        <v>7</v>
      </c>
    </row>
    <row r="4395">
      <c r="A4395" t="inlineStr">
        <is>
          <t>ED204495</t>
        </is>
      </c>
      <c r="B4395" s="56" t="n">
        <v>45570.35277777778</v>
      </c>
      <c r="C4395" t="inlineStr">
        <is>
          <t>Bluestone Memorial Hospital</t>
        </is>
      </c>
      <c r="D4395" t="n">
        <v>38</v>
      </c>
    </row>
    <row r="4396">
      <c r="A4396" t="inlineStr">
        <is>
          <t>ED204496</t>
        </is>
      </c>
      <c r="B4396" s="56" t="n">
        <v>45570.50694444445</v>
      </c>
      <c r="C4396" t="inlineStr">
        <is>
          <t>Bluestone Memorial Hospital</t>
        </is>
      </c>
      <c r="D4396" t="n">
        <v>89</v>
      </c>
    </row>
    <row r="4397">
      <c r="A4397" t="inlineStr">
        <is>
          <t>ED204497</t>
        </is>
      </c>
      <c r="B4397" s="56" t="n">
        <v>45570.52152777778</v>
      </c>
      <c r="C4397" t="inlineStr">
        <is>
          <t>Ashby Falls Community Hospital</t>
        </is>
      </c>
      <c r="D4397" t="n">
        <v>89</v>
      </c>
    </row>
    <row r="4398">
      <c r="A4398" t="inlineStr">
        <is>
          <t>ED204498</t>
        </is>
      </c>
      <c r="B4398" s="56" t="n">
        <v>45570.62986111111</v>
      </c>
      <c r="C4398" t="inlineStr">
        <is>
          <t>Bluestone Memorial Hospital</t>
        </is>
      </c>
      <c r="D4398" t="n">
        <v>24</v>
      </c>
    </row>
    <row r="4399">
      <c r="A4399" t="inlineStr">
        <is>
          <t>ED204499</t>
        </is>
      </c>
      <c r="B4399" s="56" t="n">
        <v>45570.71388888889</v>
      </c>
      <c r="C4399" t="inlineStr">
        <is>
          <t>Bluestone Memorial Hospital</t>
        </is>
      </c>
      <c r="D4399" t="n">
        <v>11</v>
      </c>
    </row>
    <row r="4400">
      <c r="A4400" t="inlineStr">
        <is>
          <t>ED204500</t>
        </is>
      </c>
      <c r="B4400" s="56" t="n">
        <v>45570.76527777778</v>
      </c>
      <c r="C4400" t="inlineStr">
        <is>
          <t>Bluestone Memorial Hospital</t>
        </is>
      </c>
      <c r="D4400" t="n">
        <v>14</v>
      </c>
    </row>
    <row r="4401">
      <c r="A4401" t="inlineStr">
        <is>
          <t>ED204501</t>
        </is>
      </c>
      <c r="B4401" s="56" t="n">
        <v>45570.82013888889</v>
      </c>
      <c r="C4401" t="inlineStr">
        <is>
          <t>Bluestone Memorial Hospital</t>
        </is>
      </c>
      <c r="D4401" t="n">
        <v>20</v>
      </c>
    </row>
    <row r="4402">
      <c r="A4402" t="inlineStr">
        <is>
          <t>ED204502</t>
        </is>
      </c>
      <c r="B4402" s="56" t="n">
        <v>45570.88888888889</v>
      </c>
      <c r="C4402" t="inlineStr">
        <is>
          <t>Bluestone Memorial Hospital</t>
        </is>
      </c>
      <c r="D4402" t="n">
        <v>19</v>
      </c>
    </row>
    <row r="4403">
      <c r="A4403" t="inlineStr">
        <is>
          <t>ED204503</t>
        </is>
      </c>
      <c r="B4403" s="56" t="n">
        <v>45571.13680555556</v>
      </c>
      <c r="C4403" t="inlineStr">
        <is>
          <t>Bluestone Memorial Hospital</t>
        </is>
      </c>
      <c r="D4403" t="n">
        <v>18</v>
      </c>
    </row>
    <row r="4404">
      <c r="A4404" t="inlineStr">
        <is>
          <t>ED204504</t>
        </is>
      </c>
      <c r="B4404" s="56" t="n">
        <v>45571.26875</v>
      </c>
      <c r="C4404" t="inlineStr">
        <is>
          <t>Ashby Falls Community Hospital</t>
        </is>
      </c>
      <c r="D4404" t="n">
        <v>50</v>
      </c>
    </row>
    <row r="4405">
      <c r="A4405" t="inlineStr">
        <is>
          <t>ED204505</t>
        </is>
      </c>
      <c r="B4405" s="56" t="n">
        <v>45571.29722222222</v>
      </c>
      <c r="C4405" t="inlineStr">
        <is>
          <t>Bluestone Memorial Hospital</t>
        </is>
      </c>
      <c r="D4405" t="n">
        <v>20</v>
      </c>
    </row>
    <row r="4406">
      <c r="A4406" t="inlineStr">
        <is>
          <t>ED204506</t>
        </is>
      </c>
      <c r="B4406" s="56" t="n">
        <v>45571.47222222222</v>
      </c>
      <c r="C4406" t="inlineStr">
        <is>
          <t>Bluestone Memorial Hospital</t>
        </is>
      </c>
      <c r="D4406" t="n">
        <v>54</v>
      </c>
    </row>
    <row r="4407">
      <c r="A4407" t="inlineStr">
        <is>
          <t>ED204507</t>
        </is>
      </c>
      <c r="B4407" s="56" t="n">
        <v>45571.475</v>
      </c>
      <c r="C4407" t="inlineStr">
        <is>
          <t>Bluestone Memorial Hospital</t>
        </is>
      </c>
      <c r="D4407" t="n">
        <v>10</v>
      </c>
    </row>
    <row r="4408">
      <c r="A4408" t="inlineStr">
        <is>
          <t>ED204508</t>
        </is>
      </c>
      <c r="B4408" s="56" t="n">
        <v>45571.49375</v>
      </c>
      <c r="C4408" t="inlineStr">
        <is>
          <t>Bluestone Memorial Hospital</t>
        </is>
      </c>
      <c r="D4408" t="n">
        <v>22</v>
      </c>
    </row>
    <row r="4409">
      <c r="A4409" t="inlineStr">
        <is>
          <t>ED204509</t>
        </is>
      </c>
      <c r="B4409" s="56" t="n">
        <v>45571.49444444444</v>
      </c>
      <c r="C4409" t="inlineStr">
        <is>
          <t>Bluestone Memorial Hospital</t>
        </is>
      </c>
      <c r="D4409" t="n">
        <v>29</v>
      </c>
    </row>
    <row r="4410">
      <c r="A4410" t="inlineStr">
        <is>
          <t>ED204510</t>
        </is>
      </c>
      <c r="B4410" s="56" t="n">
        <v>45571.56736111111</v>
      </c>
      <c r="C4410" t="inlineStr">
        <is>
          <t>Ashby Falls Community Hospital</t>
        </is>
      </c>
      <c r="D4410" t="n">
        <v>88</v>
      </c>
    </row>
    <row r="4411">
      <c r="A4411" t="inlineStr">
        <is>
          <t>ED204511</t>
        </is>
      </c>
      <c r="B4411" s="56" t="n">
        <v>45571.57569444444</v>
      </c>
      <c r="C4411" t="inlineStr">
        <is>
          <t>Bluestone Memorial Hospital</t>
        </is>
      </c>
      <c r="D4411" t="n">
        <v>50</v>
      </c>
    </row>
    <row r="4412">
      <c r="A4412" t="inlineStr">
        <is>
          <t>ED204512</t>
        </is>
      </c>
      <c r="B4412" s="56" t="n">
        <v>45571.63402777778</v>
      </c>
      <c r="C4412" t="inlineStr">
        <is>
          <t>Bluestone Memorial Hospital</t>
        </is>
      </c>
      <c r="D4412" t="n">
        <v>25</v>
      </c>
    </row>
    <row r="4413">
      <c r="A4413" t="inlineStr">
        <is>
          <t>ED204513</t>
        </is>
      </c>
      <c r="B4413" s="56" t="n">
        <v>45571.66527777778</v>
      </c>
      <c r="C4413" t="inlineStr">
        <is>
          <t>Bluestone Memorial Hospital</t>
        </is>
      </c>
      <c r="D4413" t="n">
        <v>9</v>
      </c>
    </row>
    <row r="4414">
      <c r="A4414" t="inlineStr">
        <is>
          <t>ED204514</t>
        </is>
      </c>
      <c r="B4414" s="56" t="n">
        <v>45571.67986111111</v>
      </c>
      <c r="C4414" t="inlineStr">
        <is>
          <t>Ashby Falls Community Hospital</t>
        </is>
      </c>
      <c r="D4414" t="n">
        <v>26</v>
      </c>
    </row>
    <row r="4415">
      <c r="A4415" t="inlineStr">
        <is>
          <t>ED204515</t>
        </is>
      </c>
      <c r="B4415" s="56" t="n">
        <v>45571.70902777778</v>
      </c>
      <c r="C4415" t="inlineStr">
        <is>
          <t>Bluestone Memorial Hospital</t>
        </is>
      </c>
      <c r="D4415" t="n">
        <v>104</v>
      </c>
    </row>
    <row r="4416">
      <c r="A4416" t="inlineStr">
        <is>
          <t>ED204516</t>
        </is>
      </c>
      <c r="B4416" s="56" t="n">
        <v>45571.78888888889</v>
      </c>
      <c r="C4416" t="inlineStr">
        <is>
          <t>Cedar Ridge Medical Center</t>
        </is>
      </c>
      <c r="D4416" t="n">
        <v>4</v>
      </c>
    </row>
    <row r="4417">
      <c r="A4417" t="inlineStr">
        <is>
          <t>ED204517</t>
        </is>
      </c>
      <c r="B4417" s="56" t="n">
        <v>45571.85416666666</v>
      </c>
      <c r="C4417" t="inlineStr">
        <is>
          <t>Bluestone Memorial Hospital</t>
        </is>
      </c>
      <c r="D4417" t="n">
        <v>54</v>
      </c>
    </row>
    <row r="4418">
      <c r="A4418" t="inlineStr">
        <is>
          <t>ED204518</t>
        </is>
      </c>
      <c r="B4418" s="56" t="n">
        <v>45572.00902777778</v>
      </c>
      <c r="C4418" t="inlineStr">
        <is>
          <t>Cedar Ridge Medical Center</t>
        </is>
      </c>
      <c r="D4418" t="n">
        <v>25</v>
      </c>
    </row>
    <row r="4419">
      <c r="A4419" t="inlineStr">
        <is>
          <t>ED204519</t>
        </is>
      </c>
      <c r="B4419" s="56" t="n">
        <v>45572.06458333333</v>
      </c>
      <c r="C4419" t="inlineStr">
        <is>
          <t>Ashby Falls Community Hospital</t>
        </is>
      </c>
      <c r="D4419" t="n">
        <v>48</v>
      </c>
    </row>
    <row r="4420">
      <c r="A4420" t="inlineStr">
        <is>
          <t>ED204520</t>
        </is>
      </c>
      <c r="B4420" s="56" t="n">
        <v>45572.43680555555</v>
      </c>
      <c r="C4420" t="inlineStr">
        <is>
          <t>Bluestone Memorial Hospital</t>
        </is>
      </c>
      <c r="D4420" t="n">
        <v>58</v>
      </c>
    </row>
    <row r="4421">
      <c r="A4421" t="inlineStr">
        <is>
          <t>ED204521</t>
        </is>
      </c>
      <c r="B4421" s="56" t="n">
        <v>45572.44513888889</v>
      </c>
      <c r="C4421" t="inlineStr">
        <is>
          <t>Ashby Falls Community Hospital</t>
        </is>
      </c>
      <c r="D4421" t="n">
        <v>14</v>
      </c>
    </row>
    <row r="4422">
      <c r="A4422" t="inlineStr">
        <is>
          <t>ED204522</t>
        </is>
      </c>
      <c r="B4422" s="56" t="n">
        <v>45572.44791666666</v>
      </c>
      <c r="C4422" t="inlineStr">
        <is>
          <t>Bluestone Memorial Hospital</t>
        </is>
      </c>
      <c r="D4422" t="n">
        <v>97</v>
      </c>
    </row>
    <row r="4423">
      <c r="A4423" t="inlineStr">
        <is>
          <t>ED204523</t>
        </is>
      </c>
      <c r="B4423" s="56" t="n">
        <v>45572.50416666667</v>
      </c>
      <c r="C4423" t="inlineStr">
        <is>
          <t>Bluestone Memorial Hospital</t>
        </is>
      </c>
      <c r="D4423" t="n">
        <v>12</v>
      </c>
    </row>
    <row r="4424">
      <c r="A4424" t="inlineStr">
        <is>
          <t>ED204524</t>
        </is>
      </c>
      <c r="B4424" s="56" t="n">
        <v>45572.53888888889</v>
      </c>
      <c r="C4424" t="inlineStr">
        <is>
          <t>Bluestone Memorial Hospital</t>
        </is>
      </c>
      <c r="D4424" t="n">
        <v>44</v>
      </c>
    </row>
    <row r="4425">
      <c r="A4425" t="inlineStr">
        <is>
          <t>ED204525</t>
        </is>
      </c>
      <c r="B4425" s="56" t="n">
        <v>45572.59513888889</v>
      </c>
      <c r="C4425" t="inlineStr">
        <is>
          <t>Bluestone Memorial Hospital</t>
        </is>
      </c>
      <c r="D4425" t="n">
        <v>23</v>
      </c>
    </row>
    <row r="4426">
      <c r="A4426" t="inlineStr">
        <is>
          <t>ED204526</t>
        </is>
      </c>
      <c r="B4426" s="56" t="n">
        <v>45572.67916666667</v>
      </c>
      <c r="C4426" t="inlineStr">
        <is>
          <t>Bluestone Memorial Hospital</t>
        </is>
      </c>
      <c r="D4426" t="n">
        <v>50</v>
      </c>
    </row>
    <row r="4427">
      <c r="A4427" t="inlineStr">
        <is>
          <t>ED204527</t>
        </is>
      </c>
      <c r="B4427" s="56" t="n">
        <v>45572.75833333333</v>
      </c>
      <c r="C4427" t="inlineStr">
        <is>
          <t>Bluestone Memorial Hospital</t>
        </is>
      </c>
      <c r="D4427" t="n">
        <v>44</v>
      </c>
    </row>
    <row r="4428">
      <c r="A4428" t="inlineStr">
        <is>
          <t>ED204528</t>
        </is>
      </c>
      <c r="B4428" s="56" t="n">
        <v>45572.775</v>
      </c>
      <c r="C4428" t="inlineStr">
        <is>
          <t>Bluestone Memorial Hospital</t>
        </is>
      </c>
      <c r="D4428" t="n">
        <v>72</v>
      </c>
    </row>
    <row r="4429">
      <c r="A4429" t="inlineStr">
        <is>
          <t>ED204529</t>
        </is>
      </c>
      <c r="B4429" s="56" t="n">
        <v>45572.79236111111</v>
      </c>
      <c r="C4429" t="inlineStr">
        <is>
          <t>Bluestone Memorial Hospital</t>
        </is>
      </c>
      <c r="D4429" t="n">
        <v>58</v>
      </c>
    </row>
    <row r="4430">
      <c r="A4430" t="inlineStr">
        <is>
          <t>ED204530</t>
        </is>
      </c>
      <c r="B4430" s="56" t="n">
        <v>45572.90902777778</v>
      </c>
      <c r="C4430" t="inlineStr">
        <is>
          <t>Bluestone Memorial Hospital</t>
        </is>
      </c>
      <c r="D4430" t="n">
        <v>16</v>
      </c>
    </row>
    <row r="4431">
      <c r="A4431" t="inlineStr">
        <is>
          <t>ED204531</t>
        </is>
      </c>
      <c r="B4431" s="56" t="n">
        <v>45572.93680555555</v>
      </c>
      <c r="C4431" t="inlineStr">
        <is>
          <t>Bluestone Memorial Hospital</t>
        </is>
      </c>
      <c r="D4431" t="n">
        <v>21</v>
      </c>
    </row>
    <row r="4432">
      <c r="A4432" t="inlineStr">
        <is>
          <t>ED204532</t>
        </is>
      </c>
      <c r="B4432" s="56" t="n">
        <v>45573.39444444444</v>
      </c>
      <c r="C4432" t="inlineStr">
        <is>
          <t>Bluestone Memorial Hospital</t>
        </is>
      </c>
      <c r="D4432" t="n">
        <v>56</v>
      </c>
    </row>
    <row r="4433">
      <c r="A4433" t="inlineStr">
        <is>
          <t>ED204533</t>
        </is>
      </c>
      <c r="B4433" s="56" t="n">
        <v>45573.46180555555</v>
      </c>
      <c r="C4433" t="inlineStr">
        <is>
          <t>Bluestone Memorial Hospital</t>
        </is>
      </c>
      <c r="D4433" t="n">
        <v>83</v>
      </c>
    </row>
    <row r="4434">
      <c r="A4434" t="inlineStr">
        <is>
          <t>ED204534</t>
        </is>
      </c>
      <c r="B4434" s="56" t="n">
        <v>45573.5625</v>
      </c>
      <c r="C4434" t="inlineStr">
        <is>
          <t>Cedar Ridge Medical Center</t>
        </is>
      </c>
      <c r="D4434" t="n">
        <v>20</v>
      </c>
    </row>
    <row r="4435">
      <c r="A4435" t="inlineStr">
        <is>
          <t>ED204535</t>
        </is>
      </c>
      <c r="B4435" s="56" t="n">
        <v>45573.57430555556</v>
      </c>
      <c r="C4435" t="inlineStr">
        <is>
          <t>Bluestone Memorial Hospital</t>
        </is>
      </c>
      <c r="D4435" t="n">
        <v>27</v>
      </c>
    </row>
    <row r="4436">
      <c r="A4436" t="inlineStr">
        <is>
          <t>ED204536</t>
        </is>
      </c>
      <c r="B4436" s="56" t="n">
        <v>45573.61875</v>
      </c>
      <c r="C4436" t="inlineStr">
        <is>
          <t>Bluestone Memorial Hospital</t>
        </is>
      </c>
      <c r="D4436" t="n">
        <v>9</v>
      </c>
    </row>
    <row r="4437">
      <c r="A4437" t="inlineStr">
        <is>
          <t>ED204537</t>
        </is>
      </c>
      <c r="B4437" s="56" t="n">
        <v>45573.675</v>
      </c>
      <c r="C4437" t="inlineStr">
        <is>
          <t>Bluestone Memorial Hospital</t>
        </is>
      </c>
      <c r="D4437" t="n">
        <v>131</v>
      </c>
    </row>
    <row r="4438">
      <c r="A4438" t="inlineStr">
        <is>
          <t>ED204538</t>
        </is>
      </c>
      <c r="B4438" s="56" t="n">
        <v>45573.67569444444</v>
      </c>
      <c r="C4438" t="inlineStr">
        <is>
          <t>Cedar Ridge Medical Center</t>
        </is>
      </c>
      <c r="D4438" t="n">
        <v>95</v>
      </c>
    </row>
    <row r="4439">
      <c r="A4439" t="inlineStr">
        <is>
          <t>ED204539</t>
        </is>
      </c>
      <c r="B4439" s="56" t="n">
        <v>45573.68333333333</v>
      </c>
      <c r="C4439" t="inlineStr">
        <is>
          <t>Bluestone Memorial Hospital</t>
        </is>
      </c>
      <c r="D4439" t="n">
        <v>125</v>
      </c>
    </row>
    <row r="4440">
      <c r="A4440" t="inlineStr">
        <is>
          <t>ED204540</t>
        </is>
      </c>
      <c r="B4440" s="56" t="n">
        <v>45573.75416666667</v>
      </c>
      <c r="C4440" t="inlineStr">
        <is>
          <t>Bluestone Memorial Hospital</t>
        </is>
      </c>
      <c r="D4440" t="n">
        <v>40</v>
      </c>
    </row>
    <row r="4441">
      <c r="A4441" t="inlineStr">
        <is>
          <t>ED204541</t>
        </is>
      </c>
      <c r="B4441" s="56" t="n">
        <v>45573.77569444444</v>
      </c>
      <c r="C4441" t="inlineStr">
        <is>
          <t>Bluestone Memorial Hospital</t>
        </is>
      </c>
      <c r="D4441" t="n">
        <v>20</v>
      </c>
    </row>
    <row r="4442">
      <c r="A4442" t="inlineStr">
        <is>
          <t>ED204542</t>
        </is>
      </c>
      <c r="B4442" s="56" t="n">
        <v>45573.85486111111</v>
      </c>
      <c r="C4442" t="inlineStr">
        <is>
          <t>Bluestone Memorial Hospital</t>
        </is>
      </c>
      <c r="D4442" t="n">
        <v>28</v>
      </c>
    </row>
    <row r="4443">
      <c r="A4443" t="inlineStr">
        <is>
          <t>ED204543</t>
        </is>
      </c>
      <c r="B4443" s="56" t="n">
        <v>45573.85763888889</v>
      </c>
      <c r="C4443" t="inlineStr">
        <is>
          <t>Bluestone Memorial Hospital</t>
        </is>
      </c>
      <c r="D4443" t="n">
        <v>14</v>
      </c>
    </row>
    <row r="4444">
      <c r="A4444" t="inlineStr">
        <is>
          <t>ED204544</t>
        </is>
      </c>
      <c r="B4444" s="56" t="n">
        <v>45573.87291666667</v>
      </c>
      <c r="C4444" t="inlineStr">
        <is>
          <t>Bluestone Memorial Hospital</t>
        </is>
      </c>
      <c r="D4444" t="n">
        <v>61</v>
      </c>
    </row>
    <row r="4445">
      <c r="A4445" t="inlineStr">
        <is>
          <t>ED204545</t>
        </is>
      </c>
      <c r="B4445" s="56" t="n">
        <v>45573.91041666667</v>
      </c>
      <c r="C4445" t="inlineStr">
        <is>
          <t>Bluestone Memorial Hospital</t>
        </is>
      </c>
      <c r="D4445" t="n">
        <v>18</v>
      </c>
    </row>
    <row r="4446">
      <c r="A4446" t="inlineStr">
        <is>
          <t>ED204546</t>
        </is>
      </c>
      <c r="B4446" s="56" t="n">
        <v>45573.91805555556</v>
      </c>
      <c r="C4446" t="inlineStr">
        <is>
          <t>Bluestone Memorial Hospital</t>
        </is>
      </c>
      <c r="D4446" t="n">
        <v>18</v>
      </c>
    </row>
    <row r="4447">
      <c r="A4447" t="inlineStr">
        <is>
          <t>ED204547</t>
        </is>
      </c>
      <c r="B4447" s="56" t="n">
        <v>45573.99027777778</v>
      </c>
      <c r="C4447" t="inlineStr">
        <is>
          <t>Bluestone Memorial Hospital</t>
        </is>
      </c>
      <c r="D4447" t="n">
        <v>36</v>
      </c>
    </row>
    <row r="4448">
      <c r="A4448" t="inlineStr">
        <is>
          <t>ED204548</t>
        </is>
      </c>
      <c r="B4448" s="56" t="n">
        <v>45574.08958333333</v>
      </c>
      <c r="C4448" t="inlineStr">
        <is>
          <t>Bluestone Memorial Hospital</t>
        </is>
      </c>
      <c r="D4448" t="n">
        <v>53</v>
      </c>
    </row>
    <row r="4449">
      <c r="A4449" t="inlineStr">
        <is>
          <t>ED204549</t>
        </is>
      </c>
      <c r="B4449" s="56" t="n">
        <v>45574.10069444445</v>
      </c>
      <c r="C4449" t="inlineStr">
        <is>
          <t>Bluestone Memorial Hospital</t>
        </is>
      </c>
      <c r="D4449" t="n">
        <v>60</v>
      </c>
    </row>
    <row r="4450">
      <c r="A4450" t="inlineStr">
        <is>
          <t>ED204550</t>
        </is>
      </c>
      <c r="B4450" s="56" t="n">
        <v>45574.35208333333</v>
      </c>
      <c r="C4450" t="inlineStr">
        <is>
          <t>Bluestone Memorial Hospital</t>
        </is>
      </c>
      <c r="D4450" t="n">
        <v>26</v>
      </c>
    </row>
    <row r="4451">
      <c r="A4451" t="inlineStr">
        <is>
          <t>ED204551</t>
        </is>
      </c>
      <c r="B4451" s="56" t="n">
        <v>45574.40069444444</v>
      </c>
      <c r="C4451" t="inlineStr">
        <is>
          <t>Bluestone Memorial Hospital</t>
        </is>
      </c>
      <c r="D4451" t="n">
        <v>2</v>
      </c>
    </row>
    <row r="4452">
      <c r="A4452" t="inlineStr">
        <is>
          <t>ED204552</t>
        </is>
      </c>
      <c r="B4452" s="56" t="n">
        <v>45574.45069444444</v>
      </c>
      <c r="C4452" t="inlineStr">
        <is>
          <t>Bluestone Memorial Hospital</t>
        </is>
      </c>
      <c r="D4452" t="n">
        <v>18</v>
      </c>
    </row>
    <row r="4453">
      <c r="A4453" t="inlineStr">
        <is>
          <t>ED204554</t>
        </is>
      </c>
      <c r="B4453" s="56" t="n">
        <v>45574.49097222222</v>
      </c>
      <c r="C4453" t="inlineStr">
        <is>
          <t>Bluestone Memorial Hospital</t>
        </is>
      </c>
      <c r="D4453" t="n">
        <v>34</v>
      </c>
    </row>
    <row r="4454">
      <c r="A4454" t="inlineStr">
        <is>
          <t>ED204555</t>
        </is>
      </c>
      <c r="B4454" s="56" t="n">
        <v>45574.52361111111</v>
      </c>
      <c r="C4454" t="inlineStr">
        <is>
          <t>Bluestone Memorial Hospital</t>
        </is>
      </c>
      <c r="D4454" t="n">
        <v>92</v>
      </c>
    </row>
    <row r="4455">
      <c r="A4455" t="inlineStr">
        <is>
          <t>ED204556</t>
        </is>
      </c>
      <c r="B4455" s="56" t="n">
        <v>45574.57430555556</v>
      </c>
      <c r="C4455" t="inlineStr">
        <is>
          <t>Bluestone Memorial Hospital</t>
        </is>
      </c>
      <c r="D4455" t="n">
        <v>42</v>
      </c>
    </row>
    <row r="4456">
      <c r="A4456" t="inlineStr">
        <is>
          <t>ED204557</t>
        </is>
      </c>
      <c r="B4456" s="56" t="n">
        <v>45574.67222222222</v>
      </c>
      <c r="C4456" t="inlineStr">
        <is>
          <t>Cedar Ridge Medical Center</t>
        </is>
      </c>
      <c r="D4456" t="n">
        <v>20</v>
      </c>
    </row>
    <row r="4457">
      <c r="A4457" t="inlineStr">
        <is>
          <t>ED204558</t>
        </is>
      </c>
      <c r="B4457" s="56" t="n">
        <v>45574.67986111111</v>
      </c>
      <c r="C4457" t="inlineStr">
        <is>
          <t>Cedar Ridge Medical Center</t>
        </is>
      </c>
      <c r="D4457" t="n">
        <v>71</v>
      </c>
    </row>
    <row r="4458">
      <c r="A4458" t="inlineStr">
        <is>
          <t>ED204559</t>
        </is>
      </c>
      <c r="B4458" s="56" t="n">
        <v>45574.72152777778</v>
      </c>
      <c r="C4458" t="inlineStr">
        <is>
          <t>Cedar Ridge Medical Center</t>
        </is>
      </c>
      <c r="D4458" t="n">
        <v>41</v>
      </c>
    </row>
    <row r="4459">
      <c r="A4459" t="inlineStr">
        <is>
          <t>ED204560</t>
        </is>
      </c>
      <c r="B4459" s="56" t="n">
        <v>45574.74652777778</v>
      </c>
      <c r="C4459" t="inlineStr">
        <is>
          <t>Ashby Falls Community Hospital</t>
        </is>
      </c>
      <c r="D4459" t="n">
        <v>64</v>
      </c>
    </row>
    <row r="4460">
      <c r="A4460" t="inlineStr">
        <is>
          <t>ED204561</t>
        </is>
      </c>
      <c r="B4460" s="56" t="n">
        <v>45574.77083333334</v>
      </c>
      <c r="C4460" t="inlineStr">
        <is>
          <t>Bluestone Memorial Hospital</t>
        </is>
      </c>
      <c r="D4460" t="n">
        <v>50</v>
      </c>
    </row>
    <row r="4461">
      <c r="A4461" t="inlineStr">
        <is>
          <t>ED204562</t>
        </is>
      </c>
      <c r="B4461" s="56" t="n">
        <v>45574.77638888889</v>
      </c>
      <c r="C4461" t="inlineStr">
        <is>
          <t>Bluestone Memorial Hospital</t>
        </is>
      </c>
      <c r="D4461" t="n">
        <v>45</v>
      </c>
    </row>
    <row r="4462">
      <c r="A4462" t="inlineStr">
        <is>
          <t>ED204564</t>
        </is>
      </c>
      <c r="B4462" s="56" t="n">
        <v>45574.81458333333</v>
      </c>
      <c r="C4462" t="inlineStr">
        <is>
          <t>Bluestone Memorial Hospital</t>
        </is>
      </c>
      <c r="D4462" t="n">
        <v>4</v>
      </c>
    </row>
    <row r="4463">
      <c r="A4463" t="inlineStr">
        <is>
          <t>ED204565</t>
        </is>
      </c>
      <c r="B4463" s="56" t="n">
        <v>45574.84375</v>
      </c>
      <c r="C4463" t="inlineStr">
        <is>
          <t>Bluestone Memorial Hospital</t>
        </is>
      </c>
      <c r="D4463" t="n">
        <v>15</v>
      </c>
    </row>
    <row r="4464">
      <c r="A4464" t="inlineStr">
        <is>
          <t>ED204566</t>
        </is>
      </c>
      <c r="B4464" s="56" t="n">
        <v>45574.91388888889</v>
      </c>
      <c r="C4464" t="inlineStr">
        <is>
          <t>Bluestone Memorial Hospital</t>
        </is>
      </c>
      <c r="D4464" t="n">
        <v>29</v>
      </c>
    </row>
    <row r="4465">
      <c r="A4465" t="inlineStr">
        <is>
          <t>ED204567</t>
        </is>
      </c>
      <c r="B4465" s="56" t="n">
        <v>45575.30555555555</v>
      </c>
      <c r="C4465" t="inlineStr">
        <is>
          <t>Bluestone Memorial Hospital</t>
        </is>
      </c>
      <c r="D4465" t="n">
        <v>35</v>
      </c>
    </row>
    <row r="4466">
      <c r="A4466" t="inlineStr">
        <is>
          <t>ED204568</t>
        </is>
      </c>
      <c r="B4466" s="56" t="n">
        <v>45575.38402777778</v>
      </c>
      <c r="C4466" t="inlineStr">
        <is>
          <t>Bluestone Memorial Hospital</t>
        </is>
      </c>
      <c r="D4466" t="n">
        <v>27</v>
      </c>
    </row>
    <row r="4467">
      <c r="A4467" t="inlineStr">
        <is>
          <t>ED204569</t>
        </is>
      </c>
      <c r="B4467" s="56" t="n">
        <v>45575.47777777778</v>
      </c>
      <c r="C4467" t="inlineStr">
        <is>
          <t>Bluestone Memorial Hospital</t>
        </is>
      </c>
      <c r="D4467" t="n">
        <v>78</v>
      </c>
    </row>
    <row r="4468">
      <c r="A4468" t="inlineStr">
        <is>
          <t>ED204570</t>
        </is>
      </c>
      <c r="B4468" s="56" t="n">
        <v>45575.50277777778</v>
      </c>
      <c r="C4468" t="inlineStr">
        <is>
          <t>Bluestone Memorial Hospital</t>
        </is>
      </c>
      <c r="D4468" t="n">
        <v>94</v>
      </c>
    </row>
    <row r="4469">
      <c r="A4469" t="inlineStr">
        <is>
          <t>ED204571</t>
        </is>
      </c>
      <c r="B4469" s="56" t="n">
        <v>45575.51527777778</v>
      </c>
      <c r="C4469" t="inlineStr">
        <is>
          <t>Cedar Ridge Medical Center</t>
        </is>
      </c>
      <c r="D4469" t="n">
        <v>45</v>
      </c>
    </row>
    <row r="4470">
      <c r="A4470" t="inlineStr">
        <is>
          <t>ED204572</t>
        </is>
      </c>
      <c r="B4470" s="56" t="n">
        <v>45575.52569444444</v>
      </c>
      <c r="C4470" t="inlineStr">
        <is>
          <t>Cedar Ridge Medical Center</t>
        </is>
      </c>
      <c r="D4470" t="n">
        <v>92</v>
      </c>
    </row>
    <row r="4471">
      <c r="A4471" t="inlineStr">
        <is>
          <t>ED204573</t>
        </is>
      </c>
      <c r="B4471" s="56" t="n">
        <v>45575.53333333333</v>
      </c>
      <c r="C4471" t="inlineStr">
        <is>
          <t>Ashby Falls Community Hospital</t>
        </is>
      </c>
      <c r="D4471" t="n">
        <v>26</v>
      </c>
    </row>
    <row r="4472">
      <c r="A4472" t="inlineStr">
        <is>
          <t>ED204574</t>
        </is>
      </c>
      <c r="B4472" s="56" t="n">
        <v>45575.54097222222</v>
      </c>
      <c r="C4472" t="inlineStr">
        <is>
          <t>Cedar Ridge Medical Center</t>
        </is>
      </c>
      <c r="D4472" t="n">
        <v>35</v>
      </c>
    </row>
    <row r="4473">
      <c r="A4473" t="inlineStr">
        <is>
          <t>ED204575</t>
        </is>
      </c>
      <c r="B4473" s="56" t="n">
        <v>45575.56597222222</v>
      </c>
      <c r="C4473" t="inlineStr">
        <is>
          <t>Bluestone Memorial Hospital</t>
        </is>
      </c>
      <c r="D4473" t="n">
        <v>80</v>
      </c>
    </row>
    <row r="4474">
      <c r="A4474" t="inlineStr">
        <is>
          <t>ED204576</t>
        </is>
      </c>
      <c r="B4474" s="56" t="n">
        <v>45575.58402777778</v>
      </c>
      <c r="C4474" t="inlineStr">
        <is>
          <t>Bluestone Memorial Hospital</t>
        </is>
      </c>
      <c r="D4474" t="n">
        <v>40</v>
      </c>
    </row>
    <row r="4475">
      <c r="A4475" t="inlineStr">
        <is>
          <t>ED204577</t>
        </is>
      </c>
      <c r="B4475" s="56" t="n">
        <v>45575.60902777778</v>
      </c>
      <c r="C4475" t="inlineStr">
        <is>
          <t>Bluestone Memorial Hospital</t>
        </is>
      </c>
      <c r="D4475" t="n">
        <v>3</v>
      </c>
    </row>
    <row r="4476">
      <c r="A4476" t="inlineStr">
        <is>
          <t>ED204578</t>
        </is>
      </c>
      <c r="B4476" s="56" t="n">
        <v>45575.61111111111</v>
      </c>
      <c r="C4476" t="inlineStr">
        <is>
          <t>Bluestone Memorial Hospital</t>
        </is>
      </c>
      <c r="D4476" t="n">
        <v>44</v>
      </c>
    </row>
    <row r="4477">
      <c r="A4477" t="inlineStr">
        <is>
          <t>ED204579</t>
        </is>
      </c>
      <c r="B4477" s="56" t="n">
        <v>45575.61875</v>
      </c>
      <c r="C4477" t="inlineStr">
        <is>
          <t>Bluestone Memorial Hospital</t>
        </is>
      </c>
      <c r="D4477" t="n">
        <v>105</v>
      </c>
    </row>
    <row r="4478">
      <c r="A4478" t="inlineStr">
        <is>
          <t>ED204580</t>
        </is>
      </c>
      <c r="B4478" s="56" t="n">
        <v>45575.70069444444</v>
      </c>
      <c r="C4478" t="inlineStr">
        <is>
          <t>Bluestone Memorial Hospital</t>
        </is>
      </c>
      <c r="D4478" t="n">
        <v>61</v>
      </c>
    </row>
    <row r="4479">
      <c r="A4479" t="inlineStr">
        <is>
          <t>ED204581</t>
        </is>
      </c>
      <c r="B4479" s="56" t="n">
        <v>45575.73194444444</v>
      </c>
      <c r="C4479" t="inlineStr">
        <is>
          <t>Bluestone Memorial Hospital</t>
        </is>
      </c>
      <c r="D4479" t="n">
        <v>11</v>
      </c>
    </row>
    <row r="4480">
      <c r="A4480" t="inlineStr">
        <is>
          <t>ED204582</t>
        </is>
      </c>
      <c r="B4480" s="56" t="n">
        <v>45575.73680555556</v>
      </c>
      <c r="C4480" t="inlineStr">
        <is>
          <t>Cedar Ridge Medical Center</t>
        </is>
      </c>
      <c r="D4480" t="n">
        <v>17</v>
      </c>
    </row>
    <row r="4481">
      <c r="A4481" t="inlineStr">
        <is>
          <t>ED204583</t>
        </is>
      </c>
      <c r="B4481" s="56" t="n">
        <v>45575.76458333333</v>
      </c>
      <c r="C4481" t="inlineStr">
        <is>
          <t>Cedar Ridge Medical Center</t>
        </is>
      </c>
      <c r="D4481" t="n">
        <v>138</v>
      </c>
    </row>
    <row r="4482">
      <c r="A4482" t="inlineStr">
        <is>
          <t>ED204584</t>
        </is>
      </c>
      <c r="B4482" s="56" t="n">
        <v>45575.78402777778</v>
      </c>
      <c r="C4482" t="inlineStr">
        <is>
          <t>Bluestone Memorial Hospital</t>
        </is>
      </c>
      <c r="D4482" t="n">
        <v>52</v>
      </c>
    </row>
    <row r="4483">
      <c r="A4483" t="inlineStr">
        <is>
          <t>ED204585</t>
        </is>
      </c>
      <c r="B4483" s="56" t="n">
        <v>45575.82083333333</v>
      </c>
      <c r="C4483" t="inlineStr">
        <is>
          <t>Bluestone Memorial Hospital</t>
        </is>
      </c>
      <c r="D4483" t="n">
        <v>25</v>
      </c>
    </row>
    <row r="4484">
      <c r="A4484" t="inlineStr">
        <is>
          <t>ED204586</t>
        </is>
      </c>
      <c r="B4484" s="56" t="n">
        <v>45576.23333333333</v>
      </c>
      <c r="C4484" t="inlineStr">
        <is>
          <t>Ashby Falls Community Hospital</t>
        </is>
      </c>
      <c r="D4484" t="n">
        <v>26</v>
      </c>
    </row>
    <row r="4485">
      <c r="A4485" t="inlineStr">
        <is>
          <t>ED204587</t>
        </is>
      </c>
      <c r="B4485" s="56" t="n">
        <v>45576.35694444444</v>
      </c>
      <c r="C4485" t="inlineStr">
        <is>
          <t>Ashby Falls Community Hospital</t>
        </is>
      </c>
      <c r="D4485" t="n">
        <v>38</v>
      </c>
    </row>
    <row r="4486">
      <c r="A4486" t="inlineStr">
        <is>
          <t>ED204588</t>
        </is>
      </c>
      <c r="B4486" s="56" t="n">
        <v>45576.38125</v>
      </c>
      <c r="C4486" t="inlineStr">
        <is>
          <t>Bluestone Memorial Hospital</t>
        </is>
      </c>
      <c r="D4486" t="n">
        <v>101</v>
      </c>
    </row>
    <row r="4487">
      <c r="A4487" t="inlineStr">
        <is>
          <t>ED204589</t>
        </is>
      </c>
      <c r="B4487" s="56" t="n">
        <v>45576.46666666667</v>
      </c>
      <c r="C4487" t="inlineStr">
        <is>
          <t>Bluestone Memorial Hospital</t>
        </is>
      </c>
      <c r="D4487" t="n">
        <v>21</v>
      </c>
    </row>
    <row r="4488">
      <c r="A4488" t="inlineStr">
        <is>
          <t>ED204590</t>
        </is>
      </c>
      <c r="B4488" s="56" t="n">
        <v>45576.50972222222</v>
      </c>
      <c r="C4488" t="inlineStr">
        <is>
          <t>Bluestone Memorial Hospital</t>
        </is>
      </c>
      <c r="D4488" t="n">
        <v>41</v>
      </c>
    </row>
    <row r="4489">
      <c r="A4489" t="inlineStr">
        <is>
          <t>ED204591</t>
        </is>
      </c>
      <c r="B4489" s="56" t="n">
        <v>45576.56111111111</v>
      </c>
      <c r="C4489" t="inlineStr">
        <is>
          <t>Ashby Falls Community Hospital</t>
        </is>
      </c>
      <c r="D4489" t="n">
        <v>21</v>
      </c>
    </row>
    <row r="4490">
      <c r="A4490" t="inlineStr">
        <is>
          <t>ED204592</t>
        </is>
      </c>
      <c r="B4490" s="56" t="n">
        <v>45576.58333333334</v>
      </c>
      <c r="C4490" t="inlineStr">
        <is>
          <t>Bluestone Memorial Hospital</t>
        </is>
      </c>
      <c r="D4490" t="n">
        <v>38</v>
      </c>
    </row>
    <row r="4491">
      <c r="A4491" t="inlineStr">
        <is>
          <t>ED204593</t>
        </is>
      </c>
      <c r="B4491" s="56" t="n">
        <v>45576.73958333334</v>
      </c>
      <c r="C4491" t="inlineStr">
        <is>
          <t>Bluestone Memorial Hospital</t>
        </is>
      </c>
      <c r="D4491" t="n">
        <v>64</v>
      </c>
    </row>
    <row r="4492">
      <c r="A4492" t="inlineStr">
        <is>
          <t>ED204594</t>
        </is>
      </c>
      <c r="B4492" s="56" t="n">
        <v>45576.78472222222</v>
      </c>
      <c r="C4492" t="inlineStr">
        <is>
          <t>Bluestone Memorial Hospital</t>
        </is>
      </c>
      <c r="D4492" t="n">
        <v>79</v>
      </c>
    </row>
    <row r="4493">
      <c r="A4493" t="inlineStr">
        <is>
          <t>ED204595</t>
        </is>
      </c>
      <c r="B4493" s="56" t="n">
        <v>45576.83472222222</v>
      </c>
      <c r="C4493" t="inlineStr">
        <is>
          <t>Cedar Ridge Medical Center</t>
        </is>
      </c>
      <c r="D4493" t="n">
        <v>42</v>
      </c>
    </row>
    <row r="4494">
      <c r="A4494" t="inlineStr">
        <is>
          <t>ED204596</t>
        </is>
      </c>
      <c r="B4494" s="56" t="n">
        <v>45576.83819444444</v>
      </c>
      <c r="C4494" t="inlineStr">
        <is>
          <t>Bluestone Memorial Hospital</t>
        </is>
      </c>
      <c r="D4494" t="n">
        <v>22</v>
      </c>
    </row>
    <row r="4495">
      <c r="A4495" t="inlineStr">
        <is>
          <t>ED204597</t>
        </is>
      </c>
      <c r="B4495" s="56" t="n">
        <v>45576.92916666667</v>
      </c>
      <c r="C4495" t="inlineStr">
        <is>
          <t>Ashby Falls Community Hospital</t>
        </is>
      </c>
      <c r="D4495" t="n">
        <v>20</v>
      </c>
    </row>
    <row r="4496">
      <c r="A4496" t="inlineStr">
        <is>
          <t>ED204598</t>
        </is>
      </c>
      <c r="B4496" s="56" t="n">
        <v>45576.98125</v>
      </c>
      <c r="C4496" t="inlineStr">
        <is>
          <t>Bluestone Memorial Hospital</t>
        </is>
      </c>
      <c r="D4496" t="n">
        <v>48</v>
      </c>
    </row>
    <row r="4497">
      <c r="A4497" t="inlineStr">
        <is>
          <t>ED204599</t>
        </is>
      </c>
      <c r="B4497" s="56" t="n">
        <v>45577.50138888889</v>
      </c>
      <c r="C4497" t="inlineStr">
        <is>
          <t>Bluestone Memorial Hospital</t>
        </is>
      </c>
      <c r="D4497" t="n">
        <v>17</v>
      </c>
    </row>
    <row r="4498">
      <c r="A4498" t="inlineStr">
        <is>
          <t>ED204600</t>
        </is>
      </c>
      <c r="B4498" s="56" t="n">
        <v>45577.50833333333</v>
      </c>
      <c r="C4498" t="inlineStr">
        <is>
          <t>Cedar Ridge Medical Center</t>
        </is>
      </c>
      <c r="D4498" t="n">
        <v>66</v>
      </c>
    </row>
    <row r="4499">
      <c r="A4499" t="inlineStr">
        <is>
          <t>ED204601</t>
        </is>
      </c>
      <c r="B4499" s="56" t="n">
        <v>45577.56944444445</v>
      </c>
      <c r="C4499" t="inlineStr">
        <is>
          <t>Bluestone Memorial Hospital</t>
        </is>
      </c>
      <c r="D4499" t="n">
        <v>17</v>
      </c>
    </row>
    <row r="4500">
      <c r="A4500" t="inlineStr">
        <is>
          <t>ED204602</t>
        </is>
      </c>
      <c r="B4500" s="56" t="n">
        <v>45577.725</v>
      </c>
      <c r="C4500" t="inlineStr">
        <is>
          <t>Bluestone Memorial Hospital</t>
        </is>
      </c>
      <c r="D4500" t="n">
        <v>71</v>
      </c>
    </row>
    <row r="4501">
      <c r="A4501" t="inlineStr">
        <is>
          <t>ED204603</t>
        </is>
      </c>
      <c r="B4501" s="56" t="n">
        <v>45577.73055555556</v>
      </c>
      <c r="C4501" t="inlineStr">
        <is>
          <t>Ashby Falls Community Hospital</t>
        </is>
      </c>
      <c r="D4501" t="n">
        <v>31</v>
      </c>
    </row>
    <row r="4502">
      <c r="A4502" t="inlineStr">
        <is>
          <t>ED204604</t>
        </is>
      </c>
      <c r="B4502" s="56" t="n">
        <v>45577.76875</v>
      </c>
      <c r="C4502" t="inlineStr">
        <is>
          <t>Bluestone Memorial Hospital</t>
        </is>
      </c>
      <c r="D4502" t="n">
        <v>64</v>
      </c>
    </row>
    <row r="4503">
      <c r="A4503" t="inlineStr">
        <is>
          <t>ED204605</t>
        </is>
      </c>
      <c r="B4503" s="56" t="n">
        <v>45577.7875</v>
      </c>
      <c r="C4503" t="inlineStr">
        <is>
          <t>Bluestone Memorial Hospital</t>
        </is>
      </c>
      <c r="D4503" t="n">
        <v>8</v>
      </c>
    </row>
    <row r="4504">
      <c r="A4504" t="inlineStr">
        <is>
          <t>ED204606</t>
        </is>
      </c>
      <c r="B4504" s="56" t="n">
        <v>45577.90833333333</v>
      </c>
      <c r="C4504" t="inlineStr">
        <is>
          <t>Bluestone Memorial Hospital</t>
        </is>
      </c>
      <c r="D4504" t="n">
        <v>18</v>
      </c>
    </row>
    <row r="4505">
      <c r="A4505" t="inlineStr">
        <is>
          <t>ED204607</t>
        </is>
      </c>
      <c r="B4505" s="56" t="n">
        <v>45577.93194444444</v>
      </c>
      <c r="C4505" t="inlineStr">
        <is>
          <t>Cedar Ridge Medical Center</t>
        </is>
      </c>
      <c r="D4505" t="n">
        <v>63</v>
      </c>
    </row>
    <row r="4506">
      <c r="A4506" t="inlineStr">
        <is>
          <t>ED204608</t>
        </is>
      </c>
      <c r="B4506" s="56" t="n">
        <v>45578.30763888889</v>
      </c>
      <c r="C4506" t="inlineStr">
        <is>
          <t>Bluestone Memorial Hospital</t>
        </is>
      </c>
      <c r="D4506" t="n">
        <v>3</v>
      </c>
    </row>
    <row r="4507">
      <c r="A4507" t="inlineStr">
        <is>
          <t>ED204609</t>
        </is>
      </c>
      <c r="B4507" s="56" t="n">
        <v>45578.31666666667</v>
      </c>
      <c r="C4507" t="inlineStr">
        <is>
          <t>Bluestone Memorial Hospital</t>
        </is>
      </c>
      <c r="D4507" t="n">
        <v>17</v>
      </c>
    </row>
    <row r="4508">
      <c r="A4508" t="inlineStr">
        <is>
          <t>ED204610</t>
        </is>
      </c>
      <c r="B4508" s="56" t="n">
        <v>45578.35208333333</v>
      </c>
      <c r="C4508" t="inlineStr">
        <is>
          <t>Ashby Falls Community Hospital</t>
        </is>
      </c>
      <c r="D4508" t="n">
        <v>198</v>
      </c>
    </row>
    <row r="4509">
      <c r="A4509" t="inlineStr">
        <is>
          <t>ED204611</t>
        </is>
      </c>
      <c r="B4509" s="56" t="n">
        <v>45578.40416666667</v>
      </c>
      <c r="C4509" t="inlineStr">
        <is>
          <t>Bluestone Memorial Hospital</t>
        </is>
      </c>
      <c r="D4509" t="n">
        <v>55</v>
      </c>
    </row>
    <row r="4510">
      <c r="A4510" t="inlineStr">
        <is>
          <t>ED204612</t>
        </is>
      </c>
      <c r="B4510" s="56" t="n">
        <v>45578.43819444445</v>
      </c>
      <c r="C4510" t="inlineStr">
        <is>
          <t>Bluestone Memorial Hospital</t>
        </is>
      </c>
      <c r="D4510" t="n">
        <v>28</v>
      </c>
    </row>
    <row r="4511">
      <c r="A4511" t="inlineStr">
        <is>
          <t>ED204613</t>
        </is>
      </c>
      <c r="B4511" s="56" t="n">
        <v>45578.43888888889</v>
      </c>
      <c r="C4511" t="inlineStr">
        <is>
          <t>Ashby Falls Community Hospital</t>
        </is>
      </c>
      <c r="D4511" t="n">
        <v>30</v>
      </c>
    </row>
    <row r="4512">
      <c r="A4512" t="inlineStr">
        <is>
          <t>ED204614</t>
        </is>
      </c>
      <c r="B4512" s="56" t="n">
        <v>45578.45833333334</v>
      </c>
      <c r="C4512" t="inlineStr">
        <is>
          <t>Bluestone Memorial Hospital</t>
        </is>
      </c>
      <c r="D4512" t="n">
        <v>8</v>
      </c>
    </row>
    <row r="4513">
      <c r="A4513" t="inlineStr">
        <is>
          <t>ED204615</t>
        </is>
      </c>
      <c r="B4513" s="56" t="n">
        <v>45578.57569444444</v>
      </c>
      <c r="C4513" t="inlineStr">
        <is>
          <t>Bluestone Memorial Hospital</t>
        </is>
      </c>
      <c r="D4513" t="n">
        <v>114</v>
      </c>
    </row>
    <row r="4514">
      <c r="A4514" t="inlineStr">
        <is>
          <t>ED204616</t>
        </is>
      </c>
      <c r="B4514" s="56" t="n">
        <v>45578.57916666667</v>
      </c>
      <c r="C4514" t="inlineStr">
        <is>
          <t>Ashby Falls Community Hospital</t>
        </is>
      </c>
      <c r="D4514" t="n">
        <v>72</v>
      </c>
    </row>
    <row r="4515">
      <c r="A4515" t="inlineStr">
        <is>
          <t>ED204617</t>
        </is>
      </c>
      <c r="B4515" s="56" t="n">
        <v>45578.62291666667</v>
      </c>
      <c r="C4515" t="inlineStr">
        <is>
          <t>Bluestone Memorial Hospital</t>
        </is>
      </c>
      <c r="D4515" t="n">
        <v>38</v>
      </c>
    </row>
    <row r="4516">
      <c r="A4516" t="inlineStr">
        <is>
          <t>ED204618</t>
        </is>
      </c>
      <c r="B4516" s="56" t="n">
        <v>45578.63680555556</v>
      </c>
      <c r="C4516" t="inlineStr">
        <is>
          <t>Cedar Ridge Medical Center</t>
        </is>
      </c>
      <c r="D4516" t="n">
        <v>65</v>
      </c>
    </row>
    <row r="4517">
      <c r="A4517" t="inlineStr">
        <is>
          <t>ED204619</t>
        </is>
      </c>
      <c r="B4517" s="56" t="n">
        <v>45578.66666666666</v>
      </c>
      <c r="C4517" t="inlineStr">
        <is>
          <t>Cedar Ridge Medical Center</t>
        </is>
      </c>
      <c r="D4517" t="n">
        <v>58</v>
      </c>
    </row>
    <row r="4518">
      <c r="A4518" t="inlineStr">
        <is>
          <t>ED204620</t>
        </is>
      </c>
      <c r="B4518" s="56" t="n">
        <v>45578.67847222222</v>
      </c>
      <c r="C4518" t="inlineStr">
        <is>
          <t>Bluestone Memorial Hospital</t>
        </is>
      </c>
      <c r="D4518" t="n">
        <v>18</v>
      </c>
    </row>
    <row r="4519">
      <c r="A4519" t="inlineStr">
        <is>
          <t>ED204621</t>
        </is>
      </c>
      <c r="B4519" s="56" t="n">
        <v>45578.68611111111</v>
      </c>
      <c r="C4519" t="inlineStr">
        <is>
          <t>Cedar Ridge Medical Center</t>
        </is>
      </c>
      <c r="D4519" t="n">
        <v>17</v>
      </c>
    </row>
    <row r="4520">
      <c r="A4520" t="inlineStr">
        <is>
          <t>ED204622</t>
        </is>
      </c>
      <c r="B4520" s="56" t="n">
        <v>45578.74027777778</v>
      </c>
      <c r="C4520" t="inlineStr">
        <is>
          <t>Bluestone Memorial Hospital</t>
        </is>
      </c>
      <c r="D4520" t="n">
        <v>32</v>
      </c>
    </row>
    <row r="4521">
      <c r="A4521" t="inlineStr">
        <is>
          <t>ED204623</t>
        </is>
      </c>
      <c r="B4521" s="56" t="n">
        <v>45578.77777777778</v>
      </c>
      <c r="C4521" t="inlineStr">
        <is>
          <t>Bluestone Memorial Hospital</t>
        </is>
      </c>
      <c r="D4521" t="n">
        <v>57</v>
      </c>
    </row>
    <row r="4522">
      <c r="A4522" t="inlineStr">
        <is>
          <t>ED204624</t>
        </is>
      </c>
      <c r="B4522" s="56" t="n">
        <v>45578.86111111111</v>
      </c>
      <c r="C4522" t="inlineStr">
        <is>
          <t>Cedar Ridge Medical Center</t>
        </is>
      </c>
      <c r="D4522" t="n">
        <v>55</v>
      </c>
    </row>
    <row r="4523">
      <c r="A4523" t="inlineStr">
        <is>
          <t>ED204625</t>
        </is>
      </c>
      <c r="B4523" s="56" t="n">
        <v>45578.97291666667</v>
      </c>
      <c r="C4523" t="inlineStr">
        <is>
          <t>Bluestone Memorial Hospital</t>
        </is>
      </c>
      <c r="D4523" t="n">
        <v>23</v>
      </c>
    </row>
    <row r="4524">
      <c r="A4524" t="inlineStr">
        <is>
          <t>ED204626</t>
        </is>
      </c>
      <c r="B4524" s="56" t="n">
        <v>45579.15763888889</v>
      </c>
      <c r="C4524" t="inlineStr">
        <is>
          <t>Bluestone Memorial Hospital</t>
        </is>
      </c>
      <c r="D4524" t="n">
        <v>26</v>
      </c>
    </row>
    <row r="4525">
      <c r="A4525" t="inlineStr">
        <is>
          <t>ED204627</t>
        </is>
      </c>
      <c r="B4525" s="56" t="n">
        <v>45579.25</v>
      </c>
      <c r="C4525" t="inlineStr">
        <is>
          <t>Ashby Falls Community Hospital</t>
        </is>
      </c>
      <c r="D4525" t="n">
        <v>48</v>
      </c>
    </row>
    <row r="4526">
      <c r="A4526" t="inlineStr">
        <is>
          <t>ED204628</t>
        </is>
      </c>
      <c r="B4526" s="56" t="n">
        <v>45579.34930555556</v>
      </c>
      <c r="C4526" t="inlineStr">
        <is>
          <t>Bluestone Memorial Hospital</t>
        </is>
      </c>
      <c r="D4526" t="n">
        <v>10</v>
      </c>
    </row>
    <row r="4527">
      <c r="A4527" t="inlineStr">
        <is>
          <t>ED204629</t>
        </is>
      </c>
      <c r="B4527" s="56" t="n">
        <v>45579.50972222222</v>
      </c>
      <c r="C4527" t="inlineStr">
        <is>
          <t>Bluestone Memorial Hospital</t>
        </is>
      </c>
      <c r="D4527" t="n">
        <v>34</v>
      </c>
    </row>
    <row r="4528">
      <c r="A4528" t="inlineStr">
        <is>
          <t>ED204630</t>
        </is>
      </c>
      <c r="B4528" s="56" t="n">
        <v>45579.72152777778</v>
      </c>
      <c r="C4528" t="inlineStr">
        <is>
          <t>Bluestone Memorial Hospital</t>
        </is>
      </c>
      <c r="D4528" t="n">
        <v>54</v>
      </c>
    </row>
    <row r="4529">
      <c r="A4529" t="inlineStr">
        <is>
          <t>ED204631</t>
        </is>
      </c>
      <c r="B4529" s="56" t="n">
        <v>45579.73402777778</v>
      </c>
      <c r="C4529" t="inlineStr">
        <is>
          <t>Ashby Falls Community Hospital</t>
        </is>
      </c>
      <c r="D4529" t="n">
        <v>30</v>
      </c>
    </row>
    <row r="4530">
      <c r="A4530" t="inlineStr">
        <is>
          <t>ED204632</t>
        </is>
      </c>
      <c r="B4530" s="56" t="n">
        <v>45579.75694444445</v>
      </c>
      <c r="C4530" t="inlineStr">
        <is>
          <t>Bluestone Memorial Hospital</t>
        </is>
      </c>
      <c r="D4530" t="n">
        <v>99</v>
      </c>
    </row>
    <row r="4531">
      <c r="A4531" t="inlineStr">
        <is>
          <t>ED204633</t>
        </is>
      </c>
      <c r="B4531" s="56" t="n">
        <v>45579.79791666667</v>
      </c>
      <c r="C4531" t="inlineStr">
        <is>
          <t>Bluestone Memorial Hospital</t>
        </is>
      </c>
      <c r="D4531" t="n">
        <v>138</v>
      </c>
    </row>
    <row r="4532">
      <c r="A4532" t="inlineStr">
        <is>
          <t>ED204634</t>
        </is>
      </c>
      <c r="B4532" s="56" t="n">
        <v>45579.88541666666</v>
      </c>
      <c r="C4532" t="inlineStr">
        <is>
          <t>Bluestone Memorial Hospital</t>
        </is>
      </c>
      <c r="D4532" t="n">
        <v>12</v>
      </c>
    </row>
    <row r="4533">
      <c r="A4533" t="inlineStr">
        <is>
          <t>ED204635</t>
        </is>
      </c>
      <c r="B4533" s="56" t="n">
        <v>45579.91597222222</v>
      </c>
      <c r="C4533" t="inlineStr">
        <is>
          <t>Ashby Falls Community Hospital</t>
        </is>
      </c>
      <c r="D4533" t="n">
        <v>48</v>
      </c>
    </row>
    <row r="4534">
      <c r="A4534" t="inlineStr">
        <is>
          <t>ED204636</t>
        </is>
      </c>
      <c r="B4534" s="56" t="n">
        <v>45579.93819444445</v>
      </c>
      <c r="C4534" t="inlineStr">
        <is>
          <t>Bluestone Memorial Hospital</t>
        </is>
      </c>
      <c r="D4534" t="n">
        <v>21</v>
      </c>
    </row>
    <row r="4535">
      <c r="A4535" t="inlineStr">
        <is>
          <t>ED204637</t>
        </is>
      </c>
      <c r="B4535" s="56" t="n">
        <v>45579.95902777778</v>
      </c>
      <c r="C4535" t="inlineStr">
        <is>
          <t>Bluestone Memorial Hospital</t>
        </is>
      </c>
      <c r="D4535" t="n">
        <v>62</v>
      </c>
    </row>
    <row r="4536">
      <c r="A4536" t="inlineStr">
        <is>
          <t>ED204638</t>
        </is>
      </c>
      <c r="B4536" s="56" t="n">
        <v>45580.17361111111</v>
      </c>
      <c r="C4536" t="inlineStr">
        <is>
          <t>Bluestone Memorial Hospital</t>
        </is>
      </c>
      <c r="D4536" t="n">
        <v>92</v>
      </c>
    </row>
    <row r="4537">
      <c r="A4537" t="inlineStr">
        <is>
          <t>ED204639</t>
        </is>
      </c>
      <c r="B4537" s="56" t="n">
        <v>45580.32013888889</v>
      </c>
      <c r="C4537" t="inlineStr">
        <is>
          <t>Bluestone Memorial Hospital</t>
        </is>
      </c>
      <c r="D4537" t="n">
        <v>35</v>
      </c>
    </row>
    <row r="4538">
      <c r="A4538" t="inlineStr">
        <is>
          <t>ED204640</t>
        </is>
      </c>
      <c r="B4538" s="56" t="n">
        <v>45580.38333333333</v>
      </c>
      <c r="C4538" t="inlineStr">
        <is>
          <t>Bluestone Memorial Hospital</t>
        </is>
      </c>
      <c r="D4538" t="n">
        <v>68</v>
      </c>
    </row>
    <row r="4539">
      <c r="A4539" t="inlineStr">
        <is>
          <t>ED204641</t>
        </is>
      </c>
      <c r="B4539" s="56" t="n">
        <v>45580.42222222222</v>
      </c>
      <c r="C4539" t="inlineStr">
        <is>
          <t>Bluestone Memorial Hospital</t>
        </is>
      </c>
      <c r="D4539" t="n">
        <v>106</v>
      </c>
    </row>
    <row r="4540">
      <c r="A4540" t="inlineStr">
        <is>
          <t>ED204642</t>
        </is>
      </c>
      <c r="B4540" s="56" t="n">
        <v>45580.43819444445</v>
      </c>
      <c r="C4540" t="inlineStr">
        <is>
          <t>Bluestone Memorial Hospital</t>
        </is>
      </c>
      <c r="D4540" t="n">
        <v>45</v>
      </c>
    </row>
    <row r="4541">
      <c r="A4541" t="inlineStr">
        <is>
          <t>ED204643</t>
        </is>
      </c>
      <c r="B4541" s="56" t="n">
        <v>45580.47638888889</v>
      </c>
      <c r="C4541" t="inlineStr">
        <is>
          <t>Ashby Falls Community Hospital</t>
        </is>
      </c>
      <c r="D4541" t="n">
        <v>51</v>
      </c>
    </row>
    <row r="4542">
      <c r="A4542" t="inlineStr">
        <is>
          <t>ED204644</t>
        </is>
      </c>
      <c r="B4542" s="56" t="n">
        <v>45580.5</v>
      </c>
      <c r="C4542" t="inlineStr">
        <is>
          <t>Ashby Falls Community Hospital</t>
        </is>
      </c>
      <c r="D4542" t="n">
        <v>27</v>
      </c>
    </row>
    <row r="4543">
      <c r="A4543" t="inlineStr">
        <is>
          <t>ED204645</t>
        </is>
      </c>
      <c r="B4543" s="56" t="n">
        <v>45580.50555555556</v>
      </c>
      <c r="C4543" t="inlineStr">
        <is>
          <t>Bluestone Memorial Hospital</t>
        </is>
      </c>
      <c r="D4543" t="n">
        <v>8</v>
      </c>
    </row>
    <row r="4544">
      <c r="A4544" t="inlineStr">
        <is>
          <t>ED204646</t>
        </is>
      </c>
      <c r="B4544" s="56" t="n">
        <v>45580.55902777778</v>
      </c>
      <c r="C4544" t="inlineStr">
        <is>
          <t>Bluestone Memorial Hospital</t>
        </is>
      </c>
      <c r="D4544" t="n">
        <v>112</v>
      </c>
    </row>
    <row r="4545">
      <c r="A4545" t="inlineStr">
        <is>
          <t>ED204647</t>
        </is>
      </c>
      <c r="B4545" s="56" t="n">
        <v>45580.59791666667</v>
      </c>
      <c r="C4545" t="inlineStr">
        <is>
          <t>Cedar Ridge Medical Center</t>
        </is>
      </c>
      <c r="D4545" t="n">
        <v>24</v>
      </c>
    </row>
    <row r="4546">
      <c r="A4546" t="inlineStr">
        <is>
          <t>ED204648</t>
        </is>
      </c>
      <c r="B4546" s="56" t="n">
        <v>45580.64375</v>
      </c>
      <c r="C4546" t="inlineStr">
        <is>
          <t>Ashby Falls Community Hospital</t>
        </is>
      </c>
      <c r="D4546" t="n">
        <v>1</v>
      </c>
    </row>
    <row r="4547">
      <c r="A4547" t="inlineStr">
        <is>
          <t>ED204649</t>
        </is>
      </c>
      <c r="B4547" s="56" t="n">
        <v>45580.66597222222</v>
      </c>
      <c r="C4547" t="inlineStr">
        <is>
          <t>Bluestone Memorial Hospital</t>
        </is>
      </c>
      <c r="D4547" t="n">
        <v>74</v>
      </c>
    </row>
    <row r="4548">
      <c r="A4548" t="inlineStr">
        <is>
          <t>ED204650</t>
        </is>
      </c>
      <c r="B4548" s="56" t="n">
        <v>45580.71180555555</v>
      </c>
      <c r="C4548" t="inlineStr">
        <is>
          <t>Bluestone Memorial Hospital</t>
        </is>
      </c>
      <c r="D4548" t="n">
        <v>45</v>
      </c>
    </row>
    <row r="4549">
      <c r="A4549" t="inlineStr">
        <is>
          <t>ED204651</t>
        </is>
      </c>
      <c r="B4549" s="56" t="n">
        <v>45580.71597222222</v>
      </c>
      <c r="C4549" t="inlineStr">
        <is>
          <t>Bluestone Memorial Hospital</t>
        </is>
      </c>
      <c r="D4549" t="n">
        <v>25</v>
      </c>
    </row>
    <row r="4550">
      <c r="A4550" t="inlineStr">
        <is>
          <t>ED204652</t>
        </is>
      </c>
      <c r="B4550" s="56" t="n">
        <v>45580.76597222222</v>
      </c>
      <c r="C4550" t="inlineStr">
        <is>
          <t>Bluestone Memorial Hospital</t>
        </is>
      </c>
      <c r="D4550" t="n">
        <v>62</v>
      </c>
    </row>
    <row r="4551">
      <c r="A4551" t="inlineStr">
        <is>
          <t>ED204653</t>
        </is>
      </c>
      <c r="B4551" s="56" t="n">
        <v>45580.79166666666</v>
      </c>
      <c r="C4551" t="inlineStr">
        <is>
          <t>Ashby Falls Community Hospital</t>
        </is>
      </c>
      <c r="D4551" t="n">
        <v>34</v>
      </c>
    </row>
    <row r="4552">
      <c r="A4552" t="inlineStr">
        <is>
          <t>ED204654</t>
        </is>
      </c>
      <c r="B4552" s="56" t="n">
        <v>45580.92222222222</v>
      </c>
      <c r="C4552" t="inlineStr">
        <is>
          <t>Bluestone Memorial Hospital</t>
        </is>
      </c>
      <c r="D4552" t="n">
        <v>8</v>
      </c>
    </row>
    <row r="4553">
      <c r="A4553" t="inlineStr">
        <is>
          <t>ED204655</t>
        </is>
      </c>
      <c r="B4553" s="56" t="n">
        <v>45580.925</v>
      </c>
      <c r="C4553" t="inlineStr">
        <is>
          <t>Bluestone Memorial Hospital</t>
        </is>
      </c>
      <c r="D4553" t="n">
        <v>64</v>
      </c>
    </row>
    <row r="4554">
      <c r="A4554" t="inlineStr">
        <is>
          <t>ED204656</t>
        </is>
      </c>
      <c r="B4554" s="56" t="n">
        <v>45580.94583333333</v>
      </c>
      <c r="C4554" t="inlineStr">
        <is>
          <t>Bluestone Memorial Hospital</t>
        </is>
      </c>
      <c r="D4554" t="n">
        <v>24</v>
      </c>
    </row>
    <row r="4555">
      <c r="A4555" t="inlineStr">
        <is>
          <t>ED204657</t>
        </is>
      </c>
      <c r="B4555" s="56" t="n">
        <v>45581.00902777778</v>
      </c>
      <c r="C4555" t="inlineStr">
        <is>
          <t>Bluestone Memorial Hospital</t>
        </is>
      </c>
      <c r="D4555" t="n">
        <v>12</v>
      </c>
    </row>
    <row r="4556">
      <c r="A4556" t="inlineStr">
        <is>
          <t>ED204658</t>
        </is>
      </c>
      <c r="B4556" s="56" t="n">
        <v>45581.13472222222</v>
      </c>
      <c r="C4556" t="inlineStr">
        <is>
          <t>Cedar Ridge Medical Center</t>
        </is>
      </c>
      <c r="D4556" t="n">
        <v>27</v>
      </c>
    </row>
    <row r="4557">
      <c r="A4557" t="inlineStr">
        <is>
          <t>ED204659</t>
        </is>
      </c>
      <c r="B4557" s="56" t="n">
        <v>45581.26388888889</v>
      </c>
      <c r="C4557" t="inlineStr">
        <is>
          <t>Cedar Ridge Medical Center</t>
        </is>
      </c>
      <c r="D4557" t="n">
        <v>7</v>
      </c>
    </row>
    <row r="4558">
      <c r="A4558" t="inlineStr">
        <is>
          <t>ED204660</t>
        </is>
      </c>
      <c r="B4558" s="56" t="n">
        <v>45581.33888888889</v>
      </c>
      <c r="C4558" t="inlineStr">
        <is>
          <t>Ashby Falls Community Hospital</t>
        </is>
      </c>
      <c r="D4558" t="n">
        <v>34</v>
      </c>
    </row>
    <row r="4559">
      <c r="A4559" t="inlineStr">
        <is>
          <t>ED204661</t>
        </is>
      </c>
      <c r="B4559" s="56" t="n">
        <v>45581.38402777778</v>
      </c>
      <c r="C4559" t="inlineStr">
        <is>
          <t>Bluestone Memorial Hospital</t>
        </is>
      </c>
      <c r="D4559" t="n">
        <v>8</v>
      </c>
    </row>
    <row r="4560">
      <c r="A4560" t="inlineStr">
        <is>
          <t>ED204662</t>
        </is>
      </c>
      <c r="B4560" s="56" t="n">
        <v>45581.43194444444</v>
      </c>
      <c r="C4560" t="inlineStr">
        <is>
          <t>Bluestone Memorial Hospital</t>
        </is>
      </c>
      <c r="D4560" t="n">
        <v>11</v>
      </c>
    </row>
    <row r="4561">
      <c r="A4561" t="inlineStr">
        <is>
          <t>ED204663</t>
        </is>
      </c>
      <c r="B4561" s="56" t="n">
        <v>45581.44236111111</v>
      </c>
      <c r="C4561" t="inlineStr">
        <is>
          <t>Bluestone Memorial Hospital</t>
        </is>
      </c>
      <c r="D4561" t="n">
        <v>28</v>
      </c>
    </row>
    <row r="4562">
      <c r="A4562" t="inlineStr">
        <is>
          <t>ED204664</t>
        </is>
      </c>
      <c r="B4562" s="56" t="n">
        <v>45581.50208333333</v>
      </c>
      <c r="C4562" t="inlineStr">
        <is>
          <t>Cedar Ridge Medical Center</t>
        </is>
      </c>
      <c r="D4562" t="n">
        <v>96</v>
      </c>
    </row>
    <row r="4563">
      <c r="A4563" t="inlineStr">
        <is>
          <t>ED204665</t>
        </is>
      </c>
      <c r="B4563" s="56" t="n">
        <v>45581.50694444445</v>
      </c>
      <c r="C4563" t="inlineStr">
        <is>
          <t>Cedar Ridge Medical Center</t>
        </is>
      </c>
      <c r="D4563" t="n">
        <v>118</v>
      </c>
    </row>
    <row r="4564">
      <c r="A4564" t="inlineStr">
        <is>
          <t>ED204666</t>
        </is>
      </c>
      <c r="B4564" s="56" t="n">
        <v>45581.60347222222</v>
      </c>
      <c r="C4564" t="inlineStr">
        <is>
          <t>Bluestone Memorial Hospital</t>
        </is>
      </c>
      <c r="D4564" t="n">
        <v>9</v>
      </c>
    </row>
    <row r="4565">
      <c r="A4565" t="inlineStr">
        <is>
          <t>ED204667</t>
        </is>
      </c>
      <c r="B4565" s="56" t="n">
        <v>45581.68541666667</v>
      </c>
      <c r="C4565" t="inlineStr">
        <is>
          <t>Bluestone Memorial Hospital</t>
        </is>
      </c>
      <c r="D4565" t="n">
        <v>49</v>
      </c>
    </row>
    <row r="4566">
      <c r="A4566" t="inlineStr">
        <is>
          <t>ED204668</t>
        </is>
      </c>
      <c r="B4566" s="56" t="n">
        <v>45581.77291666667</v>
      </c>
      <c r="C4566" t="inlineStr">
        <is>
          <t>Bluestone Memorial Hospital</t>
        </is>
      </c>
      <c r="D4566" t="n">
        <v>33</v>
      </c>
    </row>
    <row r="4567">
      <c r="A4567" t="inlineStr">
        <is>
          <t>ED204669</t>
        </is>
      </c>
      <c r="B4567" s="56" t="n">
        <v>45581.99583333333</v>
      </c>
      <c r="C4567" t="inlineStr">
        <is>
          <t>Bluestone Memorial Hospital</t>
        </is>
      </c>
      <c r="D4567" t="n">
        <v>24</v>
      </c>
    </row>
    <row r="4568">
      <c r="A4568" t="inlineStr">
        <is>
          <t>ED204670</t>
        </is>
      </c>
      <c r="B4568" s="56" t="n">
        <v>45582.15277777778</v>
      </c>
      <c r="C4568" t="inlineStr">
        <is>
          <t>Cedar Ridge Medical Center</t>
        </is>
      </c>
      <c r="D4568" t="n">
        <v>58</v>
      </c>
    </row>
    <row r="4569">
      <c r="A4569" t="inlineStr">
        <is>
          <t>ED204671</t>
        </is>
      </c>
      <c r="B4569" s="56" t="n">
        <v>45582.22847222222</v>
      </c>
      <c r="C4569" t="inlineStr">
        <is>
          <t>Bluestone Memorial Hospital</t>
        </is>
      </c>
      <c r="D4569" t="n">
        <v>67</v>
      </c>
    </row>
    <row r="4570">
      <c r="A4570" t="inlineStr">
        <is>
          <t>ED204672</t>
        </is>
      </c>
      <c r="B4570" s="56" t="n">
        <v>45582.35625</v>
      </c>
      <c r="C4570" t="inlineStr">
        <is>
          <t>Bluestone Memorial Hospital</t>
        </is>
      </c>
      <c r="D4570" t="n">
        <v>13</v>
      </c>
    </row>
    <row r="4571">
      <c r="A4571" t="inlineStr">
        <is>
          <t>ED204673</t>
        </is>
      </c>
      <c r="B4571" s="56" t="n">
        <v>45582.36458333334</v>
      </c>
      <c r="C4571" t="inlineStr">
        <is>
          <t>Ashby Falls Community Hospital</t>
        </is>
      </c>
      <c r="D4571" t="n">
        <v>18</v>
      </c>
    </row>
    <row r="4572">
      <c r="A4572" t="inlineStr">
        <is>
          <t>ED204674</t>
        </is>
      </c>
      <c r="B4572" s="56" t="n">
        <v>45582.43541666667</v>
      </c>
      <c r="C4572" t="inlineStr">
        <is>
          <t>Ashby Falls Community Hospital</t>
        </is>
      </c>
      <c r="D4572" t="n">
        <v>20</v>
      </c>
    </row>
    <row r="4573">
      <c r="A4573" t="inlineStr">
        <is>
          <t>ED204675</t>
        </is>
      </c>
      <c r="B4573" s="56" t="n">
        <v>45582.53055555555</v>
      </c>
      <c r="C4573" t="inlineStr">
        <is>
          <t>Cedar Ridge Medical Center</t>
        </is>
      </c>
      <c r="D4573" t="n">
        <v>180</v>
      </c>
    </row>
    <row r="4574">
      <c r="A4574" t="inlineStr">
        <is>
          <t>ED204676</t>
        </is>
      </c>
      <c r="B4574" s="56" t="n">
        <v>45582.64097222222</v>
      </c>
      <c r="C4574" t="inlineStr">
        <is>
          <t>Bluestone Memorial Hospital</t>
        </is>
      </c>
      <c r="D4574" t="n">
        <v>13</v>
      </c>
    </row>
    <row r="4575">
      <c r="A4575" t="inlineStr">
        <is>
          <t>ED204677</t>
        </is>
      </c>
      <c r="B4575" s="56" t="n">
        <v>45582.67777777778</v>
      </c>
      <c r="C4575" t="inlineStr">
        <is>
          <t>Bluestone Memorial Hospital</t>
        </is>
      </c>
      <c r="D4575" t="n">
        <v>21</v>
      </c>
    </row>
    <row r="4576">
      <c r="A4576" t="inlineStr">
        <is>
          <t>ED204679</t>
        </is>
      </c>
      <c r="B4576" s="56" t="n">
        <v>45582.71597222222</v>
      </c>
      <c r="C4576" t="inlineStr">
        <is>
          <t>Bluestone Memorial Hospital</t>
        </is>
      </c>
      <c r="D4576" t="n">
        <v>85</v>
      </c>
    </row>
    <row r="4577">
      <c r="A4577" t="inlineStr">
        <is>
          <t>ED204680</t>
        </is>
      </c>
      <c r="B4577" s="56" t="n">
        <v>45582.72847222222</v>
      </c>
      <c r="C4577" t="inlineStr">
        <is>
          <t>Bluestone Memorial Hospital</t>
        </is>
      </c>
      <c r="D4577" t="n">
        <v>2</v>
      </c>
    </row>
    <row r="4578">
      <c r="A4578" t="inlineStr">
        <is>
          <t>ED204681</t>
        </is>
      </c>
      <c r="B4578" s="56" t="n">
        <v>45582.73125</v>
      </c>
      <c r="C4578" t="inlineStr">
        <is>
          <t>Bluestone Memorial Hospital</t>
        </is>
      </c>
      <c r="D4578" t="n">
        <v>56</v>
      </c>
    </row>
    <row r="4579">
      <c r="A4579" t="inlineStr">
        <is>
          <t>ED204682</t>
        </is>
      </c>
      <c r="B4579" s="56" t="n">
        <v>45582.79791666667</v>
      </c>
      <c r="C4579" t="inlineStr">
        <is>
          <t>Cedar Ridge Medical Center</t>
        </is>
      </c>
      <c r="D4579" t="n">
        <v>47</v>
      </c>
    </row>
    <row r="4580">
      <c r="A4580" t="inlineStr">
        <is>
          <t>ED204683</t>
        </is>
      </c>
      <c r="B4580" s="56" t="n">
        <v>45582.79791666667</v>
      </c>
      <c r="C4580" t="inlineStr">
        <is>
          <t>Bluestone Memorial Hospital</t>
        </is>
      </c>
      <c r="D4580" t="n">
        <v>41</v>
      </c>
    </row>
    <row r="4581">
      <c r="A4581" t="inlineStr">
        <is>
          <t>ED204684</t>
        </is>
      </c>
      <c r="B4581" s="56" t="n">
        <v>45582.80347222222</v>
      </c>
      <c r="C4581" t="inlineStr">
        <is>
          <t>Bluestone Memorial Hospital</t>
        </is>
      </c>
      <c r="D4581" t="n">
        <v>27</v>
      </c>
    </row>
    <row r="4582">
      <c r="A4582" t="inlineStr">
        <is>
          <t>ED204685</t>
        </is>
      </c>
      <c r="B4582" s="56" t="n">
        <v>45582.83888888889</v>
      </c>
      <c r="C4582" t="inlineStr">
        <is>
          <t>Bluestone Memorial Hospital</t>
        </is>
      </c>
      <c r="D4582" t="n">
        <v>36</v>
      </c>
    </row>
    <row r="4583">
      <c r="A4583" t="inlineStr">
        <is>
          <t>ED204686</t>
        </is>
      </c>
      <c r="B4583" s="56" t="n">
        <v>45582.97361111111</v>
      </c>
      <c r="C4583" t="inlineStr">
        <is>
          <t>Bluestone Memorial Hospital</t>
        </is>
      </c>
      <c r="D4583" t="n">
        <v>29</v>
      </c>
    </row>
    <row r="4584">
      <c r="A4584" t="inlineStr">
        <is>
          <t>ED204687</t>
        </is>
      </c>
      <c r="B4584" s="56" t="n">
        <v>45583.03472222222</v>
      </c>
      <c r="C4584" t="inlineStr">
        <is>
          <t>Ashby Falls Community Hospital</t>
        </is>
      </c>
      <c r="D4584" t="n">
        <v>40</v>
      </c>
    </row>
    <row r="4585">
      <c r="A4585" t="inlineStr">
        <is>
          <t>ED204688</t>
        </is>
      </c>
      <c r="B4585" s="56" t="n">
        <v>45583.17986111111</v>
      </c>
      <c r="C4585" t="inlineStr">
        <is>
          <t>Bluestone Memorial Hospital</t>
        </is>
      </c>
      <c r="D4585" t="n">
        <v>26</v>
      </c>
    </row>
    <row r="4586">
      <c r="A4586" t="inlineStr">
        <is>
          <t>ED204689</t>
        </is>
      </c>
      <c r="B4586" s="56" t="n">
        <v>45583.27916666667</v>
      </c>
      <c r="C4586" t="inlineStr">
        <is>
          <t>Bluestone Memorial Hospital</t>
        </is>
      </c>
      <c r="D4586" t="n">
        <v>36</v>
      </c>
    </row>
    <row r="4587">
      <c r="A4587" t="inlineStr">
        <is>
          <t>ED204690</t>
        </is>
      </c>
      <c r="B4587" s="56" t="n">
        <v>45583.38888888889</v>
      </c>
      <c r="C4587" t="inlineStr">
        <is>
          <t>Bluestone Memorial Hospital</t>
        </is>
      </c>
      <c r="D4587" t="n">
        <v>22</v>
      </c>
    </row>
    <row r="4588">
      <c r="A4588" t="inlineStr">
        <is>
          <t>ED204691</t>
        </is>
      </c>
      <c r="B4588" s="56" t="n">
        <v>45583.40416666667</v>
      </c>
      <c r="C4588" t="inlineStr">
        <is>
          <t>Bluestone Memorial Hospital</t>
        </is>
      </c>
      <c r="D4588" t="n">
        <v>49</v>
      </c>
    </row>
    <row r="4589">
      <c r="A4589" t="inlineStr">
        <is>
          <t>ED204692</t>
        </is>
      </c>
      <c r="B4589" s="56" t="n">
        <v>45583.41875</v>
      </c>
      <c r="C4589" t="inlineStr">
        <is>
          <t>Bluestone Memorial Hospital</t>
        </is>
      </c>
      <c r="D4589" t="n">
        <v>21</v>
      </c>
    </row>
    <row r="4590">
      <c r="A4590" t="inlineStr">
        <is>
          <t>ED204693</t>
        </is>
      </c>
      <c r="B4590" s="56" t="n">
        <v>45583.49791666667</v>
      </c>
      <c r="C4590" t="inlineStr">
        <is>
          <t>Bluestone Memorial Hospital</t>
        </is>
      </c>
      <c r="D4590" t="n">
        <v>23</v>
      </c>
    </row>
    <row r="4591">
      <c r="A4591" t="inlineStr">
        <is>
          <t>ED204694</t>
        </is>
      </c>
      <c r="B4591" s="56" t="n">
        <v>45583.50625</v>
      </c>
      <c r="C4591" t="inlineStr">
        <is>
          <t>Cedar Ridge Medical Center</t>
        </is>
      </c>
      <c r="D4591" t="n">
        <v>17</v>
      </c>
    </row>
    <row r="4592">
      <c r="A4592" t="inlineStr">
        <is>
          <t>ED204695</t>
        </is>
      </c>
      <c r="B4592" s="56" t="n">
        <v>45583.55347222222</v>
      </c>
      <c r="C4592" t="inlineStr">
        <is>
          <t>Bluestone Memorial Hospital</t>
        </is>
      </c>
      <c r="D4592" t="n">
        <v>16</v>
      </c>
    </row>
    <row r="4593">
      <c r="A4593" t="inlineStr">
        <is>
          <t>ED204696</t>
        </is>
      </c>
      <c r="B4593" s="56" t="n">
        <v>45583.55416666667</v>
      </c>
      <c r="C4593" t="inlineStr">
        <is>
          <t>Ashby Falls Community Hospital</t>
        </is>
      </c>
      <c r="D4593" t="n">
        <v>34</v>
      </c>
    </row>
    <row r="4594">
      <c r="A4594" t="inlineStr">
        <is>
          <t>ED204697</t>
        </is>
      </c>
      <c r="B4594" s="56" t="n">
        <v>45583.56597222222</v>
      </c>
      <c r="C4594" t="inlineStr">
        <is>
          <t>Bluestone Memorial Hospital</t>
        </is>
      </c>
      <c r="D4594" t="n">
        <v>23</v>
      </c>
    </row>
    <row r="4595">
      <c r="A4595" t="inlineStr">
        <is>
          <t>ED204698</t>
        </is>
      </c>
      <c r="B4595" s="56" t="n">
        <v>45583.62083333333</v>
      </c>
      <c r="C4595" t="inlineStr">
        <is>
          <t>Ashby Falls Community Hospital</t>
        </is>
      </c>
      <c r="D4595" t="n">
        <v>32</v>
      </c>
    </row>
    <row r="4596">
      <c r="A4596" t="inlineStr">
        <is>
          <t>ED204699</t>
        </is>
      </c>
      <c r="B4596" s="56" t="n">
        <v>45583.67083333333</v>
      </c>
      <c r="C4596" t="inlineStr">
        <is>
          <t>Bluestone Memorial Hospital</t>
        </is>
      </c>
      <c r="D4596" t="n">
        <v>5</v>
      </c>
    </row>
    <row r="4597">
      <c r="A4597" t="inlineStr">
        <is>
          <t>ED204700</t>
        </is>
      </c>
      <c r="B4597" s="56" t="n">
        <v>45583.78125</v>
      </c>
      <c r="C4597" t="inlineStr">
        <is>
          <t>Bluestone Memorial Hospital</t>
        </is>
      </c>
      <c r="D4597" t="n">
        <v>203</v>
      </c>
    </row>
    <row r="4598">
      <c r="A4598" t="inlineStr">
        <is>
          <t>ED204701</t>
        </is>
      </c>
      <c r="B4598" s="56" t="n">
        <v>45583.82222222222</v>
      </c>
      <c r="C4598" t="inlineStr">
        <is>
          <t>Bluestone Memorial Hospital</t>
        </is>
      </c>
      <c r="D4598" t="n">
        <v>65</v>
      </c>
    </row>
    <row r="4599">
      <c r="A4599" t="inlineStr">
        <is>
          <t>ED204702</t>
        </is>
      </c>
      <c r="B4599" s="56" t="n">
        <v>45583.84444444445</v>
      </c>
      <c r="C4599" t="inlineStr">
        <is>
          <t>Bluestone Memorial Hospital</t>
        </is>
      </c>
      <c r="D4599" t="n">
        <v>40</v>
      </c>
    </row>
    <row r="4600">
      <c r="A4600" t="inlineStr">
        <is>
          <t>ED204703</t>
        </is>
      </c>
      <c r="B4600" s="56" t="n">
        <v>45583.85069444445</v>
      </c>
      <c r="C4600" t="inlineStr">
        <is>
          <t>Bluestone Memorial Hospital</t>
        </is>
      </c>
      <c r="D4600" t="n">
        <v>70</v>
      </c>
    </row>
    <row r="4601">
      <c r="A4601" t="inlineStr">
        <is>
          <t>ED204704</t>
        </is>
      </c>
      <c r="B4601" s="56" t="n">
        <v>45583.86041666667</v>
      </c>
      <c r="C4601" t="inlineStr">
        <is>
          <t>Bluestone Memorial Hospital</t>
        </is>
      </c>
      <c r="D4601" t="n">
        <v>21</v>
      </c>
    </row>
    <row r="4602">
      <c r="A4602" t="inlineStr">
        <is>
          <t>ED204705</t>
        </is>
      </c>
      <c r="B4602" s="56" t="n">
        <v>45583.89375</v>
      </c>
      <c r="C4602" t="inlineStr">
        <is>
          <t>Ashby Falls Community Hospital</t>
        </is>
      </c>
      <c r="D4602" t="n">
        <v>36</v>
      </c>
    </row>
    <row r="4603">
      <c r="A4603" t="inlineStr">
        <is>
          <t>ED204706</t>
        </is>
      </c>
      <c r="B4603" s="56" t="n">
        <v>45584.14722222222</v>
      </c>
      <c r="C4603" t="inlineStr">
        <is>
          <t>Bluestone Memorial Hospital</t>
        </is>
      </c>
      <c r="D4603" t="n">
        <v>27</v>
      </c>
    </row>
    <row r="4604">
      <c r="A4604" t="inlineStr">
        <is>
          <t>ED204707</t>
        </is>
      </c>
      <c r="B4604" s="56" t="n">
        <v>45584.29444444444</v>
      </c>
      <c r="C4604" t="inlineStr">
        <is>
          <t>Ashby Falls Community Hospital</t>
        </is>
      </c>
      <c r="D4604" t="n">
        <v>23</v>
      </c>
    </row>
    <row r="4605">
      <c r="A4605" t="inlineStr">
        <is>
          <t>ED204708</t>
        </is>
      </c>
      <c r="B4605" s="56" t="n">
        <v>45584.40138888889</v>
      </c>
      <c r="C4605" t="inlineStr">
        <is>
          <t>Bluestone Memorial Hospital</t>
        </is>
      </c>
      <c r="D4605" t="n">
        <v>68</v>
      </c>
    </row>
    <row r="4606">
      <c r="A4606" t="inlineStr">
        <is>
          <t>ED204709</t>
        </is>
      </c>
      <c r="B4606" s="56" t="n">
        <v>45584.52986111111</v>
      </c>
      <c r="C4606" t="inlineStr">
        <is>
          <t>Cedar Ridge Medical Center</t>
        </is>
      </c>
      <c r="D4606" t="n">
        <v>153</v>
      </c>
    </row>
    <row r="4607">
      <c r="A4607" t="inlineStr">
        <is>
          <t>ED204710</t>
        </is>
      </c>
      <c r="B4607" s="56" t="n">
        <v>45584.56527777778</v>
      </c>
      <c r="C4607" t="inlineStr">
        <is>
          <t>Bluestone Memorial Hospital</t>
        </is>
      </c>
      <c r="D4607" t="n">
        <v>97</v>
      </c>
    </row>
    <row r="4608">
      <c r="A4608" t="inlineStr">
        <is>
          <t>ED204711</t>
        </is>
      </c>
      <c r="B4608" s="56" t="n">
        <v>45584.625</v>
      </c>
      <c r="C4608" t="inlineStr">
        <is>
          <t>Cedar Ridge Medical Center</t>
        </is>
      </c>
      <c r="D4608" t="n">
        <v>13</v>
      </c>
    </row>
    <row r="4609">
      <c r="A4609" t="inlineStr">
        <is>
          <t>ED204712</t>
        </is>
      </c>
      <c r="B4609" s="56" t="n">
        <v>45584.71736111111</v>
      </c>
      <c r="C4609" t="inlineStr">
        <is>
          <t>Bluestone Memorial Hospital</t>
        </is>
      </c>
      <c r="D4609" t="n">
        <v>83</v>
      </c>
    </row>
    <row r="4610">
      <c r="A4610" t="inlineStr">
        <is>
          <t>ED204713</t>
        </is>
      </c>
      <c r="B4610" s="56" t="n">
        <v>45584.72013888889</v>
      </c>
      <c r="C4610" t="inlineStr">
        <is>
          <t>Bluestone Memorial Hospital</t>
        </is>
      </c>
      <c r="D4610" t="n">
        <v>24</v>
      </c>
    </row>
    <row r="4611">
      <c r="A4611" t="inlineStr">
        <is>
          <t>ED204714</t>
        </is>
      </c>
      <c r="B4611" s="56" t="n">
        <v>45584.77083333334</v>
      </c>
      <c r="C4611" t="inlineStr">
        <is>
          <t>Ashby Falls Community Hospital</t>
        </is>
      </c>
      <c r="D4611" t="n">
        <v>67</v>
      </c>
    </row>
    <row r="4612">
      <c r="A4612" t="inlineStr">
        <is>
          <t>ED204715</t>
        </is>
      </c>
      <c r="B4612" s="56" t="n">
        <v>45585.01666666667</v>
      </c>
      <c r="C4612" t="inlineStr">
        <is>
          <t>Bluestone Memorial Hospital</t>
        </is>
      </c>
      <c r="D4612" t="n">
        <v>94</v>
      </c>
    </row>
    <row r="4613">
      <c r="A4613" t="inlineStr">
        <is>
          <t>ED204716</t>
        </is>
      </c>
      <c r="B4613" s="56" t="n">
        <v>45585.37638888889</v>
      </c>
      <c r="C4613" t="inlineStr">
        <is>
          <t>Bluestone Memorial Hospital</t>
        </is>
      </c>
      <c r="D4613" t="n">
        <v>9</v>
      </c>
    </row>
    <row r="4614">
      <c r="A4614" t="inlineStr">
        <is>
          <t>ED204717</t>
        </is>
      </c>
      <c r="B4614" s="56" t="n">
        <v>45585.40208333333</v>
      </c>
      <c r="C4614" t="inlineStr">
        <is>
          <t>Bluestone Memorial Hospital</t>
        </is>
      </c>
      <c r="D4614" t="n">
        <v>85</v>
      </c>
    </row>
    <row r="4615">
      <c r="A4615" t="inlineStr">
        <is>
          <t>ED204718</t>
        </is>
      </c>
      <c r="B4615" s="56" t="n">
        <v>45585.4625</v>
      </c>
      <c r="C4615" t="inlineStr">
        <is>
          <t>Bluestone Memorial Hospital</t>
        </is>
      </c>
      <c r="D4615" t="n">
        <v>34</v>
      </c>
    </row>
    <row r="4616">
      <c r="A4616" t="inlineStr">
        <is>
          <t>ED204719</t>
        </is>
      </c>
      <c r="B4616" s="56" t="n">
        <v>45585.48680555556</v>
      </c>
      <c r="C4616" t="inlineStr">
        <is>
          <t>Bluestone Memorial Hospital</t>
        </is>
      </c>
      <c r="D4616" t="n">
        <v>14</v>
      </c>
    </row>
    <row r="4617">
      <c r="A4617" t="inlineStr">
        <is>
          <t>ED204720</t>
        </is>
      </c>
      <c r="B4617" s="56" t="n">
        <v>45585.49513888889</v>
      </c>
      <c r="C4617" t="inlineStr">
        <is>
          <t>Bluestone Memorial Hospital</t>
        </is>
      </c>
      <c r="D4617" t="n">
        <v>76</v>
      </c>
    </row>
    <row r="4618">
      <c r="A4618" t="inlineStr">
        <is>
          <t>ED204721</t>
        </is>
      </c>
      <c r="B4618" s="56" t="n">
        <v>45585.50069444445</v>
      </c>
      <c r="C4618" t="inlineStr">
        <is>
          <t>Bluestone Memorial Hospital</t>
        </is>
      </c>
      <c r="D4618" t="n">
        <v>73</v>
      </c>
    </row>
    <row r="4619">
      <c r="A4619" t="inlineStr">
        <is>
          <t>ED204722</t>
        </is>
      </c>
      <c r="B4619" s="56" t="n">
        <v>45585.59791666667</v>
      </c>
      <c r="C4619" t="inlineStr">
        <is>
          <t>Bluestone Memorial Hospital</t>
        </is>
      </c>
      <c r="D4619" t="n">
        <v>28</v>
      </c>
    </row>
    <row r="4620">
      <c r="A4620" t="inlineStr">
        <is>
          <t>ED204723</t>
        </is>
      </c>
      <c r="B4620" s="56" t="n">
        <v>45585.62569444445</v>
      </c>
      <c r="C4620" t="inlineStr">
        <is>
          <t>Cedar Ridge Medical Center</t>
        </is>
      </c>
      <c r="D4620" t="n">
        <v>105</v>
      </c>
    </row>
    <row r="4621">
      <c r="A4621" t="inlineStr">
        <is>
          <t>ED204724</t>
        </is>
      </c>
      <c r="B4621" s="56" t="n">
        <v>45585.72638888889</v>
      </c>
      <c r="C4621" t="inlineStr">
        <is>
          <t>Bluestone Memorial Hospital</t>
        </is>
      </c>
      <c r="D4621" t="n">
        <v>61</v>
      </c>
    </row>
    <row r="4622">
      <c r="A4622" t="inlineStr">
        <is>
          <t>ED204725</t>
        </is>
      </c>
      <c r="B4622" s="56" t="n">
        <v>45585.85555555556</v>
      </c>
      <c r="C4622" t="inlineStr">
        <is>
          <t>Bluestone Memorial Hospital</t>
        </is>
      </c>
      <c r="D4622" t="n">
        <v>29</v>
      </c>
    </row>
    <row r="4623">
      <c r="A4623" t="inlineStr">
        <is>
          <t>ED204726</t>
        </is>
      </c>
      <c r="B4623" s="56" t="n">
        <v>45585.91041666667</v>
      </c>
      <c r="C4623" t="inlineStr">
        <is>
          <t>Bluestone Memorial Hospital</t>
        </is>
      </c>
      <c r="D4623" t="n">
        <v>92</v>
      </c>
    </row>
    <row r="4624">
      <c r="A4624" t="inlineStr">
        <is>
          <t>ED204727</t>
        </is>
      </c>
      <c r="B4624" s="56" t="n">
        <v>45585.91111111111</v>
      </c>
      <c r="C4624" t="inlineStr">
        <is>
          <t>Bluestone Memorial Hospital</t>
        </is>
      </c>
      <c r="D4624" t="n">
        <v>40</v>
      </c>
    </row>
    <row r="4625">
      <c r="A4625" t="inlineStr">
        <is>
          <t>ED204728</t>
        </is>
      </c>
      <c r="B4625" s="56" t="n">
        <v>45585.97222222222</v>
      </c>
      <c r="C4625" t="inlineStr">
        <is>
          <t>Bluestone Memorial Hospital</t>
        </is>
      </c>
      <c r="D4625" t="n">
        <v>48</v>
      </c>
    </row>
    <row r="4626">
      <c r="A4626" t="inlineStr">
        <is>
          <t>ED204729</t>
        </is>
      </c>
      <c r="B4626" s="56" t="n">
        <v>45586.06388888889</v>
      </c>
      <c r="C4626" t="inlineStr">
        <is>
          <t>Bluestone Memorial Hospital</t>
        </is>
      </c>
      <c r="D4626" t="n">
        <v>12</v>
      </c>
    </row>
    <row r="4627">
      <c r="A4627" t="inlineStr">
        <is>
          <t>ED204730</t>
        </is>
      </c>
      <c r="B4627" s="56" t="n">
        <v>45586.08263888889</v>
      </c>
      <c r="C4627" t="inlineStr">
        <is>
          <t>Cedar Ridge Medical Center</t>
        </is>
      </c>
      <c r="D4627" t="n">
        <v>70</v>
      </c>
    </row>
    <row r="4628">
      <c r="A4628" t="inlineStr">
        <is>
          <t>ED204731</t>
        </is>
      </c>
      <c r="B4628" s="56" t="n">
        <v>45586.31736111111</v>
      </c>
      <c r="C4628" t="inlineStr">
        <is>
          <t>Bluestone Memorial Hospital</t>
        </is>
      </c>
      <c r="D4628" t="n">
        <v>43</v>
      </c>
    </row>
    <row r="4629">
      <c r="A4629" t="inlineStr">
        <is>
          <t>ED204732</t>
        </is>
      </c>
      <c r="B4629" s="56" t="n">
        <v>45586.49722222222</v>
      </c>
      <c r="C4629" t="inlineStr">
        <is>
          <t>Ashby Falls Community Hospital</t>
        </is>
      </c>
      <c r="D4629" t="n">
        <v>58</v>
      </c>
    </row>
    <row r="4630">
      <c r="A4630" t="inlineStr">
        <is>
          <t>ED204733</t>
        </is>
      </c>
      <c r="B4630" s="56" t="n">
        <v>45586.49722222222</v>
      </c>
      <c r="C4630" t="inlineStr">
        <is>
          <t>Cedar Ridge Medical Center</t>
        </is>
      </c>
      <c r="D4630" t="n">
        <v>31</v>
      </c>
    </row>
    <row r="4631">
      <c r="A4631" t="inlineStr">
        <is>
          <t>ED204734</t>
        </is>
      </c>
      <c r="B4631" s="56" t="n">
        <v>45586.625</v>
      </c>
      <c r="C4631" t="inlineStr">
        <is>
          <t>Bluestone Memorial Hospital</t>
        </is>
      </c>
      <c r="D4631" t="n">
        <v>118</v>
      </c>
    </row>
    <row r="4632">
      <c r="A4632" t="inlineStr">
        <is>
          <t>ED204735</t>
        </is>
      </c>
      <c r="B4632" s="56" t="n">
        <v>45586.64930555555</v>
      </c>
      <c r="C4632" t="inlineStr">
        <is>
          <t>Bluestone Memorial Hospital</t>
        </is>
      </c>
      <c r="D4632" t="n">
        <v>125</v>
      </c>
    </row>
    <row r="4633">
      <c r="A4633" t="inlineStr">
        <is>
          <t>ED204736</t>
        </is>
      </c>
      <c r="B4633" s="56" t="n">
        <v>45586.67083333333</v>
      </c>
      <c r="C4633" t="inlineStr">
        <is>
          <t>Cedar Ridge Medical Center</t>
        </is>
      </c>
      <c r="D4633" t="n">
        <v>71</v>
      </c>
    </row>
    <row r="4634">
      <c r="A4634" t="inlineStr">
        <is>
          <t>ED204737</t>
        </is>
      </c>
      <c r="B4634" s="56" t="n">
        <v>45586.70486111111</v>
      </c>
      <c r="C4634" t="inlineStr">
        <is>
          <t>Bluestone Memorial Hospital</t>
        </is>
      </c>
      <c r="D4634" t="n">
        <v>30</v>
      </c>
    </row>
    <row r="4635">
      <c r="A4635" t="inlineStr">
        <is>
          <t>ED204738</t>
        </is>
      </c>
      <c r="B4635" s="56" t="n">
        <v>45586.75208333333</v>
      </c>
      <c r="C4635" t="inlineStr">
        <is>
          <t>Bluestone Memorial Hospital</t>
        </is>
      </c>
      <c r="D4635" t="n">
        <v>45</v>
      </c>
    </row>
    <row r="4636">
      <c r="A4636" t="inlineStr">
        <is>
          <t>ED204739</t>
        </is>
      </c>
      <c r="B4636" s="56" t="n">
        <v>45586.86458333334</v>
      </c>
      <c r="C4636" t="inlineStr">
        <is>
          <t>Bluestone Memorial Hospital</t>
        </is>
      </c>
      <c r="D4636" t="n">
        <v>27</v>
      </c>
    </row>
    <row r="4637">
      <c r="A4637" t="inlineStr">
        <is>
          <t>ED204740</t>
        </is>
      </c>
      <c r="B4637" s="56" t="n">
        <v>45587.02013888889</v>
      </c>
      <c r="C4637" t="inlineStr">
        <is>
          <t>Bluestone Memorial Hospital</t>
        </is>
      </c>
      <c r="D4637" t="n">
        <v>6</v>
      </c>
    </row>
    <row r="4638">
      <c r="A4638" t="inlineStr">
        <is>
          <t>ED204741</t>
        </is>
      </c>
      <c r="B4638" s="56" t="n">
        <v>45587.09097222222</v>
      </c>
      <c r="C4638" t="inlineStr">
        <is>
          <t>Bluestone Memorial Hospital</t>
        </is>
      </c>
      <c r="D4638" t="n">
        <v>14</v>
      </c>
    </row>
    <row r="4639">
      <c r="A4639" t="inlineStr">
        <is>
          <t>ED204742</t>
        </is>
      </c>
      <c r="B4639" s="56" t="n">
        <v>45587.14097222222</v>
      </c>
      <c r="C4639" t="inlineStr">
        <is>
          <t>Bluestone Memorial Hospital</t>
        </is>
      </c>
      <c r="D4639" t="n">
        <v>2</v>
      </c>
    </row>
    <row r="4640">
      <c r="A4640" t="inlineStr">
        <is>
          <t>ED204743</t>
        </is>
      </c>
      <c r="B4640" s="56" t="n">
        <v>45587.2625</v>
      </c>
      <c r="C4640" t="inlineStr">
        <is>
          <t>Cedar Ridge Medical Center</t>
        </is>
      </c>
      <c r="D4640" t="n">
        <v>29</v>
      </c>
    </row>
    <row r="4641">
      <c r="A4641" t="inlineStr">
        <is>
          <t>ED204744</t>
        </is>
      </c>
      <c r="B4641" s="56" t="n">
        <v>45587.28055555555</v>
      </c>
      <c r="C4641" t="inlineStr">
        <is>
          <t>Bluestone Memorial Hospital</t>
        </is>
      </c>
      <c r="D4641" t="n">
        <v>22</v>
      </c>
    </row>
    <row r="4642">
      <c r="A4642" t="inlineStr">
        <is>
          <t>ED204745</t>
        </is>
      </c>
      <c r="B4642" s="56" t="n">
        <v>45587.36597222222</v>
      </c>
      <c r="C4642" t="inlineStr">
        <is>
          <t>Cedar Ridge Medical Center</t>
        </is>
      </c>
      <c r="D4642" t="n">
        <v>10</v>
      </c>
    </row>
    <row r="4643">
      <c r="A4643" t="inlineStr">
        <is>
          <t>ED204746</t>
        </is>
      </c>
      <c r="B4643" s="56" t="n">
        <v>45587.41388888889</v>
      </c>
      <c r="C4643" t="inlineStr">
        <is>
          <t>Bluestone Memorial Hospital</t>
        </is>
      </c>
      <c r="D4643" t="n">
        <v>20</v>
      </c>
    </row>
    <row r="4644">
      <c r="A4644" t="inlineStr">
        <is>
          <t>ED204747</t>
        </is>
      </c>
      <c r="B4644" s="56" t="n">
        <v>45587.43541666667</v>
      </c>
      <c r="C4644" t="inlineStr">
        <is>
          <t>Bluestone Memorial Hospital</t>
        </is>
      </c>
      <c r="D4644" t="n">
        <v>44</v>
      </c>
    </row>
    <row r="4645">
      <c r="A4645" t="inlineStr">
        <is>
          <t>ED204748</t>
        </is>
      </c>
      <c r="B4645" s="56" t="n">
        <v>45587.51111111111</v>
      </c>
      <c r="C4645" t="inlineStr">
        <is>
          <t>Bluestone Memorial Hospital</t>
        </is>
      </c>
      <c r="D4645" t="n">
        <v>55</v>
      </c>
    </row>
    <row r="4646">
      <c r="A4646" t="inlineStr">
        <is>
          <t>ED204749</t>
        </is>
      </c>
      <c r="B4646" s="56" t="n">
        <v>45587.60347222222</v>
      </c>
      <c r="C4646" t="inlineStr">
        <is>
          <t>Bluestone Memorial Hospital</t>
        </is>
      </c>
      <c r="D4646" t="n">
        <v>28</v>
      </c>
    </row>
    <row r="4647">
      <c r="A4647" t="inlineStr">
        <is>
          <t>ED204750</t>
        </is>
      </c>
      <c r="B4647" s="56" t="n">
        <v>45587.62638888889</v>
      </c>
      <c r="C4647" t="inlineStr">
        <is>
          <t>Bluestone Memorial Hospital</t>
        </is>
      </c>
      <c r="D4647" t="n">
        <v>29</v>
      </c>
    </row>
    <row r="4648">
      <c r="A4648" t="inlineStr">
        <is>
          <t>ED204751</t>
        </is>
      </c>
      <c r="B4648" s="56" t="n">
        <v>45587.63611111111</v>
      </c>
      <c r="C4648" t="inlineStr">
        <is>
          <t>Bluestone Memorial Hospital</t>
        </is>
      </c>
      <c r="D4648" t="n">
        <v>10</v>
      </c>
    </row>
    <row r="4649">
      <c r="A4649" t="inlineStr">
        <is>
          <t>ED204752</t>
        </is>
      </c>
      <c r="B4649" s="56" t="n">
        <v>45587.69930555556</v>
      </c>
      <c r="C4649" t="inlineStr">
        <is>
          <t>Bluestone Memorial Hospital</t>
        </is>
      </c>
      <c r="D4649" t="n">
        <v>136</v>
      </c>
    </row>
    <row r="4650">
      <c r="A4650" t="inlineStr">
        <is>
          <t>ED204753</t>
        </is>
      </c>
      <c r="B4650" s="56" t="n">
        <v>45587.74027777778</v>
      </c>
      <c r="C4650" t="inlineStr">
        <is>
          <t>Bluestone Memorial Hospital</t>
        </is>
      </c>
      <c r="D4650" t="n">
        <v>97</v>
      </c>
    </row>
    <row r="4651">
      <c r="A4651" t="inlineStr">
        <is>
          <t>ED204754</t>
        </is>
      </c>
      <c r="B4651" s="56" t="n">
        <v>45587.82152777778</v>
      </c>
      <c r="C4651" t="inlineStr">
        <is>
          <t>Bluestone Memorial Hospital</t>
        </is>
      </c>
      <c r="D4651" t="n">
        <v>49</v>
      </c>
    </row>
    <row r="4652">
      <c r="A4652" t="inlineStr">
        <is>
          <t>ED204755</t>
        </is>
      </c>
      <c r="B4652" s="56" t="n">
        <v>45587.94722222222</v>
      </c>
      <c r="C4652" t="inlineStr">
        <is>
          <t>Cedar Ridge Medical Center</t>
        </is>
      </c>
      <c r="D4652" t="n">
        <v>29</v>
      </c>
    </row>
    <row r="4653">
      <c r="A4653" t="inlineStr">
        <is>
          <t>ED204756</t>
        </is>
      </c>
      <c r="B4653" s="56" t="n">
        <v>45587.95555555556</v>
      </c>
      <c r="C4653" t="inlineStr">
        <is>
          <t>Bluestone Memorial Hospital</t>
        </is>
      </c>
      <c r="D4653" t="n">
        <v>11</v>
      </c>
    </row>
    <row r="4654">
      <c r="A4654" t="inlineStr">
        <is>
          <t>ED204758</t>
        </is>
      </c>
      <c r="B4654" s="56" t="n">
        <v>45588.12777777778</v>
      </c>
      <c r="C4654" t="inlineStr">
        <is>
          <t>Bluestone Memorial Hospital</t>
        </is>
      </c>
      <c r="D4654" t="n">
        <v>49</v>
      </c>
    </row>
    <row r="4655">
      <c r="A4655" t="inlineStr">
        <is>
          <t>ED204759</t>
        </is>
      </c>
      <c r="B4655" s="56" t="n">
        <v>45588.23472222222</v>
      </c>
      <c r="C4655" t="inlineStr">
        <is>
          <t>Cedar Ridge Medical Center</t>
        </is>
      </c>
      <c r="D4655" t="n">
        <v>59</v>
      </c>
    </row>
    <row r="4656">
      <c r="A4656" t="inlineStr">
        <is>
          <t>ED204760</t>
        </is>
      </c>
      <c r="B4656" s="56" t="n">
        <v>45588.38472222222</v>
      </c>
      <c r="C4656" t="inlineStr">
        <is>
          <t>Cedar Ridge Medical Center</t>
        </is>
      </c>
      <c r="D4656" t="n">
        <v>37</v>
      </c>
    </row>
    <row r="4657">
      <c r="A4657" t="inlineStr">
        <is>
          <t>ED204761</t>
        </is>
      </c>
      <c r="B4657" s="56" t="n">
        <v>45588.42222222222</v>
      </c>
      <c r="C4657" t="inlineStr">
        <is>
          <t>Bluestone Memorial Hospital</t>
        </is>
      </c>
      <c r="D4657" t="n">
        <v>41</v>
      </c>
    </row>
    <row r="4658">
      <c r="A4658" t="inlineStr">
        <is>
          <t>ED204762</t>
        </is>
      </c>
      <c r="B4658" s="56" t="n">
        <v>45588.45694444444</v>
      </c>
      <c r="C4658" t="inlineStr">
        <is>
          <t>Cedar Ridge Medical Center</t>
        </is>
      </c>
      <c r="D4658" t="n">
        <v>69</v>
      </c>
    </row>
    <row r="4659">
      <c r="A4659" t="inlineStr">
        <is>
          <t>ED204763</t>
        </is>
      </c>
      <c r="B4659" s="56" t="n">
        <v>45588.47569444445</v>
      </c>
      <c r="C4659" t="inlineStr">
        <is>
          <t>Bluestone Memorial Hospital</t>
        </is>
      </c>
      <c r="D4659" t="n">
        <v>52</v>
      </c>
    </row>
    <row r="4660">
      <c r="A4660" t="inlineStr">
        <is>
          <t>ED204764</t>
        </is>
      </c>
      <c r="B4660" s="56" t="n">
        <v>45588.49305555555</v>
      </c>
      <c r="C4660" t="inlineStr">
        <is>
          <t>Cedar Ridge Medical Center</t>
        </is>
      </c>
      <c r="D4660" t="n">
        <v>28</v>
      </c>
    </row>
    <row r="4661">
      <c r="A4661" t="inlineStr">
        <is>
          <t>ED204765</t>
        </is>
      </c>
      <c r="B4661" s="56" t="n">
        <v>45588.52847222222</v>
      </c>
      <c r="C4661" t="inlineStr">
        <is>
          <t>Bluestone Memorial Hospital</t>
        </is>
      </c>
      <c r="D4661" t="n">
        <v>92</v>
      </c>
    </row>
    <row r="4662">
      <c r="A4662" t="inlineStr">
        <is>
          <t>ED204766</t>
        </is>
      </c>
      <c r="B4662" s="56" t="n">
        <v>45588.63819444444</v>
      </c>
      <c r="C4662" t="inlineStr">
        <is>
          <t>Bluestone Memorial Hospital</t>
        </is>
      </c>
      <c r="D4662" t="n">
        <v>24</v>
      </c>
    </row>
    <row r="4663">
      <c r="A4663" t="inlineStr">
        <is>
          <t>ED204767</t>
        </is>
      </c>
      <c r="B4663" s="56" t="n">
        <v>45588.67430555556</v>
      </c>
      <c r="C4663" t="inlineStr">
        <is>
          <t>Bluestone Memorial Hospital</t>
        </is>
      </c>
      <c r="D4663" t="n">
        <v>44</v>
      </c>
    </row>
    <row r="4664">
      <c r="A4664" t="inlineStr">
        <is>
          <t>ED204768</t>
        </is>
      </c>
      <c r="B4664" s="56" t="n">
        <v>45588.67916666667</v>
      </c>
      <c r="C4664" t="inlineStr">
        <is>
          <t>Cedar Ridge Medical Center</t>
        </is>
      </c>
      <c r="D4664" t="n">
        <v>84</v>
      </c>
    </row>
    <row r="4665">
      <c r="A4665" t="inlineStr">
        <is>
          <t>ED204769</t>
        </is>
      </c>
      <c r="B4665" s="56" t="n">
        <v>45588.68958333333</v>
      </c>
      <c r="C4665" t="inlineStr">
        <is>
          <t>Cedar Ridge Medical Center</t>
        </is>
      </c>
      <c r="D4665" t="n">
        <v>15</v>
      </c>
    </row>
    <row r="4666">
      <c r="A4666" t="inlineStr">
        <is>
          <t>ED204770</t>
        </is>
      </c>
      <c r="B4666" s="56" t="n">
        <v>45588.79513888889</v>
      </c>
      <c r="C4666" t="inlineStr">
        <is>
          <t>Bluestone Memorial Hospital</t>
        </is>
      </c>
      <c r="D4666" t="n">
        <v>126</v>
      </c>
    </row>
    <row r="4667">
      <c r="A4667" t="inlineStr">
        <is>
          <t>ED204771</t>
        </is>
      </c>
      <c r="B4667" s="56" t="n">
        <v>45588.8875</v>
      </c>
      <c r="C4667" t="inlineStr">
        <is>
          <t>Bluestone Memorial Hospital</t>
        </is>
      </c>
      <c r="D4667" t="n">
        <v>42</v>
      </c>
    </row>
    <row r="4668">
      <c r="A4668" t="inlineStr">
        <is>
          <t>ED204772</t>
        </is>
      </c>
      <c r="B4668" s="56" t="n">
        <v>45588.93402777778</v>
      </c>
      <c r="C4668" t="inlineStr">
        <is>
          <t>Bluestone Memorial Hospital</t>
        </is>
      </c>
      <c r="D4668" t="n">
        <v>21</v>
      </c>
    </row>
    <row r="4669">
      <c r="A4669" t="inlineStr">
        <is>
          <t>ED204773</t>
        </is>
      </c>
      <c r="B4669" s="56" t="n">
        <v>45588.96180555555</v>
      </c>
      <c r="C4669" t="inlineStr">
        <is>
          <t>Bluestone Memorial Hospital</t>
        </is>
      </c>
      <c r="D4669" t="n">
        <v>10</v>
      </c>
    </row>
    <row r="4670">
      <c r="A4670" t="inlineStr">
        <is>
          <t>ED204774</t>
        </is>
      </c>
      <c r="B4670" s="56" t="n">
        <v>45589.00347222222</v>
      </c>
      <c r="C4670" t="inlineStr">
        <is>
          <t>Bluestone Memorial Hospital</t>
        </is>
      </c>
      <c r="D4670" t="n">
        <v>20</v>
      </c>
    </row>
    <row r="4671">
      <c r="A4671" t="inlineStr">
        <is>
          <t>ED204775</t>
        </is>
      </c>
      <c r="B4671" s="56" t="n">
        <v>45589.12222222222</v>
      </c>
      <c r="C4671" t="inlineStr">
        <is>
          <t>Ashby Falls Community Hospital</t>
        </is>
      </c>
      <c r="D4671" t="n">
        <v>92</v>
      </c>
    </row>
    <row r="4672">
      <c r="A4672" t="inlineStr">
        <is>
          <t>ED204776</t>
        </is>
      </c>
      <c r="B4672" s="56" t="n">
        <v>45589.27777777778</v>
      </c>
      <c r="C4672" t="inlineStr">
        <is>
          <t>Bluestone Memorial Hospital</t>
        </is>
      </c>
      <c r="D4672" t="n">
        <v>15</v>
      </c>
    </row>
    <row r="4673">
      <c r="A4673" t="inlineStr">
        <is>
          <t>ED204777</t>
        </is>
      </c>
      <c r="B4673" s="56" t="n">
        <v>45589.31041666667</v>
      </c>
      <c r="C4673" t="inlineStr">
        <is>
          <t>Bluestone Memorial Hospital</t>
        </is>
      </c>
      <c r="D4673" t="n">
        <v>21</v>
      </c>
    </row>
    <row r="4674">
      <c r="A4674" t="inlineStr">
        <is>
          <t>ED204778</t>
        </is>
      </c>
      <c r="B4674" s="56" t="n">
        <v>45589.45555555556</v>
      </c>
      <c r="C4674" t="inlineStr">
        <is>
          <t>Bluestone Memorial Hospital</t>
        </is>
      </c>
      <c r="D4674" t="n">
        <v>62</v>
      </c>
    </row>
    <row r="4675">
      <c r="A4675" t="inlineStr">
        <is>
          <t>ED204779</t>
        </is>
      </c>
      <c r="B4675" s="56" t="n">
        <v>45589.51597222222</v>
      </c>
      <c r="C4675" t="inlineStr">
        <is>
          <t>Bluestone Memorial Hospital</t>
        </is>
      </c>
      <c r="D4675" t="n">
        <v>102</v>
      </c>
    </row>
    <row r="4676">
      <c r="A4676" t="inlineStr">
        <is>
          <t>ED204780</t>
        </is>
      </c>
      <c r="B4676" s="56" t="n">
        <v>45589.52777777778</v>
      </c>
      <c r="C4676" t="inlineStr">
        <is>
          <t>Bluestone Memorial Hospital</t>
        </is>
      </c>
      <c r="D4676" t="n">
        <v>47</v>
      </c>
    </row>
    <row r="4677">
      <c r="A4677" t="inlineStr">
        <is>
          <t>ED204781</t>
        </is>
      </c>
      <c r="B4677" s="56" t="n">
        <v>45589.57013888889</v>
      </c>
      <c r="C4677" t="inlineStr">
        <is>
          <t>Ashby Falls Community Hospital</t>
        </is>
      </c>
      <c r="D4677" t="n">
        <v>25</v>
      </c>
    </row>
    <row r="4678">
      <c r="A4678" t="inlineStr">
        <is>
          <t>ED204782</t>
        </is>
      </c>
      <c r="B4678" s="56" t="n">
        <v>45589.58055555556</v>
      </c>
      <c r="C4678" t="inlineStr">
        <is>
          <t>Bluestone Memorial Hospital</t>
        </is>
      </c>
      <c r="D4678" t="n">
        <v>28</v>
      </c>
    </row>
    <row r="4679">
      <c r="A4679" t="inlineStr">
        <is>
          <t>ED204783</t>
        </is>
      </c>
      <c r="B4679" s="56" t="n">
        <v>45589.58055555556</v>
      </c>
      <c r="C4679" t="inlineStr">
        <is>
          <t>Bluestone Memorial Hospital</t>
        </is>
      </c>
      <c r="D4679" t="n">
        <v>87</v>
      </c>
    </row>
    <row r="4680">
      <c r="A4680" t="inlineStr">
        <is>
          <t>ED204784</t>
        </is>
      </c>
      <c r="B4680" s="56" t="n">
        <v>45589.58263888889</v>
      </c>
      <c r="C4680" t="inlineStr">
        <is>
          <t>Bluestone Memorial Hospital</t>
        </is>
      </c>
      <c r="D4680" t="n">
        <v>58</v>
      </c>
    </row>
    <row r="4681">
      <c r="A4681" t="inlineStr">
        <is>
          <t>ED204785</t>
        </is>
      </c>
      <c r="B4681" s="56" t="n">
        <v>45589.59513888889</v>
      </c>
      <c r="C4681" t="inlineStr">
        <is>
          <t>Bluestone Memorial Hospital</t>
        </is>
      </c>
      <c r="D4681" t="n">
        <v>27</v>
      </c>
    </row>
    <row r="4682">
      <c r="A4682" t="inlineStr">
        <is>
          <t>ED204786</t>
        </is>
      </c>
      <c r="B4682" s="56" t="n">
        <v>45589.69305555556</v>
      </c>
      <c r="C4682" t="inlineStr">
        <is>
          <t>Bluestone Memorial Hospital</t>
        </is>
      </c>
      <c r="D4682" t="n">
        <v>41</v>
      </c>
    </row>
    <row r="4683">
      <c r="A4683" t="inlineStr">
        <is>
          <t>ED204787</t>
        </is>
      </c>
      <c r="B4683" s="56" t="n">
        <v>45589.72569444445</v>
      </c>
      <c r="C4683" t="inlineStr">
        <is>
          <t>Cedar Ridge Medical Center</t>
        </is>
      </c>
      <c r="D4683" t="n">
        <v>50</v>
      </c>
    </row>
    <row r="4684">
      <c r="A4684" t="inlineStr">
        <is>
          <t>ED204788</t>
        </is>
      </c>
      <c r="B4684" s="56" t="n">
        <v>45589.77638888889</v>
      </c>
      <c r="C4684" t="inlineStr">
        <is>
          <t>Cedar Ridge Medical Center</t>
        </is>
      </c>
      <c r="D4684" t="n">
        <v>28</v>
      </c>
    </row>
    <row r="4685">
      <c r="A4685" t="inlineStr">
        <is>
          <t>ED204789</t>
        </is>
      </c>
      <c r="B4685" s="56" t="n">
        <v>45589.78333333333</v>
      </c>
      <c r="C4685" t="inlineStr">
        <is>
          <t>Bluestone Memorial Hospital</t>
        </is>
      </c>
      <c r="D4685" t="n">
        <v>22</v>
      </c>
    </row>
    <row r="4686">
      <c r="A4686" t="inlineStr">
        <is>
          <t>ED204790</t>
        </is>
      </c>
      <c r="B4686" s="56" t="n">
        <v>45589.81875</v>
      </c>
      <c r="C4686" t="inlineStr">
        <is>
          <t>Bluestone Memorial Hospital</t>
        </is>
      </c>
      <c r="D4686" t="n">
        <v>73</v>
      </c>
    </row>
    <row r="4687">
      <c r="A4687" t="inlineStr">
        <is>
          <t>ED204791</t>
        </is>
      </c>
      <c r="B4687" s="56" t="n">
        <v>45589.86041666667</v>
      </c>
      <c r="C4687" t="inlineStr">
        <is>
          <t>Bluestone Memorial Hospital</t>
        </is>
      </c>
      <c r="D4687" t="n">
        <v>35</v>
      </c>
    </row>
    <row r="4688">
      <c r="A4688" t="inlineStr">
        <is>
          <t>ED204792</t>
        </is>
      </c>
      <c r="B4688" s="56" t="n">
        <v>45589.87569444445</v>
      </c>
      <c r="C4688" t="inlineStr">
        <is>
          <t>Bluestone Memorial Hospital</t>
        </is>
      </c>
      <c r="D4688" t="n">
        <v>12</v>
      </c>
    </row>
    <row r="4689">
      <c r="A4689" t="inlineStr">
        <is>
          <t>ED204793</t>
        </is>
      </c>
      <c r="B4689" s="56" t="n">
        <v>45589.91041666667</v>
      </c>
      <c r="C4689" t="inlineStr">
        <is>
          <t>Bluestone Memorial Hospital</t>
        </is>
      </c>
      <c r="D4689" t="n">
        <v>10</v>
      </c>
    </row>
    <row r="4690">
      <c r="A4690" t="inlineStr">
        <is>
          <t>ED204794</t>
        </is>
      </c>
      <c r="B4690" s="56" t="n">
        <v>45590.06875</v>
      </c>
      <c r="C4690" t="inlineStr">
        <is>
          <t>Bluestone Memorial Hospital</t>
        </is>
      </c>
      <c r="D4690" t="n">
        <v>16</v>
      </c>
    </row>
    <row r="4691">
      <c r="A4691" t="inlineStr">
        <is>
          <t>ED204795</t>
        </is>
      </c>
      <c r="B4691" s="56" t="n">
        <v>45590.09097222222</v>
      </c>
      <c r="C4691" t="inlineStr">
        <is>
          <t>Ashby Falls Community Hospital</t>
        </is>
      </c>
      <c r="D4691" t="n">
        <v>38</v>
      </c>
    </row>
    <row r="4692">
      <c r="A4692" t="inlineStr">
        <is>
          <t>ED204796</t>
        </is>
      </c>
      <c r="B4692" s="56" t="n">
        <v>45590.11736111111</v>
      </c>
      <c r="C4692" t="inlineStr">
        <is>
          <t>Bluestone Memorial Hospital</t>
        </is>
      </c>
      <c r="D4692" t="n">
        <v>7</v>
      </c>
    </row>
    <row r="4693">
      <c r="A4693" t="inlineStr">
        <is>
          <t>ED204797</t>
        </is>
      </c>
      <c r="B4693" s="56" t="n">
        <v>45590.2625</v>
      </c>
      <c r="C4693" t="inlineStr">
        <is>
          <t>Ashby Falls Community Hospital</t>
        </is>
      </c>
      <c r="D4693" t="n">
        <v>10</v>
      </c>
    </row>
    <row r="4694">
      <c r="A4694" t="inlineStr">
        <is>
          <t>ED204798</t>
        </is>
      </c>
      <c r="B4694" s="56" t="n">
        <v>45590.36458333334</v>
      </c>
      <c r="C4694" t="inlineStr">
        <is>
          <t>Bluestone Memorial Hospital</t>
        </is>
      </c>
      <c r="D4694" t="n">
        <v>65</v>
      </c>
    </row>
    <row r="4695">
      <c r="A4695" t="inlineStr">
        <is>
          <t>ED204799</t>
        </is>
      </c>
      <c r="B4695" s="56" t="n">
        <v>45590.38125</v>
      </c>
      <c r="C4695" t="inlineStr">
        <is>
          <t>Bluestone Memorial Hospital</t>
        </is>
      </c>
      <c r="D4695" t="n">
        <v>74</v>
      </c>
    </row>
    <row r="4696">
      <c r="A4696" t="inlineStr">
        <is>
          <t>ED204800</t>
        </is>
      </c>
      <c r="B4696" s="56" t="n">
        <v>45590.38819444444</v>
      </c>
      <c r="C4696" t="inlineStr">
        <is>
          <t>Ashby Falls Community Hospital</t>
        </is>
      </c>
      <c r="D4696" t="n">
        <v>93</v>
      </c>
    </row>
    <row r="4697">
      <c r="A4697" t="inlineStr">
        <is>
          <t>ED204801</t>
        </is>
      </c>
      <c r="B4697" s="56" t="n">
        <v>45590.45763888889</v>
      </c>
      <c r="C4697" t="inlineStr">
        <is>
          <t>Bluestone Memorial Hospital</t>
        </is>
      </c>
      <c r="D4697" t="n">
        <v>32</v>
      </c>
    </row>
    <row r="4698">
      <c r="A4698" t="inlineStr">
        <is>
          <t>ED204802</t>
        </is>
      </c>
      <c r="B4698" s="56" t="n">
        <v>45590.56527777778</v>
      </c>
      <c r="C4698" t="inlineStr">
        <is>
          <t>Bluestone Memorial Hospital</t>
        </is>
      </c>
      <c r="D4698" t="n">
        <v>46</v>
      </c>
    </row>
    <row r="4699">
      <c r="A4699" t="inlineStr">
        <is>
          <t>ED204803</t>
        </is>
      </c>
      <c r="B4699" s="56" t="n">
        <v>45590.66736111111</v>
      </c>
      <c r="C4699" t="inlineStr">
        <is>
          <t>Bluestone Memorial Hospital</t>
        </is>
      </c>
      <c r="D4699" t="n">
        <v>40</v>
      </c>
    </row>
    <row r="4700">
      <c r="A4700" t="inlineStr">
        <is>
          <t>ED204805</t>
        </is>
      </c>
      <c r="B4700" s="56" t="n">
        <v>45590.72638888889</v>
      </c>
      <c r="C4700" t="inlineStr">
        <is>
          <t>Bluestone Memorial Hospital</t>
        </is>
      </c>
      <c r="D4700" t="n">
        <v>9</v>
      </c>
    </row>
    <row r="4701">
      <c r="A4701" t="inlineStr">
        <is>
          <t>ED204806</t>
        </is>
      </c>
      <c r="B4701" s="56" t="n">
        <v>45590.83263888889</v>
      </c>
      <c r="C4701" t="inlineStr">
        <is>
          <t>Bluestone Memorial Hospital</t>
        </is>
      </c>
      <c r="D4701" t="n">
        <v>5</v>
      </c>
    </row>
    <row r="4702">
      <c r="A4702" t="inlineStr">
        <is>
          <t>ED204807</t>
        </is>
      </c>
      <c r="B4702" s="56" t="n">
        <v>45591.23472222222</v>
      </c>
      <c r="C4702" t="inlineStr">
        <is>
          <t>Bluestone Memorial Hospital</t>
        </is>
      </c>
      <c r="D4702" t="n">
        <v>28</v>
      </c>
    </row>
    <row r="4703">
      <c r="A4703" t="inlineStr">
        <is>
          <t>ED204808</t>
        </is>
      </c>
      <c r="B4703" s="56" t="n">
        <v>45591.47152777778</v>
      </c>
      <c r="C4703" t="inlineStr">
        <is>
          <t>Bluestone Memorial Hospital</t>
        </is>
      </c>
      <c r="D4703" t="n">
        <v>54</v>
      </c>
    </row>
    <row r="4704">
      <c r="A4704" t="inlineStr">
        <is>
          <t>ED204809</t>
        </is>
      </c>
      <c r="B4704" s="56" t="n">
        <v>45591.48194444444</v>
      </c>
      <c r="C4704" t="inlineStr">
        <is>
          <t>Cedar Ridge Medical Center</t>
        </is>
      </c>
      <c r="D4704" t="n">
        <v>71</v>
      </c>
    </row>
    <row r="4705">
      <c r="A4705" t="inlineStr">
        <is>
          <t>ED204810</t>
        </is>
      </c>
      <c r="B4705" s="56" t="n">
        <v>45591.49791666667</v>
      </c>
      <c r="C4705" t="inlineStr">
        <is>
          <t>Bluestone Memorial Hospital</t>
        </is>
      </c>
      <c r="D4705" t="n">
        <v>51</v>
      </c>
    </row>
    <row r="4706">
      <c r="A4706" t="inlineStr">
        <is>
          <t>ED204811</t>
        </is>
      </c>
      <c r="B4706" s="56" t="n">
        <v>45591.51458333333</v>
      </c>
      <c r="C4706" t="inlineStr">
        <is>
          <t>Bluestone Memorial Hospital</t>
        </is>
      </c>
      <c r="D4706" t="n">
        <v>37</v>
      </c>
    </row>
    <row r="4707">
      <c r="A4707" t="inlineStr">
        <is>
          <t>ED204812</t>
        </is>
      </c>
      <c r="B4707" s="56" t="n">
        <v>45591.575</v>
      </c>
      <c r="C4707" t="inlineStr">
        <is>
          <t>Ashby Falls Community Hospital</t>
        </is>
      </c>
      <c r="D4707" t="n">
        <v>112</v>
      </c>
    </row>
    <row r="4708">
      <c r="A4708" t="inlineStr">
        <is>
          <t>ED204813</t>
        </is>
      </c>
      <c r="B4708" s="56" t="n">
        <v>45591.57777777778</v>
      </c>
      <c r="C4708" t="inlineStr">
        <is>
          <t>Ashby Falls Community Hospital</t>
        </is>
      </c>
      <c r="D4708" t="n">
        <v>22</v>
      </c>
    </row>
    <row r="4709">
      <c r="A4709" t="inlineStr">
        <is>
          <t>ED204814</t>
        </is>
      </c>
      <c r="B4709" s="56" t="n">
        <v>45591.62152777778</v>
      </c>
      <c r="C4709" t="inlineStr">
        <is>
          <t>Ashby Falls Community Hospital</t>
        </is>
      </c>
      <c r="D4709" t="n">
        <v>93</v>
      </c>
    </row>
    <row r="4710">
      <c r="A4710" t="inlineStr">
        <is>
          <t>ED204815</t>
        </is>
      </c>
      <c r="B4710" s="56" t="n">
        <v>45591.80486111111</v>
      </c>
      <c r="C4710" t="inlineStr">
        <is>
          <t>Ashby Falls Community Hospital</t>
        </is>
      </c>
      <c r="D4710" t="n">
        <v>32</v>
      </c>
    </row>
    <row r="4711">
      <c r="A4711" t="inlineStr">
        <is>
          <t>ED204816</t>
        </is>
      </c>
      <c r="B4711" s="56" t="n">
        <v>45591.87777777778</v>
      </c>
      <c r="C4711" t="inlineStr">
        <is>
          <t>Bluestone Memorial Hospital</t>
        </is>
      </c>
      <c r="D4711" t="n">
        <v>115</v>
      </c>
    </row>
    <row r="4712">
      <c r="A4712" t="inlineStr">
        <is>
          <t>ED204817</t>
        </is>
      </c>
      <c r="B4712" s="56" t="n">
        <v>45591.97430555556</v>
      </c>
      <c r="C4712" t="inlineStr">
        <is>
          <t>Cedar Ridge Medical Center</t>
        </is>
      </c>
      <c r="D4712" t="n">
        <v>12</v>
      </c>
    </row>
    <row r="4713">
      <c r="A4713" t="inlineStr">
        <is>
          <t>ED204818</t>
        </is>
      </c>
      <c r="B4713" s="56" t="n">
        <v>45592.15902777778</v>
      </c>
      <c r="C4713" t="inlineStr">
        <is>
          <t>Bluestone Memorial Hospital</t>
        </is>
      </c>
      <c r="D4713" t="n">
        <v>31</v>
      </c>
    </row>
    <row r="4714">
      <c r="A4714" t="inlineStr">
        <is>
          <t>ED204819</t>
        </is>
      </c>
      <c r="B4714" s="56" t="n">
        <v>45592.25972222222</v>
      </c>
      <c r="C4714" t="inlineStr">
        <is>
          <t>Bluestone Memorial Hospital</t>
        </is>
      </c>
      <c r="D4714" t="n">
        <v>32</v>
      </c>
    </row>
    <row r="4715">
      <c r="A4715" t="inlineStr">
        <is>
          <t>ED204820</t>
        </is>
      </c>
      <c r="B4715" s="56" t="n">
        <v>45592.39930555555</v>
      </c>
      <c r="C4715" t="inlineStr">
        <is>
          <t>Cedar Ridge Medical Center</t>
        </is>
      </c>
      <c r="D4715" t="n">
        <v>8</v>
      </c>
    </row>
    <row r="4716">
      <c r="A4716" t="inlineStr">
        <is>
          <t>ED204821</t>
        </is>
      </c>
      <c r="B4716" s="56" t="n">
        <v>45592.40416666667</v>
      </c>
      <c r="C4716" t="inlineStr">
        <is>
          <t>Cedar Ridge Medical Center</t>
        </is>
      </c>
      <c r="D4716" t="n">
        <v>35</v>
      </c>
    </row>
    <row r="4717">
      <c r="A4717" t="inlineStr">
        <is>
          <t>ED204822</t>
        </is>
      </c>
      <c r="B4717" s="56" t="n">
        <v>45592.44305555556</v>
      </c>
      <c r="C4717" t="inlineStr">
        <is>
          <t>Bluestone Memorial Hospital</t>
        </is>
      </c>
      <c r="D4717" t="n">
        <v>32</v>
      </c>
    </row>
    <row r="4718">
      <c r="A4718" t="inlineStr">
        <is>
          <t>ED204823</t>
        </is>
      </c>
      <c r="B4718" s="56" t="n">
        <v>45592.55972222222</v>
      </c>
      <c r="C4718" t="inlineStr">
        <is>
          <t>Bluestone Memorial Hospital</t>
        </is>
      </c>
      <c r="D4718" t="n">
        <v>13</v>
      </c>
    </row>
    <row r="4719">
      <c r="A4719" t="inlineStr">
        <is>
          <t>ED204824</t>
        </is>
      </c>
      <c r="B4719" s="56" t="n">
        <v>45592.5625</v>
      </c>
      <c r="C4719" t="inlineStr">
        <is>
          <t>Ashby Falls Community Hospital</t>
        </is>
      </c>
      <c r="D4719" t="n">
        <v>144</v>
      </c>
    </row>
    <row r="4720">
      <c r="A4720" t="inlineStr">
        <is>
          <t>ED204825</t>
        </is>
      </c>
      <c r="B4720" s="56" t="n">
        <v>45592.71319444444</v>
      </c>
      <c r="C4720" t="inlineStr">
        <is>
          <t>Bluestone Memorial Hospital</t>
        </is>
      </c>
      <c r="D4720" t="n">
        <v>59</v>
      </c>
    </row>
    <row r="4721">
      <c r="A4721" t="inlineStr">
        <is>
          <t>ED204826</t>
        </is>
      </c>
      <c r="B4721" s="56" t="n">
        <v>45592.73958333334</v>
      </c>
      <c r="C4721" t="inlineStr">
        <is>
          <t>Bluestone Memorial Hospital</t>
        </is>
      </c>
      <c r="D4721" t="n">
        <v>70</v>
      </c>
    </row>
    <row r="4722">
      <c r="A4722" t="inlineStr">
        <is>
          <t>ED204827</t>
        </is>
      </c>
      <c r="B4722" s="56" t="n">
        <v>45592.87638888889</v>
      </c>
      <c r="C4722" t="inlineStr">
        <is>
          <t>Bluestone Memorial Hospital</t>
        </is>
      </c>
      <c r="D4722" t="n">
        <v>42</v>
      </c>
    </row>
    <row r="4723">
      <c r="A4723" t="inlineStr">
        <is>
          <t>ED204828</t>
        </is>
      </c>
      <c r="B4723" s="56" t="n">
        <v>45592.94236111111</v>
      </c>
      <c r="C4723" t="inlineStr">
        <is>
          <t>Bluestone Memorial Hospital</t>
        </is>
      </c>
      <c r="D4723" t="n">
        <v>11</v>
      </c>
    </row>
    <row r="4724">
      <c r="A4724" t="inlineStr">
        <is>
          <t>ED204829</t>
        </is>
      </c>
      <c r="B4724" s="56" t="n">
        <v>45593.04722222222</v>
      </c>
      <c r="C4724" t="inlineStr">
        <is>
          <t>Bluestone Memorial Hospital</t>
        </is>
      </c>
      <c r="D4724" t="n">
        <v>37</v>
      </c>
    </row>
    <row r="4725">
      <c r="A4725" t="inlineStr">
        <is>
          <t>ED204831</t>
        </is>
      </c>
      <c r="B4725" s="56" t="n">
        <v>45593.52291666667</v>
      </c>
      <c r="C4725" t="inlineStr">
        <is>
          <t>Cedar Ridge Medical Center</t>
        </is>
      </c>
      <c r="D4725" t="n">
        <v>55</v>
      </c>
    </row>
    <row r="4726">
      <c r="A4726" t="inlineStr">
        <is>
          <t>ED204832</t>
        </is>
      </c>
      <c r="B4726" s="56" t="n">
        <v>45593.56597222222</v>
      </c>
      <c r="C4726" t="inlineStr">
        <is>
          <t>Bluestone Memorial Hospital</t>
        </is>
      </c>
      <c r="D4726" t="n">
        <v>68</v>
      </c>
    </row>
    <row r="4727">
      <c r="A4727" t="inlineStr">
        <is>
          <t>ED204833</t>
        </is>
      </c>
      <c r="B4727" s="56" t="n">
        <v>45593.57013888889</v>
      </c>
      <c r="C4727" t="inlineStr">
        <is>
          <t>Bluestone Memorial Hospital</t>
        </is>
      </c>
      <c r="D4727" t="n">
        <v>40</v>
      </c>
    </row>
    <row r="4728">
      <c r="A4728" t="inlineStr">
        <is>
          <t>ED204834</t>
        </is>
      </c>
      <c r="B4728" s="56" t="n">
        <v>45593.57569444444</v>
      </c>
      <c r="C4728" t="inlineStr">
        <is>
          <t>Cedar Ridge Medical Center</t>
        </is>
      </c>
      <c r="D4728" t="n">
        <v>39</v>
      </c>
    </row>
    <row r="4729">
      <c r="A4729" t="inlineStr">
        <is>
          <t>ED204835</t>
        </is>
      </c>
      <c r="B4729" s="56" t="n">
        <v>45593.58263888889</v>
      </c>
      <c r="C4729" t="inlineStr">
        <is>
          <t>Ashby Falls Community Hospital</t>
        </is>
      </c>
      <c r="D4729" t="n">
        <v>73</v>
      </c>
    </row>
    <row r="4730">
      <c r="A4730" t="inlineStr">
        <is>
          <t>ED204836</t>
        </is>
      </c>
      <c r="B4730" s="56" t="n">
        <v>45593.60347222222</v>
      </c>
      <c r="C4730" t="inlineStr">
        <is>
          <t>Bluestone Memorial Hospital</t>
        </is>
      </c>
      <c r="D4730" t="n">
        <v>3</v>
      </c>
    </row>
    <row r="4731">
      <c r="A4731" t="inlineStr">
        <is>
          <t>ED204837</t>
        </is>
      </c>
      <c r="B4731" s="56" t="n">
        <v>45593.65486111111</v>
      </c>
      <c r="C4731" t="inlineStr">
        <is>
          <t>Bluestone Memorial Hospital</t>
        </is>
      </c>
      <c r="D4731" t="n">
        <v>8</v>
      </c>
    </row>
    <row r="4732">
      <c r="A4732" t="inlineStr">
        <is>
          <t>ED204838</t>
        </is>
      </c>
      <c r="B4732" s="56" t="n">
        <v>45593.66180555556</v>
      </c>
      <c r="C4732" t="inlineStr">
        <is>
          <t>Bluestone Memorial Hospital</t>
        </is>
      </c>
      <c r="D4732" t="n">
        <v>42</v>
      </c>
    </row>
    <row r="4733">
      <c r="A4733" t="inlineStr">
        <is>
          <t>ED204839</t>
        </is>
      </c>
      <c r="B4733" s="56" t="n">
        <v>45593.68541666667</v>
      </c>
      <c r="C4733" t="inlineStr">
        <is>
          <t>Bluestone Memorial Hospital</t>
        </is>
      </c>
      <c r="D4733" t="n">
        <v>41</v>
      </c>
    </row>
    <row r="4734">
      <c r="A4734" t="inlineStr">
        <is>
          <t>ED204840</t>
        </is>
      </c>
      <c r="B4734" s="56" t="n">
        <v>45593.71458333333</v>
      </c>
      <c r="C4734" t="inlineStr">
        <is>
          <t>Bluestone Memorial Hospital</t>
        </is>
      </c>
      <c r="D4734" t="n">
        <v>19</v>
      </c>
    </row>
    <row r="4735">
      <c r="A4735" t="inlineStr">
        <is>
          <t>ED204841</t>
        </is>
      </c>
      <c r="B4735" s="56" t="n">
        <v>45593.73263888889</v>
      </c>
      <c r="C4735" t="inlineStr">
        <is>
          <t>Bluestone Memorial Hospital</t>
        </is>
      </c>
      <c r="D4735" t="n">
        <v>23</v>
      </c>
    </row>
    <row r="4736">
      <c r="A4736" t="inlineStr">
        <is>
          <t>ED204842</t>
        </is>
      </c>
      <c r="B4736" s="56" t="n">
        <v>45593.76805555556</v>
      </c>
      <c r="C4736" t="inlineStr">
        <is>
          <t>Bluestone Memorial Hospital</t>
        </is>
      </c>
      <c r="D4736" t="n">
        <v>95</v>
      </c>
    </row>
    <row r="4737">
      <c r="A4737" t="inlineStr">
        <is>
          <t>ED204843</t>
        </is>
      </c>
      <c r="B4737" s="56" t="n">
        <v>45593.80694444444</v>
      </c>
      <c r="C4737" t="inlineStr">
        <is>
          <t>Ashby Falls Community Hospital</t>
        </is>
      </c>
      <c r="D4737" t="n">
        <v>11</v>
      </c>
    </row>
    <row r="4738">
      <c r="A4738" t="inlineStr">
        <is>
          <t>ED204844</t>
        </is>
      </c>
      <c r="B4738" s="56" t="n">
        <v>45593.84375</v>
      </c>
      <c r="C4738" t="inlineStr">
        <is>
          <t>Cedar Ridge Medical Center</t>
        </is>
      </c>
      <c r="D4738" t="n">
        <v>41</v>
      </c>
    </row>
    <row r="4739">
      <c r="A4739" t="inlineStr">
        <is>
          <t>ED204845</t>
        </is>
      </c>
      <c r="B4739" s="56" t="n">
        <v>45593.85902777778</v>
      </c>
      <c r="C4739" t="inlineStr">
        <is>
          <t>Cedar Ridge Medical Center</t>
        </is>
      </c>
      <c r="D4739" t="n">
        <v>144</v>
      </c>
    </row>
    <row r="4740">
      <c r="A4740" t="inlineStr">
        <is>
          <t>ED204846</t>
        </is>
      </c>
      <c r="B4740" s="56" t="n">
        <v>45594.18472222222</v>
      </c>
      <c r="C4740" t="inlineStr">
        <is>
          <t>Ashby Falls Community Hospital</t>
        </is>
      </c>
      <c r="D4740" t="n">
        <v>30</v>
      </c>
    </row>
    <row r="4741">
      <c r="A4741" t="inlineStr">
        <is>
          <t>ED204847</t>
        </is>
      </c>
      <c r="B4741" s="56" t="n">
        <v>45594.30763888889</v>
      </c>
      <c r="C4741" t="inlineStr">
        <is>
          <t>Bluestone Memorial Hospital</t>
        </is>
      </c>
      <c r="D4741" t="n">
        <v>18</v>
      </c>
    </row>
    <row r="4742">
      <c r="A4742" t="inlineStr">
        <is>
          <t>ED204848</t>
        </is>
      </c>
      <c r="B4742" s="56" t="n">
        <v>45594.42013888889</v>
      </c>
      <c r="C4742" t="inlineStr">
        <is>
          <t>Bluestone Memorial Hospital</t>
        </is>
      </c>
      <c r="D4742" t="n">
        <v>16</v>
      </c>
    </row>
    <row r="4743">
      <c r="A4743" t="inlineStr">
        <is>
          <t>ED204849</t>
        </is>
      </c>
      <c r="B4743" s="56" t="n">
        <v>45594.45138888889</v>
      </c>
      <c r="C4743" t="inlineStr">
        <is>
          <t>Bluestone Memorial Hospital</t>
        </is>
      </c>
      <c r="D4743" t="n">
        <v>21</v>
      </c>
    </row>
    <row r="4744">
      <c r="A4744" t="inlineStr">
        <is>
          <t>ED204850</t>
        </is>
      </c>
      <c r="B4744" s="56" t="n">
        <v>45594.48541666667</v>
      </c>
      <c r="C4744" t="inlineStr">
        <is>
          <t>Bluestone Memorial Hospital</t>
        </is>
      </c>
      <c r="D4744" t="n">
        <v>52</v>
      </c>
    </row>
    <row r="4745">
      <c r="A4745" t="inlineStr">
        <is>
          <t>ED204851</t>
        </is>
      </c>
      <c r="B4745" s="56" t="n">
        <v>45594.49861111111</v>
      </c>
      <c r="C4745" t="inlineStr">
        <is>
          <t>Bluestone Memorial Hospital</t>
        </is>
      </c>
      <c r="D4745" t="n">
        <v>41</v>
      </c>
    </row>
    <row r="4746">
      <c r="A4746" t="inlineStr">
        <is>
          <t>ED204852</t>
        </is>
      </c>
      <c r="B4746" s="56" t="n">
        <v>45594.62361111111</v>
      </c>
      <c r="C4746" t="inlineStr">
        <is>
          <t>Ashby Falls Community Hospital</t>
        </is>
      </c>
      <c r="D4746" t="n">
        <v>35</v>
      </c>
    </row>
    <row r="4747">
      <c r="A4747" t="inlineStr">
        <is>
          <t>ED204853</t>
        </is>
      </c>
      <c r="B4747" s="56" t="n">
        <v>45594.68125</v>
      </c>
      <c r="C4747" t="inlineStr">
        <is>
          <t>Bluestone Memorial Hospital</t>
        </is>
      </c>
      <c r="D4747" t="n">
        <v>43</v>
      </c>
    </row>
    <row r="4748">
      <c r="A4748" t="inlineStr">
        <is>
          <t>ED204854</t>
        </is>
      </c>
      <c r="B4748" s="56" t="n">
        <v>45594.72569444445</v>
      </c>
      <c r="C4748" t="inlineStr">
        <is>
          <t>Ashby Falls Community Hospital</t>
        </is>
      </c>
      <c r="D4748" t="n">
        <v>39</v>
      </c>
    </row>
    <row r="4749">
      <c r="A4749" t="inlineStr">
        <is>
          <t>ED204855</t>
        </is>
      </c>
      <c r="B4749" s="56" t="n">
        <v>45594.73194444444</v>
      </c>
      <c r="C4749" t="inlineStr">
        <is>
          <t>Bluestone Memorial Hospital</t>
        </is>
      </c>
      <c r="D4749" t="n">
        <v>36</v>
      </c>
    </row>
    <row r="4750">
      <c r="A4750" t="inlineStr">
        <is>
          <t>ED204856</t>
        </is>
      </c>
      <c r="B4750" s="56" t="n">
        <v>45594.73472222222</v>
      </c>
      <c r="C4750" t="inlineStr">
        <is>
          <t>Ashby Falls Community Hospital</t>
        </is>
      </c>
      <c r="D4750" t="n">
        <v>13</v>
      </c>
    </row>
    <row r="4751">
      <c r="A4751" t="inlineStr">
        <is>
          <t>ED204857</t>
        </is>
      </c>
      <c r="B4751" s="56" t="n">
        <v>45594.75902777778</v>
      </c>
      <c r="C4751" t="inlineStr">
        <is>
          <t>Cedar Ridge Medical Center</t>
        </is>
      </c>
      <c r="D4751" t="n">
        <v>31</v>
      </c>
    </row>
    <row r="4752">
      <c r="A4752" t="inlineStr">
        <is>
          <t>ED204858</t>
        </is>
      </c>
      <c r="B4752" s="56" t="n">
        <v>45594.76319444444</v>
      </c>
      <c r="C4752" t="inlineStr">
        <is>
          <t>Bluestone Memorial Hospital</t>
        </is>
      </c>
      <c r="D4752" t="n">
        <v>16</v>
      </c>
    </row>
    <row r="4753">
      <c r="A4753" t="inlineStr">
        <is>
          <t>ED204859</t>
        </is>
      </c>
      <c r="B4753" s="56" t="n">
        <v>45594.78263888889</v>
      </c>
      <c r="C4753" t="inlineStr">
        <is>
          <t>Bluestone Memorial Hospital</t>
        </is>
      </c>
      <c r="D4753" t="n">
        <v>80</v>
      </c>
    </row>
    <row r="4754">
      <c r="A4754" t="inlineStr">
        <is>
          <t>ED204860</t>
        </is>
      </c>
      <c r="B4754" s="56" t="n">
        <v>45594.84027777778</v>
      </c>
      <c r="C4754" t="inlineStr">
        <is>
          <t>Bluestone Memorial Hospital</t>
        </is>
      </c>
      <c r="D4754" t="n">
        <v>47</v>
      </c>
    </row>
    <row r="4755">
      <c r="A4755" t="inlineStr">
        <is>
          <t>ED204862</t>
        </is>
      </c>
      <c r="B4755" s="56" t="n">
        <v>45594.92638888889</v>
      </c>
      <c r="C4755" t="inlineStr">
        <is>
          <t>Ashby Falls Community Hospital</t>
        </is>
      </c>
      <c r="D4755" t="n">
        <v>48</v>
      </c>
    </row>
    <row r="4756">
      <c r="A4756" t="inlineStr">
        <is>
          <t>ED204863</t>
        </is>
      </c>
      <c r="B4756" s="56" t="n">
        <v>45595.33472222222</v>
      </c>
      <c r="C4756" t="inlineStr">
        <is>
          <t>Bluestone Memorial Hospital</t>
        </is>
      </c>
      <c r="D4756" t="n">
        <v>53</v>
      </c>
    </row>
    <row r="4757">
      <c r="A4757" t="inlineStr">
        <is>
          <t>ED204864</t>
        </is>
      </c>
      <c r="B4757" s="56" t="n">
        <v>45595.47847222222</v>
      </c>
      <c r="C4757" t="inlineStr">
        <is>
          <t>Bluestone Memorial Hospital</t>
        </is>
      </c>
      <c r="D4757" t="n">
        <v>70</v>
      </c>
    </row>
    <row r="4758">
      <c r="A4758" t="inlineStr">
        <is>
          <t>ED204865</t>
        </is>
      </c>
      <c r="B4758" s="56" t="n">
        <v>45595.49930555555</v>
      </c>
      <c r="C4758" t="inlineStr">
        <is>
          <t>Bluestone Memorial Hospital</t>
        </is>
      </c>
      <c r="D4758" t="n">
        <v>13</v>
      </c>
    </row>
    <row r="4759">
      <c r="A4759" t="inlineStr">
        <is>
          <t>ED204866</t>
        </is>
      </c>
      <c r="B4759" s="56" t="n">
        <v>45595.53472222222</v>
      </c>
      <c r="C4759" t="inlineStr">
        <is>
          <t>Bluestone Memorial Hospital</t>
        </is>
      </c>
      <c r="D4759" t="n">
        <v>27</v>
      </c>
    </row>
    <row r="4760">
      <c r="A4760" t="inlineStr">
        <is>
          <t>ED204867</t>
        </is>
      </c>
      <c r="B4760" s="56" t="n">
        <v>45595.57291666666</v>
      </c>
      <c r="C4760" t="inlineStr">
        <is>
          <t>Cedar Ridge Medical Center</t>
        </is>
      </c>
      <c r="D4760" t="n">
        <v>28</v>
      </c>
    </row>
    <row r="4761">
      <c r="A4761" t="inlineStr">
        <is>
          <t>ED204868</t>
        </is>
      </c>
      <c r="B4761" s="56" t="n">
        <v>45595.59166666667</v>
      </c>
      <c r="C4761" t="inlineStr">
        <is>
          <t>Cedar Ridge Medical Center</t>
        </is>
      </c>
      <c r="D4761" t="n">
        <v>45</v>
      </c>
    </row>
    <row r="4762">
      <c r="A4762" t="inlineStr">
        <is>
          <t>ED204869</t>
        </is>
      </c>
      <c r="B4762" s="56" t="n">
        <v>45595.60138888889</v>
      </c>
      <c r="C4762" t="inlineStr">
        <is>
          <t>Bluestone Memorial Hospital</t>
        </is>
      </c>
      <c r="D4762" t="n">
        <v>183</v>
      </c>
    </row>
    <row r="4763">
      <c r="A4763" t="inlineStr">
        <is>
          <t>ED204870</t>
        </is>
      </c>
      <c r="B4763" s="56" t="n">
        <v>45595.60416666666</v>
      </c>
      <c r="C4763" t="inlineStr">
        <is>
          <t>Ashby Falls Community Hospital</t>
        </is>
      </c>
      <c r="D4763" t="n">
        <v>25</v>
      </c>
    </row>
    <row r="4764">
      <c r="A4764" t="inlineStr">
        <is>
          <t>ED204871</t>
        </is>
      </c>
      <c r="B4764" s="56" t="n">
        <v>45595.61180555556</v>
      </c>
      <c r="C4764" t="inlineStr">
        <is>
          <t>Bluestone Memorial Hospital</t>
        </is>
      </c>
      <c r="D4764" t="n">
        <v>25</v>
      </c>
    </row>
    <row r="4765">
      <c r="A4765" t="inlineStr">
        <is>
          <t>ED204872</t>
        </is>
      </c>
      <c r="B4765" s="56" t="n">
        <v>45595.63333333333</v>
      </c>
      <c r="C4765" t="inlineStr">
        <is>
          <t>Ashby Falls Community Hospital</t>
        </is>
      </c>
      <c r="D4765" t="n">
        <v>112</v>
      </c>
    </row>
    <row r="4766">
      <c r="A4766" t="inlineStr">
        <is>
          <t>ED204873</t>
        </is>
      </c>
      <c r="B4766" s="56" t="n">
        <v>45595.64513888889</v>
      </c>
      <c r="C4766" t="inlineStr">
        <is>
          <t>Bluestone Memorial Hospital</t>
        </is>
      </c>
      <c r="D4766" t="n">
        <v>21</v>
      </c>
    </row>
    <row r="4767">
      <c r="A4767" t="inlineStr">
        <is>
          <t>ED204874</t>
        </is>
      </c>
      <c r="B4767" s="56" t="n">
        <v>45595.70833333334</v>
      </c>
      <c r="C4767" t="inlineStr">
        <is>
          <t>Ashby Falls Community Hospital</t>
        </is>
      </c>
      <c r="D4767" t="n">
        <v>69</v>
      </c>
    </row>
    <row r="4768">
      <c r="A4768" t="inlineStr">
        <is>
          <t>ED204875</t>
        </is>
      </c>
      <c r="B4768" s="56" t="n">
        <v>45595.73958333334</v>
      </c>
      <c r="C4768" t="inlineStr">
        <is>
          <t>Bluestone Memorial Hospital</t>
        </is>
      </c>
      <c r="D4768" t="n">
        <v>21</v>
      </c>
    </row>
    <row r="4769">
      <c r="A4769" t="inlineStr">
        <is>
          <t>ED204876</t>
        </is>
      </c>
      <c r="B4769" s="56" t="n">
        <v>45595.74444444444</v>
      </c>
      <c r="C4769" t="inlineStr">
        <is>
          <t>Bluestone Memorial Hospital</t>
        </is>
      </c>
      <c r="D4769" t="n">
        <v>97</v>
      </c>
    </row>
    <row r="4770">
      <c r="A4770" t="inlineStr">
        <is>
          <t>ED204877</t>
        </is>
      </c>
      <c r="B4770" s="56" t="n">
        <v>45595.81597222222</v>
      </c>
      <c r="C4770" t="inlineStr">
        <is>
          <t>Bluestone Memorial Hospital</t>
        </is>
      </c>
      <c r="D4770" t="n">
        <v>39</v>
      </c>
    </row>
    <row r="4771">
      <c r="A4771" t="inlineStr">
        <is>
          <t>ED204878</t>
        </is>
      </c>
      <c r="B4771" s="56" t="n">
        <v>45596.01041666666</v>
      </c>
      <c r="C4771" t="inlineStr">
        <is>
          <t>Cedar Ridge Medical Center</t>
        </is>
      </c>
      <c r="D4771" t="n">
        <v>10</v>
      </c>
    </row>
    <row r="4772">
      <c r="A4772" t="inlineStr">
        <is>
          <t>ED204879</t>
        </is>
      </c>
      <c r="B4772" s="56" t="n">
        <v>45596.09583333333</v>
      </c>
      <c r="C4772" t="inlineStr">
        <is>
          <t>Cedar Ridge Medical Center</t>
        </is>
      </c>
      <c r="D4772" t="n">
        <v>9</v>
      </c>
    </row>
    <row r="4773">
      <c r="A4773" t="inlineStr">
        <is>
          <t>ED204880</t>
        </is>
      </c>
      <c r="B4773" s="56" t="n">
        <v>45596.14513888889</v>
      </c>
      <c r="C4773" t="inlineStr">
        <is>
          <t>Bluestone Memorial Hospital</t>
        </is>
      </c>
      <c r="D4773" t="n">
        <v>27</v>
      </c>
    </row>
    <row r="4774">
      <c r="A4774" t="inlineStr">
        <is>
          <t>ED204881</t>
        </is>
      </c>
      <c r="B4774" s="56" t="n">
        <v>45596.39305555556</v>
      </c>
      <c r="C4774" t="inlineStr">
        <is>
          <t>Ashby Falls Community Hospital</t>
        </is>
      </c>
      <c r="D4774" t="n">
        <v>24</v>
      </c>
    </row>
    <row r="4775">
      <c r="A4775" t="inlineStr">
        <is>
          <t>ED204882</t>
        </is>
      </c>
      <c r="B4775" s="56" t="n">
        <v>45596.44513888889</v>
      </c>
      <c r="C4775" t="inlineStr">
        <is>
          <t>Bluestone Memorial Hospital</t>
        </is>
      </c>
      <c r="D4775" t="n">
        <v>8</v>
      </c>
    </row>
    <row r="4776">
      <c r="A4776" t="inlineStr">
        <is>
          <t>ED204883</t>
        </is>
      </c>
      <c r="B4776" s="56" t="n">
        <v>45596.46527777778</v>
      </c>
      <c r="C4776" t="inlineStr">
        <is>
          <t>Ashby Falls Community Hospital</t>
        </is>
      </c>
      <c r="D4776" t="n">
        <v>14</v>
      </c>
    </row>
    <row r="4777">
      <c r="A4777" t="inlineStr">
        <is>
          <t>ED204884</t>
        </is>
      </c>
      <c r="B4777" s="56" t="n">
        <v>45596.48541666667</v>
      </c>
      <c r="C4777" t="inlineStr">
        <is>
          <t>Bluestone Memorial Hospital</t>
        </is>
      </c>
      <c r="D4777" t="n">
        <v>136</v>
      </c>
    </row>
    <row r="4778">
      <c r="A4778" t="inlineStr">
        <is>
          <t>ED204885</t>
        </is>
      </c>
      <c r="B4778" s="56" t="n">
        <v>45596.50347222222</v>
      </c>
      <c r="C4778" t="inlineStr">
        <is>
          <t>Bluestone Memorial Hospital</t>
        </is>
      </c>
      <c r="D4778" t="n">
        <v>27</v>
      </c>
    </row>
    <row r="4779">
      <c r="A4779" t="inlineStr">
        <is>
          <t>ED204886</t>
        </is>
      </c>
      <c r="B4779" s="56" t="n">
        <v>45596.58680555555</v>
      </c>
      <c r="C4779" t="inlineStr">
        <is>
          <t>Bluestone Memorial Hospital</t>
        </is>
      </c>
      <c r="D4779" t="n">
        <v>28</v>
      </c>
    </row>
    <row r="4780">
      <c r="A4780" t="inlineStr">
        <is>
          <t>ED204887</t>
        </is>
      </c>
      <c r="B4780" s="56" t="n">
        <v>45596.60902777778</v>
      </c>
      <c r="C4780" t="inlineStr">
        <is>
          <t>Bluestone Memorial Hospital</t>
        </is>
      </c>
      <c r="D4780" t="n">
        <v>42</v>
      </c>
    </row>
    <row r="4781">
      <c r="A4781" t="inlineStr">
        <is>
          <t>ED204888</t>
        </is>
      </c>
      <c r="B4781" s="56" t="n">
        <v>45596.65347222222</v>
      </c>
      <c r="C4781" t="inlineStr">
        <is>
          <t>Bluestone Memorial Hospital</t>
        </is>
      </c>
      <c r="D4781" t="n">
        <v>115</v>
      </c>
    </row>
    <row r="4782">
      <c r="A4782" t="inlineStr">
        <is>
          <t>ED204889</t>
        </is>
      </c>
      <c r="B4782" s="56" t="n">
        <v>45596.7</v>
      </c>
      <c r="C4782" t="inlineStr">
        <is>
          <t>Cedar Ridge Medical Center</t>
        </is>
      </c>
      <c r="D4782" t="n">
        <v>73</v>
      </c>
    </row>
    <row r="4783">
      <c r="A4783" t="inlineStr">
        <is>
          <t>ED204890</t>
        </is>
      </c>
      <c r="B4783" s="56" t="n">
        <v>45596.75763888889</v>
      </c>
      <c r="C4783" t="inlineStr">
        <is>
          <t>Bluestone Memorial Hospital</t>
        </is>
      </c>
      <c r="D4783" t="n">
        <v>174</v>
      </c>
    </row>
    <row r="4784">
      <c r="A4784" t="inlineStr">
        <is>
          <t>ED204891</t>
        </is>
      </c>
      <c r="B4784" s="56" t="n">
        <v>45596.80555555555</v>
      </c>
      <c r="C4784" t="inlineStr">
        <is>
          <t>Bluestone Memorial Hospital</t>
        </is>
      </c>
      <c r="D4784" t="n">
        <v>87</v>
      </c>
    </row>
    <row r="4785">
      <c r="A4785" t="inlineStr">
        <is>
          <t>ED204892</t>
        </is>
      </c>
      <c r="B4785" s="56" t="n">
        <v>45596.85972222222</v>
      </c>
      <c r="C4785" t="inlineStr">
        <is>
          <t>Bluestone Memorial Hospital</t>
        </is>
      </c>
      <c r="D4785" t="n">
        <v>36</v>
      </c>
    </row>
    <row r="4786">
      <c r="A4786" t="inlineStr">
        <is>
          <t>ED204893</t>
        </is>
      </c>
      <c r="B4786" s="56" t="n">
        <v>45597.00208333333</v>
      </c>
      <c r="C4786" t="inlineStr">
        <is>
          <t>Bluestone Memorial Hospital</t>
        </is>
      </c>
      <c r="D4786" t="n">
        <v>41</v>
      </c>
    </row>
    <row r="4787">
      <c r="A4787" t="inlineStr">
        <is>
          <t>ED204894</t>
        </is>
      </c>
      <c r="B4787" s="56" t="n">
        <v>45597.07916666667</v>
      </c>
      <c r="C4787" t="inlineStr">
        <is>
          <t>Bluestone Memorial Hospital</t>
        </is>
      </c>
      <c r="D4787" t="n">
        <v>21</v>
      </c>
    </row>
    <row r="4788">
      <c r="A4788" t="inlineStr">
        <is>
          <t>ED204895</t>
        </is>
      </c>
      <c r="B4788" s="56" t="n">
        <v>45597.37986111111</v>
      </c>
      <c r="C4788" t="inlineStr">
        <is>
          <t>Cedar Ridge Medical Center</t>
        </is>
      </c>
      <c r="D4788" t="n">
        <v>3</v>
      </c>
    </row>
    <row r="4789">
      <c r="A4789" t="inlineStr">
        <is>
          <t>ED204896</t>
        </is>
      </c>
      <c r="B4789" s="56" t="n">
        <v>45597.40972222222</v>
      </c>
      <c r="C4789" t="inlineStr">
        <is>
          <t>Bluestone Memorial Hospital</t>
        </is>
      </c>
      <c r="D4789" t="n">
        <v>16</v>
      </c>
    </row>
    <row r="4790">
      <c r="A4790" t="inlineStr">
        <is>
          <t>ED204897</t>
        </is>
      </c>
      <c r="B4790" s="56" t="n">
        <v>45597.42638888889</v>
      </c>
      <c r="C4790" t="inlineStr">
        <is>
          <t>Bluestone Memorial Hospital</t>
        </is>
      </c>
      <c r="D4790" t="n">
        <v>22</v>
      </c>
    </row>
    <row r="4791">
      <c r="A4791" t="inlineStr">
        <is>
          <t>ED204898</t>
        </is>
      </c>
      <c r="B4791" s="56" t="n">
        <v>45597.44861111111</v>
      </c>
      <c r="C4791" t="inlineStr">
        <is>
          <t>Ashby Falls Community Hospital</t>
        </is>
      </c>
      <c r="D4791" t="n">
        <v>9</v>
      </c>
    </row>
    <row r="4792">
      <c r="A4792" t="inlineStr">
        <is>
          <t>ED204899</t>
        </is>
      </c>
      <c r="B4792" s="56" t="n">
        <v>45597.45138888889</v>
      </c>
      <c r="C4792" t="inlineStr">
        <is>
          <t>Bluestone Memorial Hospital</t>
        </is>
      </c>
      <c r="D4792" t="n">
        <v>25</v>
      </c>
    </row>
    <row r="4793">
      <c r="A4793" t="inlineStr">
        <is>
          <t>ED204900</t>
        </is>
      </c>
      <c r="B4793" s="56" t="n">
        <v>45597.55069444444</v>
      </c>
      <c r="C4793" t="inlineStr">
        <is>
          <t>Bluestone Memorial Hospital</t>
        </is>
      </c>
      <c r="D4793" t="n">
        <v>29</v>
      </c>
    </row>
    <row r="4794">
      <c r="A4794" t="inlineStr">
        <is>
          <t>ED204901</t>
        </is>
      </c>
      <c r="B4794" s="56" t="n">
        <v>45597.62222222222</v>
      </c>
      <c r="C4794" t="inlineStr">
        <is>
          <t>Bluestone Memorial Hospital</t>
        </is>
      </c>
      <c r="D4794" t="n">
        <v>26</v>
      </c>
    </row>
    <row r="4795">
      <c r="A4795" t="inlineStr">
        <is>
          <t>ED204902</t>
        </is>
      </c>
      <c r="B4795" s="56" t="n">
        <v>45597.63263888889</v>
      </c>
      <c r="C4795" t="inlineStr">
        <is>
          <t>Bluestone Memorial Hospital</t>
        </is>
      </c>
      <c r="D4795" t="n">
        <v>89</v>
      </c>
    </row>
    <row r="4796">
      <c r="A4796" t="inlineStr">
        <is>
          <t>ED204903</t>
        </is>
      </c>
      <c r="B4796" s="56" t="n">
        <v>45597.69236111111</v>
      </c>
      <c r="C4796" t="inlineStr">
        <is>
          <t>Bluestone Memorial Hospital</t>
        </is>
      </c>
      <c r="D4796" t="n">
        <v>61</v>
      </c>
    </row>
    <row r="4797">
      <c r="A4797" t="inlineStr">
        <is>
          <t>ED204904</t>
        </is>
      </c>
      <c r="B4797" s="56" t="n">
        <v>45597.70138888889</v>
      </c>
      <c r="C4797" t="inlineStr">
        <is>
          <t>Bluestone Memorial Hospital</t>
        </is>
      </c>
      <c r="D4797" t="n">
        <v>45</v>
      </c>
    </row>
    <row r="4798">
      <c r="A4798" t="inlineStr">
        <is>
          <t>ED204905</t>
        </is>
      </c>
      <c r="B4798" s="56" t="n">
        <v>45597.72152777778</v>
      </c>
      <c r="C4798" t="inlineStr">
        <is>
          <t>Bluestone Memorial Hospital</t>
        </is>
      </c>
      <c r="D4798" t="n">
        <v>28</v>
      </c>
    </row>
    <row r="4799">
      <c r="A4799" t="inlineStr">
        <is>
          <t>ED204906</t>
        </is>
      </c>
      <c r="B4799" s="56" t="n">
        <v>45597.72708333333</v>
      </c>
      <c r="C4799" t="inlineStr">
        <is>
          <t>Bluestone Memorial Hospital</t>
        </is>
      </c>
      <c r="D4799" t="n">
        <v>91</v>
      </c>
    </row>
    <row r="4800">
      <c r="A4800" t="inlineStr">
        <is>
          <t>ED204907</t>
        </is>
      </c>
      <c r="B4800" s="56" t="n">
        <v>45597.73611111111</v>
      </c>
      <c r="C4800" t="inlineStr">
        <is>
          <t>Bluestone Memorial Hospital</t>
        </is>
      </c>
      <c r="D4800" t="n">
        <v>42</v>
      </c>
    </row>
    <row r="4801">
      <c r="A4801" t="inlineStr">
        <is>
          <t>ED204908</t>
        </is>
      </c>
      <c r="B4801" s="56" t="n">
        <v>45597.74236111111</v>
      </c>
      <c r="C4801" t="inlineStr">
        <is>
          <t>Bluestone Memorial Hospital</t>
        </is>
      </c>
      <c r="D4801" t="n">
        <v>59</v>
      </c>
    </row>
    <row r="4802">
      <c r="A4802" t="inlineStr">
        <is>
          <t>ED204909</t>
        </is>
      </c>
      <c r="B4802" s="56" t="n">
        <v>45597.75555555556</v>
      </c>
      <c r="C4802" t="inlineStr">
        <is>
          <t>Cedar Ridge Medical Center</t>
        </is>
      </c>
      <c r="D4802" t="n">
        <v>9</v>
      </c>
    </row>
    <row r="4803">
      <c r="A4803" t="inlineStr">
        <is>
          <t>ED204910</t>
        </is>
      </c>
      <c r="B4803" s="56" t="n">
        <v>45597.76180555556</v>
      </c>
      <c r="C4803" t="inlineStr">
        <is>
          <t>Bluestone Memorial Hospital</t>
        </is>
      </c>
      <c r="D4803" t="n">
        <v>10</v>
      </c>
    </row>
    <row r="4804">
      <c r="A4804" t="inlineStr">
        <is>
          <t>ED204911</t>
        </is>
      </c>
      <c r="B4804" s="56" t="n">
        <v>45597.81666666667</v>
      </c>
      <c r="C4804" t="inlineStr">
        <is>
          <t>Bluestone Memorial Hospital</t>
        </is>
      </c>
      <c r="D4804" t="n">
        <v>27</v>
      </c>
    </row>
    <row r="4805">
      <c r="A4805" t="inlineStr">
        <is>
          <t>ED204912</t>
        </is>
      </c>
      <c r="B4805" s="56" t="n">
        <v>45597.82569444444</v>
      </c>
      <c r="C4805" t="inlineStr">
        <is>
          <t>Bluestone Memorial Hospital</t>
        </is>
      </c>
      <c r="D4805" t="n">
        <v>80</v>
      </c>
    </row>
    <row r="4806">
      <c r="A4806" t="inlineStr">
        <is>
          <t>ED204913</t>
        </is>
      </c>
      <c r="B4806" s="56" t="n">
        <v>45597.82916666667</v>
      </c>
      <c r="C4806" t="inlineStr">
        <is>
          <t>Bluestone Memorial Hospital</t>
        </is>
      </c>
      <c r="D4806" t="n">
        <v>65</v>
      </c>
    </row>
    <row r="4807">
      <c r="A4807" t="inlineStr">
        <is>
          <t>ED204914</t>
        </is>
      </c>
      <c r="B4807" s="56" t="n">
        <v>45597.83611111111</v>
      </c>
      <c r="C4807" t="inlineStr">
        <is>
          <t>Bluestone Memorial Hospital</t>
        </is>
      </c>
      <c r="D4807" t="n">
        <v>86</v>
      </c>
    </row>
    <row r="4808">
      <c r="A4808" t="inlineStr">
        <is>
          <t>ED204915</t>
        </is>
      </c>
      <c r="B4808" s="56" t="n">
        <v>45597.90138888889</v>
      </c>
      <c r="C4808" t="inlineStr">
        <is>
          <t>Cedar Ridge Medical Center</t>
        </is>
      </c>
      <c r="D4808" t="n">
        <v>120</v>
      </c>
    </row>
    <row r="4809">
      <c r="A4809" t="inlineStr">
        <is>
          <t>ED204916</t>
        </is>
      </c>
      <c r="B4809" s="56" t="n">
        <v>45597.90486111111</v>
      </c>
      <c r="C4809" t="inlineStr">
        <is>
          <t>Cedar Ridge Medical Center</t>
        </is>
      </c>
      <c r="D4809" t="n">
        <v>59</v>
      </c>
    </row>
    <row r="4810">
      <c r="A4810" t="inlineStr">
        <is>
          <t>ED204917</t>
        </is>
      </c>
      <c r="B4810" s="56" t="n">
        <v>45598.10833333333</v>
      </c>
      <c r="C4810" t="inlineStr">
        <is>
          <t>Cedar Ridge Medical Center</t>
        </is>
      </c>
      <c r="D4810" t="n">
        <v>41</v>
      </c>
    </row>
    <row r="4811">
      <c r="A4811" t="inlineStr">
        <is>
          <t>ED204918</t>
        </is>
      </c>
      <c r="B4811" s="56" t="n">
        <v>45598.14166666667</v>
      </c>
      <c r="C4811" t="inlineStr">
        <is>
          <t>Bluestone Memorial Hospital</t>
        </is>
      </c>
      <c r="D4811" t="n">
        <v>9</v>
      </c>
    </row>
    <row r="4812">
      <c r="A4812" t="inlineStr">
        <is>
          <t>ED204919</t>
        </is>
      </c>
      <c r="B4812" s="56" t="n">
        <v>45598.15277777778</v>
      </c>
      <c r="C4812" t="inlineStr">
        <is>
          <t>Cedar Ridge Medical Center</t>
        </is>
      </c>
      <c r="D4812" t="n">
        <v>7</v>
      </c>
    </row>
    <row r="4813">
      <c r="A4813" t="inlineStr">
        <is>
          <t>ED204920</t>
        </is>
      </c>
      <c r="B4813" s="56" t="n">
        <v>45598.29444444444</v>
      </c>
      <c r="C4813" t="inlineStr">
        <is>
          <t>Bluestone Memorial Hospital</t>
        </is>
      </c>
      <c r="D4813" t="n">
        <v>41</v>
      </c>
    </row>
    <row r="4814">
      <c r="A4814" t="inlineStr">
        <is>
          <t>ED204921</t>
        </is>
      </c>
      <c r="B4814" s="56" t="n">
        <v>45598.33958333333</v>
      </c>
      <c r="C4814" t="inlineStr">
        <is>
          <t>Bluestone Memorial Hospital</t>
        </is>
      </c>
      <c r="D4814" t="n">
        <v>18</v>
      </c>
    </row>
    <row r="4815">
      <c r="A4815" t="inlineStr">
        <is>
          <t>ED204922</t>
        </is>
      </c>
      <c r="B4815" s="56" t="n">
        <v>45598.54930555556</v>
      </c>
      <c r="C4815" t="inlineStr">
        <is>
          <t>Bluestone Memorial Hospital</t>
        </is>
      </c>
      <c r="D4815" t="n">
        <v>56</v>
      </c>
    </row>
    <row r="4816">
      <c r="A4816" t="inlineStr">
        <is>
          <t>ED204923</t>
        </is>
      </c>
      <c r="B4816" s="56" t="n">
        <v>45598.57152777778</v>
      </c>
      <c r="C4816" t="inlineStr">
        <is>
          <t>Bluestone Memorial Hospital</t>
        </is>
      </c>
      <c r="D4816" t="n">
        <v>15</v>
      </c>
    </row>
    <row r="4817">
      <c r="A4817" t="inlineStr">
        <is>
          <t>ED204924</t>
        </is>
      </c>
      <c r="B4817" s="56" t="n">
        <v>45598.57847222222</v>
      </c>
      <c r="C4817" t="inlineStr">
        <is>
          <t>Bluestone Memorial Hospital</t>
        </is>
      </c>
      <c r="D4817" t="n">
        <v>191</v>
      </c>
    </row>
    <row r="4818">
      <c r="A4818" t="inlineStr">
        <is>
          <t>ED204925</t>
        </is>
      </c>
      <c r="B4818" s="56" t="n">
        <v>45598.62152777778</v>
      </c>
      <c r="C4818" t="inlineStr">
        <is>
          <t>Bluestone Memorial Hospital</t>
        </is>
      </c>
      <c r="D4818" t="n">
        <v>10</v>
      </c>
    </row>
    <row r="4819">
      <c r="A4819" t="inlineStr">
        <is>
          <t>ED204926</t>
        </is>
      </c>
      <c r="B4819" s="56" t="n">
        <v>45598.74791666667</v>
      </c>
      <c r="C4819" t="inlineStr">
        <is>
          <t>Bluestone Memorial Hospital</t>
        </is>
      </c>
      <c r="D4819" t="n">
        <v>105</v>
      </c>
    </row>
    <row r="4820">
      <c r="A4820" t="inlineStr">
        <is>
          <t>ED204927</t>
        </is>
      </c>
      <c r="B4820" s="56" t="n">
        <v>45598.74791666667</v>
      </c>
      <c r="C4820" t="inlineStr">
        <is>
          <t>Bluestone Memorial Hospital</t>
        </is>
      </c>
      <c r="D4820" t="n">
        <v>19</v>
      </c>
    </row>
    <row r="4821">
      <c r="A4821" t="inlineStr">
        <is>
          <t>ED204928</t>
        </is>
      </c>
      <c r="B4821" s="56" t="n">
        <v>45598.80347222222</v>
      </c>
      <c r="C4821" t="inlineStr">
        <is>
          <t>Bluestone Memorial Hospital</t>
        </is>
      </c>
      <c r="D4821" t="n">
        <v>36</v>
      </c>
    </row>
    <row r="4822">
      <c r="A4822" t="inlineStr">
        <is>
          <t>ED204929</t>
        </is>
      </c>
      <c r="B4822" s="56" t="n">
        <v>45598.83055555556</v>
      </c>
      <c r="C4822" t="inlineStr">
        <is>
          <t>Bluestone Memorial Hospital</t>
        </is>
      </c>
      <c r="D4822" t="n">
        <v>78</v>
      </c>
    </row>
    <row r="4823">
      <c r="A4823" t="inlineStr">
        <is>
          <t>ED204930</t>
        </is>
      </c>
      <c r="B4823" s="56" t="n">
        <v>45598.93402777778</v>
      </c>
      <c r="C4823" t="inlineStr">
        <is>
          <t>Bluestone Memorial Hospital</t>
        </is>
      </c>
      <c r="D4823" t="n">
        <v>17</v>
      </c>
    </row>
    <row r="4824">
      <c r="A4824" t="inlineStr">
        <is>
          <t>ED204931</t>
        </is>
      </c>
      <c r="B4824" s="56" t="n">
        <v>45599.01319444444</v>
      </c>
      <c r="C4824" t="inlineStr">
        <is>
          <t>Cedar Ridge Medical Center</t>
        </is>
      </c>
      <c r="D4824" t="n">
        <v>100</v>
      </c>
    </row>
    <row r="4825">
      <c r="A4825" t="inlineStr">
        <is>
          <t>ED204932</t>
        </is>
      </c>
      <c r="B4825" s="56" t="n">
        <v>45599.15763888889</v>
      </c>
      <c r="C4825" t="inlineStr">
        <is>
          <t>Bluestone Memorial Hospital</t>
        </is>
      </c>
      <c r="D4825" t="n">
        <v>30</v>
      </c>
    </row>
    <row r="4826">
      <c r="A4826" t="inlineStr">
        <is>
          <t>ED204933</t>
        </is>
      </c>
      <c r="B4826" s="56" t="n">
        <v>45599.41388888889</v>
      </c>
      <c r="C4826" t="inlineStr">
        <is>
          <t>Bluestone Memorial Hospital</t>
        </is>
      </c>
      <c r="D4826" t="n">
        <v>51</v>
      </c>
    </row>
    <row r="4827">
      <c r="A4827" t="inlineStr">
        <is>
          <t>ED204934</t>
        </is>
      </c>
      <c r="B4827" s="56" t="n">
        <v>45599.48611111111</v>
      </c>
      <c r="C4827" t="inlineStr">
        <is>
          <t>Bluestone Memorial Hospital</t>
        </is>
      </c>
      <c r="D4827" t="n">
        <v>20</v>
      </c>
    </row>
    <row r="4828">
      <c r="A4828" t="inlineStr">
        <is>
          <t>ED204935</t>
        </is>
      </c>
      <c r="B4828" s="56" t="n">
        <v>45599.48819444444</v>
      </c>
      <c r="C4828" t="inlineStr">
        <is>
          <t>Cedar Ridge Medical Center</t>
        </is>
      </c>
      <c r="D4828" t="n">
        <v>41</v>
      </c>
    </row>
    <row r="4829">
      <c r="A4829" t="inlineStr">
        <is>
          <t>ED204936</t>
        </is>
      </c>
      <c r="B4829" s="56" t="n">
        <v>45599.49027777778</v>
      </c>
      <c r="C4829" t="inlineStr">
        <is>
          <t>Bluestone Memorial Hospital</t>
        </is>
      </c>
      <c r="D4829" t="n">
        <v>37</v>
      </c>
    </row>
    <row r="4830">
      <c r="A4830" t="inlineStr">
        <is>
          <t>ED204937</t>
        </is>
      </c>
      <c r="B4830" s="56" t="n">
        <v>45599.54583333333</v>
      </c>
      <c r="C4830" t="inlineStr">
        <is>
          <t>Bluestone Memorial Hospital</t>
        </is>
      </c>
      <c r="D4830" t="n">
        <v>19</v>
      </c>
    </row>
    <row r="4831">
      <c r="A4831" t="inlineStr">
        <is>
          <t>ED204938</t>
        </is>
      </c>
      <c r="B4831" s="56" t="n">
        <v>45599.61388888889</v>
      </c>
      <c r="C4831" t="inlineStr">
        <is>
          <t>Bluestone Memorial Hospital</t>
        </is>
      </c>
      <c r="D4831" t="n">
        <v>83</v>
      </c>
    </row>
    <row r="4832">
      <c r="A4832" t="inlineStr">
        <is>
          <t>ED204939</t>
        </is>
      </c>
      <c r="B4832" s="56" t="n">
        <v>45599.65138888889</v>
      </c>
      <c r="C4832" t="inlineStr">
        <is>
          <t>Bluestone Memorial Hospital</t>
        </is>
      </c>
      <c r="D4832" t="n">
        <v>24</v>
      </c>
    </row>
    <row r="4833">
      <c r="A4833" t="inlineStr">
        <is>
          <t>ED204940</t>
        </is>
      </c>
      <c r="B4833" s="56" t="n">
        <v>45599.65555555555</v>
      </c>
      <c r="C4833" t="inlineStr">
        <is>
          <t>Bluestone Memorial Hospital</t>
        </is>
      </c>
      <c r="D4833" t="n">
        <v>80</v>
      </c>
    </row>
    <row r="4834">
      <c r="A4834" t="inlineStr">
        <is>
          <t>ED204941</t>
        </is>
      </c>
      <c r="B4834" s="56" t="n">
        <v>45599.67361111111</v>
      </c>
      <c r="C4834" t="inlineStr">
        <is>
          <t>Cedar Ridge Medical Center</t>
        </is>
      </c>
      <c r="D4834" t="n">
        <v>83</v>
      </c>
    </row>
    <row r="4835">
      <c r="A4835" t="inlineStr">
        <is>
          <t>ED204942</t>
        </is>
      </c>
      <c r="B4835" s="56" t="n">
        <v>45599.76736111111</v>
      </c>
      <c r="C4835" t="inlineStr">
        <is>
          <t>Bluestone Memorial Hospital</t>
        </is>
      </c>
      <c r="D4835" t="n">
        <v>98</v>
      </c>
    </row>
    <row r="4836">
      <c r="A4836" t="inlineStr">
        <is>
          <t>ED204943</t>
        </is>
      </c>
      <c r="B4836" s="56" t="n">
        <v>45599.79513888889</v>
      </c>
      <c r="C4836" t="inlineStr">
        <is>
          <t>Bluestone Memorial Hospital</t>
        </is>
      </c>
      <c r="D4836" t="n">
        <v>107</v>
      </c>
    </row>
    <row r="4837">
      <c r="A4837" t="inlineStr">
        <is>
          <t>ED204944</t>
        </is>
      </c>
      <c r="B4837" s="56" t="n">
        <v>45599.84236111111</v>
      </c>
      <c r="C4837" t="inlineStr">
        <is>
          <t>Bluestone Memorial Hospital</t>
        </is>
      </c>
      <c r="D4837" t="n">
        <v>34</v>
      </c>
    </row>
    <row r="4838">
      <c r="A4838" t="inlineStr">
        <is>
          <t>ED204945</t>
        </is>
      </c>
      <c r="B4838" s="56" t="n">
        <v>45599.96736111111</v>
      </c>
      <c r="C4838" t="inlineStr">
        <is>
          <t>Bluestone Memorial Hospital</t>
        </is>
      </c>
      <c r="D4838" t="n">
        <v>36</v>
      </c>
    </row>
    <row r="4839">
      <c r="A4839" t="inlineStr">
        <is>
          <t>ED204946</t>
        </is>
      </c>
      <c r="B4839" s="56" t="n">
        <v>45600.06111111111</v>
      </c>
      <c r="C4839" t="inlineStr">
        <is>
          <t>Bluestone Memorial Hospital</t>
        </is>
      </c>
      <c r="D4839" t="n">
        <v>44</v>
      </c>
    </row>
    <row r="4840">
      <c r="A4840" t="inlineStr">
        <is>
          <t>ED204947</t>
        </is>
      </c>
      <c r="B4840" s="56" t="n">
        <v>45600.29722222222</v>
      </c>
      <c r="C4840" t="inlineStr">
        <is>
          <t>Bluestone Memorial Hospital</t>
        </is>
      </c>
      <c r="D4840" t="n">
        <v>32</v>
      </c>
    </row>
    <row r="4841">
      <c r="A4841" t="inlineStr">
        <is>
          <t>ED204948</t>
        </is>
      </c>
      <c r="B4841" s="56" t="n">
        <v>45600.32569444444</v>
      </c>
      <c r="C4841" t="inlineStr">
        <is>
          <t>Bluestone Memorial Hospital</t>
        </is>
      </c>
      <c r="D4841" t="n">
        <v>65</v>
      </c>
    </row>
    <row r="4842">
      <c r="A4842" t="inlineStr">
        <is>
          <t>ED204949</t>
        </is>
      </c>
      <c r="B4842" s="56" t="n">
        <v>45600.37152777778</v>
      </c>
      <c r="C4842" t="inlineStr">
        <is>
          <t>Bluestone Memorial Hospital</t>
        </is>
      </c>
      <c r="D4842" t="n">
        <v>112</v>
      </c>
    </row>
    <row r="4843">
      <c r="A4843" t="inlineStr">
        <is>
          <t>ED204950</t>
        </is>
      </c>
      <c r="B4843" s="56" t="n">
        <v>45600.38055555556</v>
      </c>
      <c r="C4843" t="inlineStr">
        <is>
          <t>Bluestone Memorial Hospital</t>
        </is>
      </c>
      <c r="D4843" t="n">
        <v>59</v>
      </c>
    </row>
    <row r="4844">
      <c r="A4844" t="inlineStr">
        <is>
          <t>ED204951</t>
        </is>
      </c>
      <c r="B4844" s="56" t="n">
        <v>45600.38263888889</v>
      </c>
      <c r="C4844" t="inlineStr">
        <is>
          <t>Cedar Ridge Medical Center</t>
        </is>
      </c>
      <c r="D4844" t="n">
        <v>146</v>
      </c>
    </row>
    <row r="4845">
      <c r="A4845" t="inlineStr">
        <is>
          <t>ED204952</t>
        </is>
      </c>
      <c r="B4845" s="56" t="n">
        <v>45600.44513888889</v>
      </c>
      <c r="C4845" t="inlineStr">
        <is>
          <t>Cedar Ridge Medical Center</t>
        </is>
      </c>
      <c r="D4845" t="n">
        <v>53</v>
      </c>
    </row>
    <row r="4846">
      <c r="A4846" t="inlineStr">
        <is>
          <t>ED204953</t>
        </is>
      </c>
      <c r="B4846" s="56" t="n">
        <v>45600.44791666666</v>
      </c>
      <c r="C4846" t="inlineStr">
        <is>
          <t>Bluestone Memorial Hospital</t>
        </is>
      </c>
      <c r="D4846" t="n">
        <v>25</v>
      </c>
    </row>
    <row r="4847">
      <c r="A4847" t="inlineStr">
        <is>
          <t>ED204954</t>
        </is>
      </c>
      <c r="B4847" s="56" t="n">
        <v>45600.45069444444</v>
      </c>
      <c r="C4847" t="inlineStr">
        <is>
          <t>Bluestone Memorial Hospital</t>
        </is>
      </c>
      <c r="D4847" t="n">
        <v>42</v>
      </c>
    </row>
    <row r="4848">
      <c r="A4848" t="inlineStr">
        <is>
          <t>ED204955</t>
        </is>
      </c>
      <c r="B4848" s="56" t="n">
        <v>45600.45694444444</v>
      </c>
      <c r="C4848" t="inlineStr">
        <is>
          <t>Bluestone Memorial Hospital</t>
        </is>
      </c>
      <c r="D4848" t="n">
        <v>57</v>
      </c>
    </row>
    <row r="4849">
      <c r="A4849" t="inlineStr">
        <is>
          <t>ED204956</t>
        </is>
      </c>
      <c r="B4849" s="56" t="n">
        <v>45600.46736111111</v>
      </c>
      <c r="C4849" t="inlineStr">
        <is>
          <t>Bluestone Memorial Hospital</t>
        </is>
      </c>
      <c r="D4849" t="n">
        <v>18</v>
      </c>
    </row>
    <row r="4850">
      <c r="A4850" t="inlineStr">
        <is>
          <t>ED204957</t>
        </is>
      </c>
      <c r="B4850" s="56" t="n">
        <v>45600.49305555555</v>
      </c>
      <c r="C4850" t="inlineStr">
        <is>
          <t>Bluestone Memorial Hospital</t>
        </is>
      </c>
      <c r="D4850" t="n">
        <v>67</v>
      </c>
    </row>
    <row r="4851">
      <c r="A4851" t="inlineStr">
        <is>
          <t>ED204958</t>
        </is>
      </c>
      <c r="B4851" s="56" t="n">
        <v>45600.52847222222</v>
      </c>
      <c r="C4851" t="inlineStr">
        <is>
          <t>Bluestone Memorial Hospital</t>
        </is>
      </c>
      <c r="D4851" t="n">
        <v>20</v>
      </c>
    </row>
    <row r="4852">
      <c r="A4852" t="inlineStr">
        <is>
          <t>ED204959</t>
        </is>
      </c>
      <c r="B4852" s="56" t="n">
        <v>45600.56388888889</v>
      </c>
      <c r="C4852" t="inlineStr">
        <is>
          <t>Cedar Ridge Medical Center</t>
        </is>
      </c>
      <c r="D4852" t="n">
        <v>41</v>
      </c>
    </row>
    <row r="4853">
      <c r="A4853" t="inlineStr">
        <is>
          <t>ED204960</t>
        </is>
      </c>
      <c r="B4853" s="56" t="n">
        <v>45600.58055555556</v>
      </c>
      <c r="C4853" t="inlineStr">
        <is>
          <t>Bluestone Memorial Hospital</t>
        </is>
      </c>
      <c r="D4853" t="n">
        <v>77</v>
      </c>
    </row>
    <row r="4854">
      <c r="A4854" t="inlineStr">
        <is>
          <t>ED204961</t>
        </is>
      </c>
      <c r="B4854" s="56" t="n">
        <v>45600.62361111111</v>
      </c>
      <c r="C4854" t="inlineStr">
        <is>
          <t>Bluestone Memorial Hospital</t>
        </is>
      </c>
      <c r="D4854" t="n">
        <v>207</v>
      </c>
    </row>
    <row r="4855">
      <c r="A4855" t="inlineStr">
        <is>
          <t>ED204962</t>
        </is>
      </c>
      <c r="B4855" s="56" t="n">
        <v>45600.65486111111</v>
      </c>
      <c r="C4855" t="inlineStr">
        <is>
          <t>Bluestone Memorial Hospital</t>
        </is>
      </c>
      <c r="D4855" t="n">
        <v>14</v>
      </c>
    </row>
    <row r="4856">
      <c r="A4856" t="inlineStr">
        <is>
          <t>ED204963</t>
        </is>
      </c>
      <c r="B4856" s="56" t="n">
        <v>45600.67083333333</v>
      </c>
      <c r="C4856" t="inlineStr">
        <is>
          <t>Bluestone Memorial Hospital</t>
        </is>
      </c>
      <c r="D4856" t="n">
        <v>30</v>
      </c>
    </row>
    <row r="4857">
      <c r="A4857" t="inlineStr">
        <is>
          <t>ED204964</t>
        </is>
      </c>
      <c r="B4857" s="56" t="n">
        <v>45600.71597222222</v>
      </c>
      <c r="C4857" t="inlineStr">
        <is>
          <t>Bluestone Memorial Hospital</t>
        </is>
      </c>
      <c r="D4857" t="n">
        <v>34</v>
      </c>
    </row>
    <row r="4858">
      <c r="A4858" t="inlineStr">
        <is>
          <t>ED204965</t>
        </is>
      </c>
      <c r="B4858" s="56" t="n">
        <v>45600.72083333333</v>
      </c>
      <c r="C4858" t="inlineStr">
        <is>
          <t>Bluestone Memorial Hospital</t>
        </is>
      </c>
      <c r="D4858" t="n">
        <v>85</v>
      </c>
    </row>
    <row r="4859">
      <c r="A4859" t="inlineStr">
        <is>
          <t>ED204966</t>
        </is>
      </c>
      <c r="B4859" s="56" t="n">
        <v>45600.72430555556</v>
      </c>
      <c r="C4859" t="inlineStr">
        <is>
          <t>Bluestone Memorial Hospital</t>
        </is>
      </c>
      <c r="D4859" t="n">
        <v>32</v>
      </c>
    </row>
    <row r="4860">
      <c r="A4860" t="inlineStr">
        <is>
          <t>ED204967</t>
        </is>
      </c>
      <c r="B4860" s="56" t="n">
        <v>45600.74097222222</v>
      </c>
      <c r="C4860" t="inlineStr">
        <is>
          <t>Bluestone Memorial Hospital</t>
        </is>
      </c>
      <c r="D4860" t="n">
        <v>14</v>
      </c>
    </row>
    <row r="4861">
      <c r="A4861" t="inlineStr">
        <is>
          <t>ED204968</t>
        </is>
      </c>
      <c r="B4861" s="56" t="n">
        <v>45600.75208333333</v>
      </c>
      <c r="C4861" t="inlineStr">
        <is>
          <t>Cedar Ridge Medical Center</t>
        </is>
      </c>
      <c r="D4861" t="n">
        <v>37</v>
      </c>
    </row>
    <row r="4862">
      <c r="A4862" t="inlineStr">
        <is>
          <t>ED204969</t>
        </is>
      </c>
      <c r="B4862" s="56" t="n">
        <v>45600.77291666667</v>
      </c>
      <c r="C4862" t="inlineStr">
        <is>
          <t>Bluestone Memorial Hospital</t>
        </is>
      </c>
      <c r="D4862" t="n">
        <v>82</v>
      </c>
    </row>
    <row r="4863">
      <c r="A4863" t="inlineStr">
        <is>
          <t>ED204970</t>
        </is>
      </c>
      <c r="B4863" s="56" t="n">
        <v>45600.80625</v>
      </c>
      <c r="C4863" t="inlineStr">
        <is>
          <t>Bluestone Memorial Hospital</t>
        </is>
      </c>
      <c r="D4863" t="n">
        <v>59</v>
      </c>
    </row>
    <row r="4864">
      <c r="A4864" t="inlineStr">
        <is>
          <t>ED204971</t>
        </is>
      </c>
      <c r="B4864" s="56" t="n">
        <v>45600.87847222222</v>
      </c>
      <c r="C4864" t="inlineStr">
        <is>
          <t>Bluestone Memorial Hospital</t>
        </is>
      </c>
      <c r="D4864" t="n">
        <v>3</v>
      </c>
    </row>
    <row r="4865">
      <c r="A4865" t="inlineStr">
        <is>
          <t>ED204972</t>
        </is>
      </c>
      <c r="B4865" s="56" t="n">
        <v>45600.97708333333</v>
      </c>
      <c r="C4865" t="inlineStr">
        <is>
          <t>Bluestone Memorial Hospital</t>
        </is>
      </c>
      <c r="D4865" t="n">
        <v>14</v>
      </c>
    </row>
    <row r="4866">
      <c r="A4866" t="inlineStr">
        <is>
          <t>ED204973</t>
        </is>
      </c>
      <c r="B4866" s="56" t="n">
        <v>45600.97777777778</v>
      </c>
      <c r="C4866" t="inlineStr">
        <is>
          <t>Bluestone Memorial Hospital</t>
        </is>
      </c>
      <c r="D4866" t="n">
        <v>30</v>
      </c>
    </row>
    <row r="4867">
      <c r="A4867" t="inlineStr">
        <is>
          <t>ED204974</t>
        </is>
      </c>
      <c r="B4867" s="56" t="n">
        <v>45601.04583333333</v>
      </c>
      <c r="C4867" t="inlineStr">
        <is>
          <t>Bluestone Memorial Hospital</t>
        </is>
      </c>
      <c r="D4867" t="n">
        <v>96</v>
      </c>
    </row>
    <row r="4868">
      <c r="A4868" t="inlineStr">
        <is>
          <t>ED204975</t>
        </is>
      </c>
      <c r="B4868" s="56" t="n">
        <v>45601.14027777778</v>
      </c>
      <c r="C4868" t="inlineStr">
        <is>
          <t>Cedar Ridge Medical Center</t>
        </is>
      </c>
      <c r="D4868" t="n">
        <v>17</v>
      </c>
    </row>
    <row r="4869">
      <c r="A4869" t="inlineStr">
        <is>
          <t>ED204976</t>
        </is>
      </c>
      <c r="B4869" s="56" t="n">
        <v>45601.47708333333</v>
      </c>
      <c r="C4869" t="inlineStr">
        <is>
          <t>Cedar Ridge Medical Center</t>
        </is>
      </c>
      <c r="D4869" t="n">
        <v>118</v>
      </c>
    </row>
    <row r="4870">
      <c r="A4870" t="inlineStr">
        <is>
          <t>ED204977</t>
        </is>
      </c>
      <c r="B4870" s="56" t="n">
        <v>45601.48819444444</v>
      </c>
      <c r="C4870" t="inlineStr">
        <is>
          <t>Bluestone Memorial Hospital</t>
        </is>
      </c>
      <c r="D4870" t="n">
        <v>108</v>
      </c>
    </row>
    <row r="4871">
      <c r="A4871" t="inlineStr">
        <is>
          <t>ED204978</t>
        </is>
      </c>
      <c r="B4871" s="56" t="n">
        <v>45601.49583333333</v>
      </c>
      <c r="C4871" t="inlineStr">
        <is>
          <t>Cedar Ridge Medical Center</t>
        </is>
      </c>
      <c r="D4871" t="n">
        <v>37</v>
      </c>
    </row>
    <row r="4872">
      <c r="A4872" t="inlineStr">
        <is>
          <t>ED204979</t>
        </is>
      </c>
      <c r="B4872" s="56" t="n">
        <v>45601.65138888889</v>
      </c>
      <c r="C4872" t="inlineStr">
        <is>
          <t>Bluestone Memorial Hospital</t>
        </is>
      </c>
      <c r="D4872" t="n">
        <v>129</v>
      </c>
    </row>
    <row r="4873">
      <c r="A4873" t="inlineStr">
        <is>
          <t>ED204980</t>
        </is>
      </c>
      <c r="B4873" s="56" t="n">
        <v>45601.66458333333</v>
      </c>
      <c r="C4873" t="inlineStr">
        <is>
          <t>Bluestone Memorial Hospital</t>
        </is>
      </c>
      <c r="D4873" t="n">
        <v>16</v>
      </c>
    </row>
    <row r="4874">
      <c r="A4874" t="inlineStr">
        <is>
          <t>ED204981</t>
        </is>
      </c>
      <c r="B4874" s="56" t="n">
        <v>45601.66666666666</v>
      </c>
      <c r="C4874" t="inlineStr">
        <is>
          <t>Bluestone Memorial Hospital</t>
        </is>
      </c>
      <c r="D4874" t="n">
        <v>106</v>
      </c>
    </row>
    <row r="4875">
      <c r="A4875" t="inlineStr">
        <is>
          <t>ED204982</t>
        </is>
      </c>
      <c r="B4875" s="56" t="n">
        <v>45601.74861111111</v>
      </c>
      <c r="C4875" t="inlineStr">
        <is>
          <t>Cedar Ridge Medical Center</t>
        </is>
      </c>
      <c r="D4875" t="n">
        <v>59</v>
      </c>
    </row>
    <row r="4876">
      <c r="A4876" t="inlineStr">
        <is>
          <t>ED204983</t>
        </is>
      </c>
      <c r="B4876" s="56" t="n">
        <v>45601.84722222222</v>
      </c>
      <c r="C4876" t="inlineStr">
        <is>
          <t>Bluestone Memorial Hospital</t>
        </is>
      </c>
      <c r="D4876" t="n">
        <v>36</v>
      </c>
    </row>
    <row r="4877">
      <c r="A4877" t="inlineStr">
        <is>
          <t>ED204984</t>
        </is>
      </c>
      <c r="B4877" s="56" t="n">
        <v>45601.88333333333</v>
      </c>
      <c r="C4877" t="inlineStr">
        <is>
          <t>Cedar Ridge Medical Center</t>
        </is>
      </c>
      <c r="D4877" t="n">
        <v>6</v>
      </c>
    </row>
    <row r="4878">
      <c r="A4878" t="inlineStr">
        <is>
          <t>ED204985</t>
        </is>
      </c>
      <c r="B4878" s="56" t="n">
        <v>45602.01180555556</v>
      </c>
      <c r="C4878" t="inlineStr">
        <is>
          <t>Ashby Falls Community Hospital</t>
        </is>
      </c>
      <c r="D4878" t="n">
        <v>37</v>
      </c>
    </row>
    <row r="4879">
      <c r="A4879" t="inlineStr">
        <is>
          <t>ED204986</t>
        </is>
      </c>
      <c r="B4879" s="56" t="n">
        <v>45602.0125</v>
      </c>
      <c r="C4879" t="inlineStr">
        <is>
          <t>Ashby Falls Community Hospital</t>
        </is>
      </c>
      <c r="D4879" t="n">
        <v>15</v>
      </c>
    </row>
    <row r="4880">
      <c r="A4880" t="inlineStr">
        <is>
          <t>ED204987</t>
        </is>
      </c>
      <c r="B4880" s="56" t="n">
        <v>45602.02638888889</v>
      </c>
      <c r="C4880" t="inlineStr">
        <is>
          <t>Bluestone Memorial Hospital</t>
        </is>
      </c>
      <c r="D4880" t="n">
        <v>15</v>
      </c>
    </row>
    <row r="4881">
      <c r="A4881" t="inlineStr">
        <is>
          <t>ED204988</t>
        </is>
      </c>
      <c r="B4881" s="56" t="n">
        <v>45602.04791666667</v>
      </c>
      <c r="C4881" t="inlineStr">
        <is>
          <t>Bluestone Memorial Hospital</t>
        </is>
      </c>
      <c r="D4881" t="n">
        <v>13</v>
      </c>
    </row>
    <row r="4882">
      <c r="A4882" t="inlineStr">
        <is>
          <t>ED204989</t>
        </is>
      </c>
      <c r="B4882" s="56" t="n">
        <v>45602.08958333333</v>
      </c>
      <c r="C4882" t="inlineStr">
        <is>
          <t>Bluestone Memorial Hospital</t>
        </is>
      </c>
      <c r="D4882" t="n">
        <v>2</v>
      </c>
    </row>
    <row r="4883">
      <c r="A4883" t="inlineStr">
        <is>
          <t>ED204990</t>
        </is>
      </c>
      <c r="B4883" s="56" t="n">
        <v>45602.14305555556</v>
      </c>
      <c r="C4883" t="inlineStr">
        <is>
          <t>Bluestone Memorial Hospital</t>
        </is>
      </c>
      <c r="D4883" t="n">
        <v>42</v>
      </c>
    </row>
    <row r="4884">
      <c r="A4884" t="inlineStr">
        <is>
          <t>ED204991</t>
        </is>
      </c>
      <c r="B4884" s="56" t="n">
        <v>45602.29791666667</v>
      </c>
      <c r="C4884" t="inlineStr">
        <is>
          <t>Cedar Ridge Medical Center</t>
        </is>
      </c>
      <c r="D4884" t="n">
        <v>22</v>
      </c>
    </row>
    <row r="4885">
      <c r="A4885" t="inlineStr">
        <is>
          <t>ED204992</t>
        </is>
      </c>
      <c r="B4885" s="56" t="n">
        <v>45602.30069444444</v>
      </c>
      <c r="C4885" t="inlineStr">
        <is>
          <t>Bluestone Memorial Hospital</t>
        </is>
      </c>
      <c r="D4885" t="n">
        <v>5</v>
      </c>
    </row>
    <row r="4886">
      <c r="A4886" t="inlineStr">
        <is>
          <t>ED204993</t>
        </is>
      </c>
      <c r="B4886" s="56" t="n">
        <v>45602.32291666666</v>
      </c>
      <c r="C4886" t="inlineStr">
        <is>
          <t>Bluestone Memorial Hospital</t>
        </is>
      </c>
      <c r="D4886" t="n">
        <v>12</v>
      </c>
    </row>
    <row r="4887">
      <c r="A4887" t="inlineStr">
        <is>
          <t>ED204994</t>
        </is>
      </c>
      <c r="B4887" s="56" t="n">
        <v>45602.34166666667</v>
      </c>
      <c r="C4887" t="inlineStr">
        <is>
          <t>Bluestone Memorial Hospital</t>
        </is>
      </c>
      <c r="D4887" t="n">
        <v>139</v>
      </c>
    </row>
    <row r="4888">
      <c r="A4888" t="inlineStr">
        <is>
          <t>ED204995</t>
        </is>
      </c>
      <c r="B4888" s="56" t="n">
        <v>45602.34652777778</v>
      </c>
      <c r="C4888" t="inlineStr">
        <is>
          <t>Cedar Ridge Medical Center</t>
        </is>
      </c>
      <c r="D4888" t="n">
        <v>39</v>
      </c>
    </row>
    <row r="4889">
      <c r="A4889" t="inlineStr">
        <is>
          <t>ED204996</t>
        </is>
      </c>
      <c r="B4889" s="56" t="n">
        <v>45602.36805555555</v>
      </c>
      <c r="C4889" t="inlineStr">
        <is>
          <t>Bluestone Memorial Hospital</t>
        </is>
      </c>
      <c r="D4889" t="n">
        <v>35</v>
      </c>
    </row>
    <row r="4890">
      <c r="A4890" t="inlineStr">
        <is>
          <t>ED204997</t>
        </is>
      </c>
      <c r="B4890" s="56" t="n">
        <v>45602.46458333333</v>
      </c>
      <c r="C4890" t="inlineStr">
        <is>
          <t>Ashby Falls Community Hospital</t>
        </is>
      </c>
      <c r="D4890" t="n">
        <v>93</v>
      </c>
    </row>
    <row r="4891">
      <c r="A4891" t="inlineStr">
        <is>
          <t>ED204998</t>
        </is>
      </c>
      <c r="B4891" s="56" t="n">
        <v>45602.53541666667</v>
      </c>
      <c r="C4891" t="inlineStr">
        <is>
          <t>Bluestone Memorial Hospital</t>
        </is>
      </c>
      <c r="D4891" t="n">
        <v>24</v>
      </c>
    </row>
    <row r="4892">
      <c r="A4892" t="inlineStr">
        <is>
          <t>ED204999</t>
        </is>
      </c>
      <c r="B4892" s="56" t="n">
        <v>45602.57013888889</v>
      </c>
      <c r="C4892" t="inlineStr">
        <is>
          <t>Ashby Falls Community Hospital</t>
        </is>
      </c>
      <c r="D4892" t="n">
        <v>66</v>
      </c>
    </row>
    <row r="4893">
      <c r="A4893" t="inlineStr">
        <is>
          <t>ED205000</t>
        </is>
      </c>
      <c r="B4893" s="56" t="n">
        <v>45602.59513888889</v>
      </c>
      <c r="C4893" t="inlineStr">
        <is>
          <t>Ashby Falls Community Hospital</t>
        </is>
      </c>
      <c r="D4893" t="n">
        <v>42</v>
      </c>
    </row>
    <row r="4894">
      <c r="A4894" t="inlineStr">
        <is>
          <t>ED205001</t>
        </is>
      </c>
      <c r="B4894" s="56" t="n">
        <v>45602.60208333333</v>
      </c>
      <c r="C4894" t="inlineStr">
        <is>
          <t>Bluestone Memorial Hospital</t>
        </is>
      </c>
      <c r="D4894" t="n">
        <v>111</v>
      </c>
    </row>
    <row r="4895">
      <c r="A4895" t="inlineStr">
        <is>
          <t>ED205002</t>
        </is>
      </c>
      <c r="B4895" s="56" t="n">
        <v>45602.65</v>
      </c>
      <c r="C4895" t="inlineStr">
        <is>
          <t>Ashby Falls Community Hospital</t>
        </is>
      </c>
      <c r="D4895" t="n">
        <v>21</v>
      </c>
    </row>
    <row r="4896">
      <c r="A4896" t="inlineStr">
        <is>
          <t>ED205003</t>
        </is>
      </c>
      <c r="B4896" s="56" t="n">
        <v>45602.65972222222</v>
      </c>
      <c r="C4896" t="inlineStr">
        <is>
          <t>Cedar Ridge Medical Center</t>
        </is>
      </c>
      <c r="D4896" t="n">
        <v>55</v>
      </c>
    </row>
    <row r="4897">
      <c r="A4897" t="inlineStr">
        <is>
          <t>ED205004</t>
        </is>
      </c>
      <c r="B4897" s="56" t="n">
        <v>45602.76041666666</v>
      </c>
      <c r="C4897" t="inlineStr">
        <is>
          <t>Bluestone Memorial Hospital</t>
        </is>
      </c>
      <c r="D4897" t="n">
        <v>84</v>
      </c>
    </row>
    <row r="4898">
      <c r="A4898" t="inlineStr">
        <is>
          <t>ED205005</t>
        </is>
      </c>
      <c r="B4898" s="56" t="n">
        <v>45602.79583333333</v>
      </c>
      <c r="C4898" t="inlineStr">
        <is>
          <t>Bluestone Memorial Hospital</t>
        </is>
      </c>
      <c r="D4898" t="n">
        <v>9</v>
      </c>
    </row>
    <row r="4899">
      <c r="A4899" t="inlineStr">
        <is>
          <t>ED205006</t>
        </is>
      </c>
      <c r="B4899" s="56" t="n">
        <v>45602.81527777778</v>
      </c>
      <c r="C4899" t="inlineStr">
        <is>
          <t>Cedar Ridge Medical Center</t>
        </is>
      </c>
      <c r="D4899" t="n">
        <v>47</v>
      </c>
    </row>
    <row r="4900">
      <c r="A4900" t="inlineStr">
        <is>
          <t>ED205007</t>
        </is>
      </c>
      <c r="B4900" s="56" t="n">
        <v>45602.825</v>
      </c>
      <c r="C4900" t="inlineStr">
        <is>
          <t>Bluestone Memorial Hospital</t>
        </is>
      </c>
      <c r="D4900" t="n">
        <v>28</v>
      </c>
    </row>
    <row r="4901">
      <c r="A4901" t="inlineStr">
        <is>
          <t>ED205008</t>
        </is>
      </c>
      <c r="B4901" s="56" t="n">
        <v>45602.82986111111</v>
      </c>
      <c r="C4901" t="inlineStr">
        <is>
          <t>Cedar Ridge Medical Center</t>
        </is>
      </c>
      <c r="D4901" t="n">
        <v>118</v>
      </c>
    </row>
    <row r="4902">
      <c r="A4902" t="inlineStr">
        <is>
          <t>ED205009</t>
        </is>
      </c>
      <c r="B4902" s="56" t="n">
        <v>45602.83125</v>
      </c>
      <c r="C4902" t="inlineStr">
        <is>
          <t>Bluestone Memorial Hospital</t>
        </is>
      </c>
      <c r="D4902" t="n">
        <v>75</v>
      </c>
    </row>
    <row r="4903">
      <c r="A4903" t="inlineStr">
        <is>
          <t>ED205010</t>
        </is>
      </c>
      <c r="B4903" s="56" t="n">
        <v>45602.89861111111</v>
      </c>
      <c r="C4903" t="inlineStr">
        <is>
          <t>Bluestone Memorial Hospital</t>
        </is>
      </c>
      <c r="D4903" t="n">
        <v>12</v>
      </c>
    </row>
    <row r="4904">
      <c r="A4904" t="inlineStr">
        <is>
          <t>ED205011</t>
        </is>
      </c>
      <c r="B4904" s="56" t="n">
        <v>45602.94722222222</v>
      </c>
      <c r="C4904" t="inlineStr">
        <is>
          <t>Bluestone Memorial Hospital</t>
        </is>
      </c>
      <c r="D4904" t="n">
        <v>19</v>
      </c>
    </row>
    <row r="4905">
      <c r="A4905" t="inlineStr">
        <is>
          <t>ED205012</t>
        </is>
      </c>
      <c r="B4905" s="56" t="n">
        <v>45602.96597222222</v>
      </c>
      <c r="C4905" t="inlineStr">
        <is>
          <t>Bluestone Memorial Hospital</t>
        </is>
      </c>
      <c r="D4905" t="n">
        <v>70</v>
      </c>
    </row>
    <row r="4906">
      <c r="A4906" t="inlineStr">
        <is>
          <t>ED205013</t>
        </is>
      </c>
      <c r="B4906" s="56" t="n">
        <v>45603.00625</v>
      </c>
      <c r="C4906" t="inlineStr">
        <is>
          <t>Bluestone Memorial Hospital</t>
        </is>
      </c>
      <c r="D4906" t="n">
        <v>18</v>
      </c>
    </row>
    <row r="4907">
      <c r="A4907" t="inlineStr">
        <is>
          <t>ED205014</t>
        </is>
      </c>
      <c r="B4907" s="56" t="n">
        <v>45603.075</v>
      </c>
      <c r="C4907" t="inlineStr">
        <is>
          <t>Bluestone Memorial Hospital</t>
        </is>
      </c>
      <c r="D4907" t="n">
        <v>97</v>
      </c>
    </row>
    <row r="4908">
      <c r="A4908" t="inlineStr">
        <is>
          <t>ED205015</t>
        </is>
      </c>
      <c r="B4908" s="56" t="n">
        <v>45603.10277777778</v>
      </c>
      <c r="C4908" t="inlineStr">
        <is>
          <t>Bluestone Memorial Hospital</t>
        </is>
      </c>
      <c r="D4908" t="n">
        <v>36</v>
      </c>
    </row>
    <row r="4909">
      <c r="A4909" t="inlineStr">
        <is>
          <t>ED205016</t>
        </is>
      </c>
      <c r="B4909" s="56" t="n">
        <v>45603.13472222222</v>
      </c>
      <c r="C4909" t="inlineStr">
        <is>
          <t>Bluestone Memorial Hospital</t>
        </is>
      </c>
      <c r="D4909" t="n">
        <v>10</v>
      </c>
    </row>
    <row r="4910">
      <c r="A4910" t="inlineStr">
        <is>
          <t>ED205017</t>
        </is>
      </c>
      <c r="B4910" s="56" t="n">
        <v>45603.38055555556</v>
      </c>
      <c r="C4910" t="inlineStr">
        <is>
          <t>Bluestone Memorial Hospital</t>
        </is>
      </c>
      <c r="D4910" t="n">
        <v>46</v>
      </c>
    </row>
    <row r="4911">
      <c r="A4911" t="inlineStr">
        <is>
          <t>ED205018</t>
        </is>
      </c>
      <c r="B4911" s="56" t="n">
        <v>45603.42152777778</v>
      </c>
      <c r="C4911" t="inlineStr">
        <is>
          <t>Cedar Ridge Medical Center</t>
        </is>
      </c>
      <c r="D4911" t="n">
        <v>42</v>
      </c>
    </row>
    <row r="4912">
      <c r="A4912" t="inlineStr">
        <is>
          <t>ED205019</t>
        </is>
      </c>
      <c r="B4912" s="56" t="n">
        <v>45603.43958333333</v>
      </c>
      <c r="C4912" t="inlineStr">
        <is>
          <t>Bluestone Memorial Hospital</t>
        </is>
      </c>
      <c r="D4912" t="n">
        <v>136</v>
      </c>
    </row>
    <row r="4913">
      <c r="A4913" t="inlineStr">
        <is>
          <t>ED205020</t>
        </is>
      </c>
      <c r="B4913" s="56" t="n">
        <v>45603.51041666666</v>
      </c>
      <c r="C4913" t="inlineStr">
        <is>
          <t>Bluestone Memorial Hospital</t>
        </is>
      </c>
      <c r="D4913" t="n">
        <v>6</v>
      </c>
    </row>
    <row r="4914">
      <c r="A4914" t="inlineStr">
        <is>
          <t>ED205021</t>
        </is>
      </c>
      <c r="B4914" s="56" t="n">
        <v>45603.52708333333</v>
      </c>
      <c r="C4914" t="inlineStr">
        <is>
          <t>Bluestone Memorial Hospital</t>
        </is>
      </c>
      <c r="D4914" t="n">
        <v>19</v>
      </c>
    </row>
    <row r="4915">
      <c r="A4915" t="inlineStr">
        <is>
          <t>ED205022</t>
        </is>
      </c>
      <c r="B4915" s="56" t="n">
        <v>45603.53958333333</v>
      </c>
      <c r="C4915" t="inlineStr">
        <is>
          <t>Bluestone Memorial Hospital</t>
        </is>
      </c>
      <c r="D4915" t="n">
        <v>22</v>
      </c>
    </row>
    <row r="4916">
      <c r="A4916" t="inlineStr">
        <is>
          <t>ED205023</t>
        </is>
      </c>
      <c r="B4916" s="56" t="n">
        <v>45603.60972222222</v>
      </c>
      <c r="C4916" t="inlineStr">
        <is>
          <t>Ashby Falls Community Hospital</t>
        </is>
      </c>
      <c r="D4916" t="n">
        <v>82</v>
      </c>
    </row>
    <row r="4917">
      <c r="A4917" t="inlineStr">
        <is>
          <t>ED205024</t>
        </is>
      </c>
      <c r="B4917" s="56" t="n">
        <v>45603.61527777778</v>
      </c>
      <c r="C4917" t="inlineStr">
        <is>
          <t>Ashby Falls Community Hospital</t>
        </is>
      </c>
      <c r="D4917" t="n">
        <v>63</v>
      </c>
    </row>
    <row r="4918">
      <c r="A4918" t="inlineStr">
        <is>
          <t>ED205025</t>
        </is>
      </c>
      <c r="B4918" s="56" t="n">
        <v>45603.61875</v>
      </c>
      <c r="C4918" t="inlineStr">
        <is>
          <t>Bluestone Memorial Hospital</t>
        </is>
      </c>
      <c r="D4918" t="n">
        <v>39</v>
      </c>
    </row>
    <row r="4919">
      <c r="A4919" t="inlineStr">
        <is>
          <t>ED205026</t>
        </is>
      </c>
      <c r="B4919" s="56" t="n">
        <v>45603.73958333334</v>
      </c>
      <c r="C4919" t="inlineStr">
        <is>
          <t>Cedar Ridge Medical Center</t>
        </is>
      </c>
      <c r="D4919" t="n">
        <v>38</v>
      </c>
    </row>
    <row r="4920">
      <c r="A4920" t="inlineStr">
        <is>
          <t>ED205027</t>
        </is>
      </c>
      <c r="B4920" s="56" t="n">
        <v>45603.76875</v>
      </c>
      <c r="C4920" t="inlineStr">
        <is>
          <t>Ashby Falls Community Hospital</t>
        </is>
      </c>
      <c r="D4920" t="n">
        <v>69</v>
      </c>
    </row>
    <row r="4921">
      <c r="A4921" t="inlineStr">
        <is>
          <t>ED205028</t>
        </is>
      </c>
      <c r="B4921" s="56" t="n">
        <v>45603.82361111111</v>
      </c>
      <c r="C4921" t="inlineStr">
        <is>
          <t>Bluestone Memorial Hospital</t>
        </is>
      </c>
      <c r="D4921" t="n">
        <v>19</v>
      </c>
    </row>
    <row r="4922">
      <c r="A4922" t="inlineStr">
        <is>
          <t>ED205029</t>
        </is>
      </c>
      <c r="B4922" s="56" t="n">
        <v>45603.825</v>
      </c>
      <c r="C4922" t="inlineStr">
        <is>
          <t>Bluestone Memorial Hospital</t>
        </is>
      </c>
      <c r="D4922" t="n">
        <v>41</v>
      </c>
    </row>
    <row r="4923">
      <c r="A4923" t="inlineStr">
        <is>
          <t>ED205030</t>
        </is>
      </c>
      <c r="B4923" s="56" t="n">
        <v>45603.86388888889</v>
      </c>
      <c r="C4923" t="inlineStr">
        <is>
          <t>Bluestone Memorial Hospital</t>
        </is>
      </c>
      <c r="D4923" t="n">
        <v>54</v>
      </c>
    </row>
    <row r="4924">
      <c r="A4924" t="inlineStr">
        <is>
          <t>ED205031</t>
        </is>
      </c>
      <c r="B4924" s="56" t="n">
        <v>45603.86458333334</v>
      </c>
      <c r="C4924" t="inlineStr">
        <is>
          <t>Ashby Falls Community Hospital</t>
        </is>
      </c>
      <c r="D4924" t="n">
        <v>25</v>
      </c>
    </row>
    <row r="4925">
      <c r="A4925" t="inlineStr">
        <is>
          <t>ED205032</t>
        </is>
      </c>
      <c r="B4925" s="56" t="n">
        <v>45603.91736111111</v>
      </c>
      <c r="C4925" t="inlineStr">
        <is>
          <t>Bluestone Memorial Hospital</t>
        </is>
      </c>
      <c r="D4925" t="n">
        <v>54</v>
      </c>
    </row>
    <row r="4926">
      <c r="A4926" t="inlineStr">
        <is>
          <t>ED205033</t>
        </is>
      </c>
      <c r="B4926" s="56" t="n">
        <v>45603.92916666667</v>
      </c>
      <c r="C4926" t="inlineStr">
        <is>
          <t>Bluestone Memorial Hospital</t>
        </is>
      </c>
      <c r="D4926" t="n">
        <v>11</v>
      </c>
    </row>
    <row r="4927">
      <c r="A4927" t="inlineStr">
        <is>
          <t>ED205034</t>
        </is>
      </c>
      <c r="B4927" s="56" t="n">
        <v>45604.10902777778</v>
      </c>
      <c r="C4927" t="inlineStr">
        <is>
          <t>Bluestone Memorial Hospital</t>
        </is>
      </c>
      <c r="D4927" t="n">
        <v>22</v>
      </c>
    </row>
    <row r="4928">
      <c r="A4928" t="inlineStr">
        <is>
          <t>ED205035</t>
        </is>
      </c>
      <c r="B4928" s="56" t="n">
        <v>45604.38472222222</v>
      </c>
      <c r="C4928" t="inlineStr">
        <is>
          <t>Bluestone Memorial Hospital</t>
        </is>
      </c>
      <c r="D4928" t="n">
        <v>19</v>
      </c>
    </row>
    <row r="4929">
      <c r="A4929" t="inlineStr">
        <is>
          <t>ED205036</t>
        </is>
      </c>
      <c r="B4929" s="56" t="n">
        <v>45604.51875</v>
      </c>
      <c r="C4929" t="inlineStr">
        <is>
          <t>Bluestone Memorial Hospital</t>
        </is>
      </c>
      <c r="D4929" t="n">
        <v>49</v>
      </c>
    </row>
    <row r="4930">
      <c r="A4930" t="inlineStr">
        <is>
          <t>ED205037</t>
        </is>
      </c>
      <c r="B4930" s="56" t="n">
        <v>45604.56041666667</v>
      </c>
      <c r="C4930" t="inlineStr">
        <is>
          <t>Ashby Falls Community Hospital</t>
        </is>
      </c>
      <c r="D4930" t="n">
        <v>20</v>
      </c>
    </row>
    <row r="4931">
      <c r="A4931" t="inlineStr">
        <is>
          <t>ED205038</t>
        </is>
      </c>
      <c r="B4931" s="56" t="n">
        <v>45604.68472222222</v>
      </c>
      <c r="C4931" t="inlineStr">
        <is>
          <t>Ashby Falls Community Hospital</t>
        </is>
      </c>
      <c r="D4931" t="n">
        <v>68</v>
      </c>
    </row>
    <row r="4932">
      <c r="A4932" t="inlineStr">
        <is>
          <t>ED205039</t>
        </is>
      </c>
      <c r="B4932" s="56" t="n">
        <v>45604.79375</v>
      </c>
      <c r="C4932" t="inlineStr">
        <is>
          <t>Bluestone Memorial Hospital</t>
        </is>
      </c>
      <c r="D4932" t="n">
        <v>27</v>
      </c>
    </row>
    <row r="4933">
      <c r="A4933" t="inlineStr">
        <is>
          <t>ED205040</t>
        </is>
      </c>
      <c r="B4933" s="56" t="n">
        <v>45604.81736111111</v>
      </c>
      <c r="C4933" t="inlineStr">
        <is>
          <t>Bluestone Memorial Hospital</t>
        </is>
      </c>
      <c r="D4933" t="n">
        <v>18</v>
      </c>
    </row>
    <row r="4934">
      <c r="A4934" t="inlineStr">
        <is>
          <t>ED205041</t>
        </is>
      </c>
      <c r="B4934" s="56" t="n">
        <v>45604.85</v>
      </c>
      <c r="C4934" t="inlineStr">
        <is>
          <t>Bluestone Memorial Hospital</t>
        </is>
      </c>
      <c r="D4934" t="n">
        <v>82</v>
      </c>
    </row>
    <row r="4935">
      <c r="A4935" t="inlineStr">
        <is>
          <t>ED205042</t>
        </is>
      </c>
      <c r="B4935" s="56" t="n">
        <v>45604.90763888889</v>
      </c>
      <c r="C4935" t="inlineStr">
        <is>
          <t>Cedar Ridge Medical Center</t>
        </is>
      </c>
      <c r="D4935" t="n">
        <v>23</v>
      </c>
    </row>
    <row r="4936">
      <c r="A4936" t="inlineStr">
        <is>
          <t>ED205043</t>
        </is>
      </c>
      <c r="B4936" s="56" t="n">
        <v>45604.91597222222</v>
      </c>
      <c r="C4936" t="inlineStr">
        <is>
          <t>Bluestone Memorial Hospital</t>
        </is>
      </c>
      <c r="D4936" t="n">
        <v>17</v>
      </c>
    </row>
    <row r="4937">
      <c r="A4937" t="inlineStr">
        <is>
          <t>ED205044</t>
        </is>
      </c>
      <c r="B4937" s="56" t="n">
        <v>45605.25902777778</v>
      </c>
      <c r="C4937" t="inlineStr">
        <is>
          <t>Bluestone Memorial Hospital</t>
        </is>
      </c>
      <c r="D4937" t="n">
        <v>52</v>
      </c>
    </row>
    <row r="4938">
      <c r="A4938" t="inlineStr">
        <is>
          <t>ED205045</t>
        </is>
      </c>
      <c r="B4938" s="56" t="n">
        <v>45605.34375</v>
      </c>
      <c r="C4938" t="inlineStr">
        <is>
          <t>Bluestone Memorial Hospital</t>
        </is>
      </c>
      <c r="D4938" t="n">
        <v>88</v>
      </c>
    </row>
    <row r="4939">
      <c r="A4939" t="inlineStr">
        <is>
          <t>ED205046</t>
        </is>
      </c>
      <c r="B4939" s="56" t="n">
        <v>45605.36875</v>
      </c>
      <c r="C4939" t="inlineStr">
        <is>
          <t>Bluestone Memorial Hospital</t>
        </is>
      </c>
      <c r="D4939" t="n">
        <v>98</v>
      </c>
    </row>
    <row r="4940">
      <c r="A4940" t="inlineStr">
        <is>
          <t>ED205048</t>
        </is>
      </c>
      <c r="B4940" s="56" t="n">
        <v>45605.42777777778</v>
      </c>
      <c r="C4940" t="inlineStr">
        <is>
          <t>Bluestone Memorial Hospital</t>
        </is>
      </c>
      <c r="D4940" t="n">
        <v>11</v>
      </c>
    </row>
    <row r="4941">
      <c r="A4941" t="inlineStr">
        <is>
          <t>ED205049</t>
        </is>
      </c>
      <c r="B4941" s="56" t="n">
        <v>45605.56805555556</v>
      </c>
      <c r="C4941" t="inlineStr">
        <is>
          <t>Bluestone Memorial Hospital</t>
        </is>
      </c>
      <c r="D4941" t="n">
        <v>19</v>
      </c>
    </row>
    <row r="4942">
      <c r="A4942" t="inlineStr">
        <is>
          <t>ED205050</t>
        </is>
      </c>
      <c r="B4942" s="56" t="n">
        <v>45605.57569444444</v>
      </c>
      <c r="C4942" t="inlineStr">
        <is>
          <t>Bluestone Memorial Hospital</t>
        </is>
      </c>
      <c r="D4942" t="n">
        <v>96</v>
      </c>
    </row>
    <row r="4943">
      <c r="A4943" t="inlineStr">
        <is>
          <t>ED205051</t>
        </is>
      </c>
      <c r="B4943" s="56" t="n">
        <v>45605.57916666667</v>
      </c>
      <c r="C4943" t="inlineStr">
        <is>
          <t>Bluestone Memorial Hospital</t>
        </is>
      </c>
      <c r="D4943" t="n">
        <v>57</v>
      </c>
    </row>
    <row r="4944">
      <c r="A4944" t="inlineStr">
        <is>
          <t>ED205052</t>
        </is>
      </c>
      <c r="B4944" s="56" t="n">
        <v>45605.60902777778</v>
      </c>
      <c r="C4944" t="inlineStr">
        <is>
          <t>Ashby Falls Community Hospital</t>
        </is>
      </c>
      <c r="D4944" t="n">
        <v>44</v>
      </c>
    </row>
    <row r="4945">
      <c r="A4945" t="inlineStr">
        <is>
          <t>ED205053</t>
        </is>
      </c>
      <c r="B4945" s="56" t="n">
        <v>45605.63055555556</v>
      </c>
      <c r="C4945" t="inlineStr">
        <is>
          <t>Bluestone Memorial Hospital</t>
        </is>
      </c>
      <c r="D4945" t="n">
        <v>47</v>
      </c>
    </row>
    <row r="4946">
      <c r="A4946" t="inlineStr">
        <is>
          <t>ED205054</t>
        </is>
      </c>
      <c r="B4946" s="56" t="n">
        <v>45605.63125</v>
      </c>
      <c r="C4946" t="inlineStr">
        <is>
          <t>Bluestone Memorial Hospital</t>
        </is>
      </c>
      <c r="D4946" t="n">
        <v>85</v>
      </c>
    </row>
    <row r="4947">
      <c r="A4947" t="inlineStr">
        <is>
          <t>ED205055</t>
        </is>
      </c>
      <c r="B4947" s="56" t="n">
        <v>45605.89097222222</v>
      </c>
      <c r="C4947" t="inlineStr">
        <is>
          <t>Bluestone Memorial Hospital</t>
        </is>
      </c>
      <c r="D4947" t="n">
        <v>40</v>
      </c>
    </row>
    <row r="4948">
      <c r="A4948" t="inlineStr">
        <is>
          <t>ED205056</t>
        </is>
      </c>
      <c r="B4948" s="56" t="n">
        <v>45606.22013888889</v>
      </c>
      <c r="C4948" t="inlineStr">
        <is>
          <t>Bluestone Memorial Hospital</t>
        </is>
      </c>
      <c r="D4948" t="n">
        <v>14</v>
      </c>
    </row>
    <row r="4949">
      <c r="A4949" t="inlineStr">
        <is>
          <t>ED205057</t>
        </is>
      </c>
      <c r="B4949" s="56" t="n">
        <v>45606.32777777778</v>
      </c>
      <c r="C4949" t="inlineStr">
        <is>
          <t>Bluestone Memorial Hospital</t>
        </is>
      </c>
      <c r="D4949" t="n">
        <v>23</v>
      </c>
    </row>
    <row r="4950">
      <c r="A4950" t="inlineStr">
        <is>
          <t>ED205058</t>
        </is>
      </c>
      <c r="B4950" s="56" t="n">
        <v>45606.36805555555</v>
      </c>
      <c r="C4950" t="inlineStr">
        <is>
          <t>Bluestone Memorial Hospital</t>
        </is>
      </c>
      <c r="D4950" t="n">
        <v>15</v>
      </c>
    </row>
    <row r="4951">
      <c r="A4951" t="inlineStr">
        <is>
          <t>ED205059</t>
        </is>
      </c>
      <c r="B4951" s="56" t="n">
        <v>45606.50138888889</v>
      </c>
      <c r="C4951" t="inlineStr">
        <is>
          <t>Bluestone Memorial Hospital</t>
        </is>
      </c>
      <c r="D4951" t="n">
        <v>35</v>
      </c>
    </row>
    <row r="4952">
      <c r="A4952" t="inlineStr">
        <is>
          <t>ED205060</t>
        </is>
      </c>
      <c r="B4952" s="56" t="n">
        <v>45606.56319444445</v>
      </c>
      <c r="C4952" t="inlineStr">
        <is>
          <t>Bluestone Memorial Hospital</t>
        </is>
      </c>
      <c r="D4952" t="n">
        <v>23</v>
      </c>
    </row>
    <row r="4953">
      <c r="A4953" t="inlineStr">
        <is>
          <t>ED205061</t>
        </is>
      </c>
      <c r="B4953" s="56" t="n">
        <v>45606.61944444444</v>
      </c>
      <c r="C4953" t="inlineStr">
        <is>
          <t>Bluestone Memorial Hospital</t>
        </is>
      </c>
      <c r="D4953" t="n">
        <v>37</v>
      </c>
    </row>
    <row r="4954">
      <c r="A4954" t="inlineStr">
        <is>
          <t>ED205062</t>
        </is>
      </c>
      <c r="B4954" s="56" t="n">
        <v>45606.66875</v>
      </c>
      <c r="C4954" t="inlineStr">
        <is>
          <t>Bluestone Memorial Hospital</t>
        </is>
      </c>
      <c r="D4954" t="n">
        <v>23</v>
      </c>
    </row>
    <row r="4955">
      <c r="A4955" t="inlineStr">
        <is>
          <t>ED205063</t>
        </is>
      </c>
      <c r="B4955" s="56" t="n">
        <v>45606.69513888889</v>
      </c>
      <c r="C4955" t="inlineStr">
        <is>
          <t>Cedar Ridge Medical Center</t>
        </is>
      </c>
      <c r="D4955" t="n">
        <v>41</v>
      </c>
    </row>
    <row r="4956">
      <c r="A4956" t="inlineStr">
        <is>
          <t>ED205064</t>
        </is>
      </c>
      <c r="B4956" s="56" t="n">
        <v>45606.74375</v>
      </c>
      <c r="C4956" t="inlineStr">
        <is>
          <t>Ashby Falls Community Hospital</t>
        </is>
      </c>
      <c r="D4956" t="n">
        <v>44</v>
      </c>
    </row>
    <row r="4957">
      <c r="A4957" t="inlineStr">
        <is>
          <t>ED205065</t>
        </is>
      </c>
      <c r="B4957" s="56" t="n">
        <v>45606.76527777778</v>
      </c>
      <c r="C4957" t="inlineStr">
        <is>
          <t>Bluestone Memorial Hospital</t>
        </is>
      </c>
      <c r="D4957" t="n">
        <v>26</v>
      </c>
    </row>
    <row r="4958">
      <c r="A4958" t="inlineStr">
        <is>
          <t>ED205066</t>
        </is>
      </c>
      <c r="B4958" s="56" t="n">
        <v>45606.88888888889</v>
      </c>
      <c r="C4958" t="inlineStr">
        <is>
          <t>Cedar Ridge Medical Center</t>
        </is>
      </c>
      <c r="D4958" t="n">
        <v>9</v>
      </c>
    </row>
    <row r="4959">
      <c r="A4959" t="inlineStr">
        <is>
          <t>ED205067</t>
        </is>
      </c>
      <c r="B4959" s="56" t="n">
        <v>45606.96666666667</v>
      </c>
      <c r="C4959" t="inlineStr">
        <is>
          <t>Ashby Falls Community Hospital</t>
        </is>
      </c>
      <c r="D4959" t="n">
        <v>18</v>
      </c>
    </row>
    <row r="4960">
      <c r="A4960" t="inlineStr">
        <is>
          <t>ED205068</t>
        </is>
      </c>
      <c r="B4960" s="56" t="n">
        <v>45607.00555555556</v>
      </c>
      <c r="C4960" t="inlineStr">
        <is>
          <t>Bluestone Memorial Hospital</t>
        </is>
      </c>
      <c r="D4960" t="n">
        <v>17</v>
      </c>
    </row>
    <row r="4961">
      <c r="A4961" t="inlineStr">
        <is>
          <t>ED205069</t>
        </is>
      </c>
      <c r="B4961" s="56" t="n">
        <v>45607.40138888889</v>
      </c>
      <c r="C4961" t="inlineStr">
        <is>
          <t>Bluestone Memorial Hospital</t>
        </is>
      </c>
      <c r="D4961" t="n">
        <v>45</v>
      </c>
    </row>
    <row r="4962">
      <c r="A4962" t="inlineStr">
        <is>
          <t>ED205070</t>
        </is>
      </c>
      <c r="B4962" s="56" t="n">
        <v>45607.41319444445</v>
      </c>
      <c r="C4962" t="inlineStr">
        <is>
          <t>Cedar Ridge Medical Center</t>
        </is>
      </c>
      <c r="D4962" t="n">
        <v>52</v>
      </c>
    </row>
    <row r="4963">
      <c r="A4963" t="inlineStr">
        <is>
          <t>ED205071</t>
        </is>
      </c>
      <c r="B4963" s="56" t="n">
        <v>45607.42291666667</v>
      </c>
      <c r="C4963" t="inlineStr">
        <is>
          <t>Bluestone Memorial Hospital</t>
        </is>
      </c>
      <c r="D4963" t="n">
        <v>16</v>
      </c>
    </row>
    <row r="4964">
      <c r="A4964" t="inlineStr">
        <is>
          <t>ED205072</t>
        </is>
      </c>
      <c r="B4964" s="56" t="n">
        <v>45607.42638888889</v>
      </c>
      <c r="C4964" t="inlineStr">
        <is>
          <t>Cedar Ridge Medical Center</t>
        </is>
      </c>
      <c r="D4964" t="n">
        <v>32</v>
      </c>
    </row>
    <row r="4965">
      <c r="A4965" t="inlineStr">
        <is>
          <t>ED205073</t>
        </is>
      </c>
      <c r="B4965" s="56" t="n">
        <v>45607.47986111111</v>
      </c>
      <c r="C4965" t="inlineStr">
        <is>
          <t>Bluestone Memorial Hospital</t>
        </is>
      </c>
      <c r="D4965" t="n">
        <v>99</v>
      </c>
    </row>
    <row r="4966">
      <c r="A4966" t="inlineStr">
        <is>
          <t>ED205074</t>
        </is>
      </c>
      <c r="B4966" s="56" t="n">
        <v>45607.48819444444</v>
      </c>
      <c r="C4966" t="inlineStr">
        <is>
          <t>Bluestone Memorial Hospital</t>
        </is>
      </c>
      <c r="D4966" t="n">
        <v>78</v>
      </c>
    </row>
    <row r="4967">
      <c r="A4967" t="inlineStr">
        <is>
          <t>ED205075</t>
        </is>
      </c>
      <c r="B4967" s="56" t="n">
        <v>45607.51319444444</v>
      </c>
      <c r="C4967" t="inlineStr">
        <is>
          <t>Bluestone Memorial Hospital</t>
        </is>
      </c>
      <c r="D4967" t="n">
        <v>21</v>
      </c>
    </row>
    <row r="4968">
      <c r="A4968" t="inlineStr">
        <is>
          <t>ED205076</t>
        </is>
      </c>
      <c r="B4968" s="56" t="n">
        <v>45607.55208333334</v>
      </c>
      <c r="C4968" t="inlineStr">
        <is>
          <t>Bluestone Memorial Hospital</t>
        </is>
      </c>
      <c r="D4968" t="n">
        <v>3</v>
      </c>
    </row>
    <row r="4969">
      <c r="A4969" t="inlineStr">
        <is>
          <t>ED205077</t>
        </is>
      </c>
      <c r="B4969" s="56" t="n">
        <v>45607.61111111111</v>
      </c>
      <c r="C4969" t="inlineStr">
        <is>
          <t>Bluestone Memorial Hospital</t>
        </is>
      </c>
      <c r="D4969" t="n">
        <v>90</v>
      </c>
    </row>
    <row r="4970">
      <c r="A4970" t="inlineStr">
        <is>
          <t>ED205079</t>
        </is>
      </c>
      <c r="B4970" s="56" t="n">
        <v>45607.62430555555</v>
      </c>
      <c r="C4970" t="inlineStr">
        <is>
          <t>Bluestone Memorial Hospital</t>
        </is>
      </c>
      <c r="D4970" t="n">
        <v>39</v>
      </c>
    </row>
    <row r="4971">
      <c r="A4971" t="inlineStr">
        <is>
          <t>ED205080</t>
        </is>
      </c>
      <c r="B4971" s="56" t="n">
        <v>45607.67430555556</v>
      </c>
      <c r="C4971" t="inlineStr">
        <is>
          <t>Bluestone Memorial Hospital</t>
        </is>
      </c>
      <c r="D4971" t="n">
        <v>56</v>
      </c>
    </row>
    <row r="4972">
      <c r="A4972" t="inlineStr">
        <is>
          <t>ED205081</t>
        </is>
      </c>
      <c r="B4972" s="56" t="n">
        <v>45607.67916666667</v>
      </c>
      <c r="C4972" t="inlineStr">
        <is>
          <t>Bluestone Memorial Hospital</t>
        </is>
      </c>
      <c r="D4972" t="n">
        <v>143</v>
      </c>
    </row>
    <row r="4973">
      <c r="A4973" t="inlineStr">
        <is>
          <t>ED205082</t>
        </is>
      </c>
      <c r="B4973" s="56" t="n">
        <v>45607.71597222222</v>
      </c>
      <c r="C4973" t="inlineStr">
        <is>
          <t>Bluestone Memorial Hospital</t>
        </is>
      </c>
      <c r="D4973" t="n">
        <v>11</v>
      </c>
    </row>
    <row r="4974">
      <c r="A4974" t="inlineStr">
        <is>
          <t>ED205083</t>
        </is>
      </c>
      <c r="B4974" s="56" t="n">
        <v>45607.72361111111</v>
      </c>
      <c r="C4974" t="inlineStr">
        <is>
          <t>Bluestone Memorial Hospital</t>
        </is>
      </c>
      <c r="D4974" t="n">
        <v>13</v>
      </c>
    </row>
    <row r="4975">
      <c r="A4975" t="inlineStr">
        <is>
          <t>ED205084</t>
        </is>
      </c>
      <c r="B4975" s="56" t="n">
        <v>45607.76319444444</v>
      </c>
      <c r="C4975" t="inlineStr">
        <is>
          <t>Bluestone Memorial Hospital</t>
        </is>
      </c>
      <c r="D4975" t="n">
        <v>47</v>
      </c>
    </row>
    <row r="4976">
      <c r="A4976" t="inlineStr">
        <is>
          <t>ED205085</t>
        </is>
      </c>
      <c r="B4976" s="56" t="n">
        <v>45607.77916666667</v>
      </c>
      <c r="C4976" t="inlineStr">
        <is>
          <t>Cedar Ridge Medical Center</t>
        </is>
      </c>
      <c r="D4976" t="n">
        <v>19</v>
      </c>
    </row>
    <row r="4977">
      <c r="A4977" t="inlineStr">
        <is>
          <t>ED205086</t>
        </is>
      </c>
      <c r="B4977" s="56" t="n">
        <v>45607.85208333333</v>
      </c>
      <c r="C4977" t="inlineStr">
        <is>
          <t>Bluestone Memorial Hospital</t>
        </is>
      </c>
      <c r="D4977" t="n">
        <v>32</v>
      </c>
    </row>
    <row r="4978">
      <c r="A4978" t="inlineStr">
        <is>
          <t>ED205088</t>
        </is>
      </c>
      <c r="B4978" s="56" t="n">
        <v>45607.87152777778</v>
      </c>
      <c r="C4978" t="inlineStr">
        <is>
          <t>Bluestone Memorial Hospital</t>
        </is>
      </c>
      <c r="D4978" t="n">
        <v>29</v>
      </c>
    </row>
    <row r="4979">
      <c r="A4979" t="inlineStr">
        <is>
          <t>ED205089</t>
        </is>
      </c>
      <c r="B4979" s="56" t="n">
        <v>45607.90486111111</v>
      </c>
      <c r="C4979" t="inlineStr">
        <is>
          <t>Cedar Ridge Medical Center</t>
        </is>
      </c>
      <c r="D4979" t="n">
        <v>95</v>
      </c>
    </row>
    <row r="4980">
      <c r="A4980" t="inlineStr">
        <is>
          <t>ED205090</t>
        </is>
      </c>
      <c r="B4980" s="56" t="n">
        <v>45608.31597222222</v>
      </c>
      <c r="C4980" t="inlineStr">
        <is>
          <t>Bluestone Memorial Hospital</t>
        </is>
      </c>
      <c r="D4980" t="n">
        <v>49</v>
      </c>
    </row>
    <row r="4981">
      <c r="A4981" t="inlineStr">
        <is>
          <t>ED205091</t>
        </is>
      </c>
      <c r="B4981" s="56" t="n">
        <v>45608.34861111111</v>
      </c>
      <c r="C4981" t="inlineStr">
        <is>
          <t>Bluestone Memorial Hospital</t>
        </is>
      </c>
      <c r="D4981" t="n">
        <v>20</v>
      </c>
    </row>
    <row r="4982">
      <c r="A4982" t="inlineStr">
        <is>
          <t>ED205092</t>
        </is>
      </c>
      <c r="B4982" s="56" t="n">
        <v>45608.39305555556</v>
      </c>
      <c r="C4982" t="inlineStr">
        <is>
          <t>Bluestone Memorial Hospital</t>
        </is>
      </c>
      <c r="D4982" t="n">
        <v>21</v>
      </c>
    </row>
    <row r="4983">
      <c r="A4983" t="inlineStr">
        <is>
          <t>ED205093</t>
        </is>
      </c>
      <c r="B4983" s="56" t="n">
        <v>45608.39375</v>
      </c>
      <c r="C4983" t="inlineStr">
        <is>
          <t>Bluestone Memorial Hospital</t>
        </is>
      </c>
      <c r="D4983" t="n">
        <v>39</v>
      </c>
    </row>
    <row r="4984">
      <c r="A4984" t="inlineStr">
        <is>
          <t>ED205094</t>
        </is>
      </c>
      <c r="B4984" s="56" t="n">
        <v>45608.42013888889</v>
      </c>
      <c r="C4984" t="inlineStr">
        <is>
          <t>Bluestone Memorial Hospital</t>
        </is>
      </c>
      <c r="D4984" t="n">
        <v>14</v>
      </c>
    </row>
    <row r="4985">
      <c r="A4985" t="inlineStr">
        <is>
          <t>ED205095</t>
        </is>
      </c>
      <c r="B4985" s="56" t="n">
        <v>45608.53611111111</v>
      </c>
      <c r="C4985" t="inlineStr">
        <is>
          <t>Bluestone Memorial Hospital</t>
        </is>
      </c>
      <c r="D4985" t="n">
        <v>25</v>
      </c>
    </row>
    <row r="4986">
      <c r="A4986" t="inlineStr">
        <is>
          <t>ED205096</t>
        </is>
      </c>
      <c r="B4986" s="56" t="n">
        <v>45608.53611111111</v>
      </c>
      <c r="C4986" t="inlineStr">
        <is>
          <t>Bluestone Memorial Hospital</t>
        </is>
      </c>
      <c r="D4986" t="n">
        <v>12</v>
      </c>
    </row>
    <row r="4987">
      <c r="A4987" t="inlineStr">
        <is>
          <t>ED205097</t>
        </is>
      </c>
      <c r="B4987" s="56" t="n">
        <v>45608.55138888889</v>
      </c>
      <c r="C4987" t="inlineStr">
        <is>
          <t>Bluestone Memorial Hospital</t>
        </is>
      </c>
      <c r="D4987" t="n">
        <v>44</v>
      </c>
    </row>
    <row r="4988">
      <c r="A4988" t="inlineStr">
        <is>
          <t>ED205098</t>
        </is>
      </c>
      <c r="B4988" s="56" t="n">
        <v>45608.57638888889</v>
      </c>
      <c r="C4988" t="inlineStr">
        <is>
          <t>Bluestone Memorial Hospital</t>
        </is>
      </c>
      <c r="D4988" t="n">
        <v>58</v>
      </c>
    </row>
    <row r="4989">
      <c r="A4989" t="inlineStr">
        <is>
          <t>ED205099</t>
        </is>
      </c>
      <c r="B4989" s="56" t="n">
        <v>45608.57986111111</v>
      </c>
      <c r="C4989" t="inlineStr">
        <is>
          <t>Bluestone Memorial Hospital</t>
        </is>
      </c>
      <c r="D4989" t="n">
        <v>62</v>
      </c>
    </row>
    <row r="4990">
      <c r="A4990" t="inlineStr">
        <is>
          <t>ED205100</t>
        </is>
      </c>
      <c r="B4990" s="56" t="n">
        <v>45608.6125</v>
      </c>
      <c r="C4990" t="inlineStr">
        <is>
          <t>Bluestone Memorial Hospital</t>
        </is>
      </c>
      <c r="D4990" t="n">
        <v>11</v>
      </c>
    </row>
    <row r="4991">
      <c r="A4991" t="inlineStr">
        <is>
          <t>ED205101</t>
        </is>
      </c>
      <c r="B4991" s="56" t="n">
        <v>45608.62361111111</v>
      </c>
      <c r="C4991" t="inlineStr">
        <is>
          <t>Ashby Falls Community Hospital</t>
        </is>
      </c>
      <c r="D4991" t="n">
        <v>21</v>
      </c>
    </row>
    <row r="4992">
      <c r="A4992" t="inlineStr">
        <is>
          <t>ED205102</t>
        </is>
      </c>
      <c r="B4992" s="56" t="n">
        <v>45608.62986111111</v>
      </c>
      <c r="C4992" t="inlineStr">
        <is>
          <t>Cedar Ridge Medical Center</t>
        </is>
      </c>
      <c r="D4992" t="n">
        <v>35</v>
      </c>
    </row>
    <row r="4993">
      <c r="A4993" t="inlineStr">
        <is>
          <t>ED205103</t>
        </is>
      </c>
      <c r="B4993" s="56" t="n">
        <v>45608.63541666666</v>
      </c>
      <c r="C4993" t="inlineStr">
        <is>
          <t>Bluestone Memorial Hospital</t>
        </is>
      </c>
      <c r="D4993" t="n">
        <v>37</v>
      </c>
    </row>
    <row r="4994">
      <c r="A4994" t="inlineStr">
        <is>
          <t>ED205104</t>
        </is>
      </c>
      <c r="B4994" s="56" t="n">
        <v>45608.66805555556</v>
      </c>
      <c r="C4994" t="inlineStr">
        <is>
          <t>Bluestone Memorial Hospital</t>
        </is>
      </c>
      <c r="D4994" t="n">
        <v>97</v>
      </c>
    </row>
    <row r="4995">
      <c r="A4995" t="inlineStr">
        <is>
          <t>ED205105</t>
        </is>
      </c>
      <c r="B4995" s="56" t="n">
        <v>45608.67013888889</v>
      </c>
      <c r="C4995" t="inlineStr">
        <is>
          <t>Bluestone Memorial Hospital</t>
        </is>
      </c>
      <c r="D4995" t="n">
        <v>42</v>
      </c>
    </row>
    <row r="4996">
      <c r="A4996" t="inlineStr">
        <is>
          <t>ED205106</t>
        </is>
      </c>
      <c r="B4996" s="56" t="n">
        <v>45608.68611111111</v>
      </c>
      <c r="C4996" t="inlineStr">
        <is>
          <t>Bluestone Memorial Hospital</t>
        </is>
      </c>
      <c r="D4996" t="n">
        <v>75</v>
      </c>
    </row>
    <row r="4997">
      <c r="A4997" t="inlineStr">
        <is>
          <t>ED205107</t>
        </is>
      </c>
      <c r="B4997" s="56" t="n">
        <v>45608.69166666667</v>
      </c>
      <c r="C4997" t="inlineStr">
        <is>
          <t>Bluestone Memorial Hospital</t>
        </is>
      </c>
      <c r="D4997" t="n">
        <v>65</v>
      </c>
    </row>
    <row r="4998">
      <c r="A4998" t="inlineStr">
        <is>
          <t>ED205108</t>
        </is>
      </c>
      <c r="B4998" s="56" t="n">
        <v>45608.71944444445</v>
      </c>
      <c r="C4998" t="inlineStr">
        <is>
          <t>Bluestone Memorial Hospital</t>
        </is>
      </c>
      <c r="D4998" t="n">
        <v>16</v>
      </c>
    </row>
    <row r="4999">
      <c r="A4999" t="inlineStr">
        <is>
          <t>ED205109</t>
        </is>
      </c>
      <c r="B4999" s="56" t="n">
        <v>45608.76597222222</v>
      </c>
      <c r="C4999" t="inlineStr">
        <is>
          <t>Ashby Falls Community Hospital</t>
        </is>
      </c>
      <c r="D4999" t="n">
        <v>3</v>
      </c>
    </row>
    <row r="5000">
      <c r="A5000" t="inlineStr">
        <is>
          <t>ED205110</t>
        </is>
      </c>
      <c r="B5000" s="56" t="n">
        <v>45608.85763888889</v>
      </c>
      <c r="C5000" t="inlineStr">
        <is>
          <t>Bluestone Memorial Hospital</t>
        </is>
      </c>
      <c r="D5000" t="n">
        <v>33</v>
      </c>
    </row>
    <row r="5001">
      <c r="A5001" t="inlineStr">
        <is>
          <t>ED205111</t>
        </is>
      </c>
      <c r="B5001" s="56" t="n">
        <v>45608.92777777778</v>
      </c>
      <c r="C5001" t="inlineStr">
        <is>
          <t>Bluestone Memorial Hospital</t>
        </is>
      </c>
      <c r="D5001" t="n">
        <v>89</v>
      </c>
    </row>
    <row r="5002">
      <c r="A5002" t="inlineStr">
        <is>
          <t>ED205112</t>
        </is>
      </c>
      <c r="B5002" s="56" t="n">
        <v>45609.25902777778</v>
      </c>
      <c r="C5002" t="inlineStr">
        <is>
          <t>Bluestone Memorial Hospital</t>
        </is>
      </c>
      <c r="D5002" t="n">
        <v>40</v>
      </c>
    </row>
    <row r="5003">
      <c r="A5003" t="inlineStr">
        <is>
          <t>ED205113</t>
        </is>
      </c>
      <c r="B5003" s="56" t="n">
        <v>45609.29513888889</v>
      </c>
      <c r="C5003" t="inlineStr">
        <is>
          <t>Bluestone Memorial Hospital</t>
        </is>
      </c>
      <c r="D5003" t="n">
        <v>30</v>
      </c>
    </row>
    <row r="5004">
      <c r="A5004" t="inlineStr">
        <is>
          <t>ED205114</t>
        </is>
      </c>
      <c r="B5004" s="56" t="n">
        <v>45609.35763888889</v>
      </c>
      <c r="C5004" t="inlineStr">
        <is>
          <t>Bluestone Memorial Hospital</t>
        </is>
      </c>
      <c r="D5004" t="n">
        <v>30</v>
      </c>
    </row>
    <row r="5005">
      <c r="A5005" t="inlineStr">
        <is>
          <t>ED205115</t>
        </is>
      </c>
      <c r="B5005" s="56" t="n">
        <v>45609.41319444445</v>
      </c>
      <c r="C5005" t="inlineStr">
        <is>
          <t>Bluestone Memorial Hospital</t>
        </is>
      </c>
      <c r="D5005" t="n">
        <v>18</v>
      </c>
    </row>
    <row r="5006">
      <c r="A5006" t="inlineStr">
        <is>
          <t>ED205116</t>
        </is>
      </c>
      <c r="B5006" s="56" t="n">
        <v>45609.42013888889</v>
      </c>
      <c r="C5006" t="inlineStr">
        <is>
          <t>Bluestone Memorial Hospital</t>
        </is>
      </c>
      <c r="D5006" t="n">
        <v>58</v>
      </c>
    </row>
    <row r="5007">
      <c r="A5007" t="inlineStr">
        <is>
          <t>ED205117</t>
        </is>
      </c>
      <c r="B5007" s="56" t="n">
        <v>45609.46805555555</v>
      </c>
      <c r="C5007" t="inlineStr">
        <is>
          <t>Bluestone Memorial Hospital</t>
        </is>
      </c>
      <c r="D5007" t="n">
        <v>36</v>
      </c>
    </row>
    <row r="5008">
      <c r="A5008" t="inlineStr">
        <is>
          <t>ED205118</t>
        </is>
      </c>
      <c r="B5008" s="56" t="n">
        <v>45609.47777777778</v>
      </c>
      <c r="C5008" t="inlineStr">
        <is>
          <t>Bluestone Memorial Hospital</t>
        </is>
      </c>
      <c r="D5008" t="n">
        <v>114</v>
      </c>
    </row>
    <row r="5009">
      <c r="A5009" t="inlineStr">
        <is>
          <t>ED205119</t>
        </is>
      </c>
      <c r="B5009" s="56" t="n">
        <v>45609.51805555556</v>
      </c>
      <c r="C5009" t="inlineStr">
        <is>
          <t>Bluestone Memorial Hospital</t>
        </is>
      </c>
      <c r="D5009" t="n">
        <v>10</v>
      </c>
    </row>
    <row r="5010">
      <c r="A5010" t="inlineStr">
        <is>
          <t>ED205120</t>
        </is>
      </c>
      <c r="B5010" s="56" t="n">
        <v>45609.53958333333</v>
      </c>
      <c r="C5010" t="inlineStr">
        <is>
          <t>Bluestone Memorial Hospital</t>
        </is>
      </c>
      <c r="D5010" t="n">
        <v>20</v>
      </c>
    </row>
    <row r="5011">
      <c r="A5011" t="inlineStr">
        <is>
          <t>ED205121</t>
        </is>
      </c>
      <c r="B5011" s="56" t="n">
        <v>45609.55555555555</v>
      </c>
      <c r="C5011" t="inlineStr">
        <is>
          <t>Bluestone Memorial Hospital</t>
        </is>
      </c>
      <c r="D5011" t="n">
        <v>115</v>
      </c>
    </row>
    <row r="5012">
      <c r="A5012" t="inlineStr">
        <is>
          <t>ED205122</t>
        </is>
      </c>
      <c r="B5012" s="56" t="n">
        <v>45609.66944444444</v>
      </c>
      <c r="C5012" t="inlineStr">
        <is>
          <t>Cedar Ridge Medical Center</t>
        </is>
      </c>
      <c r="D5012" t="n">
        <v>108</v>
      </c>
    </row>
    <row r="5013">
      <c r="A5013" t="inlineStr">
        <is>
          <t>ED205123</t>
        </is>
      </c>
      <c r="B5013" s="56" t="n">
        <v>45609.67777777778</v>
      </c>
      <c r="C5013" t="inlineStr">
        <is>
          <t>Bluestone Memorial Hospital</t>
        </is>
      </c>
      <c r="D5013" t="n">
        <v>52</v>
      </c>
    </row>
    <row r="5014">
      <c r="A5014" t="inlineStr">
        <is>
          <t>ED205124</t>
        </is>
      </c>
      <c r="B5014" s="56" t="n">
        <v>45609.71319444444</v>
      </c>
      <c r="C5014" t="inlineStr">
        <is>
          <t>Bluestone Memorial Hospital</t>
        </is>
      </c>
      <c r="D5014" t="n">
        <v>39</v>
      </c>
    </row>
    <row r="5015">
      <c r="A5015" t="inlineStr">
        <is>
          <t>ED205125</t>
        </is>
      </c>
      <c r="B5015" s="56" t="n">
        <v>45609.72916666666</v>
      </c>
      <c r="C5015" t="inlineStr">
        <is>
          <t>Bluestone Memorial Hospital</t>
        </is>
      </c>
      <c r="D5015" t="n">
        <v>78</v>
      </c>
    </row>
    <row r="5016">
      <c r="A5016" t="inlineStr">
        <is>
          <t>ED205126</t>
        </is>
      </c>
      <c r="B5016" s="56" t="n">
        <v>45609.77638888889</v>
      </c>
      <c r="C5016" t="inlineStr">
        <is>
          <t>Bluestone Memorial Hospital</t>
        </is>
      </c>
      <c r="D5016" t="n">
        <v>39</v>
      </c>
    </row>
    <row r="5017">
      <c r="A5017" t="inlineStr">
        <is>
          <t>ED205127</t>
        </is>
      </c>
      <c r="B5017" s="56" t="n">
        <v>45609.80833333333</v>
      </c>
      <c r="C5017" t="inlineStr">
        <is>
          <t>Ashby Falls Community Hospital</t>
        </is>
      </c>
      <c r="D5017" t="n">
        <v>73</v>
      </c>
    </row>
    <row r="5018">
      <c r="A5018" t="inlineStr">
        <is>
          <t>ED205128</t>
        </is>
      </c>
      <c r="B5018" s="56" t="n">
        <v>45609.91388888889</v>
      </c>
      <c r="C5018" t="inlineStr">
        <is>
          <t>Bluestone Memorial Hospital</t>
        </is>
      </c>
      <c r="D5018" t="n">
        <v>97</v>
      </c>
    </row>
    <row r="5019">
      <c r="A5019" t="inlineStr">
        <is>
          <t>ED205129</t>
        </is>
      </c>
      <c r="B5019" s="56" t="n">
        <v>45609.94513888889</v>
      </c>
      <c r="C5019" t="inlineStr">
        <is>
          <t>Bluestone Memorial Hospital</t>
        </is>
      </c>
      <c r="D5019" t="n">
        <v>25</v>
      </c>
    </row>
    <row r="5020">
      <c r="A5020" t="inlineStr">
        <is>
          <t>ED205130</t>
        </is>
      </c>
      <c r="B5020" s="56" t="n">
        <v>45609.97638888889</v>
      </c>
      <c r="C5020" t="inlineStr">
        <is>
          <t>Bluestone Memorial Hospital</t>
        </is>
      </c>
      <c r="D5020" t="n">
        <v>23</v>
      </c>
    </row>
    <row r="5021">
      <c r="A5021" t="inlineStr">
        <is>
          <t>ED205131</t>
        </is>
      </c>
      <c r="B5021" s="56" t="n">
        <v>45610.26111111111</v>
      </c>
      <c r="C5021" t="inlineStr">
        <is>
          <t>Bluestone Memorial Hospital</t>
        </is>
      </c>
      <c r="D5021" t="n">
        <v>76</v>
      </c>
    </row>
    <row r="5022">
      <c r="A5022" t="inlineStr">
        <is>
          <t>ED205132</t>
        </is>
      </c>
      <c r="B5022" s="56" t="n">
        <v>45610.33402777778</v>
      </c>
      <c r="C5022" t="inlineStr">
        <is>
          <t>Bluestone Memorial Hospital</t>
        </is>
      </c>
      <c r="D5022" t="n">
        <v>9</v>
      </c>
    </row>
    <row r="5023">
      <c r="A5023" t="inlineStr">
        <is>
          <t>ED205133</t>
        </is>
      </c>
      <c r="B5023" s="56" t="n">
        <v>45610.33611111111</v>
      </c>
      <c r="C5023" t="inlineStr">
        <is>
          <t>Cedar Ridge Medical Center</t>
        </is>
      </c>
      <c r="D5023" t="n">
        <v>56</v>
      </c>
    </row>
    <row r="5024">
      <c r="A5024" t="inlineStr">
        <is>
          <t>ED205134</t>
        </is>
      </c>
      <c r="B5024" s="56" t="n">
        <v>45610.40902777778</v>
      </c>
      <c r="C5024" t="inlineStr">
        <is>
          <t>Bluestone Memorial Hospital</t>
        </is>
      </c>
      <c r="D5024" t="n">
        <v>35</v>
      </c>
    </row>
    <row r="5025">
      <c r="A5025" t="inlineStr">
        <is>
          <t>ED205135</t>
        </is>
      </c>
      <c r="B5025" s="56" t="n">
        <v>45610.45763888889</v>
      </c>
      <c r="C5025" t="inlineStr">
        <is>
          <t>Bluestone Memorial Hospital</t>
        </is>
      </c>
      <c r="D5025" t="n">
        <v>46</v>
      </c>
    </row>
    <row r="5026">
      <c r="A5026" t="inlineStr">
        <is>
          <t>ED205136</t>
        </is>
      </c>
      <c r="B5026" s="56" t="n">
        <v>45610.50416666667</v>
      </c>
      <c r="C5026" t="inlineStr">
        <is>
          <t>Bluestone Memorial Hospital</t>
        </is>
      </c>
      <c r="D5026" t="n">
        <v>56</v>
      </c>
    </row>
    <row r="5027">
      <c r="A5027" t="inlineStr">
        <is>
          <t>ED205137</t>
        </is>
      </c>
      <c r="B5027" s="56" t="n">
        <v>45610.54513888889</v>
      </c>
      <c r="C5027" t="inlineStr">
        <is>
          <t>Bluestone Memorial Hospital</t>
        </is>
      </c>
      <c r="D5027" t="n">
        <v>124</v>
      </c>
    </row>
    <row r="5028">
      <c r="A5028" t="inlineStr">
        <is>
          <t>ED205138</t>
        </is>
      </c>
      <c r="B5028" s="56" t="n">
        <v>45610.59930555556</v>
      </c>
      <c r="C5028" t="inlineStr">
        <is>
          <t>Bluestone Memorial Hospital</t>
        </is>
      </c>
      <c r="D5028" t="n">
        <v>25</v>
      </c>
    </row>
    <row r="5029">
      <c r="A5029" t="inlineStr">
        <is>
          <t>ED205139</t>
        </is>
      </c>
      <c r="B5029" s="56" t="n">
        <v>45610.60486111111</v>
      </c>
      <c r="C5029" t="inlineStr">
        <is>
          <t>Bluestone Memorial Hospital</t>
        </is>
      </c>
      <c r="D5029" t="n">
        <v>27</v>
      </c>
    </row>
    <row r="5030">
      <c r="A5030" t="inlineStr">
        <is>
          <t>ED205140</t>
        </is>
      </c>
      <c r="B5030" s="56" t="n">
        <v>45610.61041666667</v>
      </c>
      <c r="C5030" t="inlineStr">
        <is>
          <t>Ashby Falls Community Hospital</t>
        </is>
      </c>
      <c r="D5030" t="n">
        <v>22</v>
      </c>
    </row>
    <row r="5031">
      <c r="A5031" t="inlineStr">
        <is>
          <t>ED205141</t>
        </is>
      </c>
      <c r="B5031" s="56" t="n">
        <v>45610.64861111111</v>
      </c>
      <c r="C5031" t="inlineStr">
        <is>
          <t>Bluestone Memorial Hospital</t>
        </is>
      </c>
      <c r="D5031" t="n">
        <v>109</v>
      </c>
    </row>
    <row r="5032">
      <c r="A5032" t="inlineStr">
        <is>
          <t>ED205142</t>
        </is>
      </c>
      <c r="B5032" s="56" t="n">
        <v>45610.66388888889</v>
      </c>
      <c r="C5032" t="inlineStr">
        <is>
          <t>Ashby Falls Community Hospital</t>
        </is>
      </c>
      <c r="D5032" t="n">
        <v>3</v>
      </c>
    </row>
    <row r="5033">
      <c r="A5033" t="inlineStr">
        <is>
          <t>ED205143</t>
        </is>
      </c>
      <c r="B5033" s="56" t="n">
        <v>45610.69236111111</v>
      </c>
      <c r="C5033" t="inlineStr">
        <is>
          <t>Cedar Ridge Medical Center</t>
        </is>
      </c>
      <c r="D5033" t="n">
        <v>34</v>
      </c>
    </row>
    <row r="5034">
      <c r="A5034" t="inlineStr">
        <is>
          <t>ED205144</t>
        </is>
      </c>
      <c r="B5034" s="56" t="n">
        <v>45610.7125</v>
      </c>
      <c r="C5034" t="inlineStr">
        <is>
          <t>Ashby Falls Community Hospital</t>
        </is>
      </c>
      <c r="D5034" t="n">
        <v>114</v>
      </c>
    </row>
    <row r="5035">
      <c r="A5035" t="inlineStr">
        <is>
          <t>ED205145</t>
        </is>
      </c>
      <c r="B5035" s="56" t="n">
        <v>45610.74930555555</v>
      </c>
      <c r="C5035" t="inlineStr">
        <is>
          <t>Bluestone Memorial Hospital</t>
        </is>
      </c>
      <c r="D5035" t="n">
        <v>9</v>
      </c>
    </row>
    <row r="5036">
      <c r="A5036" t="inlineStr">
        <is>
          <t>ED205146</t>
        </is>
      </c>
      <c r="B5036" s="56" t="n">
        <v>45610.80416666667</v>
      </c>
      <c r="C5036" t="inlineStr">
        <is>
          <t>Cedar Ridge Medical Center</t>
        </is>
      </c>
      <c r="D5036" t="n">
        <v>28</v>
      </c>
    </row>
    <row r="5037">
      <c r="A5037" t="inlineStr">
        <is>
          <t>ED205147</t>
        </is>
      </c>
      <c r="B5037" s="56" t="n">
        <v>45610.80694444444</v>
      </c>
      <c r="C5037" t="inlineStr">
        <is>
          <t>Bluestone Memorial Hospital</t>
        </is>
      </c>
      <c r="D5037" t="n">
        <v>53</v>
      </c>
    </row>
    <row r="5038">
      <c r="A5038" t="inlineStr">
        <is>
          <t>ED205148</t>
        </is>
      </c>
      <c r="B5038" s="56" t="n">
        <v>45610.91597222222</v>
      </c>
      <c r="C5038" t="inlineStr">
        <is>
          <t>Bluestone Memorial Hospital</t>
        </is>
      </c>
      <c r="D5038" t="n">
        <v>35</v>
      </c>
    </row>
    <row r="5039">
      <c r="A5039" t="inlineStr">
        <is>
          <t>ED205149</t>
        </is>
      </c>
      <c r="B5039" s="56" t="n">
        <v>45610.93333333333</v>
      </c>
      <c r="C5039" t="inlineStr">
        <is>
          <t>Bluestone Memorial Hospital</t>
        </is>
      </c>
      <c r="D5039" t="n">
        <v>17</v>
      </c>
    </row>
    <row r="5040">
      <c r="A5040" t="inlineStr">
        <is>
          <t>ED205150</t>
        </is>
      </c>
      <c r="B5040" s="56" t="n">
        <v>45611.02222222222</v>
      </c>
      <c r="C5040" t="inlineStr">
        <is>
          <t>Bluestone Memorial Hospital</t>
        </is>
      </c>
      <c r="D5040" t="n">
        <v>71</v>
      </c>
    </row>
    <row r="5041">
      <c r="A5041" t="inlineStr">
        <is>
          <t>ED205151</t>
        </is>
      </c>
      <c r="B5041" s="56" t="n">
        <v>45611.13819444444</v>
      </c>
      <c r="C5041" t="inlineStr">
        <is>
          <t>Bluestone Memorial Hospital</t>
        </is>
      </c>
      <c r="D5041" t="n">
        <v>17</v>
      </c>
    </row>
    <row r="5042">
      <c r="A5042" t="inlineStr">
        <is>
          <t>ED205152</t>
        </is>
      </c>
      <c r="B5042" s="56" t="n">
        <v>45611.33194444444</v>
      </c>
      <c r="C5042" t="inlineStr">
        <is>
          <t>Bluestone Memorial Hospital</t>
        </is>
      </c>
      <c r="D5042" t="n">
        <v>49</v>
      </c>
    </row>
    <row r="5043">
      <c r="A5043" t="inlineStr">
        <is>
          <t>ED205153</t>
        </is>
      </c>
      <c r="B5043" s="56" t="n">
        <v>45611.35555555556</v>
      </c>
      <c r="C5043" t="inlineStr">
        <is>
          <t>Cedar Ridge Medical Center</t>
        </is>
      </c>
      <c r="D5043" t="n">
        <v>48</v>
      </c>
    </row>
    <row r="5044">
      <c r="A5044" t="inlineStr">
        <is>
          <t>ED205154</t>
        </is>
      </c>
      <c r="B5044" s="56" t="n">
        <v>45611.38333333333</v>
      </c>
      <c r="C5044" t="inlineStr">
        <is>
          <t>Bluestone Memorial Hospital</t>
        </is>
      </c>
      <c r="D5044" t="n">
        <v>38</v>
      </c>
    </row>
    <row r="5045">
      <c r="A5045" t="inlineStr">
        <is>
          <t>ED205155</t>
        </is>
      </c>
      <c r="B5045" s="56" t="n">
        <v>45611.40277777778</v>
      </c>
      <c r="C5045" t="inlineStr">
        <is>
          <t>Bluestone Memorial Hospital</t>
        </is>
      </c>
      <c r="D5045" t="n">
        <v>3</v>
      </c>
    </row>
    <row r="5046">
      <c r="A5046" t="inlineStr">
        <is>
          <t>ED205156</t>
        </is>
      </c>
      <c r="B5046" s="56" t="n">
        <v>45611.48541666667</v>
      </c>
      <c r="C5046" t="inlineStr">
        <is>
          <t>Bluestone Memorial Hospital</t>
        </is>
      </c>
      <c r="D5046" t="n">
        <v>41</v>
      </c>
    </row>
    <row r="5047">
      <c r="A5047" t="inlineStr">
        <is>
          <t>ED205157</t>
        </is>
      </c>
      <c r="B5047" s="56" t="n">
        <v>45611.51319444444</v>
      </c>
      <c r="C5047" t="inlineStr">
        <is>
          <t>Bluestone Memorial Hospital</t>
        </is>
      </c>
      <c r="D5047" t="n">
        <v>38</v>
      </c>
    </row>
    <row r="5048">
      <c r="A5048" t="inlineStr">
        <is>
          <t>ED205158</t>
        </is>
      </c>
      <c r="B5048" s="56" t="n">
        <v>45611.52152777778</v>
      </c>
      <c r="C5048" t="inlineStr">
        <is>
          <t>Bluestone Memorial Hospital</t>
        </is>
      </c>
      <c r="D5048" t="n">
        <v>39</v>
      </c>
    </row>
    <row r="5049">
      <c r="A5049" t="inlineStr">
        <is>
          <t>ED205159</t>
        </is>
      </c>
      <c r="B5049" s="56" t="n">
        <v>45611.57083333333</v>
      </c>
      <c r="C5049" t="inlineStr">
        <is>
          <t>Bluestone Memorial Hospital</t>
        </is>
      </c>
      <c r="D5049" t="n">
        <v>133</v>
      </c>
    </row>
    <row r="5050">
      <c r="A5050" t="inlineStr">
        <is>
          <t>ED205160</t>
        </is>
      </c>
      <c r="B5050" s="56" t="n">
        <v>45611.61319444444</v>
      </c>
      <c r="C5050" t="inlineStr">
        <is>
          <t>Ashby Falls Community Hospital</t>
        </is>
      </c>
      <c r="D5050" t="n">
        <v>48</v>
      </c>
    </row>
    <row r="5051">
      <c r="A5051" t="inlineStr">
        <is>
          <t>ED205161</t>
        </is>
      </c>
      <c r="B5051" s="56" t="n">
        <v>45611.61875</v>
      </c>
      <c r="C5051" t="inlineStr">
        <is>
          <t>Bluestone Memorial Hospital</t>
        </is>
      </c>
      <c r="D5051" t="n">
        <v>22</v>
      </c>
    </row>
    <row r="5052">
      <c r="A5052" t="inlineStr">
        <is>
          <t>ED205162</t>
        </is>
      </c>
      <c r="B5052" s="56" t="n">
        <v>45611.62847222222</v>
      </c>
      <c r="C5052" t="inlineStr">
        <is>
          <t>Cedar Ridge Medical Center</t>
        </is>
      </c>
      <c r="D5052" t="n">
        <v>87</v>
      </c>
    </row>
    <row r="5053">
      <c r="A5053" t="inlineStr">
        <is>
          <t>ED205163</t>
        </is>
      </c>
      <c r="B5053" s="56" t="n">
        <v>45611.67430555556</v>
      </c>
      <c r="C5053" t="inlineStr">
        <is>
          <t>Bluestone Memorial Hospital</t>
        </is>
      </c>
      <c r="D5053" t="n">
        <v>23</v>
      </c>
    </row>
    <row r="5054">
      <c r="A5054" t="inlineStr">
        <is>
          <t>ED205164</t>
        </is>
      </c>
      <c r="B5054" s="56" t="n">
        <v>45611.74305555555</v>
      </c>
      <c r="C5054" t="inlineStr">
        <is>
          <t>Bluestone Memorial Hospital</t>
        </is>
      </c>
      <c r="D5054" t="n">
        <v>65</v>
      </c>
    </row>
    <row r="5055">
      <c r="A5055" t="inlineStr">
        <is>
          <t>ED205165</t>
        </is>
      </c>
      <c r="B5055" s="56" t="n">
        <v>45611.76458333333</v>
      </c>
      <c r="C5055" t="inlineStr">
        <is>
          <t>Bluestone Memorial Hospital</t>
        </is>
      </c>
      <c r="D5055" t="n">
        <v>63</v>
      </c>
    </row>
    <row r="5056">
      <c r="A5056" t="inlineStr">
        <is>
          <t>ED205166</t>
        </is>
      </c>
      <c r="B5056" s="56" t="n">
        <v>45611.76736111111</v>
      </c>
      <c r="C5056" t="inlineStr">
        <is>
          <t>Bluestone Memorial Hospital</t>
        </is>
      </c>
      <c r="D5056" t="n">
        <v>34</v>
      </c>
    </row>
    <row r="5057">
      <c r="A5057" t="inlineStr">
        <is>
          <t>ED205167</t>
        </is>
      </c>
      <c r="B5057" s="56" t="n">
        <v>45611.77291666667</v>
      </c>
      <c r="C5057" t="inlineStr">
        <is>
          <t>Bluestone Memorial Hospital</t>
        </is>
      </c>
      <c r="D5057" t="n">
        <v>40</v>
      </c>
    </row>
    <row r="5058">
      <c r="A5058" t="inlineStr">
        <is>
          <t>ED205168</t>
        </is>
      </c>
      <c r="B5058" s="56" t="n">
        <v>45611.775</v>
      </c>
      <c r="C5058" t="inlineStr">
        <is>
          <t>Bluestone Memorial Hospital</t>
        </is>
      </c>
      <c r="D5058" t="n">
        <v>66</v>
      </c>
    </row>
    <row r="5059">
      <c r="A5059" t="inlineStr">
        <is>
          <t>ED205169</t>
        </is>
      </c>
      <c r="B5059" s="56" t="n">
        <v>45611.80486111111</v>
      </c>
      <c r="C5059" t="inlineStr">
        <is>
          <t>Cedar Ridge Medical Center</t>
        </is>
      </c>
      <c r="D5059" t="n">
        <v>34</v>
      </c>
    </row>
    <row r="5060">
      <c r="A5060" t="inlineStr">
        <is>
          <t>ED205170</t>
        </is>
      </c>
      <c r="B5060" s="56" t="n">
        <v>45611.85069444445</v>
      </c>
      <c r="C5060" t="inlineStr">
        <is>
          <t>Bluestone Memorial Hospital</t>
        </is>
      </c>
      <c r="D5060" t="n">
        <v>34</v>
      </c>
    </row>
    <row r="5061">
      <c r="A5061" t="inlineStr">
        <is>
          <t>ED205171</t>
        </is>
      </c>
      <c r="B5061" s="56" t="n">
        <v>45611.85138888889</v>
      </c>
      <c r="C5061" t="inlineStr">
        <is>
          <t>Bluestone Memorial Hospital</t>
        </is>
      </c>
      <c r="D5061" t="n">
        <v>25</v>
      </c>
    </row>
    <row r="5062">
      <c r="A5062" t="inlineStr">
        <is>
          <t>ED205172</t>
        </is>
      </c>
      <c r="B5062" s="56" t="n">
        <v>45611.85694444444</v>
      </c>
      <c r="C5062" t="inlineStr">
        <is>
          <t>Cedar Ridge Medical Center</t>
        </is>
      </c>
      <c r="D5062" t="n">
        <v>2</v>
      </c>
    </row>
    <row r="5063">
      <c r="A5063" t="inlineStr">
        <is>
          <t>ED205173</t>
        </is>
      </c>
      <c r="B5063" s="56" t="n">
        <v>45611.88194444445</v>
      </c>
      <c r="C5063" t="inlineStr">
        <is>
          <t>Cedar Ridge Medical Center</t>
        </is>
      </c>
      <c r="D5063" t="n">
        <v>22</v>
      </c>
    </row>
    <row r="5064">
      <c r="A5064" t="inlineStr">
        <is>
          <t>ED205174</t>
        </is>
      </c>
      <c r="B5064" s="56" t="n">
        <v>45611.94166666667</v>
      </c>
      <c r="C5064" t="inlineStr">
        <is>
          <t>Bluestone Memorial Hospital</t>
        </is>
      </c>
      <c r="D5064" t="n">
        <v>21</v>
      </c>
    </row>
    <row r="5065">
      <c r="A5065" t="inlineStr">
        <is>
          <t>ED205175</t>
        </is>
      </c>
      <c r="B5065" s="56" t="n">
        <v>45612.03125</v>
      </c>
      <c r="C5065" t="inlineStr">
        <is>
          <t>Bluestone Memorial Hospital</t>
        </is>
      </c>
      <c r="D5065" t="n">
        <v>50</v>
      </c>
    </row>
    <row r="5066">
      <c r="A5066" t="inlineStr">
        <is>
          <t>ED205176</t>
        </is>
      </c>
      <c r="B5066" s="56" t="n">
        <v>45612.17916666667</v>
      </c>
      <c r="C5066" t="inlineStr">
        <is>
          <t>Bluestone Memorial Hospital</t>
        </is>
      </c>
      <c r="D5066" t="n">
        <v>19</v>
      </c>
    </row>
    <row r="5067">
      <c r="A5067" t="inlineStr">
        <is>
          <t>ED205177</t>
        </is>
      </c>
      <c r="B5067" s="56" t="n">
        <v>45612.25486111111</v>
      </c>
      <c r="C5067" t="inlineStr">
        <is>
          <t>Bluestone Memorial Hospital</t>
        </is>
      </c>
      <c r="D5067" t="n">
        <v>32</v>
      </c>
    </row>
    <row r="5068">
      <c r="A5068" t="inlineStr">
        <is>
          <t>ED205178</t>
        </is>
      </c>
      <c r="B5068" s="56" t="n">
        <v>45612.26527777778</v>
      </c>
      <c r="C5068" t="inlineStr">
        <is>
          <t>Bluestone Memorial Hospital</t>
        </is>
      </c>
      <c r="D5068" t="n">
        <v>53</v>
      </c>
    </row>
    <row r="5069">
      <c r="A5069" t="inlineStr">
        <is>
          <t>ED205179</t>
        </is>
      </c>
      <c r="B5069" s="56" t="n">
        <v>45612.32152777778</v>
      </c>
      <c r="C5069" t="inlineStr">
        <is>
          <t>Ashby Falls Community Hospital</t>
        </is>
      </c>
      <c r="D5069" t="n">
        <v>34</v>
      </c>
    </row>
    <row r="5070">
      <c r="A5070" t="inlineStr">
        <is>
          <t>ED205180</t>
        </is>
      </c>
      <c r="B5070" s="56" t="n">
        <v>45612.41041666667</v>
      </c>
      <c r="C5070" t="inlineStr">
        <is>
          <t>Bluestone Memorial Hospital</t>
        </is>
      </c>
      <c r="D5070" t="n">
        <v>51</v>
      </c>
    </row>
    <row r="5071">
      <c r="A5071" t="inlineStr">
        <is>
          <t>ED205181</t>
        </is>
      </c>
      <c r="B5071" s="56" t="n">
        <v>45612.45486111111</v>
      </c>
      <c r="C5071" t="inlineStr">
        <is>
          <t>Bluestone Memorial Hospital</t>
        </is>
      </c>
      <c r="D5071" t="n">
        <v>49</v>
      </c>
    </row>
    <row r="5072">
      <c r="A5072" t="inlineStr">
        <is>
          <t>ED205182</t>
        </is>
      </c>
      <c r="B5072" s="56" t="n">
        <v>45612.4625</v>
      </c>
      <c r="C5072" t="inlineStr">
        <is>
          <t>Bluestone Memorial Hospital</t>
        </is>
      </c>
      <c r="D5072" t="n">
        <v>28</v>
      </c>
    </row>
    <row r="5073">
      <c r="A5073" t="inlineStr">
        <is>
          <t>ED205183</t>
        </is>
      </c>
      <c r="B5073" s="56" t="n">
        <v>45612.47222222222</v>
      </c>
      <c r="C5073" t="inlineStr">
        <is>
          <t>Bluestone Memorial Hospital</t>
        </is>
      </c>
      <c r="D5073" t="n">
        <v>24</v>
      </c>
    </row>
    <row r="5074">
      <c r="A5074" t="inlineStr">
        <is>
          <t>ED205184</t>
        </is>
      </c>
      <c r="B5074" s="56" t="n">
        <v>45612.50208333333</v>
      </c>
      <c r="C5074" t="inlineStr">
        <is>
          <t>Bluestone Memorial Hospital</t>
        </is>
      </c>
      <c r="D5074" t="n">
        <v>44</v>
      </c>
    </row>
    <row r="5075">
      <c r="A5075" t="inlineStr">
        <is>
          <t>ED205185</t>
        </is>
      </c>
      <c r="B5075" s="56" t="n">
        <v>45612.52777777778</v>
      </c>
      <c r="C5075" t="inlineStr">
        <is>
          <t>Ashby Falls Community Hospital</t>
        </is>
      </c>
      <c r="D5075" t="n">
        <v>33</v>
      </c>
    </row>
    <row r="5076">
      <c r="A5076" t="inlineStr">
        <is>
          <t>ED205186</t>
        </is>
      </c>
      <c r="B5076" s="56" t="n">
        <v>45612.55277777778</v>
      </c>
      <c r="C5076" t="inlineStr">
        <is>
          <t>Bluestone Memorial Hospital</t>
        </is>
      </c>
      <c r="D5076" t="n">
        <v>32</v>
      </c>
    </row>
    <row r="5077">
      <c r="A5077" t="inlineStr">
        <is>
          <t>ED205187</t>
        </is>
      </c>
      <c r="B5077" s="56" t="n">
        <v>45612.59166666667</v>
      </c>
      <c r="C5077" t="inlineStr">
        <is>
          <t>Cedar Ridge Medical Center</t>
        </is>
      </c>
      <c r="D5077" t="n">
        <v>49</v>
      </c>
    </row>
    <row r="5078">
      <c r="A5078" t="inlineStr">
        <is>
          <t>ED205188</t>
        </is>
      </c>
      <c r="B5078" s="56" t="n">
        <v>45612.62083333333</v>
      </c>
      <c r="C5078" t="inlineStr">
        <is>
          <t>Bluestone Memorial Hospital</t>
        </is>
      </c>
      <c r="D5078" t="n">
        <v>153</v>
      </c>
    </row>
    <row r="5079">
      <c r="A5079" t="inlineStr">
        <is>
          <t>ED205189</t>
        </is>
      </c>
      <c r="B5079" s="56" t="n">
        <v>45612.65763888889</v>
      </c>
      <c r="C5079" t="inlineStr">
        <is>
          <t>Cedar Ridge Medical Center</t>
        </is>
      </c>
      <c r="D5079" t="n">
        <v>102</v>
      </c>
    </row>
    <row r="5080">
      <c r="A5080" t="inlineStr">
        <is>
          <t>ED205190</t>
        </is>
      </c>
      <c r="B5080" s="56" t="n">
        <v>45612.6625</v>
      </c>
      <c r="C5080" t="inlineStr">
        <is>
          <t>Bluestone Memorial Hospital</t>
        </is>
      </c>
      <c r="D5080" t="n">
        <v>49</v>
      </c>
    </row>
    <row r="5081">
      <c r="A5081" t="inlineStr">
        <is>
          <t>ED205191</t>
        </is>
      </c>
      <c r="B5081" s="56" t="n">
        <v>45612.76666666667</v>
      </c>
      <c r="C5081" t="inlineStr">
        <is>
          <t>Bluestone Memorial Hospital</t>
        </is>
      </c>
      <c r="D5081" t="n">
        <v>21</v>
      </c>
    </row>
    <row r="5082">
      <c r="A5082" t="inlineStr">
        <is>
          <t>ED205192</t>
        </is>
      </c>
      <c r="B5082" s="56" t="n">
        <v>45612.77916666667</v>
      </c>
      <c r="C5082" t="inlineStr">
        <is>
          <t>Cedar Ridge Medical Center</t>
        </is>
      </c>
      <c r="D5082" t="n">
        <v>153</v>
      </c>
    </row>
    <row r="5083">
      <c r="A5083" t="inlineStr">
        <is>
          <t>ED205193</t>
        </is>
      </c>
      <c r="B5083" s="56" t="n">
        <v>45612.83541666667</v>
      </c>
      <c r="C5083" t="inlineStr">
        <is>
          <t>Bluestone Memorial Hospital</t>
        </is>
      </c>
      <c r="D5083" t="n">
        <v>24</v>
      </c>
    </row>
    <row r="5084">
      <c r="A5084" t="inlineStr">
        <is>
          <t>ED205194</t>
        </is>
      </c>
      <c r="B5084" s="56" t="n">
        <v>45612.86041666667</v>
      </c>
      <c r="C5084" t="inlineStr">
        <is>
          <t>Bluestone Memorial Hospital</t>
        </is>
      </c>
      <c r="D5084" t="n">
        <v>62</v>
      </c>
    </row>
    <row r="5085">
      <c r="A5085" t="inlineStr">
        <is>
          <t>ED205195</t>
        </is>
      </c>
      <c r="B5085" s="56" t="n">
        <v>45612.95486111111</v>
      </c>
      <c r="C5085" t="inlineStr">
        <is>
          <t>Ashby Falls Community Hospital</t>
        </is>
      </c>
      <c r="D5085" t="n">
        <v>102</v>
      </c>
    </row>
    <row r="5086">
      <c r="A5086" t="inlineStr">
        <is>
          <t>ED205196</t>
        </is>
      </c>
      <c r="B5086" s="56" t="n">
        <v>45612.98263888889</v>
      </c>
      <c r="C5086" t="inlineStr">
        <is>
          <t>Bluestone Memorial Hospital</t>
        </is>
      </c>
      <c r="D5086" t="n">
        <v>41</v>
      </c>
    </row>
    <row r="5087">
      <c r="A5087" t="inlineStr">
        <is>
          <t>ED205197</t>
        </is>
      </c>
      <c r="B5087" s="56" t="n">
        <v>45613.12986111111</v>
      </c>
      <c r="C5087" t="inlineStr">
        <is>
          <t>Bluestone Memorial Hospital</t>
        </is>
      </c>
      <c r="D5087" t="n">
        <v>16</v>
      </c>
    </row>
    <row r="5088">
      <c r="A5088" t="inlineStr">
        <is>
          <t>ED205198</t>
        </is>
      </c>
      <c r="B5088" s="56" t="n">
        <v>45613.31458333333</v>
      </c>
      <c r="C5088" t="inlineStr">
        <is>
          <t>Bluestone Memorial Hospital</t>
        </is>
      </c>
      <c r="D5088" t="n">
        <v>59</v>
      </c>
    </row>
    <row r="5089">
      <c r="A5089" t="inlineStr">
        <is>
          <t>ED205199</t>
        </is>
      </c>
      <c r="B5089" s="56" t="n">
        <v>45613.33958333333</v>
      </c>
      <c r="C5089" t="inlineStr">
        <is>
          <t>Bluestone Memorial Hospital</t>
        </is>
      </c>
      <c r="D5089" t="n">
        <v>63</v>
      </c>
    </row>
    <row r="5090">
      <c r="A5090" t="inlineStr">
        <is>
          <t>ED205200</t>
        </is>
      </c>
      <c r="B5090" s="56" t="n">
        <v>45613.37013888889</v>
      </c>
      <c r="C5090" t="inlineStr">
        <is>
          <t>Bluestone Memorial Hospital</t>
        </is>
      </c>
      <c r="D5090" t="n">
        <v>17</v>
      </c>
    </row>
    <row r="5091">
      <c r="A5091" t="inlineStr">
        <is>
          <t>ED205201</t>
        </is>
      </c>
      <c r="B5091" s="56" t="n">
        <v>45613.41666666666</v>
      </c>
      <c r="C5091" t="inlineStr">
        <is>
          <t>Cedar Ridge Medical Center</t>
        </is>
      </c>
      <c r="D5091" t="n">
        <v>45</v>
      </c>
    </row>
    <row r="5092">
      <c r="A5092" t="inlineStr">
        <is>
          <t>ED205202</t>
        </is>
      </c>
      <c r="B5092" s="56" t="n">
        <v>45613.44583333333</v>
      </c>
      <c r="C5092" t="inlineStr">
        <is>
          <t>Bluestone Memorial Hospital</t>
        </is>
      </c>
      <c r="D5092" t="n">
        <v>94</v>
      </c>
    </row>
    <row r="5093">
      <c r="A5093" t="inlineStr">
        <is>
          <t>ED205203</t>
        </is>
      </c>
      <c r="B5093" s="56" t="n">
        <v>45613.52083333334</v>
      </c>
      <c r="C5093" t="inlineStr">
        <is>
          <t>Bluestone Memorial Hospital</t>
        </is>
      </c>
      <c r="D5093" t="n">
        <v>74</v>
      </c>
    </row>
    <row r="5094">
      <c r="A5094" t="inlineStr">
        <is>
          <t>ED205204</t>
        </is>
      </c>
      <c r="B5094" s="56" t="n">
        <v>45613.52361111111</v>
      </c>
      <c r="C5094" t="inlineStr">
        <is>
          <t>Bluestone Memorial Hospital</t>
        </is>
      </c>
      <c r="D5094" t="n">
        <v>25</v>
      </c>
    </row>
    <row r="5095">
      <c r="A5095" t="inlineStr">
        <is>
          <t>ED205205</t>
        </is>
      </c>
      <c r="B5095" s="56" t="n">
        <v>45613.59722222222</v>
      </c>
      <c r="C5095" t="inlineStr">
        <is>
          <t>Bluestone Memorial Hospital</t>
        </is>
      </c>
      <c r="D5095" t="n">
        <v>36</v>
      </c>
    </row>
    <row r="5096">
      <c r="A5096" t="inlineStr">
        <is>
          <t>ED205206</t>
        </is>
      </c>
      <c r="B5096" s="56" t="n">
        <v>45613.59930555556</v>
      </c>
      <c r="C5096" t="inlineStr">
        <is>
          <t>Bluestone Memorial Hospital</t>
        </is>
      </c>
      <c r="D5096" t="n">
        <v>28</v>
      </c>
    </row>
    <row r="5097">
      <c r="A5097" t="inlineStr">
        <is>
          <t>ED205207</t>
        </is>
      </c>
      <c r="B5097" s="56" t="n">
        <v>45613.63888888889</v>
      </c>
      <c r="C5097" t="inlineStr">
        <is>
          <t>Ashby Falls Community Hospital</t>
        </is>
      </c>
      <c r="D5097" t="n">
        <v>40</v>
      </c>
    </row>
    <row r="5098">
      <c r="A5098" t="inlineStr">
        <is>
          <t>ED205208</t>
        </is>
      </c>
      <c r="B5098" s="56" t="n">
        <v>45613.67777777778</v>
      </c>
      <c r="C5098" t="inlineStr">
        <is>
          <t>Bluestone Memorial Hospital</t>
        </is>
      </c>
      <c r="D5098" t="n">
        <v>101</v>
      </c>
    </row>
    <row r="5099">
      <c r="A5099" t="inlineStr">
        <is>
          <t>ED205209</t>
        </is>
      </c>
      <c r="B5099" s="56" t="n">
        <v>45613.71041666667</v>
      </c>
      <c r="C5099" t="inlineStr">
        <is>
          <t>Cedar Ridge Medical Center</t>
        </is>
      </c>
      <c r="D5099" t="n">
        <v>11</v>
      </c>
    </row>
    <row r="5100">
      <c r="A5100" t="inlineStr">
        <is>
          <t>ED205210</t>
        </is>
      </c>
      <c r="B5100" s="56" t="n">
        <v>45613.75138888889</v>
      </c>
      <c r="C5100" t="inlineStr">
        <is>
          <t>Bluestone Memorial Hospital</t>
        </is>
      </c>
      <c r="D5100" t="n">
        <v>3</v>
      </c>
    </row>
    <row r="5101">
      <c r="A5101" t="inlineStr">
        <is>
          <t>ED205211</t>
        </is>
      </c>
      <c r="B5101" s="56" t="n">
        <v>45613.76527777778</v>
      </c>
      <c r="C5101" t="inlineStr">
        <is>
          <t>Cedar Ridge Medical Center</t>
        </is>
      </c>
      <c r="D5101" t="n">
        <v>72</v>
      </c>
    </row>
    <row r="5102">
      <c r="A5102" t="inlineStr">
        <is>
          <t>ED205212</t>
        </is>
      </c>
      <c r="B5102" s="56" t="n">
        <v>45613.79791666667</v>
      </c>
      <c r="C5102" t="inlineStr">
        <is>
          <t>Ashby Falls Community Hospital</t>
        </is>
      </c>
      <c r="D5102" t="n">
        <v>16</v>
      </c>
    </row>
    <row r="5103">
      <c r="A5103" t="inlineStr">
        <is>
          <t>ED205213</t>
        </is>
      </c>
      <c r="B5103" s="56" t="n">
        <v>45613.85486111111</v>
      </c>
      <c r="C5103" t="inlineStr">
        <is>
          <t>Bluestone Memorial Hospital</t>
        </is>
      </c>
      <c r="D5103" t="n">
        <v>13</v>
      </c>
    </row>
    <row r="5104">
      <c r="A5104" t="inlineStr">
        <is>
          <t>ED205214</t>
        </is>
      </c>
      <c r="B5104" s="56" t="n">
        <v>45613.98958333334</v>
      </c>
      <c r="C5104" t="inlineStr">
        <is>
          <t>Bluestone Memorial Hospital</t>
        </is>
      </c>
      <c r="D5104" t="n">
        <v>49</v>
      </c>
    </row>
    <row r="5105">
      <c r="A5105" t="inlineStr">
        <is>
          <t>ED205215</t>
        </is>
      </c>
      <c r="B5105" s="56" t="n">
        <v>45614.02638888889</v>
      </c>
      <c r="C5105" t="inlineStr">
        <is>
          <t>Bluestone Memorial Hospital</t>
        </is>
      </c>
      <c r="D5105" t="n">
        <v>20</v>
      </c>
    </row>
    <row r="5106">
      <c r="A5106" t="inlineStr">
        <is>
          <t>ED205216</t>
        </is>
      </c>
      <c r="B5106" s="56" t="n">
        <v>45614.06180555555</v>
      </c>
      <c r="C5106" t="inlineStr">
        <is>
          <t>Bluestone Memorial Hospital</t>
        </is>
      </c>
      <c r="D5106" t="n">
        <v>38</v>
      </c>
    </row>
    <row r="5107">
      <c r="A5107" t="inlineStr">
        <is>
          <t>ED205217</t>
        </is>
      </c>
      <c r="B5107" s="56" t="n">
        <v>45614.18194444444</v>
      </c>
      <c r="C5107" t="inlineStr">
        <is>
          <t>Bluestone Memorial Hospital</t>
        </is>
      </c>
      <c r="D5107" t="n">
        <v>80</v>
      </c>
    </row>
    <row r="5108">
      <c r="A5108" t="inlineStr">
        <is>
          <t>ED205218</t>
        </is>
      </c>
      <c r="B5108" s="56" t="n">
        <v>45614.25486111111</v>
      </c>
      <c r="C5108" t="inlineStr">
        <is>
          <t>Bluestone Memorial Hospital</t>
        </is>
      </c>
      <c r="D5108" t="n">
        <v>9</v>
      </c>
    </row>
    <row r="5109">
      <c r="A5109" t="inlineStr">
        <is>
          <t>ED205219</t>
        </is>
      </c>
      <c r="B5109" s="56" t="n">
        <v>45614.28263888889</v>
      </c>
      <c r="C5109" t="inlineStr">
        <is>
          <t>Cedar Ridge Medical Center</t>
        </is>
      </c>
      <c r="D5109" t="n">
        <v>30</v>
      </c>
    </row>
    <row r="5110">
      <c r="A5110" t="inlineStr">
        <is>
          <t>ED205220</t>
        </is>
      </c>
      <c r="B5110" s="56" t="n">
        <v>45614.32430555556</v>
      </c>
      <c r="C5110" t="inlineStr">
        <is>
          <t>Bluestone Memorial Hospital</t>
        </is>
      </c>
      <c r="D5110" t="n">
        <v>89</v>
      </c>
    </row>
    <row r="5111">
      <c r="A5111" t="inlineStr">
        <is>
          <t>ED205221</t>
        </is>
      </c>
      <c r="B5111" s="56" t="n">
        <v>45614.375</v>
      </c>
      <c r="C5111" t="inlineStr">
        <is>
          <t>Bluestone Memorial Hospital</t>
        </is>
      </c>
      <c r="D5111" t="n">
        <v>30</v>
      </c>
    </row>
    <row r="5112">
      <c r="A5112" t="inlineStr">
        <is>
          <t>ED205222</t>
        </is>
      </c>
      <c r="B5112" s="56" t="n">
        <v>45614.40833333333</v>
      </c>
      <c r="C5112" t="inlineStr">
        <is>
          <t>Ashby Falls Community Hospital</t>
        </is>
      </c>
      <c r="D5112" t="n">
        <v>16</v>
      </c>
    </row>
    <row r="5113">
      <c r="A5113" t="inlineStr">
        <is>
          <t>ED205223</t>
        </is>
      </c>
      <c r="B5113" s="56" t="n">
        <v>45614.45</v>
      </c>
      <c r="C5113" t="inlineStr">
        <is>
          <t>Bluestone Memorial Hospital</t>
        </is>
      </c>
      <c r="D5113" t="n">
        <v>38</v>
      </c>
    </row>
    <row r="5114">
      <c r="A5114" t="inlineStr">
        <is>
          <t>ED205224</t>
        </is>
      </c>
      <c r="B5114" s="56" t="n">
        <v>45614.45277777778</v>
      </c>
      <c r="C5114" t="inlineStr">
        <is>
          <t>Bluestone Memorial Hospital</t>
        </is>
      </c>
      <c r="D5114" t="n">
        <v>40</v>
      </c>
    </row>
    <row r="5115">
      <c r="A5115" t="inlineStr">
        <is>
          <t>ED205225</t>
        </is>
      </c>
      <c r="B5115" s="56" t="n">
        <v>45614.48402777778</v>
      </c>
      <c r="C5115" t="inlineStr">
        <is>
          <t>Bluestone Memorial Hospital</t>
        </is>
      </c>
      <c r="D5115" t="n">
        <v>211</v>
      </c>
    </row>
    <row r="5116">
      <c r="A5116" t="inlineStr">
        <is>
          <t>ED205226</t>
        </is>
      </c>
      <c r="B5116" s="56" t="n">
        <v>45614.51041666666</v>
      </c>
      <c r="C5116" t="inlineStr">
        <is>
          <t>Ashby Falls Community Hospital</t>
        </is>
      </c>
      <c r="D5116" t="n">
        <v>105</v>
      </c>
    </row>
    <row r="5117">
      <c r="A5117" t="inlineStr">
        <is>
          <t>ED205227</t>
        </is>
      </c>
      <c r="B5117" s="56" t="n">
        <v>45614.55694444444</v>
      </c>
      <c r="C5117" t="inlineStr">
        <is>
          <t>Ashby Falls Community Hospital</t>
        </is>
      </c>
      <c r="D5117" t="n">
        <v>2</v>
      </c>
    </row>
    <row r="5118">
      <c r="A5118" t="inlineStr">
        <is>
          <t>ED205228</t>
        </is>
      </c>
      <c r="B5118" s="56" t="n">
        <v>45614.59027777778</v>
      </c>
      <c r="C5118" t="inlineStr">
        <is>
          <t>Cedar Ridge Medical Center</t>
        </is>
      </c>
      <c r="D5118" t="n">
        <v>3</v>
      </c>
    </row>
    <row r="5119">
      <c r="A5119" t="inlineStr">
        <is>
          <t>ED205229</t>
        </is>
      </c>
      <c r="B5119" s="56" t="n">
        <v>45614.63263888889</v>
      </c>
      <c r="C5119" t="inlineStr">
        <is>
          <t>Bluestone Memorial Hospital</t>
        </is>
      </c>
      <c r="D5119" t="n">
        <v>19</v>
      </c>
    </row>
    <row r="5120">
      <c r="A5120" t="inlineStr">
        <is>
          <t>ED205230</t>
        </is>
      </c>
      <c r="B5120" s="56" t="n">
        <v>45614.65625</v>
      </c>
      <c r="C5120" t="inlineStr">
        <is>
          <t>Bluestone Memorial Hospital</t>
        </is>
      </c>
      <c r="D5120" t="n">
        <v>81</v>
      </c>
    </row>
    <row r="5121">
      <c r="A5121" t="inlineStr">
        <is>
          <t>ED205231</t>
        </is>
      </c>
      <c r="B5121" s="56" t="n">
        <v>45614.65694444445</v>
      </c>
      <c r="C5121" t="inlineStr">
        <is>
          <t>Bluestone Memorial Hospital</t>
        </is>
      </c>
      <c r="D5121" t="n">
        <v>103</v>
      </c>
    </row>
    <row r="5122">
      <c r="A5122" t="inlineStr">
        <is>
          <t>ED205232</t>
        </is>
      </c>
      <c r="B5122" s="56" t="n">
        <v>45614.67291666667</v>
      </c>
      <c r="C5122" t="inlineStr">
        <is>
          <t>Ashby Falls Community Hospital</t>
        </is>
      </c>
      <c r="D5122" t="n">
        <v>55</v>
      </c>
    </row>
    <row r="5123">
      <c r="A5123" t="inlineStr">
        <is>
          <t>ED205233</t>
        </is>
      </c>
      <c r="B5123" s="56" t="n">
        <v>45614.69097222222</v>
      </c>
      <c r="C5123" t="inlineStr">
        <is>
          <t>Bluestone Memorial Hospital</t>
        </is>
      </c>
      <c r="D5123" t="n">
        <v>66</v>
      </c>
    </row>
    <row r="5124">
      <c r="A5124" t="inlineStr">
        <is>
          <t>ED205234</t>
        </is>
      </c>
      <c r="B5124" s="56" t="n">
        <v>45614.70208333333</v>
      </c>
      <c r="C5124" t="inlineStr">
        <is>
          <t>Bluestone Memorial Hospital</t>
        </is>
      </c>
      <c r="D5124" t="n">
        <v>1</v>
      </c>
    </row>
    <row r="5125">
      <c r="A5125" t="inlineStr">
        <is>
          <t>ED205235</t>
        </is>
      </c>
      <c r="B5125" s="56" t="n">
        <v>45614.72777777778</v>
      </c>
      <c r="C5125" t="inlineStr">
        <is>
          <t>Bluestone Memorial Hospital</t>
        </is>
      </c>
      <c r="D5125" t="n">
        <v>38</v>
      </c>
    </row>
    <row r="5126">
      <c r="A5126" t="inlineStr">
        <is>
          <t>ED205236</t>
        </is>
      </c>
      <c r="B5126" s="56" t="n">
        <v>45614.77638888889</v>
      </c>
      <c r="C5126" t="inlineStr">
        <is>
          <t>Bluestone Memorial Hospital</t>
        </is>
      </c>
      <c r="D5126" t="n">
        <v>79</v>
      </c>
    </row>
    <row r="5127">
      <c r="A5127" t="inlineStr">
        <is>
          <t>ED205237</t>
        </is>
      </c>
      <c r="B5127" s="56" t="n">
        <v>45614.86388888889</v>
      </c>
      <c r="C5127" t="inlineStr">
        <is>
          <t>Bluestone Memorial Hospital</t>
        </is>
      </c>
      <c r="D5127" t="n">
        <v>95</v>
      </c>
    </row>
    <row r="5128">
      <c r="A5128" t="inlineStr">
        <is>
          <t>ED205238</t>
        </is>
      </c>
      <c r="B5128" s="56" t="n">
        <v>45614.86527777778</v>
      </c>
      <c r="C5128" t="inlineStr">
        <is>
          <t>Bluestone Memorial Hospital</t>
        </is>
      </c>
      <c r="D5128" t="n">
        <v>36</v>
      </c>
    </row>
    <row r="5129">
      <c r="A5129" t="inlineStr">
        <is>
          <t>ED205239</t>
        </is>
      </c>
      <c r="B5129" s="56" t="n">
        <v>45614.89236111111</v>
      </c>
      <c r="C5129" t="inlineStr">
        <is>
          <t>Bluestone Memorial Hospital</t>
        </is>
      </c>
      <c r="D5129" t="n">
        <v>16</v>
      </c>
    </row>
    <row r="5130">
      <c r="A5130" t="inlineStr">
        <is>
          <t>ED205240</t>
        </is>
      </c>
      <c r="B5130" s="56" t="n">
        <v>45614.90902777778</v>
      </c>
      <c r="C5130" t="inlineStr">
        <is>
          <t>Ashby Falls Community Hospital</t>
        </is>
      </c>
      <c r="D5130" t="n">
        <v>12</v>
      </c>
    </row>
    <row r="5131">
      <c r="A5131" t="inlineStr">
        <is>
          <t>ED205241</t>
        </is>
      </c>
      <c r="B5131" s="56" t="n">
        <v>45614.94305555556</v>
      </c>
      <c r="C5131" t="inlineStr">
        <is>
          <t>Bluestone Memorial Hospital</t>
        </is>
      </c>
      <c r="D5131" t="n">
        <v>9</v>
      </c>
    </row>
    <row r="5132">
      <c r="A5132" t="inlineStr">
        <is>
          <t>ED205242</t>
        </is>
      </c>
      <c r="B5132" s="56" t="n">
        <v>45614.97847222222</v>
      </c>
      <c r="C5132" t="inlineStr">
        <is>
          <t>Bluestone Memorial Hospital</t>
        </is>
      </c>
      <c r="D5132" t="n">
        <v>15</v>
      </c>
    </row>
    <row r="5133">
      <c r="A5133" t="inlineStr">
        <is>
          <t>ED205243</t>
        </is>
      </c>
      <c r="B5133" s="56" t="n">
        <v>45615.02638888889</v>
      </c>
      <c r="C5133" t="inlineStr">
        <is>
          <t>Bluestone Memorial Hospital</t>
        </is>
      </c>
      <c r="D5133" t="n">
        <v>14</v>
      </c>
    </row>
    <row r="5134">
      <c r="A5134" t="inlineStr">
        <is>
          <t>ED205244</t>
        </is>
      </c>
      <c r="B5134" s="56" t="n">
        <v>45615.29930555556</v>
      </c>
      <c r="C5134" t="inlineStr">
        <is>
          <t>Bluestone Memorial Hospital</t>
        </is>
      </c>
      <c r="D5134" t="n">
        <v>47</v>
      </c>
    </row>
    <row r="5135">
      <c r="A5135" t="inlineStr">
        <is>
          <t>ED205245</t>
        </is>
      </c>
      <c r="B5135" s="56" t="n">
        <v>45615.34027777778</v>
      </c>
      <c r="C5135" t="inlineStr">
        <is>
          <t>Bluestone Memorial Hospital</t>
        </is>
      </c>
      <c r="D5135" t="n">
        <v>54</v>
      </c>
    </row>
    <row r="5136">
      <c r="A5136" t="inlineStr">
        <is>
          <t>ED205246</t>
        </is>
      </c>
      <c r="B5136" s="56" t="n">
        <v>45615.37986111111</v>
      </c>
      <c r="C5136" t="inlineStr">
        <is>
          <t>Cedar Ridge Medical Center</t>
        </is>
      </c>
      <c r="D5136" t="n">
        <v>17</v>
      </c>
    </row>
    <row r="5137">
      <c r="A5137" t="inlineStr">
        <is>
          <t>ED205247</t>
        </is>
      </c>
      <c r="B5137" s="56" t="n">
        <v>45615.37986111111</v>
      </c>
      <c r="C5137" t="inlineStr">
        <is>
          <t>Bluestone Memorial Hospital</t>
        </is>
      </c>
      <c r="D5137" t="n">
        <v>14</v>
      </c>
    </row>
    <row r="5138">
      <c r="A5138" t="inlineStr">
        <is>
          <t>ED205248</t>
        </is>
      </c>
      <c r="B5138" s="56" t="n">
        <v>45615.39444444444</v>
      </c>
      <c r="C5138" t="inlineStr">
        <is>
          <t>Bluestone Memorial Hospital</t>
        </is>
      </c>
      <c r="D5138" t="n">
        <v>30</v>
      </c>
    </row>
    <row r="5139">
      <c r="A5139" t="inlineStr">
        <is>
          <t>ED205249</t>
        </is>
      </c>
      <c r="B5139" s="56" t="n">
        <v>45615.62916666667</v>
      </c>
      <c r="C5139" t="inlineStr">
        <is>
          <t>Bluestone Memorial Hospital</t>
        </is>
      </c>
      <c r="D5139" t="n">
        <v>34</v>
      </c>
    </row>
    <row r="5140">
      <c r="A5140" t="inlineStr">
        <is>
          <t>ED205250</t>
        </is>
      </c>
      <c r="B5140" s="56" t="n">
        <v>45615.63958333333</v>
      </c>
      <c r="C5140" t="inlineStr">
        <is>
          <t>Bluestone Memorial Hospital</t>
        </is>
      </c>
      <c r="D5140" t="n">
        <v>73</v>
      </c>
    </row>
    <row r="5141">
      <c r="A5141" t="inlineStr">
        <is>
          <t>ED205251</t>
        </is>
      </c>
      <c r="B5141" s="56" t="n">
        <v>45615.64861111111</v>
      </c>
      <c r="C5141" t="inlineStr">
        <is>
          <t>Bluestone Memorial Hospital</t>
        </is>
      </c>
      <c r="D5141" t="n">
        <v>130</v>
      </c>
    </row>
    <row r="5142">
      <c r="A5142" t="inlineStr">
        <is>
          <t>ED205252</t>
        </is>
      </c>
      <c r="B5142" s="56" t="n">
        <v>45615.74027777778</v>
      </c>
      <c r="C5142" t="inlineStr">
        <is>
          <t>Bluestone Memorial Hospital</t>
        </is>
      </c>
      <c r="D5142" t="n">
        <v>66</v>
      </c>
    </row>
    <row r="5143">
      <c r="A5143" t="inlineStr">
        <is>
          <t>ED205253</t>
        </is>
      </c>
      <c r="B5143" s="56" t="n">
        <v>45615.74027777778</v>
      </c>
      <c r="C5143" t="inlineStr">
        <is>
          <t>Cedar Ridge Medical Center</t>
        </is>
      </c>
      <c r="D5143" t="n">
        <v>41</v>
      </c>
    </row>
    <row r="5144">
      <c r="A5144" t="inlineStr">
        <is>
          <t>ED205255</t>
        </is>
      </c>
      <c r="B5144" s="56" t="n">
        <v>45615.80208333334</v>
      </c>
      <c r="C5144" t="inlineStr">
        <is>
          <t>Cedar Ridge Medical Center</t>
        </is>
      </c>
      <c r="D5144" t="n">
        <v>22</v>
      </c>
    </row>
    <row r="5145">
      <c r="A5145" t="inlineStr">
        <is>
          <t>ED205256</t>
        </is>
      </c>
      <c r="B5145" s="56" t="n">
        <v>45615.87847222222</v>
      </c>
      <c r="C5145" t="inlineStr">
        <is>
          <t>Bluestone Memorial Hospital</t>
        </is>
      </c>
      <c r="D5145" t="n">
        <v>37</v>
      </c>
    </row>
    <row r="5146">
      <c r="A5146" t="inlineStr">
        <is>
          <t>ED205257</t>
        </is>
      </c>
      <c r="B5146" s="56" t="n">
        <v>45615.96666666667</v>
      </c>
      <c r="C5146" t="inlineStr">
        <is>
          <t>Bluestone Memorial Hospital</t>
        </is>
      </c>
      <c r="D5146" t="n">
        <v>47</v>
      </c>
    </row>
    <row r="5147">
      <c r="A5147" t="inlineStr">
        <is>
          <t>ED205258</t>
        </is>
      </c>
      <c r="B5147" s="56" t="n">
        <v>45616.33263888889</v>
      </c>
      <c r="C5147" t="inlineStr">
        <is>
          <t>Bluestone Memorial Hospital</t>
        </is>
      </c>
      <c r="D5147" t="n">
        <v>86</v>
      </c>
    </row>
    <row r="5148">
      <c r="A5148" t="inlineStr">
        <is>
          <t>ED205259</t>
        </is>
      </c>
      <c r="B5148" s="56" t="n">
        <v>45616.34375</v>
      </c>
      <c r="C5148" t="inlineStr">
        <is>
          <t>Bluestone Memorial Hospital</t>
        </is>
      </c>
      <c r="D5148" t="n">
        <v>13</v>
      </c>
    </row>
    <row r="5149">
      <c r="A5149" t="inlineStr">
        <is>
          <t>ED205260</t>
        </is>
      </c>
      <c r="B5149" s="56" t="n">
        <v>45616.35208333333</v>
      </c>
      <c r="C5149" t="inlineStr">
        <is>
          <t>Cedar Ridge Medical Center</t>
        </is>
      </c>
      <c r="D5149" t="n">
        <v>10</v>
      </c>
    </row>
    <row r="5150">
      <c r="A5150" t="inlineStr">
        <is>
          <t>ED205261</t>
        </is>
      </c>
      <c r="B5150" s="56" t="n">
        <v>45616.37291666667</v>
      </c>
      <c r="C5150" t="inlineStr">
        <is>
          <t>Cedar Ridge Medical Center</t>
        </is>
      </c>
      <c r="D5150" t="n">
        <v>51</v>
      </c>
    </row>
    <row r="5151">
      <c r="A5151" t="inlineStr">
        <is>
          <t>ED205262</t>
        </is>
      </c>
      <c r="B5151" s="56" t="n">
        <v>45616.37847222222</v>
      </c>
      <c r="C5151" t="inlineStr">
        <is>
          <t>Ashby Falls Community Hospital</t>
        </is>
      </c>
      <c r="D5151" t="n">
        <v>83</v>
      </c>
    </row>
    <row r="5152">
      <c r="A5152" t="inlineStr">
        <is>
          <t>ED205263</t>
        </is>
      </c>
      <c r="B5152" s="56" t="n">
        <v>45616.42638888889</v>
      </c>
      <c r="C5152" t="inlineStr">
        <is>
          <t>Ashby Falls Community Hospital</t>
        </is>
      </c>
      <c r="D5152" t="n">
        <v>120</v>
      </c>
    </row>
    <row r="5153">
      <c r="A5153" t="inlineStr">
        <is>
          <t>ED205264</t>
        </is>
      </c>
      <c r="B5153" s="56" t="n">
        <v>45616.47430555556</v>
      </c>
      <c r="C5153" t="inlineStr">
        <is>
          <t>Bluestone Memorial Hospital</t>
        </is>
      </c>
      <c r="D5153" t="n">
        <v>86</v>
      </c>
    </row>
    <row r="5154">
      <c r="A5154" t="inlineStr">
        <is>
          <t>ED205265</t>
        </is>
      </c>
      <c r="B5154" s="56" t="n">
        <v>45616.52569444444</v>
      </c>
      <c r="C5154" t="inlineStr">
        <is>
          <t>Ashby Falls Community Hospital</t>
        </is>
      </c>
      <c r="D5154" t="n">
        <v>41</v>
      </c>
    </row>
    <row r="5155">
      <c r="A5155" t="inlineStr">
        <is>
          <t>ED205266</t>
        </is>
      </c>
      <c r="B5155" s="56" t="n">
        <v>45616.55416666667</v>
      </c>
      <c r="C5155" t="inlineStr">
        <is>
          <t>Bluestone Memorial Hospital</t>
        </is>
      </c>
      <c r="D5155" t="n">
        <v>43</v>
      </c>
    </row>
    <row r="5156">
      <c r="A5156" t="inlineStr">
        <is>
          <t>ED205267</t>
        </is>
      </c>
      <c r="B5156" s="56" t="n">
        <v>45616.56388888889</v>
      </c>
      <c r="C5156" t="inlineStr">
        <is>
          <t>Ashby Falls Community Hospital</t>
        </is>
      </c>
      <c r="D5156" t="n">
        <v>90</v>
      </c>
    </row>
    <row r="5157">
      <c r="A5157" t="inlineStr">
        <is>
          <t>ED205268</t>
        </is>
      </c>
      <c r="B5157" s="56" t="n">
        <v>45616.58402777778</v>
      </c>
      <c r="C5157" t="inlineStr">
        <is>
          <t>Ashby Falls Community Hospital</t>
        </is>
      </c>
      <c r="D5157" t="n">
        <v>153</v>
      </c>
    </row>
    <row r="5158">
      <c r="A5158" t="inlineStr">
        <is>
          <t>ED205269</t>
        </is>
      </c>
      <c r="B5158" s="56" t="n">
        <v>45616.60972222222</v>
      </c>
      <c r="C5158" t="inlineStr">
        <is>
          <t>Ashby Falls Community Hospital</t>
        </is>
      </c>
      <c r="D5158" t="n">
        <v>79</v>
      </c>
    </row>
    <row r="5159">
      <c r="A5159" t="inlineStr">
        <is>
          <t>ED205270</t>
        </is>
      </c>
      <c r="B5159" s="56" t="n">
        <v>45616.64236111111</v>
      </c>
      <c r="C5159" t="inlineStr">
        <is>
          <t>Cedar Ridge Medical Center</t>
        </is>
      </c>
      <c r="D5159" t="n">
        <v>14</v>
      </c>
    </row>
    <row r="5160">
      <c r="A5160" t="inlineStr">
        <is>
          <t>ED205271</t>
        </is>
      </c>
      <c r="B5160" s="56" t="n">
        <v>45616.70555555556</v>
      </c>
      <c r="C5160" t="inlineStr">
        <is>
          <t>Bluestone Memorial Hospital</t>
        </is>
      </c>
      <c r="D5160" t="n">
        <v>48</v>
      </c>
    </row>
    <row r="5161">
      <c r="A5161" t="inlineStr">
        <is>
          <t>ED205272</t>
        </is>
      </c>
      <c r="B5161" s="56" t="n">
        <v>45616.93055555555</v>
      </c>
      <c r="C5161" t="inlineStr">
        <is>
          <t>Bluestone Memorial Hospital</t>
        </is>
      </c>
      <c r="D5161" t="n">
        <v>23</v>
      </c>
    </row>
    <row r="5162">
      <c r="A5162" t="inlineStr">
        <is>
          <t>ED205273</t>
        </is>
      </c>
      <c r="B5162" s="56" t="n">
        <v>45617.0375</v>
      </c>
      <c r="C5162" t="inlineStr">
        <is>
          <t>Bluestone Memorial Hospital</t>
        </is>
      </c>
      <c r="D5162" t="n">
        <v>42</v>
      </c>
    </row>
    <row r="5163">
      <c r="A5163" t="inlineStr">
        <is>
          <t>ED205274</t>
        </is>
      </c>
      <c r="B5163" s="56" t="n">
        <v>45617.12013888889</v>
      </c>
      <c r="C5163" t="inlineStr">
        <is>
          <t>Bluestone Memorial Hospital</t>
        </is>
      </c>
      <c r="D5163" t="n">
        <v>44</v>
      </c>
    </row>
    <row r="5164">
      <c r="A5164" t="inlineStr">
        <is>
          <t>ED205275</t>
        </is>
      </c>
      <c r="B5164" s="56" t="n">
        <v>45617.21458333333</v>
      </c>
      <c r="C5164" t="inlineStr">
        <is>
          <t>Bluestone Memorial Hospital</t>
        </is>
      </c>
      <c r="D5164" t="n">
        <v>59</v>
      </c>
    </row>
    <row r="5165">
      <c r="A5165" t="inlineStr">
        <is>
          <t>ED205276</t>
        </is>
      </c>
      <c r="B5165" s="56" t="n">
        <v>45617.37847222222</v>
      </c>
      <c r="C5165" t="inlineStr">
        <is>
          <t>Bluestone Memorial Hospital</t>
        </is>
      </c>
      <c r="D5165" t="n">
        <v>9</v>
      </c>
    </row>
    <row r="5166">
      <c r="A5166" t="inlineStr">
        <is>
          <t>ED205277</t>
        </is>
      </c>
      <c r="B5166" s="56" t="n">
        <v>45617.39375</v>
      </c>
      <c r="C5166" t="inlineStr">
        <is>
          <t>Bluestone Memorial Hospital</t>
        </is>
      </c>
      <c r="D5166" t="n">
        <v>91</v>
      </c>
    </row>
    <row r="5167">
      <c r="A5167" t="inlineStr">
        <is>
          <t>ED205278</t>
        </is>
      </c>
      <c r="B5167" s="56" t="n">
        <v>45617.49305555555</v>
      </c>
      <c r="C5167" t="inlineStr">
        <is>
          <t>Cedar Ridge Medical Center</t>
        </is>
      </c>
      <c r="D5167" t="n">
        <v>11</v>
      </c>
    </row>
    <row r="5168">
      <c r="A5168" t="inlineStr">
        <is>
          <t>ED205279</t>
        </is>
      </c>
      <c r="B5168" s="56" t="n">
        <v>45617.50347222222</v>
      </c>
      <c r="C5168" t="inlineStr">
        <is>
          <t>Bluestone Memorial Hospital</t>
        </is>
      </c>
      <c r="D5168" t="n">
        <v>59</v>
      </c>
    </row>
    <row r="5169">
      <c r="A5169" t="inlineStr">
        <is>
          <t>ED205280</t>
        </is>
      </c>
      <c r="B5169" s="56" t="n">
        <v>45617.53611111111</v>
      </c>
      <c r="C5169" t="inlineStr">
        <is>
          <t>Bluestone Memorial Hospital</t>
        </is>
      </c>
      <c r="D5169" t="n">
        <v>19</v>
      </c>
    </row>
    <row r="5170">
      <c r="A5170" t="inlineStr">
        <is>
          <t>ED205281</t>
        </is>
      </c>
      <c r="B5170" s="56" t="n">
        <v>45617.58819444444</v>
      </c>
      <c r="C5170" t="inlineStr">
        <is>
          <t>Ashby Falls Community Hospital</t>
        </is>
      </c>
      <c r="D5170" t="n">
        <v>21</v>
      </c>
    </row>
    <row r="5171">
      <c r="A5171" t="inlineStr">
        <is>
          <t>ED205282</t>
        </is>
      </c>
      <c r="B5171" s="56" t="n">
        <v>45617.64027777778</v>
      </c>
      <c r="C5171" t="inlineStr">
        <is>
          <t>Bluestone Memorial Hospital</t>
        </is>
      </c>
      <c r="D5171" t="n">
        <v>48</v>
      </c>
    </row>
    <row r="5172">
      <c r="A5172" t="inlineStr">
        <is>
          <t>ED205283</t>
        </is>
      </c>
      <c r="B5172" s="56" t="n">
        <v>45617.71875</v>
      </c>
      <c r="C5172" t="inlineStr">
        <is>
          <t>Cedar Ridge Medical Center</t>
        </is>
      </c>
      <c r="D5172" t="n">
        <v>31</v>
      </c>
    </row>
    <row r="5173">
      <c r="A5173" t="inlineStr">
        <is>
          <t>ED205284</t>
        </is>
      </c>
      <c r="B5173" s="56" t="n">
        <v>45617.72777777778</v>
      </c>
      <c r="C5173" t="inlineStr">
        <is>
          <t>Bluestone Memorial Hospital</t>
        </is>
      </c>
      <c r="D5173" t="n">
        <v>115</v>
      </c>
    </row>
    <row r="5174">
      <c r="A5174" t="inlineStr">
        <is>
          <t>ED205285</t>
        </is>
      </c>
      <c r="B5174" s="56" t="n">
        <v>45617.79583333333</v>
      </c>
      <c r="C5174" t="inlineStr">
        <is>
          <t>Bluestone Memorial Hospital</t>
        </is>
      </c>
      <c r="D5174" t="n">
        <v>52</v>
      </c>
    </row>
    <row r="5175">
      <c r="A5175" t="inlineStr">
        <is>
          <t>ED205286</t>
        </is>
      </c>
      <c r="B5175" s="56" t="n">
        <v>45617.89097222222</v>
      </c>
      <c r="C5175" t="inlineStr">
        <is>
          <t>Bluestone Memorial Hospital</t>
        </is>
      </c>
      <c r="D5175" t="n">
        <v>39</v>
      </c>
    </row>
    <row r="5176">
      <c r="A5176" t="inlineStr">
        <is>
          <t>ED205287</t>
        </is>
      </c>
      <c r="B5176" s="56" t="n">
        <v>45618.10138888889</v>
      </c>
      <c r="C5176" t="inlineStr">
        <is>
          <t>Bluestone Memorial Hospital</t>
        </is>
      </c>
      <c r="D5176" t="n">
        <v>69</v>
      </c>
    </row>
    <row r="5177">
      <c r="A5177" t="inlineStr">
        <is>
          <t>ED205288</t>
        </is>
      </c>
      <c r="B5177" s="56" t="n">
        <v>45618.34652777778</v>
      </c>
      <c r="C5177" t="inlineStr">
        <is>
          <t>Bluestone Memorial Hospital</t>
        </is>
      </c>
      <c r="D5177" t="n">
        <v>47</v>
      </c>
    </row>
    <row r="5178">
      <c r="A5178" t="inlineStr">
        <is>
          <t>ED205289</t>
        </is>
      </c>
      <c r="B5178" s="56" t="n">
        <v>45618.38055555556</v>
      </c>
      <c r="C5178" t="inlineStr">
        <is>
          <t>Bluestone Memorial Hospital</t>
        </is>
      </c>
      <c r="D5178" t="n">
        <v>59</v>
      </c>
    </row>
    <row r="5179">
      <c r="A5179" t="inlineStr">
        <is>
          <t>ED205290</t>
        </is>
      </c>
      <c r="B5179" s="56" t="n">
        <v>45618.47569444445</v>
      </c>
      <c r="C5179" t="inlineStr">
        <is>
          <t>Bluestone Memorial Hospital</t>
        </is>
      </c>
      <c r="D5179" t="n">
        <v>29</v>
      </c>
    </row>
    <row r="5180">
      <c r="A5180" t="inlineStr">
        <is>
          <t>ED205291</t>
        </is>
      </c>
      <c r="B5180" s="56" t="n">
        <v>45618.51319444444</v>
      </c>
      <c r="C5180" t="inlineStr">
        <is>
          <t>Bluestone Memorial Hospital</t>
        </is>
      </c>
      <c r="D5180" t="n">
        <v>22</v>
      </c>
    </row>
    <row r="5181">
      <c r="A5181" t="inlineStr">
        <is>
          <t>ED205292</t>
        </is>
      </c>
      <c r="B5181" s="56" t="n">
        <v>45618.54027777778</v>
      </c>
      <c r="C5181" t="inlineStr">
        <is>
          <t>Bluestone Memorial Hospital</t>
        </is>
      </c>
      <c r="D5181" t="n">
        <v>15</v>
      </c>
    </row>
    <row r="5182">
      <c r="A5182" t="inlineStr">
        <is>
          <t>ED205293</t>
        </is>
      </c>
      <c r="B5182" s="56" t="n">
        <v>45618.55069444444</v>
      </c>
      <c r="C5182" t="inlineStr">
        <is>
          <t>Bluestone Memorial Hospital</t>
        </is>
      </c>
      <c r="D5182" t="n">
        <v>44</v>
      </c>
    </row>
    <row r="5183">
      <c r="A5183" t="inlineStr">
        <is>
          <t>ED205294</t>
        </is>
      </c>
      <c r="B5183" s="56" t="n">
        <v>45618.55763888889</v>
      </c>
      <c r="C5183" t="inlineStr">
        <is>
          <t>Ashby Falls Community Hospital</t>
        </is>
      </c>
      <c r="D5183" t="n">
        <v>12</v>
      </c>
    </row>
    <row r="5184">
      <c r="A5184" t="inlineStr">
        <is>
          <t>ED205295</t>
        </is>
      </c>
      <c r="B5184" s="56" t="n">
        <v>45618.58402777778</v>
      </c>
      <c r="C5184" t="inlineStr">
        <is>
          <t>Cedar Ridge Medical Center</t>
        </is>
      </c>
      <c r="D5184" t="n">
        <v>42</v>
      </c>
    </row>
    <row r="5185">
      <c r="A5185" t="inlineStr">
        <is>
          <t>ED205296</t>
        </is>
      </c>
      <c r="B5185" s="56" t="n">
        <v>45618.64027777778</v>
      </c>
      <c r="C5185" t="inlineStr">
        <is>
          <t>Bluestone Memorial Hospital</t>
        </is>
      </c>
      <c r="D5185" t="n">
        <v>27</v>
      </c>
    </row>
    <row r="5186">
      <c r="A5186" t="inlineStr">
        <is>
          <t>ED205297</t>
        </is>
      </c>
      <c r="B5186" s="56" t="n">
        <v>45618.65625</v>
      </c>
      <c r="C5186" t="inlineStr">
        <is>
          <t>Bluestone Memorial Hospital</t>
        </is>
      </c>
      <c r="D5186" t="n">
        <v>68</v>
      </c>
    </row>
    <row r="5187">
      <c r="A5187" t="inlineStr">
        <is>
          <t>ED205298</t>
        </is>
      </c>
      <c r="B5187" s="56" t="n">
        <v>45618.67638888889</v>
      </c>
      <c r="C5187" t="inlineStr">
        <is>
          <t>Bluestone Memorial Hospital</t>
        </is>
      </c>
      <c r="D5187" t="n">
        <v>37</v>
      </c>
    </row>
    <row r="5188">
      <c r="A5188" t="inlineStr">
        <is>
          <t>ED205299</t>
        </is>
      </c>
      <c r="B5188" s="56" t="n">
        <v>45618.74652777778</v>
      </c>
      <c r="C5188" t="inlineStr">
        <is>
          <t>Bluestone Memorial Hospital</t>
        </is>
      </c>
      <c r="D5188" t="n">
        <v>47</v>
      </c>
    </row>
    <row r="5189">
      <c r="A5189" t="inlineStr">
        <is>
          <t>ED205300</t>
        </is>
      </c>
      <c r="B5189" s="56" t="n">
        <v>45618.79375</v>
      </c>
      <c r="C5189" t="inlineStr">
        <is>
          <t>Cedar Ridge Medical Center</t>
        </is>
      </c>
      <c r="D5189" t="n">
        <v>68</v>
      </c>
    </row>
    <row r="5190">
      <c r="A5190" t="inlineStr">
        <is>
          <t>ED205301</t>
        </is>
      </c>
      <c r="B5190" s="56" t="n">
        <v>45618.88958333333</v>
      </c>
      <c r="C5190" t="inlineStr">
        <is>
          <t>Bluestone Memorial Hospital</t>
        </is>
      </c>
      <c r="D5190" t="n">
        <v>21</v>
      </c>
    </row>
    <row r="5191">
      <c r="A5191" t="inlineStr">
        <is>
          <t>ED205302</t>
        </is>
      </c>
      <c r="B5191" s="56" t="n">
        <v>45619.00208333333</v>
      </c>
      <c r="C5191" t="inlineStr">
        <is>
          <t>Bluestone Memorial Hospital</t>
        </is>
      </c>
      <c r="D5191" t="n">
        <v>50</v>
      </c>
    </row>
    <row r="5192">
      <c r="A5192" t="inlineStr">
        <is>
          <t>ED205303</t>
        </is>
      </c>
      <c r="B5192" s="56" t="n">
        <v>45619.01736111111</v>
      </c>
      <c r="C5192" t="inlineStr">
        <is>
          <t>Ashby Falls Community Hospital</t>
        </is>
      </c>
      <c r="D5192" t="n">
        <v>35</v>
      </c>
    </row>
    <row r="5193">
      <c r="A5193" t="inlineStr">
        <is>
          <t>ED205304</t>
        </is>
      </c>
      <c r="B5193" s="56" t="n">
        <v>45619.04722222222</v>
      </c>
      <c r="C5193" t="inlineStr">
        <is>
          <t>Bluestone Memorial Hospital</t>
        </is>
      </c>
      <c r="D5193" t="n">
        <v>24</v>
      </c>
    </row>
    <row r="5194">
      <c r="A5194" t="inlineStr">
        <is>
          <t>ED205305</t>
        </is>
      </c>
      <c r="B5194" s="56" t="n">
        <v>45619.1</v>
      </c>
      <c r="C5194" t="inlineStr">
        <is>
          <t>Bluestone Memorial Hospital</t>
        </is>
      </c>
      <c r="D5194" t="n">
        <v>32</v>
      </c>
    </row>
    <row r="5195">
      <c r="A5195" t="inlineStr">
        <is>
          <t>ED205306</t>
        </is>
      </c>
      <c r="B5195" s="56" t="n">
        <v>45619.17430555556</v>
      </c>
      <c r="C5195" t="inlineStr">
        <is>
          <t>Bluestone Memorial Hospital</t>
        </is>
      </c>
      <c r="D5195" t="n">
        <v>17</v>
      </c>
    </row>
    <row r="5196">
      <c r="A5196" t="inlineStr">
        <is>
          <t>ED205307</t>
        </is>
      </c>
      <c r="B5196" s="56" t="n">
        <v>45619.18958333333</v>
      </c>
      <c r="C5196" t="inlineStr">
        <is>
          <t>Bluestone Memorial Hospital</t>
        </is>
      </c>
      <c r="D5196" t="n">
        <v>23</v>
      </c>
    </row>
    <row r="5197">
      <c r="A5197" t="inlineStr">
        <is>
          <t>ED205308</t>
        </is>
      </c>
      <c r="B5197" s="56" t="n">
        <v>45619.24583333333</v>
      </c>
      <c r="C5197" t="inlineStr">
        <is>
          <t>Cedar Ridge Medical Center</t>
        </is>
      </c>
      <c r="D5197" t="n">
        <v>18</v>
      </c>
    </row>
    <row r="5198">
      <c r="A5198" t="inlineStr">
        <is>
          <t>ED205309</t>
        </is>
      </c>
      <c r="B5198" s="56" t="n">
        <v>45619.25763888889</v>
      </c>
      <c r="C5198" t="inlineStr">
        <is>
          <t>Bluestone Memorial Hospital</t>
        </is>
      </c>
      <c r="D5198" t="n">
        <v>42</v>
      </c>
    </row>
    <row r="5199">
      <c r="A5199" t="inlineStr">
        <is>
          <t>ED205310</t>
        </is>
      </c>
      <c r="B5199" s="56" t="n">
        <v>45619.33958333333</v>
      </c>
      <c r="C5199" t="inlineStr">
        <is>
          <t>Bluestone Memorial Hospital</t>
        </is>
      </c>
      <c r="D5199" t="n">
        <v>87</v>
      </c>
    </row>
    <row r="5200">
      <c r="A5200" t="inlineStr">
        <is>
          <t>ED205311</t>
        </is>
      </c>
      <c r="B5200" s="56" t="n">
        <v>45619.37430555555</v>
      </c>
      <c r="C5200" t="inlineStr">
        <is>
          <t>Bluestone Memorial Hospital</t>
        </is>
      </c>
      <c r="D5200" t="n">
        <v>18</v>
      </c>
    </row>
    <row r="5201">
      <c r="A5201" t="inlineStr">
        <is>
          <t>ED205312</t>
        </is>
      </c>
      <c r="B5201" s="56" t="n">
        <v>45619.39652777778</v>
      </c>
      <c r="C5201" t="inlineStr">
        <is>
          <t>Bluestone Memorial Hospital</t>
        </is>
      </c>
      <c r="D5201" t="n">
        <v>74</v>
      </c>
    </row>
    <row r="5202">
      <c r="A5202" t="inlineStr">
        <is>
          <t>ED205313</t>
        </is>
      </c>
      <c r="B5202" s="56" t="n">
        <v>45619.44305555556</v>
      </c>
      <c r="C5202" t="inlineStr">
        <is>
          <t>Ashby Falls Community Hospital</t>
        </is>
      </c>
      <c r="D5202" t="n">
        <v>10</v>
      </c>
    </row>
    <row r="5203">
      <c r="A5203" t="inlineStr">
        <is>
          <t>ED205314</t>
        </is>
      </c>
      <c r="B5203" s="56" t="n">
        <v>45619.46875</v>
      </c>
      <c r="C5203" t="inlineStr">
        <is>
          <t>Cedar Ridge Medical Center</t>
        </is>
      </c>
      <c r="D5203" t="n">
        <v>17</v>
      </c>
    </row>
    <row r="5204">
      <c r="A5204" t="inlineStr">
        <is>
          <t>ED205315</t>
        </is>
      </c>
      <c r="B5204" s="56" t="n">
        <v>45619.49166666667</v>
      </c>
      <c r="C5204" t="inlineStr">
        <is>
          <t>Bluestone Memorial Hospital</t>
        </is>
      </c>
      <c r="D5204" t="n">
        <v>126</v>
      </c>
    </row>
    <row r="5205">
      <c r="A5205" t="inlineStr">
        <is>
          <t>ED205316</t>
        </is>
      </c>
      <c r="B5205" s="56" t="n">
        <v>45619.49930555555</v>
      </c>
      <c r="C5205" t="inlineStr">
        <is>
          <t>Bluestone Memorial Hospital</t>
        </is>
      </c>
      <c r="D5205" t="n">
        <v>65</v>
      </c>
    </row>
    <row r="5206">
      <c r="A5206" t="inlineStr">
        <is>
          <t>ED205317</t>
        </is>
      </c>
      <c r="B5206" s="56" t="n">
        <v>45619.53263888889</v>
      </c>
      <c r="C5206" t="inlineStr">
        <is>
          <t>Ashby Falls Community Hospital</t>
        </is>
      </c>
      <c r="D5206" t="n">
        <v>8</v>
      </c>
    </row>
    <row r="5207">
      <c r="A5207" t="inlineStr">
        <is>
          <t>ED205318</t>
        </is>
      </c>
      <c r="B5207" s="56" t="n">
        <v>45619.56736111111</v>
      </c>
      <c r="C5207" t="inlineStr">
        <is>
          <t>Bluestone Memorial Hospital</t>
        </is>
      </c>
      <c r="D5207" t="n">
        <v>30</v>
      </c>
    </row>
    <row r="5208">
      <c r="A5208" t="inlineStr">
        <is>
          <t>ED205319</t>
        </is>
      </c>
      <c r="B5208" s="56" t="n">
        <v>45619.57013888889</v>
      </c>
      <c r="C5208" t="inlineStr">
        <is>
          <t>Ashby Falls Community Hospital</t>
        </is>
      </c>
      <c r="D5208" t="n">
        <v>6</v>
      </c>
    </row>
    <row r="5209">
      <c r="A5209" t="inlineStr">
        <is>
          <t>ED205320</t>
        </is>
      </c>
      <c r="B5209" s="56" t="n">
        <v>45619.65625</v>
      </c>
      <c r="C5209" t="inlineStr">
        <is>
          <t>Cedar Ridge Medical Center</t>
        </is>
      </c>
      <c r="D5209" t="n">
        <v>56</v>
      </c>
    </row>
    <row r="5210">
      <c r="A5210" t="inlineStr">
        <is>
          <t>ED205321</t>
        </is>
      </c>
      <c r="B5210" s="56" t="n">
        <v>45619.69375</v>
      </c>
      <c r="C5210" t="inlineStr">
        <is>
          <t>Bluestone Memorial Hospital</t>
        </is>
      </c>
      <c r="D5210" t="n">
        <v>46</v>
      </c>
    </row>
    <row r="5211">
      <c r="A5211" t="inlineStr">
        <is>
          <t>ED205322</t>
        </is>
      </c>
      <c r="B5211" s="56" t="n">
        <v>45619.74513888889</v>
      </c>
      <c r="C5211" t="inlineStr">
        <is>
          <t>Bluestone Memorial Hospital</t>
        </is>
      </c>
      <c r="D5211" t="n">
        <v>75</v>
      </c>
    </row>
    <row r="5212">
      <c r="A5212" t="inlineStr">
        <is>
          <t>ED205323</t>
        </is>
      </c>
      <c r="B5212" s="56" t="n">
        <v>45619.86666666667</v>
      </c>
      <c r="C5212" t="inlineStr">
        <is>
          <t>Bluestone Memorial Hospital</t>
        </is>
      </c>
      <c r="D5212" t="n">
        <v>134</v>
      </c>
    </row>
    <row r="5213">
      <c r="A5213" t="inlineStr">
        <is>
          <t>ED205324</t>
        </is>
      </c>
      <c r="B5213" s="56" t="n">
        <v>45620.3</v>
      </c>
      <c r="C5213" t="inlineStr">
        <is>
          <t>Bluestone Memorial Hospital</t>
        </is>
      </c>
      <c r="D5213" t="n">
        <v>8</v>
      </c>
    </row>
    <row r="5214">
      <c r="A5214" t="inlineStr">
        <is>
          <t>ED205325</t>
        </is>
      </c>
      <c r="B5214" s="56" t="n">
        <v>45620.33958333333</v>
      </c>
      <c r="C5214" t="inlineStr">
        <is>
          <t>Cedar Ridge Medical Center</t>
        </is>
      </c>
      <c r="D5214" t="n">
        <v>9</v>
      </c>
    </row>
    <row r="5215">
      <c r="A5215" t="inlineStr">
        <is>
          <t>ED205326</t>
        </is>
      </c>
      <c r="B5215" s="56" t="n">
        <v>45620.37291666667</v>
      </c>
      <c r="C5215" t="inlineStr">
        <is>
          <t>Bluestone Memorial Hospital</t>
        </is>
      </c>
      <c r="D5215" t="n">
        <v>17</v>
      </c>
    </row>
    <row r="5216">
      <c r="A5216" t="inlineStr">
        <is>
          <t>ED205327</t>
        </is>
      </c>
      <c r="B5216" s="56" t="n">
        <v>45620.40347222222</v>
      </c>
      <c r="C5216" t="inlineStr">
        <is>
          <t>Ashby Falls Community Hospital</t>
        </is>
      </c>
      <c r="D5216" t="n">
        <v>31</v>
      </c>
    </row>
    <row r="5217">
      <c r="A5217" t="inlineStr">
        <is>
          <t>ED205328</t>
        </is>
      </c>
      <c r="B5217" s="56" t="n">
        <v>45620.40763888889</v>
      </c>
      <c r="C5217" t="inlineStr">
        <is>
          <t>Cedar Ridge Medical Center</t>
        </is>
      </c>
      <c r="D5217" t="n">
        <v>26</v>
      </c>
    </row>
    <row r="5218">
      <c r="A5218" t="inlineStr">
        <is>
          <t>ED205329</t>
        </is>
      </c>
      <c r="B5218" s="56" t="n">
        <v>45620.50347222222</v>
      </c>
      <c r="C5218" t="inlineStr">
        <is>
          <t>Bluestone Memorial Hospital</t>
        </is>
      </c>
      <c r="D5218" t="n">
        <v>26</v>
      </c>
    </row>
    <row r="5219">
      <c r="A5219" t="inlineStr">
        <is>
          <t>ED205330</t>
        </is>
      </c>
      <c r="B5219" s="56" t="n">
        <v>45620.51736111111</v>
      </c>
      <c r="C5219" t="inlineStr">
        <is>
          <t>Bluestone Memorial Hospital</t>
        </is>
      </c>
      <c r="D5219" t="n">
        <v>28</v>
      </c>
    </row>
    <row r="5220">
      <c r="A5220" t="inlineStr">
        <is>
          <t>ED205331</t>
        </is>
      </c>
      <c r="B5220" s="56" t="n">
        <v>45620.59236111111</v>
      </c>
      <c r="C5220" t="inlineStr">
        <is>
          <t>Bluestone Memorial Hospital</t>
        </is>
      </c>
      <c r="D5220" t="n">
        <v>10</v>
      </c>
    </row>
    <row r="5221">
      <c r="A5221" t="inlineStr">
        <is>
          <t>ED205332</t>
        </is>
      </c>
      <c r="B5221" s="56" t="n">
        <v>45620.69583333333</v>
      </c>
      <c r="C5221" t="inlineStr">
        <is>
          <t>Bluestone Memorial Hospital</t>
        </is>
      </c>
      <c r="D5221" t="n">
        <v>22</v>
      </c>
    </row>
    <row r="5222">
      <c r="A5222" t="inlineStr">
        <is>
          <t>ED205333</t>
        </is>
      </c>
      <c r="B5222" s="56" t="n">
        <v>45620.69930555556</v>
      </c>
      <c r="C5222" t="inlineStr">
        <is>
          <t>Ashby Falls Community Hospital</t>
        </is>
      </c>
      <c r="D5222" t="n">
        <v>44</v>
      </c>
    </row>
    <row r="5223">
      <c r="A5223" t="inlineStr">
        <is>
          <t>ED205334</t>
        </is>
      </c>
      <c r="B5223" s="56" t="n">
        <v>45620.70486111111</v>
      </c>
      <c r="C5223" t="inlineStr">
        <is>
          <t>Bluestone Memorial Hospital</t>
        </is>
      </c>
      <c r="D5223" t="n">
        <v>19</v>
      </c>
    </row>
    <row r="5224">
      <c r="A5224" t="inlineStr">
        <is>
          <t>ED205335</t>
        </is>
      </c>
      <c r="B5224" s="56" t="n">
        <v>45620.75277777778</v>
      </c>
      <c r="C5224" t="inlineStr">
        <is>
          <t>Bluestone Memorial Hospital</t>
        </is>
      </c>
      <c r="D5224" t="n">
        <v>44</v>
      </c>
    </row>
    <row r="5225">
      <c r="A5225" t="inlineStr">
        <is>
          <t>ED205336</t>
        </is>
      </c>
      <c r="B5225" s="56" t="n">
        <v>45620.77430555555</v>
      </c>
      <c r="C5225" t="inlineStr">
        <is>
          <t>Cedar Ridge Medical Center</t>
        </is>
      </c>
      <c r="D5225" t="n">
        <v>43</v>
      </c>
    </row>
    <row r="5226">
      <c r="A5226" t="inlineStr">
        <is>
          <t>ED205337</t>
        </is>
      </c>
      <c r="B5226" s="56" t="n">
        <v>45620.79236111111</v>
      </c>
      <c r="C5226" t="inlineStr">
        <is>
          <t>Bluestone Memorial Hospital</t>
        </is>
      </c>
      <c r="D5226" t="n">
        <v>36</v>
      </c>
    </row>
    <row r="5227">
      <c r="A5227" t="inlineStr">
        <is>
          <t>ED205338</t>
        </is>
      </c>
      <c r="B5227" s="56" t="n">
        <v>45620.79305555556</v>
      </c>
      <c r="C5227" t="inlineStr">
        <is>
          <t>Bluestone Memorial Hospital</t>
        </is>
      </c>
      <c r="D5227" t="n">
        <v>5</v>
      </c>
    </row>
    <row r="5228">
      <c r="A5228" t="inlineStr">
        <is>
          <t>ED205339</t>
        </is>
      </c>
      <c r="B5228" s="56" t="n">
        <v>45620.81597222222</v>
      </c>
      <c r="C5228" t="inlineStr">
        <is>
          <t>Cedar Ridge Medical Center</t>
        </is>
      </c>
      <c r="D5228" t="n">
        <v>47</v>
      </c>
    </row>
    <row r="5229">
      <c r="A5229" t="inlineStr">
        <is>
          <t>ED205340</t>
        </is>
      </c>
      <c r="B5229" s="56" t="n">
        <v>45620.87638888889</v>
      </c>
      <c r="C5229" t="inlineStr">
        <is>
          <t>Bluestone Memorial Hospital</t>
        </is>
      </c>
      <c r="D5229" t="n">
        <v>25</v>
      </c>
    </row>
    <row r="5230">
      <c r="A5230" t="inlineStr">
        <is>
          <t>ED205341</t>
        </is>
      </c>
      <c r="B5230" s="56" t="n">
        <v>45621.01458333333</v>
      </c>
      <c r="C5230" t="inlineStr">
        <is>
          <t>Bluestone Memorial Hospital</t>
        </is>
      </c>
      <c r="D5230" t="n">
        <v>16</v>
      </c>
    </row>
    <row r="5231">
      <c r="A5231" t="inlineStr">
        <is>
          <t>ED205342</t>
        </is>
      </c>
      <c r="B5231" s="56" t="n">
        <v>45621.28611111111</v>
      </c>
      <c r="C5231" t="inlineStr">
        <is>
          <t>Bluestone Memorial Hospital</t>
        </is>
      </c>
      <c r="D5231" t="n">
        <v>17</v>
      </c>
    </row>
    <row r="5232">
      <c r="A5232" t="inlineStr">
        <is>
          <t>ED205343</t>
        </is>
      </c>
      <c r="B5232" s="56" t="n">
        <v>45621.32916666667</v>
      </c>
      <c r="C5232" t="inlineStr">
        <is>
          <t>Bluestone Memorial Hospital</t>
        </is>
      </c>
      <c r="D5232" t="n">
        <v>35</v>
      </c>
    </row>
    <row r="5233">
      <c r="A5233" t="inlineStr">
        <is>
          <t>ED205344</t>
        </is>
      </c>
      <c r="B5233" s="56" t="n">
        <v>45621.36388888889</v>
      </c>
      <c r="C5233" t="inlineStr">
        <is>
          <t>Bluestone Memorial Hospital</t>
        </is>
      </c>
      <c r="D5233" t="n">
        <v>7</v>
      </c>
    </row>
    <row r="5234">
      <c r="A5234" t="inlineStr">
        <is>
          <t>ED205345</t>
        </is>
      </c>
      <c r="B5234" s="56" t="n">
        <v>45621.39166666667</v>
      </c>
      <c r="C5234" t="inlineStr">
        <is>
          <t>Ashby Falls Community Hospital</t>
        </is>
      </c>
      <c r="D5234" t="n">
        <v>60</v>
      </c>
    </row>
    <row r="5235">
      <c r="A5235" t="inlineStr">
        <is>
          <t>ED205346</t>
        </is>
      </c>
      <c r="B5235" s="56" t="n">
        <v>45621.56527777778</v>
      </c>
      <c r="C5235" t="inlineStr">
        <is>
          <t>Bluestone Memorial Hospital</t>
        </is>
      </c>
      <c r="D5235" t="n">
        <v>19</v>
      </c>
    </row>
    <row r="5236">
      <c r="A5236" t="inlineStr">
        <is>
          <t>ED205347</t>
        </is>
      </c>
      <c r="B5236" s="56" t="n">
        <v>45621.625</v>
      </c>
      <c r="C5236" t="inlineStr">
        <is>
          <t>Ashby Falls Community Hospital</t>
        </is>
      </c>
      <c r="D5236" t="n">
        <v>66</v>
      </c>
    </row>
    <row r="5237">
      <c r="A5237" t="inlineStr">
        <is>
          <t>ED205348</t>
        </is>
      </c>
      <c r="B5237" s="56" t="n">
        <v>45621.64722222222</v>
      </c>
      <c r="C5237" t="inlineStr">
        <is>
          <t>Bluestone Memorial Hospital</t>
        </is>
      </c>
      <c r="D5237" t="n">
        <v>42</v>
      </c>
    </row>
    <row r="5238">
      <c r="A5238" t="inlineStr">
        <is>
          <t>ED205349</t>
        </is>
      </c>
      <c r="B5238" s="56" t="n">
        <v>45621.69513888889</v>
      </c>
      <c r="C5238" t="inlineStr">
        <is>
          <t>Bluestone Memorial Hospital</t>
        </is>
      </c>
      <c r="D5238" t="n">
        <v>64</v>
      </c>
    </row>
    <row r="5239">
      <c r="A5239" t="inlineStr">
        <is>
          <t>ED205350</t>
        </is>
      </c>
      <c r="B5239" s="56" t="n">
        <v>45621.71944444445</v>
      </c>
      <c r="C5239" t="inlineStr">
        <is>
          <t>Bluestone Memorial Hospital</t>
        </is>
      </c>
      <c r="D5239" t="n">
        <v>39</v>
      </c>
    </row>
    <row r="5240">
      <c r="A5240" t="inlineStr">
        <is>
          <t>ED205351</t>
        </is>
      </c>
      <c r="B5240" s="56" t="n">
        <v>45621.72083333333</v>
      </c>
      <c r="C5240" t="inlineStr">
        <is>
          <t>Bluestone Memorial Hospital</t>
        </is>
      </c>
      <c r="D5240" t="n">
        <v>18</v>
      </c>
    </row>
    <row r="5241">
      <c r="A5241" t="inlineStr">
        <is>
          <t>ED205352</t>
        </is>
      </c>
      <c r="B5241" s="56" t="n">
        <v>45621.74236111111</v>
      </c>
      <c r="C5241" t="inlineStr">
        <is>
          <t>Bluestone Memorial Hospital</t>
        </is>
      </c>
      <c r="D5241" t="n">
        <v>33</v>
      </c>
    </row>
    <row r="5242">
      <c r="A5242" t="inlineStr">
        <is>
          <t>ED205353</t>
        </is>
      </c>
      <c r="B5242" s="56" t="n">
        <v>45621.77430555555</v>
      </c>
      <c r="C5242" t="inlineStr">
        <is>
          <t>Cedar Ridge Medical Center</t>
        </is>
      </c>
      <c r="D5242" t="n">
        <v>61</v>
      </c>
    </row>
    <row r="5243">
      <c r="A5243" t="inlineStr">
        <is>
          <t>ED205354</t>
        </is>
      </c>
      <c r="B5243" s="56" t="n">
        <v>45621.79236111111</v>
      </c>
      <c r="C5243" t="inlineStr">
        <is>
          <t>Bluestone Memorial Hospital</t>
        </is>
      </c>
      <c r="D5243" t="n">
        <v>34</v>
      </c>
    </row>
    <row r="5244">
      <c r="A5244" t="inlineStr">
        <is>
          <t>ED205355</t>
        </is>
      </c>
      <c r="B5244" s="56" t="n">
        <v>45621.88402777778</v>
      </c>
      <c r="C5244" t="inlineStr">
        <is>
          <t>Ashby Falls Community Hospital</t>
        </is>
      </c>
      <c r="D5244" t="n">
        <v>54</v>
      </c>
    </row>
    <row r="5245">
      <c r="A5245" t="inlineStr">
        <is>
          <t>ED205356</t>
        </is>
      </c>
      <c r="B5245" s="56" t="n">
        <v>45621.90347222222</v>
      </c>
      <c r="C5245" t="inlineStr">
        <is>
          <t>Bluestone Memorial Hospital</t>
        </is>
      </c>
      <c r="D5245" t="n">
        <v>46</v>
      </c>
    </row>
    <row r="5246">
      <c r="A5246" t="inlineStr">
        <is>
          <t>ED205357</t>
        </is>
      </c>
      <c r="B5246" s="56" t="n">
        <v>45621.90416666667</v>
      </c>
      <c r="C5246" t="inlineStr">
        <is>
          <t>Bluestone Memorial Hospital</t>
        </is>
      </c>
      <c r="D5246" t="n">
        <v>72</v>
      </c>
    </row>
    <row r="5247">
      <c r="A5247" t="inlineStr">
        <is>
          <t>ED205358</t>
        </is>
      </c>
      <c r="B5247" s="56" t="n">
        <v>45621.90902777778</v>
      </c>
      <c r="C5247" t="inlineStr">
        <is>
          <t>Bluestone Memorial Hospital</t>
        </is>
      </c>
      <c r="D5247" t="n">
        <v>29</v>
      </c>
    </row>
    <row r="5248">
      <c r="A5248" t="inlineStr">
        <is>
          <t>ED205359</t>
        </is>
      </c>
      <c r="B5248" s="56" t="n">
        <v>45622.03611111111</v>
      </c>
      <c r="C5248" t="inlineStr">
        <is>
          <t>Bluestone Memorial Hospital</t>
        </is>
      </c>
      <c r="D5248" t="n">
        <v>43</v>
      </c>
    </row>
    <row r="5249">
      <c r="A5249" t="inlineStr">
        <is>
          <t>ED205360</t>
        </is>
      </c>
      <c r="B5249" s="56" t="n">
        <v>45622.04305555556</v>
      </c>
      <c r="C5249" t="inlineStr">
        <is>
          <t>Ashby Falls Community Hospital</t>
        </is>
      </c>
      <c r="D5249" t="n">
        <v>34</v>
      </c>
    </row>
    <row r="5250">
      <c r="A5250" t="inlineStr">
        <is>
          <t>ED205361</t>
        </is>
      </c>
      <c r="B5250" s="56" t="n">
        <v>45622.19027777778</v>
      </c>
      <c r="C5250" t="inlineStr">
        <is>
          <t>Bluestone Memorial Hospital</t>
        </is>
      </c>
      <c r="D5250" t="n">
        <v>17</v>
      </c>
    </row>
    <row r="5251">
      <c r="A5251" t="inlineStr">
        <is>
          <t>ED205362</t>
        </is>
      </c>
      <c r="B5251" s="56" t="n">
        <v>45622.29166666666</v>
      </c>
      <c r="C5251" t="inlineStr">
        <is>
          <t>Bluestone Memorial Hospital</t>
        </is>
      </c>
      <c r="D5251" t="n">
        <v>57</v>
      </c>
    </row>
    <row r="5252">
      <c r="A5252" t="inlineStr">
        <is>
          <t>ED205363</t>
        </is>
      </c>
      <c r="B5252" s="56" t="n">
        <v>45622.32708333333</v>
      </c>
      <c r="C5252" t="inlineStr">
        <is>
          <t>Ashby Falls Community Hospital</t>
        </is>
      </c>
      <c r="D5252" t="n">
        <v>92</v>
      </c>
    </row>
    <row r="5253">
      <c r="A5253" t="inlineStr">
        <is>
          <t>ED205364</t>
        </is>
      </c>
      <c r="B5253" s="56" t="n">
        <v>45622.40833333333</v>
      </c>
      <c r="C5253" t="inlineStr">
        <is>
          <t>Bluestone Memorial Hospital</t>
        </is>
      </c>
      <c r="D5253" t="n">
        <v>58</v>
      </c>
    </row>
    <row r="5254">
      <c r="A5254" t="inlineStr">
        <is>
          <t>ED205365</t>
        </is>
      </c>
      <c r="B5254" s="56" t="n">
        <v>45622.42083333333</v>
      </c>
      <c r="C5254" t="inlineStr">
        <is>
          <t>Ashby Falls Community Hospital</t>
        </is>
      </c>
      <c r="D5254" t="n">
        <v>111</v>
      </c>
    </row>
    <row r="5255">
      <c r="A5255" t="inlineStr">
        <is>
          <t>ED205366</t>
        </is>
      </c>
      <c r="B5255" s="56" t="n">
        <v>45622.46666666667</v>
      </c>
      <c r="C5255" t="inlineStr">
        <is>
          <t>Cedar Ridge Medical Center</t>
        </is>
      </c>
      <c r="D5255" t="n">
        <v>65</v>
      </c>
    </row>
    <row r="5256">
      <c r="A5256" t="inlineStr">
        <is>
          <t>ED205367</t>
        </is>
      </c>
      <c r="B5256" s="56" t="n">
        <v>45622.50138888889</v>
      </c>
      <c r="C5256" t="inlineStr">
        <is>
          <t>Cedar Ridge Medical Center</t>
        </is>
      </c>
      <c r="D5256" t="n">
        <v>24</v>
      </c>
    </row>
    <row r="5257">
      <c r="A5257" t="inlineStr">
        <is>
          <t>ED205368</t>
        </is>
      </c>
      <c r="B5257" s="56" t="n">
        <v>45622.51736111111</v>
      </c>
      <c r="C5257" t="inlineStr">
        <is>
          <t>Cedar Ridge Medical Center</t>
        </is>
      </c>
      <c r="D5257" t="n">
        <v>39</v>
      </c>
    </row>
    <row r="5258">
      <c r="A5258" t="inlineStr">
        <is>
          <t>ED205369</t>
        </is>
      </c>
      <c r="B5258" s="56" t="n">
        <v>45622.54444444444</v>
      </c>
      <c r="C5258" t="inlineStr">
        <is>
          <t>Bluestone Memorial Hospital</t>
        </is>
      </c>
      <c r="D5258" t="n">
        <v>28</v>
      </c>
    </row>
    <row r="5259">
      <c r="A5259" t="inlineStr">
        <is>
          <t>ED205370</t>
        </is>
      </c>
      <c r="B5259" s="56" t="n">
        <v>45622.5875</v>
      </c>
      <c r="C5259" t="inlineStr">
        <is>
          <t>Bluestone Memorial Hospital</t>
        </is>
      </c>
      <c r="D5259" t="n">
        <v>187</v>
      </c>
    </row>
    <row r="5260">
      <c r="A5260" t="inlineStr">
        <is>
          <t>ED205371</t>
        </is>
      </c>
      <c r="B5260" s="56" t="n">
        <v>45622.60069444445</v>
      </c>
      <c r="C5260" t="inlineStr">
        <is>
          <t>Ashby Falls Community Hospital</t>
        </is>
      </c>
      <c r="D5260" t="n">
        <v>46</v>
      </c>
    </row>
    <row r="5261">
      <c r="A5261" t="inlineStr">
        <is>
          <t>ED205372</t>
        </is>
      </c>
      <c r="B5261" s="56" t="n">
        <v>45622.7</v>
      </c>
      <c r="C5261" t="inlineStr">
        <is>
          <t>Ashby Falls Community Hospital</t>
        </is>
      </c>
      <c r="D5261" t="n">
        <v>17</v>
      </c>
    </row>
    <row r="5262">
      <c r="A5262" t="inlineStr">
        <is>
          <t>ED205373</t>
        </is>
      </c>
      <c r="B5262" s="56" t="n">
        <v>45622.71666666667</v>
      </c>
      <c r="C5262" t="inlineStr">
        <is>
          <t>Ashby Falls Community Hospital</t>
        </is>
      </c>
      <c r="D5262" t="n">
        <v>11</v>
      </c>
    </row>
    <row r="5263">
      <c r="A5263" t="inlineStr">
        <is>
          <t>ED205374</t>
        </is>
      </c>
      <c r="B5263" s="56" t="n">
        <v>45622.74027777778</v>
      </c>
      <c r="C5263" t="inlineStr">
        <is>
          <t>Cedar Ridge Medical Center</t>
        </is>
      </c>
      <c r="D5263" t="n">
        <v>71</v>
      </c>
    </row>
    <row r="5264">
      <c r="A5264" t="inlineStr">
        <is>
          <t>ED205375</t>
        </is>
      </c>
      <c r="B5264" s="56" t="n">
        <v>45622.74513888889</v>
      </c>
      <c r="C5264" t="inlineStr">
        <is>
          <t>Bluestone Memorial Hospital</t>
        </is>
      </c>
      <c r="D5264" t="n">
        <v>75</v>
      </c>
    </row>
    <row r="5265">
      <c r="A5265" t="inlineStr">
        <is>
          <t>ED205376</t>
        </is>
      </c>
      <c r="B5265" s="56" t="n">
        <v>45622.87569444445</v>
      </c>
      <c r="C5265" t="inlineStr">
        <is>
          <t>Bluestone Memorial Hospital</t>
        </is>
      </c>
      <c r="D5265" t="n">
        <v>23</v>
      </c>
    </row>
    <row r="5266">
      <c r="A5266" t="inlineStr">
        <is>
          <t>ED205377</t>
        </is>
      </c>
      <c r="B5266" s="56" t="n">
        <v>45622.87708333333</v>
      </c>
      <c r="C5266" t="inlineStr">
        <is>
          <t>Bluestone Memorial Hospital</t>
        </is>
      </c>
      <c r="D5266" t="n">
        <v>65</v>
      </c>
    </row>
    <row r="5267">
      <c r="A5267" t="inlineStr">
        <is>
          <t>ED205378</t>
        </is>
      </c>
      <c r="B5267" s="56" t="n">
        <v>45622.88263888889</v>
      </c>
      <c r="C5267" t="inlineStr">
        <is>
          <t>Bluestone Memorial Hospital</t>
        </is>
      </c>
      <c r="D5267" t="n">
        <v>35</v>
      </c>
    </row>
    <row r="5268">
      <c r="A5268" t="inlineStr">
        <is>
          <t>ED205379</t>
        </is>
      </c>
      <c r="B5268" s="56" t="n">
        <v>45622.89930555555</v>
      </c>
      <c r="C5268" t="inlineStr">
        <is>
          <t>Bluestone Memorial Hospital</t>
        </is>
      </c>
      <c r="D5268" t="n">
        <v>10</v>
      </c>
    </row>
    <row r="5269">
      <c r="A5269" t="inlineStr">
        <is>
          <t>ED205380</t>
        </is>
      </c>
      <c r="B5269" s="56" t="n">
        <v>45622.91041666667</v>
      </c>
      <c r="C5269" t="inlineStr">
        <is>
          <t>Cedar Ridge Medical Center</t>
        </is>
      </c>
      <c r="D5269" t="n">
        <v>14</v>
      </c>
    </row>
    <row r="5270">
      <c r="A5270" t="inlineStr">
        <is>
          <t>ED205381</t>
        </is>
      </c>
      <c r="B5270" s="56" t="n">
        <v>45622.91875</v>
      </c>
      <c r="C5270" t="inlineStr">
        <is>
          <t>Bluestone Memorial Hospital</t>
        </is>
      </c>
      <c r="D5270" t="n">
        <v>37</v>
      </c>
    </row>
    <row r="5271">
      <c r="A5271" t="inlineStr">
        <is>
          <t>ED205382</t>
        </is>
      </c>
      <c r="B5271" s="56" t="n">
        <v>45622.92361111111</v>
      </c>
      <c r="C5271" t="inlineStr">
        <is>
          <t>Cedar Ridge Medical Center</t>
        </is>
      </c>
      <c r="D5271" t="n">
        <v>16</v>
      </c>
    </row>
    <row r="5272">
      <c r="A5272" t="inlineStr">
        <is>
          <t>ED205383</t>
        </is>
      </c>
      <c r="B5272" s="56" t="n">
        <v>45623.00763888889</v>
      </c>
      <c r="C5272" t="inlineStr">
        <is>
          <t>Bluestone Memorial Hospital</t>
        </is>
      </c>
      <c r="D5272" t="n">
        <v>15</v>
      </c>
    </row>
    <row r="5273">
      <c r="A5273" t="inlineStr">
        <is>
          <t>ED205384</t>
        </is>
      </c>
      <c r="B5273" s="56" t="n">
        <v>45623.12361111111</v>
      </c>
      <c r="C5273" t="inlineStr">
        <is>
          <t>Bluestone Memorial Hospital</t>
        </is>
      </c>
      <c r="D5273" t="n">
        <v>62</v>
      </c>
    </row>
    <row r="5274">
      <c r="A5274" t="inlineStr">
        <is>
          <t>ED205385</t>
        </is>
      </c>
      <c r="B5274" s="56" t="n">
        <v>45623.25208333333</v>
      </c>
      <c r="C5274" t="inlineStr">
        <is>
          <t>Cedar Ridge Medical Center</t>
        </is>
      </c>
      <c r="D5274" t="n">
        <v>35</v>
      </c>
    </row>
    <row r="5275">
      <c r="A5275" t="inlineStr">
        <is>
          <t>ED205386</t>
        </is>
      </c>
      <c r="B5275" s="56" t="n">
        <v>45623.36805555555</v>
      </c>
      <c r="C5275" t="inlineStr">
        <is>
          <t>Ashby Falls Community Hospital</t>
        </is>
      </c>
      <c r="D5275" t="n">
        <v>2</v>
      </c>
    </row>
    <row r="5276">
      <c r="A5276" t="inlineStr">
        <is>
          <t>ED205387</t>
        </is>
      </c>
      <c r="B5276" s="56" t="n">
        <v>45623.38958333333</v>
      </c>
      <c r="C5276" t="inlineStr">
        <is>
          <t>Bluestone Memorial Hospital</t>
        </is>
      </c>
      <c r="D5276" t="n">
        <v>38</v>
      </c>
    </row>
    <row r="5277">
      <c r="A5277" t="inlineStr">
        <is>
          <t>ED205388</t>
        </is>
      </c>
      <c r="B5277" s="56" t="n">
        <v>45623.42291666667</v>
      </c>
      <c r="C5277" t="inlineStr">
        <is>
          <t>Bluestone Memorial Hospital</t>
        </is>
      </c>
      <c r="D5277" t="n">
        <v>84</v>
      </c>
    </row>
    <row r="5278">
      <c r="A5278" t="inlineStr">
        <is>
          <t>ED205389</t>
        </is>
      </c>
      <c r="B5278" s="56" t="n">
        <v>45623.46111111111</v>
      </c>
      <c r="C5278" t="inlineStr">
        <is>
          <t>Bluestone Memorial Hospital</t>
        </is>
      </c>
      <c r="D5278" t="n">
        <v>55</v>
      </c>
    </row>
    <row r="5279">
      <c r="A5279" t="inlineStr">
        <is>
          <t>ED205390</t>
        </is>
      </c>
      <c r="B5279" s="56" t="n">
        <v>45623.47569444445</v>
      </c>
      <c r="C5279" t="inlineStr">
        <is>
          <t>Bluestone Memorial Hospital</t>
        </is>
      </c>
      <c r="D5279" t="n">
        <v>15</v>
      </c>
    </row>
    <row r="5280">
      <c r="A5280" t="inlineStr">
        <is>
          <t>ED205391</t>
        </is>
      </c>
      <c r="B5280" s="56" t="n">
        <v>45623.5</v>
      </c>
      <c r="C5280" t="inlineStr">
        <is>
          <t>Cedar Ridge Medical Center</t>
        </is>
      </c>
      <c r="D5280" t="n">
        <v>88</v>
      </c>
    </row>
    <row r="5281">
      <c r="A5281" t="inlineStr">
        <is>
          <t>ED205392</t>
        </is>
      </c>
      <c r="B5281" s="56" t="n">
        <v>45623.53611111111</v>
      </c>
      <c r="C5281" t="inlineStr">
        <is>
          <t>Bluestone Memorial Hospital</t>
        </is>
      </c>
      <c r="D5281" t="n">
        <v>78</v>
      </c>
    </row>
    <row r="5282">
      <c r="A5282" t="inlineStr">
        <is>
          <t>ED205393</t>
        </is>
      </c>
      <c r="B5282" s="56" t="n">
        <v>45623.54236111111</v>
      </c>
      <c r="C5282" t="inlineStr">
        <is>
          <t>Bluestone Memorial Hospital</t>
        </is>
      </c>
      <c r="D5282" t="n">
        <v>37</v>
      </c>
    </row>
    <row r="5283">
      <c r="A5283" t="inlineStr">
        <is>
          <t>ED205394</t>
        </is>
      </c>
      <c r="B5283" s="56" t="n">
        <v>45623.57152777778</v>
      </c>
      <c r="C5283" t="inlineStr">
        <is>
          <t>Bluestone Memorial Hospital</t>
        </is>
      </c>
      <c r="D5283" t="n">
        <v>44</v>
      </c>
    </row>
    <row r="5284">
      <c r="A5284" t="inlineStr">
        <is>
          <t>ED205395</t>
        </is>
      </c>
      <c r="B5284" s="56" t="n">
        <v>45623.67361111111</v>
      </c>
      <c r="C5284" t="inlineStr">
        <is>
          <t>Bluestone Memorial Hospital</t>
        </is>
      </c>
      <c r="D5284" t="n">
        <v>19</v>
      </c>
    </row>
    <row r="5285">
      <c r="A5285" t="inlineStr">
        <is>
          <t>ED205396</t>
        </is>
      </c>
      <c r="B5285" s="56" t="n">
        <v>45623.72777777778</v>
      </c>
      <c r="C5285" t="inlineStr">
        <is>
          <t>Bluestone Memorial Hospital</t>
        </is>
      </c>
      <c r="D5285" t="n">
        <v>21</v>
      </c>
    </row>
    <row r="5286">
      <c r="A5286" t="inlineStr">
        <is>
          <t>ED205397</t>
        </is>
      </c>
      <c r="B5286" s="56" t="n">
        <v>45623.73680555556</v>
      </c>
      <c r="C5286" t="inlineStr">
        <is>
          <t>Bluestone Memorial Hospital</t>
        </is>
      </c>
      <c r="D5286" t="n">
        <v>112</v>
      </c>
    </row>
    <row r="5287">
      <c r="A5287" t="inlineStr">
        <is>
          <t>ED205398</t>
        </is>
      </c>
      <c r="B5287" s="56" t="n">
        <v>45623.74583333333</v>
      </c>
      <c r="C5287" t="inlineStr">
        <is>
          <t>Bluestone Memorial Hospital</t>
        </is>
      </c>
      <c r="D5287" t="n">
        <v>41</v>
      </c>
    </row>
    <row r="5288">
      <c r="A5288" t="inlineStr">
        <is>
          <t>ED205399</t>
        </is>
      </c>
      <c r="B5288" s="56" t="n">
        <v>45623.80208333334</v>
      </c>
      <c r="C5288" t="inlineStr">
        <is>
          <t>Ashby Falls Community Hospital</t>
        </is>
      </c>
      <c r="D5288" t="n">
        <v>37</v>
      </c>
    </row>
    <row r="5289">
      <c r="A5289" t="inlineStr">
        <is>
          <t>ED205400</t>
        </is>
      </c>
      <c r="B5289" s="56" t="n">
        <v>45623.82291666666</v>
      </c>
      <c r="C5289" t="inlineStr">
        <is>
          <t>Bluestone Memorial Hospital</t>
        </is>
      </c>
      <c r="D5289" t="n">
        <v>52</v>
      </c>
    </row>
    <row r="5290">
      <c r="A5290" t="inlineStr">
        <is>
          <t>ED205402</t>
        </is>
      </c>
      <c r="B5290" s="56" t="n">
        <v>45623.87847222222</v>
      </c>
      <c r="C5290" t="inlineStr">
        <is>
          <t>Bluestone Memorial Hospital</t>
        </is>
      </c>
      <c r="D5290" t="n">
        <v>56</v>
      </c>
    </row>
    <row r="5291">
      <c r="A5291" t="inlineStr">
        <is>
          <t>ED205403</t>
        </is>
      </c>
      <c r="B5291" s="56" t="n">
        <v>45623.94305555556</v>
      </c>
      <c r="C5291" t="inlineStr">
        <is>
          <t>Bluestone Memorial Hospital</t>
        </is>
      </c>
      <c r="D5291" t="n">
        <v>27</v>
      </c>
    </row>
    <row r="5292">
      <c r="A5292" t="inlineStr">
        <is>
          <t>ED205404</t>
        </is>
      </c>
      <c r="B5292" s="56" t="n">
        <v>45624.15</v>
      </c>
      <c r="C5292" t="inlineStr">
        <is>
          <t>Bluestone Memorial Hospital</t>
        </is>
      </c>
      <c r="D5292" t="n">
        <v>14</v>
      </c>
    </row>
    <row r="5293">
      <c r="A5293" t="inlineStr">
        <is>
          <t>ED205405</t>
        </is>
      </c>
      <c r="B5293" s="56" t="n">
        <v>45624.21180555555</v>
      </c>
      <c r="C5293" t="inlineStr">
        <is>
          <t>Bluestone Memorial Hospital</t>
        </is>
      </c>
      <c r="D5293" t="n">
        <v>10</v>
      </c>
    </row>
    <row r="5294">
      <c r="A5294" t="inlineStr">
        <is>
          <t>ED205406</t>
        </is>
      </c>
      <c r="B5294" s="56" t="n">
        <v>45624.29791666667</v>
      </c>
      <c r="C5294" t="inlineStr">
        <is>
          <t>Cedar Ridge Medical Center</t>
        </is>
      </c>
      <c r="D5294" t="n">
        <v>36</v>
      </c>
    </row>
    <row r="5295">
      <c r="A5295" t="inlineStr">
        <is>
          <t>ED205407</t>
        </is>
      </c>
      <c r="B5295" s="56" t="n">
        <v>45624.33958333333</v>
      </c>
      <c r="C5295" t="inlineStr">
        <is>
          <t>Bluestone Memorial Hospital</t>
        </is>
      </c>
      <c r="D5295" t="n">
        <v>14</v>
      </c>
    </row>
    <row r="5296">
      <c r="A5296" t="inlineStr">
        <is>
          <t>ED205408</t>
        </is>
      </c>
      <c r="B5296" s="56" t="n">
        <v>45624.34375</v>
      </c>
      <c r="C5296" t="inlineStr">
        <is>
          <t>Bluestone Memorial Hospital</t>
        </is>
      </c>
      <c r="D5296" t="n">
        <v>80</v>
      </c>
    </row>
    <row r="5297">
      <c r="A5297" t="inlineStr">
        <is>
          <t>ED205409</t>
        </is>
      </c>
      <c r="B5297" s="56" t="n">
        <v>45624.36041666667</v>
      </c>
      <c r="C5297" t="inlineStr">
        <is>
          <t>Bluestone Memorial Hospital</t>
        </is>
      </c>
      <c r="D5297" t="n">
        <v>23</v>
      </c>
    </row>
    <row r="5298">
      <c r="A5298" t="inlineStr">
        <is>
          <t>ED205410</t>
        </is>
      </c>
      <c r="B5298" s="56" t="n">
        <v>45624.38819444444</v>
      </c>
      <c r="C5298" t="inlineStr">
        <is>
          <t>Bluestone Memorial Hospital</t>
        </is>
      </c>
      <c r="D5298" t="n">
        <v>14</v>
      </c>
    </row>
    <row r="5299">
      <c r="A5299" t="inlineStr">
        <is>
          <t>ED205411</t>
        </is>
      </c>
      <c r="B5299" s="56" t="n">
        <v>45624.40069444444</v>
      </c>
      <c r="C5299" t="inlineStr">
        <is>
          <t>Ashby Falls Community Hospital</t>
        </is>
      </c>
      <c r="D5299" t="n">
        <v>44</v>
      </c>
    </row>
    <row r="5300">
      <c r="A5300" t="inlineStr">
        <is>
          <t>ED205412</t>
        </is>
      </c>
      <c r="B5300" s="56" t="n">
        <v>45624.44444444445</v>
      </c>
      <c r="C5300" t="inlineStr">
        <is>
          <t>Bluestone Memorial Hospital</t>
        </is>
      </c>
      <c r="D5300" t="n">
        <v>33</v>
      </c>
    </row>
    <row r="5301">
      <c r="A5301" t="inlineStr">
        <is>
          <t>ED205413</t>
        </is>
      </c>
      <c r="B5301" s="56" t="n">
        <v>45624.65347222222</v>
      </c>
      <c r="C5301" t="inlineStr">
        <is>
          <t>Cedar Ridge Medical Center</t>
        </is>
      </c>
      <c r="D5301" t="n">
        <v>8</v>
      </c>
    </row>
    <row r="5302">
      <c r="A5302" t="inlineStr">
        <is>
          <t>ED205414</t>
        </is>
      </c>
      <c r="B5302" s="56" t="n">
        <v>45624.74444444444</v>
      </c>
      <c r="C5302" t="inlineStr">
        <is>
          <t>Bluestone Memorial Hospital</t>
        </is>
      </c>
      <c r="D5302" t="n">
        <v>79</v>
      </c>
    </row>
    <row r="5303">
      <c r="A5303" t="inlineStr">
        <is>
          <t>ED205416</t>
        </is>
      </c>
      <c r="B5303" s="56" t="n">
        <v>45624.87152777778</v>
      </c>
      <c r="C5303" t="inlineStr">
        <is>
          <t>Bluestone Memorial Hospital</t>
        </is>
      </c>
      <c r="D5303" t="n">
        <v>50</v>
      </c>
    </row>
    <row r="5304">
      <c r="A5304" t="inlineStr">
        <is>
          <t>ED205417</t>
        </is>
      </c>
      <c r="B5304" s="56" t="n">
        <v>45624.89791666667</v>
      </c>
      <c r="C5304" t="inlineStr">
        <is>
          <t>Bluestone Memorial Hospital</t>
        </is>
      </c>
      <c r="D5304" t="n">
        <v>69</v>
      </c>
    </row>
    <row r="5305">
      <c r="A5305" t="inlineStr">
        <is>
          <t>ED205418</t>
        </is>
      </c>
      <c r="B5305" s="56" t="n">
        <v>45625.17569444444</v>
      </c>
      <c r="C5305" t="inlineStr">
        <is>
          <t>Ashby Falls Community Hospital</t>
        </is>
      </c>
      <c r="D5305" t="n">
        <v>34</v>
      </c>
    </row>
    <row r="5306">
      <c r="A5306" t="inlineStr">
        <is>
          <t>ED205419</t>
        </is>
      </c>
      <c r="B5306" s="56" t="n">
        <v>45625.3125</v>
      </c>
      <c r="C5306" t="inlineStr">
        <is>
          <t>Bluestone Memorial Hospital</t>
        </is>
      </c>
      <c r="D5306" t="n">
        <v>34</v>
      </c>
    </row>
    <row r="5307">
      <c r="A5307" t="inlineStr">
        <is>
          <t>ED205420</t>
        </is>
      </c>
      <c r="B5307" s="56" t="n">
        <v>45625.31458333333</v>
      </c>
      <c r="C5307" t="inlineStr">
        <is>
          <t>Bluestone Memorial Hospital</t>
        </is>
      </c>
      <c r="D5307" t="n">
        <v>16</v>
      </c>
    </row>
    <row r="5308">
      <c r="A5308" t="inlineStr">
        <is>
          <t>ED205421</t>
        </is>
      </c>
      <c r="B5308" s="56" t="n">
        <v>45625.32569444444</v>
      </c>
      <c r="C5308" t="inlineStr">
        <is>
          <t>Bluestone Memorial Hospital</t>
        </is>
      </c>
      <c r="D5308" t="n">
        <v>28</v>
      </c>
    </row>
    <row r="5309">
      <c r="A5309" t="inlineStr">
        <is>
          <t>ED205422</t>
        </is>
      </c>
      <c r="B5309" s="56" t="n">
        <v>45625.38125</v>
      </c>
      <c r="C5309" t="inlineStr">
        <is>
          <t>Bluestone Memorial Hospital</t>
        </is>
      </c>
      <c r="D5309" t="n">
        <v>49</v>
      </c>
    </row>
    <row r="5310">
      <c r="A5310" t="inlineStr">
        <is>
          <t>ED205423</t>
        </is>
      </c>
      <c r="B5310" s="56" t="n">
        <v>45625.38819444444</v>
      </c>
      <c r="C5310" t="inlineStr">
        <is>
          <t>Bluestone Memorial Hospital</t>
        </is>
      </c>
      <c r="D5310" t="n">
        <v>78</v>
      </c>
    </row>
    <row r="5311">
      <c r="A5311" t="inlineStr">
        <is>
          <t>ED205424</t>
        </is>
      </c>
      <c r="B5311" s="56" t="n">
        <v>45625.39722222222</v>
      </c>
      <c r="C5311" t="inlineStr">
        <is>
          <t>Bluestone Memorial Hospital</t>
        </is>
      </c>
      <c r="D5311" t="n">
        <v>21</v>
      </c>
    </row>
    <row r="5312">
      <c r="A5312" t="inlineStr">
        <is>
          <t>ED205425</t>
        </is>
      </c>
      <c r="B5312" s="56" t="n">
        <v>45625.41180555556</v>
      </c>
      <c r="C5312" t="inlineStr">
        <is>
          <t>Bluestone Memorial Hospital</t>
        </is>
      </c>
      <c r="D5312" t="n">
        <v>11</v>
      </c>
    </row>
    <row r="5313">
      <c r="A5313" t="inlineStr">
        <is>
          <t>ED205426</t>
        </is>
      </c>
      <c r="B5313" s="56" t="n">
        <v>45625.46111111111</v>
      </c>
      <c r="C5313" t="inlineStr">
        <is>
          <t>Cedar Ridge Medical Center</t>
        </is>
      </c>
      <c r="D5313" t="n">
        <v>67</v>
      </c>
    </row>
    <row r="5314">
      <c r="A5314" t="inlineStr">
        <is>
          <t>ED205427</t>
        </is>
      </c>
      <c r="B5314" s="56" t="n">
        <v>45625.46388888889</v>
      </c>
      <c r="C5314" t="inlineStr">
        <is>
          <t>Cedar Ridge Medical Center</t>
        </is>
      </c>
      <c r="D5314" t="n">
        <v>46</v>
      </c>
    </row>
    <row r="5315">
      <c r="A5315" t="inlineStr">
        <is>
          <t>ED205428</t>
        </is>
      </c>
      <c r="B5315" s="56" t="n">
        <v>45625.52916666667</v>
      </c>
      <c r="C5315" t="inlineStr">
        <is>
          <t>Bluestone Memorial Hospital</t>
        </is>
      </c>
      <c r="D5315" t="n">
        <v>11</v>
      </c>
    </row>
    <row r="5316">
      <c r="A5316" t="inlineStr">
        <is>
          <t>ED205429</t>
        </is>
      </c>
      <c r="B5316" s="56" t="n">
        <v>45625.55277777778</v>
      </c>
      <c r="C5316" t="inlineStr">
        <is>
          <t>Bluestone Memorial Hospital</t>
        </is>
      </c>
      <c r="D5316" t="n">
        <v>89</v>
      </c>
    </row>
    <row r="5317">
      <c r="A5317" t="inlineStr">
        <is>
          <t>ED205430</t>
        </is>
      </c>
      <c r="B5317" s="56" t="n">
        <v>45625.58611111111</v>
      </c>
      <c r="C5317" t="inlineStr">
        <is>
          <t>Bluestone Memorial Hospital</t>
        </is>
      </c>
      <c r="D5317" t="n">
        <v>83</v>
      </c>
    </row>
    <row r="5318">
      <c r="A5318" t="inlineStr">
        <is>
          <t>ED205431</t>
        </is>
      </c>
      <c r="B5318" s="56" t="n">
        <v>45625.66041666667</v>
      </c>
      <c r="C5318" t="inlineStr">
        <is>
          <t>Bluestone Memorial Hospital</t>
        </is>
      </c>
      <c r="D5318" t="n">
        <v>107</v>
      </c>
    </row>
    <row r="5319">
      <c r="A5319" t="inlineStr">
        <is>
          <t>ED205432</t>
        </is>
      </c>
      <c r="B5319" s="56" t="n">
        <v>45625.69375</v>
      </c>
      <c r="C5319" t="inlineStr">
        <is>
          <t>Bluestone Memorial Hospital</t>
        </is>
      </c>
      <c r="D5319" t="n">
        <v>26</v>
      </c>
    </row>
    <row r="5320">
      <c r="A5320" t="inlineStr">
        <is>
          <t>ED205433</t>
        </is>
      </c>
      <c r="B5320" s="56" t="n">
        <v>45625.71458333333</v>
      </c>
      <c r="C5320" t="inlineStr">
        <is>
          <t>Bluestone Memorial Hospital</t>
        </is>
      </c>
      <c r="D5320" t="n">
        <v>38</v>
      </c>
    </row>
    <row r="5321">
      <c r="A5321" t="inlineStr">
        <is>
          <t>ED205434</t>
        </is>
      </c>
      <c r="B5321" s="56" t="n">
        <v>45625.72013888889</v>
      </c>
      <c r="C5321" t="inlineStr">
        <is>
          <t>Bluestone Memorial Hospital</t>
        </is>
      </c>
      <c r="D5321" t="n">
        <v>33</v>
      </c>
    </row>
    <row r="5322">
      <c r="A5322" t="inlineStr">
        <is>
          <t>ED205435</t>
        </is>
      </c>
      <c r="B5322" s="56" t="n">
        <v>45625.80694444444</v>
      </c>
      <c r="C5322" t="inlineStr">
        <is>
          <t>Bluestone Memorial Hospital</t>
        </is>
      </c>
      <c r="D5322" t="n">
        <v>26</v>
      </c>
    </row>
    <row r="5323">
      <c r="A5323" t="inlineStr">
        <is>
          <t>ED205436</t>
        </is>
      </c>
      <c r="B5323" s="56" t="n">
        <v>45625.85416666666</v>
      </c>
      <c r="C5323" t="inlineStr">
        <is>
          <t>Bluestone Memorial Hospital</t>
        </is>
      </c>
      <c r="D5323" t="n">
        <v>18</v>
      </c>
    </row>
    <row r="5324">
      <c r="A5324" t="inlineStr">
        <is>
          <t>ED205437</t>
        </is>
      </c>
      <c r="B5324" s="56" t="n">
        <v>45625.88333333333</v>
      </c>
      <c r="C5324" t="inlineStr">
        <is>
          <t>Bluestone Memorial Hospital</t>
        </is>
      </c>
      <c r="D5324" t="n">
        <v>92</v>
      </c>
    </row>
    <row r="5325">
      <c r="A5325" t="inlineStr">
        <is>
          <t>ED205438</t>
        </is>
      </c>
      <c r="B5325" s="56" t="n">
        <v>45625.92222222222</v>
      </c>
      <c r="C5325" t="inlineStr">
        <is>
          <t>Cedar Ridge Medical Center</t>
        </is>
      </c>
      <c r="D5325" t="n">
        <v>45</v>
      </c>
    </row>
    <row r="5326">
      <c r="A5326" t="inlineStr">
        <is>
          <t>ED205439</t>
        </is>
      </c>
      <c r="B5326" s="56" t="n">
        <v>45625.93125</v>
      </c>
      <c r="C5326" t="inlineStr">
        <is>
          <t>Cedar Ridge Medical Center</t>
        </is>
      </c>
      <c r="D5326" t="n">
        <v>29</v>
      </c>
    </row>
    <row r="5327">
      <c r="A5327" t="inlineStr">
        <is>
          <t>ED205440</t>
        </is>
      </c>
      <c r="B5327" s="56" t="n">
        <v>45626.46041666667</v>
      </c>
      <c r="C5327" t="inlineStr">
        <is>
          <t>Cedar Ridge Medical Center</t>
        </is>
      </c>
      <c r="D5327" t="n">
        <v>98</v>
      </c>
    </row>
    <row r="5328">
      <c r="A5328" t="inlineStr">
        <is>
          <t>ED205441</t>
        </is>
      </c>
      <c r="B5328" s="56" t="n">
        <v>45626.46736111111</v>
      </c>
      <c r="C5328" t="inlineStr">
        <is>
          <t>Ashby Falls Community Hospital</t>
        </is>
      </c>
      <c r="D5328" t="n">
        <v>23</v>
      </c>
    </row>
    <row r="5329">
      <c r="A5329" t="inlineStr">
        <is>
          <t>ED205442</t>
        </is>
      </c>
      <c r="B5329" s="56" t="n">
        <v>45626.50555555556</v>
      </c>
      <c r="C5329" t="inlineStr">
        <is>
          <t>Bluestone Memorial Hospital</t>
        </is>
      </c>
      <c r="D5329" t="n">
        <v>39</v>
      </c>
    </row>
    <row r="5330">
      <c r="A5330" t="inlineStr">
        <is>
          <t>ED205443</t>
        </is>
      </c>
      <c r="B5330" s="56" t="n">
        <v>45626.51527777778</v>
      </c>
      <c r="C5330" t="inlineStr">
        <is>
          <t>Cedar Ridge Medical Center</t>
        </is>
      </c>
      <c r="D5330" t="n">
        <v>67</v>
      </c>
    </row>
    <row r="5331">
      <c r="A5331" t="inlineStr">
        <is>
          <t>ED205445</t>
        </is>
      </c>
      <c r="B5331" s="56" t="n">
        <v>45626.63888888889</v>
      </c>
      <c r="C5331" t="inlineStr">
        <is>
          <t>Bluestone Memorial Hospital</t>
        </is>
      </c>
      <c r="D5331" t="n">
        <v>92</v>
      </c>
    </row>
    <row r="5332">
      <c r="A5332" t="inlineStr">
        <is>
          <t>ED205447</t>
        </is>
      </c>
      <c r="B5332" s="56" t="n">
        <v>45626.71805555555</v>
      </c>
      <c r="C5332" t="inlineStr">
        <is>
          <t>Bluestone Memorial Hospital</t>
        </is>
      </c>
      <c r="D5332" t="n">
        <v>96</v>
      </c>
    </row>
    <row r="5333">
      <c r="A5333" t="inlineStr">
        <is>
          <t>ED205448</t>
        </is>
      </c>
      <c r="B5333" s="56" t="n">
        <v>45626.72222222222</v>
      </c>
      <c r="C5333" t="inlineStr">
        <is>
          <t>Bluestone Memorial Hospital</t>
        </is>
      </c>
      <c r="D5333" t="n">
        <v>15</v>
      </c>
    </row>
    <row r="5334">
      <c r="A5334" t="inlineStr">
        <is>
          <t>ED205449</t>
        </is>
      </c>
      <c r="B5334" s="56" t="n">
        <v>45626.725</v>
      </c>
      <c r="C5334" t="inlineStr">
        <is>
          <t>Cedar Ridge Medical Center</t>
        </is>
      </c>
      <c r="D5334" t="n">
        <v>78</v>
      </c>
    </row>
    <row r="5335">
      <c r="A5335" t="inlineStr">
        <is>
          <t>ED205450</t>
        </is>
      </c>
      <c r="B5335" s="56" t="n">
        <v>45626.76875</v>
      </c>
      <c r="C5335" t="inlineStr">
        <is>
          <t>Bluestone Memorial Hospital</t>
        </is>
      </c>
      <c r="D5335" t="n">
        <v>28</v>
      </c>
    </row>
    <row r="5336">
      <c r="A5336" t="inlineStr">
        <is>
          <t>ED205451</t>
        </is>
      </c>
      <c r="B5336" s="56" t="n">
        <v>45626.78819444445</v>
      </c>
      <c r="C5336" t="inlineStr">
        <is>
          <t>Bluestone Memorial Hospital</t>
        </is>
      </c>
      <c r="D5336" t="n">
        <v>56</v>
      </c>
    </row>
    <row r="5337">
      <c r="A5337" t="inlineStr">
        <is>
          <t>ED205452</t>
        </is>
      </c>
      <c r="B5337" s="56" t="n">
        <v>45626.83194444444</v>
      </c>
      <c r="C5337" t="inlineStr">
        <is>
          <t>Cedar Ridge Medical Center</t>
        </is>
      </c>
      <c r="D5337" t="n">
        <v>116</v>
      </c>
    </row>
    <row r="5338">
      <c r="A5338" t="inlineStr">
        <is>
          <t>ED205453</t>
        </is>
      </c>
      <c r="B5338" s="56" t="n">
        <v>45626.87986111111</v>
      </c>
      <c r="C5338" t="inlineStr">
        <is>
          <t>Bluestone Memorial Hospital</t>
        </is>
      </c>
      <c r="D5338" t="n">
        <v>57</v>
      </c>
    </row>
    <row r="5339">
      <c r="A5339" t="inlineStr">
        <is>
          <t>ED205454</t>
        </is>
      </c>
      <c r="B5339" s="56" t="n">
        <v>45626.89513888889</v>
      </c>
      <c r="C5339" t="inlineStr">
        <is>
          <t>Bluestone Memorial Hospital</t>
        </is>
      </c>
      <c r="D5339" t="n">
        <v>9</v>
      </c>
    </row>
    <row r="5340">
      <c r="A5340" t="inlineStr">
        <is>
          <t>ED205455</t>
        </is>
      </c>
      <c r="B5340" s="56" t="n">
        <v>45627.07222222222</v>
      </c>
      <c r="C5340" t="inlineStr">
        <is>
          <t>Bluestone Memorial Hospital</t>
        </is>
      </c>
      <c r="D5340" t="n">
        <v>63</v>
      </c>
    </row>
    <row r="5341">
      <c r="A5341" t="inlineStr">
        <is>
          <t>ED205456</t>
        </is>
      </c>
      <c r="B5341" s="56" t="n">
        <v>45627.09722222222</v>
      </c>
      <c r="C5341" t="inlineStr">
        <is>
          <t>Bluestone Memorial Hospital</t>
        </is>
      </c>
      <c r="D5341" t="n">
        <v>17</v>
      </c>
    </row>
    <row r="5342">
      <c r="A5342" t="inlineStr">
        <is>
          <t>ED205457</t>
        </is>
      </c>
      <c r="B5342" s="56" t="n">
        <v>45627.10138888889</v>
      </c>
      <c r="C5342" t="inlineStr">
        <is>
          <t>Ashby Falls Community Hospital</t>
        </is>
      </c>
      <c r="D5342" t="n">
        <v>31</v>
      </c>
    </row>
    <row r="5343">
      <c r="A5343" t="inlineStr">
        <is>
          <t>ED205458</t>
        </is>
      </c>
      <c r="B5343" s="56" t="n">
        <v>45627.35694444444</v>
      </c>
      <c r="C5343" t="inlineStr">
        <is>
          <t>Bluestone Memorial Hospital</t>
        </is>
      </c>
      <c r="D5343" t="n">
        <v>48</v>
      </c>
    </row>
    <row r="5344">
      <c r="A5344" t="inlineStr">
        <is>
          <t>ED205460</t>
        </is>
      </c>
      <c r="B5344" s="56" t="n">
        <v>45627.55555555555</v>
      </c>
      <c r="C5344" t="inlineStr">
        <is>
          <t>Bluestone Memorial Hospital</t>
        </is>
      </c>
      <c r="D5344" t="n">
        <v>42</v>
      </c>
    </row>
    <row r="5345">
      <c r="A5345" t="inlineStr">
        <is>
          <t>ED205461</t>
        </is>
      </c>
      <c r="B5345" s="56" t="n">
        <v>45627.56875</v>
      </c>
      <c r="C5345" t="inlineStr">
        <is>
          <t>Bluestone Memorial Hospital</t>
        </is>
      </c>
      <c r="D5345" t="n">
        <v>70</v>
      </c>
    </row>
    <row r="5346">
      <c r="A5346" t="inlineStr">
        <is>
          <t>ED205462</t>
        </is>
      </c>
      <c r="B5346" s="56" t="n">
        <v>45627.58333333334</v>
      </c>
      <c r="C5346" t="inlineStr">
        <is>
          <t>Ashby Falls Community Hospital</t>
        </is>
      </c>
      <c r="D5346" t="n">
        <v>47</v>
      </c>
    </row>
    <row r="5347">
      <c r="A5347" t="inlineStr">
        <is>
          <t>ED205463</t>
        </is>
      </c>
      <c r="B5347" s="56" t="n">
        <v>45627.70208333333</v>
      </c>
      <c r="C5347" t="inlineStr">
        <is>
          <t>Bluestone Memorial Hospital</t>
        </is>
      </c>
      <c r="D5347" t="n">
        <v>48</v>
      </c>
    </row>
    <row r="5348">
      <c r="A5348" t="inlineStr">
        <is>
          <t>ED205464</t>
        </is>
      </c>
      <c r="B5348" s="56" t="n">
        <v>45627.78680555556</v>
      </c>
      <c r="C5348" t="inlineStr">
        <is>
          <t>Cedar Ridge Medical Center</t>
        </is>
      </c>
      <c r="D5348" t="n">
        <v>38</v>
      </c>
    </row>
    <row r="5349">
      <c r="A5349" t="inlineStr">
        <is>
          <t>ED205465</t>
        </is>
      </c>
      <c r="B5349" s="56" t="n">
        <v>45627.82013888889</v>
      </c>
      <c r="C5349" t="inlineStr">
        <is>
          <t>Bluestone Memorial Hospital</t>
        </is>
      </c>
      <c r="D5349" t="n">
        <v>159</v>
      </c>
    </row>
    <row r="5350">
      <c r="A5350" t="inlineStr">
        <is>
          <t>ED205466</t>
        </is>
      </c>
      <c r="B5350" s="56" t="n">
        <v>45627.82638888889</v>
      </c>
      <c r="C5350" t="inlineStr">
        <is>
          <t>Ashby Falls Community Hospital</t>
        </is>
      </c>
      <c r="D5350" t="n">
        <v>31</v>
      </c>
    </row>
    <row r="5351">
      <c r="A5351" t="inlineStr">
        <is>
          <t>ED205467</t>
        </is>
      </c>
      <c r="B5351" s="56" t="n">
        <v>45627.84791666667</v>
      </c>
      <c r="C5351" t="inlineStr">
        <is>
          <t>Bluestone Memorial Hospital</t>
        </is>
      </c>
      <c r="D5351" t="n">
        <v>42</v>
      </c>
    </row>
    <row r="5352">
      <c r="A5352" t="inlineStr">
        <is>
          <t>ED205468</t>
        </is>
      </c>
      <c r="B5352" s="56" t="n">
        <v>45627.89513888889</v>
      </c>
      <c r="C5352" t="inlineStr">
        <is>
          <t>Bluestone Memorial Hospital</t>
        </is>
      </c>
      <c r="D5352" t="n">
        <v>28</v>
      </c>
    </row>
    <row r="5353">
      <c r="A5353" t="inlineStr">
        <is>
          <t>ED205469</t>
        </is>
      </c>
      <c r="B5353" s="56" t="n">
        <v>45627.98541666667</v>
      </c>
      <c r="C5353" t="inlineStr">
        <is>
          <t>Bluestone Memorial Hospital</t>
        </is>
      </c>
      <c r="D5353" t="n">
        <v>42</v>
      </c>
    </row>
    <row r="5354">
      <c r="A5354" t="inlineStr">
        <is>
          <t>ED205470</t>
        </is>
      </c>
      <c r="B5354" s="56" t="n">
        <v>45628.00972222222</v>
      </c>
      <c r="C5354" t="inlineStr">
        <is>
          <t>Bluestone Memorial Hospital</t>
        </is>
      </c>
      <c r="D5354" t="n">
        <v>7</v>
      </c>
    </row>
    <row r="5355">
      <c r="A5355" t="inlineStr">
        <is>
          <t>ED205471</t>
        </is>
      </c>
      <c r="B5355" s="56" t="n">
        <v>45628.15625</v>
      </c>
      <c r="C5355" t="inlineStr">
        <is>
          <t>Bluestone Memorial Hospital</t>
        </is>
      </c>
      <c r="D5355" t="n">
        <v>33</v>
      </c>
    </row>
    <row r="5356">
      <c r="A5356" t="inlineStr">
        <is>
          <t>ED205472</t>
        </is>
      </c>
      <c r="B5356" s="56" t="n">
        <v>45628.44652777778</v>
      </c>
      <c r="C5356" t="inlineStr">
        <is>
          <t>Bluestone Memorial Hospital</t>
        </is>
      </c>
      <c r="D5356" t="n">
        <v>85</v>
      </c>
    </row>
    <row r="5357">
      <c r="A5357" t="inlineStr">
        <is>
          <t>ED205473</t>
        </is>
      </c>
      <c r="B5357" s="56" t="n">
        <v>45628.48611111111</v>
      </c>
      <c r="C5357" t="inlineStr">
        <is>
          <t>Bluestone Memorial Hospital</t>
        </is>
      </c>
      <c r="D5357" t="n">
        <v>54</v>
      </c>
    </row>
    <row r="5358">
      <c r="A5358" t="inlineStr">
        <is>
          <t>ED205474</t>
        </is>
      </c>
      <c r="B5358" s="56" t="n">
        <v>45628.48819444444</v>
      </c>
      <c r="C5358" t="inlineStr">
        <is>
          <t>Bluestone Memorial Hospital</t>
        </is>
      </c>
      <c r="D5358" t="n">
        <v>96</v>
      </c>
    </row>
    <row r="5359">
      <c r="A5359" t="inlineStr">
        <is>
          <t>ED205475</t>
        </is>
      </c>
      <c r="B5359" s="56" t="n">
        <v>45628.51458333333</v>
      </c>
      <c r="C5359" t="inlineStr">
        <is>
          <t>Bluestone Memorial Hospital</t>
        </is>
      </c>
      <c r="D5359" t="n">
        <v>62</v>
      </c>
    </row>
    <row r="5360">
      <c r="A5360" t="inlineStr">
        <is>
          <t>ED205476</t>
        </is>
      </c>
      <c r="B5360" s="56" t="n">
        <v>45628.52222222222</v>
      </c>
      <c r="C5360" t="inlineStr">
        <is>
          <t>Cedar Ridge Medical Center</t>
        </is>
      </c>
      <c r="D5360" t="n">
        <v>45</v>
      </c>
    </row>
    <row r="5361">
      <c r="A5361" t="inlineStr">
        <is>
          <t>ED205477</t>
        </is>
      </c>
      <c r="B5361" s="56" t="n">
        <v>45628.54583333333</v>
      </c>
      <c r="C5361" t="inlineStr">
        <is>
          <t>Ashby Falls Community Hospital</t>
        </is>
      </c>
      <c r="D5361" t="n">
        <v>2</v>
      </c>
    </row>
    <row r="5362">
      <c r="A5362" t="inlineStr">
        <is>
          <t>ED205478</t>
        </is>
      </c>
      <c r="B5362" s="56" t="n">
        <v>45628.60208333333</v>
      </c>
      <c r="C5362" t="inlineStr">
        <is>
          <t>Bluestone Memorial Hospital</t>
        </is>
      </c>
      <c r="D5362" t="n">
        <v>39</v>
      </c>
    </row>
    <row r="5363">
      <c r="A5363" t="inlineStr">
        <is>
          <t>ED205479</t>
        </is>
      </c>
      <c r="B5363" s="56" t="n">
        <v>45628.68888888889</v>
      </c>
      <c r="C5363" t="inlineStr">
        <is>
          <t>Bluestone Memorial Hospital</t>
        </is>
      </c>
      <c r="D5363" t="n">
        <v>76</v>
      </c>
    </row>
    <row r="5364">
      <c r="A5364" t="inlineStr">
        <is>
          <t>ED205480</t>
        </is>
      </c>
      <c r="B5364" s="56" t="n">
        <v>45628.68888888889</v>
      </c>
      <c r="C5364" t="inlineStr">
        <is>
          <t>Ashby Falls Community Hospital</t>
        </is>
      </c>
      <c r="D5364" t="n">
        <v>46</v>
      </c>
    </row>
    <row r="5365">
      <c r="A5365" t="inlineStr">
        <is>
          <t>ED205481</t>
        </is>
      </c>
      <c r="B5365" s="56" t="n">
        <v>45628.71736111111</v>
      </c>
      <c r="C5365" t="inlineStr">
        <is>
          <t>Bluestone Memorial Hospital</t>
        </is>
      </c>
      <c r="D5365" t="n">
        <v>25</v>
      </c>
    </row>
    <row r="5366">
      <c r="A5366" t="inlineStr">
        <is>
          <t>ED205482</t>
        </is>
      </c>
      <c r="B5366" s="56" t="n">
        <v>45628.76111111111</v>
      </c>
      <c r="C5366" t="inlineStr">
        <is>
          <t>Bluestone Memorial Hospital</t>
        </is>
      </c>
      <c r="D5366" t="n">
        <v>27</v>
      </c>
    </row>
    <row r="5367">
      <c r="A5367" t="inlineStr">
        <is>
          <t>ED205483</t>
        </is>
      </c>
      <c r="B5367" s="56" t="n">
        <v>45628.83263888889</v>
      </c>
      <c r="C5367" t="inlineStr">
        <is>
          <t>Cedar Ridge Medical Center</t>
        </is>
      </c>
      <c r="D5367" t="n">
        <v>82</v>
      </c>
    </row>
    <row r="5368">
      <c r="A5368" t="inlineStr">
        <is>
          <t>ED205484</t>
        </is>
      </c>
      <c r="B5368" s="56" t="n">
        <v>45628.87291666667</v>
      </c>
      <c r="C5368" t="inlineStr">
        <is>
          <t>Bluestone Memorial Hospital</t>
        </is>
      </c>
      <c r="D5368" t="n">
        <v>260</v>
      </c>
    </row>
    <row r="5369">
      <c r="A5369" t="inlineStr">
        <is>
          <t>ED205485</t>
        </is>
      </c>
      <c r="B5369" s="56" t="n">
        <v>45628.87291666667</v>
      </c>
      <c r="C5369" t="inlineStr">
        <is>
          <t>Bluestone Memorial Hospital</t>
        </is>
      </c>
      <c r="D5369" t="n">
        <v>73</v>
      </c>
    </row>
    <row r="5370">
      <c r="A5370" t="inlineStr">
        <is>
          <t>ED205486</t>
        </is>
      </c>
      <c r="B5370" s="56" t="n">
        <v>45628.87430555555</v>
      </c>
      <c r="C5370" t="inlineStr">
        <is>
          <t>Bluestone Memorial Hospital</t>
        </is>
      </c>
      <c r="D5370" t="n">
        <v>81</v>
      </c>
    </row>
    <row r="5371">
      <c r="A5371" t="inlineStr">
        <is>
          <t>ED205487</t>
        </is>
      </c>
      <c r="B5371" s="56" t="n">
        <v>45628.8875</v>
      </c>
      <c r="C5371" t="inlineStr">
        <is>
          <t>Bluestone Memorial Hospital</t>
        </is>
      </c>
      <c r="D5371" t="n">
        <v>19</v>
      </c>
    </row>
    <row r="5372">
      <c r="A5372" t="inlineStr">
        <is>
          <t>ED205488</t>
        </is>
      </c>
      <c r="B5372" s="56" t="n">
        <v>45628.93333333333</v>
      </c>
      <c r="C5372" t="inlineStr">
        <is>
          <t>Cedar Ridge Medical Center</t>
        </is>
      </c>
      <c r="D5372" t="n">
        <v>67</v>
      </c>
    </row>
    <row r="5373">
      <c r="A5373" t="inlineStr">
        <is>
          <t>ED205489</t>
        </is>
      </c>
      <c r="B5373" s="56" t="n">
        <v>45628.9375</v>
      </c>
      <c r="C5373" t="inlineStr">
        <is>
          <t>Bluestone Memorial Hospital</t>
        </is>
      </c>
      <c r="D5373" t="n">
        <v>15</v>
      </c>
    </row>
    <row r="5374">
      <c r="A5374" t="inlineStr">
        <is>
          <t>ED205490</t>
        </is>
      </c>
      <c r="B5374" s="56" t="n">
        <v>45629.00277777778</v>
      </c>
      <c r="C5374" t="inlineStr">
        <is>
          <t>Bluestone Memorial Hospital</t>
        </is>
      </c>
      <c r="D5374" t="n">
        <v>9</v>
      </c>
    </row>
    <row r="5375">
      <c r="A5375" t="inlineStr">
        <is>
          <t>ED205491</t>
        </is>
      </c>
      <c r="B5375" s="56" t="n">
        <v>45629.00694444445</v>
      </c>
      <c r="C5375" t="inlineStr">
        <is>
          <t>Bluestone Memorial Hospital</t>
        </is>
      </c>
      <c r="D5375" t="n">
        <v>26</v>
      </c>
    </row>
    <row r="5376">
      <c r="A5376" t="inlineStr">
        <is>
          <t>ED205492</t>
        </is>
      </c>
      <c r="B5376" s="56" t="n">
        <v>45629.28680555556</v>
      </c>
      <c r="C5376" t="inlineStr">
        <is>
          <t>Bluestone Memorial Hospital</t>
        </is>
      </c>
      <c r="D5376" t="n">
        <v>7</v>
      </c>
    </row>
    <row r="5377">
      <c r="A5377" t="inlineStr">
        <is>
          <t>ED205493</t>
        </is>
      </c>
      <c r="B5377" s="56" t="n">
        <v>45629.30833333333</v>
      </c>
      <c r="C5377" t="inlineStr">
        <is>
          <t>Bluestone Memorial Hospital</t>
        </is>
      </c>
      <c r="D5377" t="n">
        <v>40</v>
      </c>
    </row>
    <row r="5378">
      <c r="A5378" t="inlineStr">
        <is>
          <t>ED205494</t>
        </is>
      </c>
      <c r="B5378" s="56" t="n">
        <v>45629.31111111111</v>
      </c>
      <c r="C5378" t="inlineStr">
        <is>
          <t>Bluestone Memorial Hospital</t>
        </is>
      </c>
      <c r="D5378" t="n">
        <v>29</v>
      </c>
    </row>
    <row r="5379">
      <c r="A5379" t="inlineStr">
        <is>
          <t>ED205495</t>
        </is>
      </c>
      <c r="B5379" s="56" t="n">
        <v>45629.34305555555</v>
      </c>
      <c r="C5379" t="inlineStr">
        <is>
          <t>Bluestone Memorial Hospital</t>
        </is>
      </c>
      <c r="D5379" t="n">
        <v>36</v>
      </c>
    </row>
    <row r="5380">
      <c r="A5380" t="inlineStr">
        <is>
          <t>ED205496</t>
        </is>
      </c>
      <c r="B5380" s="56" t="n">
        <v>45629.41180555556</v>
      </c>
      <c r="C5380" t="inlineStr">
        <is>
          <t>Cedar Ridge Medical Center</t>
        </is>
      </c>
      <c r="D5380" t="n">
        <v>36</v>
      </c>
    </row>
    <row r="5381">
      <c r="A5381" t="inlineStr">
        <is>
          <t>ED205497</t>
        </is>
      </c>
      <c r="B5381" s="56" t="n">
        <v>45629.4125</v>
      </c>
      <c r="C5381" t="inlineStr">
        <is>
          <t>Bluestone Memorial Hospital</t>
        </is>
      </c>
      <c r="D5381" t="n">
        <v>14</v>
      </c>
    </row>
    <row r="5382">
      <c r="A5382" t="inlineStr">
        <is>
          <t>ED205498</t>
        </is>
      </c>
      <c r="B5382" s="56" t="n">
        <v>45629.47569444445</v>
      </c>
      <c r="C5382" t="inlineStr">
        <is>
          <t>Bluestone Memorial Hospital</t>
        </is>
      </c>
      <c r="D5382" t="n">
        <v>40</v>
      </c>
    </row>
    <row r="5383">
      <c r="A5383" t="inlineStr">
        <is>
          <t>ED205499</t>
        </is>
      </c>
      <c r="B5383" s="56" t="n">
        <v>45629.53680555556</v>
      </c>
      <c r="C5383" t="inlineStr">
        <is>
          <t>Bluestone Memorial Hospital</t>
        </is>
      </c>
      <c r="D5383" t="n">
        <v>47</v>
      </c>
    </row>
    <row r="5384">
      <c r="A5384" t="inlineStr">
        <is>
          <t>ED205500</t>
        </is>
      </c>
      <c r="B5384" s="56" t="n">
        <v>45629.55069444444</v>
      </c>
      <c r="C5384" t="inlineStr">
        <is>
          <t>Bluestone Memorial Hospital</t>
        </is>
      </c>
      <c r="D5384" t="n">
        <v>22</v>
      </c>
    </row>
    <row r="5385">
      <c r="A5385" t="inlineStr">
        <is>
          <t>ED205501</t>
        </is>
      </c>
      <c r="B5385" s="56" t="n">
        <v>45629.58611111111</v>
      </c>
      <c r="C5385" t="inlineStr">
        <is>
          <t>Bluestone Memorial Hospital</t>
        </is>
      </c>
      <c r="D5385" t="n">
        <v>49</v>
      </c>
    </row>
    <row r="5386">
      <c r="A5386" t="inlineStr">
        <is>
          <t>ED205503</t>
        </is>
      </c>
      <c r="B5386" s="56" t="n">
        <v>45629.65555555555</v>
      </c>
      <c r="C5386" t="inlineStr">
        <is>
          <t>Bluestone Memorial Hospital</t>
        </is>
      </c>
      <c r="D5386" t="n">
        <v>107</v>
      </c>
    </row>
    <row r="5387">
      <c r="A5387" t="inlineStr">
        <is>
          <t>ED205504</t>
        </is>
      </c>
      <c r="B5387" s="56" t="n">
        <v>45629.77916666667</v>
      </c>
      <c r="C5387" t="inlineStr">
        <is>
          <t>Bluestone Memorial Hospital</t>
        </is>
      </c>
      <c r="D5387" t="n">
        <v>12</v>
      </c>
    </row>
    <row r="5388">
      <c r="A5388" t="inlineStr">
        <is>
          <t>ED205505</t>
        </is>
      </c>
      <c r="B5388" s="56" t="n">
        <v>45629.8</v>
      </c>
      <c r="C5388" t="inlineStr">
        <is>
          <t>Ashby Falls Community Hospital</t>
        </is>
      </c>
      <c r="D5388" t="n">
        <v>103</v>
      </c>
    </row>
    <row r="5389">
      <c r="A5389" t="inlineStr">
        <is>
          <t>ED205506</t>
        </is>
      </c>
      <c r="B5389" s="56" t="n">
        <v>45629.90625</v>
      </c>
      <c r="C5389" t="inlineStr">
        <is>
          <t>Ashby Falls Community Hospital</t>
        </is>
      </c>
      <c r="D5389" t="n">
        <v>25</v>
      </c>
    </row>
    <row r="5390">
      <c r="A5390" t="inlineStr">
        <is>
          <t>ED205507</t>
        </is>
      </c>
      <c r="B5390" s="56" t="n">
        <v>45630.03263888889</v>
      </c>
      <c r="C5390" t="inlineStr">
        <is>
          <t>Bluestone Memorial Hospital</t>
        </is>
      </c>
      <c r="D5390" t="n">
        <v>9</v>
      </c>
    </row>
    <row r="5391">
      <c r="A5391" t="inlineStr">
        <is>
          <t>ED205508</t>
        </is>
      </c>
      <c r="B5391" s="56" t="n">
        <v>45630.24166666667</v>
      </c>
      <c r="C5391" t="inlineStr">
        <is>
          <t>Bluestone Memorial Hospital</t>
        </is>
      </c>
      <c r="D5391" t="n">
        <v>25</v>
      </c>
    </row>
    <row r="5392">
      <c r="A5392" t="inlineStr">
        <is>
          <t>ED205509</t>
        </is>
      </c>
      <c r="B5392" s="56" t="n">
        <v>45630.25347222222</v>
      </c>
      <c r="C5392" t="inlineStr">
        <is>
          <t>Cedar Ridge Medical Center</t>
        </is>
      </c>
      <c r="D5392" t="n">
        <v>18</v>
      </c>
    </row>
    <row r="5393">
      <c r="A5393" t="inlineStr">
        <is>
          <t>ED205510</t>
        </is>
      </c>
      <c r="B5393" s="56" t="n">
        <v>45630.30625</v>
      </c>
      <c r="C5393" t="inlineStr">
        <is>
          <t>Bluestone Memorial Hospital</t>
        </is>
      </c>
      <c r="D5393" t="n">
        <v>28</v>
      </c>
    </row>
    <row r="5394">
      <c r="A5394" t="inlineStr">
        <is>
          <t>ED205511</t>
        </is>
      </c>
      <c r="B5394" s="56" t="n">
        <v>45630.39861111111</v>
      </c>
      <c r="C5394" t="inlineStr">
        <is>
          <t>Bluestone Memorial Hospital</t>
        </is>
      </c>
      <c r="D5394" t="n">
        <v>76</v>
      </c>
    </row>
    <row r="5395">
      <c r="A5395" t="inlineStr">
        <is>
          <t>ED205512</t>
        </is>
      </c>
      <c r="B5395" s="56" t="n">
        <v>45630.40277777778</v>
      </c>
      <c r="C5395" t="inlineStr">
        <is>
          <t>Cedar Ridge Medical Center</t>
        </is>
      </c>
      <c r="D5395" t="n">
        <v>12</v>
      </c>
    </row>
    <row r="5396">
      <c r="A5396" t="inlineStr">
        <is>
          <t>ED205513</t>
        </is>
      </c>
      <c r="B5396" s="56" t="n">
        <v>45630.40902777778</v>
      </c>
      <c r="C5396" t="inlineStr">
        <is>
          <t>Bluestone Memorial Hospital</t>
        </is>
      </c>
      <c r="D5396" t="n">
        <v>12</v>
      </c>
    </row>
    <row r="5397">
      <c r="A5397" t="inlineStr">
        <is>
          <t>ED205514</t>
        </is>
      </c>
      <c r="B5397" s="56" t="n">
        <v>45630.44305555556</v>
      </c>
      <c r="C5397" t="inlineStr">
        <is>
          <t>Bluestone Memorial Hospital</t>
        </is>
      </c>
      <c r="D5397" t="n">
        <v>12</v>
      </c>
    </row>
    <row r="5398">
      <c r="A5398" t="inlineStr">
        <is>
          <t>ED205515</t>
        </is>
      </c>
      <c r="B5398" s="56" t="n">
        <v>45630.45416666667</v>
      </c>
      <c r="C5398" t="inlineStr">
        <is>
          <t>Ashby Falls Community Hospital</t>
        </is>
      </c>
      <c r="D5398" t="n">
        <v>20</v>
      </c>
    </row>
    <row r="5399">
      <c r="A5399" t="inlineStr">
        <is>
          <t>ED205516</t>
        </is>
      </c>
      <c r="B5399" s="56" t="n">
        <v>45630.45555555556</v>
      </c>
      <c r="C5399" t="inlineStr">
        <is>
          <t>Bluestone Memorial Hospital</t>
        </is>
      </c>
      <c r="D5399" t="n">
        <v>11</v>
      </c>
    </row>
    <row r="5400">
      <c r="A5400" t="inlineStr">
        <is>
          <t>ED205517</t>
        </is>
      </c>
      <c r="B5400" s="56" t="n">
        <v>45630.50555555556</v>
      </c>
      <c r="C5400" t="inlineStr">
        <is>
          <t>Bluestone Memorial Hospital</t>
        </is>
      </c>
      <c r="D5400" t="n">
        <v>22</v>
      </c>
    </row>
    <row r="5401">
      <c r="A5401" t="inlineStr">
        <is>
          <t>ED205518</t>
        </is>
      </c>
      <c r="B5401" s="56" t="n">
        <v>45630.57013888889</v>
      </c>
      <c r="C5401" t="inlineStr">
        <is>
          <t>Cedar Ridge Medical Center</t>
        </is>
      </c>
      <c r="D5401" t="n">
        <v>13</v>
      </c>
    </row>
    <row r="5402">
      <c r="A5402" t="inlineStr">
        <is>
          <t>ED205520</t>
        </is>
      </c>
      <c r="B5402" s="56" t="n">
        <v>45630.58125</v>
      </c>
      <c r="C5402" t="inlineStr">
        <is>
          <t>Cedar Ridge Medical Center</t>
        </is>
      </c>
      <c r="D5402" t="n">
        <v>10</v>
      </c>
    </row>
    <row r="5403">
      <c r="A5403" t="inlineStr">
        <is>
          <t>ED205521</t>
        </is>
      </c>
      <c r="B5403" s="56" t="n">
        <v>45630.60069444445</v>
      </c>
      <c r="C5403" t="inlineStr">
        <is>
          <t>Bluestone Memorial Hospital</t>
        </is>
      </c>
      <c r="D5403" t="n">
        <v>31</v>
      </c>
    </row>
    <row r="5404">
      <c r="A5404" t="inlineStr">
        <is>
          <t>ED205522</t>
        </is>
      </c>
      <c r="B5404" s="56" t="n">
        <v>45630.60625</v>
      </c>
      <c r="C5404" t="inlineStr">
        <is>
          <t>Bluestone Memorial Hospital</t>
        </is>
      </c>
      <c r="D5404" t="n">
        <v>130</v>
      </c>
    </row>
    <row r="5405">
      <c r="A5405" t="inlineStr">
        <is>
          <t>ED205523</t>
        </is>
      </c>
      <c r="B5405" s="56" t="n">
        <v>45630.61875</v>
      </c>
      <c r="C5405" t="inlineStr">
        <is>
          <t>Ashby Falls Community Hospital</t>
        </is>
      </c>
      <c r="D5405" t="n">
        <v>32</v>
      </c>
    </row>
    <row r="5406">
      <c r="A5406" t="inlineStr">
        <is>
          <t>ED205524</t>
        </is>
      </c>
      <c r="B5406" s="56" t="n">
        <v>45630.65555555555</v>
      </c>
      <c r="C5406" t="inlineStr">
        <is>
          <t>Bluestone Memorial Hospital</t>
        </is>
      </c>
      <c r="D5406" t="n">
        <v>72</v>
      </c>
    </row>
    <row r="5407">
      <c r="A5407" t="inlineStr">
        <is>
          <t>ED205525</t>
        </is>
      </c>
      <c r="B5407" s="56" t="n">
        <v>45630.69652777778</v>
      </c>
      <c r="C5407" t="inlineStr">
        <is>
          <t>Bluestone Memorial Hospital</t>
        </is>
      </c>
      <c r="D5407" t="n">
        <v>40</v>
      </c>
    </row>
    <row r="5408">
      <c r="A5408" t="inlineStr">
        <is>
          <t>ED205526</t>
        </is>
      </c>
      <c r="B5408" s="56" t="n">
        <v>45630.75416666667</v>
      </c>
      <c r="C5408" t="inlineStr">
        <is>
          <t>Cedar Ridge Medical Center</t>
        </is>
      </c>
      <c r="D5408" t="n">
        <v>42</v>
      </c>
    </row>
    <row r="5409">
      <c r="A5409" t="inlineStr">
        <is>
          <t>ED205527</t>
        </is>
      </c>
      <c r="B5409" s="56" t="n">
        <v>45630.75763888889</v>
      </c>
      <c r="C5409" t="inlineStr">
        <is>
          <t>Bluestone Memorial Hospital</t>
        </is>
      </c>
      <c r="D5409" t="n">
        <v>105</v>
      </c>
    </row>
    <row r="5410">
      <c r="A5410" t="inlineStr">
        <is>
          <t>ED205528</t>
        </is>
      </c>
      <c r="B5410" s="56" t="n">
        <v>45630.75763888889</v>
      </c>
      <c r="C5410" t="inlineStr">
        <is>
          <t>Ashby Falls Community Hospital</t>
        </is>
      </c>
      <c r="D5410" t="n">
        <v>42</v>
      </c>
    </row>
    <row r="5411">
      <c r="A5411" t="inlineStr">
        <is>
          <t>ED205529</t>
        </is>
      </c>
      <c r="B5411" s="56" t="n">
        <v>45630.79930555556</v>
      </c>
      <c r="C5411" t="inlineStr">
        <is>
          <t>Bluestone Memorial Hospital</t>
        </is>
      </c>
      <c r="D5411" t="n">
        <v>5</v>
      </c>
    </row>
    <row r="5412">
      <c r="A5412" t="inlineStr">
        <is>
          <t>ED205530</t>
        </is>
      </c>
      <c r="B5412" s="56" t="n">
        <v>45630.82013888889</v>
      </c>
      <c r="C5412" t="inlineStr">
        <is>
          <t>Bluestone Memorial Hospital</t>
        </is>
      </c>
      <c r="D5412" t="n">
        <v>71</v>
      </c>
    </row>
    <row r="5413">
      <c r="A5413" t="inlineStr">
        <is>
          <t>ED205531</t>
        </is>
      </c>
      <c r="B5413" s="56" t="n">
        <v>45630.84305555555</v>
      </c>
      <c r="C5413" t="inlineStr">
        <is>
          <t>Cedar Ridge Medical Center</t>
        </is>
      </c>
      <c r="D5413" t="n">
        <v>65</v>
      </c>
    </row>
    <row r="5414">
      <c r="A5414" t="inlineStr">
        <is>
          <t>ED205532</t>
        </is>
      </c>
      <c r="B5414" s="56" t="n">
        <v>45630.85277777778</v>
      </c>
      <c r="C5414" t="inlineStr">
        <is>
          <t>Bluestone Memorial Hospital</t>
        </is>
      </c>
      <c r="D5414" t="n">
        <v>90</v>
      </c>
    </row>
    <row r="5415">
      <c r="A5415" t="inlineStr">
        <is>
          <t>ED205533</t>
        </is>
      </c>
      <c r="B5415" s="56" t="n">
        <v>45630.86527777778</v>
      </c>
      <c r="C5415" t="inlineStr">
        <is>
          <t>Bluestone Memorial Hospital</t>
        </is>
      </c>
      <c r="D5415" t="n">
        <v>15</v>
      </c>
    </row>
    <row r="5416">
      <c r="A5416" t="inlineStr">
        <is>
          <t>ED205534</t>
        </is>
      </c>
      <c r="B5416" s="56" t="n">
        <v>45630.88611111111</v>
      </c>
      <c r="C5416" t="inlineStr">
        <is>
          <t>Bluestone Memorial Hospital</t>
        </is>
      </c>
      <c r="D5416" t="n">
        <v>28</v>
      </c>
    </row>
    <row r="5417">
      <c r="A5417" t="inlineStr">
        <is>
          <t>ED205535</t>
        </is>
      </c>
      <c r="B5417" s="56" t="n">
        <v>45630.89444444444</v>
      </c>
      <c r="C5417" t="inlineStr">
        <is>
          <t>Bluestone Memorial Hospital</t>
        </is>
      </c>
      <c r="D5417" t="n">
        <v>49</v>
      </c>
    </row>
    <row r="5418">
      <c r="A5418" t="inlineStr">
        <is>
          <t>ED205536</t>
        </is>
      </c>
      <c r="B5418" s="56" t="n">
        <v>45630.90138888889</v>
      </c>
      <c r="C5418" t="inlineStr">
        <is>
          <t>Ashby Falls Community Hospital</t>
        </is>
      </c>
      <c r="D5418" t="n">
        <v>28</v>
      </c>
    </row>
    <row r="5419">
      <c r="A5419" t="inlineStr">
        <is>
          <t>ED205537</t>
        </is>
      </c>
      <c r="B5419" s="56" t="n">
        <v>45630.90902777778</v>
      </c>
      <c r="C5419" t="inlineStr">
        <is>
          <t>Bluestone Memorial Hospital</t>
        </is>
      </c>
      <c r="D5419" t="n">
        <v>21</v>
      </c>
    </row>
    <row r="5420">
      <c r="A5420" t="inlineStr">
        <is>
          <t>ED205538</t>
        </is>
      </c>
      <c r="B5420" s="56" t="n">
        <v>45630.95416666667</v>
      </c>
      <c r="C5420" t="inlineStr">
        <is>
          <t>Bluestone Memorial Hospital</t>
        </is>
      </c>
      <c r="D5420" t="n">
        <v>23</v>
      </c>
    </row>
    <row r="5421">
      <c r="A5421" t="inlineStr">
        <is>
          <t>ED205539</t>
        </is>
      </c>
      <c r="B5421" s="56" t="n">
        <v>45630.96944444445</v>
      </c>
      <c r="C5421" t="inlineStr">
        <is>
          <t>Cedar Ridge Medical Center</t>
        </is>
      </c>
      <c r="D5421" t="n">
        <v>35</v>
      </c>
    </row>
    <row r="5422">
      <c r="A5422" t="inlineStr">
        <is>
          <t>ED205540</t>
        </is>
      </c>
      <c r="B5422" s="56" t="n">
        <v>45631.01875</v>
      </c>
      <c r="C5422" t="inlineStr">
        <is>
          <t>Bluestone Memorial Hospital</t>
        </is>
      </c>
      <c r="D5422" t="n">
        <v>8</v>
      </c>
    </row>
    <row r="5423">
      <c r="A5423" t="inlineStr">
        <is>
          <t>ED205541</t>
        </is>
      </c>
      <c r="B5423" s="56" t="n">
        <v>45631.14305555556</v>
      </c>
      <c r="C5423" t="inlineStr">
        <is>
          <t>Bluestone Memorial Hospital</t>
        </is>
      </c>
      <c r="D5423" t="n">
        <v>17</v>
      </c>
    </row>
    <row r="5424">
      <c r="A5424" t="inlineStr">
        <is>
          <t>ED205542</t>
        </is>
      </c>
      <c r="B5424" s="56" t="n">
        <v>45631.20625</v>
      </c>
      <c r="C5424" t="inlineStr">
        <is>
          <t>Bluestone Memorial Hospital</t>
        </is>
      </c>
      <c r="D5424" t="n">
        <v>20</v>
      </c>
    </row>
    <row r="5425">
      <c r="A5425" t="inlineStr">
        <is>
          <t>ED205543</t>
        </is>
      </c>
      <c r="B5425" s="56" t="n">
        <v>45631.28680555556</v>
      </c>
      <c r="C5425" t="inlineStr">
        <is>
          <t>Bluestone Memorial Hospital</t>
        </is>
      </c>
      <c r="D5425" t="n">
        <v>102</v>
      </c>
    </row>
    <row r="5426">
      <c r="A5426" t="inlineStr">
        <is>
          <t>ED205544</t>
        </is>
      </c>
      <c r="B5426" s="56" t="n">
        <v>45631.29166666666</v>
      </c>
      <c r="C5426" t="inlineStr">
        <is>
          <t>Ashby Falls Community Hospital</t>
        </is>
      </c>
      <c r="D5426" t="n">
        <v>27</v>
      </c>
    </row>
    <row r="5427">
      <c r="A5427" t="inlineStr">
        <is>
          <t>ED205545</t>
        </is>
      </c>
      <c r="B5427" s="56" t="n">
        <v>45631.35069444445</v>
      </c>
      <c r="C5427" t="inlineStr">
        <is>
          <t>Cedar Ridge Medical Center</t>
        </is>
      </c>
      <c r="D5427" t="n">
        <v>74</v>
      </c>
    </row>
    <row r="5428">
      <c r="A5428" t="inlineStr">
        <is>
          <t>ED205546</t>
        </is>
      </c>
      <c r="B5428" s="56" t="n">
        <v>45631.525</v>
      </c>
      <c r="C5428" t="inlineStr">
        <is>
          <t>Bluestone Memorial Hospital</t>
        </is>
      </c>
      <c r="D5428" t="n">
        <v>71</v>
      </c>
    </row>
    <row r="5429">
      <c r="A5429" t="inlineStr">
        <is>
          <t>ED205547</t>
        </is>
      </c>
      <c r="B5429" s="56" t="n">
        <v>45631.525</v>
      </c>
      <c r="C5429" t="inlineStr">
        <is>
          <t>Bluestone Memorial Hospital</t>
        </is>
      </c>
      <c r="D5429" t="n">
        <v>102</v>
      </c>
    </row>
    <row r="5430">
      <c r="A5430" t="inlineStr">
        <is>
          <t>ED205548</t>
        </is>
      </c>
      <c r="B5430" s="56" t="n">
        <v>45631.54861111111</v>
      </c>
      <c r="C5430" t="inlineStr">
        <is>
          <t>Ashby Falls Community Hospital</t>
        </is>
      </c>
      <c r="D5430" t="n">
        <v>125</v>
      </c>
    </row>
    <row r="5431">
      <c r="A5431" t="inlineStr">
        <is>
          <t>ED205549</t>
        </is>
      </c>
      <c r="B5431" s="56" t="n">
        <v>45631.55625</v>
      </c>
      <c r="C5431" t="inlineStr">
        <is>
          <t>Bluestone Memorial Hospital</t>
        </is>
      </c>
      <c r="D5431" t="n">
        <v>18</v>
      </c>
    </row>
    <row r="5432">
      <c r="A5432" t="inlineStr">
        <is>
          <t>ED205550</t>
        </is>
      </c>
      <c r="B5432" s="56" t="n">
        <v>45631.56458333333</v>
      </c>
      <c r="C5432" t="inlineStr">
        <is>
          <t>Bluestone Memorial Hospital</t>
        </is>
      </c>
      <c r="D5432" t="n">
        <v>20</v>
      </c>
    </row>
    <row r="5433">
      <c r="A5433" t="inlineStr">
        <is>
          <t>ED205551</t>
        </is>
      </c>
      <c r="B5433" s="56" t="n">
        <v>45631.60972222222</v>
      </c>
      <c r="C5433" t="inlineStr">
        <is>
          <t>Ashby Falls Community Hospital</t>
        </is>
      </c>
      <c r="D5433" t="n">
        <v>35</v>
      </c>
    </row>
    <row r="5434">
      <c r="A5434" t="inlineStr">
        <is>
          <t>ED205552</t>
        </is>
      </c>
      <c r="B5434" s="56" t="n">
        <v>45631.61388888889</v>
      </c>
      <c r="C5434" t="inlineStr">
        <is>
          <t>Ashby Falls Community Hospital</t>
        </is>
      </c>
      <c r="D5434" t="n">
        <v>31</v>
      </c>
    </row>
    <row r="5435">
      <c r="A5435" t="inlineStr">
        <is>
          <t>ED205553</t>
        </is>
      </c>
      <c r="B5435" s="56" t="n">
        <v>45631.64930555555</v>
      </c>
      <c r="C5435" t="inlineStr">
        <is>
          <t>Cedar Ridge Medical Center</t>
        </is>
      </c>
      <c r="D5435" t="n">
        <v>45</v>
      </c>
    </row>
    <row r="5436">
      <c r="A5436" t="inlineStr">
        <is>
          <t>ED205554</t>
        </is>
      </c>
      <c r="B5436" s="56" t="n">
        <v>45631.70763888889</v>
      </c>
      <c r="C5436" t="inlineStr">
        <is>
          <t>Bluestone Memorial Hospital</t>
        </is>
      </c>
      <c r="D5436" t="n">
        <v>74</v>
      </c>
    </row>
    <row r="5437">
      <c r="A5437" t="inlineStr">
        <is>
          <t>ED205555</t>
        </is>
      </c>
      <c r="B5437" s="56" t="n">
        <v>45631.70833333334</v>
      </c>
      <c r="C5437" t="inlineStr">
        <is>
          <t>Bluestone Memorial Hospital</t>
        </is>
      </c>
      <c r="D5437" t="n">
        <v>82</v>
      </c>
    </row>
    <row r="5438">
      <c r="A5438" t="inlineStr">
        <is>
          <t>ED205556</t>
        </is>
      </c>
      <c r="B5438" s="56" t="n">
        <v>45631.72847222222</v>
      </c>
      <c r="C5438" t="inlineStr">
        <is>
          <t>Ashby Falls Community Hospital</t>
        </is>
      </c>
      <c r="D5438" t="n">
        <v>33</v>
      </c>
    </row>
    <row r="5439">
      <c r="A5439" t="inlineStr">
        <is>
          <t>ED205557</t>
        </is>
      </c>
      <c r="B5439" s="56" t="n">
        <v>45631.80416666667</v>
      </c>
      <c r="C5439" t="inlineStr">
        <is>
          <t>Ashby Falls Community Hospital</t>
        </is>
      </c>
      <c r="D5439" t="n">
        <v>40</v>
      </c>
    </row>
    <row r="5440">
      <c r="A5440" t="inlineStr">
        <is>
          <t>ED205558</t>
        </is>
      </c>
      <c r="B5440" s="56" t="n">
        <v>45631.82430555556</v>
      </c>
      <c r="C5440" t="inlineStr">
        <is>
          <t>Bluestone Memorial Hospital</t>
        </is>
      </c>
      <c r="D5440" t="n">
        <v>74</v>
      </c>
    </row>
    <row r="5441">
      <c r="A5441" t="inlineStr">
        <is>
          <t>ED205559</t>
        </is>
      </c>
      <c r="B5441" s="56" t="n">
        <v>45631.93541666667</v>
      </c>
      <c r="C5441" t="inlineStr">
        <is>
          <t>Bluestone Memorial Hospital</t>
        </is>
      </c>
      <c r="D5441" t="n">
        <v>62</v>
      </c>
    </row>
    <row r="5442">
      <c r="A5442" t="inlineStr">
        <is>
          <t>ED205560</t>
        </is>
      </c>
      <c r="B5442" s="56" t="n">
        <v>45631.98194444444</v>
      </c>
      <c r="C5442" t="inlineStr">
        <is>
          <t>Cedar Ridge Medical Center</t>
        </is>
      </c>
      <c r="D5442" t="n">
        <v>76</v>
      </c>
    </row>
    <row r="5443">
      <c r="A5443" t="inlineStr">
        <is>
          <t>ED205561</t>
        </is>
      </c>
      <c r="B5443" s="56" t="n">
        <v>45632.06041666667</v>
      </c>
      <c r="C5443" t="inlineStr">
        <is>
          <t>Cedar Ridge Medical Center</t>
        </is>
      </c>
      <c r="D5443" t="n">
        <v>17</v>
      </c>
    </row>
    <row r="5444">
      <c r="A5444" t="inlineStr">
        <is>
          <t>ED205562</t>
        </is>
      </c>
      <c r="B5444" s="56" t="n">
        <v>45632.09444444445</v>
      </c>
      <c r="C5444" t="inlineStr">
        <is>
          <t>Bluestone Memorial Hospital</t>
        </is>
      </c>
      <c r="D5444" t="n">
        <v>29</v>
      </c>
    </row>
    <row r="5445">
      <c r="A5445" t="inlineStr">
        <is>
          <t>ED205563</t>
        </is>
      </c>
      <c r="B5445" s="56" t="n">
        <v>45632.22361111111</v>
      </c>
      <c r="C5445" t="inlineStr">
        <is>
          <t>Bluestone Memorial Hospital</t>
        </is>
      </c>
      <c r="D5445" t="n">
        <v>38</v>
      </c>
    </row>
    <row r="5446">
      <c r="A5446" t="inlineStr">
        <is>
          <t>ED205564</t>
        </is>
      </c>
      <c r="B5446" s="56" t="n">
        <v>45632.27013888889</v>
      </c>
      <c r="C5446" t="inlineStr">
        <is>
          <t>Ashby Falls Community Hospital</t>
        </is>
      </c>
      <c r="D5446" t="n">
        <v>35</v>
      </c>
    </row>
    <row r="5447">
      <c r="A5447" t="inlineStr">
        <is>
          <t>ED205565</t>
        </is>
      </c>
      <c r="B5447" s="56" t="n">
        <v>45632.43402777778</v>
      </c>
      <c r="C5447" t="inlineStr">
        <is>
          <t>Bluestone Memorial Hospital</t>
        </is>
      </c>
      <c r="D5447" t="n">
        <v>26</v>
      </c>
    </row>
    <row r="5448">
      <c r="A5448" t="inlineStr">
        <is>
          <t>ED205566</t>
        </is>
      </c>
      <c r="B5448" s="56" t="n">
        <v>45632.46666666667</v>
      </c>
      <c r="C5448" t="inlineStr">
        <is>
          <t>Cedar Ridge Medical Center</t>
        </is>
      </c>
      <c r="D5448" t="n">
        <v>84</v>
      </c>
    </row>
    <row r="5449">
      <c r="A5449" t="inlineStr">
        <is>
          <t>ED205567</t>
        </is>
      </c>
      <c r="B5449" s="56" t="n">
        <v>45632.54027777778</v>
      </c>
      <c r="C5449" t="inlineStr">
        <is>
          <t>Bluestone Memorial Hospital</t>
        </is>
      </c>
      <c r="D5449" t="n">
        <v>24</v>
      </c>
    </row>
    <row r="5450">
      <c r="A5450" t="inlineStr">
        <is>
          <t>ED205568</t>
        </is>
      </c>
      <c r="B5450" s="56" t="n">
        <v>45632.61875</v>
      </c>
      <c r="C5450" t="inlineStr">
        <is>
          <t>Bluestone Memorial Hospital</t>
        </is>
      </c>
      <c r="D5450" t="n">
        <v>70</v>
      </c>
    </row>
    <row r="5451">
      <c r="A5451" t="inlineStr">
        <is>
          <t>ED205569</t>
        </is>
      </c>
      <c r="B5451" s="56" t="n">
        <v>45632.62222222222</v>
      </c>
      <c r="C5451" t="inlineStr">
        <is>
          <t>Cedar Ridge Medical Center</t>
        </is>
      </c>
      <c r="D5451" t="n">
        <v>13</v>
      </c>
    </row>
    <row r="5452">
      <c r="A5452" t="inlineStr">
        <is>
          <t>ED205570</t>
        </is>
      </c>
      <c r="B5452" s="56" t="n">
        <v>45632.64444444444</v>
      </c>
      <c r="C5452" t="inlineStr">
        <is>
          <t>Ashby Falls Community Hospital</t>
        </is>
      </c>
      <c r="D5452" t="n">
        <v>63</v>
      </c>
    </row>
    <row r="5453">
      <c r="A5453" t="inlineStr">
        <is>
          <t>ED205571</t>
        </is>
      </c>
      <c r="B5453" s="56" t="n">
        <v>45632.71666666667</v>
      </c>
      <c r="C5453" t="inlineStr">
        <is>
          <t>Bluestone Memorial Hospital</t>
        </is>
      </c>
      <c r="D5453" t="n">
        <v>18</v>
      </c>
    </row>
    <row r="5454">
      <c r="A5454" t="inlineStr">
        <is>
          <t>ED205572</t>
        </is>
      </c>
      <c r="B5454" s="56" t="n">
        <v>45632.74791666667</v>
      </c>
      <c r="C5454" t="inlineStr">
        <is>
          <t>Cedar Ridge Medical Center</t>
        </is>
      </c>
      <c r="D5454" t="n">
        <v>71</v>
      </c>
    </row>
    <row r="5455">
      <c r="A5455" t="inlineStr">
        <is>
          <t>ED205573</t>
        </is>
      </c>
      <c r="B5455" s="56" t="n">
        <v>45632.79305555556</v>
      </c>
      <c r="C5455" t="inlineStr">
        <is>
          <t>Bluestone Memorial Hospital</t>
        </is>
      </c>
      <c r="D5455" t="n">
        <v>40</v>
      </c>
    </row>
    <row r="5456">
      <c r="A5456" t="inlineStr">
        <is>
          <t>ED205574</t>
        </is>
      </c>
      <c r="B5456" s="56" t="n">
        <v>45632.85833333333</v>
      </c>
      <c r="C5456" t="inlineStr">
        <is>
          <t>Bluestone Memorial Hospital</t>
        </is>
      </c>
      <c r="D5456" t="n">
        <v>180</v>
      </c>
    </row>
    <row r="5457">
      <c r="A5457" t="inlineStr">
        <is>
          <t>ED205575</t>
        </is>
      </c>
      <c r="B5457" s="56" t="n">
        <v>45632.90069444444</v>
      </c>
      <c r="C5457" t="inlineStr">
        <is>
          <t>Bluestone Memorial Hospital</t>
        </is>
      </c>
      <c r="D5457" t="n">
        <v>35</v>
      </c>
    </row>
    <row r="5458">
      <c r="A5458" t="inlineStr">
        <is>
          <t>ED205576</t>
        </is>
      </c>
      <c r="B5458" s="56" t="n">
        <v>45632.91875</v>
      </c>
      <c r="C5458" t="inlineStr">
        <is>
          <t>Bluestone Memorial Hospital</t>
        </is>
      </c>
      <c r="D5458" t="n">
        <v>66</v>
      </c>
    </row>
    <row r="5459">
      <c r="A5459" t="inlineStr">
        <is>
          <t>ED205577</t>
        </is>
      </c>
      <c r="B5459" s="56" t="n">
        <v>45632.95138888889</v>
      </c>
      <c r="C5459" t="inlineStr">
        <is>
          <t>Bluestone Memorial Hospital</t>
        </is>
      </c>
      <c r="D5459" t="n">
        <v>13</v>
      </c>
    </row>
    <row r="5460">
      <c r="A5460" t="inlineStr">
        <is>
          <t>ED205578</t>
        </is>
      </c>
      <c r="B5460" s="56" t="n">
        <v>45633.01944444444</v>
      </c>
      <c r="C5460" t="inlineStr">
        <is>
          <t>Bluestone Memorial Hospital</t>
        </is>
      </c>
      <c r="D5460" t="n">
        <v>93</v>
      </c>
    </row>
    <row r="5461">
      <c r="A5461" t="inlineStr">
        <is>
          <t>ED205580</t>
        </is>
      </c>
      <c r="B5461" s="56" t="n">
        <v>45633.07083333333</v>
      </c>
      <c r="C5461" t="inlineStr">
        <is>
          <t>Bluestone Memorial Hospital</t>
        </is>
      </c>
      <c r="D5461" t="n">
        <v>57</v>
      </c>
    </row>
    <row r="5462">
      <c r="A5462" t="inlineStr">
        <is>
          <t>ED205581</t>
        </is>
      </c>
      <c r="B5462" s="56" t="n">
        <v>45633.07777777778</v>
      </c>
      <c r="C5462" t="inlineStr">
        <is>
          <t>Cedar Ridge Medical Center</t>
        </is>
      </c>
      <c r="D5462" t="n">
        <v>53</v>
      </c>
    </row>
    <row r="5463">
      <c r="A5463" t="inlineStr">
        <is>
          <t>ED205582</t>
        </is>
      </c>
      <c r="B5463" s="56" t="n">
        <v>45633.33888888889</v>
      </c>
      <c r="C5463" t="inlineStr">
        <is>
          <t>Bluestone Memorial Hospital</t>
        </is>
      </c>
      <c r="D5463" t="n">
        <v>33</v>
      </c>
    </row>
    <row r="5464">
      <c r="A5464" t="inlineStr">
        <is>
          <t>ED205583</t>
        </is>
      </c>
      <c r="B5464" s="56" t="n">
        <v>45633.42777777778</v>
      </c>
      <c r="C5464" t="inlineStr">
        <is>
          <t>Bluestone Memorial Hospital</t>
        </is>
      </c>
      <c r="D5464" t="n">
        <v>15</v>
      </c>
    </row>
    <row r="5465">
      <c r="A5465" t="inlineStr">
        <is>
          <t>ED205584</t>
        </is>
      </c>
      <c r="B5465" s="56" t="n">
        <v>45633.42847222222</v>
      </c>
      <c r="C5465" t="inlineStr">
        <is>
          <t>Bluestone Memorial Hospital</t>
        </is>
      </c>
      <c r="D5465" t="n">
        <v>144</v>
      </c>
    </row>
    <row r="5466">
      <c r="A5466" t="inlineStr">
        <is>
          <t>ED205585</t>
        </is>
      </c>
      <c r="B5466" s="56" t="n">
        <v>45633.44652777778</v>
      </c>
      <c r="C5466" t="inlineStr">
        <is>
          <t>Bluestone Memorial Hospital</t>
        </is>
      </c>
      <c r="D5466" t="n">
        <v>63</v>
      </c>
    </row>
    <row r="5467">
      <c r="A5467" t="inlineStr">
        <is>
          <t>ED205586</t>
        </is>
      </c>
      <c r="B5467" s="56" t="n">
        <v>45633.45763888889</v>
      </c>
      <c r="C5467" t="inlineStr">
        <is>
          <t>Bluestone Memorial Hospital</t>
        </is>
      </c>
      <c r="D5467" t="n">
        <v>49</v>
      </c>
    </row>
    <row r="5468">
      <c r="A5468" t="inlineStr">
        <is>
          <t>ED205587</t>
        </is>
      </c>
      <c r="B5468" s="56" t="n">
        <v>45633.53680555556</v>
      </c>
      <c r="C5468" t="inlineStr">
        <is>
          <t>Bluestone Memorial Hospital</t>
        </is>
      </c>
      <c r="D5468" t="n">
        <v>77</v>
      </c>
    </row>
    <row r="5469">
      <c r="A5469" t="inlineStr">
        <is>
          <t>ED205588</t>
        </is>
      </c>
      <c r="B5469" s="56" t="n">
        <v>45633.57291666666</v>
      </c>
      <c r="C5469" t="inlineStr">
        <is>
          <t>Bluestone Memorial Hospital</t>
        </is>
      </c>
      <c r="D5469" t="n">
        <v>62</v>
      </c>
    </row>
    <row r="5470">
      <c r="A5470" t="inlineStr">
        <is>
          <t>ED205589</t>
        </is>
      </c>
      <c r="B5470" s="56" t="n">
        <v>45633.62222222222</v>
      </c>
      <c r="C5470" t="inlineStr">
        <is>
          <t>Bluestone Memorial Hospital</t>
        </is>
      </c>
      <c r="D5470" t="n">
        <v>52</v>
      </c>
    </row>
    <row r="5471">
      <c r="A5471" t="inlineStr">
        <is>
          <t>ED205590</t>
        </is>
      </c>
      <c r="B5471" s="56" t="n">
        <v>45633.68333333333</v>
      </c>
      <c r="C5471" t="inlineStr">
        <is>
          <t>Bluestone Memorial Hospital</t>
        </is>
      </c>
      <c r="D5471" t="n">
        <v>33</v>
      </c>
    </row>
    <row r="5472">
      <c r="A5472" t="inlineStr">
        <is>
          <t>ED205591</t>
        </is>
      </c>
      <c r="B5472" s="56" t="n">
        <v>45633.70416666667</v>
      </c>
      <c r="C5472" t="inlineStr">
        <is>
          <t>Bluestone Memorial Hospital</t>
        </is>
      </c>
      <c r="D5472" t="n">
        <v>33</v>
      </c>
    </row>
    <row r="5473">
      <c r="A5473" t="inlineStr">
        <is>
          <t>ED205592</t>
        </is>
      </c>
      <c r="B5473" s="56" t="n">
        <v>45633.78680555556</v>
      </c>
      <c r="C5473" t="inlineStr">
        <is>
          <t>Bluestone Memorial Hospital</t>
        </is>
      </c>
      <c r="D5473" t="n">
        <v>15</v>
      </c>
    </row>
    <row r="5474">
      <c r="A5474" t="inlineStr">
        <is>
          <t>ED205593</t>
        </is>
      </c>
      <c r="B5474" s="56" t="n">
        <v>45633.78958333333</v>
      </c>
      <c r="C5474" t="inlineStr">
        <is>
          <t>Cedar Ridge Medical Center</t>
        </is>
      </c>
      <c r="D5474" t="n">
        <v>52</v>
      </c>
    </row>
    <row r="5475">
      <c r="A5475" t="inlineStr">
        <is>
          <t>ED205594</t>
        </is>
      </c>
      <c r="B5475" s="56" t="n">
        <v>45633.92916666667</v>
      </c>
      <c r="C5475" t="inlineStr">
        <is>
          <t>Bluestone Memorial Hospital</t>
        </is>
      </c>
      <c r="D5475" t="n">
        <v>82</v>
      </c>
    </row>
    <row r="5476">
      <c r="A5476" t="inlineStr">
        <is>
          <t>ED205595</t>
        </is>
      </c>
      <c r="B5476" s="56" t="n">
        <v>45634.24652777778</v>
      </c>
      <c r="C5476" t="inlineStr">
        <is>
          <t>Bluestone Memorial Hospital</t>
        </is>
      </c>
      <c r="D5476" t="n">
        <v>10</v>
      </c>
    </row>
    <row r="5477">
      <c r="A5477" t="inlineStr">
        <is>
          <t>ED205596</t>
        </is>
      </c>
      <c r="B5477" s="56" t="n">
        <v>45634.36527777778</v>
      </c>
      <c r="C5477" t="inlineStr">
        <is>
          <t>Bluestone Memorial Hospital</t>
        </is>
      </c>
      <c r="D5477" t="n">
        <v>19</v>
      </c>
    </row>
    <row r="5478">
      <c r="A5478" t="inlineStr">
        <is>
          <t>ED205597</t>
        </is>
      </c>
      <c r="B5478" s="56" t="n">
        <v>45634.38055555556</v>
      </c>
      <c r="C5478" t="inlineStr">
        <is>
          <t>Bluestone Memorial Hospital</t>
        </is>
      </c>
      <c r="D5478" t="n">
        <v>41</v>
      </c>
    </row>
    <row r="5479">
      <c r="A5479" t="inlineStr">
        <is>
          <t>ED205598</t>
        </is>
      </c>
      <c r="B5479" s="56" t="n">
        <v>45634.42847222222</v>
      </c>
      <c r="C5479" t="inlineStr">
        <is>
          <t>Bluestone Memorial Hospital</t>
        </is>
      </c>
      <c r="D5479" t="n">
        <v>33</v>
      </c>
    </row>
    <row r="5480">
      <c r="A5480" t="inlineStr">
        <is>
          <t>ED205599</t>
        </is>
      </c>
      <c r="B5480" s="56" t="n">
        <v>45634.54305555556</v>
      </c>
      <c r="C5480" t="inlineStr">
        <is>
          <t>Bluestone Memorial Hospital</t>
        </is>
      </c>
      <c r="D5480" t="n">
        <v>15</v>
      </c>
    </row>
    <row r="5481">
      <c r="A5481" t="inlineStr">
        <is>
          <t>ED205600</t>
        </is>
      </c>
      <c r="B5481" s="56" t="n">
        <v>45634.61319444444</v>
      </c>
      <c r="C5481" t="inlineStr">
        <is>
          <t>Ashby Falls Community Hospital</t>
        </is>
      </c>
      <c r="D5481" t="n">
        <v>37</v>
      </c>
    </row>
    <row r="5482">
      <c r="A5482" t="inlineStr">
        <is>
          <t>ED205601</t>
        </is>
      </c>
      <c r="B5482" s="56" t="n">
        <v>45634.67361111111</v>
      </c>
      <c r="C5482" t="inlineStr">
        <is>
          <t>Bluestone Memorial Hospital</t>
        </is>
      </c>
      <c r="D5482" t="n">
        <v>14</v>
      </c>
    </row>
    <row r="5483">
      <c r="A5483" t="inlineStr">
        <is>
          <t>ED205602</t>
        </is>
      </c>
      <c r="B5483" s="56" t="n">
        <v>45634.69722222222</v>
      </c>
      <c r="C5483" t="inlineStr">
        <is>
          <t>Cedar Ridge Medical Center</t>
        </is>
      </c>
      <c r="D5483" t="n">
        <v>146</v>
      </c>
    </row>
    <row r="5484">
      <c r="A5484" t="inlineStr">
        <is>
          <t>ED205603</t>
        </is>
      </c>
      <c r="B5484" s="56" t="n">
        <v>45634.71944444445</v>
      </c>
      <c r="C5484" t="inlineStr">
        <is>
          <t>Bluestone Memorial Hospital</t>
        </is>
      </c>
      <c r="D5484" t="n">
        <v>20</v>
      </c>
    </row>
    <row r="5485">
      <c r="A5485" t="inlineStr">
        <is>
          <t>ED205604</t>
        </is>
      </c>
      <c r="B5485" s="56" t="n">
        <v>45634.81041666667</v>
      </c>
      <c r="C5485" t="inlineStr">
        <is>
          <t>Bluestone Memorial Hospital</t>
        </is>
      </c>
      <c r="D5485" t="n">
        <v>24</v>
      </c>
    </row>
    <row r="5486">
      <c r="A5486" t="inlineStr">
        <is>
          <t>ED205605</t>
        </is>
      </c>
      <c r="B5486" s="56" t="n">
        <v>45634.85555555556</v>
      </c>
      <c r="C5486" t="inlineStr">
        <is>
          <t>Cedar Ridge Medical Center</t>
        </is>
      </c>
      <c r="D5486" t="n">
        <v>93</v>
      </c>
    </row>
    <row r="5487">
      <c r="A5487" t="inlineStr">
        <is>
          <t>ED205606</t>
        </is>
      </c>
      <c r="B5487" s="56" t="n">
        <v>45635.09722222222</v>
      </c>
      <c r="C5487" t="inlineStr">
        <is>
          <t>Bluestone Memorial Hospital</t>
        </is>
      </c>
      <c r="D5487" t="n">
        <v>36</v>
      </c>
    </row>
    <row r="5488">
      <c r="A5488" t="inlineStr">
        <is>
          <t>ED205607</t>
        </is>
      </c>
      <c r="B5488" s="56" t="n">
        <v>45635.13611111111</v>
      </c>
      <c r="C5488" t="inlineStr">
        <is>
          <t>Bluestone Memorial Hospital</t>
        </is>
      </c>
      <c r="D5488" t="n">
        <v>27</v>
      </c>
    </row>
    <row r="5489">
      <c r="A5489" t="inlineStr">
        <is>
          <t>ED205608</t>
        </is>
      </c>
      <c r="B5489" s="56" t="n">
        <v>45635.1625</v>
      </c>
      <c r="C5489" t="inlineStr">
        <is>
          <t>Bluestone Memorial Hospital</t>
        </is>
      </c>
      <c r="D5489" t="n">
        <v>5</v>
      </c>
    </row>
    <row r="5490">
      <c r="A5490" t="inlineStr">
        <is>
          <t>ED205609</t>
        </is>
      </c>
      <c r="B5490" s="56" t="n">
        <v>45635.25763888889</v>
      </c>
      <c r="C5490" t="inlineStr">
        <is>
          <t>Cedar Ridge Medical Center</t>
        </is>
      </c>
      <c r="D5490" t="n">
        <v>3</v>
      </c>
    </row>
    <row r="5491">
      <c r="A5491" t="inlineStr">
        <is>
          <t>ED205610</t>
        </is>
      </c>
      <c r="B5491" s="56" t="n">
        <v>45635.29097222222</v>
      </c>
      <c r="C5491" t="inlineStr">
        <is>
          <t>Bluestone Memorial Hospital</t>
        </is>
      </c>
      <c r="D5491" t="n">
        <v>38</v>
      </c>
    </row>
    <row r="5492">
      <c r="A5492" t="inlineStr">
        <is>
          <t>ED205611</t>
        </is>
      </c>
      <c r="B5492" s="56" t="n">
        <v>45635.35208333333</v>
      </c>
      <c r="C5492" t="inlineStr">
        <is>
          <t>Ashby Falls Community Hospital</t>
        </is>
      </c>
      <c r="D5492" t="n">
        <v>22</v>
      </c>
    </row>
    <row r="5493">
      <c r="A5493" t="inlineStr">
        <is>
          <t>ED205612</t>
        </is>
      </c>
      <c r="B5493" s="56" t="n">
        <v>45635.38333333333</v>
      </c>
      <c r="C5493" t="inlineStr">
        <is>
          <t>Bluestone Memorial Hospital</t>
        </is>
      </c>
      <c r="D5493" t="n">
        <v>7</v>
      </c>
    </row>
    <row r="5494">
      <c r="A5494" t="inlineStr">
        <is>
          <t>ED205613</t>
        </is>
      </c>
      <c r="B5494" s="56" t="n">
        <v>45635.38888888889</v>
      </c>
      <c r="C5494" t="inlineStr">
        <is>
          <t>Bluestone Memorial Hospital</t>
        </is>
      </c>
      <c r="D5494" t="n">
        <v>29</v>
      </c>
    </row>
    <row r="5495">
      <c r="A5495" t="inlineStr">
        <is>
          <t>ED205614</t>
        </is>
      </c>
      <c r="B5495" s="56" t="n">
        <v>45635.45138888889</v>
      </c>
      <c r="C5495" t="inlineStr">
        <is>
          <t>Ashby Falls Community Hospital</t>
        </is>
      </c>
      <c r="D5495" t="n">
        <v>74</v>
      </c>
    </row>
    <row r="5496">
      <c r="A5496" t="inlineStr">
        <is>
          <t>ED205615</t>
        </is>
      </c>
      <c r="B5496" s="56" t="n">
        <v>45635.47638888889</v>
      </c>
      <c r="C5496" t="inlineStr">
        <is>
          <t>Bluestone Memorial Hospital</t>
        </is>
      </c>
      <c r="D5496" t="n">
        <v>23</v>
      </c>
    </row>
    <row r="5497">
      <c r="A5497" t="inlineStr">
        <is>
          <t>ED205616</t>
        </is>
      </c>
      <c r="B5497" s="56" t="n">
        <v>45635.49166666667</v>
      </c>
      <c r="C5497" t="inlineStr">
        <is>
          <t>Bluestone Memorial Hospital</t>
        </is>
      </c>
      <c r="D5497" t="n">
        <v>101</v>
      </c>
    </row>
    <row r="5498">
      <c r="A5498" t="inlineStr">
        <is>
          <t>ED205617</t>
        </is>
      </c>
      <c r="B5498" s="56" t="n">
        <v>45635.68055555555</v>
      </c>
      <c r="C5498" t="inlineStr">
        <is>
          <t>Bluestone Memorial Hospital</t>
        </is>
      </c>
      <c r="D5498" t="n">
        <v>26</v>
      </c>
    </row>
    <row r="5499">
      <c r="A5499" t="inlineStr">
        <is>
          <t>ED205618</t>
        </is>
      </c>
      <c r="B5499" s="56" t="n">
        <v>45635.73958333334</v>
      </c>
      <c r="C5499" t="inlineStr">
        <is>
          <t>Cedar Ridge Medical Center</t>
        </is>
      </c>
      <c r="D5499" t="n">
        <v>48</v>
      </c>
    </row>
    <row r="5500">
      <c r="A5500" t="inlineStr">
        <is>
          <t>ED205619</t>
        </is>
      </c>
      <c r="B5500" s="56" t="n">
        <v>45635.79236111111</v>
      </c>
      <c r="C5500" t="inlineStr">
        <is>
          <t>Cedar Ridge Medical Center</t>
        </is>
      </c>
      <c r="D5500" t="n">
        <v>49</v>
      </c>
    </row>
    <row r="5501">
      <c r="A5501" t="inlineStr">
        <is>
          <t>ED205620</t>
        </is>
      </c>
      <c r="B5501" s="56" t="n">
        <v>45635.88055555556</v>
      </c>
      <c r="C5501" t="inlineStr">
        <is>
          <t>Cedar Ridge Medical Center</t>
        </is>
      </c>
      <c r="D5501" t="n">
        <v>41</v>
      </c>
    </row>
    <row r="5502">
      <c r="A5502" t="inlineStr">
        <is>
          <t>ED205621</t>
        </is>
      </c>
      <c r="B5502" s="56" t="n">
        <v>45635.88680555556</v>
      </c>
      <c r="C5502" t="inlineStr">
        <is>
          <t>Bluestone Memorial Hospital</t>
        </is>
      </c>
      <c r="D5502" t="n">
        <v>107</v>
      </c>
    </row>
    <row r="5503">
      <c r="A5503" t="inlineStr">
        <is>
          <t>ED205623</t>
        </is>
      </c>
      <c r="B5503" s="56" t="n">
        <v>45635.91319444445</v>
      </c>
      <c r="C5503" t="inlineStr">
        <is>
          <t>Bluestone Memorial Hospital</t>
        </is>
      </c>
      <c r="D5503" t="n">
        <v>19</v>
      </c>
    </row>
    <row r="5504">
      <c r="A5504" t="inlineStr">
        <is>
          <t>ED205624</t>
        </is>
      </c>
      <c r="B5504" s="56" t="n">
        <v>45636.00277777778</v>
      </c>
      <c r="C5504" t="inlineStr">
        <is>
          <t>Bluestone Memorial Hospital</t>
        </is>
      </c>
      <c r="D5504" t="n">
        <v>10</v>
      </c>
    </row>
    <row r="5505">
      <c r="A5505" t="inlineStr">
        <is>
          <t>ED205625</t>
        </is>
      </c>
      <c r="B5505" s="56" t="n">
        <v>45636.15833333333</v>
      </c>
      <c r="C5505" t="inlineStr">
        <is>
          <t>Bluestone Memorial Hospital</t>
        </is>
      </c>
      <c r="D5505" t="n">
        <v>23</v>
      </c>
    </row>
    <row r="5506">
      <c r="A5506" t="inlineStr">
        <is>
          <t>ED205626</t>
        </is>
      </c>
      <c r="B5506" s="56" t="n">
        <v>45636.17638888889</v>
      </c>
      <c r="C5506" t="inlineStr">
        <is>
          <t>Ashby Falls Community Hospital</t>
        </is>
      </c>
      <c r="D5506" t="n">
        <v>14</v>
      </c>
    </row>
    <row r="5507">
      <c r="A5507" t="inlineStr">
        <is>
          <t>ED205627</t>
        </is>
      </c>
      <c r="B5507" s="56" t="n">
        <v>45636.18611111111</v>
      </c>
      <c r="C5507" t="inlineStr">
        <is>
          <t>Bluestone Memorial Hospital</t>
        </is>
      </c>
      <c r="D5507" t="n">
        <v>35</v>
      </c>
    </row>
    <row r="5508">
      <c r="A5508" t="inlineStr">
        <is>
          <t>ED205628</t>
        </is>
      </c>
      <c r="B5508" s="56" t="n">
        <v>45636.40138888889</v>
      </c>
      <c r="C5508" t="inlineStr">
        <is>
          <t>Bluestone Memorial Hospital</t>
        </is>
      </c>
      <c r="D5508" t="n">
        <v>103</v>
      </c>
    </row>
    <row r="5509">
      <c r="A5509" t="inlineStr">
        <is>
          <t>ED205629</t>
        </is>
      </c>
      <c r="B5509" s="56" t="n">
        <v>45636.42916666667</v>
      </c>
      <c r="C5509" t="inlineStr">
        <is>
          <t>Bluestone Memorial Hospital</t>
        </is>
      </c>
      <c r="D5509" t="n">
        <v>93</v>
      </c>
    </row>
    <row r="5510">
      <c r="A5510" t="inlineStr">
        <is>
          <t>ED205630</t>
        </is>
      </c>
      <c r="B5510" s="56" t="n">
        <v>45636.42916666667</v>
      </c>
      <c r="C5510" t="inlineStr">
        <is>
          <t>Cedar Ridge Medical Center</t>
        </is>
      </c>
      <c r="D5510" t="n">
        <v>75</v>
      </c>
    </row>
    <row r="5511">
      <c r="A5511" t="inlineStr">
        <is>
          <t>ED205631</t>
        </is>
      </c>
      <c r="B5511" s="56" t="n">
        <v>45636.45208333333</v>
      </c>
      <c r="C5511" t="inlineStr">
        <is>
          <t>Bluestone Memorial Hospital</t>
        </is>
      </c>
      <c r="D5511" t="n">
        <v>28</v>
      </c>
    </row>
    <row r="5512">
      <c r="A5512" t="inlineStr">
        <is>
          <t>ED205632</t>
        </is>
      </c>
      <c r="B5512" s="56" t="n">
        <v>45636.46458333333</v>
      </c>
      <c r="C5512" t="inlineStr">
        <is>
          <t>Bluestone Memorial Hospital</t>
        </is>
      </c>
      <c r="D5512" t="n">
        <v>55</v>
      </c>
    </row>
    <row r="5513">
      <c r="A5513" t="inlineStr">
        <is>
          <t>ED205633</t>
        </is>
      </c>
      <c r="B5513" s="56" t="n">
        <v>45636.47569444445</v>
      </c>
      <c r="C5513" t="inlineStr">
        <is>
          <t>Bluestone Memorial Hospital</t>
        </is>
      </c>
      <c r="D5513" t="n">
        <v>44</v>
      </c>
    </row>
    <row r="5514">
      <c r="A5514" t="inlineStr">
        <is>
          <t>ED205634</t>
        </is>
      </c>
      <c r="B5514" s="56" t="n">
        <v>45636.47638888889</v>
      </c>
      <c r="C5514" t="inlineStr">
        <is>
          <t>Bluestone Memorial Hospital</t>
        </is>
      </c>
      <c r="D5514" t="n">
        <v>15</v>
      </c>
    </row>
    <row r="5515">
      <c r="A5515" t="inlineStr">
        <is>
          <t>ED205635</t>
        </is>
      </c>
      <c r="B5515" s="56" t="n">
        <v>45636.49583333333</v>
      </c>
      <c r="C5515" t="inlineStr">
        <is>
          <t>Bluestone Memorial Hospital</t>
        </is>
      </c>
      <c r="D5515" t="n">
        <v>31</v>
      </c>
    </row>
    <row r="5516">
      <c r="A5516" t="inlineStr">
        <is>
          <t>ED205636</t>
        </is>
      </c>
      <c r="B5516" s="56" t="n">
        <v>45636.51666666667</v>
      </c>
      <c r="C5516" t="inlineStr">
        <is>
          <t>Bluestone Memorial Hospital</t>
        </is>
      </c>
      <c r="D5516" t="n">
        <v>93</v>
      </c>
    </row>
    <row r="5517">
      <c r="A5517" t="inlineStr">
        <is>
          <t>ED205637</t>
        </is>
      </c>
      <c r="B5517" s="56" t="n">
        <v>45636.53402777778</v>
      </c>
      <c r="C5517" t="inlineStr">
        <is>
          <t>Bluestone Memorial Hospital</t>
        </is>
      </c>
      <c r="D5517" t="n">
        <v>11</v>
      </c>
    </row>
    <row r="5518">
      <c r="A5518" t="inlineStr">
        <is>
          <t>ED205638</t>
        </is>
      </c>
      <c r="B5518" s="56" t="n">
        <v>45636.59166666667</v>
      </c>
      <c r="C5518" t="inlineStr">
        <is>
          <t>Cedar Ridge Medical Center</t>
        </is>
      </c>
      <c r="D5518" t="n">
        <v>21</v>
      </c>
    </row>
    <row r="5519">
      <c r="A5519" t="inlineStr">
        <is>
          <t>ED205639</t>
        </is>
      </c>
      <c r="B5519" s="56" t="n">
        <v>45636.67361111111</v>
      </c>
      <c r="C5519" t="inlineStr">
        <is>
          <t>Bluestone Memorial Hospital</t>
        </is>
      </c>
      <c r="D5519" t="n">
        <v>21</v>
      </c>
    </row>
    <row r="5520">
      <c r="A5520" t="inlineStr">
        <is>
          <t>ED205640</t>
        </is>
      </c>
      <c r="B5520" s="56" t="n">
        <v>45636.69166666667</v>
      </c>
      <c r="C5520" t="inlineStr">
        <is>
          <t>Bluestone Memorial Hospital</t>
        </is>
      </c>
      <c r="D5520" t="n">
        <v>69</v>
      </c>
    </row>
    <row r="5521">
      <c r="A5521" t="inlineStr">
        <is>
          <t>ED205641</t>
        </is>
      </c>
      <c r="B5521" s="56" t="n">
        <v>45636.70208333333</v>
      </c>
      <c r="C5521" t="inlineStr">
        <is>
          <t>Bluestone Memorial Hospital</t>
        </is>
      </c>
      <c r="D5521" t="n">
        <v>100</v>
      </c>
    </row>
    <row r="5522">
      <c r="A5522" t="inlineStr">
        <is>
          <t>ED205642</t>
        </is>
      </c>
      <c r="B5522" s="56" t="n">
        <v>45636.74236111111</v>
      </c>
      <c r="C5522" t="inlineStr">
        <is>
          <t>Bluestone Memorial Hospital</t>
        </is>
      </c>
      <c r="D5522" t="n">
        <v>98</v>
      </c>
    </row>
    <row r="5523">
      <c r="A5523" t="inlineStr">
        <is>
          <t>ED205643</t>
        </is>
      </c>
      <c r="B5523" s="56" t="n">
        <v>45636.75069444445</v>
      </c>
      <c r="C5523" t="inlineStr">
        <is>
          <t>Bluestone Memorial Hospital</t>
        </is>
      </c>
      <c r="D5523" t="n">
        <v>29</v>
      </c>
    </row>
    <row r="5524">
      <c r="A5524" t="inlineStr">
        <is>
          <t>ED205644</t>
        </is>
      </c>
      <c r="B5524" s="56" t="n">
        <v>45636.76944444444</v>
      </c>
      <c r="C5524" t="inlineStr">
        <is>
          <t>Bluestone Memorial Hospital</t>
        </is>
      </c>
      <c r="D5524" t="n">
        <v>22</v>
      </c>
    </row>
    <row r="5525">
      <c r="A5525" t="inlineStr">
        <is>
          <t>ED205645</t>
        </is>
      </c>
      <c r="B5525" s="56" t="n">
        <v>45636.87430555555</v>
      </c>
      <c r="C5525" t="inlineStr">
        <is>
          <t>Bluestone Memorial Hospital</t>
        </is>
      </c>
      <c r="D5525" t="n">
        <v>39</v>
      </c>
    </row>
    <row r="5526">
      <c r="A5526" t="inlineStr">
        <is>
          <t>ED205646</t>
        </is>
      </c>
      <c r="B5526" s="56" t="n">
        <v>45636.97013888889</v>
      </c>
      <c r="C5526" t="inlineStr">
        <is>
          <t>Cedar Ridge Medical Center</t>
        </is>
      </c>
      <c r="D5526" t="n">
        <v>29</v>
      </c>
    </row>
    <row r="5527">
      <c r="A5527" t="inlineStr">
        <is>
          <t>ED205647</t>
        </is>
      </c>
      <c r="B5527" s="56" t="n">
        <v>45637</v>
      </c>
      <c r="C5527" t="inlineStr">
        <is>
          <t>Bluestone Memorial Hospital</t>
        </is>
      </c>
      <c r="D5527" t="n">
        <v>35</v>
      </c>
    </row>
    <row r="5528">
      <c r="A5528" t="inlineStr">
        <is>
          <t>ED205648</t>
        </is>
      </c>
      <c r="B5528" s="56" t="n">
        <v>45637.00277777778</v>
      </c>
      <c r="C5528" t="inlineStr">
        <is>
          <t>Bluestone Memorial Hospital</t>
        </is>
      </c>
      <c r="D5528" t="n">
        <v>19</v>
      </c>
    </row>
    <row r="5529">
      <c r="A5529" t="inlineStr">
        <is>
          <t>ED205649</t>
        </is>
      </c>
      <c r="B5529" s="56" t="n">
        <v>45637.08541666667</v>
      </c>
      <c r="C5529" t="inlineStr">
        <is>
          <t>Ashby Falls Community Hospital</t>
        </is>
      </c>
      <c r="D5529" t="n">
        <v>4</v>
      </c>
    </row>
    <row r="5530">
      <c r="A5530" t="inlineStr">
        <is>
          <t>ED205650</t>
        </is>
      </c>
      <c r="B5530" s="56" t="n">
        <v>45637.18888888889</v>
      </c>
      <c r="C5530" t="inlineStr">
        <is>
          <t>Bluestone Memorial Hospital</t>
        </is>
      </c>
      <c r="D5530" t="n">
        <v>41</v>
      </c>
    </row>
    <row r="5531">
      <c r="A5531" t="inlineStr">
        <is>
          <t>ED205651</t>
        </is>
      </c>
      <c r="B5531" s="56" t="n">
        <v>45637.43611111111</v>
      </c>
      <c r="C5531" t="inlineStr">
        <is>
          <t>Ashby Falls Community Hospital</t>
        </is>
      </c>
      <c r="D5531" t="n">
        <v>135</v>
      </c>
    </row>
    <row r="5532">
      <c r="A5532" t="inlineStr">
        <is>
          <t>ED205652</t>
        </is>
      </c>
      <c r="B5532" s="56" t="n">
        <v>45637.45277777778</v>
      </c>
      <c r="C5532" t="inlineStr">
        <is>
          <t>Bluestone Memorial Hospital</t>
        </is>
      </c>
      <c r="D5532" t="n">
        <v>86</v>
      </c>
    </row>
    <row r="5533">
      <c r="A5533" t="inlineStr">
        <is>
          <t>ED205653</t>
        </is>
      </c>
      <c r="B5533" s="56" t="n">
        <v>45637.45555555556</v>
      </c>
      <c r="C5533" t="inlineStr">
        <is>
          <t>Bluestone Memorial Hospital</t>
        </is>
      </c>
      <c r="D5533" t="n">
        <v>54</v>
      </c>
    </row>
    <row r="5534">
      <c r="A5534" t="inlineStr">
        <is>
          <t>ED205654</t>
        </is>
      </c>
      <c r="B5534" s="56" t="n">
        <v>45637.47708333333</v>
      </c>
      <c r="C5534" t="inlineStr">
        <is>
          <t>Bluestone Memorial Hospital</t>
        </is>
      </c>
      <c r="D5534" t="n">
        <v>93</v>
      </c>
    </row>
    <row r="5535">
      <c r="A5535" t="inlineStr">
        <is>
          <t>ED205655</t>
        </is>
      </c>
      <c r="B5535" s="56" t="n">
        <v>45637.48055555556</v>
      </c>
      <c r="C5535" t="inlineStr">
        <is>
          <t>Bluestone Memorial Hospital</t>
        </is>
      </c>
      <c r="D5535" t="n">
        <v>37</v>
      </c>
    </row>
    <row r="5536">
      <c r="A5536" t="inlineStr">
        <is>
          <t>ED205656</t>
        </is>
      </c>
      <c r="B5536" s="56" t="n">
        <v>45637.49861111111</v>
      </c>
      <c r="C5536" t="inlineStr">
        <is>
          <t>Bluestone Memorial Hospital</t>
        </is>
      </c>
      <c r="D5536" t="n">
        <v>41</v>
      </c>
    </row>
    <row r="5537">
      <c r="A5537" t="inlineStr">
        <is>
          <t>ED205657</t>
        </is>
      </c>
      <c r="B5537" s="56" t="n">
        <v>45637.52361111111</v>
      </c>
      <c r="C5537" t="inlineStr">
        <is>
          <t>Bluestone Memorial Hospital</t>
        </is>
      </c>
      <c r="D5537" t="n">
        <v>73</v>
      </c>
    </row>
    <row r="5538">
      <c r="A5538" t="inlineStr">
        <is>
          <t>ED205658</t>
        </is>
      </c>
      <c r="B5538" s="56" t="n">
        <v>45637.53472222222</v>
      </c>
      <c r="C5538" t="inlineStr">
        <is>
          <t>Bluestone Memorial Hospital</t>
        </is>
      </c>
      <c r="D5538" t="n">
        <v>82</v>
      </c>
    </row>
    <row r="5539">
      <c r="A5539" t="inlineStr">
        <is>
          <t>ED205659</t>
        </is>
      </c>
      <c r="B5539" s="56" t="n">
        <v>45637.59513888889</v>
      </c>
      <c r="C5539" t="inlineStr">
        <is>
          <t>Cedar Ridge Medical Center</t>
        </is>
      </c>
      <c r="D5539" t="n">
        <v>25</v>
      </c>
    </row>
    <row r="5540">
      <c r="A5540" t="inlineStr">
        <is>
          <t>ED205660</t>
        </is>
      </c>
      <c r="B5540" s="56" t="n">
        <v>45637.62222222222</v>
      </c>
      <c r="C5540" t="inlineStr">
        <is>
          <t>Bluestone Memorial Hospital</t>
        </is>
      </c>
      <c r="D5540" t="n">
        <v>15</v>
      </c>
    </row>
    <row r="5541">
      <c r="A5541" t="inlineStr">
        <is>
          <t>ED205661</t>
        </is>
      </c>
      <c r="B5541" s="56" t="n">
        <v>45637.63819444444</v>
      </c>
      <c r="C5541" t="inlineStr">
        <is>
          <t>Bluestone Memorial Hospital</t>
        </is>
      </c>
      <c r="D5541" t="n">
        <v>17</v>
      </c>
    </row>
    <row r="5542">
      <c r="A5542" t="inlineStr">
        <is>
          <t>ED205662</t>
        </is>
      </c>
      <c r="B5542" s="56" t="n">
        <v>45637.78541666667</v>
      </c>
      <c r="C5542" t="inlineStr">
        <is>
          <t>Ashby Falls Community Hospital</t>
        </is>
      </c>
      <c r="D5542" t="n">
        <v>104</v>
      </c>
    </row>
    <row r="5543">
      <c r="A5543" t="inlineStr">
        <is>
          <t>ED205663</t>
        </is>
      </c>
      <c r="B5543" s="56" t="n">
        <v>45637.81875</v>
      </c>
      <c r="C5543" t="inlineStr">
        <is>
          <t>Bluestone Memorial Hospital</t>
        </is>
      </c>
      <c r="D5543" t="n">
        <v>34</v>
      </c>
    </row>
    <row r="5544">
      <c r="A5544" t="inlineStr">
        <is>
          <t>ED205664</t>
        </is>
      </c>
      <c r="B5544" s="56" t="n">
        <v>45637.89791666667</v>
      </c>
      <c r="C5544" t="inlineStr">
        <is>
          <t>Bluestone Memorial Hospital</t>
        </is>
      </c>
      <c r="D5544" t="n">
        <v>15</v>
      </c>
    </row>
    <row r="5545">
      <c r="A5545" t="inlineStr">
        <is>
          <t>ED205665</t>
        </is>
      </c>
      <c r="B5545" s="56" t="n">
        <v>45638.08611111111</v>
      </c>
      <c r="C5545" t="inlineStr">
        <is>
          <t>Bluestone Memorial Hospital</t>
        </is>
      </c>
      <c r="D5545" t="n">
        <v>27</v>
      </c>
    </row>
    <row r="5546">
      <c r="A5546" t="inlineStr">
        <is>
          <t>ED205666</t>
        </is>
      </c>
      <c r="B5546" s="56" t="n">
        <v>45638.25972222222</v>
      </c>
      <c r="C5546" t="inlineStr">
        <is>
          <t>Bluestone Memorial Hospital</t>
        </is>
      </c>
      <c r="D5546" t="n">
        <v>42</v>
      </c>
    </row>
    <row r="5547">
      <c r="A5547" t="inlineStr">
        <is>
          <t>ED205667</t>
        </is>
      </c>
      <c r="B5547" s="56" t="n">
        <v>45638.3375</v>
      </c>
      <c r="C5547" t="inlineStr">
        <is>
          <t>Ashby Falls Community Hospital</t>
        </is>
      </c>
      <c r="D5547" t="n">
        <v>31</v>
      </c>
    </row>
    <row r="5548">
      <c r="A5548" t="inlineStr">
        <is>
          <t>ED205668</t>
        </is>
      </c>
      <c r="B5548" s="56" t="n">
        <v>45638.39861111111</v>
      </c>
      <c r="C5548" t="inlineStr">
        <is>
          <t>Bluestone Memorial Hospital</t>
        </is>
      </c>
      <c r="D5548" t="n">
        <v>17</v>
      </c>
    </row>
    <row r="5549">
      <c r="A5549" t="inlineStr">
        <is>
          <t>ED205669</t>
        </is>
      </c>
      <c r="B5549" s="56" t="n">
        <v>45638.47430555556</v>
      </c>
      <c r="C5549" t="inlineStr">
        <is>
          <t>Ashby Falls Community Hospital</t>
        </is>
      </c>
      <c r="D5549" t="n">
        <v>26</v>
      </c>
    </row>
    <row r="5550">
      <c r="A5550" t="inlineStr">
        <is>
          <t>ED205670</t>
        </is>
      </c>
      <c r="B5550" s="56" t="n">
        <v>45638.475</v>
      </c>
      <c r="C5550" t="inlineStr">
        <is>
          <t>Bluestone Memorial Hospital</t>
        </is>
      </c>
      <c r="D5550" t="n">
        <v>152</v>
      </c>
    </row>
    <row r="5551">
      <c r="A5551" t="inlineStr">
        <is>
          <t>ED205671</t>
        </is>
      </c>
      <c r="B5551" s="56" t="n">
        <v>45638.48472222222</v>
      </c>
      <c r="C5551" t="inlineStr">
        <is>
          <t>Bluestone Memorial Hospital</t>
        </is>
      </c>
      <c r="D5551" t="n">
        <v>64</v>
      </c>
    </row>
    <row r="5552">
      <c r="A5552" t="inlineStr">
        <is>
          <t>ED205672</t>
        </is>
      </c>
      <c r="B5552" s="56" t="n">
        <v>45638.50833333333</v>
      </c>
      <c r="C5552" t="inlineStr">
        <is>
          <t>Ashby Falls Community Hospital</t>
        </is>
      </c>
      <c r="D5552" t="n">
        <v>56</v>
      </c>
    </row>
    <row r="5553">
      <c r="A5553" t="inlineStr">
        <is>
          <t>ED205673</t>
        </is>
      </c>
      <c r="B5553" s="56" t="n">
        <v>45638.50972222222</v>
      </c>
      <c r="C5553" t="inlineStr">
        <is>
          <t>Bluestone Memorial Hospital</t>
        </is>
      </c>
      <c r="D5553" t="n">
        <v>15</v>
      </c>
    </row>
    <row r="5554">
      <c r="A5554" t="inlineStr">
        <is>
          <t>ED205674</t>
        </is>
      </c>
      <c r="B5554" s="56" t="n">
        <v>45638.52083333334</v>
      </c>
      <c r="C5554" t="inlineStr">
        <is>
          <t>Ashby Falls Community Hospital</t>
        </is>
      </c>
      <c r="D5554" t="n">
        <v>47</v>
      </c>
    </row>
    <row r="5555">
      <c r="A5555" t="inlineStr">
        <is>
          <t>ED205675</t>
        </is>
      </c>
      <c r="B5555" s="56" t="n">
        <v>45638.54166666666</v>
      </c>
      <c r="C5555" t="inlineStr">
        <is>
          <t>Bluestone Memorial Hospital</t>
        </is>
      </c>
      <c r="D5555" t="n">
        <v>105</v>
      </c>
    </row>
    <row r="5556">
      <c r="A5556" t="inlineStr">
        <is>
          <t>ED205676</t>
        </is>
      </c>
      <c r="B5556" s="56" t="n">
        <v>45638.55347222222</v>
      </c>
      <c r="C5556" t="inlineStr">
        <is>
          <t>Cedar Ridge Medical Center</t>
        </is>
      </c>
      <c r="D5556" t="n">
        <v>27</v>
      </c>
    </row>
    <row r="5557">
      <c r="A5557" t="inlineStr">
        <is>
          <t>ED205677</t>
        </is>
      </c>
      <c r="B5557" s="56" t="n">
        <v>45638.575</v>
      </c>
      <c r="C5557" t="inlineStr">
        <is>
          <t>Ashby Falls Community Hospital</t>
        </is>
      </c>
      <c r="D5557" t="n">
        <v>136</v>
      </c>
    </row>
    <row r="5558">
      <c r="A5558" t="inlineStr">
        <is>
          <t>ED205678</t>
        </is>
      </c>
      <c r="B5558" s="56" t="n">
        <v>45638.58402777778</v>
      </c>
      <c r="C5558" t="inlineStr">
        <is>
          <t>Bluestone Memorial Hospital</t>
        </is>
      </c>
      <c r="D5558" t="n">
        <v>61</v>
      </c>
    </row>
    <row r="5559">
      <c r="A5559" t="inlineStr">
        <is>
          <t>ED205679</t>
        </is>
      </c>
      <c r="B5559" s="56" t="n">
        <v>45638.58611111111</v>
      </c>
      <c r="C5559" t="inlineStr">
        <is>
          <t>Ashby Falls Community Hospital</t>
        </is>
      </c>
      <c r="D5559" t="n">
        <v>43</v>
      </c>
    </row>
    <row r="5560">
      <c r="A5560" t="inlineStr">
        <is>
          <t>ED205680</t>
        </is>
      </c>
      <c r="B5560" s="56" t="n">
        <v>45638.59444444445</v>
      </c>
      <c r="C5560" t="inlineStr">
        <is>
          <t>Cedar Ridge Medical Center</t>
        </is>
      </c>
      <c r="D5560" t="n">
        <v>69</v>
      </c>
    </row>
    <row r="5561">
      <c r="A5561" t="inlineStr">
        <is>
          <t>ED205681</t>
        </is>
      </c>
      <c r="B5561" s="56" t="n">
        <v>45638.66944444444</v>
      </c>
      <c r="C5561" t="inlineStr">
        <is>
          <t>Bluestone Memorial Hospital</t>
        </is>
      </c>
      <c r="D5561" t="n">
        <v>31</v>
      </c>
    </row>
    <row r="5562">
      <c r="A5562" t="inlineStr">
        <is>
          <t>ED205682</t>
        </is>
      </c>
      <c r="B5562" s="56" t="n">
        <v>45638.675</v>
      </c>
      <c r="C5562" t="inlineStr">
        <is>
          <t>Bluestone Memorial Hospital</t>
        </is>
      </c>
      <c r="D5562" t="n">
        <v>9</v>
      </c>
    </row>
    <row r="5563">
      <c r="A5563" t="inlineStr">
        <is>
          <t>ED205683</t>
        </is>
      </c>
      <c r="B5563" s="56" t="n">
        <v>45638.70138888889</v>
      </c>
      <c r="C5563" t="inlineStr">
        <is>
          <t>Bluestone Memorial Hospital</t>
        </is>
      </c>
      <c r="D5563" t="n">
        <v>73</v>
      </c>
    </row>
    <row r="5564">
      <c r="A5564" t="inlineStr">
        <is>
          <t>ED205684</t>
        </is>
      </c>
      <c r="B5564" s="56" t="n">
        <v>45638.70486111111</v>
      </c>
      <c r="C5564" t="inlineStr">
        <is>
          <t>Ashby Falls Community Hospital</t>
        </is>
      </c>
      <c r="D5564" t="n">
        <v>23</v>
      </c>
    </row>
    <row r="5565">
      <c r="A5565" t="inlineStr">
        <is>
          <t>ED205685</t>
        </is>
      </c>
      <c r="B5565" s="56" t="n">
        <v>45638.73888888889</v>
      </c>
      <c r="C5565" t="inlineStr">
        <is>
          <t>Bluestone Memorial Hospital</t>
        </is>
      </c>
      <c r="D5565" t="n">
        <v>34</v>
      </c>
    </row>
    <row r="5566">
      <c r="A5566" t="inlineStr">
        <is>
          <t>ED205686</t>
        </is>
      </c>
      <c r="B5566" s="56" t="n">
        <v>45638.74861111111</v>
      </c>
      <c r="C5566" t="inlineStr">
        <is>
          <t>Bluestone Memorial Hospital</t>
        </is>
      </c>
      <c r="D5566" t="n">
        <v>26</v>
      </c>
    </row>
    <row r="5567">
      <c r="A5567" t="inlineStr">
        <is>
          <t>ED205688</t>
        </is>
      </c>
      <c r="B5567" s="56" t="n">
        <v>45638.82291666666</v>
      </c>
      <c r="C5567" t="inlineStr">
        <is>
          <t>Cedar Ridge Medical Center</t>
        </is>
      </c>
      <c r="D5567" t="n">
        <v>91</v>
      </c>
    </row>
    <row r="5568">
      <c r="A5568" t="inlineStr">
        <is>
          <t>ED205689</t>
        </is>
      </c>
      <c r="B5568" s="56" t="n">
        <v>45638.82291666666</v>
      </c>
      <c r="C5568" t="inlineStr">
        <is>
          <t>Bluestone Memorial Hospital</t>
        </is>
      </c>
      <c r="D5568" t="n">
        <v>10</v>
      </c>
    </row>
    <row r="5569">
      <c r="A5569" t="inlineStr">
        <is>
          <t>ED205690</t>
        </is>
      </c>
      <c r="B5569" s="56" t="n">
        <v>45638.87638888889</v>
      </c>
      <c r="C5569" t="inlineStr">
        <is>
          <t>Cedar Ridge Medical Center</t>
        </is>
      </c>
      <c r="D5569" t="n">
        <v>54</v>
      </c>
    </row>
    <row r="5570">
      <c r="A5570" t="inlineStr">
        <is>
          <t>ED205691</t>
        </is>
      </c>
      <c r="B5570" s="56" t="n">
        <v>45638.94930555556</v>
      </c>
      <c r="C5570" t="inlineStr">
        <is>
          <t>Bluestone Memorial Hospital</t>
        </is>
      </c>
      <c r="D5570" t="n">
        <v>23</v>
      </c>
    </row>
    <row r="5571">
      <c r="A5571" t="inlineStr">
        <is>
          <t>ED205692</t>
        </is>
      </c>
      <c r="B5571" s="56" t="n">
        <v>45638.96319444444</v>
      </c>
      <c r="C5571" t="inlineStr">
        <is>
          <t>Cedar Ridge Medical Center</t>
        </is>
      </c>
      <c r="D5571" t="n">
        <v>27</v>
      </c>
    </row>
    <row r="5572">
      <c r="A5572" t="inlineStr">
        <is>
          <t>ED205693</t>
        </is>
      </c>
      <c r="B5572" s="56" t="n">
        <v>45639.10486111111</v>
      </c>
      <c r="C5572" t="inlineStr">
        <is>
          <t>Cedar Ridge Medical Center</t>
        </is>
      </c>
      <c r="D5572" t="n">
        <v>25</v>
      </c>
    </row>
    <row r="5573">
      <c r="A5573" t="inlineStr">
        <is>
          <t>ED205694</t>
        </is>
      </c>
      <c r="B5573" s="56" t="n">
        <v>45639.20972222222</v>
      </c>
      <c r="C5573" t="inlineStr">
        <is>
          <t>Ashby Falls Community Hospital</t>
        </is>
      </c>
      <c r="D5573" t="n">
        <v>74</v>
      </c>
    </row>
    <row r="5574">
      <c r="A5574" t="inlineStr">
        <is>
          <t>ED205695</t>
        </is>
      </c>
      <c r="B5574" s="56" t="n">
        <v>45639.25902777778</v>
      </c>
      <c r="C5574" t="inlineStr">
        <is>
          <t>Bluestone Memorial Hospital</t>
        </is>
      </c>
      <c r="D5574" t="n">
        <v>8</v>
      </c>
    </row>
    <row r="5575">
      <c r="A5575" t="inlineStr">
        <is>
          <t>ED205696</t>
        </is>
      </c>
      <c r="B5575" s="56" t="n">
        <v>45639.28611111111</v>
      </c>
      <c r="C5575" t="inlineStr">
        <is>
          <t>Bluestone Memorial Hospital</t>
        </is>
      </c>
      <c r="D5575" t="n">
        <v>7</v>
      </c>
    </row>
    <row r="5576">
      <c r="A5576" t="inlineStr">
        <is>
          <t>ED205697</t>
        </is>
      </c>
      <c r="B5576" s="56" t="n">
        <v>45639.40138888889</v>
      </c>
      <c r="C5576" t="inlineStr">
        <is>
          <t>Ashby Falls Community Hospital</t>
        </is>
      </c>
      <c r="D5576" t="n">
        <v>5</v>
      </c>
    </row>
    <row r="5577">
      <c r="A5577" t="inlineStr">
        <is>
          <t>ED205698</t>
        </is>
      </c>
      <c r="B5577" s="56" t="n">
        <v>45639.40555555555</v>
      </c>
      <c r="C5577" t="inlineStr">
        <is>
          <t>Bluestone Memorial Hospital</t>
        </is>
      </c>
      <c r="D5577" t="n">
        <v>18</v>
      </c>
    </row>
    <row r="5578">
      <c r="A5578" t="inlineStr">
        <is>
          <t>ED205699</t>
        </is>
      </c>
      <c r="B5578" s="56" t="n">
        <v>45639.41736111111</v>
      </c>
      <c r="C5578" t="inlineStr">
        <is>
          <t>Bluestone Memorial Hospital</t>
        </is>
      </c>
      <c r="D5578" t="n">
        <v>52</v>
      </c>
    </row>
    <row r="5579">
      <c r="A5579" t="inlineStr">
        <is>
          <t>ED205700</t>
        </is>
      </c>
      <c r="B5579" s="56" t="n">
        <v>45639.47430555556</v>
      </c>
      <c r="C5579" t="inlineStr">
        <is>
          <t>Bluestone Memorial Hospital</t>
        </is>
      </c>
      <c r="D5579" t="n">
        <v>113</v>
      </c>
    </row>
    <row r="5580">
      <c r="A5580" t="inlineStr">
        <is>
          <t>ED205701</t>
        </is>
      </c>
      <c r="B5580" s="56" t="n">
        <v>45639.49027777778</v>
      </c>
      <c r="C5580" t="inlineStr">
        <is>
          <t>Ashby Falls Community Hospital</t>
        </is>
      </c>
      <c r="D5580" t="n">
        <v>7</v>
      </c>
    </row>
    <row r="5581">
      <c r="A5581" t="inlineStr">
        <is>
          <t>ED205702</t>
        </is>
      </c>
      <c r="B5581" s="56" t="n">
        <v>45639.52083333334</v>
      </c>
      <c r="C5581" t="inlineStr">
        <is>
          <t>Cedar Ridge Medical Center</t>
        </is>
      </c>
      <c r="D5581" t="n">
        <v>47</v>
      </c>
    </row>
    <row r="5582">
      <c r="A5582" t="inlineStr">
        <is>
          <t>ED205703</t>
        </is>
      </c>
      <c r="B5582" s="56" t="n">
        <v>45639.54861111111</v>
      </c>
      <c r="C5582" t="inlineStr">
        <is>
          <t>Bluestone Memorial Hospital</t>
        </is>
      </c>
      <c r="D5582" t="n">
        <v>171</v>
      </c>
    </row>
    <row r="5583">
      <c r="A5583" t="inlineStr">
        <is>
          <t>ED205704</t>
        </is>
      </c>
      <c r="B5583" s="56" t="n">
        <v>45639.57916666667</v>
      </c>
      <c r="C5583" t="inlineStr">
        <is>
          <t>Bluestone Memorial Hospital</t>
        </is>
      </c>
      <c r="D5583" t="n">
        <v>8</v>
      </c>
    </row>
    <row r="5584">
      <c r="A5584" t="inlineStr">
        <is>
          <t>ED205705</t>
        </is>
      </c>
      <c r="B5584" s="56" t="n">
        <v>45639.59861111111</v>
      </c>
      <c r="C5584" t="inlineStr">
        <is>
          <t>Bluestone Memorial Hospital</t>
        </is>
      </c>
      <c r="D5584" t="n">
        <v>29</v>
      </c>
    </row>
    <row r="5585">
      <c r="A5585" t="inlineStr">
        <is>
          <t>ED205706</t>
        </is>
      </c>
      <c r="B5585" s="56" t="n">
        <v>45639.64097222222</v>
      </c>
      <c r="C5585" t="inlineStr">
        <is>
          <t>Bluestone Memorial Hospital</t>
        </is>
      </c>
      <c r="D5585" t="n">
        <v>11</v>
      </c>
    </row>
    <row r="5586">
      <c r="A5586" t="inlineStr">
        <is>
          <t>ED205707</t>
        </is>
      </c>
      <c r="B5586" s="56" t="n">
        <v>45639.65833333333</v>
      </c>
      <c r="C5586" t="inlineStr">
        <is>
          <t>Ashby Falls Community Hospital</t>
        </is>
      </c>
      <c r="D5586" t="n">
        <v>42</v>
      </c>
    </row>
    <row r="5587">
      <c r="A5587" t="inlineStr">
        <is>
          <t>ED205708</t>
        </is>
      </c>
      <c r="B5587" s="56" t="n">
        <v>45639.675</v>
      </c>
      <c r="C5587" t="inlineStr">
        <is>
          <t>Bluestone Memorial Hospital</t>
        </is>
      </c>
      <c r="D5587" t="n">
        <v>34</v>
      </c>
    </row>
    <row r="5588">
      <c r="A5588" t="inlineStr">
        <is>
          <t>ED205709</t>
        </is>
      </c>
      <c r="B5588" s="56" t="n">
        <v>45639.70486111111</v>
      </c>
      <c r="C5588" t="inlineStr">
        <is>
          <t>Bluestone Memorial Hospital</t>
        </is>
      </c>
      <c r="D5588" t="n">
        <v>106</v>
      </c>
    </row>
    <row r="5589">
      <c r="A5589" t="inlineStr">
        <is>
          <t>ED205710</t>
        </is>
      </c>
      <c r="B5589" s="56" t="n">
        <v>45639.74097222222</v>
      </c>
      <c r="C5589" t="inlineStr">
        <is>
          <t>Bluestone Memorial Hospital</t>
        </is>
      </c>
      <c r="D5589" t="n">
        <v>58</v>
      </c>
    </row>
    <row r="5590">
      <c r="A5590" t="inlineStr">
        <is>
          <t>ED205711</t>
        </is>
      </c>
      <c r="B5590" s="56" t="n">
        <v>45639.74722222222</v>
      </c>
      <c r="C5590" t="inlineStr">
        <is>
          <t>Ashby Falls Community Hospital</t>
        </is>
      </c>
      <c r="D5590" t="n">
        <v>51</v>
      </c>
    </row>
    <row r="5591">
      <c r="A5591" t="inlineStr">
        <is>
          <t>ED205712</t>
        </is>
      </c>
      <c r="B5591" s="56" t="n">
        <v>45639.75763888889</v>
      </c>
      <c r="C5591" t="inlineStr">
        <is>
          <t>Bluestone Memorial Hospital</t>
        </is>
      </c>
      <c r="D5591" t="n">
        <v>15</v>
      </c>
    </row>
    <row r="5592">
      <c r="A5592" t="inlineStr">
        <is>
          <t>ED205713</t>
        </is>
      </c>
      <c r="B5592" s="56" t="n">
        <v>45639.78125</v>
      </c>
      <c r="C5592" t="inlineStr">
        <is>
          <t>Ashby Falls Community Hospital</t>
        </is>
      </c>
      <c r="D5592" t="n">
        <v>117</v>
      </c>
    </row>
    <row r="5593">
      <c r="A5593" t="inlineStr">
        <is>
          <t>ED205714</t>
        </is>
      </c>
      <c r="B5593" s="56" t="n">
        <v>45639.82430555556</v>
      </c>
      <c r="C5593" t="inlineStr">
        <is>
          <t>Ashby Falls Community Hospital</t>
        </is>
      </c>
      <c r="D5593" t="n">
        <v>129</v>
      </c>
    </row>
    <row r="5594">
      <c r="A5594" t="inlineStr">
        <is>
          <t>ED205715</t>
        </is>
      </c>
      <c r="B5594" s="56" t="n">
        <v>45639.89513888889</v>
      </c>
      <c r="C5594" t="inlineStr">
        <is>
          <t>Bluestone Memorial Hospital</t>
        </is>
      </c>
      <c r="D5594" t="n">
        <v>79</v>
      </c>
    </row>
    <row r="5595">
      <c r="A5595" t="inlineStr">
        <is>
          <t>ED205716</t>
        </is>
      </c>
      <c r="B5595" s="56" t="n">
        <v>45639.94375</v>
      </c>
      <c r="C5595" t="inlineStr">
        <is>
          <t>Bluestone Memorial Hospital</t>
        </is>
      </c>
      <c r="D5595" t="n">
        <v>90</v>
      </c>
    </row>
    <row r="5596">
      <c r="A5596" t="inlineStr">
        <is>
          <t>ED205717</t>
        </is>
      </c>
      <c r="B5596" s="56" t="n">
        <v>45639.98333333333</v>
      </c>
      <c r="C5596" t="inlineStr">
        <is>
          <t>Bluestone Memorial Hospital</t>
        </is>
      </c>
      <c r="D5596" t="n">
        <v>53</v>
      </c>
    </row>
    <row r="5597">
      <c r="A5597" t="inlineStr">
        <is>
          <t>ED205718</t>
        </is>
      </c>
      <c r="B5597" s="56" t="n">
        <v>45640.15902777778</v>
      </c>
      <c r="C5597" t="inlineStr">
        <is>
          <t>Ashby Falls Community Hospital</t>
        </is>
      </c>
      <c r="D5597" t="n">
        <v>35</v>
      </c>
    </row>
    <row r="5598">
      <c r="A5598" t="inlineStr">
        <is>
          <t>ED205719</t>
        </is>
      </c>
      <c r="B5598" s="56" t="n">
        <v>45640.26736111111</v>
      </c>
      <c r="C5598" t="inlineStr">
        <is>
          <t>Cedar Ridge Medical Center</t>
        </is>
      </c>
      <c r="D5598" t="n">
        <v>33</v>
      </c>
    </row>
    <row r="5599">
      <c r="A5599" t="inlineStr">
        <is>
          <t>ED205720</t>
        </is>
      </c>
      <c r="B5599" s="56" t="n">
        <v>45640.29305555556</v>
      </c>
      <c r="C5599" t="inlineStr">
        <is>
          <t>Cedar Ridge Medical Center</t>
        </is>
      </c>
      <c r="D5599" t="n">
        <v>88</v>
      </c>
    </row>
    <row r="5600">
      <c r="A5600" t="inlineStr">
        <is>
          <t>ED205721</t>
        </is>
      </c>
      <c r="B5600" s="56" t="n">
        <v>45640.32569444444</v>
      </c>
      <c r="C5600" t="inlineStr">
        <is>
          <t>Bluestone Memorial Hospital</t>
        </is>
      </c>
      <c r="D5600" t="n">
        <v>139</v>
      </c>
    </row>
    <row r="5601">
      <c r="A5601" t="inlineStr">
        <is>
          <t>ED205722</t>
        </is>
      </c>
      <c r="B5601" s="56" t="n">
        <v>45640.36944444444</v>
      </c>
      <c r="C5601" t="inlineStr">
        <is>
          <t>Bluestone Memorial Hospital</t>
        </is>
      </c>
      <c r="D5601" t="n">
        <v>11</v>
      </c>
    </row>
    <row r="5602">
      <c r="A5602" t="inlineStr">
        <is>
          <t>ED205723</t>
        </is>
      </c>
      <c r="B5602" s="56" t="n">
        <v>45640.425</v>
      </c>
      <c r="C5602" t="inlineStr">
        <is>
          <t>Ashby Falls Community Hospital</t>
        </is>
      </c>
      <c r="D5602" t="n">
        <v>16</v>
      </c>
    </row>
    <row r="5603">
      <c r="A5603" t="inlineStr">
        <is>
          <t>ED205724</t>
        </is>
      </c>
      <c r="B5603" s="56" t="n">
        <v>45640.43125</v>
      </c>
      <c r="C5603" t="inlineStr">
        <is>
          <t>Bluestone Memorial Hospital</t>
        </is>
      </c>
      <c r="D5603" t="n">
        <v>71</v>
      </c>
    </row>
    <row r="5604">
      <c r="A5604" t="inlineStr">
        <is>
          <t>ED205725</t>
        </is>
      </c>
      <c r="B5604" s="56" t="n">
        <v>45640.49722222222</v>
      </c>
      <c r="C5604" t="inlineStr">
        <is>
          <t>Bluestone Memorial Hospital</t>
        </is>
      </c>
      <c r="D5604" t="n">
        <v>25</v>
      </c>
    </row>
    <row r="5605">
      <c r="A5605" t="inlineStr">
        <is>
          <t>ED205726</t>
        </is>
      </c>
      <c r="B5605" s="56" t="n">
        <v>45640.50277777778</v>
      </c>
      <c r="C5605" t="inlineStr">
        <is>
          <t>Bluestone Memorial Hospital</t>
        </is>
      </c>
      <c r="D5605" t="n">
        <v>20</v>
      </c>
    </row>
    <row r="5606">
      <c r="A5606" t="inlineStr">
        <is>
          <t>ED205727</t>
        </is>
      </c>
      <c r="B5606" s="56" t="n">
        <v>45640.54166666666</v>
      </c>
      <c r="C5606" t="inlineStr">
        <is>
          <t>Bluestone Memorial Hospital</t>
        </is>
      </c>
      <c r="D5606" t="n">
        <v>72</v>
      </c>
    </row>
    <row r="5607">
      <c r="A5607" t="inlineStr">
        <is>
          <t>ED205728</t>
        </is>
      </c>
      <c r="B5607" s="56" t="n">
        <v>45640.56111111111</v>
      </c>
      <c r="C5607" t="inlineStr">
        <is>
          <t>Bluestone Memorial Hospital</t>
        </is>
      </c>
      <c r="D5607" t="n">
        <v>63</v>
      </c>
    </row>
    <row r="5608">
      <c r="A5608" t="inlineStr">
        <is>
          <t>ED205729</t>
        </is>
      </c>
      <c r="B5608" s="56" t="n">
        <v>45640.57638888889</v>
      </c>
      <c r="C5608" t="inlineStr">
        <is>
          <t>Ashby Falls Community Hospital</t>
        </is>
      </c>
      <c r="D5608" t="n">
        <v>33</v>
      </c>
    </row>
    <row r="5609">
      <c r="A5609" t="inlineStr">
        <is>
          <t>ED205730</t>
        </is>
      </c>
      <c r="B5609" s="56" t="n">
        <v>45640.63611111111</v>
      </c>
      <c r="C5609" t="inlineStr">
        <is>
          <t>Bluestone Memorial Hospital</t>
        </is>
      </c>
      <c r="D5609" t="n">
        <v>22</v>
      </c>
    </row>
    <row r="5610">
      <c r="A5610" t="inlineStr">
        <is>
          <t>ED205731</t>
        </is>
      </c>
      <c r="B5610" s="56" t="n">
        <v>45640.69583333333</v>
      </c>
      <c r="C5610" t="inlineStr">
        <is>
          <t>Ashby Falls Community Hospital</t>
        </is>
      </c>
      <c r="D5610" t="n">
        <v>17</v>
      </c>
    </row>
    <row r="5611">
      <c r="A5611" t="inlineStr">
        <is>
          <t>ED205732</t>
        </is>
      </c>
      <c r="B5611" s="56" t="n">
        <v>45640.71875</v>
      </c>
      <c r="C5611" t="inlineStr">
        <is>
          <t>Bluestone Memorial Hospital</t>
        </is>
      </c>
      <c r="D5611" t="n">
        <v>41</v>
      </c>
    </row>
    <row r="5612">
      <c r="A5612" t="inlineStr">
        <is>
          <t>ED205733</t>
        </is>
      </c>
      <c r="B5612" s="56" t="n">
        <v>45640.74930555555</v>
      </c>
      <c r="C5612" t="inlineStr">
        <is>
          <t>Bluestone Memorial Hospital</t>
        </is>
      </c>
      <c r="D5612" t="n">
        <v>14</v>
      </c>
    </row>
    <row r="5613">
      <c r="A5613" t="inlineStr">
        <is>
          <t>ED205734</t>
        </is>
      </c>
      <c r="B5613" s="56" t="n">
        <v>45640.76041666666</v>
      </c>
      <c r="C5613" t="inlineStr">
        <is>
          <t>Bluestone Memorial Hospital</t>
        </is>
      </c>
      <c r="D5613" t="n">
        <v>126</v>
      </c>
    </row>
    <row r="5614">
      <c r="A5614" t="inlineStr">
        <is>
          <t>ED205735</t>
        </is>
      </c>
      <c r="B5614" s="56" t="n">
        <v>45640.78680555556</v>
      </c>
      <c r="C5614" t="inlineStr">
        <is>
          <t>Bluestone Memorial Hospital</t>
        </is>
      </c>
      <c r="D5614" t="n">
        <v>14</v>
      </c>
    </row>
    <row r="5615">
      <c r="A5615" t="inlineStr">
        <is>
          <t>ED205736</t>
        </is>
      </c>
      <c r="B5615" s="56" t="n">
        <v>45640.85486111111</v>
      </c>
      <c r="C5615" t="inlineStr">
        <is>
          <t>Ashby Falls Community Hospital</t>
        </is>
      </c>
      <c r="D5615" t="n">
        <v>66</v>
      </c>
    </row>
    <row r="5616">
      <c r="A5616" t="inlineStr">
        <is>
          <t>ED205737</t>
        </is>
      </c>
      <c r="B5616" s="56" t="n">
        <v>45641.08055555556</v>
      </c>
      <c r="C5616" t="inlineStr">
        <is>
          <t>Bluestone Memorial Hospital</t>
        </is>
      </c>
      <c r="D5616" t="n">
        <v>24</v>
      </c>
    </row>
    <row r="5617">
      <c r="A5617" t="inlineStr">
        <is>
          <t>ED205738</t>
        </is>
      </c>
      <c r="B5617" s="56" t="n">
        <v>45641.2125</v>
      </c>
      <c r="C5617" t="inlineStr">
        <is>
          <t>Cedar Ridge Medical Center</t>
        </is>
      </c>
      <c r="D5617" t="n">
        <v>11</v>
      </c>
    </row>
    <row r="5618">
      <c r="A5618" t="inlineStr">
        <is>
          <t>ED205739</t>
        </is>
      </c>
      <c r="B5618" s="56" t="n">
        <v>45641.27152777778</v>
      </c>
      <c r="C5618" t="inlineStr">
        <is>
          <t>Ashby Falls Community Hospital</t>
        </is>
      </c>
      <c r="D5618" t="n">
        <v>81</v>
      </c>
    </row>
    <row r="5619">
      <c r="A5619" t="inlineStr">
        <is>
          <t>ED205740</t>
        </is>
      </c>
      <c r="B5619" s="56" t="n">
        <v>45641.40972222222</v>
      </c>
      <c r="C5619" t="inlineStr">
        <is>
          <t>Cedar Ridge Medical Center</t>
        </is>
      </c>
      <c r="D5619" t="n">
        <v>40</v>
      </c>
    </row>
    <row r="5620">
      <c r="A5620" t="inlineStr">
        <is>
          <t>ED205741</t>
        </is>
      </c>
      <c r="B5620" s="56" t="n">
        <v>45641.59444444445</v>
      </c>
      <c r="C5620" t="inlineStr">
        <is>
          <t>Bluestone Memorial Hospital</t>
        </is>
      </c>
      <c r="D5620" t="n">
        <v>27</v>
      </c>
    </row>
    <row r="5621">
      <c r="A5621" t="inlineStr">
        <is>
          <t>ED205742</t>
        </is>
      </c>
      <c r="B5621" s="56" t="n">
        <v>45641.89305555556</v>
      </c>
      <c r="C5621" t="inlineStr">
        <is>
          <t>Bluestone Memorial Hospital</t>
        </is>
      </c>
      <c r="D5621" t="n">
        <v>22</v>
      </c>
    </row>
    <row r="5622">
      <c r="A5622" t="inlineStr">
        <is>
          <t>ED205743</t>
        </is>
      </c>
      <c r="B5622" s="56" t="n">
        <v>45641.94166666667</v>
      </c>
      <c r="C5622" t="inlineStr">
        <is>
          <t>Cedar Ridge Medical Center</t>
        </is>
      </c>
      <c r="D5622" t="n">
        <v>8</v>
      </c>
    </row>
    <row r="5623">
      <c r="A5623" t="inlineStr">
        <is>
          <t>ED205744</t>
        </is>
      </c>
      <c r="B5623" s="56" t="n">
        <v>45641.97430555556</v>
      </c>
      <c r="C5623" t="inlineStr">
        <is>
          <t>Bluestone Memorial Hospital</t>
        </is>
      </c>
      <c r="D5623" t="n">
        <v>14</v>
      </c>
    </row>
    <row r="5624">
      <c r="A5624" t="inlineStr">
        <is>
          <t>ED205745</t>
        </is>
      </c>
      <c r="B5624" s="56" t="n">
        <v>45642.00555555556</v>
      </c>
      <c r="C5624" t="inlineStr">
        <is>
          <t>Bluestone Memorial Hospital</t>
        </is>
      </c>
      <c r="D5624" t="n">
        <v>26</v>
      </c>
    </row>
    <row r="5625">
      <c r="A5625" t="inlineStr">
        <is>
          <t>ED205746</t>
        </is>
      </c>
      <c r="B5625" s="56" t="n">
        <v>45642.1125</v>
      </c>
      <c r="C5625" t="inlineStr">
        <is>
          <t>Ashby Falls Community Hospital</t>
        </is>
      </c>
      <c r="D5625" t="n">
        <v>10</v>
      </c>
    </row>
    <row r="5626">
      <c r="A5626" t="inlineStr">
        <is>
          <t>ED205747</t>
        </is>
      </c>
      <c r="B5626" s="56" t="n">
        <v>45642.19166666667</v>
      </c>
      <c r="C5626" t="inlineStr">
        <is>
          <t>Bluestone Memorial Hospital</t>
        </is>
      </c>
      <c r="D5626" t="n">
        <v>23</v>
      </c>
    </row>
    <row r="5627">
      <c r="A5627" t="inlineStr">
        <is>
          <t>ED205748</t>
        </is>
      </c>
      <c r="B5627" s="56" t="n">
        <v>45642.26805555556</v>
      </c>
      <c r="C5627" t="inlineStr">
        <is>
          <t>Ashby Falls Community Hospital</t>
        </is>
      </c>
      <c r="D5627" t="n">
        <v>12</v>
      </c>
    </row>
    <row r="5628">
      <c r="A5628" t="inlineStr">
        <is>
          <t>ED205749</t>
        </is>
      </c>
      <c r="B5628" s="56" t="n">
        <v>45642.30763888889</v>
      </c>
      <c r="C5628" t="inlineStr">
        <is>
          <t>Bluestone Memorial Hospital</t>
        </is>
      </c>
      <c r="D5628" t="n">
        <v>40</v>
      </c>
    </row>
    <row r="5629">
      <c r="A5629" t="inlineStr">
        <is>
          <t>ED205750</t>
        </is>
      </c>
      <c r="B5629" s="56" t="n">
        <v>45642.32083333333</v>
      </c>
      <c r="C5629" t="inlineStr">
        <is>
          <t>Bluestone Memorial Hospital</t>
        </is>
      </c>
      <c r="D5629" t="n">
        <v>54</v>
      </c>
    </row>
    <row r="5630">
      <c r="A5630" t="inlineStr">
        <is>
          <t>ED205751</t>
        </is>
      </c>
      <c r="B5630" s="56" t="n">
        <v>45642.32152777778</v>
      </c>
      <c r="C5630" t="inlineStr">
        <is>
          <t>Bluestone Memorial Hospital</t>
        </is>
      </c>
      <c r="D5630" t="n">
        <v>83</v>
      </c>
    </row>
    <row r="5631">
      <c r="A5631" t="inlineStr">
        <is>
          <t>ED205752</t>
        </is>
      </c>
      <c r="B5631" s="56" t="n">
        <v>45642.37638888889</v>
      </c>
      <c r="C5631" t="inlineStr">
        <is>
          <t>Bluestone Memorial Hospital</t>
        </is>
      </c>
      <c r="D5631" t="n">
        <v>25</v>
      </c>
    </row>
    <row r="5632">
      <c r="A5632" t="inlineStr">
        <is>
          <t>ED205753</t>
        </is>
      </c>
      <c r="B5632" s="56" t="n">
        <v>45642.39305555556</v>
      </c>
      <c r="C5632" t="inlineStr">
        <is>
          <t>Bluestone Memorial Hospital</t>
        </is>
      </c>
      <c r="D5632" t="n">
        <v>11</v>
      </c>
    </row>
    <row r="5633">
      <c r="A5633" t="inlineStr">
        <is>
          <t>ED205754</t>
        </is>
      </c>
      <c r="B5633" s="56" t="n">
        <v>45642.39444444444</v>
      </c>
      <c r="C5633" t="inlineStr">
        <is>
          <t>Ashby Falls Community Hospital</t>
        </is>
      </c>
      <c r="D5633" t="n">
        <v>100</v>
      </c>
    </row>
    <row r="5634">
      <c r="A5634" t="inlineStr">
        <is>
          <t>ED205755</t>
        </is>
      </c>
      <c r="B5634" s="56" t="n">
        <v>45642.44930555556</v>
      </c>
      <c r="C5634" t="inlineStr">
        <is>
          <t>Ashby Falls Community Hospital</t>
        </is>
      </c>
      <c r="D5634" t="n">
        <v>28</v>
      </c>
    </row>
    <row r="5635">
      <c r="A5635" t="inlineStr">
        <is>
          <t>ED205756</t>
        </is>
      </c>
      <c r="B5635" s="56" t="n">
        <v>45642.46319444444</v>
      </c>
      <c r="C5635" t="inlineStr">
        <is>
          <t>Bluestone Memorial Hospital</t>
        </is>
      </c>
      <c r="D5635" t="n">
        <v>77</v>
      </c>
    </row>
    <row r="5636">
      <c r="A5636" t="inlineStr">
        <is>
          <t>ED205757</t>
        </is>
      </c>
      <c r="B5636" s="56" t="n">
        <v>45642.47013888889</v>
      </c>
      <c r="C5636" t="inlineStr">
        <is>
          <t>Ashby Falls Community Hospital</t>
        </is>
      </c>
      <c r="D5636" t="n">
        <v>70</v>
      </c>
    </row>
    <row r="5637">
      <c r="A5637" t="inlineStr">
        <is>
          <t>ED205758</t>
        </is>
      </c>
      <c r="B5637" s="56" t="n">
        <v>45642.56805555556</v>
      </c>
      <c r="C5637" t="inlineStr">
        <is>
          <t>Cedar Ridge Medical Center</t>
        </is>
      </c>
      <c r="D5637" t="n">
        <v>62</v>
      </c>
    </row>
    <row r="5638">
      <c r="A5638" t="inlineStr">
        <is>
          <t>ED205759</t>
        </is>
      </c>
      <c r="B5638" s="56" t="n">
        <v>45642.58125</v>
      </c>
      <c r="C5638" t="inlineStr">
        <is>
          <t>Ashby Falls Community Hospital</t>
        </is>
      </c>
      <c r="D5638" t="n">
        <v>52</v>
      </c>
    </row>
    <row r="5639">
      <c r="A5639" t="inlineStr">
        <is>
          <t>ED205760</t>
        </is>
      </c>
      <c r="B5639" s="56" t="n">
        <v>45642.58333333334</v>
      </c>
      <c r="C5639" t="inlineStr">
        <is>
          <t>Bluestone Memorial Hospital</t>
        </is>
      </c>
      <c r="D5639" t="n">
        <v>288</v>
      </c>
    </row>
    <row r="5640">
      <c r="A5640" t="inlineStr">
        <is>
          <t>ED205761</t>
        </is>
      </c>
      <c r="B5640" s="56" t="n">
        <v>45642.65763888889</v>
      </c>
      <c r="C5640" t="inlineStr">
        <is>
          <t>Bluestone Memorial Hospital</t>
        </is>
      </c>
      <c r="D5640" t="n">
        <v>36</v>
      </c>
    </row>
    <row r="5641">
      <c r="A5641" t="inlineStr">
        <is>
          <t>ED205762</t>
        </is>
      </c>
      <c r="B5641" s="56" t="n">
        <v>45642.68055555555</v>
      </c>
      <c r="C5641" t="inlineStr">
        <is>
          <t>Bluestone Memorial Hospital</t>
        </is>
      </c>
      <c r="D5641" t="n">
        <v>48</v>
      </c>
    </row>
    <row r="5642">
      <c r="A5642" t="inlineStr">
        <is>
          <t>ED205763</t>
        </is>
      </c>
      <c r="B5642" s="56" t="n">
        <v>45642.69861111111</v>
      </c>
      <c r="C5642" t="inlineStr">
        <is>
          <t>Bluestone Memorial Hospital</t>
        </is>
      </c>
      <c r="D5642" t="n">
        <v>28</v>
      </c>
    </row>
    <row r="5643">
      <c r="A5643" t="inlineStr">
        <is>
          <t>ED205764</t>
        </is>
      </c>
      <c r="B5643" s="56" t="n">
        <v>45642.71527777778</v>
      </c>
      <c r="C5643" t="inlineStr">
        <is>
          <t>Bluestone Memorial Hospital</t>
        </is>
      </c>
      <c r="D5643" t="n">
        <v>4</v>
      </c>
    </row>
    <row r="5644">
      <c r="A5644" t="inlineStr">
        <is>
          <t>ED205766</t>
        </is>
      </c>
      <c r="B5644" s="56" t="n">
        <v>45642.82847222222</v>
      </c>
      <c r="C5644" t="inlineStr">
        <is>
          <t>Ashby Falls Community Hospital</t>
        </is>
      </c>
      <c r="D5644" t="n">
        <v>32</v>
      </c>
    </row>
    <row r="5645">
      <c r="A5645" t="inlineStr">
        <is>
          <t>ED205767</t>
        </is>
      </c>
      <c r="B5645" s="56" t="n">
        <v>45642.85972222222</v>
      </c>
      <c r="C5645" t="inlineStr">
        <is>
          <t>Bluestone Memorial Hospital</t>
        </is>
      </c>
      <c r="D5645" t="n">
        <v>32</v>
      </c>
    </row>
    <row r="5646">
      <c r="A5646" t="inlineStr">
        <is>
          <t>ED205768</t>
        </is>
      </c>
      <c r="B5646" s="56" t="n">
        <v>45642.86180555556</v>
      </c>
      <c r="C5646" t="inlineStr">
        <is>
          <t>Bluestone Memorial Hospital</t>
        </is>
      </c>
      <c r="D5646" t="n">
        <v>91</v>
      </c>
    </row>
    <row r="5647">
      <c r="A5647" t="inlineStr">
        <is>
          <t>ED205769</t>
        </is>
      </c>
      <c r="B5647" s="56" t="n">
        <v>45642.89930555555</v>
      </c>
      <c r="C5647" t="inlineStr">
        <is>
          <t>Cedar Ridge Medical Center</t>
        </is>
      </c>
      <c r="D5647" t="n">
        <v>9</v>
      </c>
    </row>
    <row r="5648">
      <c r="A5648" t="inlineStr">
        <is>
          <t>ED205770</t>
        </is>
      </c>
      <c r="B5648" s="56" t="n">
        <v>45643.12013888889</v>
      </c>
      <c r="C5648" t="inlineStr">
        <is>
          <t>Bluestone Memorial Hospital</t>
        </is>
      </c>
      <c r="D5648" t="n">
        <v>25</v>
      </c>
    </row>
    <row r="5649">
      <c r="A5649" t="inlineStr">
        <is>
          <t>ED205771</t>
        </is>
      </c>
      <c r="B5649" s="56" t="n">
        <v>45643.44444444445</v>
      </c>
      <c r="C5649" t="inlineStr">
        <is>
          <t>Bluestone Memorial Hospital</t>
        </is>
      </c>
      <c r="D5649" t="n">
        <v>34</v>
      </c>
    </row>
    <row r="5650">
      <c r="A5650" t="inlineStr">
        <is>
          <t>ED205772</t>
        </is>
      </c>
      <c r="B5650" s="56" t="n">
        <v>45643.49305555555</v>
      </c>
      <c r="C5650" t="inlineStr">
        <is>
          <t>Bluestone Memorial Hospital</t>
        </is>
      </c>
      <c r="D5650" t="n">
        <v>56</v>
      </c>
    </row>
    <row r="5651">
      <c r="A5651" t="inlineStr">
        <is>
          <t>ED205773</t>
        </is>
      </c>
      <c r="B5651" s="56" t="n">
        <v>45643.49513888889</v>
      </c>
      <c r="C5651" t="inlineStr">
        <is>
          <t>Bluestone Memorial Hospital</t>
        </is>
      </c>
      <c r="D5651" t="n">
        <v>53</v>
      </c>
    </row>
    <row r="5652">
      <c r="A5652" t="inlineStr">
        <is>
          <t>ED205774</t>
        </is>
      </c>
      <c r="B5652" s="56" t="n">
        <v>45643.53611111111</v>
      </c>
      <c r="C5652" t="inlineStr">
        <is>
          <t>Bluestone Memorial Hospital</t>
        </is>
      </c>
      <c r="D5652" t="n">
        <v>10</v>
      </c>
    </row>
    <row r="5653">
      <c r="A5653" t="inlineStr">
        <is>
          <t>ED205775</t>
        </is>
      </c>
      <c r="B5653" s="56" t="n">
        <v>45643.57152777778</v>
      </c>
      <c r="C5653" t="inlineStr">
        <is>
          <t>Cedar Ridge Medical Center</t>
        </is>
      </c>
      <c r="D5653" t="n">
        <v>26</v>
      </c>
    </row>
    <row r="5654">
      <c r="A5654" t="inlineStr">
        <is>
          <t>ED205776</t>
        </is>
      </c>
      <c r="B5654" s="56" t="n">
        <v>45643.59166666667</v>
      </c>
      <c r="C5654" t="inlineStr">
        <is>
          <t>Ashby Falls Community Hospital</t>
        </is>
      </c>
      <c r="D5654" t="n">
        <v>54</v>
      </c>
    </row>
    <row r="5655">
      <c r="A5655" t="inlineStr">
        <is>
          <t>ED205777</t>
        </is>
      </c>
      <c r="B5655" s="56" t="n">
        <v>45643.63194444445</v>
      </c>
      <c r="C5655" t="inlineStr">
        <is>
          <t>Ashby Falls Community Hospital</t>
        </is>
      </c>
      <c r="D5655" t="n">
        <v>17</v>
      </c>
    </row>
    <row r="5656">
      <c r="A5656" t="inlineStr">
        <is>
          <t>ED205778</t>
        </is>
      </c>
      <c r="B5656" s="56" t="n">
        <v>45643.63611111111</v>
      </c>
      <c r="C5656" t="inlineStr">
        <is>
          <t>Bluestone Memorial Hospital</t>
        </is>
      </c>
      <c r="D5656" t="n">
        <v>100</v>
      </c>
    </row>
    <row r="5657">
      <c r="A5657" t="inlineStr">
        <is>
          <t>ED205779</t>
        </is>
      </c>
      <c r="B5657" s="56" t="n">
        <v>45643.67916666667</v>
      </c>
      <c r="C5657" t="inlineStr">
        <is>
          <t>Bluestone Memorial Hospital</t>
        </is>
      </c>
      <c r="D5657" t="n">
        <v>62</v>
      </c>
    </row>
    <row r="5658">
      <c r="A5658" t="inlineStr">
        <is>
          <t>ED205780</t>
        </is>
      </c>
      <c r="B5658" s="56" t="n">
        <v>45643.79097222222</v>
      </c>
      <c r="C5658" t="inlineStr">
        <is>
          <t>Cedar Ridge Medical Center</t>
        </is>
      </c>
      <c r="D5658" t="n">
        <v>27</v>
      </c>
    </row>
    <row r="5659">
      <c r="A5659" t="inlineStr">
        <is>
          <t>ED205782</t>
        </is>
      </c>
      <c r="B5659" s="56" t="n">
        <v>45643.81458333333</v>
      </c>
      <c r="C5659" t="inlineStr">
        <is>
          <t>Bluestone Memorial Hospital</t>
        </is>
      </c>
      <c r="D5659" t="n">
        <v>76</v>
      </c>
    </row>
    <row r="5660">
      <c r="A5660" t="inlineStr">
        <is>
          <t>ED205783</t>
        </is>
      </c>
      <c r="B5660" s="56" t="n">
        <v>45643.8625</v>
      </c>
      <c r="C5660" t="inlineStr">
        <is>
          <t>Cedar Ridge Medical Center</t>
        </is>
      </c>
      <c r="D5660" t="n">
        <v>46</v>
      </c>
    </row>
    <row r="5661">
      <c r="A5661" t="inlineStr">
        <is>
          <t>ED205784</t>
        </is>
      </c>
      <c r="B5661" s="56" t="n">
        <v>45643.92152777778</v>
      </c>
      <c r="C5661" t="inlineStr">
        <is>
          <t>Bluestone Memorial Hospital</t>
        </is>
      </c>
      <c r="D5661" t="n">
        <v>36</v>
      </c>
    </row>
    <row r="5662">
      <c r="A5662" t="inlineStr">
        <is>
          <t>ED205785</t>
        </is>
      </c>
      <c r="B5662" s="56" t="n">
        <v>45643.97430555556</v>
      </c>
      <c r="C5662" t="inlineStr">
        <is>
          <t>Ashby Falls Community Hospital</t>
        </is>
      </c>
      <c r="D5662" t="n">
        <v>8</v>
      </c>
    </row>
    <row r="5663">
      <c r="A5663" t="inlineStr">
        <is>
          <t>ED205786</t>
        </is>
      </c>
      <c r="B5663" s="56" t="n">
        <v>45644.17361111111</v>
      </c>
      <c r="C5663" t="inlineStr">
        <is>
          <t>Bluestone Memorial Hospital</t>
        </is>
      </c>
      <c r="D5663" t="n">
        <v>13</v>
      </c>
    </row>
    <row r="5664">
      <c r="A5664" t="inlineStr">
        <is>
          <t>ED205787</t>
        </is>
      </c>
      <c r="B5664" s="56" t="n">
        <v>45644.28680555556</v>
      </c>
      <c r="C5664" t="inlineStr">
        <is>
          <t>Bluestone Memorial Hospital</t>
        </is>
      </c>
      <c r="D5664" t="n">
        <v>73</v>
      </c>
    </row>
    <row r="5665">
      <c r="A5665" t="inlineStr">
        <is>
          <t>ED205788</t>
        </is>
      </c>
      <c r="B5665" s="56" t="n">
        <v>45644.32916666667</v>
      </c>
      <c r="C5665" t="inlineStr">
        <is>
          <t>Cedar Ridge Medical Center</t>
        </is>
      </c>
      <c r="D5665" t="n">
        <v>60</v>
      </c>
    </row>
    <row r="5666">
      <c r="A5666" t="inlineStr">
        <is>
          <t>ED205789</t>
        </is>
      </c>
      <c r="B5666" s="56" t="n">
        <v>45644.34513888889</v>
      </c>
      <c r="C5666" t="inlineStr">
        <is>
          <t>Bluestone Memorial Hospital</t>
        </is>
      </c>
      <c r="D5666" t="n">
        <v>71</v>
      </c>
    </row>
    <row r="5667">
      <c r="A5667" t="inlineStr">
        <is>
          <t>ED205790</t>
        </is>
      </c>
      <c r="B5667" s="56" t="n">
        <v>45644.37430555555</v>
      </c>
      <c r="C5667" t="inlineStr">
        <is>
          <t>Bluestone Memorial Hospital</t>
        </is>
      </c>
      <c r="D5667" t="n">
        <v>30</v>
      </c>
    </row>
    <row r="5668">
      <c r="A5668" t="inlineStr">
        <is>
          <t>ED205791</t>
        </is>
      </c>
      <c r="B5668" s="56" t="n">
        <v>45644.37777777778</v>
      </c>
      <c r="C5668" t="inlineStr">
        <is>
          <t>Ashby Falls Community Hospital</t>
        </is>
      </c>
      <c r="D5668" t="n">
        <v>22</v>
      </c>
    </row>
    <row r="5669">
      <c r="A5669" t="inlineStr">
        <is>
          <t>ED205792</t>
        </is>
      </c>
      <c r="B5669" s="56" t="n">
        <v>45644.39444444444</v>
      </c>
      <c r="C5669" t="inlineStr">
        <is>
          <t>Bluestone Memorial Hospital</t>
        </is>
      </c>
      <c r="D5669" t="n">
        <v>32</v>
      </c>
    </row>
    <row r="5670">
      <c r="A5670" t="inlineStr">
        <is>
          <t>ED205793</t>
        </is>
      </c>
      <c r="B5670" s="56" t="n">
        <v>45644.40763888889</v>
      </c>
      <c r="C5670" t="inlineStr">
        <is>
          <t>Ashby Falls Community Hospital</t>
        </is>
      </c>
      <c r="D5670" t="n">
        <v>75</v>
      </c>
    </row>
    <row r="5671">
      <c r="A5671" t="inlineStr">
        <is>
          <t>ED205794</t>
        </is>
      </c>
      <c r="B5671" s="56" t="n">
        <v>45644.52013888889</v>
      </c>
      <c r="C5671" t="inlineStr">
        <is>
          <t>Bluestone Memorial Hospital</t>
        </is>
      </c>
      <c r="D5671" t="n">
        <v>44</v>
      </c>
    </row>
    <row r="5672">
      <c r="A5672" t="inlineStr">
        <is>
          <t>ED205795</t>
        </is>
      </c>
      <c r="B5672" s="56" t="n">
        <v>45644.56388888889</v>
      </c>
      <c r="C5672" t="inlineStr">
        <is>
          <t>Bluestone Memorial Hospital</t>
        </is>
      </c>
      <c r="D5672" t="n">
        <v>25</v>
      </c>
    </row>
    <row r="5673">
      <c r="A5673" t="inlineStr">
        <is>
          <t>ED205796</t>
        </is>
      </c>
      <c r="B5673" s="56" t="n">
        <v>45644.58402777778</v>
      </c>
      <c r="C5673" t="inlineStr">
        <is>
          <t>Bluestone Memorial Hospital</t>
        </is>
      </c>
      <c r="D5673" t="n">
        <v>48</v>
      </c>
    </row>
    <row r="5674">
      <c r="A5674" t="inlineStr">
        <is>
          <t>ED205797</t>
        </is>
      </c>
      <c r="B5674" s="56" t="n">
        <v>45644.58472222222</v>
      </c>
      <c r="C5674" t="inlineStr">
        <is>
          <t>Bluestone Memorial Hospital</t>
        </is>
      </c>
      <c r="D5674" t="n">
        <v>33</v>
      </c>
    </row>
    <row r="5675">
      <c r="A5675" t="inlineStr">
        <is>
          <t>ED205798</t>
        </is>
      </c>
      <c r="B5675" s="56" t="n">
        <v>45644.58541666667</v>
      </c>
      <c r="C5675" t="inlineStr">
        <is>
          <t>Bluestone Memorial Hospital</t>
        </is>
      </c>
      <c r="D5675" t="n">
        <v>46</v>
      </c>
    </row>
    <row r="5676">
      <c r="A5676" t="inlineStr">
        <is>
          <t>ED205799</t>
        </is>
      </c>
      <c r="B5676" s="56" t="n">
        <v>45644.5875</v>
      </c>
      <c r="C5676" t="inlineStr">
        <is>
          <t>Bluestone Memorial Hospital</t>
        </is>
      </c>
      <c r="D5676" t="n">
        <v>92</v>
      </c>
    </row>
    <row r="5677">
      <c r="A5677" t="inlineStr">
        <is>
          <t>ED205800</t>
        </is>
      </c>
      <c r="B5677" s="56" t="n">
        <v>45644.60069444445</v>
      </c>
      <c r="C5677" t="inlineStr">
        <is>
          <t>Bluestone Memorial Hospital</t>
        </is>
      </c>
      <c r="D5677" t="n">
        <v>64</v>
      </c>
    </row>
    <row r="5678">
      <c r="A5678" t="inlineStr">
        <is>
          <t>ED205801</t>
        </is>
      </c>
      <c r="B5678" s="56" t="n">
        <v>45644.60694444444</v>
      </c>
      <c r="C5678" t="inlineStr">
        <is>
          <t>Bluestone Memorial Hospital</t>
        </is>
      </c>
      <c r="D5678" t="n">
        <v>38</v>
      </c>
    </row>
    <row r="5679">
      <c r="A5679" t="inlineStr">
        <is>
          <t>ED205802</t>
        </is>
      </c>
      <c r="B5679" s="56" t="n">
        <v>45644.61875</v>
      </c>
      <c r="C5679" t="inlineStr">
        <is>
          <t>Bluestone Memorial Hospital</t>
        </is>
      </c>
      <c r="D5679" t="n">
        <v>55</v>
      </c>
    </row>
    <row r="5680">
      <c r="A5680" t="inlineStr">
        <is>
          <t>ED205803</t>
        </is>
      </c>
      <c r="B5680" s="56" t="n">
        <v>45644.63125</v>
      </c>
      <c r="C5680" t="inlineStr">
        <is>
          <t>Bluestone Memorial Hospital</t>
        </is>
      </c>
      <c r="D5680" t="n">
        <v>21</v>
      </c>
    </row>
    <row r="5681">
      <c r="A5681" t="inlineStr">
        <is>
          <t>ED205804</t>
        </is>
      </c>
      <c r="B5681" s="56" t="n">
        <v>45644.64583333334</v>
      </c>
      <c r="C5681" t="inlineStr">
        <is>
          <t>Ashby Falls Community Hospital</t>
        </is>
      </c>
      <c r="D5681" t="n">
        <v>80</v>
      </c>
    </row>
    <row r="5682">
      <c r="A5682" t="inlineStr">
        <is>
          <t>ED205805</t>
        </is>
      </c>
      <c r="B5682" s="56" t="n">
        <v>45644.64791666667</v>
      </c>
      <c r="C5682" t="inlineStr">
        <is>
          <t>Ashby Falls Community Hospital</t>
        </is>
      </c>
      <c r="D5682" t="n">
        <v>12</v>
      </c>
    </row>
    <row r="5683">
      <c r="A5683" t="inlineStr">
        <is>
          <t>ED205806</t>
        </is>
      </c>
      <c r="B5683" s="56" t="n">
        <v>45644.64861111111</v>
      </c>
      <c r="C5683" t="inlineStr">
        <is>
          <t>Bluestone Memorial Hospital</t>
        </is>
      </c>
      <c r="D5683" t="n">
        <v>12</v>
      </c>
    </row>
    <row r="5684">
      <c r="A5684" t="inlineStr">
        <is>
          <t>ED205807</t>
        </is>
      </c>
      <c r="B5684" s="56" t="n">
        <v>45644.78402777778</v>
      </c>
      <c r="C5684" t="inlineStr">
        <is>
          <t>Bluestone Memorial Hospital</t>
        </is>
      </c>
      <c r="D5684" t="n">
        <v>101</v>
      </c>
    </row>
    <row r="5685">
      <c r="A5685" t="inlineStr">
        <is>
          <t>ED205808</t>
        </is>
      </c>
      <c r="B5685" s="56" t="n">
        <v>45644.83125</v>
      </c>
      <c r="C5685" t="inlineStr">
        <is>
          <t>Bluestone Memorial Hospital</t>
        </is>
      </c>
      <c r="D5685" t="n">
        <v>46</v>
      </c>
    </row>
    <row r="5686">
      <c r="A5686" t="inlineStr">
        <is>
          <t>ED205809</t>
        </is>
      </c>
      <c r="B5686" s="56" t="n">
        <v>45644.83472222222</v>
      </c>
      <c r="C5686" t="inlineStr">
        <is>
          <t>Bluestone Memorial Hospital</t>
        </is>
      </c>
      <c r="D5686" t="n">
        <v>93</v>
      </c>
    </row>
    <row r="5687">
      <c r="A5687" t="inlineStr">
        <is>
          <t>ED205810</t>
        </is>
      </c>
      <c r="B5687" s="56" t="n">
        <v>45644.85347222222</v>
      </c>
      <c r="C5687" t="inlineStr">
        <is>
          <t>Bluestone Memorial Hospital</t>
        </is>
      </c>
      <c r="D5687" t="n">
        <v>17</v>
      </c>
    </row>
    <row r="5688">
      <c r="A5688" t="inlineStr">
        <is>
          <t>ED205811</t>
        </is>
      </c>
      <c r="B5688" s="56" t="n">
        <v>45644.89652777778</v>
      </c>
      <c r="C5688" t="inlineStr">
        <is>
          <t>Ashby Falls Community Hospital</t>
        </is>
      </c>
      <c r="D5688" t="n">
        <v>103</v>
      </c>
    </row>
    <row r="5689">
      <c r="A5689" t="inlineStr">
        <is>
          <t>ED205812</t>
        </is>
      </c>
      <c r="B5689" s="56" t="n">
        <v>45645.15069444444</v>
      </c>
      <c r="C5689" t="inlineStr">
        <is>
          <t>Bluestone Memorial Hospital</t>
        </is>
      </c>
      <c r="D5689" t="n">
        <v>107</v>
      </c>
    </row>
    <row r="5690">
      <c r="A5690" t="inlineStr">
        <is>
          <t>ED205813</t>
        </is>
      </c>
      <c r="B5690" s="56" t="n">
        <v>45645.27569444444</v>
      </c>
      <c r="C5690" t="inlineStr">
        <is>
          <t>Bluestone Memorial Hospital</t>
        </is>
      </c>
      <c r="D5690" t="n">
        <v>74</v>
      </c>
    </row>
    <row r="5691">
      <c r="A5691" t="inlineStr">
        <is>
          <t>ED205814</t>
        </is>
      </c>
      <c r="B5691" s="56" t="n">
        <v>45645.325</v>
      </c>
      <c r="C5691" t="inlineStr">
        <is>
          <t>Bluestone Memorial Hospital</t>
        </is>
      </c>
      <c r="D5691" t="n">
        <v>25</v>
      </c>
    </row>
    <row r="5692">
      <c r="A5692" t="inlineStr">
        <is>
          <t>ED205815</t>
        </is>
      </c>
      <c r="B5692" s="56" t="n">
        <v>45645.32777777778</v>
      </c>
      <c r="C5692" t="inlineStr">
        <is>
          <t>Bluestone Memorial Hospital</t>
        </is>
      </c>
      <c r="D5692" t="n">
        <v>88</v>
      </c>
    </row>
    <row r="5693">
      <c r="A5693" t="inlineStr">
        <is>
          <t>ED205816</t>
        </is>
      </c>
      <c r="B5693" s="56" t="n">
        <v>45645.33333333334</v>
      </c>
      <c r="C5693" t="inlineStr">
        <is>
          <t>Ashby Falls Community Hospital</t>
        </is>
      </c>
      <c r="D5693" t="n">
        <v>21</v>
      </c>
    </row>
    <row r="5694">
      <c r="A5694" t="inlineStr">
        <is>
          <t>ED205817</t>
        </is>
      </c>
      <c r="B5694" s="56" t="n">
        <v>45645.475</v>
      </c>
      <c r="C5694" t="inlineStr">
        <is>
          <t>Cedar Ridge Medical Center</t>
        </is>
      </c>
      <c r="D5694" t="n">
        <v>70</v>
      </c>
    </row>
    <row r="5695">
      <c r="A5695" t="inlineStr">
        <is>
          <t>ED205818</t>
        </is>
      </c>
      <c r="B5695" s="56" t="n">
        <v>45645.55277777778</v>
      </c>
      <c r="C5695" t="inlineStr">
        <is>
          <t>Bluestone Memorial Hospital</t>
        </is>
      </c>
      <c r="D5695" t="n">
        <v>19</v>
      </c>
    </row>
    <row r="5696">
      <c r="A5696" t="inlineStr">
        <is>
          <t>ED205820</t>
        </is>
      </c>
      <c r="B5696" s="56" t="n">
        <v>45645.58402777778</v>
      </c>
      <c r="C5696" t="inlineStr">
        <is>
          <t>Bluestone Memorial Hospital</t>
        </is>
      </c>
      <c r="D5696" t="n">
        <v>44</v>
      </c>
    </row>
    <row r="5697">
      <c r="A5697" t="inlineStr">
        <is>
          <t>ED205821</t>
        </is>
      </c>
      <c r="B5697" s="56" t="n">
        <v>45645.70486111111</v>
      </c>
      <c r="C5697" t="inlineStr">
        <is>
          <t>Ashby Falls Community Hospital</t>
        </is>
      </c>
      <c r="D5697" t="n">
        <v>35</v>
      </c>
    </row>
    <row r="5698">
      <c r="A5698" t="inlineStr">
        <is>
          <t>ED205822</t>
        </is>
      </c>
      <c r="B5698" s="56" t="n">
        <v>45645.72916666666</v>
      </c>
      <c r="C5698" t="inlineStr">
        <is>
          <t>Ashby Falls Community Hospital</t>
        </is>
      </c>
      <c r="D5698" t="n">
        <v>31</v>
      </c>
    </row>
    <row r="5699">
      <c r="A5699" t="inlineStr">
        <is>
          <t>ED205824</t>
        </is>
      </c>
      <c r="B5699" s="56" t="n">
        <v>45645.77569444444</v>
      </c>
      <c r="C5699" t="inlineStr">
        <is>
          <t>Bluestone Memorial Hospital</t>
        </is>
      </c>
      <c r="D5699" t="n">
        <v>66</v>
      </c>
    </row>
    <row r="5700">
      <c r="A5700" t="inlineStr">
        <is>
          <t>ED205825</t>
        </is>
      </c>
      <c r="B5700" s="56" t="n">
        <v>45645.84097222222</v>
      </c>
      <c r="C5700" t="inlineStr">
        <is>
          <t>Bluestone Memorial Hospital</t>
        </is>
      </c>
      <c r="D5700" t="n">
        <v>82</v>
      </c>
    </row>
    <row r="5701">
      <c r="A5701" t="inlineStr">
        <is>
          <t>ED205826</t>
        </is>
      </c>
      <c r="B5701" s="56" t="n">
        <v>45645.88055555556</v>
      </c>
      <c r="C5701" t="inlineStr">
        <is>
          <t>Cedar Ridge Medical Center</t>
        </is>
      </c>
      <c r="D5701" t="n">
        <v>56</v>
      </c>
    </row>
    <row r="5702">
      <c r="A5702" t="inlineStr">
        <is>
          <t>ED205827</t>
        </is>
      </c>
      <c r="B5702" s="56" t="n">
        <v>45646.00763888889</v>
      </c>
      <c r="C5702" t="inlineStr">
        <is>
          <t>Cedar Ridge Medical Center</t>
        </is>
      </c>
      <c r="D5702" t="n">
        <v>101</v>
      </c>
    </row>
    <row r="5703">
      <c r="A5703" t="inlineStr">
        <is>
          <t>ED205828</t>
        </is>
      </c>
      <c r="B5703" s="56" t="n">
        <v>45646.02708333333</v>
      </c>
      <c r="C5703" t="inlineStr">
        <is>
          <t>Bluestone Memorial Hospital</t>
        </is>
      </c>
      <c r="D5703" t="n">
        <v>26</v>
      </c>
    </row>
    <row r="5704">
      <c r="A5704" t="inlineStr">
        <is>
          <t>ED205829</t>
        </is>
      </c>
      <c r="B5704" s="56" t="n">
        <v>45646.17013888889</v>
      </c>
      <c r="C5704" t="inlineStr">
        <is>
          <t>Bluestone Memorial Hospital</t>
        </is>
      </c>
      <c r="D5704" t="n">
        <v>5</v>
      </c>
    </row>
    <row r="5705">
      <c r="A5705" t="inlineStr">
        <is>
          <t>ED205830</t>
        </is>
      </c>
      <c r="B5705" s="56" t="n">
        <v>45646.25208333333</v>
      </c>
      <c r="C5705" t="inlineStr">
        <is>
          <t>Bluestone Memorial Hospital</t>
        </is>
      </c>
      <c r="D5705" t="n">
        <v>75</v>
      </c>
    </row>
    <row r="5706">
      <c r="A5706" t="inlineStr">
        <is>
          <t>ED205831</t>
        </is>
      </c>
      <c r="B5706" s="56" t="n">
        <v>45646.34236111111</v>
      </c>
      <c r="C5706" t="inlineStr">
        <is>
          <t>Bluestone Memorial Hospital</t>
        </is>
      </c>
      <c r="D5706" t="n">
        <v>4</v>
      </c>
    </row>
    <row r="5707">
      <c r="A5707" t="inlineStr">
        <is>
          <t>ED205832</t>
        </is>
      </c>
      <c r="B5707" s="56" t="n">
        <v>45646.47152777778</v>
      </c>
      <c r="C5707" t="inlineStr">
        <is>
          <t>Cedar Ridge Medical Center</t>
        </is>
      </c>
      <c r="D5707" t="n">
        <v>52</v>
      </c>
    </row>
    <row r="5708">
      <c r="A5708" t="inlineStr">
        <is>
          <t>ED205833</t>
        </is>
      </c>
      <c r="B5708" s="56" t="n">
        <v>45646.49513888889</v>
      </c>
      <c r="C5708" t="inlineStr">
        <is>
          <t>Bluestone Memorial Hospital</t>
        </is>
      </c>
      <c r="D5708" t="n">
        <v>15</v>
      </c>
    </row>
    <row r="5709">
      <c r="A5709" t="inlineStr">
        <is>
          <t>ED205834</t>
        </is>
      </c>
      <c r="B5709" s="56" t="n">
        <v>45646.49513888889</v>
      </c>
      <c r="C5709" t="inlineStr">
        <is>
          <t>Bluestone Memorial Hospital</t>
        </is>
      </c>
      <c r="D5709" t="n">
        <v>138</v>
      </c>
    </row>
    <row r="5710">
      <c r="A5710" t="inlineStr">
        <is>
          <t>ED205835</t>
        </is>
      </c>
      <c r="B5710" s="56" t="n">
        <v>45646.55</v>
      </c>
      <c r="C5710" t="inlineStr">
        <is>
          <t>Bluestone Memorial Hospital</t>
        </is>
      </c>
      <c r="D5710" t="n">
        <v>117</v>
      </c>
    </row>
    <row r="5711">
      <c r="A5711" t="inlineStr">
        <is>
          <t>ED205836</t>
        </is>
      </c>
      <c r="B5711" s="56" t="n">
        <v>45646.6</v>
      </c>
      <c r="C5711" t="inlineStr">
        <is>
          <t>Cedar Ridge Medical Center</t>
        </is>
      </c>
      <c r="D5711" t="n">
        <v>18</v>
      </c>
    </row>
    <row r="5712">
      <c r="A5712" t="inlineStr">
        <is>
          <t>ED205837</t>
        </is>
      </c>
      <c r="B5712" s="56" t="n">
        <v>45646.62222222222</v>
      </c>
      <c r="C5712" t="inlineStr">
        <is>
          <t>Bluestone Memorial Hospital</t>
        </is>
      </c>
      <c r="D5712" t="n">
        <v>14</v>
      </c>
    </row>
    <row r="5713">
      <c r="A5713" t="inlineStr">
        <is>
          <t>ED205838</t>
        </is>
      </c>
      <c r="B5713" s="56" t="n">
        <v>45646.63333333333</v>
      </c>
      <c r="C5713" t="inlineStr">
        <is>
          <t>Bluestone Memorial Hospital</t>
        </is>
      </c>
      <c r="D5713" t="n">
        <v>32</v>
      </c>
    </row>
    <row r="5714">
      <c r="A5714" t="inlineStr">
        <is>
          <t>ED205839</t>
        </is>
      </c>
      <c r="B5714" s="56" t="n">
        <v>45646.65833333333</v>
      </c>
      <c r="C5714" t="inlineStr">
        <is>
          <t>Cedar Ridge Medical Center</t>
        </is>
      </c>
      <c r="D5714" t="n">
        <v>41</v>
      </c>
    </row>
    <row r="5715">
      <c r="A5715" t="inlineStr">
        <is>
          <t>ED205840</t>
        </is>
      </c>
      <c r="B5715" s="56" t="n">
        <v>45646.74583333333</v>
      </c>
      <c r="C5715" t="inlineStr">
        <is>
          <t>Ashby Falls Community Hospital</t>
        </is>
      </c>
      <c r="D5715" t="n">
        <v>64</v>
      </c>
    </row>
    <row r="5716">
      <c r="A5716" t="inlineStr">
        <is>
          <t>ED205842</t>
        </is>
      </c>
      <c r="B5716" s="56" t="n">
        <v>45646.77083333334</v>
      </c>
      <c r="C5716" t="inlineStr">
        <is>
          <t>Ashby Falls Community Hospital</t>
        </is>
      </c>
      <c r="D5716" t="n">
        <v>99</v>
      </c>
    </row>
    <row r="5717">
      <c r="A5717" t="inlineStr">
        <is>
          <t>ED205843</t>
        </is>
      </c>
      <c r="B5717" s="56" t="n">
        <v>45646.8</v>
      </c>
      <c r="C5717" t="inlineStr">
        <is>
          <t>Bluestone Memorial Hospital</t>
        </is>
      </c>
      <c r="D5717" t="n">
        <v>51</v>
      </c>
    </row>
    <row r="5718">
      <c r="A5718" t="inlineStr">
        <is>
          <t>ED205844</t>
        </is>
      </c>
      <c r="B5718" s="56" t="n">
        <v>45646.89027777778</v>
      </c>
      <c r="C5718" t="inlineStr">
        <is>
          <t>Bluestone Memorial Hospital</t>
        </is>
      </c>
      <c r="D5718" t="n">
        <v>64</v>
      </c>
    </row>
    <row r="5719">
      <c r="A5719" t="inlineStr">
        <is>
          <t>ED205845</t>
        </is>
      </c>
      <c r="B5719" s="56" t="n">
        <v>45647.05069444444</v>
      </c>
      <c r="C5719" t="inlineStr">
        <is>
          <t>Bluestone Memorial Hospital</t>
        </is>
      </c>
      <c r="D5719" t="n">
        <v>4</v>
      </c>
    </row>
    <row r="5720">
      <c r="A5720" t="inlineStr">
        <is>
          <t>ED205846</t>
        </is>
      </c>
      <c r="B5720" s="56" t="n">
        <v>45647.10625</v>
      </c>
      <c r="C5720" t="inlineStr">
        <is>
          <t>Cedar Ridge Medical Center</t>
        </is>
      </c>
      <c r="D5720" t="n">
        <v>29</v>
      </c>
    </row>
    <row r="5721">
      <c r="A5721" t="inlineStr">
        <is>
          <t>ED205847</t>
        </is>
      </c>
      <c r="B5721" s="56" t="n">
        <v>45647.11666666667</v>
      </c>
      <c r="C5721" t="inlineStr">
        <is>
          <t>Cedar Ridge Medical Center</t>
        </is>
      </c>
      <c r="D5721" t="n">
        <v>17</v>
      </c>
    </row>
    <row r="5722">
      <c r="A5722" t="inlineStr">
        <is>
          <t>ED205848</t>
        </is>
      </c>
      <c r="B5722" s="56" t="n">
        <v>45647.32291666666</v>
      </c>
      <c r="C5722" t="inlineStr">
        <is>
          <t>Cedar Ridge Medical Center</t>
        </is>
      </c>
      <c r="D5722" t="n">
        <v>20</v>
      </c>
    </row>
    <row r="5723">
      <c r="A5723" t="inlineStr">
        <is>
          <t>ED205849</t>
        </is>
      </c>
      <c r="B5723" s="56" t="n">
        <v>45647.32708333333</v>
      </c>
      <c r="C5723" t="inlineStr">
        <is>
          <t>Bluestone Memorial Hospital</t>
        </is>
      </c>
      <c r="D5723" t="n">
        <v>35</v>
      </c>
    </row>
    <row r="5724">
      <c r="A5724" t="inlineStr">
        <is>
          <t>ED205850</t>
        </is>
      </c>
      <c r="B5724" s="56" t="n">
        <v>45647.33125</v>
      </c>
      <c r="C5724" t="inlineStr">
        <is>
          <t>Bluestone Memorial Hospital</t>
        </is>
      </c>
      <c r="D5724" t="n">
        <v>24</v>
      </c>
    </row>
    <row r="5725">
      <c r="A5725" t="inlineStr">
        <is>
          <t>ED205851</t>
        </is>
      </c>
      <c r="B5725" s="56" t="n">
        <v>45647.33263888889</v>
      </c>
      <c r="C5725" t="inlineStr">
        <is>
          <t>Bluestone Memorial Hospital</t>
        </is>
      </c>
      <c r="D5725" t="n">
        <v>23</v>
      </c>
    </row>
    <row r="5726">
      <c r="A5726" t="inlineStr">
        <is>
          <t>ED205852</t>
        </is>
      </c>
      <c r="B5726" s="56" t="n">
        <v>45647.34166666667</v>
      </c>
      <c r="C5726" t="inlineStr">
        <is>
          <t>Cedar Ridge Medical Center</t>
        </is>
      </c>
      <c r="D5726" t="n">
        <v>49</v>
      </c>
    </row>
    <row r="5727">
      <c r="A5727" t="inlineStr">
        <is>
          <t>ED205853</t>
        </is>
      </c>
      <c r="B5727" s="56" t="n">
        <v>45647.40138888889</v>
      </c>
      <c r="C5727" t="inlineStr">
        <is>
          <t>Cedar Ridge Medical Center</t>
        </is>
      </c>
      <c r="D5727" t="n">
        <v>18</v>
      </c>
    </row>
    <row r="5728">
      <c r="A5728" t="inlineStr">
        <is>
          <t>ED205854</t>
        </is>
      </c>
      <c r="B5728" s="56" t="n">
        <v>45647.40347222222</v>
      </c>
      <c r="C5728" t="inlineStr">
        <is>
          <t>Bluestone Memorial Hospital</t>
        </is>
      </c>
      <c r="D5728" t="n">
        <v>44</v>
      </c>
    </row>
    <row r="5729">
      <c r="A5729" t="inlineStr">
        <is>
          <t>ED205855</t>
        </is>
      </c>
      <c r="B5729" s="56" t="n">
        <v>45647.41041666667</v>
      </c>
      <c r="C5729" t="inlineStr">
        <is>
          <t>Ashby Falls Community Hospital</t>
        </is>
      </c>
      <c r="D5729" t="n">
        <v>47</v>
      </c>
    </row>
    <row r="5730">
      <c r="A5730" t="inlineStr">
        <is>
          <t>ED205856</t>
        </is>
      </c>
      <c r="B5730" s="56" t="n">
        <v>45647.41111111111</v>
      </c>
      <c r="C5730" t="inlineStr">
        <is>
          <t>Ashby Falls Community Hospital</t>
        </is>
      </c>
      <c r="D5730" t="n">
        <v>47</v>
      </c>
    </row>
    <row r="5731">
      <c r="A5731" t="inlineStr">
        <is>
          <t>ED205857</t>
        </is>
      </c>
      <c r="B5731" s="56" t="n">
        <v>45647.45625</v>
      </c>
      <c r="C5731" t="inlineStr">
        <is>
          <t>Ashby Falls Community Hospital</t>
        </is>
      </c>
      <c r="D5731" t="n">
        <v>77</v>
      </c>
    </row>
    <row r="5732">
      <c r="A5732" t="inlineStr">
        <is>
          <t>ED205858</t>
        </is>
      </c>
      <c r="B5732" s="56" t="n">
        <v>45647.47638888889</v>
      </c>
      <c r="C5732" t="inlineStr">
        <is>
          <t>Bluestone Memorial Hospital</t>
        </is>
      </c>
      <c r="D5732" t="n">
        <v>57</v>
      </c>
    </row>
    <row r="5733">
      <c r="A5733" t="inlineStr">
        <is>
          <t>ED205859</t>
        </is>
      </c>
      <c r="B5733" s="56" t="n">
        <v>45647.48541666667</v>
      </c>
      <c r="C5733" t="inlineStr">
        <is>
          <t>Bluestone Memorial Hospital</t>
        </is>
      </c>
      <c r="D5733" t="n">
        <v>214</v>
      </c>
    </row>
    <row r="5734">
      <c r="A5734" t="inlineStr">
        <is>
          <t>ED205860</t>
        </is>
      </c>
      <c r="B5734" s="56" t="n">
        <v>45647.50833333333</v>
      </c>
      <c r="C5734" t="inlineStr">
        <is>
          <t>Bluestone Memorial Hospital</t>
        </is>
      </c>
      <c r="D5734" t="n">
        <v>66</v>
      </c>
    </row>
    <row r="5735">
      <c r="A5735" t="inlineStr">
        <is>
          <t>ED205861</t>
        </is>
      </c>
      <c r="B5735" s="56" t="n">
        <v>45647.50972222222</v>
      </c>
      <c r="C5735" t="inlineStr">
        <is>
          <t>Bluestone Memorial Hospital</t>
        </is>
      </c>
      <c r="D5735" t="n">
        <v>104</v>
      </c>
    </row>
    <row r="5736">
      <c r="A5736" t="inlineStr">
        <is>
          <t>ED205862</t>
        </is>
      </c>
      <c r="B5736" s="56" t="n">
        <v>45647.51180555556</v>
      </c>
      <c r="C5736" t="inlineStr">
        <is>
          <t>Bluestone Memorial Hospital</t>
        </is>
      </c>
      <c r="D5736" t="n">
        <v>53</v>
      </c>
    </row>
    <row r="5737">
      <c r="A5737" t="inlineStr">
        <is>
          <t>ED205863</t>
        </is>
      </c>
      <c r="B5737" s="56" t="n">
        <v>45647.54236111111</v>
      </c>
      <c r="C5737" t="inlineStr">
        <is>
          <t>Bluestone Memorial Hospital</t>
        </is>
      </c>
      <c r="D5737" t="n">
        <v>63</v>
      </c>
    </row>
    <row r="5738">
      <c r="A5738" t="inlineStr">
        <is>
          <t>ED205864</t>
        </is>
      </c>
      <c r="B5738" s="56" t="n">
        <v>45647.55555555555</v>
      </c>
      <c r="C5738" t="inlineStr">
        <is>
          <t>Bluestone Memorial Hospital</t>
        </is>
      </c>
      <c r="D5738" t="n">
        <v>106</v>
      </c>
    </row>
    <row r="5739">
      <c r="A5739" t="inlineStr">
        <is>
          <t>ED205865</t>
        </is>
      </c>
      <c r="B5739" s="56" t="n">
        <v>45647.68541666667</v>
      </c>
      <c r="C5739" t="inlineStr">
        <is>
          <t>Ashby Falls Community Hospital</t>
        </is>
      </c>
      <c r="D5739" t="n">
        <v>53</v>
      </c>
    </row>
    <row r="5740">
      <c r="A5740" t="inlineStr">
        <is>
          <t>ED205866</t>
        </is>
      </c>
      <c r="B5740" s="56" t="n">
        <v>45647.7</v>
      </c>
      <c r="C5740" t="inlineStr">
        <is>
          <t>Bluestone Memorial Hospital</t>
        </is>
      </c>
      <c r="D5740" t="n">
        <v>43</v>
      </c>
    </row>
    <row r="5741">
      <c r="A5741" t="inlineStr">
        <is>
          <t>ED205867</t>
        </is>
      </c>
      <c r="B5741" s="56" t="n">
        <v>45647.72708333333</v>
      </c>
      <c r="C5741" t="inlineStr">
        <is>
          <t>Bluestone Memorial Hospital</t>
        </is>
      </c>
      <c r="D5741" t="n">
        <v>45</v>
      </c>
    </row>
    <row r="5742">
      <c r="A5742" t="inlineStr">
        <is>
          <t>ED205868</t>
        </is>
      </c>
      <c r="B5742" s="56" t="n">
        <v>45647.73472222222</v>
      </c>
      <c r="C5742" t="inlineStr">
        <is>
          <t>Bluestone Memorial Hospital</t>
        </is>
      </c>
      <c r="D5742" t="n">
        <v>63</v>
      </c>
    </row>
    <row r="5743">
      <c r="A5743" t="inlineStr">
        <is>
          <t>ED205869</t>
        </is>
      </c>
      <c r="B5743" s="56" t="n">
        <v>45647.75347222222</v>
      </c>
      <c r="C5743" t="inlineStr">
        <is>
          <t>Bluestone Memorial Hospital</t>
        </is>
      </c>
      <c r="D5743" t="n">
        <v>30</v>
      </c>
    </row>
    <row r="5744">
      <c r="A5744" t="inlineStr">
        <is>
          <t>ED205870</t>
        </is>
      </c>
      <c r="B5744" s="56" t="n">
        <v>45647.76666666667</v>
      </c>
      <c r="C5744" t="inlineStr">
        <is>
          <t>Bluestone Memorial Hospital</t>
        </is>
      </c>
      <c r="D5744" t="n">
        <v>31</v>
      </c>
    </row>
    <row r="5745">
      <c r="A5745" t="inlineStr">
        <is>
          <t>ED205871</t>
        </is>
      </c>
      <c r="B5745" s="56" t="n">
        <v>45647.81388888889</v>
      </c>
      <c r="C5745" t="inlineStr">
        <is>
          <t>Ashby Falls Community Hospital</t>
        </is>
      </c>
      <c r="D5745" t="n">
        <v>77</v>
      </c>
    </row>
    <row r="5746">
      <c r="A5746" t="inlineStr">
        <is>
          <t>ED205872</t>
        </is>
      </c>
      <c r="B5746" s="56" t="n">
        <v>45647.84861111111</v>
      </c>
      <c r="C5746" t="inlineStr">
        <is>
          <t>Bluestone Memorial Hospital</t>
        </is>
      </c>
      <c r="D5746" t="n">
        <v>55</v>
      </c>
    </row>
    <row r="5747">
      <c r="A5747" t="inlineStr">
        <is>
          <t>ED205873</t>
        </is>
      </c>
      <c r="B5747" s="56" t="n">
        <v>45647.85833333333</v>
      </c>
      <c r="C5747" t="inlineStr">
        <is>
          <t>Bluestone Memorial Hospital</t>
        </is>
      </c>
      <c r="D5747" t="n">
        <v>16</v>
      </c>
    </row>
    <row r="5748">
      <c r="A5748" t="inlineStr">
        <is>
          <t>ED205874</t>
        </is>
      </c>
      <c r="B5748" s="56" t="n">
        <v>45647.98888888889</v>
      </c>
      <c r="C5748" t="inlineStr">
        <is>
          <t>Cedar Ridge Medical Center</t>
        </is>
      </c>
      <c r="D5748" t="n">
        <v>23</v>
      </c>
    </row>
    <row r="5749">
      <c r="A5749" t="inlineStr">
        <is>
          <t>ED205875</t>
        </is>
      </c>
      <c r="B5749" s="56" t="n">
        <v>45647.99583333333</v>
      </c>
      <c r="C5749" t="inlineStr">
        <is>
          <t>Bluestone Memorial Hospital</t>
        </is>
      </c>
      <c r="D5749" t="n">
        <v>41</v>
      </c>
    </row>
    <row r="5750">
      <c r="A5750" t="inlineStr">
        <is>
          <t>ED205876</t>
        </is>
      </c>
      <c r="B5750" s="56" t="n">
        <v>45648.06111111111</v>
      </c>
      <c r="C5750" t="inlineStr">
        <is>
          <t>Bluestone Memorial Hospital</t>
        </is>
      </c>
      <c r="D5750" t="n">
        <v>23</v>
      </c>
    </row>
    <row r="5751">
      <c r="A5751" t="inlineStr">
        <is>
          <t>ED205877</t>
        </is>
      </c>
      <c r="B5751" s="56" t="n">
        <v>45648.1625</v>
      </c>
      <c r="C5751" t="inlineStr">
        <is>
          <t>Ashby Falls Community Hospital</t>
        </is>
      </c>
      <c r="D5751" t="n">
        <v>7</v>
      </c>
    </row>
    <row r="5752">
      <c r="A5752" t="inlineStr">
        <is>
          <t>ED205878</t>
        </is>
      </c>
      <c r="B5752" s="56" t="n">
        <v>45648.18055555555</v>
      </c>
      <c r="C5752" t="inlineStr">
        <is>
          <t>Bluestone Memorial Hospital</t>
        </is>
      </c>
      <c r="D5752" t="n">
        <v>73</v>
      </c>
    </row>
    <row r="5753">
      <c r="A5753" t="inlineStr">
        <is>
          <t>ED205879</t>
        </is>
      </c>
      <c r="B5753" s="56" t="n">
        <v>45648.29583333333</v>
      </c>
      <c r="C5753" t="inlineStr">
        <is>
          <t>Bluestone Memorial Hospital</t>
        </is>
      </c>
      <c r="D5753" t="n">
        <v>18</v>
      </c>
    </row>
    <row r="5754">
      <c r="A5754" t="inlineStr">
        <is>
          <t>ED205880</t>
        </is>
      </c>
      <c r="B5754" s="56" t="n">
        <v>45648.32569444444</v>
      </c>
      <c r="C5754" t="inlineStr">
        <is>
          <t>Bluestone Memorial Hospital</t>
        </is>
      </c>
      <c r="D5754" t="n">
        <v>80</v>
      </c>
    </row>
    <row r="5755">
      <c r="A5755" t="inlineStr">
        <is>
          <t>ED205881</t>
        </is>
      </c>
      <c r="B5755" s="56" t="n">
        <v>45648.44097222222</v>
      </c>
      <c r="C5755" t="inlineStr">
        <is>
          <t>Bluestone Memorial Hospital</t>
        </is>
      </c>
      <c r="D5755" t="n">
        <v>13</v>
      </c>
    </row>
    <row r="5756">
      <c r="A5756" t="inlineStr">
        <is>
          <t>ED205882</t>
        </is>
      </c>
      <c r="B5756" s="56" t="n">
        <v>45648.48333333333</v>
      </c>
      <c r="C5756" t="inlineStr">
        <is>
          <t>Bluestone Memorial Hospital</t>
        </is>
      </c>
      <c r="D5756" t="n">
        <v>108</v>
      </c>
    </row>
    <row r="5757">
      <c r="A5757" t="inlineStr">
        <is>
          <t>ED205884</t>
        </is>
      </c>
      <c r="B5757" s="56" t="n">
        <v>45648.50277777778</v>
      </c>
      <c r="C5757" t="inlineStr">
        <is>
          <t>Bluestone Memorial Hospital</t>
        </is>
      </c>
      <c r="D5757" t="n">
        <v>76</v>
      </c>
    </row>
    <row r="5758">
      <c r="A5758" t="inlineStr">
        <is>
          <t>ED205886</t>
        </is>
      </c>
      <c r="B5758" s="56" t="n">
        <v>45648.59375</v>
      </c>
      <c r="C5758" t="inlineStr">
        <is>
          <t>Bluestone Memorial Hospital</t>
        </is>
      </c>
      <c r="D5758" t="n">
        <v>4</v>
      </c>
    </row>
    <row r="5759">
      <c r="A5759" t="inlineStr">
        <is>
          <t>ED205887</t>
        </is>
      </c>
      <c r="B5759" s="56" t="n">
        <v>45648.60902777778</v>
      </c>
      <c r="C5759" t="inlineStr">
        <is>
          <t>Cedar Ridge Medical Center</t>
        </is>
      </c>
      <c r="D5759" t="n">
        <v>31</v>
      </c>
    </row>
    <row r="5760">
      <c r="A5760" t="inlineStr">
        <is>
          <t>ED205888</t>
        </is>
      </c>
      <c r="B5760" s="56" t="n">
        <v>45648.6375</v>
      </c>
      <c r="C5760" t="inlineStr">
        <is>
          <t>Bluestone Memorial Hospital</t>
        </is>
      </c>
      <c r="D5760" t="n">
        <v>63</v>
      </c>
    </row>
    <row r="5761">
      <c r="A5761" t="inlineStr">
        <is>
          <t>ED205889</t>
        </is>
      </c>
      <c r="B5761" s="56" t="n">
        <v>45648.64166666667</v>
      </c>
      <c r="C5761" t="inlineStr">
        <is>
          <t>Cedar Ridge Medical Center</t>
        </is>
      </c>
      <c r="D5761" t="n">
        <v>13</v>
      </c>
    </row>
    <row r="5762">
      <c r="A5762" t="inlineStr">
        <is>
          <t>ED205890</t>
        </is>
      </c>
      <c r="B5762" s="56" t="n">
        <v>45648.65555555555</v>
      </c>
      <c r="C5762" t="inlineStr">
        <is>
          <t>Cedar Ridge Medical Center</t>
        </is>
      </c>
      <c r="D5762" t="n">
        <v>17</v>
      </c>
    </row>
    <row r="5763">
      <c r="A5763" t="inlineStr">
        <is>
          <t>ED205891</t>
        </is>
      </c>
      <c r="B5763" s="56" t="n">
        <v>45648.69166666667</v>
      </c>
      <c r="C5763" t="inlineStr">
        <is>
          <t>Ashby Falls Community Hospital</t>
        </is>
      </c>
      <c r="D5763" t="n">
        <v>54</v>
      </c>
    </row>
    <row r="5764">
      <c r="A5764" t="inlineStr">
        <is>
          <t>ED205892</t>
        </is>
      </c>
      <c r="B5764" s="56" t="n">
        <v>45648.79791666667</v>
      </c>
      <c r="C5764" t="inlineStr">
        <is>
          <t>Bluestone Memorial Hospital</t>
        </is>
      </c>
      <c r="D5764" t="n">
        <v>14</v>
      </c>
    </row>
    <row r="5765">
      <c r="A5765" t="inlineStr">
        <is>
          <t>ED205893</t>
        </is>
      </c>
      <c r="B5765" s="56" t="n">
        <v>45648.82847222222</v>
      </c>
      <c r="C5765" t="inlineStr">
        <is>
          <t>Ashby Falls Community Hospital</t>
        </is>
      </c>
      <c r="D5765" t="n">
        <v>96</v>
      </c>
    </row>
    <row r="5766">
      <c r="A5766" t="inlineStr">
        <is>
          <t>ED205894</t>
        </is>
      </c>
      <c r="B5766" s="56" t="n">
        <v>45648.95069444444</v>
      </c>
      <c r="C5766" t="inlineStr">
        <is>
          <t>Bluestone Memorial Hospital</t>
        </is>
      </c>
      <c r="D5766" t="n">
        <v>36</v>
      </c>
    </row>
    <row r="5767">
      <c r="A5767" t="inlineStr">
        <is>
          <t>ED205895</t>
        </is>
      </c>
      <c r="B5767" s="56" t="n">
        <v>45648.96527777778</v>
      </c>
      <c r="C5767" t="inlineStr">
        <is>
          <t>Bluestone Memorial Hospital</t>
        </is>
      </c>
      <c r="D5767" t="n">
        <v>33</v>
      </c>
    </row>
    <row r="5768">
      <c r="A5768" t="inlineStr">
        <is>
          <t>ED205896</t>
        </is>
      </c>
      <c r="B5768" s="56" t="n">
        <v>45649.00555555556</v>
      </c>
      <c r="C5768" t="inlineStr">
        <is>
          <t>Bluestone Memorial Hospital</t>
        </is>
      </c>
      <c r="D5768" t="n">
        <v>9</v>
      </c>
    </row>
    <row r="5769">
      <c r="A5769" t="inlineStr">
        <is>
          <t>ED205897</t>
        </is>
      </c>
      <c r="B5769" s="56" t="n">
        <v>45649.09375</v>
      </c>
      <c r="C5769" t="inlineStr">
        <is>
          <t>Bluestone Memorial Hospital</t>
        </is>
      </c>
      <c r="D5769" t="n">
        <v>27</v>
      </c>
    </row>
    <row r="5770">
      <c r="A5770" t="inlineStr">
        <is>
          <t>ED205898</t>
        </is>
      </c>
      <c r="B5770" s="56" t="n">
        <v>45649.33958333333</v>
      </c>
      <c r="C5770" t="inlineStr">
        <is>
          <t>Bluestone Memorial Hospital</t>
        </is>
      </c>
      <c r="D5770" t="n">
        <v>52</v>
      </c>
    </row>
    <row r="5771">
      <c r="A5771" t="inlineStr">
        <is>
          <t>ED205899</t>
        </is>
      </c>
      <c r="B5771" s="56" t="n">
        <v>45649.35555555556</v>
      </c>
      <c r="C5771" t="inlineStr">
        <is>
          <t>Bluestone Memorial Hospital</t>
        </is>
      </c>
      <c r="D5771" t="n">
        <v>30</v>
      </c>
    </row>
    <row r="5772">
      <c r="A5772" t="inlineStr">
        <is>
          <t>ED205900</t>
        </is>
      </c>
      <c r="B5772" s="56" t="n">
        <v>45649.40347222222</v>
      </c>
      <c r="C5772" t="inlineStr">
        <is>
          <t>Bluestone Memorial Hospital</t>
        </is>
      </c>
      <c r="D5772" t="n">
        <v>77</v>
      </c>
    </row>
    <row r="5773">
      <c r="A5773" t="inlineStr">
        <is>
          <t>ED205901</t>
        </is>
      </c>
      <c r="B5773" s="56" t="n">
        <v>45649.41319444445</v>
      </c>
      <c r="C5773" t="inlineStr">
        <is>
          <t>Ashby Falls Community Hospital</t>
        </is>
      </c>
      <c r="D5773" t="n">
        <v>194</v>
      </c>
    </row>
    <row r="5774">
      <c r="A5774" t="inlineStr">
        <is>
          <t>ED205902</t>
        </is>
      </c>
      <c r="B5774" s="56" t="n">
        <v>45649.44722222222</v>
      </c>
      <c r="C5774" t="inlineStr">
        <is>
          <t>Ashby Falls Community Hospital</t>
        </is>
      </c>
      <c r="D5774" t="n">
        <v>39</v>
      </c>
    </row>
    <row r="5775">
      <c r="A5775" t="inlineStr">
        <is>
          <t>ED205903</t>
        </is>
      </c>
      <c r="B5775" s="56" t="n">
        <v>45649.45069444444</v>
      </c>
      <c r="C5775" t="inlineStr">
        <is>
          <t>Bluestone Memorial Hospital</t>
        </is>
      </c>
      <c r="D5775" t="n">
        <v>82</v>
      </c>
    </row>
    <row r="5776">
      <c r="A5776" t="inlineStr">
        <is>
          <t>ED205904</t>
        </is>
      </c>
      <c r="B5776" s="56" t="n">
        <v>45649.48888888889</v>
      </c>
      <c r="C5776" t="inlineStr">
        <is>
          <t>Cedar Ridge Medical Center</t>
        </is>
      </c>
      <c r="D5776" t="n">
        <v>114</v>
      </c>
    </row>
    <row r="5777">
      <c r="A5777" t="inlineStr">
        <is>
          <t>ED205905</t>
        </is>
      </c>
      <c r="B5777" s="56" t="n">
        <v>45649.60763888889</v>
      </c>
      <c r="C5777" t="inlineStr">
        <is>
          <t>Bluestone Memorial Hospital</t>
        </is>
      </c>
      <c r="D5777" t="n">
        <v>9</v>
      </c>
    </row>
    <row r="5778">
      <c r="A5778" t="inlineStr">
        <is>
          <t>ED205906</t>
        </is>
      </c>
      <c r="B5778" s="56" t="n">
        <v>45649.64027777778</v>
      </c>
      <c r="C5778" t="inlineStr">
        <is>
          <t>Ashby Falls Community Hospital</t>
        </is>
      </c>
      <c r="D5778" t="n">
        <v>12</v>
      </c>
    </row>
    <row r="5779">
      <c r="A5779" t="inlineStr">
        <is>
          <t>ED205907</t>
        </is>
      </c>
      <c r="B5779" s="56" t="n">
        <v>45649.73055555556</v>
      </c>
      <c r="C5779" t="inlineStr">
        <is>
          <t>Bluestone Memorial Hospital</t>
        </is>
      </c>
      <c r="D5779" t="n">
        <v>98</v>
      </c>
    </row>
    <row r="5780">
      <c r="A5780" t="inlineStr">
        <is>
          <t>ED205908</t>
        </is>
      </c>
      <c r="B5780" s="56" t="n">
        <v>45649.73472222222</v>
      </c>
      <c r="C5780" t="inlineStr">
        <is>
          <t>Bluestone Memorial Hospital</t>
        </is>
      </c>
      <c r="D5780" t="n">
        <v>36</v>
      </c>
    </row>
    <row r="5781">
      <c r="A5781" t="inlineStr">
        <is>
          <t>ED205909</t>
        </is>
      </c>
      <c r="B5781" s="56" t="n">
        <v>45649.80416666667</v>
      </c>
      <c r="C5781" t="inlineStr">
        <is>
          <t>Bluestone Memorial Hospital</t>
        </is>
      </c>
      <c r="D5781" t="n">
        <v>37</v>
      </c>
    </row>
    <row r="5782">
      <c r="A5782" t="inlineStr">
        <is>
          <t>ED205910</t>
        </is>
      </c>
      <c r="B5782" s="56" t="n">
        <v>45649.85208333333</v>
      </c>
      <c r="C5782" t="inlineStr">
        <is>
          <t>Bluestone Memorial Hospital</t>
        </is>
      </c>
      <c r="D5782" t="n">
        <v>19</v>
      </c>
    </row>
    <row r="5783">
      <c r="A5783" t="inlineStr">
        <is>
          <t>ED205911</t>
        </is>
      </c>
      <c r="B5783" s="56" t="n">
        <v>45649.86527777778</v>
      </c>
      <c r="C5783" t="inlineStr">
        <is>
          <t>Bluestone Memorial Hospital</t>
        </is>
      </c>
      <c r="D5783" t="n">
        <v>53</v>
      </c>
    </row>
    <row r="5784">
      <c r="A5784" t="inlineStr">
        <is>
          <t>ED205912</t>
        </is>
      </c>
      <c r="B5784" s="56" t="n">
        <v>45649.91805555556</v>
      </c>
      <c r="C5784" t="inlineStr">
        <is>
          <t>Bluestone Memorial Hospital</t>
        </is>
      </c>
      <c r="D5784" t="n">
        <v>69</v>
      </c>
    </row>
    <row r="5785">
      <c r="A5785" t="inlineStr">
        <is>
          <t>ED205913</t>
        </is>
      </c>
      <c r="B5785" s="56" t="n">
        <v>45649.92013888889</v>
      </c>
      <c r="C5785" t="inlineStr">
        <is>
          <t>Bluestone Memorial Hospital</t>
        </is>
      </c>
      <c r="D5785" t="n">
        <v>38</v>
      </c>
    </row>
    <row r="5786">
      <c r="A5786" t="inlineStr">
        <is>
          <t>ED205914</t>
        </is>
      </c>
      <c r="B5786" s="56" t="n">
        <v>45649.98888888889</v>
      </c>
      <c r="C5786" t="inlineStr">
        <is>
          <t>Bluestone Memorial Hospital</t>
        </is>
      </c>
      <c r="D5786" t="n">
        <v>59</v>
      </c>
    </row>
    <row r="5787">
      <c r="A5787" t="inlineStr">
        <is>
          <t>ED205915</t>
        </is>
      </c>
      <c r="B5787" s="56" t="n">
        <v>45649.99236111111</v>
      </c>
      <c r="C5787" t="inlineStr">
        <is>
          <t>Ashby Falls Community Hospital</t>
        </is>
      </c>
      <c r="D5787" t="n">
        <v>9</v>
      </c>
    </row>
    <row r="5788">
      <c r="A5788" t="inlineStr">
        <is>
          <t>ED205916</t>
        </is>
      </c>
      <c r="B5788" s="56" t="n">
        <v>45650.04722222222</v>
      </c>
      <c r="C5788" t="inlineStr">
        <is>
          <t>Ashby Falls Community Hospital</t>
        </is>
      </c>
      <c r="D5788" t="n">
        <v>209</v>
      </c>
    </row>
    <row r="5789">
      <c r="A5789" t="inlineStr">
        <is>
          <t>ED205917</t>
        </is>
      </c>
      <c r="B5789" s="56" t="n">
        <v>45650.10416666666</v>
      </c>
      <c r="C5789" t="inlineStr">
        <is>
          <t>Bluestone Memorial Hospital</t>
        </is>
      </c>
      <c r="D5789" t="n">
        <v>27</v>
      </c>
    </row>
    <row r="5790">
      <c r="A5790" t="inlineStr">
        <is>
          <t>ED205918</t>
        </is>
      </c>
      <c r="B5790" s="56" t="n">
        <v>45650.11597222222</v>
      </c>
      <c r="C5790" t="inlineStr">
        <is>
          <t>Bluestone Memorial Hospital</t>
        </is>
      </c>
      <c r="D5790" t="n">
        <v>28</v>
      </c>
    </row>
    <row r="5791">
      <c r="A5791" t="inlineStr">
        <is>
          <t>ED205919</t>
        </is>
      </c>
      <c r="B5791" s="56" t="n">
        <v>45650.15138888889</v>
      </c>
      <c r="C5791" t="inlineStr">
        <is>
          <t>Bluestone Memorial Hospital</t>
        </is>
      </c>
      <c r="D5791" t="n">
        <v>23</v>
      </c>
    </row>
    <row r="5792">
      <c r="A5792" t="inlineStr">
        <is>
          <t>ED205920</t>
        </is>
      </c>
      <c r="B5792" s="56" t="n">
        <v>45650.16319444445</v>
      </c>
      <c r="C5792" t="inlineStr">
        <is>
          <t>Bluestone Memorial Hospital</t>
        </is>
      </c>
      <c r="D5792" t="n">
        <v>61</v>
      </c>
    </row>
    <row r="5793">
      <c r="A5793" t="inlineStr">
        <is>
          <t>ED205921</t>
        </is>
      </c>
      <c r="B5793" s="56" t="n">
        <v>45650.19930555556</v>
      </c>
      <c r="C5793" t="inlineStr">
        <is>
          <t>Bluestone Memorial Hospital</t>
        </is>
      </c>
      <c r="D5793" t="n">
        <v>42</v>
      </c>
    </row>
    <row r="5794">
      <c r="A5794" t="inlineStr">
        <is>
          <t>ED205922</t>
        </is>
      </c>
      <c r="B5794" s="56" t="n">
        <v>45650.38194444445</v>
      </c>
      <c r="C5794" t="inlineStr">
        <is>
          <t>Bluestone Memorial Hospital</t>
        </is>
      </c>
      <c r="D5794" t="n">
        <v>62</v>
      </c>
    </row>
    <row r="5795">
      <c r="A5795" t="inlineStr">
        <is>
          <t>ED205923</t>
        </is>
      </c>
      <c r="B5795" s="56" t="n">
        <v>45650.42361111111</v>
      </c>
      <c r="C5795" t="inlineStr">
        <is>
          <t>Cedar Ridge Medical Center</t>
        </is>
      </c>
      <c r="D5795" t="n">
        <v>38</v>
      </c>
    </row>
    <row r="5796">
      <c r="A5796" t="inlineStr">
        <is>
          <t>ED205924</t>
        </is>
      </c>
      <c r="B5796" s="56" t="n">
        <v>45650.42847222222</v>
      </c>
      <c r="C5796" t="inlineStr">
        <is>
          <t>Bluestone Memorial Hospital</t>
        </is>
      </c>
      <c r="D5796" t="n">
        <v>8</v>
      </c>
    </row>
    <row r="5797">
      <c r="A5797" t="inlineStr">
        <is>
          <t>ED205925</t>
        </is>
      </c>
      <c r="B5797" s="56" t="n">
        <v>45650.45486111111</v>
      </c>
      <c r="C5797" t="inlineStr">
        <is>
          <t>Bluestone Memorial Hospital</t>
        </is>
      </c>
      <c r="D5797" t="n">
        <v>30</v>
      </c>
    </row>
    <row r="5798">
      <c r="A5798" t="inlineStr">
        <is>
          <t>ED205927</t>
        </is>
      </c>
      <c r="B5798" s="56" t="n">
        <v>45650.54027777778</v>
      </c>
      <c r="C5798" t="inlineStr">
        <is>
          <t>Bluestone Memorial Hospital</t>
        </is>
      </c>
      <c r="D5798" t="n">
        <v>52</v>
      </c>
    </row>
    <row r="5799">
      <c r="A5799" t="inlineStr">
        <is>
          <t>ED205928</t>
        </is>
      </c>
      <c r="B5799" s="56" t="n">
        <v>45650.54027777778</v>
      </c>
      <c r="C5799" t="inlineStr">
        <is>
          <t>Bluestone Memorial Hospital</t>
        </is>
      </c>
      <c r="D5799" t="n">
        <v>65</v>
      </c>
    </row>
    <row r="5800">
      <c r="A5800" t="inlineStr">
        <is>
          <t>ED205929</t>
        </is>
      </c>
      <c r="B5800" s="56" t="n">
        <v>45650.54583333333</v>
      </c>
      <c r="C5800" t="inlineStr">
        <is>
          <t>Bluestone Memorial Hospital</t>
        </is>
      </c>
      <c r="D5800" t="n">
        <v>90</v>
      </c>
    </row>
    <row r="5801">
      <c r="A5801" t="inlineStr">
        <is>
          <t>ED205930</t>
        </is>
      </c>
      <c r="B5801" s="56" t="n">
        <v>45650.5875</v>
      </c>
      <c r="C5801" t="inlineStr">
        <is>
          <t>Bluestone Memorial Hospital</t>
        </is>
      </c>
      <c r="D5801" t="n">
        <v>25</v>
      </c>
    </row>
    <row r="5802">
      <c r="A5802" t="inlineStr">
        <is>
          <t>ED205931</t>
        </is>
      </c>
      <c r="B5802" s="56" t="n">
        <v>45650.625</v>
      </c>
      <c r="C5802" t="inlineStr">
        <is>
          <t>Bluestone Memorial Hospital</t>
        </is>
      </c>
      <c r="D5802" t="n">
        <v>60</v>
      </c>
    </row>
    <row r="5803">
      <c r="A5803" t="inlineStr">
        <is>
          <t>ED205932</t>
        </is>
      </c>
      <c r="B5803" s="56" t="n">
        <v>45650.64930555555</v>
      </c>
      <c r="C5803" t="inlineStr">
        <is>
          <t>Bluestone Memorial Hospital</t>
        </is>
      </c>
      <c r="D5803" t="n">
        <v>94</v>
      </c>
    </row>
    <row r="5804">
      <c r="A5804" t="inlineStr">
        <is>
          <t>ED205933</t>
        </is>
      </c>
      <c r="B5804" s="56" t="n">
        <v>45650.69583333333</v>
      </c>
      <c r="C5804" t="inlineStr">
        <is>
          <t>Bluestone Memorial Hospital</t>
        </is>
      </c>
      <c r="D5804" t="n">
        <v>56</v>
      </c>
    </row>
    <row r="5805">
      <c r="A5805" t="inlineStr">
        <is>
          <t>ED205934</t>
        </is>
      </c>
      <c r="B5805" s="56" t="n">
        <v>45650.76041666666</v>
      </c>
      <c r="C5805" t="inlineStr">
        <is>
          <t>Bluestone Memorial Hospital</t>
        </is>
      </c>
      <c r="D5805" t="n">
        <v>72</v>
      </c>
    </row>
    <row r="5806">
      <c r="A5806" t="inlineStr">
        <is>
          <t>ED205935</t>
        </is>
      </c>
      <c r="B5806" s="56" t="n">
        <v>45650.7625</v>
      </c>
      <c r="C5806" t="inlineStr">
        <is>
          <t>Bluestone Memorial Hospital</t>
        </is>
      </c>
      <c r="D5806" t="n">
        <v>112</v>
      </c>
    </row>
    <row r="5807">
      <c r="A5807" t="inlineStr">
        <is>
          <t>ED205936</t>
        </is>
      </c>
      <c r="B5807" s="56" t="n">
        <v>45650.78333333333</v>
      </c>
      <c r="C5807" t="inlineStr">
        <is>
          <t>Ashby Falls Community Hospital</t>
        </is>
      </c>
      <c r="D5807" t="n">
        <v>47</v>
      </c>
    </row>
    <row r="5808">
      <c r="A5808" t="inlineStr">
        <is>
          <t>ED205937</t>
        </is>
      </c>
      <c r="B5808" s="56" t="n">
        <v>45650.79166666666</v>
      </c>
      <c r="C5808" t="inlineStr">
        <is>
          <t>Bluestone Memorial Hospital</t>
        </is>
      </c>
      <c r="D5808" t="n">
        <v>330</v>
      </c>
    </row>
    <row r="5809">
      <c r="A5809" t="inlineStr">
        <is>
          <t>ED205938</t>
        </is>
      </c>
      <c r="B5809" s="56" t="n">
        <v>45650.92708333334</v>
      </c>
      <c r="C5809" t="inlineStr">
        <is>
          <t>Bluestone Memorial Hospital</t>
        </is>
      </c>
      <c r="D5809" t="n">
        <v>62</v>
      </c>
    </row>
    <row r="5810">
      <c r="A5810" t="inlineStr">
        <is>
          <t>ED205939</t>
        </is>
      </c>
      <c r="B5810" s="56" t="n">
        <v>45650.93055555555</v>
      </c>
      <c r="C5810" t="inlineStr">
        <is>
          <t>Bluestone Memorial Hospital</t>
        </is>
      </c>
      <c r="D5810" t="n">
        <v>50</v>
      </c>
    </row>
    <row r="5811">
      <c r="A5811" t="inlineStr">
        <is>
          <t>ED205940</t>
        </is>
      </c>
      <c r="B5811" s="56" t="n">
        <v>45650.97430555556</v>
      </c>
      <c r="C5811" t="inlineStr">
        <is>
          <t>Cedar Ridge Medical Center</t>
        </is>
      </c>
      <c r="D5811" t="n">
        <v>20</v>
      </c>
    </row>
    <row r="5812">
      <c r="A5812" t="inlineStr">
        <is>
          <t>ED205941</t>
        </is>
      </c>
      <c r="B5812" s="56" t="n">
        <v>45651.32083333333</v>
      </c>
      <c r="C5812" t="inlineStr">
        <is>
          <t>Bluestone Memorial Hospital</t>
        </is>
      </c>
      <c r="D5812" t="n">
        <v>72</v>
      </c>
    </row>
    <row r="5813">
      <c r="A5813" t="inlineStr">
        <is>
          <t>ED205942</t>
        </is>
      </c>
      <c r="B5813" s="56" t="n">
        <v>45651.32986111111</v>
      </c>
      <c r="C5813" t="inlineStr">
        <is>
          <t>Bluestone Memorial Hospital</t>
        </is>
      </c>
      <c r="D5813" t="n">
        <v>16</v>
      </c>
    </row>
    <row r="5814">
      <c r="A5814" t="inlineStr">
        <is>
          <t>ED205943</t>
        </is>
      </c>
      <c r="B5814" s="56" t="n">
        <v>45651.44375</v>
      </c>
      <c r="C5814" t="inlineStr">
        <is>
          <t>Bluestone Memorial Hospital</t>
        </is>
      </c>
      <c r="D5814" t="n">
        <v>53</v>
      </c>
    </row>
    <row r="5815">
      <c r="A5815" t="inlineStr">
        <is>
          <t>ED205944</t>
        </is>
      </c>
      <c r="B5815" s="56" t="n">
        <v>45651.44722222222</v>
      </c>
      <c r="C5815" t="inlineStr">
        <is>
          <t>Bluestone Memorial Hospital</t>
        </is>
      </c>
      <c r="D5815" t="n">
        <v>35</v>
      </c>
    </row>
    <row r="5816">
      <c r="A5816" t="inlineStr">
        <is>
          <t>ED205946</t>
        </is>
      </c>
      <c r="B5816" s="56" t="n">
        <v>45651.48958333334</v>
      </c>
      <c r="C5816" t="inlineStr">
        <is>
          <t>Bluestone Memorial Hospital</t>
        </is>
      </c>
      <c r="D5816" t="n">
        <v>16</v>
      </c>
    </row>
    <row r="5817">
      <c r="A5817" t="inlineStr">
        <is>
          <t>ED205947</t>
        </is>
      </c>
      <c r="B5817" s="56" t="n">
        <v>45651.49930555555</v>
      </c>
      <c r="C5817" t="inlineStr">
        <is>
          <t>Bluestone Memorial Hospital</t>
        </is>
      </c>
      <c r="D5817" t="n">
        <v>107</v>
      </c>
    </row>
    <row r="5818">
      <c r="A5818" t="inlineStr">
        <is>
          <t>ED205948</t>
        </is>
      </c>
      <c r="B5818" s="56" t="n">
        <v>45651.57708333333</v>
      </c>
      <c r="C5818" t="inlineStr">
        <is>
          <t>Ashby Falls Community Hospital</t>
        </is>
      </c>
      <c r="D5818" t="n">
        <v>62</v>
      </c>
    </row>
    <row r="5819">
      <c r="A5819" t="inlineStr">
        <is>
          <t>ED205949</t>
        </is>
      </c>
      <c r="B5819" s="56" t="n">
        <v>45651.57847222222</v>
      </c>
      <c r="C5819" t="inlineStr">
        <is>
          <t>Bluestone Memorial Hospital</t>
        </is>
      </c>
      <c r="D5819" t="n">
        <v>40</v>
      </c>
    </row>
    <row r="5820">
      <c r="A5820" t="inlineStr">
        <is>
          <t>ED205950</t>
        </is>
      </c>
      <c r="B5820" s="56" t="n">
        <v>45651.66527777778</v>
      </c>
      <c r="C5820" t="inlineStr">
        <is>
          <t>Ashby Falls Community Hospital</t>
        </is>
      </c>
      <c r="D5820" t="n">
        <v>65</v>
      </c>
    </row>
    <row r="5821">
      <c r="A5821" t="inlineStr">
        <is>
          <t>ED205951</t>
        </is>
      </c>
      <c r="B5821" s="56" t="n">
        <v>45651.70694444444</v>
      </c>
      <c r="C5821" t="inlineStr">
        <is>
          <t>Bluestone Memorial Hospital</t>
        </is>
      </c>
      <c r="D5821" t="n">
        <v>71</v>
      </c>
    </row>
    <row r="5822">
      <c r="A5822" t="inlineStr">
        <is>
          <t>ED205952</t>
        </is>
      </c>
      <c r="B5822" s="56" t="n">
        <v>45651.72847222222</v>
      </c>
      <c r="C5822" t="inlineStr">
        <is>
          <t>Bluestone Memorial Hospital</t>
        </is>
      </c>
      <c r="D5822" t="n">
        <v>148</v>
      </c>
    </row>
    <row r="5823">
      <c r="A5823" t="inlineStr">
        <is>
          <t>ED205953</t>
        </is>
      </c>
      <c r="B5823" s="56" t="n">
        <v>45651.77083333334</v>
      </c>
      <c r="C5823" t="inlineStr">
        <is>
          <t>Ashby Falls Community Hospital</t>
        </is>
      </c>
      <c r="D5823" t="n">
        <v>125</v>
      </c>
    </row>
    <row r="5824">
      <c r="A5824" t="inlineStr">
        <is>
          <t>ED205954</t>
        </is>
      </c>
      <c r="B5824" s="56" t="n">
        <v>45651.78125</v>
      </c>
      <c r="C5824" t="inlineStr">
        <is>
          <t>Bluestone Memorial Hospital</t>
        </is>
      </c>
      <c r="D5824" t="n">
        <v>120</v>
      </c>
    </row>
    <row r="5825">
      <c r="A5825" t="inlineStr">
        <is>
          <t>ED205955</t>
        </is>
      </c>
      <c r="B5825" s="56" t="n">
        <v>45651.79236111111</v>
      </c>
      <c r="C5825" t="inlineStr">
        <is>
          <t>Bluestone Memorial Hospital</t>
        </is>
      </c>
      <c r="D5825" t="n">
        <v>81</v>
      </c>
    </row>
    <row r="5826">
      <c r="A5826" t="inlineStr">
        <is>
          <t>ED205956</t>
        </is>
      </c>
      <c r="B5826" s="56" t="n">
        <v>45651.83611111111</v>
      </c>
      <c r="C5826" t="inlineStr">
        <is>
          <t>Bluestone Memorial Hospital</t>
        </is>
      </c>
      <c r="D5826" t="n">
        <v>16</v>
      </c>
    </row>
    <row r="5827">
      <c r="A5827" t="inlineStr">
        <is>
          <t>ED205957</t>
        </is>
      </c>
      <c r="B5827" s="56" t="n">
        <v>45651.84305555555</v>
      </c>
      <c r="C5827" t="inlineStr">
        <is>
          <t>Bluestone Memorial Hospital</t>
        </is>
      </c>
      <c r="D5827" t="n">
        <v>17</v>
      </c>
    </row>
    <row r="5828">
      <c r="A5828" t="inlineStr">
        <is>
          <t>ED205958</t>
        </is>
      </c>
      <c r="B5828" s="56" t="n">
        <v>45651.91180555556</v>
      </c>
      <c r="C5828" t="inlineStr">
        <is>
          <t>Bluestone Memorial Hospital</t>
        </is>
      </c>
      <c r="D5828" t="n">
        <v>22</v>
      </c>
    </row>
    <row r="5829">
      <c r="A5829" t="inlineStr">
        <is>
          <t>ED205959</t>
        </is>
      </c>
      <c r="B5829" s="56" t="n">
        <v>45651.97847222222</v>
      </c>
      <c r="C5829" t="inlineStr">
        <is>
          <t>Bluestone Memorial Hospital</t>
        </is>
      </c>
      <c r="D5829" t="n">
        <v>126</v>
      </c>
    </row>
    <row r="5830">
      <c r="A5830" t="inlineStr">
        <is>
          <t>ED205960</t>
        </is>
      </c>
      <c r="B5830" s="56" t="n">
        <v>45652.10069444445</v>
      </c>
      <c r="C5830" t="inlineStr">
        <is>
          <t>Cedar Ridge Medical Center</t>
        </is>
      </c>
      <c r="D5830" t="n">
        <v>18</v>
      </c>
    </row>
    <row r="5831">
      <c r="A5831" t="inlineStr">
        <is>
          <t>ED205961</t>
        </is>
      </c>
      <c r="B5831" s="56" t="n">
        <v>45652.35486111111</v>
      </c>
      <c r="C5831" t="inlineStr">
        <is>
          <t>Bluestone Memorial Hospital</t>
        </is>
      </c>
      <c r="D5831" t="n">
        <v>21</v>
      </c>
    </row>
    <row r="5832">
      <c r="A5832" t="inlineStr">
        <is>
          <t>ED205962</t>
        </is>
      </c>
      <c r="B5832" s="56" t="n">
        <v>45652.37152777778</v>
      </c>
      <c r="C5832" t="inlineStr">
        <is>
          <t>Bluestone Memorial Hospital</t>
        </is>
      </c>
      <c r="D5832" t="n">
        <v>41</v>
      </c>
    </row>
    <row r="5833">
      <c r="A5833" t="inlineStr">
        <is>
          <t>ED205963</t>
        </is>
      </c>
      <c r="B5833" s="56" t="n">
        <v>45652.37222222222</v>
      </c>
      <c r="C5833" t="inlineStr">
        <is>
          <t>Bluestone Memorial Hospital</t>
        </is>
      </c>
      <c r="D5833" t="n">
        <v>26</v>
      </c>
    </row>
    <row r="5834">
      <c r="A5834" t="inlineStr">
        <is>
          <t>ED205964</t>
        </is>
      </c>
      <c r="B5834" s="56" t="n">
        <v>45652.44791666666</v>
      </c>
      <c r="C5834" t="inlineStr">
        <is>
          <t>Ashby Falls Community Hospital</t>
        </is>
      </c>
      <c r="D5834" t="n">
        <v>21</v>
      </c>
    </row>
    <row r="5835">
      <c r="A5835" t="inlineStr">
        <is>
          <t>ED205965</t>
        </is>
      </c>
      <c r="B5835" s="56" t="n">
        <v>45652.46527777778</v>
      </c>
      <c r="C5835" t="inlineStr">
        <is>
          <t>Bluestone Memorial Hospital</t>
        </is>
      </c>
      <c r="D5835" t="n">
        <v>95</v>
      </c>
    </row>
    <row r="5836">
      <c r="A5836" t="inlineStr">
        <is>
          <t>ED205966</t>
        </is>
      </c>
      <c r="B5836" s="56" t="n">
        <v>45652.49930555555</v>
      </c>
      <c r="C5836" t="inlineStr">
        <is>
          <t>Bluestone Memorial Hospital</t>
        </is>
      </c>
      <c r="D5836" t="n">
        <v>59</v>
      </c>
    </row>
    <row r="5837">
      <c r="A5837" t="inlineStr">
        <is>
          <t>ED205967</t>
        </is>
      </c>
      <c r="B5837" s="56" t="n">
        <v>45652.51666666667</v>
      </c>
      <c r="C5837" t="inlineStr">
        <is>
          <t>Bluestone Memorial Hospital</t>
        </is>
      </c>
      <c r="D5837" t="n">
        <v>14</v>
      </c>
    </row>
    <row r="5838">
      <c r="A5838" t="inlineStr">
        <is>
          <t>ED205968</t>
        </is>
      </c>
      <c r="B5838" s="56" t="n">
        <v>45652.58680555555</v>
      </c>
      <c r="C5838" t="inlineStr">
        <is>
          <t>Bluestone Memorial Hospital</t>
        </is>
      </c>
      <c r="D5838" t="n">
        <v>103</v>
      </c>
    </row>
    <row r="5839">
      <c r="A5839" t="inlineStr">
        <is>
          <t>ED205969</t>
        </is>
      </c>
      <c r="B5839" s="56" t="n">
        <v>45652.59444444445</v>
      </c>
      <c r="C5839" t="inlineStr">
        <is>
          <t>Bluestone Memorial Hospital</t>
        </is>
      </c>
      <c r="D5839" t="n">
        <v>59</v>
      </c>
    </row>
    <row r="5840">
      <c r="A5840" t="inlineStr">
        <is>
          <t>ED205970</t>
        </is>
      </c>
      <c r="B5840" s="56" t="n">
        <v>45652.63819444444</v>
      </c>
      <c r="C5840" t="inlineStr">
        <is>
          <t>Bluestone Memorial Hospital</t>
        </is>
      </c>
      <c r="D5840" t="n">
        <v>124</v>
      </c>
    </row>
    <row r="5841">
      <c r="A5841" t="inlineStr">
        <is>
          <t>ED205971</t>
        </is>
      </c>
      <c r="B5841" s="56" t="n">
        <v>45652.66180555556</v>
      </c>
      <c r="C5841" t="inlineStr">
        <is>
          <t>Bluestone Memorial Hospital</t>
        </is>
      </c>
      <c r="D5841" t="n">
        <v>43</v>
      </c>
    </row>
    <row r="5842">
      <c r="A5842" t="inlineStr">
        <is>
          <t>ED205972</t>
        </is>
      </c>
      <c r="B5842" s="56" t="n">
        <v>45652.67152777778</v>
      </c>
      <c r="C5842" t="inlineStr">
        <is>
          <t>Bluestone Memorial Hospital</t>
        </is>
      </c>
      <c r="D5842" t="n">
        <v>80</v>
      </c>
    </row>
    <row r="5843">
      <c r="A5843" t="inlineStr">
        <is>
          <t>ED205973</t>
        </is>
      </c>
      <c r="B5843" s="56" t="n">
        <v>45652.67916666667</v>
      </c>
      <c r="C5843" t="inlineStr">
        <is>
          <t>Bluestone Memorial Hospital</t>
        </is>
      </c>
      <c r="D5843" t="n">
        <v>63</v>
      </c>
    </row>
    <row r="5844">
      <c r="A5844" t="inlineStr">
        <is>
          <t>ED205974</t>
        </is>
      </c>
      <c r="B5844" s="56" t="n">
        <v>45652.77430555555</v>
      </c>
      <c r="C5844" t="inlineStr">
        <is>
          <t>Bluestone Memorial Hospital</t>
        </is>
      </c>
      <c r="D5844" t="n">
        <v>39</v>
      </c>
    </row>
    <row r="5845">
      <c r="A5845" t="inlineStr">
        <is>
          <t>ED205975</t>
        </is>
      </c>
      <c r="B5845" s="56" t="n">
        <v>45652.79375</v>
      </c>
      <c r="C5845" t="inlineStr">
        <is>
          <t>Bluestone Memorial Hospital</t>
        </is>
      </c>
      <c r="D5845" t="n">
        <v>40</v>
      </c>
    </row>
    <row r="5846">
      <c r="A5846" t="inlineStr">
        <is>
          <t>ED205976</t>
        </is>
      </c>
      <c r="B5846" s="56" t="n">
        <v>45652.80833333333</v>
      </c>
      <c r="C5846" t="inlineStr">
        <is>
          <t>Bluestone Memorial Hospital</t>
        </is>
      </c>
      <c r="D5846" t="n">
        <v>28</v>
      </c>
    </row>
    <row r="5847">
      <c r="A5847" t="inlineStr">
        <is>
          <t>ED205977</t>
        </is>
      </c>
      <c r="B5847" s="56" t="n">
        <v>45652.84305555555</v>
      </c>
      <c r="C5847" t="inlineStr">
        <is>
          <t>Bluestone Memorial Hospital</t>
        </is>
      </c>
      <c r="D5847" t="n">
        <v>19</v>
      </c>
    </row>
    <row r="5848">
      <c r="A5848" t="inlineStr">
        <is>
          <t>ED205978</t>
        </is>
      </c>
      <c r="B5848" s="56" t="n">
        <v>45652.88819444444</v>
      </c>
      <c r="C5848" t="inlineStr">
        <is>
          <t>Bluestone Memorial Hospital</t>
        </is>
      </c>
      <c r="D5848" t="n">
        <v>50</v>
      </c>
    </row>
    <row r="5849">
      <c r="A5849" t="inlineStr">
        <is>
          <t>ED205979</t>
        </is>
      </c>
      <c r="B5849" s="56" t="n">
        <v>45652.9</v>
      </c>
      <c r="C5849" t="inlineStr">
        <is>
          <t>Bluestone Memorial Hospital</t>
        </is>
      </c>
      <c r="D5849" t="n">
        <v>15</v>
      </c>
    </row>
    <row r="5850">
      <c r="A5850" t="inlineStr">
        <is>
          <t>ED205980</t>
        </is>
      </c>
      <c r="B5850" s="56" t="n">
        <v>45652.99791666667</v>
      </c>
      <c r="C5850" t="inlineStr">
        <is>
          <t>Bluestone Memorial Hospital</t>
        </is>
      </c>
      <c r="D5850" t="n">
        <v>43</v>
      </c>
    </row>
    <row r="5851">
      <c r="A5851" t="inlineStr">
        <is>
          <t>ED205981</t>
        </is>
      </c>
      <c r="B5851" s="56" t="n">
        <v>45653.03958333333</v>
      </c>
      <c r="C5851" t="inlineStr">
        <is>
          <t>Bluestone Memorial Hospital</t>
        </is>
      </c>
      <c r="D5851" t="n">
        <v>13</v>
      </c>
    </row>
    <row r="5852">
      <c r="A5852" t="inlineStr">
        <is>
          <t>ED205982</t>
        </is>
      </c>
      <c r="B5852" s="56" t="n">
        <v>45653.08263888889</v>
      </c>
      <c r="C5852" t="inlineStr">
        <is>
          <t>Bluestone Memorial Hospital</t>
        </is>
      </c>
      <c r="D5852" t="n">
        <v>12</v>
      </c>
    </row>
    <row r="5853">
      <c r="A5853" t="inlineStr">
        <is>
          <t>ED205983</t>
        </is>
      </c>
      <c r="B5853" s="56" t="n">
        <v>45653.11458333334</v>
      </c>
      <c r="C5853" t="inlineStr">
        <is>
          <t>Bluestone Memorial Hospital</t>
        </is>
      </c>
      <c r="D5853" t="n">
        <v>14</v>
      </c>
    </row>
    <row r="5854">
      <c r="A5854" t="inlineStr">
        <is>
          <t>ED205984</t>
        </is>
      </c>
      <c r="B5854" s="56" t="n">
        <v>45653.32777777778</v>
      </c>
      <c r="C5854" t="inlineStr">
        <is>
          <t>Bluestone Memorial Hospital</t>
        </is>
      </c>
      <c r="D5854" t="n">
        <v>95</v>
      </c>
    </row>
    <row r="5855">
      <c r="A5855" t="inlineStr">
        <is>
          <t>ED205985</t>
        </is>
      </c>
      <c r="B5855" s="56" t="n">
        <v>45653.37777777778</v>
      </c>
      <c r="C5855" t="inlineStr">
        <is>
          <t>Bluestone Memorial Hospital</t>
        </is>
      </c>
      <c r="D5855" t="n">
        <v>2</v>
      </c>
    </row>
    <row r="5856">
      <c r="A5856" t="inlineStr">
        <is>
          <t>ED205986</t>
        </is>
      </c>
      <c r="B5856" s="56" t="n">
        <v>45653.54444444444</v>
      </c>
      <c r="C5856" t="inlineStr">
        <is>
          <t>Cedar Ridge Medical Center</t>
        </is>
      </c>
      <c r="D5856" t="n">
        <v>32</v>
      </c>
    </row>
    <row r="5857">
      <c r="A5857" t="inlineStr">
        <is>
          <t>ED205987</t>
        </is>
      </c>
      <c r="B5857" s="56" t="n">
        <v>45653.54861111111</v>
      </c>
      <c r="C5857" t="inlineStr">
        <is>
          <t>Bluestone Memorial Hospital</t>
        </is>
      </c>
      <c r="D5857" t="n">
        <v>22</v>
      </c>
    </row>
    <row r="5858">
      <c r="A5858" t="inlineStr">
        <is>
          <t>ED205988</t>
        </is>
      </c>
      <c r="B5858" s="56" t="n">
        <v>45653.60486111111</v>
      </c>
      <c r="C5858" t="inlineStr">
        <is>
          <t>Bluestone Memorial Hospital</t>
        </is>
      </c>
      <c r="D5858" t="n">
        <v>84</v>
      </c>
    </row>
    <row r="5859">
      <c r="A5859" t="inlineStr">
        <is>
          <t>ED205990</t>
        </is>
      </c>
      <c r="B5859" s="56" t="n">
        <v>45653.60555555556</v>
      </c>
      <c r="C5859" t="inlineStr">
        <is>
          <t>Bluestone Memorial Hospital</t>
        </is>
      </c>
      <c r="D5859" t="n">
        <v>25</v>
      </c>
    </row>
    <row r="5860">
      <c r="A5860" t="inlineStr">
        <is>
          <t>ED205991</t>
        </is>
      </c>
      <c r="B5860" s="56" t="n">
        <v>45653.61527777778</v>
      </c>
      <c r="C5860" t="inlineStr">
        <is>
          <t>Bluestone Memorial Hospital</t>
        </is>
      </c>
      <c r="D5860" t="n">
        <v>125</v>
      </c>
    </row>
    <row r="5861">
      <c r="A5861" t="inlineStr">
        <is>
          <t>ED205992</t>
        </is>
      </c>
      <c r="B5861" s="56" t="n">
        <v>45653.69305555556</v>
      </c>
      <c r="C5861" t="inlineStr">
        <is>
          <t>Bluestone Memorial Hospital</t>
        </is>
      </c>
      <c r="D5861" t="n">
        <v>113</v>
      </c>
    </row>
    <row r="5862">
      <c r="A5862" t="inlineStr">
        <is>
          <t>ED205993</t>
        </is>
      </c>
      <c r="B5862" s="56" t="n">
        <v>45653.69513888889</v>
      </c>
      <c r="C5862" t="inlineStr">
        <is>
          <t>Bluestone Memorial Hospital</t>
        </is>
      </c>
      <c r="D5862" t="n">
        <v>77</v>
      </c>
    </row>
    <row r="5863">
      <c r="A5863" t="inlineStr">
        <is>
          <t>ED205994</t>
        </is>
      </c>
      <c r="B5863" s="56" t="n">
        <v>45653.69791666666</v>
      </c>
      <c r="C5863" t="inlineStr">
        <is>
          <t>Bluestone Memorial Hospital</t>
        </is>
      </c>
      <c r="D5863" t="n">
        <v>8</v>
      </c>
    </row>
    <row r="5864">
      <c r="A5864" t="inlineStr">
        <is>
          <t>ED205995</t>
        </is>
      </c>
      <c r="B5864" s="56" t="n">
        <v>45653.75069444445</v>
      </c>
      <c r="C5864" t="inlineStr">
        <is>
          <t>Bluestone Memorial Hospital</t>
        </is>
      </c>
      <c r="D5864" t="n">
        <v>29</v>
      </c>
    </row>
    <row r="5865">
      <c r="A5865" t="inlineStr">
        <is>
          <t>ED205996</t>
        </is>
      </c>
      <c r="B5865" s="56" t="n">
        <v>45653.88472222222</v>
      </c>
      <c r="C5865" t="inlineStr">
        <is>
          <t>Bluestone Memorial Hospital</t>
        </is>
      </c>
      <c r="D5865" t="n">
        <v>43</v>
      </c>
    </row>
    <row r="5866">
      <c r="A5866" t="inlineStr">
        <is>
          <t>ED205997</t>
        </is>
      </c>
      <c r="B5866" s="56" t="n">
        <v>45653.8875</v>
      </c>
      <c r="C5866" t="inlineStr">
        <is>
          <t>Ashby Falls Community Hospital</t>
        </is>
      </c>
      <c r="D5866" t="n">
        <v>15</v>
      </c>
    </row>
    <row r="5867">
      <c r="A5867" t="inlineStr">
        <is>
          <t>ED205998</t>
        </is>
      </c>
      <c r="B5867" s="56" t="n">
        <v>45654.09375</v>
      </c>
      <c r="C5867" t="inlineStr">
        <is>
          <t>Cedar Ridge Medical Center</t>
        </is>
      </c>
      <c r="D5867" t="n">
        <v>38</v>
      </c>
    </row>
    <row r="5868">
      <c r="A5868" t="inlineStr">
        <is>
          <t>ED205999</t>
        </is>
      </c>
      <c r="B5868" s="56" t="n">
        <v>45654.10416666666</v>
      </c>
      <c r="C5868" t="inlineStr">
        <is>
          <t>Bluestone Memorial Hospital</t>
        </is>
      </c>
      <c r="D5868" t="n">
        <v>50</v>
      </c>
    </row>
    <row r="5869">
      <c r="A5869" t="inlineStr">
        <is>
          <t>ED206000</t>
        </is>
      </c>
      <c r="B5869" s="56" t="n">
        <v>45654.22083333333</v>
      </c>
      <c r="C5869" t="inlineStr">
        <is>
          <t>Bluestone Memorial Hospital</t>
        </is>
      </c>
      <c r="D5869" t="n">
        <v>21</v>
      </c>
    </row>
    <row r="5870">
      <c r="A5870" t="inlineStr">
        <is>
          <t>ED206001</t>
        </is>
      </c>
      <c r="B5870" s="56" t="n">
        <v>45654.33611111111</v>
      </c>
      <c r="C5870" t="inlineStr">
        <is>
          <t>Cedar Ridge Medical Center</t>
        </is>
      </c>
      <c r="D5870" t="n">
        <v>11</v>
      </c>
    </row>
    <row r="5871">
      <c r="A5871" t="inlineStr">
        <is>
          <t>ED206002</t>
        </is>
      </c>
      <c r="B5871" s="56" t="n">
        <v>45654.58263888889</v>
      </c>
      <c r="C5871" t="inlineStr">
        <is>
          <t>Cedar Ridge Medical Center</t>
        </is>
      </c>
      <c r="D5871" t="n">
        <v>48</v>
      </c>
    </row>
    <row r="5872">
      <c r="A5872" t="inlineStr">
        <is>
          <t>ED206003</t>
        </is>
      </c>
      <c r="B5872" s="56" t="n">
        <v>45654.62569444445</v>
      </c>
      <c r="C5872" t="inlineStr">
        <is>
          <t>Bluestone Memorial Hospital</t>
        </is>
      </c>
      <c r="D5872" t="n">
        <v>150</v>
      </c>
    </row>
    <row r="5873">
      <c r="A5873" t="inlineStr">
        <is>
          <t>ED206004</t>
        </is>
      </c>
      <c r="B5873" s="56" t="n">
        <v>45654.66805555556</v>
      </c>
      <c r="C5873" t="inlineStr">
        <is>
          <t>Cedar Ridge Medical Center</t>
        </is>
      </c>
      <c r="D5873" t="n">
        <v>15</v>
      </c>
    </row>
    <row r="5874">
      <c r="A5874" t="inlineStr">
        <is>
          <t>ED206005</t>
        </is>
      </c>
      <c r="B5874" s="56" t="n">
        <v>45654.67083333333</v>
      </c>
      <c r="C5874" t="inlineStr">
        <is>
          <t>Bluestone Memorial Hospital</t>
        </is>
      </c>
      <c r="D5874" t="n">
        <v>98</v>
      </c>
    </row>
    <row r="5875">
      <c r="A5875" t="inlineStr">
        <is>
          <t>ED206006</t>
        </is>
      </c>
      <c r="B5875" s="56" t="n">
        <v>45654.67291666667</v>
      </c>
      <c r="C5875" t="inlineStr">
        <is>
          <t>Bluestone Memorial Hospital</t>
        </is>
      </c>
      <c r="D5875" t="n">
        <v>10</v>
      </c>
    </row>
    <row r="5876">
      <c r="A5876" t="inlineStr">
        <is>
          <t>ED206007</t>
        </is>
      </c>
      <c r="B5876" s="56" t="n">
        <v>45654.675</v>
      </c>
      <c r="C5876" t="inlineStr">
        <is>
          <t>Bluestone Memorial Hospital</t>
        </is>
      </c>
      <c r="D5876" t="n">
        <v>17</v>
      </c>
    </row>
    <row r="5877">
      <c r="A5877" t="inlineStr">
        <is>
          <t>ED206008</t>
        </is>
      </c>
      <c r="B5877" s="56" t="n">
        <v>45654.75</v>
      </c>
      <c r="C5877" t="inlineStr">
        <is>
          <t>Cedar Ridge Medical Center</t>
        </is>
      </c>
      <c r="D5877" t="n">
        <v>69</v>
      </c>
    </row>
    <row r="5878">
      <c r="A5878" t="inlineStr">
        <is>
          <t>ED206009</t>
        </is>
      </c>
      <c r="B5878" s="56" t="n">
        <v>45654.77430555555</v>
      </c>
      <c r="C5878" t="inlineStr">
        <is>
          <t>Bluestone Memorial Hospital</t>
        </is>
      </c>
      <c r="D5878" t="n">
        <v>9</v>
      </c>
    </row>
    <row r="5879">
      <c r="A5879" t="inlineStr">
        <is>
          <t>ED206010</t>
        </is>
      </c>
      <c r="B5879" s="56" t="n">
        <v>45654.79652777778</v>
      </c>
      <c r="C5879" t="inlineStr">
        <is>
          <t>Ashby Falls Community Hospital</t>
        </is>
      </c>
      <c r="D5879" t="n">
        <v>29</v>
      </c>
    </row>
    <row r="5880">
      <c r="A5880" t="inlineStr">
        <is>
          <t>ED206011</t>
        </is>
      </c>
      <c r="B5880" s="56" t="n">
        <v>45654.79930555556</v>
      </c>
      <c r="C5880" t="inlineStr">
        <is>
          <t>Bluestone Memorial Hospital</t>
        </is>
      </c>
      <c r="D5880" t="n">
        <v>19</v>
      </c>
    </row>
    <row r="5881">
      <c r="A5881" t="inlineStr">
        <is>
          <t>ED206012</t>
        </is>
      </c>
      <c r="B5881" s="56" t="n">
        <v>45654.80763888889</v>
      </c>
      <c r="C5881" t="inlineStr">
        <is>
          <t>Bluestone Memorial Hospital</t>
        </is>
      </c>
      <c r="D5881" t="n">
        <v>32</v>
      </c>
    </row>
    <row r="5882">
      <c r="A5882" t="inlineStr">
        <is>
          <t>ED206014</t>
        </is>
      </c>
      <c r="B5882" s="56" t="n">
        <v>45654.85347222222</v>
      </c>
      <c r="C5882" t="inlineStr">
        <is>
          <t>Bluestone Memorial Hospital</t>
        </is>
      </c>
      <c r="D5882" t="n">
        <v>41</v>
      </c>
    </row>
    <row r="5883">
      <c r="A5883" t="inlineStr">
        <is>
          <t>ED206015</t>
        </is>
      </c>
      <c r="B5883" s="56" t="n">
        <v>45654.87708333333</v>
      </c>
      <c r="C5883" t="inlineStr">
        <is>
          <t>Bluestone Memorial Hospital</t>
        </is>
      </c>
      <c r="D5883" t="n">
        <v>79</v>
      </c>
    </row>
    <row r="5884">
      <c r="A5884" t="inlineStr">
        <is>
          <t>ED206016</t>
        </is>
      </c>
      <c r="B5884" s="56" t="n">
        <v>45654.95138888889</v>
      </c>
      <c r="C5884" t="inlineStr">
        <is>
          <t>Bluestone Memorial Hospital</t>
        </is>
      </c>
      <c r="D5884" t="n">
        <v>22</v>
      </c>
    </row>
    <row r="5885">
      <c r="A5885" t="inlineStr">
        <is>
          <t>ED206017</t>
        </is>
      </c>
      <c r="B5885" s="56" t="n">
        <v>45654.97291666667</v>
      </c>
      <c r="C5885" t="inlineStr">
        <is>
          <t>Bluestone Memorial Hospital</t>
        </is>
      </c>
      <c r="D5885" t="n">
        <v>84</v>
      </c>
    </row>
    <row r="5886">
      <c r="A5886" t="inlineStr">
        <is>
          <t>ED206018</t>
        </is>
      </c>
      <c r="B5886" s="56" t="n">
        <v>45655.02222222222</v>
      </c>
      <c r="C5886" t="inlineStr">
        <is>
          <t>Ashby Falls Community Hospital</t>
        </is>
      </c>
      <c r="D5886" t="n">
        <v>36</v>
      </c>
    </row>
    <row r="5887">
      <c r="A5887" t="inlineStr">
        <is>
          <t>ED206019</t>
        </is>
      </c>
      <c r="B5887" s="56" t="n">
        <v>45655.0375</v>
      </c>
      <c r="C5887" t="inlineStr">
        <is>
          <t>Cedar Ridge Medical Center</t>
        </is>
      </c>
      <c r="D5887" t="n">
        <v>3</v>
      </c>
    </row>
    <row r="5888">
      <c r="A5888" t="inlineStr">
        <is>
          <t>ED206020</t>
        </is>
      </c>
      <c r="B5888" s="56" t="n">
        <v>45655.37638888889</v>
      </c>
      <c r="C5888" t="inlineStr">
        <is>
          <t>Bluestone Memorial Hospital</t>
        </is>
      </c>
      <c r="D5888" t="n">
        <v>109</v>
      </c>
    </row>
    <row r="5889">
      <c r="A5889" t="inlineStr">
        <is>
          <t>ED206021</t>
        </is>
      </c>
      <c r="B5889" s="56" t="n">
        <v>45655.39375</v>
      </c>
      <c r="C5889" t="inlineStr">
        <is>
          <t>Bluestone Memorial Hospital</t>
        </is>
      </c>
      <c r="D5889" t="n">
        <v>27</v>
      </c>
    </row>
    <row r="5890">
      <c r="A5890" t="inlineStr">
        <is>
          <t>ED206022</t>
        </is>
      </c>
      <c r="B5890" s="56" t="n">
        <v>45655.39930555555</v>
      </c>
      <c r="C5890" t="inlineStr">
        <is>
          <t>Bluestone Memorial Hospital</t>
        </is>
      </c>
      <c r="D5890" t="n">
        <v>27</v>
      </c>
    </row>
    <row r="5891">
      <c r="A5891" t="inlineStr">
        <is>
          <t>ED206023</t>
        </is>
      </c>
      <c r="B5891" s="56" t="n">
        <v>45655.40972222222</v>
      </c>
      <c r="C5891" t="inlineStr">
        <is>
          <t>Bluestone Memorial Hospital</t>
        </is>
      </c>
      <c r="D5891" t="n">
        <v>58</v>
      </c>
    </row>
    <row r="5892">
      <c r="A5892" t="inlineStr">
        <is>
          <t>ED206024</t>
        </is>
      </c>
      <c r="B5892" s="56" t="n">
        <v>45655.45833333334</v>
      </c>
      <c r="C5892" t="inlineStr">
        <is>
          <t>Bluestone Memorial Hospital</t>
        </is>
      </c>
      <c r="D5892" t="n">
        <v>63</v>
      </c>
    </row>
    <row r="5893">
      <c r="A5893" t="inlineStr">
        <is>
          <t>ED206025</t>
        </is>
      </c>
      <c r="B5893" s="56" t="n">
        <v>45655.55763888889</v>
      </c>
      <c r="C5893" t="inlineStr">
        <is>
          <t>Bluestone Memorial Hospital</t>
        </is>
      </c>
      <c r="D5893" t="n">
        <v>80</v>
      </c>
    </row>
    <row r="5894">
      <c r="A5894" t="inlineStr">
        <is>
          <t>ED206026</t>
        </is>
      </c>
      <c r="B5894" s="56" t="n">
        <v>45655.56875</v>
      </c>
      <c r="C5894" t="inlineStr">
        <is>
          <t>Bluestone Memorial Hospital</t>
        </is>
      </c>
      <c r="D5894" t="n">
        <v>106</v>
      </c>
    </row>
    <row r="5895">
      <c r="A5895" t="inlineStr">
        <is>
          <t>ED206027</t>
        </is>
      </c>
      <c r="B5895" s="56" t="n">
        <v>45655.60069444445</v>
      </c>
      <c r="C5895" t="inlineStr">
        <is>
          <t>Cedar Ridge Medical Center</t>
        </is>
      </c>
      <c r="D5895" t="n">
        <v>92</v>
      </c>
    </row>
    <row r="5896">
      <c r="A5896" t="inlineStr">
        <is>
          <t>ED206028</t>
        </is>
      </c>
      <c r="B5896" s="56" t="n">
        <v>45655.60138888889</v>
      </c>
      <c r="C5896" t="inlineStr">
        <is>
          <t>Bluestone Memorial Hospital</t>
        </is>
      </c>
      <c r="D5896" t="n">
        <v>14</v>
      </c>
    </row>
    <row r="5897">
      <c r="A5897" t="inlineStr">
        <is>
          <t>ED206029</t>
        </is>
      </c>
      <c r="B5897" s="56" t="n">
        <v>45655.63680555556</v>
      </c>
      <c r="C5897" t="inlineStr">
        <is>
          <t>Bluestone Memorial Hospital</t>
        </is>
      </c>
      <c r="D5897" t="n">
        <v>209</v>
      </c>
    </row>
    <row r="5898">
      <c r="A5898" t="inlineStr">
        <is>
          <t>ED206030</t>
        </is>
      </c>
      <c r="B5898" s="56" t="n">
        <v>45655.64375</v>
      </c>
      <c r="C5898" t="inlineStr">
        <is>
          <t>Bluestone Memorial Hospital</t>
        </is>
      </c>
      <c r="D5898" t="n">
        <v>41</v>
      </c>
    </row>
    <row r="5899">
      <c r="A5899" t="inlineStr">
        <is>
          <t>ED206031</t>
        </is>
      </c>
      <c r="B5899" s="56" t="n">
        <v>45655.64930555555</v>
      </c>
      <c r="C5899" t="inlineStr">
        <is>
          <t>Ashby Falls Community Hospital</t>
        </is>
      </c>
      <c r="D5899" t="n">
        <v>57</v>
      </c>
    </row>
    <row r="5900">
      <c r="A5900" t="inlineStr">
        <is>
          <t>ED206032</t>
        </is>
      </c>
      <c r="B5900" s="56" t="n">
        <v>45655.68263888889</v>
      </c>
      <c r="C5900" t="inlineStr">
        <is>
          <t>Ashby Falls Community Hospital</t>
        </is>
      </c>
      <c r="D5900" t="n">
        <v>24</v>
      </c>
    </row>
    <row r="5901">
      <c r="A5901" t="inlineStr">
        <is>
          <t>ED206033</t>
        </is>
      </c>
      <c r="B5901" s="56" t="n">
        <v>45655.69097222222</v>
      </c>
      <c r="C5901" t="inlineStr">
        <is>
          <t>Ashby Falls Community Hospital</t>
        </is>
      </c>
      <c r="D5901" t="n">
        <v>39</v>
      </c>
    </row>
    <row r="5902">
      <c r="A5902" t="inlineStr">
        <is>
          <t>ED206034</t>
        </is>
      </c>
      <c r="B5902" s="56" t="n">
        <v>45655.70972222222</v>
      </c>
      <c r="C5902" t="inlineStr">
        <is>
          <t>Bluestone Memorial Hospital</t>
        </is>
      </c>
      <c r="D5902" t="n">
        <v>27</v>
      </c>
    </row>
    <row r="5903">
      <c r="A5903" t="inlineStr">
        <is>
          <t>ED206035</t>
        </is>
      </c>
      <c r="B5903" s="56" t="n">
        <v>45655.74444444444</v>
      </c>
      <c r="C5903" t="inlineStr">
        <is>
          <t>Ashby Falls Community Hospital</t>
        </is>
      </c>
      <c r="D5903" t="n">
        <v>13</v>
      </c>
    </row>
    <row r="5904">
      <c r="A5904" t="inlineStr">
        <is>
          <t>ED206036</t>
        </is>
      </c>
      <c r="B5904" s="56" t="n">
        <v>45655.81041666667</v>
      </c>
      <c r="C5904" t="inlineStr">
        <is>
          <t>Bluestone Memorial Hospital</t>
        </is>
      </c>
      <c r="D5904" t="n">
        <v>61</v>
      </c>
    </row>
    <row r="5905">
      <c r="A5905" t="inlineStr">
        <is>
          <t>ED206037</t>
        </is>
      </c>
      <c r="B5905" s="56" t="n">
        <v>45655.90277777778</v>
      </c>
      <c r="C5905" t="inlineStr">
        <is>
          <t>Cedar Ridge Medical Center</t>
        </is>
      </c>
      <c r="D5905" t="n">
        <v>9</v>
      </c>
    </row>
    <row r="5906">
      <c r="A5906" t="inlineStr">
        <is>
          <t>ED206038</t>
        </is>
      </c>
      <c r="B5906" s="56" t="n">
        <v>45655.93819444445</v>
      </c>
      <c r="C5906" t="inlineStr">
        <is>
          <t>Bluestone Memorial Hospital</t>
        </is>
      </c>
      <c r="D5906" t="n">
        <v>55</v>
      </c>
    </row>
    <row r="5907">
      <c r="A5907" t="inlineStr">
        <is>
          <t>ED206039</t>
        </is>
      </c>
      <c r="B5907" s="56" t="n">
        <v>45655.96111111111</v>
      </c>
      <c r="C5907" t="inlineStr">
        <is>
          <t>Bluestone Memorial Hospital</t>
        </is>
      </c>
      <c r="D5907" t="n">
        <v>25</v>
      </c>
    </row>
    <row r="5908">
      <c r="A5908" t="inlineStr">
        <is>
          <t>ED206040</t>
        </is>
      </c>
      <c r="B5908" s="56" t="n">
        <v>45656.02986111111</v>
      </c>
      <c r="C5908" t="inlineStr">
        <is>
          <t>Bluestone Memorial Hospital</t>
        </is>
      </c>
      <c r="D5908" t="n">
        <v>21</v>
      </c>
    </row>
    <row r="5909">
      <c r="A5909" t="inlineStr">
        <is>
          <t>ED206041</t>
        </is>
      </c>
      <c r="B5909" s="56" t="n">
        <v>45656.2375</v>
      </c>
      <c r="C5909" t="inlineStr">
        <is>
          <t>Bluestone Memorial Hospital</t>
        </is>
      </c>
      <c r="D5909" t="n">
        <v>19</v>
      </c>
    </row>
    <row r="5910">
      <c r="A5910" t="inlineStr">
        <is>
          <t>ED206042</t>
        </is>
      </c>
      <c r="B5910" s="56" t="n">
        <v>45656.39166666667</v>
      </c>
      <c r="C5910" t="inlineStr">
        <is>
          <t>Bluestone Memorial Hospital</t>
        </is>
      </c>
      <c r="D5910" t="n">
        <v>49</v>
      </c>
    </row>
    <row r="5911">
      <c r="A5911" t="inlineStr">
        <is>
          <t>ED206043</t>
        </is>
      </c>
      <c r="B5911" s="56" t="n">
        <v>45656.40416666667</v>
      </c>
      <c r="C5911" t="inlineStr">
        <is>
          <t>Bluestone Memorial Hospital</t>
        </is>
      </c>
      <c r="D5911" t="n">
        <v>70</v>
      </c>
    </row>
    <row r="5912">
      <c r="A5912" t="inlineStr">
        <is>
          <t>ED206044</t>
        </is>
      </c>
      <c r="B5912" s="56" t="n">
        <v>45656.42152777778</v>
      </c>
      <c r="C5912" t="inlineStr">
        <is>
          <t>Bluestone Memorial Hospital</t>
        </is>
      </c>
      <c r="D5912" t="n">
        <v>18</v>
      </c>
    </row>
    <row r="5913">
      <c r="A5913" t="inlineStr">
        <is>
          <t>ED206045</t>
        </is>
      </c>
      <c r="B5913" s="56" t="n">
        <v>45656.43541666667</v>
      </c>
      <c r="C5913" t="inlineStr">
        <is>
          <t>Bluestone Memorial Hospital</t>
        </is>
      </c>
      <c r="D5913" t="n">
        <v>94</v>
      </c>
    </row>
    <row r="5914">
      <c r="A5914" t="inlineStr">
        <is>
          <t>ED206046</t>
        </is>
      </c>
      <c r="B5914" s="56" t="n">
        <v>45656.44722222222</v>
      </c>
      <c r="C5914" t="inlineStr">
        <is>
          <t>Bluestone Memorial Hospital</t>
        </is>
      </c>
      <c r="D5914" t="n">
        <v>34</v>
      </c>
    </row>
    <row r="5915">
      <c r="A5915" t="inlineStr">
        <is>
          <t>ED206047</t>
        </is>
      </c>
      <c r="B5915" s="56" t="n">
        <v>45656.48472222222</v>
      </c>
      <c r="C5915" t="inlineStr">
        <is>
          <t>Bluestone Memorial Hospital</t>
        </is>
      </c>
      <c r="D5915" t="n">
        <v>76</v>
      </c>
    </row>
    <row r="5916">
      <c r="A5916" t="inlineStr">
        <is>
          <t>ED206048</t>
        </is>
      </c>
      <c r="B5916" s="56" t="n">
        <v>45656.54444444444</v>
      </c>
      <c r="C5916" t="inlineStr">
        <is>
          <t>Bluestone Memorial Hospital</t>
        </is>
      </c>
      <c r="D5916" t="n">
        <v>60</v>
      </c>
    </row>
    <row r="5917">
      <c r="A5917" t="inlineStr">
        <is>
          <t>ED206049</t>
        </is>
      </c>
      <c r="B5917" s="56" t="n">
        <v>45656.54444444444</v>
      </c>
      <c r="C5917" t="inlineStr">
        <is>
          <t>Bluestone Memorial Hospital</t>
        </is>
      </c>
      <c r="D5917" t="n">
        <v>20</v>
      </c>
    </row>
    <row r="5918">
      <c r="A5918" t="inlineStr">
        <is>
          <t>ED206050</t>
        </is>
      </c>
      <c r="B5918" s="56" t="n">
        <v>45656.55902777778</v>
      </c>
      <c r="C5918" t="inlineStr">
        <is>
          <t>Bluestone Memorial Hospital</t>
        </is>
      </c>
      <c r="D5918" t="n">
        <v>31</v>
      </c>
    </row>
    <row r="5919">
      <c r="A5919" t="inlineStr">
        <is>
          <t>ED206052</t>
        </is>
      </c>
      <c r="B5919" s="56" t="n">
        <v>45656.66041666667</v>
      </c>
      <c r="C5919" t="inlineStr">
        <is>
          <t>Bluestone Memorial Hospital</t>
        </is>
      </c>
      <c r="D5919" t="n">
        <v>84</v>
      </c>
    </row>
    <row r="5920">
      <c r="A5920" t="inlineStr">
        <is>
          <t>ED206053</t>
        </is>
      </c>
      <c r="B5920" s="56" t="n">
        <v>45656.77430555555</v>
      </c>
      <c r="C5920" t="inlineStr">
        <is>
          <t>Cedar Ridge Medical Center</t>
        </is>
      </c>
      <c r="D5920" t="n">
        <v>37</v>
      </c>
    </row>
    <row r="5921">
      <c r="A5921" t="inlineStr">
        <is>
          <t>ED206054</t>
        </is>
      </c>
      <c r="B5921" s="56" t="n">
        <v>45656.79861111111</v>
      </c>
      <c r="C5921" t="inlineStr">
        <is>
          <t>Ashby Falls Community Hospital</t>
        </is>
      </c>
      <c r="D5921" t="n">
        <v>46</v>
      </c>
    </row>
    <row r="5922">
      <c r="A5922" t="inlineStr">
        <is>
          <t>ED206055</t>
        </is>
      </c>
      <c r="B5922" s="56" t="n">
        <v>45656.80555555555</v>
      </c>
      <c r="C5922" t="inlineStr">
        <is>
          <t>Bluestone Memorial Hospital</t>
        </is>
      </c>
      <c r="D5922" t="n">
        <v>45</v>
      </c>
    </row>
    <row r="5923">
      <c r="A5923" t="inlineStr">
        <is>
          <t>ED206056</t>
        </is>
      </c>
      <c r="B5923" s="56" t="n">
        <v>45656.82083333333</v>
      </c>
      <c r="C5923" t="inlineStr">
        <is>
          <t>Ashby Falls Community Hospital</t>
        </is>
      </c>
      <c r="D5923" t="n">
        <v>56</v>
      </c>
    </row>
    <row r="5924">
      <c r="A5924" t="inlineStr">
        <is>
          <t>ED206057</t>
        </is>
      </c>
      <c r="B5924" s="56" t="n">
        <v>45656.92569444444</v>
      </c>
      <c r="C5924" t="inlineStr">
        <is>
          <t>Bluestone Memorial Hospital</t>
        </is>
      </c>
      <c r="D5924" t="n">
        <v>18</v>
      </c>
    </row>
    <row r="5925">
      <c r="A5925" t="inlineStr">
        <is>
          <t>ED206058</t>
        </is>
      </c>
      <c r="B5925" s="56" t="n">
        <v>45657.01388888889</v>
      </c>
      <c r="C5925" t="inlineStr">
        <is>
          <t>Ashby Falls Community Hospital</t>
        </is>
      </c>
      <c r="D5925" t="n">
        <v>19</v>
      </c>
    </row>
    <row r="5926">
      <c r="A5926" t="inlineStr">
        <is>
          <t>ED206059</t>
        </is>
      </c>
      <c r="B5926" s="56" t="n">
        <v>45657.39305555556</v>
      </c>
      <c r="C5926" t="inlineStr">
        <is>
          <t>Ashby Falls Community Hospital</t>
        </is>
      </c>
      <c r="D5926" t="n">
        <v>75</v>
      </c>
    </row>
    <row r="5927">
      <c r="A5927" t="inlineStr">
        <is>
          <t>ED206060</t>
        </is>
      </c>
      <c r="B5927" s="56" t="n">
        <v>45657.39375</v>
      </c>
      <c r="C5927" t="inlineStr">
        <is>
          <t>Bluestone Memorial Hospital</t>
        </is>
      </c>
      <c r="D5927" t="n">
        <v>16</v>
      </c>
    </row>
    <row r="5928">
      <c r="A5928" t="inlineStr">
        <is>
          <t>ED206061</t>
        </is>
      </c>
      <c r="B5928" s="56" t="n">
        <v>45657.43472222222</v>
      </c>
      <c r="C5928" t="inlineStr">
        <is>
          <t>Bluestone Memorial Hospital</t>
        </is>
      </c>
      <c r="D5928" t="n">
        <v>31</v>
      </c>
    </row>
    <row r="5929">
      <c r="A5929" t="inlineStr">
        <is>
          <t>ED206062</t>
        </is>
      </c>
      <c r="B5929" s="56" t="n">
        <v>45657.44097222222</v>
      </c>
      <c r="C5929" t="inlineStr">
        <is>
          <t>Bluestone Memorial Hospital</t>
        </is>
      </c>
      <c r="D5929" t="n">
        <v>3</v>
      </c>
    </row>
    <row r="5930">
      <c r="A5930" t="inlineStr">
        <is>
          <t>ED206063</t>
        </is>
      </c>
      <c r="B5930" s="56" t="n">
        <v>45657.47708333333</v>
      </c>
      <c r="C5930" t="inlineStr">
        <is>
          <t>Bluestone Memorial Hospital</t>
        </is>
      </c>
      <c r="D5930" t="n">
        <v>111</v>
      </c>
    </row>
    <row r="5931">
      <c r="A5931" t="inlineStr">
        <is>
          <t>ED206064</t>
        </is>
      </c>
      <c r="B5931" s="56" t="n">
        <v>45657.48541666667</v>
      </c>
      <c r="C5931" t="inlineStr">
        <is>
          <t>Bluestone Memorial Hospital</t>
        </is>
      </c>
      <c r="D5931" t="n">
        <v>3</v>
      </c>
    </row>
    <row r="5932">
      <c r="A5932" t="inlineStr">
        <is>
          <t>ED206065</t>
        </is>
      </c>
      <c r="B5932" s="56" t="n">
        <v>45657.55069444444</v>
      </c>
      <c r="C5932" t="inlineStr">
        <is>
          <t>Cedar Ridge Medical Center</t>
        </is>
      </c>
      <c r="D5932" t="n">
        <v>37</v>
      </c>
    </row>
    <row r="5933">
      <c r="A5933" t="inlineStr">
        <is>
          <t>ED206066</t>
        </is>
      </c>
      <c r="B5933" s="56" t="n">
        <v>45657.61597222222</v>
      </c>
      <c r="C5933" t="inlineStr">
        <is>
          <t>Bluestone Memorial Hospital</t>
        </is>
      </c>
      <c r="D5933" t="n">
        <v>126</v>
      </c>
    </row>
    <row r="5934">
      <c r="A5934" t="inlineStr">
        <is>
          <t>ED206067</t>
        </is>
      </c>
      <c r="B5934" s="56" t="n">
        <v>45657.63125</v>
      </c>
      <c r="C5934" t="inlineStr">
        <is>
          <t>Bluestone Memorial Hospital</t>
        </is>
      </c>
      <c r="D5934" t="n">
        <v>65</v>
      </c>
    </row>
    <row r="5935">
      <c r="A5935" t="inlineStr">
        <is>
          <t>ED206068</t>
        </is>
      </c>
      <c r="B5935" s="56" t="n">
        <v>45657.63958333333</v>
      </c>
      <c r="C5935" t="inlineStr">
        <is>
          <t>Ashby Falls Community Hospital</t>
        </is>
      </c>
      <c r="D5935" t="n">
        <v>83</v>
      </c>
    </row>
    <row r="5936">
      <c r="A5936" t="inlineStr">
        <is>
          <t>ED206069</t>
        </is>
      </c>
      <c r="B5936" s="56" t="n">
        <v>45657.68819444445</v>
      </c>
      <c r="C5936" t="inlineStr">
        <is>
          <t>Bluestone Memorial Hospital</t>
        </is>
      </c>
      <c r="D5936" t="n">
        <v>34</v>
      </c>
    </row>
    <row r="5937">
      <c r="A5937" t="inlineStr">
        <is>
          <t>ED206070</t>
        </is>
      </c>
      <c r="B5937" s="56" t="n">
        <v>45657.70555555556</v>
      </c>
      <c r="C5937" t="inlineStr">
        <is>
          <t>Ashby Falls Community Hospital</t>
        </is>
      </c>
      <c r="D5937" t="n">
        <v>51</v>
      </c>
    </row>
    <row r="5938">
      <c r="A5938" t="inlineStr">
        <is>
          <t>ED206071</t>
        </is>
      </c>
      <c r="B5938" s="56" t="n">
        <v>45657.76944444444</v>
      </c>
      <c r="C5938" t="inlineStr">
        <is>
          <t>Bluestone Memorial Hospital</t>
        </is>
      </c>
      <c r="D5938" t="n">
        <v>36</v>
      </c>
    </row>
    <row r="5939">
      <c r="A5939" t="inlineStr">
        <is>
          <t>ED206072</t>
        </is>
      </c>
      <c r="B5939" s="56" t="n">
        <v>45657.78680555556</v>
      </c>
      <c r="C5939" t="inlineStr">
        <is>
          <t>Ashby Falls Community Hospital</t>
        </is>
      </c>
      <c r="D5939" t="n">
        <v>59</v>
      </c>
    </row>
    <row r="5940">
      <c r="A5940" t="inlineStr">
        <is>
          <t>ED206073</t>
        </is>
      </c>
      <c r="B5940" s="56" t="n">
        <v>45657.84236111111</v>
      </c>
      <c r="C5940" t="inlineStr">
        <is>
          <t>Ashby Falls Community Hospital</t>
        </is>
      </c>
      <c r="D5940" t="n">
        <v>202</v>
      </c>
    </row>
    <row r="5941">
      <c r="A5941" t="inlineStr">
        <is>
          <t>ED206074</t>
        </is>
      </c>
      <c r="B5941" s="56" t="n">
        <v>45657.89444444444</v>
      </c>
      <c r="C5941" t="inlineStr">
        <is>
          <t>Cedar Ridge Medical Center</t>
        </is>
      </c>
      <c r="D5941" t="n">
        <v>30</v>
      </c>
    </row>
    <row r="5942">
      <c r="A5942" t="inlineStr">
        <is>
          <t>ED206075</t>
        </is>
      </c>
      <c r="B5942" s="56" t="n">
        <v>45657.94861111111</v>
      </c>
      <c r="C5942" t="inlineStr">
        <is>
          <t>Bluestone Memorial Hospital</t>
        </is>
      </c>
      <c r="D5942" t="n">
        <v>23</v>
      </c>
    </row>
    <row r="5943">
      <c r="A5943" t="inlineStr">
        <is>
          <t>ED206076</t>
        </is>
      </c>
      <c r="B5943" s="56" t="n">
        <v>45658.21875</v>
      </c>
      <c r="C5943" t="inlineStr">
        <is>
          <t>Bluestone Memorial Hospital</t>
        </is>
      </c>
      <c r="D5943" t="n">
        <v>15</v>
      </c>
    </row>
    <row r="5944">
      <c r="A5944" t="inlineStr">
        <is>
          <t>ED206077</t>
        </is>
      </c>
      <c r="B5944" s="56" t="n">
        <v>45658.25138888889</v>
      </c>
      <c r="C5944" t="inlineStr">
        <is>
          <t>Cedar Ridge Medical Center</t>
        </is>
      </c>
      <c r="D5944" t="n">
        <v>19</v>
      </c>
    </row>
    <row r="5945">
      <c r="A5945" t="inlineStr">
        <is>
          <t>ED206078</t>
        </is>
      </c>
      <c r="B5945" s="56" t="n">
        <v>45658.37152777778</v>
      </c>
      <c r="C5945" t="inlineStr">
        <is>
          <t>Bluestone Memorial Hospital</t>
        </is>
      </c>
      <c r="D5945" t="n">
        <v>27</v>
      </c>
    </row>
    <row r="5946">
      <c r="A5946" t="inlineStr">
        <is>
          <t>ED206079</t>
        </is>
      </c>
      <c r="B5946" s="56" t="n">
        <v>45658.52638888889</v>
      </c>
      <c r="C5946" t="inlineStr">
        <is>
          <t>Bluestone Memorial Hospital</t>
        </is>
      </c>
      <c r="D5946" t="n">
        <v>29</v>
      </c>
    </row>
    <row r="5947">
      <c r="A5947" t="inlineStr">
        <is>
          <t>ED206080</t>
        </is>
      </c>
      <c r="B5947" s="56" t="n">
        <v>45658.52777777778</v>
      </c>
      <c r="C5947" t="inlineStr">
        <is>
          <t>Bluestone Memorial Hospital</t>
        </is>
      </c>
      <c r="D5947" t="n">
        <v>123</v>
      </c>
    </row>
    <row r="5948">
      <c r="A5948" t="inlineStr">
        <is>
          <t>ED206081</t>
        </is>
      </c>
      <c r="B5948" s="56" t="n">
        <v>45658.55555555555</v>
      </c>
      <c r="C5948" t="inlineStr">
        <is>
          <t>Cedar Ridge Medical Center</t>
        </is>
      </c>
      <c r="D5948" t="n">
        <v>30</v>
      </c>
    </row>
    <row r="5949">
      <c r="A5949" t="inlineStr">
        <is>
          <t>ED206082</t>
        </is>
      </c>
      <c r="B5949" s="56" t="n">
        <v>45658.60625</v>
      </c>
      <c r="C5949" t="inlineStr">
        <is>
          <t>Bluestone Memorial Hospital</t>
        </is>
      </c>
      <c r="D5949" t="n">
        <v>3</v>
      </c>
    </row>
    <row r="5950">
      <c r="A5950" t="inlineStr">
        <is>
          <t>ED206083</t>
        </is>
      </c>
      <c r="B5950" s="56" t="n">
        <v>45658.72361111111</v>
      </c>
      <c r="C5950" t="inlineStr">
        <is>
          <t>Ashby Falls Community Hospital</t>
        </is>
      </c>
      <c r="D5950" t="n">
        <v>39</v>
      </c>
    </row>
    <row r="5951">
      <c r="A5951" t="inlineStr">
        <is>
          <t>ED206084</t>
        </is>
      </c>
      <c r="B5951" s="56" t="n">
        <v>45658.76111111111</v>
      </c>
      <c r="C5951" t="inlineStr">
        <is>
          <t>Bluestone Memorial Hospital</t>
        </is>
      </c>
      <c r="D5951" t="n">
        <v>35</v>
      </c>
    </row>
    <row r="5952">
      <c r="A5952" t="inlineStr">
        <is>
          <t>ED206085</t>
        </is>
      </c>
      <c r="B5952" s="56" t="n">
        <v>45658.87777777778</v>
      </c>
      <c r="C5952" t="inlineStr">
        <is>
          <t>Bluestone Memorial Hospital</t>
        </is>
      </c>
      <c r="D5952" t="n">
        <v>28</v>
      </c>
    </row>
    <row r="5953">
      <c r="A5953" t="inlineStr">
        <is>
          <t>ED206086</t>
        </is>
      </c>
      <c r="B5953" s="56" t="n">
        <v>45658.94583333333</v>
      </c>
      <c r="C5953" t="inlineStr">
        <is>
          <t>Ashby Falls Community Hospital</t>
        </is>
      </c>
      <c r="D5953" t="n">
        <v>20</v>
      </c>
    </row>
    <row r="5954">
      <c r="A5954" t="inlineStr">
        <is>
          <t>ED206087</t>
        </is>
      </c>
      <c r="B5954" s="56" t="n">
        <v>45658.98402777778</v>
      </c>
      <c r="C5954" t="inlineStr">
        <is>
          <t>Cedar Ridge Medical Center</t>
        </is>
      </c>
      <c r="D5954" t="n">
        <v>50</v>
      </c>
    </row>
    <row r="5955">
      <c r="A5955" t="inlineStr">
        <is>
          <t>ED206088</t>
        </is>
      </c>
      <c r="B5955" s="56" t="n">
        <v>45659.42430555556</v>
      </c>
      <c r="C5955" t="inlineStr">
        <is>
          <t>Cedar Ridge Medical Center</t>
        </is>
      </c>
      <c r="D5955" t="n">
        <v>26</v>
      </c>
    </row>
    <row r="5956">
      <c r="A5956" t="inlineStr">
        <is>
          <t>ED206089</t>
        </is>
      </c>
      <c r="B5956" s="56" t="n">
        <v>45659.45486111111</v>
      </c>
      <c r="C5956" t="inlineStr">
        <is>
          <t>Bluestone Memorial Hospital</t>
        </is>
      </c>
      <c r="D5956" t="n">
        <v>15</v>
      </c>
    </row>
    <row r="5957">
      <c r="A5957" t="inlineStr">
        <is>
          <t>ED206090</t>
        </is>
      </c>
      <c r="B5957" s="56" t="n">
        <v>45659.45555555556</v>
      </c>
      <c r="C5957" t="inlineStr">
        <is>
          <t>Bluestone Memorial Hospital</t>
        </is>
      </c>
      <c r="D5957" t="n">
        <v>1</v>
      </c>
    </row>
    <row r="5958">
      <c r="A5958" t="inlineStr">
        <is>
          <t>ED206091</t>
        </is>
      </c>
      <c r="B5958" s="56" t="n">
        <v>45659.51597222222</v>
      </c>
      <c r="C5958" t="inlineStr">
        <is>
          <t>Ashby Falls Community Hospital</t>
        </is>
      </c>
      <c r="D5958" t="n">
        <v>93</v>
      </c>
    </row>
    <row r="5959">
      <c r="A5959" t="inlineStr">
        <is>
          <t>ED206092</t>
        </is>
      </c>
      <c r="B5959" s="56" t="n">
        <v>45659.61666666667</v>
      </c>
      <c r="C5959" t="inlineStr">
        <is>
          <t>Bluestone Memorial Hospital</t>
        </is>
      </c>
      <c r="D5959" t="n">
        <v>32</v>
      </c>
    </row>
    <row r="5960">
      <c r="A5960" t="inlineStr">
        <is>
          <t>ED206093</t>
        </is>
      </c>
      <c r="B5960" s="56" t="n">
        <v>45659.61875</v>
      </c>
      <c r="C5960" t="inlineStr">
        <is>
          <t>Ashby Falls Community Hospital</t>
        </is>
      </c>
      <c r="D5960" t="n">
        <v>44</v>
      </c>
    </row>
    <row r="5961">
      <c r="A5961" t="inlineStr">
        <is>
          <t>ED206094</t>
        </is>
      </c>
      <c r="B5961" s="56" t="n">
        <v>45659.62013888889</v>
      </c>
      <c r="C5961" t="inlineStr">
        <is>
          <t>Ashby Falls Community Hospital</t>
        </is>
      </c>
      <c r="D5961" t="n">
        <v>114</v>
      </c>
    </row>
    <row r="5962">
      <c r="A5962" t="inlineStr">
        <is>
          <t>ED206095</t>
        </is>
      </c>
      <c r="B5962" s="56" t="n">
        <v>45659.68680555555</v>
      </c>
      <c r="C5962" t="inlineStr">
        <is>
          <t>Bluestone Memorial Hospital</t>
        </is>
      </c>
      <c r="D5962" t="n">
        <v>12</v>
      </c>
    </row>
    <row r="5963">
      <c r="A5963" t="inlineStr">
        <is>
          <t>ED206096</t>
        </is>
      </c>
      <c r="B5963" s="56" t="n">
        <v>45659.70347222222</v>
      </c>
      <c r="C5963" t="inlineStr">
        <is>
          <t>Bluestone Memorial Hospital</t>
        </is>
      </c>
      <c r="D5963" t="n">
        <v>13</v>
      </c>
    </row>
    <row r="5964">
      <c r="A5964" t="inlineStr">
        <is>
          <t>ED206097</t>
        </is>
      </c>
      <c r="B5964" s="56" t="n">
        <v>45659.70694444444</v>
      </c>
      <c r="C5964" t="inlineStr">
        <is>
          <t>Bluestone Memorial Hospital</t>
        </is>
      </c>
      <c r="D5964" t="n">
        <v>89</v>
      </c>
    </row>
    <row r="5965">
      <c r="A5965" t="inlineStr">
        <is>
          <t>ED206098</t>
        </is>
      </c>
      <c r="B5965" s="56" t="n">
        <v>45659.75833333333</v>
      </c>
      <c r="C5965" t="inlineStr">
        <is>
          <t>Cedar Ridge Medical Center</t>
        </is>
      </c>
      <c r="D5965" t="n">
        <v>52</v>
      </c>
    </row>
    <row r="5966">
      <c r="A5966" t="inlineStr">
        <is>
          <t>ED206099</t>
        </is>
      </c>
      <c r="B5966" s="56" t="n">
        <v>45659.825</v>
      </c>
      <c r="C5966" t="inlineStr">
        <is>
          <t>Bluestone Memorial Hospital</t>
        </is>
      </c>
      <c r="D5966" t="n">
        <v>41</v>
      </c>
    </row>
    <row r="5967">
      <c r="A5967" t="inlineStr">
        <is>
          <t>ED206100</t>
        </is>
      </c>
      <c r="B5967" s="56" t="n">
        <v>45659.83888888889</v>
      </c>
      <c r="C5967" t="inlineStr">
        <is>
          <t>Bluestone Memorial Hospital</t>
        </is>
      </c>
      <c r="D5967" t="n">
        <v>19</v>
      </c>
    </row>
    <row r="5968">
      <c r="A5968" t="inlineStr">
        <is>
          <t>ED206101</t>
        </is>
      </c>
      <c r="B5968" s="56" t="n">
        <v>45659.84722222222</v>
      </c>
      <c r="C5968" t="inlineStr">
        <is>
          <t>Bluestone Memorial Hospital</t>
        </is>
      </c>
      <c r="D5968" t="n">
        <v>79</v>
      </c>
    </row>
    <row r="5969">
      <c r="A5969" t="inlineStr">
        <is>
          <t>ED206102</t>
        </is>
      </c>
      <c r="B5969" s="56" t="n">
        <v>45660.23611111111</v>
      </c>
      <c r="C5969" t="inlineStr">
        <is>
          <t>Bluestone Memorial Hospital</t>
        </is>
      </c>
      <c r="D5969" t="n">
        <v>34</v>
      </c>
    </row>
    <row r="5970">
      <c r="A5970" t="inlineStr">
        <is>
          <t>ED206103</t>
        </is>
      </c>
      <c r="B5970" s="56" t="n">
        <v>45660.26180555556</v>
      </c>
      <c r="C5970" t="inlineStr">
        <is>
          <t>Bluestone Memorial Hospital</t>
        </is>
      </c>
      <c r="D5970" t="n">
        <v>58</v>
      </c>
    </row>
    <row r="5971">
      <c r="A5971" t="inlineStr">
        <is>
          <t>ED206104</t>
        </is>
      </c>
      <c r="B5971" s="56" t="n">
        <v>45660.29444444444</v>
      </c>
      <c r="C5971" t="inlineStr">
        <is>
          <t>Bluestone Memorial Hospital</t>
        </is>
      </c>
      <c r="D5971" t="n">
        <v>65</v>
      </c>
    </row>
    <row r="5972">
      <c r="A5972" t="inlineStr">
        <is>
          <t>ED206105</t>
        </is>
      </c>
      <c r="B5972" s="56" t="n">
        <v>45660.35486111111</v>
      </c>
      <c r="C5972" t="inlineStr">
        <is>
          <t>Bluestone Memorial Hospital</t>
        </is>
      </c>
      <c r="D5972" t="n">
        <v>34</v>
      </c>
    </row>
    <row r="5973">
      <c r="A5973" t="inlineStr">
        <is>
          <t>ED206106</t>
        </is>
      </c>
      <c r="B5973" s="56" t="n">
        <v>45660.35902777778</v>
      </c>
      <c r="C5973" t="inlineStr">
        <is>
          <t>Bluestone Memorial Hospital</t>
        </is>
      </c>
      <c r="D5973" t="n">
        <v>39</v>
      </c>
    </row>
    <row r="5974">
      <c r="A5974" t="inlineStr">
        <is>
          <t>ED206107</t>
        </is>
      </c>
      <c r="B5974" s="56" t="n">
        <v>45660.37777777778</v>
      </c>
      <c r="C5974" t="inlineStr">
        <is>
          <t>Bluestone Memorial Hospital</t>
        </is>
      </c>
      <c r="D5974" t="n">
        <v>26</v>
      </c>
    </row>
    <row r="5975">
      <c r="A5975" t="inlineStr">
        <is>
          <t>ED206108</t>
        </is>
      </c>
      <c r="B5975" s="56" t="n">
        <v>45660.38055555556</v>
      </c>
      <c r="C5975" t="inlineStr">
        <is>
          <t>Bluestone Memorial Hospital</t>
        </is>
      </c>
      <c r="D5975" t="n">
        <v>11</v>
      </c>
    </row>
    <row r="5976">
      <c r="A5976" t="inlineStr">
        <is>
          <t>ED206109</t>
        </is>
      </c>
      <c r="B5976" s="56" t="n">
        <v>45660.41319444445</v>
      </c>
      <c r="C5976" t="inlineStr">
        <is>
          <t>Bluestone Memorial Hospital</t>
        </is>
      </c>
      <c r="D5976" t="n">
        <v>39</v>
      </c>
    </row>
    <row r="5977">
      <c r="A5977" t="inlineStr">
        <is>
          <t>ED206110</t>
        </is>
      </c>
      <c r="B5977" s="56" t="n">
        <v>45660.43541666667</v>
      </c>
      <c r="C5977" t="inlineStr">
        <is>
          <t>Bluestone Memorial Hospital</t>
        </is>
      </c>
      <c r="D5977" t="n">
        <v>46</v>
      </c>
    </row>
    <row r="5978">
      <c r="A5978" t="inlineStr">
        <is>
          <t>ED206111</t>
        </is>
      </c>
      <c r="B5978" s="56" t="n">
        <v>45660.44722222222</v>
      </c>
      <c r="C5978" t="inlineStr">
        <is>
          <t>Bluestone Memorial Hospital</t>
        </is>
      </c>
      <c r="D5978" t="n">
        <v>137</v>
      </c>
    </row>
    <row r="5979">
      <c r="A5979" t="inlineStr">
        <is>
          <t>ED206112</t>
        </is>
      </c>
      <c r="B5979" s="56" t="n">
        <v>45660.53541666667</v>
      </c>
      <c r="C5979" t="inlineStr">
        <is>
          <t>Ashby Falls Community Hospital</t>
        </is>
      </c>
      <c r="D5979" t="n">
        <v>33</v>
      </c>
    </row>
    <row r="5980">
      <c r="A5980" t="inlineStr">
        <is>
          <t>ED206113</t>
        </is>
      </c>
      <c r="B5980" s="56" t="n">
        <v>45660.58680555555</v>
      </c>
      <c r="C5980" t="inlineStr">
        <is>
          <t>Bluestone Memorial Hospital</t>
        </is>
      </c>
      <c r="D5980" t="n">
        <v>32</v>
      </c>
    </row>
    <row r="5981">
      <c r="A5981" t="inlineStr">
        <is>
          <t>ED206114</t>
        </is>
      </c>
      <c r="B5981" s="56" t="n">
        <v>45660.60694444444</v>
      </c>
      <c r="C5981" t="inlineStr">
        <is>
          <t>Bluestone Memorial Hospital</t>
        </is>
      </c>
      <c r="D5981" t="n">
        <v>62</v>
      </c>
    </row>
    <row r="5982">
      <c r="A5982" t="inlineStr">
        <is>
          <t>ED206115</t>
        </is>
      </c>
      <c r="B5982" s="56" t="n">
        <v>45660.6375</v>
      </c>
      <c r="C5982" t="inlineStr">
        <is>
          <t>Bluestone Memorial Hospital</t>
        </is>
      </c>
      <c r="D5982" t="n">
        <v>70</v>
      </c>
    </row>
    <row r="5983">
      <c r="A5983" t="inlineStr">
        <is>
          <t>ED206116</t>
        </is>
      </c>
      <c r="B5983" s="56" t="n">
        <v>45660.7</v>
      </c>
      <c r="C5983" t="inlineStr">
        <is>
          <t>Bluestone Memorial Hospital</t>
        </is>
      </c>
      <c r="D5983" t="n">
        <v>20</v>
      </c>
    </row>
    <row r="5984">
      <c r="A5984" t="inlineStr">
        <is>
          <t>ED206117</t>
        </is>
      </c>
      <c r="B5984" s="56" t="n">
        <v>45660.70555555556</v>
      </c>
      <c r="C5984" t="inlineStr">
        <is>
          <t>Bluestone Memorial Hospital</t>
        </is>
      </c>
      <c r="D5984" t="n">
        <v>20</v>
      </c>
    </row>
    <row r="5985">
      <c r="A5985" t="inlineStr">
        <is>
          <t>ED206118</t>
        </is>
      </c>
      <c r="B5985" s="56" t="n">
        <v>45660.79861111111</v>
      </c>
      <c r="C5985" t="inlineStr">
        <is>
          <t>Bluestone Memorial Hospital</t>
        </is>
      </c>
      <c r="D5985" t="n">
        <v>35</v>
      </c>
    </row>
    <row r="5986">
      <c r="A5986" t="inlineStr">
        <is>
          <t>ED206119</t>
        </is>
      </c>
      <c r="B5986" s="56" t="n">
        <v>45660.82916666667</v>
      </c>
      <c r="C5986" t="inlineStr">
        <is>
          <t>Bluestone Memorial Hospital</t>
        </is>
      </c>
      <c r="D5986" t="n">
        <v>20</v>
      </c>
    </row>
    <row r="5987">
      <c r="A5987" t="inlineStr">
        <is>
          <t>ED206120</t>
        </is>
      </c>
      <c r="B5987" s="56" t="n">
        <v>45660.86319444444</v>
      </c>
      <c r="C5987" t="inlineStr">
        <is>
          <t>Bluestone Memorial Hospital</t>
        </is>
      </c>
      <c r="D5987" t="n">
        <v>18</v>
      </c>
    </row>
    <row r="5988">
      <c r="A5988" t="inlineStr">
        <is>
          <t>ED206121</t>
        </is>
      </c>
      <c r="B5988" s="56" t="n">
        <v>45660.89722222222</v>
      </c>
      <c r="C5988" t="inlineStr">
        <is>
          <t>Bluestone Memorial Hospital</t>
        </is>
      </c>
      <c r="D5988" t="n">
        <v>56</v>
      </c>
    </row>
    <row r="5989">
      <c r="A5989" t="inlineStr">
        <is>
          <t>ED206122</t>
        </is>
      </c>
      <c r="B5989" s="56" t="n">
        <v>45660.91111111111</v>
      </c>
      <c r="C5989" t="inlineStr">
        <is>
          <t>Bluestone Memorial Hospital</t>
        </is>
      </c>
      <c r="D5989" t="n">
        <v>34</v>
      </c>
    </row>
    <row r="5990">
      <c r="A5990" t="inlineStr">
        <is>
          <t>ED206123</t>
        </is>
      </c>
      <c r="B5990" s="56" t="n">
        <v>45660.92291666667</v>
      </c>
      <c r="C5990" t="inlineStr">
        <is>
          <t>Bluestone Memorial Hospital</t>
        </is>
      </c>
      <c r="D5990" t="n">
        <v>12</v>
      </c>
    </row>
    <row r="5991">
      <c r="A5991" t="inlineStr">
        <is>
          <t>ED206124</t>
        </is>
      </c>
      <c r="B5991" s="56" t="n">
        <v>45660.95902777778</v>
      </c>
      <c r="C5991" t="inlineStr">
        <is>
          <t>Ashby Falls Community Hospital</t>
        </is>
      </c>
      <c r="D5991" t="n">
        <v>75</v>
      </c>
    </row>
    <row r="5992">
      <c r="A5992" t="inlineStr">
        <is>
          <t>ED206125</t>
        </is>
      </c>
      <c r="B5992" s="56" t="n">
        <v>45661.13611111111</v>
      </c>
      <c r="C5992" t="inlineStr">
        <is>
          <t>Ashby Falls Community Hospital</t>
        </is>
      </c>
      <c r="D5992" t="n">
        <v>32</v>
      </c>
    </row>
    <row r="5993">
      <c r="A5993" t="inlineStr">
        <is>
          <t>ED206126</t>
        </is>
      </c>
      <c r="B5993" s="56" t="n">
        <v>45661.30555555555</v>
      </c>
      <c r="C5993" t="inlineStr">
        <is>
          <t>Bluestone Memorial Hospital</t>
        </is>
      </c>
      <c r="D5993" t="n">
        <v>113</v>
      </c>
    </row>
    <row r="5994">
      <c r="A5994" t="inlineStr">
        <is>
          <t>ED206127</t>
        </is>
      </c>
      <c r="B5994" s="56" t="n">
        <v>45661.38333333333</v>
      </c>
      <c r="C5994" t="inlineStr">
        <is>
          <t>Bluestone Memorial Hospital</t>
        </is>
      </c>
      <c r="D5994" t="n">
        <v>67</v>
      </c>
    </row>
    <row r="5995">
      <c r="A5995" t="inlineStr">
        <is>
          <t>ED206128</t>
        </is>
      </c>
      <c r="B5995" s="56" t="n">
        <v>45661.39930555555</v>
      </c>
      <c r="C5995" t="inlineStr">
        <is>
          <t>Bluestone Memorial Hospital</t>
        </is>
      </c>
      <c r="D5995" t="n">
        <v>39</v>
      </c>
    </row>
    <row r="5996">
      <c r="A5996" t="inlineStr">
        <is>
          <t>ED206129</t>
        </is>
      </c>
      <c r="B5996" s="56" t="n">
        <v>45661.53125</v>
      </c>
      <c r="C5996" t="inlineStr">
        <is>
          <t>Bluestone Memorial Hospital</t>
        </is>
      </c>
      <c r="D5996" t="n">
        <v>85</v>
      </c>
    </row>
    <row r="5997">
      <c r="A5997" t="inlineStr">
        <is>
          <t>ED206130</t>
        </is>
      </c>
      <c r="B5997" s="56" t="n">
        <v>45661.53402777778</v>
      </c>
      <c r="C5997" t="inlineStr">
        <is>
          <t>Bluestone Memorial Hospital</t>
        </is>
      </c>
      <c r="D5997" t="n">
        <v>14</v>
      </c>
    </row>
    <row r="5998">
      <c r="A5998" t="inlineStr">
        <is>
          <t>ED206131</t>
        </is>
      </c>
      <c r="B5998" s="56" t="n">
        <v>45661.55208333334</v>
      </c>
      <c r="C5998" t="inlineStr">
        <is>
          <t>Bluestone Memorial Hospital</t>
        </is>
      </c>
      <c r="D5998" t="n">
        <v>72</v>
      </c>
    </row>
    <row r="5999">
      <c r="A5999" t="inlineStr">
        <is>
          <t>ED206132</t>
        </is>
      </c>
      <c r="B5999" s="56" t="n">
        <v>45661.62986111111</v>
      </c>
      <c r="C5999" t="inlineStr">
        <is>
          <t>Bluestone Memorial Hospital</t>
        </is>
      </c>
      <c r="D5999" t="n">
        <v>28</v>
      </c>
    </row>
    <row r="6000">
      <c r="A6000" t="inlineStr">
        <is>
          <t>ED206133</t>
        </is>
      </c>
      <c r="B6000" s="56" t="n">
        <v>45661.65069444444</v>
      </c>
      <c r="C6000" t="inlineStr">
        <is>
          <t>Bluestone Memorial Hospital</t>
        </is>
      </c>
      <c r="D6000" t="n">
        <v>52</v>
      </c>
    </row>
    <row r="6001">
      <c r="A6001" t="inlineStr">
        <is>
          <t>ED206134</t>
        </is>
      </c>
      <c r="B6001" s="56" t="n">
        <v>45661.69236111111</v>
      </c>
      <c r="C6001" t="inlineStr">
        <is>
          <t>Bluestone Memorial Hospital</t>
        </is>
      </c>
      <c r="D6001" t="n">
        <v>22</v>
      </c>
    </row>
    <row r="6002">
      <c r="A6002" t="inlineStr">
        <is>
          <t>ED206135</t>
        </is>
      </c>
      <c r="B6002" s="56" t="n">
        <v>45661.72847222222</v>
      </c>
      <c r="C6002" t="inlineStr">
        <is>
          <t>Ashby Falls Community Hospital</t>
        </is>
      </c>
      <c r="D6002" t="n">
        <v>13</v>
      </c>
    </row>
    <row r="6003">
      <c r="A6003" t="inlineStr">
        <is>
          <t>ED206136</t>
        </is>
      </c>
      <c r="B6003" s="56" t="n">
        <v>45661.79236111111</v>
      </c>
      <c r="C6003" t="inlineStr">
        <is>
          <t>Bluestone Memorial Hospital</t>
        </is>
      </c>
      <c r="D6003" t="n">
        <v>140</v>
      </c>
    </row>
    <row r="6004">
      <c r="A6004" t="inlineStr">
        <is>
          <t>ED206137</t>
        </is>
      </c>
      <c r="B6004" s="56" t="n">
        <v>45661.89166666667</v>
      </c>
      <c r="C6004" t="inlineStr">
        <is>
          <t>Bluestone Memorial Hospital</t>
        </is>
      </c>
      <c r="D6004" t="n">
        <v>65</v>
      </c>
    </row>
    <row r="6005">
      <c r="A6005" t="inlineStr">
        <is>
          <t>ED206138</t>
        </is>
      </c>
      <c r="B6005" s="56" t="n">
        <v>45661.93472222222</v>
      </c>
      <c r="C6005" t="inlineStr">
        <is>
          <t>Bluestone Memorial Hospital</t>
        </is>
      </c>
      <c r="D6005" t="n">
        <v>24</v>
      </c>
    </row>
    <row r="6006">
      <c r="A6006" t="inlineStr">
        <is>
          <t>ED206139</t>
        </is>
      </c>
      <c r="B6006" s="56" t="n">
        <v>45662.03958333333</v>
      </c>
      <c r="C6006" t="inlineStr">
        <is>
          <t>Bluestone Memorial Hospital</t>
        </is>
      </c>
      <c r="D6006" t="n">
        <v>73</v>
      </c>
    </row>
    <row r="6007">
      <c r="A6007" t="inlineStr">
        <is>
          <t>ED206140</t>
        </is>
      </c>
      <c r="B6007" s="56" t="n">
        <v>45662.33402777778</v>
      </c>
      <c r="C6007" t="inlineStr">
        <is>
          <t>Bluestone Memorial Hospital</t>
        </is>
      </c>
      <c r="D6007" t="n">
        <v>53</v>
      </c>
    </row>
    <row r="6008">
      <c r="A6008" t="inlineStr">
        <is>
          <t>ED206141</t>
        </is>
      </c>
      <c r="B6008" s="56" t="n">
        <v>45662.33819444444</v>
      </c>
      <c r="C6008" t="inlineStr">
        <is>
          <t>Bluestone Memorial Hospital</t>
        </is>
      </c>
      <c r="D6008" t="n">
        <v>46</v>
      </c>
    </row>
    <row r="6009">
      <c r="A6009" t="inlineStr">
        <is>
          <t>ED206142</t>
        </is>
      </c>
      <c r="B6009" s="56" t="n">
        <v>45662.42638888889</v>
      </c>
      <c r="C6009" t="inlineStr">
        <is>
          <t>Bluestone Memorial Hospital</t>
        </is>
      </c>
      <c r="D6009" t="n">
        <v>72</v>
      </c>
    </row>
    <row r="6010">
      <c r="A6010" t="inlineStr">
        <is>
          <t>ED206143</t>
        </is>
      </c>
      <c r="B6010" s="56" t="n">
        <v>45662.44375</v>
      </c>
      <c r="C6010" t="inlineStr">
        <is>
          <t>Ashby Falls Community Hospital</t>
        </is>
      </c>
      <c r="D6010" t="n">
        <v>59</v>
      </c>
    </row>
    <row r="6011">
      <c r="A6011" t="inlineStr">
        <is>
          <t>ED206144</t>
        </is>
      </c>
      <c r="B6011" s="56" t="n">
        <v>45662.45208333333</v>
      </c>
      <c r="C6011" t="inlineStr">
        <is>
          <t>Bluestone Memorial Hospital</t>
        </is>
      </c>
      <c r="D6011" t="n">
        <v>63</v>
      </c>
    </row>
    <row r="6012">
      <c r="A6012" t="inlineStr">
        <is>
          <t>ED206145</t>
        </is>
      </c>
      <c r="B6012" s="56" t="n">
        <v>45662.46805555555</v>
      </c>
      <c r="C6012" t="inlineStr">
        <is>
          <t>Bluestone Memorial Hospital</t>
        </is>
      </c>
      <c r="D6012" t="n">
        <v>42</v>
      </c>
    </row>
    <row r="6013">
      <c r="A6013" t="inlineStr">
        <is>
          <t>ED206147</t>
        </is>
      </c>
      <c r="B6013" s="56" t="n">
        <v>45662.51805555556</v>
      </c>
      <c r="C6013" t="inlineStr">
        <is>
          <t>Ashby Falls Community Hospital</t>
        </is>
      </c>
      <c r="D6013" t="n">
        <v>81</v>
      </c>
    </row>
    <row r="6014">
      <c r="A6014" t="inlineStr">
        <is>
          <t>ED206148</t>
        </is>
      </c>
      <c r="B6014" s="56" t="n">
        <v>45662.54513888889</v>
      </c>
      <c r="C6014" t="inlineStr">
        <is>
          <t>Cedar Ridge Medical Center</t>
        </is>
      </c>
      <c r="D6014" t="n">
        <v>17</v>
      </c>
    </row>
    <row r="6015">
      <c r="A6015" t="inlineStr">
        <is>
          <t>ED206149</t>
        </is>
      </c>
      <c r="B6015" s="56" t="n">
        <v>45662.55694444444</v>
      </c>
      <c r="C6015" t="inlineStr">
        <is>
          <t>Bluestone Memorial Hospital</t>
        </is>
      </c>
      <c r="D6015" t="n">
        <v>36</v>
      </c>
    </row>
    <row r="6016">
      <c r="A6016" t="inlineStr">
        <is>
          <t>ED206150</t>
        </is>
      </c>
      <c r="B6016" s="56" t="n">
        <v>45662.57430555556</v>
      </c>
      <c r="C6016" t="inlineStr">
        <is>
          <t>Ashby Falls Community Hospital</t>
        </is>
      </c>
      <c r="D6016" t="n">
        <v>56</v>
      </c>
    </row>
    <row r="6017">
      <c r="A6017" t="inlineStr">
        <is>
          <t>ED206151</t>
        </is>
      </c>
      <c r="B6017" s="56" t="n">
        <v>45662.58958333333</v>
      </c>
      <c r="C6017" t="inlineStr">
        <is>
          <t>Cedar Ridge Medical Center</t>
        </is>
      </c>
      <c r="D6017" t="n">
        <v>88</v>
      </c>
    </row>
    <row r="6018">
      <c r="A6018" t="inlineStr">
        <is>
          <t>ED206152</t>
        </is>
      </c>
      <c r="B6018" s="56" t="n">
        <v>45662.65625</v>
      </c>
      <c r="C6018" t="inlineStr">
        <is>
          <t>Bluestone Memorial Hospital</t>
        </is>
      </c>
      <c r="D6018" t="n">
        <v>36</v>
      </c>
    </row>
    <row r="6019">
      <c r="A6019" t="inlineStr">
        <is>
          <t>ED206153</t>
        </is>
      </c>
      <c r="B6019" s="56" t="n">
        <v>45662.65763888889</v>
      </c>
      <c r="C6019" t="inlineStr">
        <is>
          <t>Bluestone Memorial Hospital</t>
        </is>
      </c>
      <c r="D6019" t="n">
        <v>111</v>
      </c>
    </row>
    <row r="6020">
      <c r="A6020" t="inlineStr">
        <is>
          <t>ED206154</t>
        </is>
      </c>
      <c r="B6020" s="56" t="n">
        <v>45662.66319444445</v>
      </c>
      <c r="C6020" t="inlineStr">
        <is>
          <t>Bluestone Memorial Hospital</t>
        </is>
      </c>
      <c r="D6020" t="n">
        <v>60</v>
      </c>
    </row>
    <row r="6021">
      <c r="A6021" t="inlineStr">
        <is>
          <t>ED206156</t>
        </is>
      </c>
      <c r="B6021" s="56" t="n">
        <v>45662.75069444445</v>
      </c>
      <c r="C6021" t="inlineStr">
        <is>
          <t>Bluestone Memorial Hospital</t>
        </is>
      </c>
      <c r="D6021" t="n">
        <v>14</v>
      </c>
    </row>
    <row r="6022">
      <c r="A6022" t="inlineStr">
        <is>
          <t>ED206157</t>
        </is>
      </c>
      <c r="B6022" s="56" t="n">
        <v>45662.80902777778</v>
      </c>
      <c r="C6022" t="inlineStr">
        <is>
          <t>Ashby Falls Community Hospital</t>
        </is>
      </c>
      <c r="D6022" t="n">
        <v>61</v>
      </c>
    </row>
    <row r="6023">
      <c r="A6023" t="inlineStr">
        <is>
          <t>ED206158</t>
        </is>
      </c>
      <c r="B6023" s="56" t="n">
        <v>45662.91805555556</v>
      </c>
      <c r="C6023" t="inlineStr">
        <is>
          <t>Cedar Ridge Medical Center</t>
        </is>
      </c>
      <c r="D6023" t="n">
        <v>9</v>
      </c>
    </row>
    <row r="6024">
      <c r="A6024" t="inlineStr">
        <is>
          <t>ED206159</t>
        </is>
      </c>
      <c r="B6024" s="56" t="n">
        <v>45662.98333333333</v>
      </c>
      <c r="C6024" t="inlineStr">
        <is>
          <t>Bluestone Memorial Hospital</t>
        </is>
      </c>
      <c r="D6024" t="n">
        <v>65</v>
      </c>
    </row>
    <row r="6025">
      <c r="A6025" t="inlineStr">
        <is>
          <t>ED206160</t>
        </is>
      </c>
      <c r="B6025" s="56" t="n">
        <v>45663.09305555555</v>
      </c>
      <c r="C6025" t="inlineStr">
        <is>
          <t>Ashby Falls Community Hospital</t>
        </is>
      </c>
      <c r="D6025" t="n">
        <v>34</v>
      </c>
    </row>
    <row r="6026">
      <c r="A6026" t="inlineStr">
        <is>
          <t>ED206161</t>
        </is>
      </c>
      <c r="B6026" s="56" t="n">
        <v>45663.19930555556</v>
      </c>
      <c r="C6026" t="inlineStr">
        <is>
          <t>Bluestone Memorial Hospital</t>
        </is>
      </c>
      <c r="D6026" t="n">
        <v>26</v>
      </c>
    </row>
    <row r="6027">
      <c r="A6027" t="inlineStr">
        <is>
          <t>ED206162</t>
        </is>
      </c>
      <c r="B6027" s="56" t="n">
        <v>45663.25486111111</v>
      </c>
      <c r="C6027" t="inlineStr">
        <is>
          <t>Ashby Falls Community Hospital</t>
        </is>
      </c>
      <c r="D6027" t="n">
        <v>78</v>
      </c>
    </row>
    <row r="6028">
      <c r="A6028" t="inlineStr">
        <is>
          <t>ED206163</t>
        </is>
      </c>
      <c r="B6028" s="56" t="n">
        <v>45663.29513888889</v>
      </c>
      <c r="C6028" t="inlineStr">
        <is>
          <t>Ashby Falls Community Hospital</t>
        </is>
      </c>
      <c r="D6028" t="n">
        <v>19</v>
      </c>
    </row>
    <row r="6029">
      <c r="A6029" t="inlineStr">
        <is>
          <t>ED206164</t>
        </is>
      </c>
      <c r="B6029" s="56" t="n">
        <v>45663.32916666667</v>
      </c>
      <c r="C6029" t="inlineStr">
        <is>
          <t>Ashby Falls Community Hospital</t>
        </is>
      </c>
      <c r="D6029" t="n">
        <v>5</v>
      </c>
    </row>
    <row r="6030">
      <c r="A6030" t="inlineStr">
        <is>
          <t>ED206165</t>
        </is>
      </c>
      <c r="B6030" s="56" t="n">
        <v>45663.34861111111</v>
      </c>
      <c r="C6030" t="inlineStr">
        <is>
          <t>Bluestone Memorial Hospital</t>
        </is>
      </c>
      <c r="D6030" t="n">
        <v>3</v>
      </c>
    </row>
    <row r="6031">
      <c r="A6031" t="inlineStr">
        <is>
          <t>ED206166</t>
        </is>
      </c>
      <c r="B6031" s="56" t="n">
        <v>45663.37708333333</v>
      </c>
      <c r="C6031" t="inlineStr">
        <is>
          <t>Cedar Ridge Medical Center</t>
        </is>
      </c>
      <c r="D6031" t="n">
        <v>20</v>
      </c>
    </row>
    <row r="6032">
      <c r="A6032" t="inlineStr">
        <is>
          <t>ED206167</t>
        </is>
      </c>
      <c r="B6032" s="56" t="n">
        <v>45663.42569444444</v>
      </c>
      <c r="C6032" t="inlineStr">
        <is>
          <t>Bluestone Memorial Hospital</t>
        </is>
      </c>
      <c r="D6032" t="n">
        <v>12</v>
      </c>
    </row>
    <row r="6033">
      <c r="A6033" t="inlineStr">
        <is>
          <t>ED206168</t>
        </is>
      </c>
      <c r="B6033" s="56" t="n">
        <v>45663.42986111111</v>
      </c>
      <c r="C6033" t="inlineStr">
        <is>
          <t>Bluestone Memorial Hospital</t>
        </is>
      </c>
      <c r="D6033" t="n">
        <v>23</v>
      </c>
    </row>
    <row r="6034">
      <c r="A6034" t="inlineStr">
        <is>
          <t>ED206169</t>
        </is>
      </c>
      <c r="B6034" s="56" t="n">
        <v>45663.44027777778</v>
      </c>
      <c r="C6034" t="inlineStr">
        <is>
          <t>Ashby Falls Community Hospital</t>
        </is>
      </c>
      <c r="D6034" t="n">
        <v>30</v>
      </c>
    </row>
    <row r="6035">
      <c r="A6035" t="inlineStr">
        <is>
          <t>ED206170</t>
        </is>
      </c>
      <c r="B6035" s="56" t="n">
        <v>45663.45</v>
      </c>
      <c r="C6035" t="inlineStr">
        <is>
          <t>Bluestone Memorial Hospital</t>
        </is>
      </c>
      <c r="D6035" t="n">
        <v>58</v>
      </c>
    </row>
    <row r="6036">
      <c r="A6036" t="inlineStr">
        <is>
          <t>ED206171</t>
        </is>
      </c>
      <c r="B6036" s="56" t="n">
        <v>45663.53611111111</v>
      </c>
      <c r="C6036" t="inlineStr">
        <is>
          <t>Bluestone Memorial Hospital</t>
        </is>
      </c>
      <c r="D6036" t="n">
        <v>73</v>
      </c>
    </row>
    <row r="6037">
      <c r="A6037" t="inlineStr">
        <is>
          <t>ED206172</t>
        </is>
      </c>
      <c r="B6037" s="56" t="n">
        <v>45663.58402777778</v>
      </c>
      <c r="C6037" t="inlineStr">
        <is>
          <t>Bluestone Memorial Hospital</t>
        </is>
      </c>
      <c r="D6037" t="n">
        <v>46</v>
      </c>
    </row>
    <row r="6038">
      <c r="A6038" t="inlineStr">
        <is>
          <t>ED206173</t>
        </is>
      </c>
      <c r="B6038" s="56" t="n">
        <v>45663.60277777778</v>
      </c>
      <c r="C6038" t="inlineStr">
        <is>
          <t>Bluestone Memorial Hospital</t>
        </is>
      </c>
      <c r="D6038" t="n">
        <v>34</v>
      </c>
    </row>
    <row r="6039">
      <c r="A6039" t="inlineStr">
        <is>
          <t>ED206174</t>
        </is>
      </c>
      <c r="B6039" s="56" t="n">
        <v>45663.60972222222</v>
      </c>
      <c r="C6039" t="inlineStr">
        <is>
          <t>Bluestone Memorial Hospital</t>
        </is>
      </c>
      <c r="D6039" t="n">
        <v>201</v>
      </c>
    </row>
    <row r="6040">
      <c r="A6040" t="inlineStr">
        <is>
          <t>ED206175</t>
        </is>
      </c>
      <c r="B6040" s="56" t="n">
        <v>45663.62222222222</v>
      </c>
      <c r="C6040" t="inlineStr">
        <is>
          <t>Bluestone Memorial Hospital</t>
        </is>
      </c>
      <c r="D6040" t="n">
        <v>39</v>
      </c>
    </row>
    <row r="6041">
      <c r="A6041" t="inlineStr">
        <is>
          <t>ED206176</t>
        </is>
      </c>
      <c r="B6041" s="56" t="n">
        <v>45663.64375</v>
      </c>
      <c r="C6041" t="inlineStr">
        <is>
          <t>Bluestone Memorial Hospital</t>
        </is>
      </c>
      <c r="D6041" t="n">
        <v>32</v>
      </c>
    </row>
    <row r="6042">
      <c r="A6042" t="inlineStr">
        <is>
          <t>ED206177</t>
        </is>
      </c>
      <c r="B6042" s="56" t="n">
        <v>45663.67291666667</v>
      </c>
      <c r="C6042" t="inlineStr">
        <is>
          <t>Bluestone Memorial Hospital</t>
        </is>
      </c>
      <c r="D6042" t="n">
        <v>35</v>
      </c>
    </row>
    <row r="6043">
      <c r="A6043" t="inlineStr">
        <is>
          <t>ED206178</t>
        </is>
      </c>
      <c r="B6043" s="56" t="n">
        <v>45663.68263888889</v>
      </c>
      <c r="C6043" t="inlineStr">
        <is>
          <t>Bluestone Memorial Hospital</t>
        </is>
      </c>
      <c r="D6043" t="n">
        <v>69</v>
      </c>
    </row>
    <row r="6044">
      <c r="A6044" t="inlineStr">
        <is>
          <t>ED206179</t>
        </is>
      </c>
      <c r="B6044" s="56" t="n">
        <v>45663.68333333333</v>
      </c>
      <c r="C6044" t="inlineStr">
        <is>
          <t>Bluestone Memorial Hospital</t>
        </is>
      </c>
      <c r="D6044" t="n">
        <v>110</v>
      </c>
    </row>
    <row r="6045">
      <c r="A6045" t="inlineStr">
        <is>
          <t>ED206180</t>
        </is>
      </c>
      <c r="B6045" s="56" t="n">
        <v>45663.68402777778</v>
      </c>
      <c r="C6045" t="inlineStr">
        <is>
          <t>Bluestone Memorial Hospital</t>
        </is>
      </c>
      <c r="D6045" t="n">
        <v>71</v>
      </c>
    </row>
    <row r="6046">
      <c r="A6046" t="inlineStr">
        <is>
          <t>ED206181</t>
        </is>
      </c>
      <c r="B6046" s="56" t="n">
        <v>45663.68472222222</v>
      </c>
      <c r="C6046" t="inlineStr">
        <is>
          <t>Bluestone Memorial Hospital</t>
        </is>
      </c>
      <c r="D6046" t="n">
        <v>101</v>
      </c>
    </row>
    <row r="6047">
      <c r="A6047" t="inlineStr">
        <is>
          <t>ED206182</t>
        </is>
      </c>
      <c r="B6047" s="56" t="n">
        <v>45663.70069444444</v>
      </c>
      <c r="C6047" t="inlineStr">
        <is>
          <t>Bluestone Memorial Hospital</t>
        </is>
      </c>
      <c r="D6047" t="n">
        <v>42</v>
      </c>
    </row>
    <row r="6048">
      <c r="A6048" t="inlineStr">
        <is>
          <t>ED206183</t>
        </is>
      </c>
      <c r="B6048" s="56" t="n">
        <v>45663.72013888889</v>
      </c>
      <c r="C6048" t="inlineStr">
        <is>
          <t>Bluestone Memorial Hospital</t>
        </is>
      </c>
      <c r="D6048" t="n">
        <v>62</v>
      </c>
    </row>
    <row r="6049">
      <c r="A6049" t="inlineStr">
        <is>
          <t>ED206184</t>
        </is>
      </c>
      <c r="B6049" s="56" t="n">
        <v>45663.73541666667</v>
      </c>
      <c r="C6049" t="inlineStr">
        <is>
          <t>Bluestone Memorial Hospital</t>
        </is>
      </c>
      <c r="D6049" t="n">
        <v>20</v>
      </c>
    </row>
    <row r="6050">
      <c r="A6050" t="inlineStr">
        <is>
          <t>ED206185</t>
        </is>
      </c>
      <c r="B6050" s="56" t="n">
        <v>45663.75069444445</v>
      </c>
      <c r="C6050" t="inlineStr">
        <is>
          <t>Bluestone Memorial Hospital</t>
        </is>
      </c>
      <c r="D6050" t="n">
        <v>10</v>
      </c>
    </row>
    <row r="6051">
      <c r="A6051" t="inlineStr">
        <is>
          <t>ED206186</t>
        </is>
      </c>
      <c r="B6051" s="56" t="n">
        <v>45663.77569444444</v>
      </c>
      <c r="C6051" t="inlineStr">
        <is>
          <t>Cedar Ridge Medical Center</t>
        </is>
      </c>
      <c r="D6051" t="n">
        <v>46</v>
      </c>
    </row>
    <row r="6052">
      <c r="A6052" t="inlineStr">
        <is>
          <t>ED206187</t>
        </is>
      </c>
      <c r="B6052" s="56" t="n">
        <v>45663.81388888889</v>
      </c>
      <c r="C6052" t="inlineStr">
        <is>
          <t>Bluestone Memorial Hospital</t>
        </is>
      </c>
      <c r="D6052" t="n">
        <v>34</v>
      </c>
    </row>
    <row r="6053">
      <c r="A6053" t="inlineStr">
        <is>
          <t>ED206188</t>
        </is>
      </c>
      <c r="B6053" s="56" t="n">
        <v>45663.86944444444</v>
      </c>
      <c r="C6053" t="inlineStr">
        <is>
          <t>Ashby Falls Community Hospital</t>
        </is>
      </c>
      <c r="D6053" t="n">
        <v>57</v>
      </c>
    </row>
    <row r="6054">
      <c r="A6054" t="inlineStr">
        <is>
          <t>ED206189</t>
        </is>
      </c>
      <c r="B6054" s="56" t="n">
        <v>45664.32708333333</v>
      </c>
      <c r="C6054" t="inlineStr">
        <is>
          <t>Ashby Falls Community Hospital</t>
        </is>
      </c>
      <c r="D6054" t="n">
        <v>38</v>
      </c>
    </row>
    <row r="6055">
      <c r="A6055" t="inlineStr">
        <is>
          <t>ED206190</t>
        </is>
      </c>
      <c r="B6055" s="56" t="n">
        <v>45664.45694444444</v>
      </c>
      <c r="C6055" t="inlineStr">
        <is>
          <t>Bluestone Memorial Hospital</t>
        </is>
      </c>
      <c r="D6055" t="n">
        <v>54</v>
      </c>
    </row>
    <row r="6056">
      <c r="A6056" t="inlineStr">
        <is>
          <t>ED206191</t>
        </is>
      </c>
      <c r="B6056" s="56" t="n">
        <v>45664.45833333334</v>
      </c>
      <c r="C6056" t="inlineStr">
        <is>
          <t>Cedar Ridge Medical Center</t>
        </is>
      </c>
      <c r="D6056" t="n">
        <v>41</v>
      </c>
    </row>
    <row r="6057">
      <c r="A6057" t="inlineStr">
        <is>
          <t>ED206192</t>
        </is>
      </c>
      <c r="B6057" s="56" t="n">
        <v>45664.46527777778</v>
      </c>
      <c r="C6057" t="inlineStr">
        <is>
          <t>Bluestone Memorial Hospital</t>
        </is>
      </c>
      <c r="D6057" t="n">
        <v>32</v>
      </c>
    </row>
    <row r="6058">
      <c r="A6058" t="inlineStr">
        <is>
          <t>ED206193</t>
        </is>
      </c>
      <c r="B6058" s="56" t="n">
        <v>45664.47013888889</v>
      </c>
      <c r="C6058" t="inlineStr">
        <is>
          <t>Bluestone Memorial Hospital</t>
        </is>
      </c>
      <c r="D6058" t="n">
        <v>38</v>
      </c>
    </row>
    <row r="6059">
      <c r="A6059" t="inlineStr">
        <is>
          <t>ED206194</t>
        </is>
      </c>
      <c r="B6059" s="56" t="n">
        <v>45664.49375</v>
      </c>
      <c r="C6059" t="inlineStr">
        <is>
          <t>Bluestone Memorial Hospital</t>
        </is>
      </c>
      <c r="D6059" t="n">
        <v>45</v>
      </c>
    </row>
    <row r="6060">
      <c r="A6060" t="inlineStr">
        <is>
          <t>ED206195</t>
        </is>
      </c>
      <c r="B6060" s="56" t="n">
        <v>45664.56527777778</v>
      </c>
      <c r="C6060" t="inlineStr">
        <is>
          <t>Cedar Ridge Medical Center</t>
        </is>
      </c>
      <c r="D6060" t="n">
        <v>65</v>
      </c>
    </row>
    <row r="6061">
      <c r="A6061" t="inlineStr">
        <is>
          <t>ED206196</t>
        </is>
      </c>
      <c r="B6061" s="56" t="n">
        <v>45664.67986111111</v>
      </c>
      <c r="C6061" t="inlineStr">
        <is>
          <t>Bluestone Memorial Hospital</t>
        </is>
      </c>
      <c r="D6061" t="n">
        <v>99</v>
      </c>
    </row>
    <row r="6062">
      <c r="A6062" t="inlineStr">
        <is>
          <t>ED206197</t>
        </is>
      </c>
      <c r="B6062" s="56" t="n">
        <v>45664.72916666666</v>
      </c>
      <c r="C6062" t="inlineStr">
        <is>
          <t>Bluestone Memorial Hospital</t>
        </is>
      </c>
      <c r="D6062" t="n">
        <v>119</v>
      </c>
    </row>
    <row r="6063">
      <c r="A6063" t="inlineStr">
        <is>
          <t>ED206198</t>
        </is>
      </c>
      <c r="B6063" s="56" t="n">
        <v>45664.73263888889</v>
      </c>
      <c r="C6063" t="inlineStr">
        <is>
          <t>Bluestone Memorial Hospital</t>
        </is>
      </c>
      <c r="D6063" t="n">
        <v>46</v>
      </c>
    </row>
    <row r="6064">
      <c r="A6064" t="inlineStr">
        <is>
          <t>ED206199</t>
        </is>
      </c>
      <c r="B6064" s="56" t="n">
        <v>45664.77430555555</v>
      </c>
      <c r="C6064" t="inlineStr">
        <is>
          <t>Bluestone Memorial Hospital</t>
        </is>
      </c>
      <c r="D6064" t="n">
        <v>3</v>
      </c>
    </row>
    <row r="6065">
      <c r="A6065" t="inlineStr">
        <is>
          <t>ED206200</t>
        </is>
      </c>
      <c r="B6065" s="56" t="n">
        <v>45664.77986111111</v>
      </c>
      <c r="C6065" t="inlineStr">
        <is>
          <t>Bluestone Memorial Hospital</t>
        </is>
      </c>
      <c r="D6065" t="n">
        <v>29</v>
      </c>
    </row>
    <row r="6066">
      <c r="A6066" t="inlineStr">
        <is>
          <t>ED206201</t>
        </is>
      </c>
      <c r="B6066" s="56" t="n">
        <v>45664.81388888889</v>
      </c>
      <c r="C6066" t="inlineStr">
        <is>
          <t>Bluestone Memorial Hospital</t>
        </is>
      </c>
      <c r="D6066" t="n">
        <v>29</v>
      </c>
    </row>
    <row r="6067">
      <c r="A6067" t="inlineStr">
        <is>
          <t>ED206202</t>
        </is>
      </c>
      <c r="B6067" s="56" t="n">
        <v>45664.81666666667</v>
      </c>
      <c r="C6067" t="inlineStr">
        <is>
          <t>Bluestone Memorial Hospital</t>
        </is>
      </c>
      <c r="D6067" t="n">
        <v>69</v>
      </c>
    </row>
    <row r="6068">
      <c r="A6068" t="inlineStr">
        <is>
          <t>ED206203</t>
        </is>
      </c>
      <c r="B6068" s="56" t="n">
        <v>45664.82847222222</v>
      </c>
      <c r="C6068" t="inlineStr">
        <is>
          <t>Bluestone Memorial Hospital</t>
        </is>
      </c>
      <c r="D6068" t="n">
        <v>28</v>
      </c>
    </row>
    <row r="6069">
      <c r="A6069" t="inlineStr">
        <is>
          <t>ED206204</t>
        </is>
      </c>
      <c r="B6069" s="56" t="n">
        <v>45664.88819444444</v>
      </c>
      <c r="C6069" t="inlineStr">
        <is>
          <t>Bluestone Memorial Hospital</t>
        </is>
      </c>
      <c r="D6069" t="n">
        <v>31</v>
      </c>
    </row>
    <row r="6070">
      <c r="A6070" t="inlineStr">
        <is>
          <t>ED206205</t>
        </is>
      </c>
      <c r="B6070" s="56" t="n">
        <v>45664.89652777778</v>
      </c>
      <c r="C6070" t="inlineStr">
        <is>
          <t>Bluestone Memorial Hospital</t>
        </is>
      </c>
      <c r="D6070" t="n">
        <v>15</v>
      </c>
    </row>
    <row r="6071">
      <c r="A6071" t="inlineStr">
        <is>
          <t>ED206206</t>
        </is>
      </c>
      <c r="B6071" s="56" t="n">
        <v>45665.04583333333</v>
      </c>
      <c r="C6071" t="inlineStr">
        <is>
          <t>Ashby Falls Community Hospital</t>
        </is>
      </c>
      <c r="D6071" t="n">
        <v>32</v>
      </c>
    </row>
    <row r="6072">
      <c r="A6072" t="inlineStr">
        <is>
          <t>ED206207</t>
        </is>
      </c>
      <c r="B6072" s="56" t="n">
        <v>45665.07361111111</v>
      </c>
      <c r="C6072" t="inlineStr">
        <is>
          <t>Ashby Falls Community Hospital</t>
        </is>
      </c>
      <c r="D6072" t="n">
        <v>12</v>
      </c>
    </row>
    <row r="6073">
      <c r="A6073" t="inlineStr">
        <is>
          <t>ED206208</t>
        </is>
      </c>
      <c r="B6073" s="56" t="n">
        <v>45665.09930555556</v>
      </c>
      <c r="C6073" t="inlineStr">
        <is>
          <t>Bluestone Memorial Hospital</t>
        </is>
      </c>
      <c r="D6073" t="n">
        <v>8</v>
      </c>
    </row>
    <row r="6074">
      <c r="A6074" t="inlineStr">
        <is>
          <t>ED206209</t>
        </is>
      </c>
      <c r="B6074" s="56" t="n">
        <v>45665.33402777778</v>
      </c>
      <c r="C6074" t="inlineStr">
        <is>
          <t>Ashby Falls Community Hospital</t>
        </is>
      </c>
      <c r="D6074" t="n">
        <v>29</v>
      </c>
    </row>
    <row r="6075">
      <c r="A6075" t="inlineStr">
        <is>
          <t>ED206210</t>
        </is>
      </c>
      <c r="B6075" s="56" t="n">
        <v>45665.35833333333</v>
      </c>
      <c r="C6075" t="inlineStr">
        <is>
          <t>Cedar Ridge Medical Center</t>
        </is>
      </c>
      <c r="D6075" t="n">
        <v>50</v>
      </c>
    </row>
    <row r="6076">
      <c r="A6076" t="inlineStr">
        <is>
          <t>ED206211</t>
        </is>
      </c>
      <c r="B6076" s="56" t="n">
        <v>45665.39930555555</v>
      </c>
      <c r="C6076" t="inlineStr">
        <is>
          <t>Bluestone Memorial Hospital</t>
        </is>
      </c>
      <c r="D6076" t="n">
        <v>37</v>
      </c>
    </row>
    <row r="6077">
      <c r="A6077" t="inlineStr">
        <is>
          <t>ED206212</t>
        </is>
      </c>
      <c r="B6077" s="56" t="n">
        <v>45665.42777777778</v>
      </c>
      <c r="C6077" t="inlineStr">
        <is>
          <t>Bluestone Memorial Hospital</t>
        </is>
      </c>
      <c r="D6077" t="n">
        <v>97</v>
      </c>
    </row>
    <row r="6078">
      <c r="A6078" t="inlineStr">
        <is>
          <t>ED206213</t>
        </is>
      </c>
      <c r="B6078" s="56" t="n">
        <v>45665.48611111111</v>
      </c>
      <c r="C6078" t="inlineStr">
        <is>
          <t>Bluestone Memorial Hospital</t>
        </is>
      </c>
      <c r="D6078" t="n">
        <v>32</v>
      </c>
    </row>
    <row r="6079">
      <c r="A6079" t="inlineStr">
        <is>
          <t>ED206214</t>
        </is>
      </c>
      <c r="B6079" s="56" t="n">
        <v>45665.51041666666</v>
      </c>
      <c r="C6079" t="inlineStr">
        <is>
          <t>Bluestone Memorial Hospital</t>
        </is>
      </c>
      <c r="D6079" t="n">
        <v>85</v>
      </c>
    </row>
    <row r="6080">
      <c r="A6080" t="inlineStr">
        <is>
          <t>ED206215</t>
        </is>
      </c>
      <c r="B6080" s="56" t="n">
        <v>45665.51944444444</v>
      </c>
      <c r="C6080" t="inlineStr">
        <is>
          <t>Bluestone Memorial Hospital</t>
        </is>
      </c>
      <c r="D6080" t="n">
        <v>8</v>
      </c>
    </row>
    <row r="6081">
      <c r="A6081" t="inlineStr">
        <is>
          <t>ED206216</t>
        </is>
      </c>
      <c r="B6081" s="56" t="n">
        <v>45665.53958333333</v>
      </c>
      <c r="C6081" t="inlineStr">
        <is>
          <t>Bluestone Memorial Hospital</t>
        </is>
      </c>
      <c r="D6081" t="n">
        <v>27</v>
      </c>
    </row>
    <row r="6082">
      <c r="A6082" t="inlineStr">
        <is>
          <t>ED206217</t>
        </is>
      </c>
      <c r="B6082" s="56" t="n">
        <v>45665.61388888889</v>
      </c>
      <c r="C6082" t="inlineStr">
        <is>
          <t>Bluestone Memorial Hospital</t>
        </is>
      </c>
      <c r="D6082" t="n">
        <v>37</v>
      </c>
    </row>
    <row r="6083">
      <c r="A6083" t="inlineStr">
        <is>
          <t>ED206218</t>
        </is>
      </c>
      <c r="B6083" s="56" t="n">
        <v>45665.71111111111</v>
      </c>
      <c r="C6083" t="inlineStr">
        <is>
          <t>Bluestone Memorial Hospital</t>
        </is>
      </c>
      <c r="D6083" t="n">
        <v>42</v>
      </c>
    </row>
    <row r="6084">
      <c r="A6084" t="inlineStr">
        <is>
          <t>ED206219</t>
        </is>
      </c>
      <c r="B6084" s="56" t="n">
        <v>45665.73333333333</v>
      </c>
      <c r="C6084" t="inlineStr">
        <is>
          <t>Bluestone Memorial Hospital</t>
        </is>
      </c>
      <c r="D6084" t="n">
        <v>9</v>
      </c>
    </row>
    <row r="6085">
      <c r="A6085" t="inlineStr">
        <is>
          <t>ED206220</t>
        </is>
      </c>
      <c r="B6085" s="56" t="n">
        <v>45665.73472222222</v>
      </c>
      <c r="C6085" t="inlineStr">
        <is>
          <t>Bluestone Memorial Hospital</t>
        </is>
      </c>
      <c r="D6085" t="n">
        <v>64</v>
      </c>
    </row>
    <row r="6086">
      <c r="A6086" t="inlineStr">
        <is>
          <t>ED206221</t>
        </is>
      </c>
      <c r="B6086" s="56" t="n">
        <v>45665.77152777778</v>
      </c>
      <c r="C6086" t="inlineStr">
        <is>
          <t>Ashby Falls Community Hospital</t>
        </is>
      </c>
      <c r="D6086" t="n">
        <v>53</v>
      </c>
    </row>
    <row r="6087">
      <c r="A6087" t="inlineStr">
        <is>
          <t>ED206222</t>
        </is>
      </c>
      <c r="B6087" s="56" t="n">
        <v>45665.77777777778</v>
      </c>
      <c r="C6087" t="inlineStr">
        <is>
          <t>Bluestone Memorial Hospital</t>
        </is>
      </c>
      <c r="D6087" t="n">
        <v>69</v>
      </c>
    </row>
    <row r="6088">
      <c r="A6088" t="inlineStr">
        <is>
          <t>ED206223</t>
        </is>
      </c>
      <c r="B6088" s="56" t="n">
        <v>45665.80972222222</v>
      </c>
      <c r="C6088" t="inlineStr">
        <is>
          <t>Bluestone Memorial Hospital</t>
        </is>
      </c>
      <c r="D6088" t="n">
        <v>124</v>
      </c>
    </row>
    <row r="6089">
      <c r="A6089" t="inlineStr">
        <is>
          <t>ED206224</t>
        </is>
      </c>
      <c r="B6089" s="56" t="n">
        <v>45666.00694444445</v>
      </c>
      <c r="C6089" t="inlineStr">
        <is>
          <t>Bluestone Memorial Hospital</t>
        </is>
      </c>
      <c r="D6089" t="n">
        <v>5</v>
      </c>
    </row>
    <row r="6090">
      <c r="A6090" t="inlineStr">
        <is>
          <t>ED206225</t>
        </is>
      </c>
      <c r="B6090" s="56" t="n">
        <v>45666.03125</v>
      </c>
      <c r="C6090" t="inlineStr">
        <is>
          <t>Bluestone Memorial Hospital</t>
        </is>
      </c>
      <c r="D6090" t="n">
        <v>19</v>
      </c>
    </row>
    <row r="6091">
      <c r="A6091" t="inlineStr">
        <is>
          <t>ED206226</t>
        </is>
      </c>
      <c r="B6091" s="56" t="n">
        <v>45666.10277777778</v>
      </c>
      <c r="C6091" t="inlineStr">
        <is>
          <t>Cedar Ridge Medical Center</t>
        </is>
      </c>
      <c r="D6091" t="n">
        <v>32</v>
      </c>
    </row>
    <row r="6092">
      <c r="A6092" t="inlineStr">
        <is>
          <t>ED206227</t>
        </is>
      </c>
      <c r="B6092" s="56" t="n">
        <v>45666.2</v>
      </c>
      <c r="C6092" t="inlineStr">
        <is>
          <t>Bluestone Memorial Hospital</t>
        </is>
      </c>
      <c r="D6092" t="n">
        <v>38</v>
      </c>
    </row>
    <row r="6093">
      <c r="A6093" t="inlineStr">
        <is>
          <t>ED206228</t>
        </is>
      </c>
      <c r="B6093" s="56" t="n">
        <v>45666.24791666667</v>
      </c>
      <c r="C6093" t="inlineStr">
        <is>
          <t>Cedar Ridge Medical Center</t>
        </is>
      </c>
      <c r="D6093" t="n">
        <v>51</v>
      </c>
    </row>
    <row r="6094">
      <c r="A6094" t="inlineStr">
        <is>
          <t>ED206229</t>
        </is>
      </c>
      <c r="B6094" s="56" t="n">
        <v>45666.27777777778</v>
      </c>
      <c r="C6094" t="inlineStr">
        <is>
          <t>Bluestone Memorial Hospital</t>
        </is>
      </c>
      <c r="D6094" t="n">
        <v>23</v>
      </c>
    </row>
    <row r="6095">
      <c r="A6095" t="inlineStr">
        <is>
          <t>ED206230</t>
        </is>
      </c>
      <c r="B6095" s="56" t="n">
        <v>45666.3125</v>
      </c>
      <c r="C6095" t="inlineStr">
        <is>
          <t>Bluestone Memorial Hospital</t>
        </is>
      </c>
      <c r="D6095" t="n">
        <v>88</v>
      </c>
    </row>
    <row r="6096">
      <c r="A6096" t="inlineStr">
        <is>
          <t>ED206231</t>
        </is>
      </c>
      <c r="B6096" s="56" t="n">
        <v>45666.40555555555</v>
      </c>
      <c r="C6096" t="inlineStr">
        <is>
          <t>Bluestone Memorial Hospital</t>
        </is>
      </c>
      <c r="D6096" t="n">
        <v>64</v>
      </c>
    </row>
    <row r="6097">
      <c r="A6097" t="inlineStr">
        <is>
          <t>ED206232</t>
        </is>
      </c>
      <c r="B6097" s="56" t="n">
        <v>45666.40625</v>
      </c>
      <c r="C6097" t="inlineStr">
        <is>
          <t>Bluestone Memorial Hospital</t>
        </is>
      </c>
      <c r="D6097" t="n">
        <v>111</v>
      </c>
    </row>
    <row r="6098">
      <c r="A6098" t="inlineStr">
        <is>
          <t>ED206233</t>
        </is>
      </c>
      <c r="B6098" s="56" t="n">
        <v>45666.40833333333</v>
      </c>
      <c r="C6098" t="inlineStr">
        <is>
          <t>Bluestone Memorial Hospital</t>
        </is>
      </c>
      <c r="D6098" t="n">
        <v>27</v>
      </c>
    </row>
    <row r="6099">
      <c r="A6099" t="inlineStr">
        <is>
          <t>ED206234</t>
        </is>
      </c>
      <c r="B6099" s="56" t="n">
        <v>45666.45972222222</v>
      </c>
      <c r="C6099" t="inlineStr">
        <is>
          <t>Bluestone Memorial Hospital</t>
        </is>
      </c>
      <c r="D6099" t="n">
        <v>86</v>
      </c>
    </row>
    <row r="6100">
      <c r="A6100" t="inlineStr">
        <is>
          <t>ED206235</t>
        </is>
      </c>
      <c r="B6100" s="56" t="n">
        <v>45666.48333333333</v>
      </c>
      <c r="C6100" t="inlineStr">
        <is>
          <t>Bluestone Memorial Hospital</t>
        </is>
      </c>
      <c r="D6100" t="n">
        <v>5</v>
      </c>
    </row>
    <row r="6101">
      <c r="A6101" t="inlineStr">
        <is>
          <t>ED206236</t>
        </is>
      </c>
      <c r="B6101" s="56" t="n">
        <v>45666.49027777778</v>
      </c>
      <c r="C6101" t="inlineStr">
        <is>
          <t>Bluestone Memorial Hospital</t>
        </is>
      </c>
      <c r="D6101" t="n">
        <v>147</v>
      </c>
    </row>
    <row r="6102">
      <c r="A6102" t="inlineStr">
        <is>
          <t>ED206237</t>
        </is>
      </c>
      <c r="B6102" s="56" t="n">
        <v>45666.6375</v>
      </c>
      <c r="C6102" t="inlineStr">
        <is>
          <t>Bluestone Memorial Hospital</t>
        </is>
      </c>
      <c r="D6102" t="n">
        <v>95</v>
      </c>
    </row>
    <row r="6103">
      <c r="A6103" t="inlineStr">
        <is>
          <t>ED206238</t>
        </is>
      </c>
      <c r="B6103" s="56" t="n">
        <v>45666.67361111111</v>
      </c>
      <c r="C6103" t="inlineStr">
        <is>
          <t>Bluestone Memorial Hospital</t>
        </is>
      </c>
      <c r="D6103" t="n">
        <v>80</v>
      </c>
    </row>
    <row r="6104">
      <c r="A6104" t="inlineStr">
        <is>
          <t>ED206239</t>
        </is>
      </c>
      <c r="B6104" s="56" t="n">
        <v>45666.72569444445</v>
      </c>
      <c r="C6104" t="inlineStr">
        <is>
          <t>Bluestone Memorial Hospital</t>
        </is>
      </c>
      <c r="D6104" t="n">
        <v>49</v>
      </c>
    </row>
    <row r="6105">
      <c r="A6105" t="inlineStr">
        <is>
          <t>ED206240</t>
        </is>
      </c>
      <c r="B6105" s="56" t="n">
        <v>45666.73680555556</v>
      </c>
      <c r="C6105" t="inlineStr">
        <is>
          <t>Bluestone Memorial Hospital</t>
        </is>
      </c>
      <c r="D6105" t="n">
        <v>171</v>
      </c>
    </row>
    <row r="6106">
      <c r="A6106" t="inlineStr">
        <is>
          <t>ED206241</t>
        </is>
      </c>
      <c r="B6106" s="56" t="n">
        <v>45666.78194444445</v>
      </c>
      <c r="C6106" t="inlineStr">
        <is>
          <t>Bluestone Memorial Hospital</t>
        </is>
      </c>
      <c r="D6106" t="n">
        <v>13</v>
      </c>
    </row>
    <row r="6107">
      <c r="A6107" t="inlineStr">
        <is>
          <t>ED206242</t>
        </is>
      </c>
      <c r="B6107" s="56" t="n">
        <v>45666.79861111111</v>
      </c>
      <c r="C6107" t="inlineStr">
        <is>
          <t>Bluestone Memorial Hospital</t>
        </is>
      </c>
      <c r="D6107" t="n">
        <v>78</v>
      </c>
    </row>
    <row r="6108">
      <c r="A6108" t="inlineStr">
        <is>
          <t>ED206243</t>
        </is>
      </c>
      <c r="B6108" s="56" t="n">
        <v>45666.83958333333</v>
      </c>
      <c r="C6108" t="inlineStr">
        <is>
          <t>Bluestone Memorial Hospital</t>
        </is>
      </c>
      <c r="D6108" t="n">
        <v>79</v>
      </c>
    </row>
    <row r="6109">
      <c r="A6109" t="inlineStr">
        <is>
          <t>ED206244</t>
        </is>
      </c>
      <c r="B6109" s="56" t="n">
        <v>45666.85208333333</v>
      </c>
      <c r="C6109" t="inlineStr">
        <is>
          <t>Bluestone Memorial Hospital</t>
        </is>
      </c>
      <c r="D6109" t="n">
        <v>80</v>
      </c>
    </row>
    <row r="6110">
      <c r="A6110" t="inlineStr">
        <is>
          <t>ED206245</t>
        </is>
      </c>
      <c r="B6110" s="56" t="n">
        <v>45666.86597222222</v>
      </c>
      <c r="C6110" t="inlineStr">
        <is>
          <t>Bluestone Memorial Hospital</t>
        </is>
      </c>
      <c r="D6110" t="n">
        <v>46</v>
      </c>
    </row>
    <row r="6111">
      <c r="A6111" t="inlineStr">
        <is>
          <t>ED206246</t>
        </is>
      </c>
      <c r="B6111" s="56" t="n">
        <v>45666.98402777778</v>
      </c>
      <c r="C6111" t="inlineStr">
        <is>
          <t>Cedar Ridge Medical Center</t>
        </is>
      </c>
      <c r="D6111" t="n">
        <v>19</v>
      </c>
    </row>
    <row r="6112">
      <c r="A6112" t="inlineStr">
        <is>
          <t>ED206247</t>
        </is>
      </c>
      <c r="B6112" s="56" t="n">
        <v>45667.10833333333</v>
      </c>
      <c r="C6112" t="inlineStr">
        <is>
          <t>Bluestone Memorial Hospital</t>
        </is>
      </c>
      <c r="D6112" t="n">
        <v>17</v>
      </c>
    </row>
    <row r="6113">
      <c r="A6113" t="inlineStr">
        <is>
          <t>ED206248</t>
        </is>
      </c>
      <c r="B6113" s="56" t="n">
        <v>45667.21180555555</v>
      </c>
      <c r="C6113" t="inlineStr">
        <is>
          <t>Cedar Ridge Medical Center</t>
        </is>
      </c>
      <c r="D6113" t="n">
        <v>10</v>
      </c>
    </row>
    <row r="6114">
      <c r="A6114" t="inlineStr">
        <is>
          <t>ED206249</t>
        </is>
      </c>
      <c r="B6114" s="56" t="n">
        <v>45667.47777777778</v>
      </c>
      <c r="C6114" t="inlineStr">
        <is>
          <t>Cedar Ridge Medical Center</t>
        </is>
      </c>
      <c r="D6114" t="n">
        <v>86</v>
      </c>
    </row>
    <row r="6115">
      <c r="A6115" t="inlineStr">
        <is>
          <t>ED206250</t>
        </is>
      </c>
      <c r="B6115" s="56" t="n">
        <v>45667.50486111111</v>
      </c>
      <c r="C6115" t="inlineStr">
        <is>
          <t>Bluestone Memorial Hospital</t>
        </is>
      </c>
      <c r="D6115" t="n">
        <v>77</v>
      </c>
    </row>
    <row r="6116">
      <c r="A6116" t="inlineStr">
        <is>
          <t>ED206251</t>
        </is>
      </c>
      <c r="B6116" s="56" t="n">
        <v>45667.52013888889</v>
      </c>
      <c r="C6116" t="inlineStr">
        <is>
          <t>Ashby Falls Community Hospital</t>
        </is>
      </c>
      <c r="D6116" t="n">
        <v>93</v>
      </c>
    </row>
    <row r="6117">
      <c r="A6117" t="inlineStr">
        <is>
          <t>ED206252</t>
        </is>
      </c>
      <c r="B6117" s="56" t="n">
        <v>45667.55416666667</v>
      </c>
      <c r="C6117" t="inlineStr">
        <is>
          <t>Cedar Ridge Medical Center</t>
        </is>
      </c>
      <c r="D6117" t="n">
        <v>102</v>
      </c>
    </row>
    <row r="6118">
      <c r="A6118" t="inlineStr">
        <is>
          <t>ED206253</t>
        </is>
      </c>
      <c r="B6118" s="56" t="n">
        <v>45667.55763888889</v>
      </c>
      <c r="C6118" t="inlineStr">
        <is>
          <t>Cedar Ridge Medical Center</t>
        </is>
      </c>
      <c r="D6118" t="n">
        <v>63</v>
      </c>
    </row>
    <row r="6119">
      <c r="A6119" t="inlineStr">
        <is>
          <t>ED206254</t>
        </is>
      </c>
      <c r="B6119" s="56" t="n">
        <v>45667.57847222222</v>
      </c>
      <c r="C6119" t="inlineStr">
        <is>
          <t>Ashby Falls Community Hospital</t>
        </is>
      </c>
      <c r="D6119" t="n">
        <v>116</v>
      </c>
    </row>
    <row r="6120">
      <c r="A6120" t="inlineStr">
        <is>
          <t>ED206255</t>
        </is>
      </c>
      <c r="B6120" s="56" t="n">
        <v>45667.58125</v>
      </c>
      <c r="C6120" t="inlineStr">
        <is>
          <t>Bluestone Memorial Hospital</t>
        </is>
      </c>
      <c r="D6120" t="n">
        <v>15</v>
      </c>
    </row>
    <row r="6121">
      <c r="A6121" t="inlineStr">
        <is>
          <t>ED206256</t>
        </is>
      </c>
      <c r="B6121" s="56" t="n">
        <v>45667.59444444445</v>
      </c>
      <c r="C6121" t="inlineStr">
        <is>
          <t>Bluestone Memorial Hospital</t>
        </is>
      </c>
      <c r="D6121" t="n">
        <v>1</v>
      </c>
    </row>
    <row r="6122">
      <c r="A6122" t="inlineStr">
        <is>
          <t>ED206257</t>
        </is>
      </c>
      <c r="B6122" s="56" t="n">
        <v>45667.59930555556</v>
      </c>
      <c r="C6122" t="inlineStr">
        <is>
          <t>Bluestone Memorial Hospital</t>
        </is>
      </c>
      <c r="D6122" t="n">
        <v>55</v>
      </c>
    </row>
    <row r="6123">
      <c r="A6123" t="inlineStr">
        <is>
          <t>ED206258</t>
        </is>
      </c>
      <c r="B6123" s="56" t="n">
        <v>45667.62777777778</v>
      </c>
      <c r="C6123" t="inlineStr">
        <is>
          <t>Bluestone Memorial Hospital</t>
        </is>
      </c>
      <c r="D6123" t="n">
        <v>18</v>
      </c>
    </row>
    <row r="6124">
      <c r="A6124" t="inlineStr">
        <is>
          <t>ED206259</t>
        </is>
      </c>
      <c r="B6124" s="56" t="n">
        <v>45667.6625</v>
      </c>
      <c r="C6124" t="inlineStr">
        <is>
          <t>Ashby Falls Community Hospital</t>
        </is>
      </c>
      <c r="D6124" t="n">
        <v>10</v>
      </c>
    </row>
    <row r="6125">
      <c r="A6125" t="inlineStr">
        <is>
          <t>ED206260</t>
        </is>
      </c>
      <c r="B6125" s="56" t="n">
        <v>45667.69375</v>
      </c>
      <c r="C6125" t="inlineStr">
        <is>
          <t>Bluestone Memorial Hospital</t>
        </is>
      </c>
      <c r="D6125" t="n">
        <v>42</v>
      </c>
    </row>
    <row r="6126">
      <c r="A6126" t="inlineStr">
        <is>
          <t>ED206261</t>
        </is>
      </c>
      <c r="B6126" s="56" t="n">
        <v>45667.76527777778</v>
      </c>
      <c r="C6126" t="inlineStr">
        <is>
          <t>Bluestone Memorial Hospital</t>
        </is>
      </c>
      <c r="D6126" t="n">
        <v>30</v>
      </c>
    </row>
    <row r="6127">
      <c r="A6127" t="inlineStr">
        <is>
          <t>ED206262</t>
        </is>
      </c>
      <c r="B6127" s="56" t="n">
        <v>45667.79583333333</v>
      </c>
      <c r="C6127" t="inlineStr">
        <is>
          <t>Ashby Falls Community Hospital</t>
        </is>
      </c>
      <c r="D6127" t="n">
        <v>46</v>
      </c>
    </row>
    <row r="6128">
      <c r="A6128" t="inlineStr">
        <is>
          <t>ED206263</t>
        </is>
      </c>
      <c r="B6128" s="56" t="n">
        <v>45667.83680555555</v>
      </c>
      <c r="C6128" t="inlineStr">
        <is>
          <t>Cedar Ridge Medical Center</t>
        </is>
      </c>
      <c r="D6128" t="n">
        <v>7</v>
      </c>
    </row>
    <row r="6129">
      <c r="A6129" t="inlineStr">
        <is>
          <t>ED206264</t>
        </is>
      </c>
      <c r="B6129" s="56" t="n">
        <v>45667.86111111111</v>
      </c>
      <c r="C6129" t="inlineStr">
        <is>
          <t>Bluestone Memorial Hospital</t>
        </is>
      </c>
      <c r="D6129" t="n">
        <v>45</v>
      </c>
    </row>
    <row r="6130">
      <c r="A6130" t="inlineStr">
        <is>
          <t>ED206265</t>
        </is>
      </c>
      <c r="B6130" s="56" t="n">
        <v>45667.91597222222</v>
      </c>
      <c r="C6130" t="inlineStr">
        <is>
          <t>Bluestone Memorial Hospital</t>
        </is>
      </c>
      <c r="D6130" t="n">
        <v>24</v>
      </c>
    </row>
    <row r="6131">
      <c r="A6131" t="inlineStr">
        <is>
          <t>ED206266</t>
        </is>
      </c>
      <c r="B6131" s="56" t="n">
        <v>45667.98194444444</v>
      </c>
      <c r="C6131" t="inlineStr">
        <is>
          <t>Bluestone Memorial Hospital</t>
        </is>
      </c>
      <c r="D6131" t="n">
        <v>11</v>
      </c>
    </row>
    <row r="6132">
      <c r="A6132" t="inlineStr">
        <is>
          <t>ED206267</t>
        </is>
      </c>
      <c r="B6132" s="56" t="n">
        <v>45667.99305555555</v>
      </c>
      <c r="C6132" t="inlineStr">
        <is>
          <t>Bluestone Memorial Hospital</t>
        </is>
      </c>
      <c r="D6132" t="n">
        <v>28</v>
      </c>
    </row>
    <row r="6133">
      <c r="A6133" t="inlineStr">
        <is>
          <t>ED206268</t>
        </is>
      </c>
      <c r="B6133" s="56" t="n">
        <v>45668.03125</v>
      </c>
      <c r="C6133" t="inlineStr">
        <is>
          <t>Bluestone Memorial Hospital</t>
        </is>
      </c>
      <c r="D6133" t="n">
        <v>26</v>
      </c>
    </row>
    <row r="6134">
      <c r="A6134" t="inlineStr">
        <is>
          <t>ED206269</t>
        </is>
      </c>
      <c r="B6134" s="56" t="n">
        <v>45668.08958333333</v>
      </c>
      <c r="C6134" t="inlineStr">
        <is>
          <t>Bluestone Memorial Hospital</t>
        </is>
      </c>
      <c r="D6134" t="n">
        <v>41</v>
      </c>
    </row>
    <row r="6135">
      <c r="A6135" t="inlineStr">
        <is>
          <t>ED206270</t>
        </is>
      </c>
      <c r="B6135" s="56" t="n">
        <v>45668.09652777778</v>
      </c>
      <c r="C6135" t="inlineStr">
        <is>
          <t>Bluestone Memorial Hospital</t>
        </is>
      </c>
      <c r="D6135" t="n">
        <v>9</v>
      </c>
    </row>
    <row r="6136">
      <c r="A6136" t="inlineStr">
        <is>
          <t>ED206271</t>
        </is>
      </c>
      <c r="B6136" s="56" t="n">
        <v>45668.15486111111</v>
      </c>
      <c r="C6136" t="inlineStr">
        <is>
          <t>Bluestone Memorial Hospital</t>
        </is>
      </c>
      <c r="D6136" t="n">
        <v>3</v>
      </c>
    </row>
    <row r="6137">
      <c r="A6137" t="inlineStr">
        <is>
          <t>ED206272</t>
        </is>
      </c>
      <c r="B6137" s="56" t="n">
        <v>45668.22222222222</v>
      </c>
      <c r="C6137" t="inlineStr">
        <is>
          <t>Bluestone Memorial Hospital</t>
        </is>
      </c>
      <c r="D6137" t="n">
        <v>84</v>
      </c>
    </row>
    <row r="6138">
      <c r="A6138" t="inlineStr">
        <is>
          <t>ED206273</t>
        </is>
      </c>
      <c r="B6138" s="56" t="n">
        <v>45668.40486111111</v>
      </c>
      <c r="C6138" t="inlineStr">
        <is>
          <t>Bluestone Memorial Hospital</t>
        </is>
      </c>
      <c r="D6138" t="n">
        <v>69</v>
      </c>
    </row>
    <row r="6139">
      <c r="A6139" t="inlineStr">
        <is>
          <t>ED206274</t>
        </is>
      </c>
      <c r="B6139" s="56" t="n">
        <v>45668.42986111111</v>
      </c>
      <c r="C6139" t="inlineStr">
        <is>
          <t>Bluestone Memorial Hospital</t>
        </is>
      </c>
      <c r="D6139" t="n">
        <v>52</v>
      </c>
    </row>
    <row r="6140">
      <c r="A6140" t="inlineStr">
        <is>
          <t>ED206275</t>
        </is>
      </c>
      <c r="B6140" s="56" t="n">
        <v>45668.44652777778</v>
      </c>
      <c r="C6140" t="inlineStr">
        <is>
          <t>Bluestone Memorial Hospital</t>
        </is>
      </c>
      <c r="D6140" t="n">
        <v>49</v>
      </c>
    </row>
    <row r="6141">
      <c r="A6141" t="inlineStr">
        <is>
          <t>ED206276</t>
        </is>
      </c>
      <c r="B6141" s="56" t="n">
        <v>45668.55277777778</v>
      </c>
      <c r="C6141" t="inlineStr">
        <is>
          <t>Cedar Ridge Medical Center</t>
        </is>
      </c>
      <c r="D6141" t="n">
        <v>49</v>
      </c>
    </row>
    <row r="6142">
      <c r="A6142" t="inlineStr">
        <is>
          <t>ED206277</t>
        </is>
      </c>
      <c r="B6142" s="56" t="n">
        <v>45668.575</v>
      </c>
      <c r="C6142" t="inlineStr">
        <is>
          <t>Bluestone Memorial Hospital</t>
        </is>
      </c>
      <c r="D6142" t="n">
        <v>18</v>
      </c>
    </row>
    <row r="6143">
      <c r="A6143" t="inlineStr">
        <is>
          <t>ED206278</t>
        </is>
      </c>
      <c r="B6143" s="56" t="n">
        <v>45668.62569444445</v>
      </c>
      <c r="C6143" t="inlineStr">
        <is>
          <t>Bluestone Memorial Hospital</t>
        </is>
      </c>
      <c r="D6143" t="n">
        <v>2</v>
      </c>
    </row>
    <row r="6144">
      <c r="A6144" t="inlineStr">
        <is>
          <t>ED206279</t>
        </is>
      </c>
      <c r="B6144" s="56" t="n">
        <v>45668.62569444445</v>
      </c>
      <c r="C6144" t="inlineStr">
        <is>
          <t>Bluestone Memorial Hospital</t>
        </is>
      </c>
      <c r="D6144" t="n">
        <v>20</v>
      </c>
    </row>
    <row r="6145">
      <c r="A6145" t="inlineStr">
        <is>
          <t>ED206280</t>
        </is>
      </c>
      <c r="B6145" s="56" t="n">
        <v>45668.6375</v>
      </c>
      <c r="C6145" t="inlineStr">
        <is>
          <t>Bluestone Memorial Hospital</t>
        </is>
      </c>
      <c r="D6145" t="n">
        <v>24</v>
      </c>
    </row>
    <row r="6146">
      <c r="A6146" t="inlineStr">
        <is>
          <t>ED206281</t>
        </is>
      </c>
      <c r="B6146" s="56" t="n">
        <v>45668.65902777778</v>
      </c>
      <c r="C6146" t="inlineStr">
        <is>
          <t>Bluestone Memorial Hospital</t>
        </is>
      </c>
      <c r="D6146" t="n">
        <v>126</v>
      </c>
    </row>
    <row r="6147">
      <c r="A6147" t="inlineStr">
        <is>
          <t>ED206282</t>
        </is>
      </c>
      <c r="B6147" s="56" t="n">
        <v>45668.66597222222</v>
      </c>
      <c r="C6147" t="inlineStr">
        <is>
          <t>Bluestone Memorial Hospital</t>
        </is>
      </c>
      <c r="D6147" t="n">
        <v>19</v>
      </c>
    </row>
    <row r="6148">
      <c r="A6148" t="inlineStr">
        <is>
          <t>ED206283</t>
        </is>
      </c>
      <c r="B6148" s="56" t="n">
        <v>45668.67013888889</v>
      </c>
      <c r="C6148" t="inlineStr">
        <is>
          <t>Cedar Ridge Medical Center</t>
        </is>
      </c>
      <c r="D6148" t="n">
        <v>46</v>
      </c>
    </row>
    <row r="6149">
      <c r="A6149" t="inlineStr">
        <is>
          <t>ED206284</t>
        </is>
      </c>
      <c r="B6149" s="56" t="n">
        <v>45668.69097222222</v>
      </c>
      <c r="C6149" t="inlineStr">
        <is>
          <t>Bluestone Memorial Hospital</t>
        </is>
      </c>
      <c r="D6149" t="n">
        <v>11</v>
      </c>
    </row>
    <row r="6150">
      <c r="A6150" t="inlineStr">
        <is>
          <t>ED206285</t>
        </is>
      </c>
      <c r="B6150" s="56" t="n">
        <v>45668.69513888889</v>
      </c>
      <c r="C6150" t="inlineStr">
        <is>
          <t>Bluestone Memorial Hospital</t>
        </is>
      </c>
      <c r="D6150" t="n">
        <v>9</v>
      </c>
    </row>
    <row r="6151">
      <c r="A6151" t="inlineStr">
        <is>
          <t>ED206286</t>
        </is>
      </c>
      <c r="B6151" s="56" t="n">
        <v>45668.72986111111</v>
      </c>
      <c r="C6151" t="inlineStr">
        <is>
          <t>Bluestone Memorial Hospital</t>
        </is>
      </c>
      <c r="D6151" t="n">
        <v>71</v>
      </c>
    </row>
    <row r="6152">
      <c r="A6152" t="inlineStr">
        <is>
          <t>ED206287</t>
        </is>
      </c>
      <c r="B6152" s="56" t="n">
        <v>45668.74305555555</v>
      </c>
      <c r="C6152" t="inlineStr">
        <is>
          <t>Bluestone Memorial Hospital</t>
        </is>
      </c>
      <c r="D6152" t="n">
        <v>36</v>
      </c>
    </row>
    <row r="6153">
      <c r="A6153" t="inlineStr">
        <is>
          <t>ED206288</t>
        </is>
      </c>
      <c r="B6153" s="56" t="n">
        <v>45668.74444444444</v>
      </c>
      <c r="C6153" t="inlineStr">
        <is>
          <t>Bluestone Memorial Hospital</t>
        </is>
      </c>
      <c r="D6153" t="n">
        <v>51</v>
      </c>
    </row>
    <row r="6154">
      <c r="A6154" t="inlineStr">
        <is>
          <t>ED206289</t>
        </is>
      </c>
      <c r="B6154" s="56" t="n">
        <v>45668.82361111111</v>
      </c>
      <c r="C6154" t="inlineStr">
        <is>
          <t>Bluestone Memorial Hospital</t>
        </is>
      </c>
      <c r="D6154" t="n">
        <v>59</v>
      </c>
    </row>
    <row r="6155">
      <c r="A6155" t="inlineStr">
        <is>
          <t>ED206290</t>
        </is>
      </c>
      <c r="B6155" s="56" t="n">
        <v>45668.90763888889</v>
      </c>
      <c r="C6155" t="inlineStr">
        <is>
          <t>Ashby Falls Community Hospital</t>
        </is>
      </c>
      <c r="D6155" t="n">
        <v>75</v>
      </c>
    </row>
    <row r="6156">
      <c r="A6156" t="inlineStr">
        <is>
          <t>ED206291</t>
        </is>
      </c>
      <c r="B6156" s="56" t="n">
        <v>45668.97083333333</v>
      </c>
      <c r="C6156" t="inlineStr">
        <is>
          <t>Cedar Ridge Medical Center</t>
        </is>
      </c>
      <c r="D6156" t="n">
        <v>44</v>
      </c>
    </row>
    <row r="6157">
      <c r="A6157" t="inlineStr">
        <is>
          <t>ED206292</t>
        </is>
      </c>
      <c r="B6157" s="56" t="n">
        <v>45669.04236111111</v>
      </c>
      <c r="C6157" t="inlineStr">
        <is>
          <t>Bluestone Memorial Hospital</t>
        </is>
      </c>
      <c r="D6157" t="n">
        <v>18</v>
      </c>
    </row>
    <row r="6158">
      <c r="A6158" t="inlineStr">
        <is>
          <t>ED206293</t>
        </is>
      </c>
      <c r="B6158" s="56" t="n">
        <v>45669.19930555556</v>
      </c>
      <c r="C6158" t="inlineStr">
        <is>
          <t>Cedar Ridge Medical Center</t>
        </is>
      </c>
      <c r="D6158" t="n">
        <v>31</v>
      </c>
    </row>
    <row r="6159">
      <c r="A6159" t="inlineStr">
        <is>
          <t>ED206294</t>
        </is>
      </c>
      <c r="B6159" s="56" t="n">
        <v>45669.31111111111</v>
      </c>
      <c r="C6159" t="inlineStr">
        <is>
          <t>Bluestone Memorial Hospital</t>
        </is>
      </c>
      <c r="D6159" t="n">
        <v>19</v>
      </c>
    </row>
    <row r="6160">
      <c r="A6160" t="inlineStr">
        <is>
          <t>ED206295</t>
        </is>
      </c>
      <c r="B6160" s="56" t="n">
        <v>45669.37152777778</v>
      </c>
      <c r="C6160" t="inlineStr">
        <is>
          <t>Cedar Ridge Medical Center</t>
        </is>
      </c>
      <c r="D6160" t="n">
        <v>125</v>
      </c>
    </row>
    <row r="6161">
      <c r="A6161" t="inlineStr">
        <is>
          <t>ED206296</t>
        </is>
      </c>
      <c r="B6161" s="56" t="n">
        <v>45669.40138888889</v>
      </c>
      <c r="C6161" t="inlineStr">
        <is>
          <t>Cedar Ridge Medical Center</t>
        </is>
      </c>
      <c r="D6161" t="n">
        <v>21</v>
      </c>
    </row>
    <row r="6162">
      <c r="A6162" t="inlineStr">
        <is>
          <t>ED206297</t>
        </is>
      </c>
      <c r="B6162" s="56" t="n">
        <v>45669.41666666666</v>
      </c>
      <c r="C6162" t="inlineStr">
        <is>
          <t>Bluestone Memorial Hospital</t>
        </is>
      </c>
      <c r="D6162" t="n">
        <v>19</v>
      </c>
    </row>
    <row r="6163">
      <c r="A6163" t="inlineStr">
        <is>
          <t>ED206298</t>
        </is>
      </c>
      <c r="B6163" s="56" t="n">
        <v>45669.48958333334</v>
      </c>
      <c r="C6163" t="inlineStr">
        <is>
          <t>Bluestone Memorial Hospital</t>
        </is>
      </c>
      <c r="D6163" t="n">
        <v>32</v>
      </c>
    </row>
    <row r="6164">
      <c r="A6164" t="inlineStr">
        <is>
          <t>ED206299</t>
        </is>
      </c>
      <c r="B6164" s="56" t="n">
        <v>45669.49375</v>
      </c>
      <c r="C6164" t="inlineStr">
        <is>
          <t>Bluestone Memorial Hospital</t>
        </is>
      </c>
      <c r="D6164" t="n">
        <v>3</v>
      </c>
    </row>
    <row r="6165">
      <c r="A6165" t="inlineStr">
        <is>
          <t>ED206300</t>
        </is>
      </c>
      <c r="B6165" s="56" t="n">
        <v>45669.53472222222</v>
      </c>
      <c r="C6165" t="inlineStr">
        <is>
          <t>Bluestone Memorial Hospital</t>
        </is>
      </c>
      <c r="D6165" t="n">
        <v>22</v>
      </c>
    </row>
    <row r="6166">
      <c r="A6166" t="inlineStr">
        <is>
          <t>ED206301</t>
        </is>
      </c>
      <c r="B6166" s="56" t="n">
        <v>45669.55277777778</v>
      </c>
      <c r="C6166" t="inlineStr">
        <is>
          <t>Bluestone Memorial Hospital</t>
        </is>
      </c>
      <c r="D6166" t="n">
        <v>275</v>
      </c>
    </row>
    <row r="6167">
      <c r="A6167" t="inlineStr">
        <is>
          <t>ED206302</t>
        </is>
      </c>
      <c r="B6167" s="56" t="n">
        <v>45669.55555555555</v>
      </c>
      <c r="C6167" t="inlineStr">
        <is>
          <t>Ashby Falls Community Hospital</t>
        </is>
      </c>
      <c r="D6167" t="n">
        <v>53</v>
      </c>
    </row>
    <row r="6168">
      <c r="A6168" t="inlineStr">
        <is>
          <t>ED206303</t>
        </is>
      </c>
      <c r="B6168" s="56" t="n">
        <v>45669.61736111111</v>
      </c>
      <c r="C6168" t="inlineStr">
        <is>
          <t>Bluestone Memorial Hospital</t>
        </is>
      </c>
      <c r="D6168" t="n">
        <v>18</v>
      </c>
    </row>
    <row r="6169">
      <c r="A6169" t="inlineStr">
        <is>
          <t>ED206304</t>
        </is>
      </c>
      <c r="B6169" s="56" t="n">
        <v>45669.62222222222</v>
      </c>
      <c r="C6169" t="inlineStr">
        <is>
          <t>Bluestone Memorial Hospital</t>
        </is>
      </c>
      <c r="D6169" t="n">
        <v>75</v>
      </c>
    </row>
    <row r="6170">
      <c r="A6170" t="inlineStr">
        <is>
          <t>ED206305</t>
        </is>
      </c>
      <c r="B6170" s="56" t="n">
        <v>45669.65208333333</v>
      </c>
      <c r="C6170" t="inlineStr">
        <is>
          <t>Bluestone Memorial Hospital</t>
        </is>
      </c>
      <c r="D6170" t="n">
        <v>39</v>
      </c>
    </row>
    <row r="6171">
      <c r="A6171" t="inlineStr">
        <is>
          <t>ED206306</t>
        </is>
      </c>
      <c r="B6171" s="56" t="n">
        <v>45669.65555555555</v>
      </c>
      <c r="C6171" t="inlineStr">
        <is>
          <t>Bluestone Memorial Hospital</t>
        </is>
      </c>
      <c r="D6171" t="n">
        <v>43</v>
      </c>
    </row>
    <row r="6172">
      <c r="A6172" t="inlineStr">
        <is>
          <t>ED206307</t>
        </is>
      </c>
      <c r="B6172" s="56" t="n">
        <v>45669.66458333333</v>
      </c>
      <c r="C6172" t="inlineStr">
        <is>
          <t>Cedar Ridge Medical Center</t>
        </is>
      </c>
      <c r="D6172" t="n">
        <v>156</v>
      </c>
    </row>
    <row r="6173">
      <c r="A6173" t="inlineStr">
        <is>
          <t>ED206308</t>
        </is>
      </c>
      <c r="B6173" s="56" t="n">
        <v>45669.73402777778</v>
      </c>
      <c r="C6173" t="inlineStr">
        <is>
          <t>Bluestone Memorial Hospital</t>
        </is>
      </c>
      <c r="D6173" t="n">
        <v>59</v>
      </c>
    </row>
    <row r="6174">
      <c r="A6174" t="inlineStr">
        <is>
          <t>ED206309</t>
        </is>
      </c>
      <c r="B6174" s="56" t="n">
        <v>45669.74097222222</v>
      </c>
      <c r="C6174" t="inlineStr">
        <is>
          <t>Bluestone Memorial Hospital</t>
        </is>
      </c>
      <c r="D6174" t="n">
        <v>37</v>
      </c>
    </row>
    <row r="6175">
      <c r="A6175" t="inlineStr">
        <is>
          <t>ED206310</t>
        </is>
      </c>
      <c r="B6175" s="56" t="n">
        <v>45669.74583333333</v>
      </c>
      <c r="C6175" t="inlineStr">
        <is>
          <t>Bluestone Memorial Hospital</t>
        </is>
      </c>
      <c r="D6175" t="n">
        <v>107</v>
      </c>
    </row>
    <row r="6176">
      <c r="A6176" t="inlineStr">
        <is>
          <t>ED206311</t>
        </is>
      </c>
      <c r="B6176" s="56" t="n">
        <v>45669.7625</v>
      </c>
      <c r="C6176" t="inlineStr">
        <is>
          <t>Cedar Ridge Medical Center</t>
        </is>
      </c>
      <c r="D6176" t="n">
        <v>99</v>
      </c>
    </row>
    <row r="6177">
      <c r="A6177" t="inlineStr">
        <is>
          <t>ED206312</t>
        </is>
      </c>
      <c r="B6177" s="56" t="n">
        <v>45669.8125</v>
      </c>
      <c r="C6177" t="inlineStr">
        <is>
          <t>Bluestone Memorial Hospital</t>
        </is>
      </c>
      <c r="D6177" t="n">
        <v>3</v>
      </c>
    </row>
    <row r="6178">
      <c r="A6178" t="inlineStr">
        <is>
          <t>ED206313</t>
        </is>
      </c>
      <c r="B6178" s="56" t="n">
        <v>45669.85</v>
      </c>
      <c r="C6178" t="inlineStr">
        <is>
          <t>Bluestone Memorial Hospital</t>
        </is>
      </c>
      <c r="D6178" t="n">
        <v>192</v>
      </c>
    </row>
    <row r="6179">
      <c r="A6179" t="inlineStr">
        <is>
          <t>ED206314</t>
        </is>
      </c>
      <c r="B6179" s="56" t="n">
        <v>45669.87222222222</v>
      </c>
      <c r="C6179" t="inlineStr">
        <is>
          <t>Bluestone Memorial Hospital</t>
        </is>
      </c>
      <c r="D6179" t="n">
        <v>54</v>
      </c>
    </row>
    <row r="6180">
      <c r="A6180" t="inlineStr">
        <is>
          <t>ED206315</t>
        </is>
      </c>
      <c r="B6180" s="56" t="n">
        <v>45669.88055555556</v>
      </c>
      <c r="C6180" t="inlineStr">
        <is>
          <t>Bluestone Memorial Hospital</t>
        </is>
      </c>
      <c r="D6180" t="n">
        <v>40</v>
      </c>
    </row>
    <row r="6181">
      <c r="A6181" t="inlineStr">
        <is>
          <t>ED206316</t>
        </is>
      </c>
      <c r="B6181" s="56" t="n">
        <v>45669.9375</v>
      </c>
      <c r="C6181" t="inlineStr">
        <is>
          <t>Ashby Falls Community Hospital</t>
        </is>
      </c>
      <c r="D6181" t="n">
        <v>35</v>
      </c>
    </row>
    <row r="6182">
      <c r="A6182" t="inlineStr">
        <is>
          <t>ED206317</t>
        </is>
      </c>
      <c r="B6182" s="56" t="n">
        <v>45670.01597222222</v>
      </c>
      <c r="C6182" t="inlineStr">
        <is>
          <t>Bluestone Memorial Hospital</t>
        </is>
      </c>
      <c r="D6182" t="n">
        <v>13</v>
      </c>
    </row>
    <row r="6183">
      <c r="A6183" t="inlineStr">
        <is>
          <t>ED206318</t>
        </is>
      </c>
      <c r="B6183" s="56" t="n">
        <v>45670.02361111111</v>
      </c>
      <c r="C6183" t="inlineStr">
        <is>
          <t>Bluestone Memorial Hospital</t>
        </is>
      </c>
      <c r="D6183" t="n">
        <v>15</v>
      </c>
    </row>
    <row r="6184">
      <c r="A6184" t="inlineStr">
        <is>
          <t>ED206319</t>
        </is>
      </c>
      <c r="B6184" s="56" t="n">
        <v>45670.075</v>
      </c>
      <c r="C6184" t="inlineStr">
        <is>
          <t>Bluestone Memorial Hospital</t>
        </is>
      </c>
      <c r="D6184" t="n">
        <v>47</v>
      </c>
    </row>
    <row r="6185">
      <c r="A6185" t="inlineStr">
        <is>
          <t>ED206320</t>
        </is>
      </c>
      <c r="B6185" s="56" t="n">
        <v>45670.22430555556</v>
      </c>
      <c r="C6185" t="inlineStr">
        <is>
          <t>Bluestone Memorial Hospital</t>
        </is>
      </c>
      <c r="D6185" t="n">
        <v>20</v>
      </c>
    </row>
    <row r="6186">
      <c r="A6186" t="inlineStr">
        <is>
          <t>ED206321</t>
        </is>
      </c>
      <c r="B6186" s="56" t="n">
        <v>45670.35763888889</v>
      </c>
      <c r="C6186" t="inlineStr">
        <is>
          <t>Bluestone Memorial Hospital</t>
        </is>
      </c>
      <c r="D6186" t="n">
        <v>51</v>
      </c>
    </row>
    <row r="6187">
      <c r="A6187" t="inlineStr">
        <is>
          <t>ED206322</t>
        </is>
      </c>
      <c r="B6187" s="56" t="n">
        <v>45670.36388888889</v>
      </c>
      <c r="C6187" t="inlineStr">
        <is>
          <t>Bluestone Memorial Hospital</t>
        </is>
      </c>
      <c r="D6187" t="n">
        <v>74</v>
      </c>
    </row>
    <row r="6188">
      <c r="A6188" t="inlineStr">
        <is>
          <t>ED206323</t>
        </is>
      </c>
      <c r="B6188" s="56" t="n">
        <v>45670.36805555555</v>
      </c>
      <c r="C6188" t="inlineStr">
        <is>
          <t>Bluestone Memorial Hospital</t>
        </is>
      </c>
      <c r="D6188" t="n">
        <v>23</v>
      </c>
    </row>
    <row r="6189">
      <c r="A6189" t="inlineStr">
        <is>
          <t>ED206324</t>
        </is>
      </c>
      <c r="B6189" s="56" t="n">
        <v>45670.37638888889</v>
      </c>
      <c r="C6189" t="inlineStr">
        <is>
          <t>Bluestone Memorial Hospital</t>
        </is>
      </c>
      <c r="D6189" t="n">
        <v>106</v>
      </c>
    </row>
    <row r="6190">
      <c r="A6190" t="inlineStr">
        <is>
          <t>ED206325</t>
        </is>
      </c>
      <c r="B6190" s="56" t="n">
        <v>45670.42291666667</v>
      </c>
      <c r="C6190" t="inlineStr">
        <is>
          <t>Bluestone Memorial Hospital</t>
        </is>
      </c>
      <c r="D6190" t="n">
        <v>42</v>
      </c>
    </row>
    <row r="6191">
      <c r="A6191" t="inlineStr">
        <is>
          <t>ED206326</t>
        </is>
      </c>
      <c r="B6191" s="56" t="n">
        <v>45670.44097222222</v>
      </c>
      <c r="C6191" t="inlineStr">
        <is>
          <t>Bluestone Memorial Hospital</t>
        </is>
      </c>
      <c r="D6191" t="n">
        <v>42</v>
      </c>
    </row>
    <row r="6192">
      <c r="A6192" t="inlineStr">
        <is>
          <t>ED206327</t>
        </is>
      </c>
      <c r="B6192" s="56" t="n">
        <v>45670.46944444445</v>
      </c>
      <c r="C6192" t="inlineStr">
        <is>
          <t>Bluestone Memorial Hospital</t>
        </is>
      </c>
      <c r="D6192" t="n">
        <v>15</v>
      </c>
    </row>
    <row r="6193">
      <c r="A6193" t="inlineStr">
        <is>
          <t>ED206328</t>
        </is>
      </c>
      <c r="B6193" s="56" t="n">
        <v>45670.47638888889</v>
      </c>
      <c r="C6193" t="inlineStr">
        <is>
          <t>Bluestone Memorial Hospital</t>
        </is>
      </c>
      <c r="D6193" t="n">
        <v>95</v>
      </c>
    </row>
    <row r="6194">
      <c r="A6194" t="inlineStr">
        <is>
          <t>ED206329</t>
        </is>
      </c>
      <c r="B6194" s="56" t="n">
        <v>45670.54930555556</v>
      </c>
      <c r="C6194" t="inlineStr">
        <is>
          <t>Cedar Ridge Medical Center</t>
        </is>
      </c>
      <c r="D6194" t="n">
        <v>151</v>
      </c>
    </row>
    <row r="6195">
      <c r="A6195" t="inlineStr">
        <is>
          <t>ED206330</t>
        </is>
      </c>
      <c r="B6195" s="56" t="n">
        <v>45670.55347222222</v>
      </c>
      <c r="C6195" t="inlineStr">
        <is>
          <t>Bluestone Memorial Hospital</t>
        </is>
      </c>
      <c r="D6195" t="n">
        <v>30</v>
      </c>
    </row>
    <row r="6196">
      <c r="A6196" t="inlineStr">
        <is>
          <t>ED206331</t>
        </is>
      </c>
      <c r="B6196" s="56" t="n">
        <v>45670.58472222222</v>
      </c>
      <c r="C6196" t="inlineStr">
        <is>
          <t>Ashby Falls Community Hospital</t>
        </is>
      </c>
      <c r="D6196" t="n">
        <v>15</v>
      </c>
    </row>
    <row r="6197">
      <c r="A6197" t="inlineStr">
        <is>
          <t>ED206332</t>
        </is>
      </c>
      <c r="B6197" s="56" t="n">
        <v>45670.59444444445</v>
      </c>
      <c r="C6197" t="inlineStr">
        <is>
          <t>Cedar Ridge Medical Center</t>
        </is>
      </c>
      <c r="D6197" t="n">
        <v>107</v>
      </c>
    </row>
    <row r="6198">
      <c r="A6198" t="inlineStr">
        <is>
          <t>ED206333</t>
        </is>
      </c>
      <c r="B6198" s="56" t="n">
        <v>45670.59652777778</v>
      </c>
      <c r="C6198" t="inlineStr">
        <is>
          <t>Bluestone Memorial Hospital</t>
        </is>
      </c>
      <c r="D6198" t="n">
        <v>58</v>
      </c>
    </row>
    <row r="6199">
      <c r="A6199" t="inlineStr">
        <is>
          <t>ED206334</t>
        </is>
      </c>
      <c r="B6199" s="56" t="n">
        <v>45670.59722222222</v>
      </c>
      <c r="C6199" t="inlineStr">
        <is>
          <t>Bluestone Memorial Hospital</t>
        </is>
      </c>
      <c r="D6199" t="n">
        <v>15</v>
      </c>
    </row>
    <row r="6200">
      <c r="A6200" t="inlineStr">
        <is>
          <t>ED206336</t>
        </is>
      </c>
      <c r="B6200" s="56" t="n">
        <v>45670.73125</v>
      </c>
      <c r="C6200" t="inlineStr">
        <is>
          <t>Ashby Falls Community Hospital</t>
        </is>
      </c>
      <c r="D6200" t="n">
        <v>162</v>
      </c>
    </row>
    <row r="6201">
      <c r="A6201" t="inlineStr">
        <is>
          <t>ED206337</t>
        </is>
      </c>
      <c r="B6201" s="56" t="n">
        <v>45670.76666666667</v>
      </c>
      <c r="C6201" t="inlineStr">
        <is>
          <t>Bluestone Memorial Hospital</t>
        </is>
      </c>
      <c r="D6201" t="n">
        <v>111</v>
      </c>
    </row>
    <row r="6202">
      <c r="A6202" t="inlineStr">
        <is>
          <t>ED206338</t>
        </is>
      </c>
      <c r="B6202" s="56" t="n">
        <v>45670.77569444444</v>
      </c>
      <c r="C6202" t="inlineStr">
        <is>
          <t>Bluestone Memorial Hospital</t>
        </is>
      </c>
      <c r="D6202" t="n">
        <v>79</v>
      </c>
    </row>
    <row r="6203">
      <c r="A6203" t="inlineStr">
        <is>
          <t>ED206339</t>
        </is>
      </c>
      <c r="B6203" s="56" t="n">
        <v>45670.85208333333</v>
      </c>
      <c r="C6203" t="inlineStr">
        <is>
          <t>Bluestone Memorial Hospital</t>
        </is>
      </c>
      <c r="D6203" t="n">
        <v>3</v>
      </c>
    </row>
    <row r="6204">
      <c r="A6204" t="inlineStr">
        <is>
          <t>ED206340</t>
        </is>
      </c>
      <c r="B6204" s="56" t="n">
        <v>45670.85277777778</v>
      </c>
      <c r="C6204" t="inlineStr">
        <is>
          <t>Bluestone Memorial Hospital</t>
        </is>
      </c>
      <c r="D6204" t="n">
        <v>13</v>
      </c>
    </row>
    <row r="6205">
      <c r="A6205" t="inlineStr">
        <is>
          <t>ED206341</t>
        </is>
      </c>
      <c r="B6205" s="56" t="n">
        <v>45670.96597222222</v>
      </c>
      <c r="C6205" t="inlineStr">
        <is>
          <t>Bluestone Memorial Hospital</t>
        </is>
      </c>
      <c r="D6205" t="n">
        <v>59</v>
      </c>
    </row>
    <row r="6206">
      <c r="A6206" t="inlineStr">
        <is>
          <t>ED206342</t>
        </is>
      </c>
      <c r="B6206" s="56" t="n">
        <v>45670.98194444444</v>
      </c>
      <c r="C6206" t="inlineStr">
        <is>
          <t>Bluestone Memorial Hospital</t>
        </is>
      </c>
      <c r="D6206" t="n">
        <v>78</v>
      </c>
    </row>
    <row r="6207">
      <c r="A6207" t="inlineStr">
        <is>
          <t>ED206343</t>
        </is>
      </c>
      <c r="B6207" s="56" t="n">
        <v>45670.98333333333</v>
      </c>
      <c r="C6207" t="inlineStr">
        <is>
          <t>Bluestone Memorial Hospital</t>
        </is>
      </c>
      <c r="D6207" t="n">
        <v>2</v>
      </c>
    </row>
    <row r="6208">
      <c r="A6208" t="inlineStr">
        <is>
          <t>ED206344</t>
        </is>
      </c>
      <c r="B6208" s="56" t="n">
        <v>45671.28888888889</v>
      </c>
      <c r="C6208" t="inlineStr">
        <is>
          <t>Bluestone Memorial Hospital</t>
        </is>
      </c>
      <c r="D6208" t="n">
        <v>47</v>
      </c>
    </row>
    <row r="6209">
      <c r="A6209" t="inlineStr">
        <is>
          <t>ED206345</t>
        </is>
      </c>
      <c r="B6209" s="56" t="n">
        <v>45671.3125</v>
      </c>
      <c r="C6209" t="inlineStr">
        <is>
          <t>Ashby Falls Community Hospital</t>
        </is>
      </c>
      <c r="D6209" t="n">
        <v>18</v>
      </c>
    </row>
    <row r="6210">
      <c r="A6210" t="inlineStr">
        <is>
          <t>ED206346</t>
        </is>
      </c>
      <c r="B6210" s="56" t="n">
        <v>45671.32291666666</v>
      </c>
      <c r="C6210" t="inlineStr">
        <is>
          <t>Bluestone Memorial Hospital</t>
        </is>
      </c>
      <c r="D6210" t="n">
        <v>48</v>
      </c>
    </row>
    <row r="6211">
      <c r="A6211" t="inlineStr">
        <is>
          <t>ED206347</t>
        </is>
      </c>
      <c r="B6211" s="56" t="n">
        <v>45671.35</v>
      </c>
      <c r="C6211" t="inlineStr">
        <is>
          <t>Bluestone Memorial Hospital</t>
        </is>
      </c>
      <c r="D6211" t="n">
        <v>73</v>
      </c>
    </row>
    <row r="6212">
      <c r="A6212" t="inlineStr">
        <is>
          <t>ED206348</t>
        </is>
      </c>
      <c r="B6212" s="56" t="n">
        <v>45671.37291666667</v>
      </c>
      <c r="C6212" t="inlineStr">
        <is>
          <t>Bluestone Memorial Hospital</t>
        </is>
      </c>
      <c r="D6212" t="n">
        <v>15</v>
      </c>
    </row>
    <row r="6213">
      <c r="A6213" t="inlineStr">
        <is>
          <t>ED206349</t>
        </is>
      </c>
      <c r="B6213" s="56" t="n">
        <v>45671.44930555556</v>
      </c>
      <c r="C6213" t="inlineStr">
        <is>
          <t>Bluestone Memorial Hospital</t>
        </is>
      </c>
      <c r="D6213" t="n">
        <v>27</v>
      </c>
    </row>
    <row r="6214">
      <c r="A6214" t="inlineStr">
        <is>
          <t>ED206350</t>
        </is>
      </c>
      <c r="B6214" s="56" t="n">
        <v>45671.59930555556</v>
      </c>
      <c r="C6214" t="inlineStr">
        <is>
          <t>Bluestone Memorial Hospital</t>
        </is>
      </c>
      <c r="D6214" t="n">
        <v>38</v>
      </c>
    </row>
    <row r="6215">
      <c r="A6215" t="inlineStr">
        <is>
          <t>ED206351</t>
        </is>
      </c>
      <c r="B6215" s="56" t="n">
        <v>45671.62569444445</v>
      </c>
      <c r="C6215" t="inlineStr">
        <is>
          <t>Bluestone Memorial Hospital</t>
        </is>
      </c>
      <c r="D6215" t="n">
        <v>64</v>
      </c>
    </row>
    <row r="6216">
      <c r="A6216" t="inlineStr">
        <is>
          <t>ED206353</t>
        </is>
      </c>
      <c r="B6216" s="56" t="n">
        <v>45671.64652777778</v>
      </c>
      <c r="C6216" t="inlineStr">
        <is>
          <t>Cedar Ridge Medical Center</t>
        </is>
      </c>
      <c r="D6216" t="n">
        <v>12</v>
      </c>
    </row>
    <row r="6217">
      <c r="A6217" t="inlineStr">
        <is>
          <t>ED206354</t>
        </is>
      </c>
      <c r="B6217" s="56" t="n">
        <v>45671.66944444444</v>
      </c>
      <c r="C6217" t="inlineStr">
        <is>
          <t>Bluestone Memorial Hospital</t>
        </is>
      </c>
      <c r="D6217" t="n">
        <v>88</v>
      </c>
    </row>
    <row r="6218">
      <c r="A6218" t="inlineStr">
        <is>
          <t>ED206355</t>
        </is>
      </c>
      <c r="B6218" s="56" t="n">
        <v>45671.71180555555</v>
      </c>
      <c r="C6218" t="inlineStr">
        <is>
          <t>Bluestone Memorial Hospital</t>
        </is>
      </c>
      <c r="D6218" t="n">
        <v>51</v>
      </c>
    </row>
    <row r="6219">
      <c r="A6219" t="inlineStr">
        <is>
          <t>ED206356</t>
        </is>
      </c>
      <c r="B6219" s="56" t="n">
        <v>45671.74027777778</v>
      </c>
      <c r="C6219" t="inlineStr">
        <is>
          <t>Bluestone Memorial Hospital</t>
        </is>
      </c>
      <c r="D6219" t="n">
        <v>21</v>
      </c>
    </row>
    <row r="6220">
      <c r="A6220" t="inlineStr">
        <is>
          <t>ED206357</t>
        </is>
      </c>
      <c r="B6220" s="56" t="n">
        <v>45671.76111111111</v>
      </c>
      <c r="C6220" t="inlineStr">
        <is>
          <t>Bluestone Memorial Hospital</t>
        </is>
      </c>
      <c r="D6220" t="n">
        <v>69</v>
      </c>
    </row>
    <row r="6221">
      <c r="A6221" t="inlineStr">
        <is>
          <t>ED206358</t>
        </is>
      </c>
      <c r="B6221" s="56" t="n">
        <v>45671.76388888889</v>
      </c>
      <c r="C6221" t="inlineStr">
        <is>
          <t>Ashby Falls Community Hospital</t>
        </is>
      </c>
      <c r="D6221" t="n">
        <v>40</v>
      </c>
    </row>
    <row r="6222">
      <c r="A6222" t="inlineStr">
        <is>
          <t>ED206359</t>
        </is>
      </c>
      <c r="B6222" s="56" t="n">
        <v>45671.80694444444</v>
      </c>
      <c r="C6222" t="inlineStr">
        <is>
          <t>Bluestone Memorial Hospital</t>
        </is>
      </c>
      <c r="D6222" t="n">
        <v>10</v>
      </c>
    </row>
    <row r="6223">
      <c r="A6223" t="inlineStr">
        <is>
          <t>ED206360</t>
        </is>
      </c>
      <c r="B6223" s="56" t="n">
        <v>45671.97777777778</v>
      </c>
      <c r="C6223" t="inlineStr">
        <is>
          <t>Bluestone Memorial Hospital</t>
        </is>
      </c>
      <c r="D6223" t="n">
        <v>18</v>
      </c>
    </row>
    <row r="6224">
      <c r="A6224" t="inlineStr">
        <is>
          <t>ED206361</t>
        </is>
      </c>
      <c r="B6224" s="56" t="n">
        <v>45672.25763888889</v>
      </c>
      <c r="C6224" t="inlineStr">
        <is>
          <t>Bluestone Memorial Hospital</t>
        </is>
      </c>
      <c r="D6224" t="n">
        <v>26</v>
      </c>
    </row>
    <row r="6225">
      <c r="A6225" t="inlineStr">
        <is>
          <t>ED206362</t>
        </is>
      </c>
      <c r="B6225" s="56" t="n">
        <v>45672.33541666667</v>
      </c>
      <c r="C6225" t="inlineStr">
        <is>
          <t>Ashby Falls Community Hospital</t>
        </is>
      </c>
      <c r="D6225" t="n">
        <v>2</v>
      </c>
    </row>
    <row r="6226">
      <c r="A6226" t="inlineStr">
        <is>
          <t>ED206363</t>
        </is>
      </c>
      <c r="B6226" s="56" t="n">
        <v>45672.35069444445</v>
      </c>
      <c r="C6226" t="inlineStr">
        <is>
          <t>Bluestone Memorial Hospital</t>
        </is>
      </c>
      <c r="D6226" t="n">
        <v>33</v>
      </c>
    </row>
    <row r="6227">
      <c r="A6227" t="inlineStr">
        <is>
          <t>ED206365</t>
        </is>
      </c>
      <c r="B6227" s="56" t="n">
        <v>45672.54583333333</v>
      </c>
      <c r="C6227" t="inlineStr">
        <is>
          <t>Bluestone Memorial Hospital</t>
        </is>
      </c>
      <c r="D6227" t="n">
        <v>87</v>
      </c>
    </row>
    <row r="6228">
      <c r="A6228" t="inlineStr">
        <is>
          <t>ED206367</t>
        </is>
      </c>
      <c r="B6228" s="56" t="n">
        <v>45672.58402777778</v>
      </c>
      <c r="C6228" t="inlineStr">
        <is>
          <t>Bluestone Memorial Hospital</t>
        </is>
      </c>
      <c r="D6228" t="n">
        <v>56</v>
      </c>
    </row>
    <row r="6229">
      <c r="A6229" t="inlineStr">
        <is>
          <t>ED206368</t>
        </is>
      </c>
      <c r="B6229" s="56" t="n">
        <v>45672.63819444444</v>
      </c>
      <c r="C6229" t="inlineStr">
        <is>
          <t>Bluestone Memorial Hospital</t>
        </is>
      </c>
      <c r="D6229" t="n">
        <v>26</v>
      </c>
    </row>
    <row r="6230">
      <c r="A6230" t="inlineStr">
        <is>
          <t>ED206369</t>
        </is>
      </c>
      <c r="B6230" s="56" t="n">
        <v>45672.65347222222</v>
      </c>
      <c r="C6230" t="inlineStr">
        <is>
          <t>Cedar Ridge Medical Center</t>
        </is>
      </c>
      <c r="D6230" t="n">
        <v>63</v>
      </c>
    </row>
    <row r="6231">
      <c r="A6231" t="inlineStr">
        <is>
          <t>ED206370</t>
        </is>
      </c>
      <c r="B6231" s="56" t="n">
        <v>45672.67291666667</v>
      </c>
      <c r="C6231" t="inlineStr">
        <is>
          <t>Bluestone Memorial Hospital</t>
        </is>
      </c>
      <c r="D6231" t="n">
        <v>43</v>
      </c>
    </row>
    <row r="6232">
      <c r="A6232" t="inlineStr">
        <is>
          <t>ED206371</t>
        </is>
      </c>
      <c r="B6232" s="56" t="n">
        <v>45672.7</v>
      </c>
      <c r="C6232" t="inlineStr">
        <is>
          <t>Cedar Ridge Medical Center</t>
        </is>
      </c>
      <c r="D6232" t="n">
        <v>55</v>
      </c>
    </row>
    <row r="6233">
      <c r="A6233" t="inlineStr">
        <is>
          <t>ED206372</t>
        </is>
      </c>
      <c r="B6233" s="56" t="n">
        <v>45672.78333333333</v>
      </c>
      <c r="C6233" t="inlineStr">
        <is>
          <t>Bluestone Memorial Hospital</t>
        </is>
      </c>
      <c r="D6233" t="n">
        <v>121</v>
      </c>
    </row>
    <row r="6234">
      <c r="A6234" t="inlineStr">
        <is>
          <t>ED206373</t>
        </is>
      </c>
      <c r="B6234" s="56" t="n">
        <v>45672.80069444444</v>
      </c>
      <c r="C6234" t="inlineStr">
        <is>
          <t>Cedar Ridge Medical Center</t>
        </is>
      </c>
      <c r="D6234" t="n">
        <v>39</v>
      </c>
    </row>
    <row r="6235">
      <c r="A6235" t="inlineStr">
        <is>
          <t>ED206374</t>
        </is>
      </c>
      <c r="B6235" s="56" t="n">
        <v>45672.81527777778</v>
      </c>
      <c r="C6235" t="inlineStr">
        <is>
          <t>Bluestone Memorial Hospital</t>
        </is>
      </c>
      <c r="D6235" t="n">
        <v>45</v>
      </c>
    </row>
    <row r="6236">
      <c r="A6236" t="inlineStr">
        <is>
          <t>ED206375</t>
        </is>
      </c>
      <c r="B6236" s="56" t="n">
        <v>45672.84583333333</v>
      </c>
      <c r="C6236" t="inlineStr">
        <is>
          <t>Cedar Ridge Medical Center</t>
        </is>
      </c>
      <c r="D6236" t="n">
        <v>24</v>
      </c>
    </row>
    <row r="6237">
      <c r="A6237" t="inlineStr">
        <is>
          <t>ED206376</t>
        </is>
      </c>
      <c r="B6237" s="56" t="n">
        <v>45672.91458333333</v>
      </c>
      <c r="C6237" t="inlineStr">
        <is>
          <t>Bluestone Memorial Hospital</t>
        </is>
      </c>
      <c r="D6237" t="n">
        <v>12</v>
      </c>
    </row>
    <row r="6238">
      <c r="A6238" t="inlineStr">
        <is>
          <t>ED206377</t>
        </is>
      </c>
      <c r="B6238" s="56" t="n">
        <v>45672.93263888889</v>
      </c>
      <c r="C6238" t="inlineStr">
        <is>
          <t>Bluestone Memorial Hospital</t>
        </is>
      </c>
      <c r="D6238" t="n">
        <v>77</v>
      </c>
    </row>
    <row r="6239">
      <c r="A6239" t="inlineStr">
        <is>
          <t>ED206378</t>
        </is>
      </c>
      <c r="B6239" s="56" t="n">
        <v>45672.95902777778</v>
      </c>
      <c r="C6239" t="inlineStr">
        <is>
          <t>Bluestone Memorial Hospital</t>
        </is>
      </c>
      <c r="D6239" t="n">
        <v>42</v>
      </c>
    </row>
    <row r="6240">
      <c r="A6240" t="inlineStr">
        <is>
          <t>ED206379</t>
        </is>
      </c>
      <c r="B6240" s="56" t="n">
        <v>45673.00277777778</v>
      </c>
      <c r="C6240" t="inlineStr">
        <is>
          <t>Cedar Ridge Medical Center</t>
        </is>
      </c>
      <c r="D6240" t="n">
        <v>40</v>
      </c>
    </row>
    <row r="6241">
      <c r="A6241" t="inlineStr">
        <is>
          <t>ED206380</t>
        </is>
      </c>
      <c r="B6241" s="56" t="n">
        <v>45673.21875</v>
      </c>
      <c r="C6241" t="inlineStr">
        <is>
          <t>Cedar Ridge Medical Center</t>
        </is>
      </c>
      <c r="D6241" t="n">
        <v>3</v>
      </c>
    </row>
    <row r="6242">
      <c r="A6242" t="inlineStr">
        <is>
          <t>ED206381</t>
        </is>
      </c>
      <c r="B6242" s="56" t="n">
        <v>45673.22013888889</v>
      </c>
      <c r="C6242" t="inlineStr">
        <is>
          <t>Bluestone Memorial Hospital</t>
        </is>
      </c>
      <c r="D6242" t="n">
        <v>27</v>
      </c>
    </row>
    <row r="6243">
      <c r="A6243" t="inlineStr">
        <is>
          <t>ED206382</t>
        </is>
      </c>
      <c r="B6243" s="56" t="n">
        <v>45673.34652777778</v>
      </c>
      <c r="C6243" t="inlineStr">
        <is>
          <t>Bluestone Memorial Hospital</t>
        </is>
      </c>
      <c r="D6243" t="n">
        <v>93</v>
      </c>
    </row>
    <row r="6244">
      <c r="A6244" t="inlineStr">
        <is>
          <t>ED206383</t>
        </is>
      </c>
      <c r="B6244" s="56" t="n">
        <v>45673.35902777778</v>
      </c>
      <c r="C6244" t="inlineStr">
        <is>
          <t>Bluestone Memorial Hospital</t>
        </is>
      </c>
      <c r="D6244" t="n">
        <v>47</v>
      </c>
    </row>
    <row r="6245">
      <c r="A6245" t="inlineStr">
        <is>
          <t>ED206384</t>
        </is>
      </c>
      <c r="B6245" s="56" t="n">
        <v>45673.36597222222</v>
      </c>
      <c r="C6245" t="inlineStr">
        <is>
          <t>Bluestone Memorial Hospital</t>
        </is>
      </c>
      <c r="D6245" t="n">
        <v>10</v>
      </c>
    </row>
    <row r="6246">
      <c r="A6246" t="inlineStr">
        <is>
          <t>ED206385</t>
        </is>
      </c>
      <c r="B6246" s="56" t="n">
        <v>45673.42986111111</v>
      </c>
      <c r="C6246" t="inlineStr">
        <is>
          <t>Bluestone Memorial Hospital</t>
        </is>
      </c>
      <c r="D6246" t="n">
        <v>27</v>
      </c>
    </row>
    <row r="6247">
      <c r="A6247" t="inlineStr">
        <is>
          <t>ED206386</t>
        </is>
      </c>
      <c r="B6247" s="56" t="n">
        <v>45673.52013888889</v>
      </c>
      <c r="C6247" t="inlineStr">
        <is>
          <t>Bluestone Memorial Hospital</t>
        </is>
      </c>
      <c r="D6247" t="n">
        <v>22</v>
      </c>
    </row>
    <row r="6248">
      <c r="A6248" t="inlineStr">
        <is>
          <t>ED206387</t>
        </is>
      </c>
      <c r="B6248" s="56" t="n">
        <v>45673.53541666667</v>
      </c>
      <c r="C6248" t="inlineStr">
        <is>
          <t>Bluestone Memorial Hospital</t>
        </is>
      </c>
      <c r="D6248" t="n">
        <v>106</v>
      </c>
    </row>
    <row r="6249">
      <c r="A6249" t="inlineStr">
        <is>
          <t>ED206388</t>
        </is>
      </c>
      <c r="B6249" s="56" t="n">
        <v>45673.56944444445</v>
      </c>
      <c r="C6249" t="inlineStr">
        <is>
          <t>Bluestone Memorial Hospital</t>
        </is>
      </c>
      <c r="D6249" t="n">
        <v>52</v>
      </c>
    </row>
    <row r="6250">
      <c r="A6250" t="inlineStr">
        <is>
          <t>ED206389</t>
        </is>
      </c>
      <c r="B6250" s="56" t="n">
        <v>45673.59722222222</v>
      </c>
      <c r="C6250" t="inlineStr">
        <is>
          <t>Bluestone Memorial Hospital</t>
        </is>
      </c>
      <c r="D6250" t="n">
        <v>54</v>
      </c>
    </row>
    <row r="6251">
      <c r="A6251" t="inlineStr">
        <is>
          <t>ED206390</t>
        </is>
      </c>
      <c r="B6251" s="56" t="n">
        <v>45673.65486111111</v>
      </c>
      <c r="C6251" t="inlineStr">
        <is>
          <t>Bluestone Memorial Hospital</t>
        </is>
      </c>
      <c r="D6251" t="n">
        <v>32</v>
      </c>
    </row>
    <row r="6252">
      <c r="A6252" t="inlineStr">
        <is>
          <t>ED206391</t>
        </is>
      </c>
      <c r="B6252" s="56" t="n">
        <v>45673.72777777778</v>
      </c>
      <c r="C6252" t="inlineStr">
        <is>
          <t>Bluestone Memorial Hospital</t>
        </is>
      </c>
      <c r="D6252" t="n">
        <v>12</v>
      </c>
    </row>
    <row r="6253">
      <c r="A6253" t="inlineStr">
        <is>
          <t>ED206392</t>
        </is>
      </c>
      <c r="B6253" s="56" t="n">
        <v>45673.73611111111</v>
      </c>
      <c r="C6253" t="inlineStr">
        <is>
          <t>Bluestone Memorial Hospital</t>
        </is>
      </c>
      <c r="D6253" t="n">
        <v>43</v>
      </c>
    </row>
    <row r="6254">
      <c r="A6254" t="inlineStr">
        <is>
          <t>ED206393</t>
        </is>
      </c>
      <c r="B6254" s="56" t="n">
        <v>45673.81111111111</v>
      </c>
      <c r="C6254" t="inlineStr">
        <is>
          <t>Bluestone Memorial Hospital</t>
        </is>
      </c>
      <c r="D6254" t="n">
        <v>7</v>
      </c>
    </row>
    <row r="6255">
      <c r="A6255" t="inlineStr">
        <is>
          <t>ED206394</t>
        </is>
      </c>
      <c r="B6255" s="56" t="n">
        <v>45673.83472222222</v>
      </c>
      <c r="C6255" t="inlineStr">
        <is>
          <t>Bluestone Memorial Hospital</t>
        </is>
      </c>
      <c r="D6255" t="n">
        <v>50</v>
      </c>
    </row>
    <row r="6256">
      <c r="A6256" t="inlineStr">
        <is>
          <t>ED206395</t>
        </is>
      </c>
      <c r="B6256" s="56" t="n">
        <v>45673.89236111111</v>
      </c>
      <c r="C6256" t="inlineStr">
        <is>
          <t>Bluestone Memorial Hospital</t>
        </is>
      </c>
      <c r="D6256" t="n">
        <v>43</v>
      </c>
    </row>
    <row r="6257">
      <c r="A6257" t="inlineStr">
        <is>
          <t>ED206396</t>
        </is>
      </c>
      <c r="B6257" s="56" t="n">
        <v>45673.93958333333</v>
      </c>
      <c r="C6257" t="inlineStr">
        <is>
          <t>Cedar Ridge Medical Center</t>
        </is>
      </c>
      <c r="D6257" t="n">
        <v>66</v>
      </c>
    </row>
    <row r="6258">
      <c r="A6258" t="inlineStr">
        <is>
          <t>ED206397</t>
        </is>
      </c>
      <c r="B6258" s="56" t="n">
        <v>45674.19305555556</v>
      </c>
      <c r="C6258" t="inlineStr">
        <is>
          <t>Bluestone Memorial Hospital</t>
        </is>
      </c>
      <c r="D6258" t="n">
        <v>11</v>
      </c>
    </row>
    <row r="6259">
      <c r="A6259" t="inlineStr">
        <is>
          <t>ED206398</t>
        </is>
      </c>
      <c r="B6259" s="56" t="n">
        <v>45674.28263888889</v>
      </c>
      <c r="C6259" t="inlineStr">
        <is>
          <t>Bluestone Memorial Hospital</t>
        </is>
      </c>
      <c r="D6259" t="n">
        <v>75</v>
      </c>
    </row>
    <row r="6260">
      <c r="A6260" t="inlineStr">
        <is>
          <t>ED206399</t>
        </is>
      </c>
      <c r="B6260" s="56" t="n">
        <v>45674.32222222222</v>
      </c>
      <c r="C6260" t="inlineStr">
        <is>
          <t>Bluestone Memorial Hospital</t>
        </is>
      </c>
      <c r="D6260" t="n">
        <v>14</v>
      </c>
    </row>
    <row r="6261">
      <c r="A6261" t="inlineStr">
        <is>
          <t>ED206400</t>
        </is>
      </c>
      <c r="B6261" s="56" t="n">
        <v>45674.36875</v>
      </c>
      <c r="C6261" t="inlineStr">
        <is>
          <t>Bluestone Memorial Hospital</t>
        </is>
      </c>
      <c r="D6261" t="n">
        <v>11</v>
      </c>
    </row>
    <row r="6262">
      <c r="A6262" t="inlineStr">
        <is>
          <t>ED206401</t>
        </is>
      </c>
      <c r="B6262" s="56" t="n">
        <v>45674.37777777778</v>
      </c>
      <c r="C6262" t="inlineStr">
        <is>
          <t>Cedar Ridge Medical Center</t>
        </is>
      </c>
      <c r="D6262" t="n">
        <v>17</v>
      </c>
    </row>
    <row r="6263">
      <c r="A6263" t="inlineStr">
        <is>
          <t>ED206402</t>
        </is>
      </c>
      <c r="B6263" s="56" t="n">
        <v>45674.38402777778</v>
      </c>
      <c r="C6263" t="inlineStr">
        <is>
          <t>Bluestone Memorial Hospital</t>
        </is>
      </c>
      <c r="D6263" t="n">
        <v>25</v>
      </c>
    </row>
    <row r="6264">
      <c r="A6264" t="inlineStr">
        <is>
          <t>ED206403</t>
        </is>
      </c>
      <c r="B6264" s="56" t="n">
        <v>45674.45</v>
      </c>
      <c r="C6264" t="inlineStr">
        <is>
          <t>Bluestone Memorial Hospital</t>
        </is>
      </c>
      <c r="D6264" t="n">
        <v>103</v>
      </c>
    </row>
    <row r="6265">
      <c r="A6265" t="inlineStr">
        <is>
          <t>ED206404</t>
        </is>
      </c>
      <c r="B6265" s="56" t="n">
        <v>45674.45972222222</v>
      </c>
      <c r="C6265" t="inlineStr">
        <is>
          <t>Bluestone Memorial Hospital</t>
        </is>
      </c>
      <c r="D6265" t="n">
        <v>65</v>
      </c>
    </row>
    <row r="6266">
      <c r="A6266" t="inlineStr">
        <is>
          <t>ED206405</t>
        </is>
      </c>
      <c r="B6266" s="56" t="n">
        <v>45674.48402777778</v>
      </c>
      <c r="C6266" t="inlineStr">
        <is>
          <t>Bluestone Memorial Hospital</t>
        </is>
      </c>
      <c r="D6266" t="n">
        <v>20</v>
      </c>
    </row>
    <row r="6267">
      <c r="A6267" t="inlineStr">
        <is>
          <t>ED206406</t>
        </is>
      </c>
      <c r="B6267" s="56" t="n">
        <v>45674.50069444445</v>
      </c>
      <c r="C6267" t="inlineStr">
        <is>
          <t>Bluestone Memorial Hospital</t>
        </is>
      </c>
      <c r="D6267" t="n">
        <v>18</v>
      </c>
    </row>
    <row r="6268">
      <c r="A6268" t="inlineStr">
        <is>
          <t>ED206407</t>
        </is>
      </c>
      <c r="B6268" s="56" t="n">
        <v>45674.52083333334</v>
      </c>
      <c r="C6268" t="inlineStr">
        <is>
          <t>Bluestone Memorial Hospital</t>
        </is>
      </c>
      <c r="D6268" t="n">
        <v>46</v>
      </c>
    </row>
    <row r="6269">
      <c r="A6269" t="inlineStr">
        <is>
          <t>ED206408</t>
        </is>
      </c>
      <c r="B6269" s="56" t="n">
        <v>45674.54097222222</v>
      </c>
      <c r="C6269" t="inlineStr">
        <is>
          <t>Bluestone Memorial Hospital</t>
        </is>
      </c>
      <c r="D6269" t="n">
        <v>99</v>
      </c>
    </row>
    <row r="6270">
      <c r="A6270" t="inlineStr">
        <is>
          <t>ED206409</t>
        </is>
      </c>
      <c r="B6270" s="56" t="n">
        <v>45674.61736111111</v>
      </c>
      <c r="C6270" t="inlineStr">
        <is>
          <t>Bluestone Memorial Hospital</t>
        </is>
      </c>
      <c r="D6270" t="n">
        <v>27</v>
      </c>
    </row>
    <row r="6271">
      <c r="A6271" t="inlineStr">
        <is>
          <t>ED206410</t>
        </is>
      </c>
      <c r="B6271" s="56" t="n">
        <v>45674.64861111111</v>
      </c>
      <c r="C6271" t="inlineStr">
        <is>
          <t>Ashby Falls Community Hospital</t>
        </is>
      </c>
      <c r="D6271" t="n">
        <v>54</v>
      </c>
    </row>
    <row r="6272">
      <c r="A6272" t="inlineStr">
        <is>
          <t>ED206411</t>
        </is>
      </c>
      <c r="B6272" s="56" t="n">
        <v>45674.675</v>
      </c>
      <c r="C6272" t="inlineStr">
        <is>
          <t>Bluestone Memorial Hospital</t>
        </is>
      </c>
      <c r="D6272" t="n">
        <v>127</v>
      </c>
    </row>
    <row r="6273">
      <c r="A6273" t="inlineStr">
        <is>
          <t>ED206412</t>
        </is>
      </c>
      <c r="B6273" s="56" t="n">
        <v>45674.72222222222</v>
      </c>
      <c r="C6273" t="inlineStr">
        <is>
          <t>Cedar Ridge Medical Center</t>
        </is>
      </c>
      <c r="D6273" t="n">
        <v>62</v>
      </c>
    </row>
    <row r="6274">
      <c r="A6274" t="inlineStr">
        <is>
          <t>ED206413</t>
        </is>
      </c>
      <c r="B6274" s="56" t="n">
        <v>45674.80555555555</v>
      </c>
      <c r="C6274" t="inlineStr">
        <is>
          <t>Bluestone Memorial Hospital</t>
        </is>
      </c>
      <c r="D6274" t="n">
        <v>52</v>
      </c>
    </row>
    <row r="6275">
      <c r="A6275" t="inlineStr">
        <is>
          <t>ED206414</t>
        </is>
      </c>
      <c r="B6275" s="56" t="n">
        <v>45674.82638888889</v>
      </c>
      <c r="C6275" t="inlineStr">
        <is>
          <t>Bluestone Memorial Hospital</t>
        </is>
      </c>
      <c r="D6275" t="n">
        <v>30</v>
      </c>
    </row>
    <row r="6276">
      <c r="A6276" t="inlineStr">
        <is>
          <t>ED206415</t>
        </is>
      </c>
      <c r="B6276" s="56" t="n">
        <v>45674.83263888889</v>
      </c>
      <c r="C6276" t="inlineStr">
        <is>
          <t>Ashby Falls Community Hospital</t>
        </is>
      </c>
      <c r="D6276" t="n">
        <v>38</v>
      </c>
    </row>
    <row r="6277">
      <c r="A6277" t="inlineStr">
        <is>
          <t>ED206416</t>
        </is>
      </c>
      <c r="B6277" s="56" t="n">
        <v>45674.86944444444</v>
      </c>
      <c r="C6277" t="inlineStr">
        <is>
          <t>Bluestone Memorial Hospital</t>
        </is>
      </c>
      <c r="D6277" t="n">
        <v>51</v>
      </c>
    </row>
    <row r="6278">
      <c r="A6278" t="inlineStr">
        <is>
          <t>ED206417</t>
        </is>
      </c>
      <c r="B6278" s="56" t="n">
        <v>45674.87083333333</v>
      </c>
      <c r="C6278" t="inlineStr">
        <is>
          <t>Bluestone Memorial Hospital</t>
        </is>
      </c>
      <c r="D6278" t="n">
        <v>59</v>
      </c>
    </row>
    <row r="6279">
      <c r="A6279" t="inlineStr">
        <is>
          <t>ED206418</t>
        </is>
      </c>
      <c r="B6279" s="56" t="n">
        <v>45674.90486111111</v>
      </c>
      <c r="C6279" t="inlineStr">
        <is>
          <t>Bluestone Memorial Hospital</t>
        </is>
      </c>
      <c r="D6279" t="n">
        <v>87</v>
      </c>
    </row>
    <row r="6280">
      <c r="A6280" t="inlineStr">
        <is>
          <t>ED206419</t>
        </is>
      </c>
      <c r="B6280" s="56" t="n">
        <v>45674.93472222222</v>
      </c>
      <c r="C6280" t="inlineStr">
        <is>
          <t>Bluestone Memorial Hospital</t>
        </is>
      </c>
      <c r="D6280" t="n">
        <v>53</v>
      </c>
    </row>
    <row r="6281">
      <c r="A6281" t="inlineStr">
        <is>
          <t>ED206420</t>
        </is>
      </c>
      <c r="B6281" s="56" t="n">
        <v>45674.99583333333</v>
      </c>
      <c r="C6281" t="inlineStr">
        <is>
          <t>Bluestone Memorial Hospital</t>
        </is>
      </c>
      <c r="D6281" t="n">
        <v>11</v>
      </c>
    </row>
    <row r="6282">
      <c r="A6282" t="inlineStr">
        <is>
          <t>ED206421</t>
        </is>
      </c>
      <c r="B6282" s="56" t="n">
        <v>45675.13611111111</v>
      </c>
      <c r="C6282" t="inlineStr">
        <is>
          <t>Bluestone Memorial Hospital</t>
        </is>
      </c>
      <c r="D6282" t="n">
        <v>10</v>
      </c>
    </row>
    <row r="6283">
      <c r="A6283" t="inlineStr">
        <is>
          <t>ED206422</t>
        </is>
      </c>
      <c r="B6283" s="56" t="n">
        <v>45675.37152777778</v>
      </c>
      <c r="C6283" t="inlineStr">
        <is>
          <t>Bluestone Memorial Hospital</t>
        </is>
      </c>
      <c r="D6283" t="n">
        <v>28</v>
      </c>
    </row>
    <row r="6284">
      <c r="A6284" t="inlineStr">
        <is>
          <t>ED206423</t>
        </is>
      </c>
      <c r="B6284" s="56" t="n">
        <v>45675.37916666667</v>
      </c>
      <c r="C6284" t="inlineStr">
        <is>
          <t>Bluestone Memorial Hospital</t>
        </is>
      </c>
      <c r="D6284" t="n">
        <v>37</v>
      </c>
    </row>
    <row r="6285">
      <c r="A6285" t="inlineStr">
        <is>
          <t>ED206424</t>
        </is>
      </c>
      <c r="B6285" s="56" t="n">
        <v>45675.42291666667</v>
      </c>
      <c r="C6285" t="inlineStr">
        <is>
          <t>Bluestone Memorial Hospital</t>
        </is>
      </c>
      <c r="D6285" t="n">
        <v>28</v>
      </c>
    </row>
    <row r="6286">
      <c r="A6286" t="inlineStr">
        <is>
          <t>ED206425</t>
        </is>
      </c>
      <c r="B6286" s="56" t="n">
        <v>45675.43402777778</v>
      </c>
      <c r="C6286" t="inlineStr">
        <is>
          <t>Ashby Falls Community Hospital</t>
        </is>
      </c>
      <c r="D6286" t="n">
        <v>148</v>
      </c>
    </row>
    <row r="6287">
      <c r="A6287" t="inlineStr">
        <is>
          <t>ED206426</t>
        </is>
      </c>
      <c r="B6287" s="56" t="n">
        <v>45675.46597222222</v>
      </c>
      <c r="C6287" t="inlineStr">
        <is>
          <t>Cedar Ridge Medical Center</t>
        </is>
      </c>
      <c r="D6287" t="n">
        <v>10</v>
      </c>
    </row>
    <row r="6288">
      <c r="A6288" t="inlineStr">
        <is>
          <t>ED206427</t>
        </is>
      </c>
      <c r="B6288" s="56" t="n">
        <v>45675.50208333333</v>
      </c>
      <c r="C6288" t="inlineStr">
        <is>
          <t>Bluestone Memorial Hospital</t>
        </is>
      </c>
      <c r="D6288" t="n">
        <v>31</v>
      </c>
    </row>
    <row r="6289">
      <c r="A6289" t="inlineStr">
        <is>
          <t>ED206428</t>
        </is>
      </c>
      <c r="B6289" s="56" t="n">
        <v>45675.50763888889</v>
      </c>
      <c r="C6289" t="inlineStr">
        <is>
          <t>Bluestone Memorial Hospital</t>
        </is>
      </c>
      <c r="D6289" t="n">
        <v>98</v>
      </c>
    </row>
    <row r="6290">
      <c r="A6290" t="inlineStr">
        <is>
          <t>ED206429</t>
        </is>
      </c>
      <c r="B6290" s="56" t="n">
        <v>45675.63888888889</v>
      </c>
      <c r="C6290" t="inlineStr">
        <is>
          <t>Bluestone Memorial Hospital</t>
        </is>
      </c>
      <c r="D6290" t="n">
        <v>34</v>
      </c>
    </row>
    <row r="6291">
      <c r="A6291" t="inlineStr">
        <is>
          <t>ED206431</t>
        </is>
      </c>
      <c r="B6291" s="56" t="n">
        <v>45675.71805555555</v>
      </c>
      <c r="C6291" t="inlineStr">
        <is>
          <t>Bluestone Memorial Hospital</t>
        </is>
      </c>
      <c r="D6291" t="n">
        <v>14</v>
      </c>
    </row>
    <row r="6292">
      <c r="A6292" t="inlineStr">
        <is>
          <t>ED206432</t>
        </is>
      </c>
      <c r="B6292" s="56" t="n">
        <v>45675.86388888889</v>
      </c>
      <c r="C6292" t="inlineStr">
        <is>
          <t>Bluestone Memorial Hospital</t>
        </is>
      </c>
      <c r="D6292" t="n">
        <v>68</v>
      </c>
    </row>
    <row r="6293">
      <c r="A6293" t="inlineStr">
        <is>
          <t>ED206433</t>
        </is>
      </c>
      <c r="B6293" s="56" t="n">
        <v>45676.38611111111</v>
      </c>
      <c r="C6293" t="inlineStr">
        <is>
          <t>Cedar Ridge Medical Center</t>
        </is>
      </c>
      <c r="D6293" t="n">
        <v>34</v>
      </c>
    </row>
    <row r="6294">
      <c r="A6294" t="inlineStr">
        <is>
          <t>ED206434</t>
        </is>
      </c>
      <c r="B6294" s="56" t="n">
        <v>45676.42708333334</v>
      </c>
      <c r="C6294" t="inlineStr">
        <is>
          <t>Bluestone Memorial Hospital</t>
        </is>
      </c>
      <c r="D6294" t="n">
        <v>37</v>
      </c>
    </row>
    <row r="6295">
      <c r="A6295" t="inlineStr">
        <is>
          <t>ED206435</t>
        </is>
      </c>
      <c r="B6295" s="56" t="n">
        <v>45676.45694444444</v>
      </c>
      <c r="C6295" t="inlineStr">
        <is>
          <t>Bluestone Memorial Hospital</t>
        </is>
      </c>
      <c r="D6295" t="n">
        <v>12</v>
      </c>
    </row>
    <row r="6296">
      <c r="A6296" t="inlineStr">
        <is>
          <t>ED206436</t>
        </is>
      </c>
      <c r="B6296" s="56" t="n">
        <v>45676.52916666667</v>
      </c>
      <c r="C6296" t="inlineStr">
        <is>
          <t>Bluestone Memorial Hospital</t>
        </is>
      </c>
      <c r="D6296" t="n">
        <v>49</v>
      </c>
    </row>
    <row r="6297">
      <c r="A6297" t="inlineStr">
        <is>
          <t>ED206437</t>
        </is>
      </c>
      <c r="B6297" s="56" t="n">
        <v>45676.55694444444</v>
      </c>
      <c r="C6297" t="inlineStr">
        <is>
          <t>Bluestone Memorial Hospital</t>
        </is>
      </c>
      <c r="D6297" t="n">
        <v>16</v>
      </c>
    </row>
    <row r="6298">
      <c r="A6298" t="inlineStr">
        <is>
          <t>ED206438</t>
        </is>
      </c>
      <c r="B6298" s="56" t="n">
        <v>45676.56805555556</v>
      </c>
      <c r="C6298" t="inlineStr">
        <is>
          <t>Bluestone Memorial Hospital</t>
        </is>
      </c>
      <c r="D6298" t="n">
        <v>44</v>
      </c>
    </row>
    <row r="6299">
      <c r="A6299" t="inlineStr">
        <is>
          <t>ED206439</t>
        </is>
      </c>
      <c r="B6299" s="56" t="n">
        <v>45676.68819444445</v>
      </c>
      <c r="C6299" t="inlineStr">
        <is>
          <t>Bluestone Memorial Hospital</t>
        </is>
      </c>
      <c r="D6299" t="n">
        <v>130</v>
      </c>
    </row>
    <row r="6300">
      <c r="A6300" t="inlineStr">
        <is>
          <t>ED206440</t>
        </is>
      </c>
      <c r="B6300" s="56" t="n">
        <v>45676.70138888889</v>
      </c>
      <c r="C6300" t="inlineStr">
        <is>
          <t>Bluestone Memorial Hospital</t>
        </is>
      </c>
      <c r="D6300" t="n">
        <v>50</v>
      </c>
    </row>
    <row r="6301">
      <c r="A6301" t="inlineStr">
        <is>
          <t>ED206441</t>
        </is>
      </c>
      <c r="B6301" s="56" t="n">
        <v>45676.71527777778</v>
      </c>
      <c r="C6301" t="inlineStr">
        <is>
          <t>Bluestone Memorial Hospital</t>
        </is>
      </c>
      <c r="D6301" t="n">
        <v>74</v>
      </c>
    </row>
    <row r="6302">
      <c r="A6302" t="inlineStr">
        <is>
          <t>ED206442</t>
        </is>
      </c>
      <c r="B6302" s="56" t="n">
        <v>45676.72222222222</v>
      </c>
      <c r="C6302" t="inlineStr">
        <is>
          <t>Bluestone Memorial Hospital</t>
        </is>
      </c>
      <c r="D6302" t="n">
        <v>41</v>
      </c>
    </row>
    <row r="6303">
      <c r="A6303" t="inlineStr">
        <is>
          <t>ED206443</t>
        </is>
      </c>
      <c r="B6303" s="56" t="n">
        <v>45676.72291666667</v>
      </c>
      <c r="C6303" t="inlineStr">
        <is>
          <t>Bluestone Memorial Hospital</t>
        </is>
      </c>
      <c r="D6303" t="n">
        <v>60</v>
      </c>
    </row>
    <row r="6304">
      <c r="A6304" t="inlineStr">
        <is>
          <t>ED206444</t>
        </is>
      </c>
      <c r="B6304" s="56" t="n">
        <v>45676.77569444444</v>
      </c>
      <c r="C6304" t="inlineStr">
        <is>
          <t>Bluestone Memorial Hospital</t>
        </is>
      </c>
      <c r="D6304" t="n">
        <v>114</v>
      </c>
    </row>
    <row r="6305">
      <c r="A6305" t="inlineStr">
        <is>
          <t>ED206445</t>
        </is>
      </c>
      <c r="B6305" s="56" t="n">
        <v>45676.80486111111</v>
      </c>
      <c r="C6305" t="inlineStr">
        <is>
          <t>Bluestone Memorial Hospital</t>
        </is>
      </c>
      <c r="D6305" t="n">
        <v>76</v>
      </c>
    </row>
    <row r="6306">
      <c r="A6306" t="inlineStr">
        <is>
          <t>ED206446</t>
        </is>
      </c>
      <c r="B6306" s="56" t="n">
        <v>45676.86875</v>
      </c>
      <c r="C6306" t="inlineStr">
        <is>
          <t>Cedar Ridge Medical Center</t>
        </is>
      </c>
      <c r="D6306" t="n">
        <v>89</v>
      </c>
    </row>
    <row r="6307">
      <c r="A6307" t="inlineStr">
        <is>
          <t>ED206447</t>
        </is>
      </c>
      <c r="B6307" s="56" t="n">
        <v>45676.91319444445</v>
      </c>
      <c r="C6307" t="inlineStr">
        <is>
          <t>Bluestone Memorial Hospital</t>
        </is>
      </c>
      <c r="D6307" t="n">
        <v>10</v>
      </c>
    </row>
    <row r="6308">
      <c r="A6308" t="inlineStr">
        <is>
          <t>ED206448</t>
        </is>
      </c>
      <c r="B6308" s="56" t="n">
        <v>45677.02638888889</v>
      </c>
      <c r="C6308" t="inlineStr">
        <is>
          <t>Bluestone Memorial Hospital</t>
        </is>
      </c>
      <c r="D6308" t="n">
        <v>50</v>
      </c>
    </row>
    <row r="6309">
      <c r="A6309" t="inlineStr">
        <is>
          <t>ED206449</t>
        </is>
      </c>
      <c r="B6309" s="56" t="n">
        <v>45677.40694444445</v>
      </c>
      <c r="C6309" t="inlineStr">
        <is>
          <t>Bluestone Memorial Hospital</t>
        </is>
      </c>
      <c r="D6309" t="n">
        <v>117</v>
      </c>
    </row>
    <row r="6310">
      <c r="A6310" t="inlineStr">
        <is>
          <t>ED206450</t>
        </is>
      </c>
      <c r="B6310" s="56" t="n">
        <v>45677.42916666667</v>
      </c>
      <c r="C6310" t="inlineStr">
        <is>
          <t>Bluestone Memorial Hospital</t>
        </is>
      </c>
      <c r="D6310" t="n">
        <v>9</v>
      </c>
    </row>
    <row r="6311">
      <c r="A6311" t="inlineStr">
        <is>
          <t>ED206451</t>
        </is>
      </c>
      <c r="B6311" s="56" t="n">
        <v>45677.4375</v>
      </c>
      <c r="C6311" t="inlineStr">
        <is>
          <t>Bluestone Memorial Hospital</t>
        </is>
      </c>
      <c r="D6311" t="n">
        <v>45</v>
      </c>
    </row>
    <row r="6312">
      <c r="A6312" t="inlineStr">
        <is>
          <t>ED206452</t>
        </is>
      </c>
      <c r="B6312" s="56" t="n">
        <v>45677.46736111111</v>
      </c>
      <c r="C6312" t="inlineStr">
        <is>
          <t>Cedar Ridge Medical Center</t>
        </is>
      </c>
      <c r="D6312" t="n">
        <v>58</v>
      </c>
    </row>
    <row r="6313">
      <c r="A6313" t="inlineStr">
        <is>
          <t>ED206453</t>
        </is>
      </c>
      <c r="B6313" s="56" t="n">
        <v>45677.47291666667</v>
      </c>
      <c r="C6313" t="inlineStr">
        <is>
          <t>Bluestone Memorial Hospital</t>
        </is>
      </c>
      <c r="D6313" t="n">
        <v>43</v>
      </c>
    </row>
    <row r="6314">
      <c r="A6314" t="inlineStr">
        <is>
          <t>ED206454</t>
        </is>
      </c>
      <c r="B6314" s="56" t="n">
        <v>45677.54097222222</v>
      </c>
      <c r="C6314" t="inlineStr">
        <is>
          <t>Bluestone Memorial Hospital</t>
        </is>
      </c>
      <c r="D6314" t="n">
        <v>40</v>
      </c>
    </row>
    <row r="6315">
      <c r="A6315" t="inlineStr">
        <is>
          <t>ED206455</t>
        </is>
      </c>
      <c r="B6315" s="56" t="n">
        <v>45677.575</v>
      </c>
      <c r="C6315" t="inlineStr">
        <is>
          <t>Bluestone Memorial Hospital</t>
        </is>
      </c>
      <c r="D6315" t="n">
        <v>72</v>
      </c>
    </row>
    <row r="6316">
      <c r="A6316" t="inlineStr">
        <is>
          <t>ED206456</t>
        </is>
      </c>
      <c r="B6316" s="56" t="n">
        <v>45677.59583333333</v>
      </c>
      <c r="C6316" t="inlineStr">
        <is>
          <t>Bluestone Memorial Hospital</t>
        </is>
      </c>
      <c r="D6316" t="n">
        <v>19</v>
      </c>
    </row>
    <row r="6317">
      <c r="A6317" t="inlineStr">
        <is>
          <t>ED206457</t>
        </is>
      </c>
      <c r="B6317" s="56" t="n">
        <v>45677.62569444445</v>
      </c>
      <c r="C6317" t="inlineStr">
        <is>
          <t>Cedar Ridge Medical Center</t>
        </is>
      </c>
      <c r="D6317" t="n">
        <v>117</v>
      </c>
    </row>
    <row r="6318">
      <c r="A6318" t="inlineStr">
        <is>
          <t>ED206458</t>
        </is>
      </c>
      <c r="B6318" s="56" t="n">
        <v>45677.67013888889</v>
      </c>
      <c r="C6318" t="inlineStr">
        <is>
          <t>Ashby Falls Community Hospital</t>
        </is>
      </c>
      <c r="D6318" t="n">
        <v>13</v>
      </c>
    </row>
    <row r="6319">
      <c r="A6319" t="inlineStr">
        <is>
          <t>ED206459</t>
        </is>
      </c>
      <c r="B6319" s="56" t="n">
        <v>45677.68611111111</v>
      </c>
      <c r="C6319" t="inlineStr">
        <is>
          <t>Ashby Falls Community Hospital</t>
        </is>
      </c>
      <c r="D6319" t="n">
        <v>134</v>
      </c>
    </row>
    <row r="6320">
      <c r="A6320" t="inlineStr">
        <is>
          <t>ED206460</t>
        </is>
      </c>
      <c r="B6320" s="56" t="n">
        <v>45677.76111111111</v>
      </c>
      <c r="C6320" t="inlineStr">
        <is>
          <t>Bluestone Memorial Hospital</t>
        </is>
      </c>
      <c r="D6320" t="n">
        <v>88</v>
      </c>
    </row>
    <row r="6321">
      <c r="A6321" t="inlineStr">
        <is>
          <t>ED206461</t>
        </is>
      </c>
      <c r="B6321" s="56" t="n">
        <v>45677.86527777778</v>
      </c>
      <c r="C6321" t="inlineStr">
        <is>
          <t>Bluestone Memorial Hospital</t>
        </is>
      </c>
      <c r="D6321" t="n">
        <v>31</v>
      </c>
    </row>
    <row r="6322">
      <c r="A6322" t="inlineStr">
        <is>
          <t>ED206462</t>
        </is>
      </c>
      <c r="B6322" s="56" t="n">
        <v>45677.88125</v>
      </c>
      <c r="C6322" t="inlineStr">
        <is>
          <t>Bluestone Memorial Hospital</t>
        </is>
      </c>
      <c r="D6322" t="n">
        <v>43</v>
      </c>
    </row>
    <row r="6323">
      <c r="A6323" t="inlineStr">
        <is>
          <t>ED206463</t>
        </is>
      </c>
      <c r="B6323" s="56" t="n">
        <v>45677.92152777778</v>
      </c>
      <c r="C6323" t="inlineStr">
        <is>
          <t>Bluestone Memorial Hospital</t>
        </is>
      </c>
      <c r="D6323" t="n">
        <v>56</v>
      </c>
    </row>
    <row r="6324">
      <c r="A6324" t="inlineStr">
        <is>
          <t>ED206464</t>
        </is>
      </c>
      <c r="B6324" s="56" t="n">
        <v>45677.94722222222</v>
      </c>
      <c r="C6324" t="inlineStr">
        <is>
          <t>Cedar Ridge Medical Center</t>
        </is>
      </c>
      <c r="D6324" t="n">
        <v>11</v>
      </c>
    </row>
    <row r="6325">
      <c r="A6325" t="inlineStr">
        <is>
          <t>ED206465</t>
        </is>
      </c>
      <c r="B6325" s="56" t="n">
        <v>45677.96527777778</v>
      </c>
      <c r="C6325" t="inlineStr">
        <is>
          <t>Bluestone Memorial Hospital</t>
        </is>
      </c>
      <c r="D6325" t="n">
        <v>41</v>
      </c>
    </row>
    <row r="6326">
      <c r="A6326" t="inlineStr">
        <is>
          <t>ED206466</t>
        </is>
      </c>
      <c r="B6326" s="56" t="n">
        <v>45678.07986111111</v>
      </c>
      <c r="C6326" t="inlineStr">
        <is>
          <t>Bluestone Memorial Hospital</t>
        </is>
      </c>
      <c r="D6326" t="n">
        <v>13</v>
      </c>
    </row>
    <row r="6327">
      <c r="A6327" t="inlineStr">
        <is>
          <t>ED206467</t>
        </is>
      </c>
      <c r="B6327" s="56" t="n">
        <v>45678.36875</v>
      </c>
      <c r="C6327" t="inlineStr">
        <is>
          <t>Bluestone Memorial Hospital</t>
        </is>
      </c>
      <c r="D6327" t="n">
        <v>74</v>
      </c>
    </row>
    <row r="6328">
      <c r="A6328" t="inlineStr">
        <is>
          <t>ED206468</t>
        </is>
      </c>
      <c r="B6328" s="56" t="n">
        <v>45678.39236111111</v>
      </c>
      <c r="C6328" t="inlineStr">
        <is>
          <t>Bluestone Memorial Hospital</t>
        </is>
      </c>
      <c r="D6328" t="n">
        <v>12</v>
      </c>
    </row>
    <row r="6329">
      <c r="A6329" t="inlineStr">
        <is>
          <t>ED206469</t>
        </is>
      </c>
      <c r="B6329" s="56" t="n">
        <v>45678.41458333333</v>
      </c>
      <c r="C6329" t="inlineStr">
        <is>
          <t>Bluestone Memorial Hospital</t>
        </is>
      </c>
      <c r="D6329" t="n">
        <v>24</v>
      </c>
    </row>
    <row r="6330">
      <c r="A6330" t="inlineStr">
        <is>
          <t>ED206470</t>
        </is>
      </c>
      <c r="B6330" s="56" t="n">
        <v>45678.41805555556</v>
      </c>
      <c r="C6330" t="inlineStr">
        <is>
          <t>Ashby Falls Community Hospital</t>
        </is>
      </c>
      <c r="D6330" t="n">
        <v>17</v>
      </c>
    </row>
    <row r="6331">
      <c r="A6331" t="inlineStr">
        <is>
          <t>ED206471</t>
        </is>
      </c>
      <c r="B6331" s="56" t="n">
        <v>45678.43333333333</v>
      </c>
      <c r="C6331" t="inlineStr">
        <is>
          <t>Ashby Falls Community Hospital</t>
        </is>
      </c>
      <c r="D6331" t="n">
        <v>20</v>
      </c>
    </row>
    <row r="6332">
      <c r="A6332" t="inlineStr">
        <is>
          <t>ED206472</t>
        </is>
      </c>
      <c r="B6332" s="56" t="n">
        <v>45678.44236111111</v>
      </c>
      <c r="C6332" t="inlineStr">
        <is>
          <t>Bluestone Memorial Hospital</t>
        </is>
      </c>
      <c r="D6332" t="n">
        <v>24</v>
      </c>
    </row>
    <row r="6333">
      <c r="A6333" t="inlineStr">
        <is>
          <t>ED206473</t>
        </is>
      </c>
      <c r="B6333" s="56" t="n">
        <v>45678.48958333334</v>
      </c>
      <c r="C6333" t="inlineStr">
        <is>
          <t>Bluestone Memorial Hospital</t>
        </is>
      </c>
      <c r="D6333" t="n">
        <v>33</v>
      </c>
    </row>
    <row r="6334">
      <c r="A6334" t="inlineStr">
        <is>
          <t>ED206474</t>
        </is>
      </c>
      <c r="B6334" s="56" t="n">
        <v>45678.49166666667</v>
      </c>
      <c r="C6334" t="inlineStr">
        <is>
          <t>Ashby Falls Community Hospital</t>
        </is>
      </c>
      <c r="D6334" t="n">
        <v>146</v>
      </c>
    </row>
    <row r="6335">
      <c r="A6335" t="inlineStr">
        <is>
          <t>ED206475</t>
        </is>
      </c>
      <c r="B6335" s="56" t="n">
        <v>45678.49513888889</v>
      </c>
      <c r="C6335" t="inlineStr">
        <is>
          <t>Bluestone Memorial Hospital</t>
        </is>
      </c>
      <c r="D6335" t="n">
        <v>47</v>
      </c>
    </row>
    <row r="6336">
      <c r="A6336" t="inlineStr">
        <is>
          <t>ED206476</t>
        </is>
      </c>
      <c r="B6336" s="56" t="n">
        <v>45678.52638888889</v>
      </c>
      <c r="C6336" t="inlineStr">
        <is>
          <t>Bluestone Memorial Hospital</t>
        </is>
      </c>
      <c r="D6336" t="n">
        <v>63</v>
      </c>
    </row>
    <row r="6337">
      <c r="A6337" t="inlineStr">
        <is>
          <t>ED206477</t>
        </is>
      </c>
      <c r="B6337" s="56" t="n">
        <v>45678.53263888889</v>
      </c>
      <c r="C6337" t="inlineStr">
        <is>
          <t>Bluestone Memorial Hospital</t>
        </is>
      </c>
      <c r="D6337" t="n">
        <v>40</v>
      </c>
    </row>
    <row r="6338">
      <c r="A6338" t="inlineStr">
        <is>
          <t>ED206478</t>
        </is>
      </c>
      <c r="B6338" s="56" t="n">
        <v>45678.53541666667</v>
      </c>
      <c r="C6338" t="inlineStr">
        <is>
          <t>Bluestone Memorial Hospital</t>
        </is>
      </c>
      <c r="D6338" t="n">
        <v>78</v>
      </c>
    </row>
    <row r="6339">
      <c r="A6339" t="inlineStr">
        <is>
          <t>ED206479</t>
        </is>
      </c>
      <c r="B6339" s="56" t="n">
        <v>45678.55833333333</v>
      </c>
      <c r="C6339" t="inlineStr">
        <is>
          <t>Bluestone Memorial Hospital</t>
        </is>
      </c>
      <c r="D6339" t="n">
        <v>200</v>
      </c>
    </row>
    <row r="6340">
      <c r="A6340" t="inlineStr">
        <is>
          <t>ED206480</t>
        </is>
      </c>
      <c r="B6340" s="56" t="n">
        <v>45678.58958333333</v>
      </c>
      <c r="C6340" t="inlineStr">
        <is>
          <t>Ashby Falls Community Hospital</t>
        </is>
      </c>
      <c r="D6340" t="n">
        <v>32</v>
      </c>
    </row>
    <row r="6341">
      <c r="A6341" t="inlineStr">
        <is>
          <t>ED206481</t>
        </is>
      </c>
      <c r="B6341" s="56" t="n">
        <v>45678.59236111111</v>
      </c>
      <c r="C6341" t="inlineStr">
        <is>
          <t>Bluestone Memorial Hospital</t>
        </is>
      </c>
      <c r="D6341" t="n">
        <v>59</v>
      </c>
    </row>
    <row r="6342">
      <c r="A6342" t="inlineStr">
        <is>
          <t>ED206482</t>
        </is>
      </c>
      <c r="B6342" s="56" t="n">
        <v>45678.63263888889</v>
      </c>
      <c r="C6342" t="inlineStr">
        <is>
          <t>Ashby Falls Community Hospital</t>
        </is>
      </c>
      <c r="D6342" t="n">
        <v>51</v>
      </c>
    </row>
    <row r="6343">
      <c r="A6343" t="inlineStr">
        <is>
          <t>ED206483</t>
        </is>
      </c>
      <c r="B6343" s="56" t="n">
        <v>45678.68263888889</v>
      </c>
      <c r="C6343" t="inlineStr">
        <is>
          <t>Ashby Falls Community Hospital</t>
        </is>
      </c>
      <c r="D6343" t="n">
        <v>46</v>
      </c>
    </row>
    <row r="6344">
      <c r="A6344" t="inlineStr">
        <is>
          <t>ED206484</t>
        </is>
      </c>
      <c r="B6344" s="56" t="n">
        <v>45678.70208333333</v>
      </c>
      <c r="C6344" t="inlineStr">
        <is>
          <t>Bluestone Memorial Hospital</t>
        </is>
      </c>
      <c r="D6344" t="n">
        <v>58</v>
      </c>
    </row>
    <row r="6345">
      <c r="A6345" t="inlineStr">
        <is>
          <t>ED206485</t>
        </is>
      </c>
      <c r="B6345" s="56" t="n">
        <v>45678.74930555555</v>
      </c>
      <c r="C6345" t="inlineStr">
        <is>
          <t>Bluestone Memorial Hospital</t>
        </is>
      </c>
      <c r="D6345" t="n">
        <v>77</v>
      </c>
    </row>
    <row r="6346">
      <c r="A6346" t="inlineStr">
        <is>
          <t>ED206486</t>
        </is>
      </c>
      <c r="B6346" s="56" t="n">
        <v>45678.75972222222</v>
      </c>
      <c r="C6346" t="inlineStr">
        <is>
          <t>Bluestone Memorial Hospital</t>
        </is>
      </c>
      <c r="D6346" t="n">
        <v>46</v>
      </c>
    </row>
    <row r="6347">
      <c r="A6347" t="inlineStr">
        <is>
          <t>ED206487</t>
        </is>
      </c>
      <c r="B6347" s="56" t="n">
        <v>45678.79097222222</v>
      </c>
      <c r="C6347" t="inlineStr">
        <is>
          <t>Bluestone Memorial Hospital</t>
        </is>
      </c>
      <c r="D6347" t="n">
        <v>44</v>
      </c>
    </row>
    <row r="6348">
      <c r="A6348" t="inlineStr">
        <is>
          <t>ED206488</t>
        </is>
      </c>
      <c r="B6348" s="56" t="n">
        <v>45678.93888888889</v>
      </c>
      <c r="C6348" t="inlineStr">
        <is>
          <t>Bluestone Memorial Hospital</t>
        </is>
      </c>
      <c r="D6348" t="n">
        <v>51</v>
      </c>
    </row>
    <row r="6349">
      <c r="A6349" t="inlineStr">
        <is>
          <t>ED206489</t>
        </is>
      </c>
      <c r="B6349" s="56" t="n">
        <v>45678.98402777778</v>
      </c>
      <c r="C6349" t="inlineStr">
        <is>
          <t>Bluestone Memorial Hospital</t>
        </is>
      </c>
      <c r="D6349" t="n">
        <v>15</v>
      </c>
    </row>
    <row r="6350">
      <c r="A6350" t="inlineStr">
        <is>
          <t>ED206490</t>
        </is>
      </c>
      <c r="B6350" s="56" t="n">
        <v>45679.00833333333</v>
      </c>
      <c r="C6350" t="inlineStr">
        <is>
          <t>Bluestone Memorial Hospital</t>
        </is>
      </c>
      <c r="D6350" t="n">
        <v>3</v>
      </c>
    </row>
    <row r="6351">
      <c r="A6351" t="inlineStr">
        <is>
          <t>ED206491</t>
        </is>
      </c>
      <c r="B6351" s="56" t="n">
        <v>45679.03194444445</v>
      </c>
      <c r="C6351" t="inlineStr">
        <is>
          <t>Cedar Ridge Medical Center</t>
        </is>
      </c>
      <c r="D6351" t="n">
        <v>27</v>
      </c>
    </row>
    <row r="6352">
      <c r="A6352" t="inlineStr">
        <is>
          <t>ED206492</t>
        </is>
      </c>
      <c r="B6352" s="56" t="n">
        <v>45679.21597222222</v>
      </c>
      <c r="C6352" t="inlineStr">
        <is>
          <t>Cedar Ridge Medical Center</t>
        </is>
      </c>
      <c r="D6352" t="n">
        <v>20</v>
      </c>
    </row>
    <row r="6353">
      <c r="A6353" t="inlineStr">
        <is>
          <t>ED206493</t>
        </is>
      </c>
      <c r="B6353" s="56" t="n">
        <v>45679.30416666667</v>
      </c>
      <c r="C6353" t="inlineStr">
        <is>
          <t>Bluestone Memorial Hospital</t>
        </is>
      </c>
      <c r="D6353" t="n">
        <v>33</v>
      </c>
    </row>
    <row r="6354">
      <c r="A6354" t="inlineStr">
        <is>
          <t>ED206494</t>
        </is>
      </c>
      <c r="B6354" s="56" t="n">
        <v>45679.32708333333</v>
      </c>
      <c r="C6354" t="inlineStr">
        <is>
          <t>Bluestone Memorial Hospital</t>
        </is>
      </c>
      <c r="D6354" t="n">
        <v>88</v>
      </c>
    </row>
    <row r="6355">
      <c r="A6355" t="inlineStr">
        <is>
          <t>ED206495</t>
        </is>
      </c>
      <c r="B6355" s="56" t="n">
        <v>45679.39722222222</v>
      </c>
      <c r="C6355" t="inlineStr">
        <is>
          <t>Bluestone Memorial Hospital</t>
        </is>
      </c>
      <c r="D6355" t="n">
        <v>26</v>
      </c>
    </row>
    <row r="6356">
      <c r="A6356" t="inlineStr">
        <is>
          <t>ED206496</t>
        </is>
      </c>
      <c r="B6356" s="56" t="n">
        <v>45679.39722222222</v>
      </c>
      <c r="C6356" t="inlineStr">
        <is>
          <t>Bluestone Memorial Hospital</t>
        </is>
      </c>
      <c r="D6356" t="n">
        <v>6</v>
      </c>
    </row>
    <row r="6357">
      <c r="A6357" t="inlineStr">
        <is>
          <t>ED206497</t>
        </is>
      </c>
      <c r="B6357" s="56" t="n">
        <v>45679.45486111111</v>
      </c>
      <c r="C6357" t="inlineStr">
        <is>
          <t>Bluestone Memorial Hospital</t>
        </is>
      </c>
      <c r="D6357" t="n">
        <v>176</v>
      </c>
    </row>
    <row r="6358">
      <c r="A6358" t="inlineStr">
        <is>
          <t>ED206498</t>
        </is>
      </c>
      <c r="B6358" s="56" t="n">
        <v>45679.46527777778</v>
      </c>
      <c r="C6358" t="inlineStr">
        <is>
          <t>Bluestone Memorial Hospital</t>
        </is>
      </c>
      <c r="D6358" t="n">
        <v>67</v>
      </c>
    </row>
    <row r="6359">
      <c r="A6359" t="inlineStr">
        <is>
          <t>ED206499</t>
        </is>
      </c>
      <c r="B6359" s="56" t="n">
        <v>45679.52847222222</v>
      </c>
      <c r="C6359" t="inlineStr">
        <is>
          <t>Cedar Ridge Medical Center</t>
        </is>
      </c>
      <c r="D6359" t="n">
        <v>125</v>
      </c>
    </row>
    <row r="6360">
      <c r="A6360" t="inlineStr">
        <is>
          <t>ED206500</t>
        </is>
      </c>
      <c r="B6360" s="56" t="n">
        <v>45679.55208333334</v>
      </c>
      <c r="C6360" t="inlineStr">
        <is>
          <t>Bluestone Memorial Hospital</t>
        </is>
      </c>
      <c r="D6360" t="n">
        <v>67</v>
      </c>
    </row>
    <row r="6361">
      <c r="A6361" t="inlineStr">
        <is>
          <t>ED206501</t>
        </is>
      </c>
      <c r="B6361" s="56" t="n">
        <v>45679.58888888889</v>
      </c>
      <c r="C6361" t="inlineStr">
        <is>
          <t>Bluestone Memorial Hospital</t>
        </is>
      </c>
      <c r="D6361" t="n">
        <v>40</v>
      </c>
    </row>
    <row r="6362">
      <c r="A6362" t="inlineStr">
        <is>
          <t>ED206502</t>
        </is>
      </c>
      <c r="B6362" s="56" t="n">
        <v>45679.66180555556</v>
      </c>
      <c r="C6362" t="inlineStr">
        <is>
          <t>Bluestone Memorial Hospital</t>
        </is>
      </c>
      <c r="D6362" t="n">
        <v>85</v>
      </c>
    </row>
    <row r="6363">
      <c r="A6363" t="inlineStr">
        <is>
          <t>ED206503</t>
        </is>
      </c>
      <c r="B6363" s="56" t="n">
        <v>45679.70277777778</v>
      </c>
      <c r="C6363" t="inlineStr">
        <is>
          <t>Bluestone Memorial Hospital</t>
        </is>
      </c>
      <c r="D6363" t="n">
        <v>24</v>
      </c>
    </row>
    <row r="6364">
      <c r="A6364" t="inlineStr">
        <is>
          <t>ED206504</t>
        </is>
      </c>
      <c r="B6364" s="56" t="n">
        <v>45679.70486111111</v>
      </c>
      <c r="C6364" t="inlineStr">
        <is>
          <t>Bluestone Memorial Hospital</t>
        </is>
      </c>
      <c r="D6364" t="n">
        <v>50</v>
      </c>
    </row>
    <row r="6365">
      <c r="A6365" t="inlineStr">
        <is>
          <t>ED206505</t>
        </is>
      </c>
      <c r="B6365" s="56" t="n">
        <v>45679.70902777778</v>
      </c>
      <c r="C6365" t="inlineStr">
        <is>
          <t>Bluestone Memorial Hospital</t>
        </is>
      </c>
      <c r="D6365" t="n">
        <v>53</v>
      </c>
    </row>
    <row r="6366">
      <c r="A6366" t="inlineStr">
        <is>
          <t>ED206506</t>
        </is>
      </c>
      <c r="B6366" s="56" t="n">
        <v>45679.71180555555</v>
      </c>
      <c r="C6366" t="inlineStr">
        <is>
          <t>Ashby Falls Community Hospital</t>
        </is>
      </c>
      <c r="D6366" t="n">
        <v>51</v>
      </c>
    </row>
    <row r="6367">
      <c r="A6367" t="inlineStr">
        <is>
          <t>ED206507</t>
        </is>
      </c>
      <c r="B6367" s="56" t="n">
        <v>45679.7125</v>
      </c>
      <c r="C6367" t="inlineStr">
        <is>
          <t>Bluestone Memorial Hospital</t>
        </is>
      </c>
      <c r="D6367" t="n">
        <v>14</v>
      </c>
    </row>
    <row r="6368">
      <c r="A6368" t="inlineStr">
        <is>
          <t>ED206508</t>
        </is>
      </c>
      <c r="B6368" s="56" t="n">
        <v>45679.75</v>
      </c>
      <c r="C6368" t="inlineStr">
        <is>
          <t>Bluestone Memorial Hospital</t>
        </is>
      </c>
      <c r="D6368" t="n">
        <v>32</v>
      </c>
    </row>
    <row r="6369">
      <c r="A6369" t="inlineStr">
        <is>
          <t>ED206509</t>
        </is>
      </c>
      <c r="B6369" s="56" t="n">
        <v>45679.75138888889</v>
      </c>
      <c r="C6369" t="inlineStr">
        <is>
          <t>Bluestone Memorial Hospital</t>
        </is>
      </c>
      <c r="D6369" t="n">
        <v>42</v>
      </c>
    </row>
    <row r="6370">
      <c r="A6370" t="inlineStr">
        <is>
          <t>ED206510</t>
        </is>
      </c>
      <c r="B6370" s="56" t="n">
        <v>45679.82777777778</v>
      </c>
      <c r="C6370" t="inlineStr">
        <is>
          <t>Ashby Falls Community Hospital</t>
        </is>
      </c>
      <c r="D6370" t="n">
        <v>88</v>
      </c>
    </row>
    <row r="6371">
      <c r="A6371" t="inlineStr">
        <is>
          <t>ED206511</t>
        </is>
      </c>
      <c r="B6371" s="56" t="n">
        <v>45679.84722222222</v>
      </c>
      <c r="C6371" t="inlineStr">
        <is>
          <t>Bluestone Memorial Hospital</t>
        </is>
      </c>
      <c r="D6371" t="n">
        <v>35</v>
      </c>
    </row>
    <row r="6372">
      <c r="A6372" t="inlineStr">
        <is>
          <t>ED206512</t>
        </is>
      </c>
      <c r="B6372" s="56" t="n">
        <v>45679.86875</v>
      </c>
      <c r="C6372" t="inlineStr">
        <is>
          <t>Bluestone Memorial Hospital</t>
        </is>
      </c>
      <c r="D6372" t="n">
        <v>94</v>
      </c>
    </row>
    <row r="6373">
      <c r="A6373" t="inlineStr">
        <is>
          <t>ED206513</t>
        </is>
      </c>
      <c r="B6373" s="56" t="n">
        <v>45679.8875</v>
      </c>
      <c r="C6373" t="inlineStr">
        <is>
          <t>Cedar Ridge Medical Center</t>
        </is>
      </c>
      <c r="D6373" t="n">
        <v>69</v>
      </c>
    </row>
    <row r="6374">
      <c r="A6374" t="inlineStr">
        <is>
          <t>ED206514</t>
        </is>
      </c>
      <c r="B6374" s="56" t="n">
        <v>45679.94027777778</v>
      </c>
      <c r="C6374" t="inlineStr">
        <is>
          <t>Bluestone Memorial Hospital</t>
        </is>
      </c>
      <c r="D6374" t="n">
        <v>54</v>
      </c>
    </row>
    <row r="6375">
      <c r="A6375" t="inlineStr">
        <is>
          <t>ED206515</t>
        </is>
      </c>
      <c r="B6375" s="56" t="n">
        <v>45680.02986111111</v>
      </c>
      <c r="C6375" t="inlineStr">
        <is>
          <t>Cedar Ridge Medical Center</t>
        </is>
      </c>
      <c r="D6375" t="n">
        <v>15</v>
      </c>
    </row>
    <row r="6376">
      <c r="A6376" t="inlineStr">
        <is>
          <t>ED206516</t>
        </is>
      </c>
      <c r="B6376" s="56" t="n">
        <v>45680.03125</v>
      </c>
      <c r="C6376" t="inlineStr">
        <is>
          <t>Ashby Falls Community Hospital</t>
        </is>
      </c>
      <c r="D6376" t="n">
        <v>104</v>
      </c>
    </row>
    <row r="6377">
      <c r="A6377" t="inlineStr">
        <is>
          <t>ED206517</t>
        </is>
      </c>
      <c r="B6377" s="56" t="n">
        <v>45680.29722222222</v>
      </c>
      <c r="C6377" t="inlineStr">
        <is>
          <t>Bluestone Memorial Hospital</t>
        </is>
      </c>
      <c r="D6377" t="n">
        <v>34</v>
      </c>
    </row>
    <row r="6378">
      <c r="A6378" t="inlineStr">
        <is>
          <t>ED206518</t>
        </is>
      </c>
      <c r="B6378" s="56" t="n">
        <v>45680.32152777778</v>
      </c>
      <c r="C6378" t="inlineStr">
        <is>
          <t>Cedar Ridge Medical Center</t>
        </is>
      </c>
      <c r="D6378" t="n">
        <v>18</v>
      </c>
    </row>
    <row r="6379">
      <c r="A6379" t="inlineStr">
        <is>
          <t>ED206519</t>
        </is>
      </c>
      <c r="B6379" s="56" t="n">
        <v>45680.34444444445</v>
      </c>
      <c r="C6379" t="inlineStr">
        <is>
          <t>Bluestone Memorial Hospital</t>
        </is>
      </c>
      <c r="D6379" t="n">
        <v>52</v>
      </c>
    </row>
    <row r="6380">
      <c r="A6380" t="inlineStr">
        <is>
          <t>ED206520</t>
        </is>
      </c>
      <c r="B6380" s="56" t="n">
        <v>45680.34722222222</v>
      </c>
      <c r="C6380" t="inlineStr">
        <is>
          <t>Cedar Ridge Medical Center</t>
        </is>
      </c>
      <c r="D6380" t="n">
        <v>17</v>
      </c>
    </row>
    <row r="6381">
      <c r="A6381" t="inlineStr">
        <is>
          <t>ED206521</t>
        </is>
      </c>
      <c r="B6381" s="56" t="n">
        <v>45680.38541666666</v>
      </c>
      <c r="C6381" t="inlineStr">
        <is>
          <t>Bluestone Memorial Hospital</t>
        </is>
      </c>
      <c r="D6381" t="n">
        <v>19</v>
      </c>
    </row>
    <row r="6382">
      <c r="A6382" t="inlineStr">
        <is>
          <t>ED206522</t>
        </is>
      </c>
      <c r="B6382" s="56" t="n">
        <v>45680.39166666667</v>
      </c>
      <c r="C6382" t="inlineStr">
        <is>
          <t>Bluestone Memorial Hospital</t>
        </is>
      </c>
      <c r="D6382" t="n">
        <v>27</v>
      </c>
    </row>
    <row r="6383">
      <c r="A6383" t="inlineStr">
        <is>
          <t>ED206523</t>
        </is>
      </c>
      <c r="B6383" s="56" t="n">
        <v>45680.40486111111</v>
      </c>
      <c r="C6383" t="inlineStr">
        <is>
          <t>Bluestone Memorial Hospital</t>
        </is>
      </c>
      <c r="D6383" t="n">
        <v>8</v>
      </c>
    </row>
    <row r="6384">
      <c r="A6384" t="inlineStr">
        <is>
          <t>ED206524</t>
        </is>
      </c>
      <c r="B6384" s="56" t="n">
        <v>45680.41458333333</v>
      </c>
      <c r="C6384" t="inlineStr">
        <is>
          <t>Bluestone Memorial Hospital</t>
        </is>
      </c>
      <c r="D6384" t="n">
        <v>16</v>
      </c>
    </row>
    <row r="6385">
      <c r="A6385" t="inlineStr">
        <is>
          <t>ED206525</t>
        </is>
      </c>
      <c r="B6385" s="56" t="n">
        <v>45680.48819444444</v>
      </c>
      <c r="C6385" t="inlineStr">
        <is>
          <t>Ashby Falls Community Hospital</t>
        </is>
      </c>
      <c r="D6385" t="n">
        <v>41</v>
      </c>
    </row>
    <row r="6386">
      <c r="A6386" t="inlineStr">
        <is>
          <t>ED206526</t>
        </is>
      </c>
      <c r="B6386" s="56" t="n">
        <v>45680.50347222222</v>
      </c>
      <c r="C6386" t="inlineStr">
        <is>
          <t>Bluestone Memorial Hospital</t>
        </is>
      </c>
      <c r="D6386" t="n">
        <v>62</v>
      </c>
    </row>
    <row r="6387">
      <c r="A6387" t="inlineStr">
        <is>
          <t>ED206527</t>
        </is>
      </c>
      <c r="B6387" s="56" t="n">
        <v>45680.5125</v>
      </c>
      <c r="C6387" t="inlineStr">
        <is>
          <t>Ashby Falls Community Hospital</t>
        </is>
      </c>
      <c r="D6387" t="n">
        <v>53</v>
      </c>
    </row>
    <row r="6388">
      <c r="A6388" t="inlineStr">
        <is>
          <t>ED206528</t>
        </is>
      </c>
      <c r="B6388" s="56" t="n">
        <v>45680.52222222222</v>
      </c>
      <c r="C6388" t="inlineStr">
        <is>
          <t>Bluestone Memorial Hospital</t>
        </is>
      </c>
      <c r="D6388" t="n">
        <v>50</v>
      </c>
    </row>
    <row r="6389">
      <c r="A6389" t="inlineStr">
        <is>
          <t>ED206529</t>
        </is>
      </c>
      <c r="B6389" s="56" t="n">
        <v>45680.68472222222</v>
      </c>
      <c r="C6389" t="inlineStr">
        <is>
          <t>Bluestone Memorial Hospital</t>
        </is>
      </c>
      <c r="D6389" t="n">
        <v>110</v>
      </c>
    </row>
    <row r="6390">
      <c r="A6390" t="inlineStr">
        <is>
          <t>ED206530</t>
        </is>
      </c>
      <c r="B6390" s="56" t="n">
        <v>45680.73958333334</v>
      </c>
      <c r="C6390" t="inlineStr">
        <is>
          <t>Bluestone Memorial Hospital</t>
        </is>
      </c>
      <c r="D6390" t="n">
        <v>22</v>
      </c>
    </row>
    <row r="6391">
      <c r="A6391" t="inlineStr">
        <is>
          <t>ED206531</t>
        </is>
      </c>
      <c r="B6391" s="56" t="n">
        <v>45680.78125</v>
      </c>
      <c r="C6391" t="inlineStr">
        <is>
          <t>Bluestone Memorial Hospital</t>
        </is>
      </c>
      <c r="D6391" t="n">
        <v>78</v>
      </c>
    </row>
    <row r="6392">
      <c r="A6392" t="inlineStr">
        <is>
          <t>ED206532</t>
        </is>
      </c>
      <c r="B6392" s="56" t="n">
        <v>45680.78402777778</v>
      </c>
      <c r="C6392" t="inlineStr">
        <is>
          <t>Bluestone Memorial Hospital</t>
        </is>
      </c>
      <c r="D6392" t="n">
        <v>95</v>
      </c>
    </row>
    <row r="6393">
      <c r="A6393" t="inlineStr">
        <is>
          <t>ED206533</t>
        </is>
      </c>
      <c r="B6393" s="56" t="n">
        <v>45680.78611111111</v>
      </c>
      <c r="C6393" t="inlineStr">
        <is>
          <t>Bluestone Memorial Hospital</t>
        </is>
      </c>
      <c r="D6393" t="n">
        <v>157</v>
      </c>
    </row>
    <row r="6394">
      <c r="A6394" t="inlineStr">
        <is>
          <t>ED206535</t>
        </is>
      </c>
      <c r="B6394" s="56" t="n">
        <v>45680.81388888889</v>
      </c>
      <c r="C6394" t="inlineStr">
        <is>
          <t>Bluestone Memorial Hospital</t>
        </is>
      </c>
      <c r="D6394" t="n">
        <v>62</v>
      </c>
    </row>
    <row r="6395">
      <c r="A6395" t="inlineStr">
        <is>
          <t>ED206536</t>
        </is>
      </c>
      <c r="B6395" s="56" t="n">
        <v>45680.89444444444</v>
      </c>
      <c r="C6395" t="inlineStr">
        <is>
          <t>Bluestone Memorial Hospital</t>
        </is>
      </c>
      <c r="D6395" t="n">
        <v>20</v>
      </c>
    </row>
    <row r="6396">
      <c r="A6396" t="inlineStr">
        <is>
          <t>ED206537</t>
        </is>
      </c>
      <c r="B6396" s="56" t="n">
        <v>45680.96319444444</v>
      </c>
      <c r="C6396" t="inlineStr">
        <is>
          <t>Ashby Falls Community Hospital</t>
        </is>
      </c>
      <c r="D6396" t="n">
        <v>89</v>
      </c>
    </row>
    <row r="6397">
      <c r="A6397" t="inlineStr">
        <is>
          <t>ED206538</t>
        </is>
      </c>
      <c r="B6397" s="56" t="n">
        <v>45680.98680555556</v>
      </c>
      <c r="C6397" t="inlineStr">
        <is>
          <t>Ashby Falls Community Hospital</t>
        </is>
      </c>
      <c r="D6397" t="n">
        <v>36</v>
      </c>
    </row>
    <row r="6398">
      <c r="A6398" t="inlineStr">
        <is>
          <t>ED206539</t>
        </is>
      </c>
      <c r="B6398" s="56" t="n">
        <v>45680.98888888889</v>
      </c>
      <c r="C6398" t="inlineStr">
        <is>
          <t>Bluestone Memorial Hospital</t>
        </is>
      </c>
      <c r="D6398" t="n">
        <v>45</v>
      </c>
    </row>
    <row r="6399">
      <c r="A6399" t="inlineStr">
        <is>
          <t>ED206540</t>
        </is>
      </c>
      <c r="B6399" s="56" t="n">
        <v>45681.06388888889</v>
      </c>
      <c r="C6399" t="inlineStr">
        <is>
          <t>Bluestone Memorial Hospital</t>
        </is>
      </c>
      <c r="D6399" t="n">
        <v>16</v>
      </c>
    </row>
    <row r="6400">
      <c r="A6400" t="inlineStr">
        <is>
          <t>ED206541</t>
        </is>
      </c>
      <c r="B6400" s="56" t="n">
        <v>45681.09444444445</v>
      </c>
      <c r="C6400" t="inlineStr">
        <is>
          <t>Bluestone Memorial Hospital</t>
        </is>
      </c>
      <c r="D6400" t="n">
        <v>14</v>
      </c>
    </row>
    <row r="6401">
      <c r="A6401" t="inlineStr">
        <is>
          <t>ED206542</t>
        </is>
      </c>
      <c r="B6401" s="56" t="n">
        <v>45681.11527777778</v>
      </c>
      <c r="C6401" t="inlineStr">
        <is>
          <t>Cedar Ridge Medical Center</t>
        </is>
      </c>
      <c r="D6401" t="n">
        <v>20</v>
      </c>
    </row>
    <row r="6402">
      <c r="A6402" t="inlineStr">
        <is>
          <t>ED206543</t>
        </is>
      </c>
      <c r="B6402" s="56" t="n">
        <v>45681.21805555555</v>
      </c>
      <c r="C6402" t="inlineStr">
        <is>
          <t>Bluestone Memorial Hospital</t>
        </is>
      </c>
      <c r="D6402" t="n">
        <v>5</v>
      </c>
    </row>
    <row r="6403">
      <c r="A6403" t="inlineStr">
        <is>
          <t>ED206544</t>
        </is>
      </c>
      <c r="B6403" s="56" t="n">
        <v>45681.21944444445</v>
      </c>
      <c r="C6403" t="inlineStr">
        <is>
          <t>Ashby Falls Community Hospital</t>
        </is>
      </c>
      <c r="D6403" t="n">
        <v>24</v>
      </c>
    </row>
    <row r="6404">
      <c r="A6404" t="inlineStr">
        <is>
          <t>ED206545</t>
        </is>
      </c>
      <c r="B6404" s="56" t="n">
        <v>45681.35347222222</v>
      </c>
      <c r="C6404" t="inlineStr">
        <is>
          <t>Bluestone Memorial Hospital</t>
        </is>
      </c>
      <c r="D6404" t="n">
        <v>16</v>
      </c>
    </row>
    <row r="6405">
      <c r="A6405" t="inlineStr">
        <is>
          <t>ED206546</t>
        </is>
      </c>
      <c r="B6405" s="56" t="n">
        <v>45681.38819444444</v>
      </c>
      <c r="C6405" t="inlineStr">
        <is>
          <t>Ashby Falls Community Hospital</t>
        </is>
      </c>
      <c r="D6405" t="n">
        <v>50</v>
      </c>
    </row>
    <row r="6406">
      <c r="A6406" t="inlineStr">
        <is>
          <t>ED206547</t>
        </is>
      </c>
      <c r="B6406" s="56" t="n">
        <v>45681.40486111111</v>
      </c>
      <c r="C6406" t="inlineStr">
        <is>
          <t>Bluestone Memorial Hospital</t>
        </is>
      </c>
      <c r="D6406" t="n">
        <v>195</v>
      </c>
    </row>
    <row r="6407">
      <c r="A6407" t="inlineStr">
        <is>
          <t>ED206548</t>
        </is>
      </c>
      <c r="B6407" s="56" t="n">
        <v>45681.45694444444</v>
      </c>
      <c r="C6407" t="inlineStr">
        <is>
          <t>Bluestone Memorial Hospital</t>
        </is>
      </c>
      <c r="D6407" t="n">
        <v>177</v>
      </c>
    </row>
    <row r="6408">
      <c r="A6408" t="inlineStr">
        <is>
          <t>ED206549</t>
        </is>
      </c>
      <c r="B6408" s="56" t="n">
        <v>45681.48541666667</v>
      </c>
      <c r="C6408" t="inlineStr">
        <is>
          <t>Cedar Ridge Medical Center</t>
        </is>
      </c>
      <c r="D6408" t="n">
        <v>126</v>
      </c>
    </row>
    <row r="6409">
      <c r="A6409" t="inlineStr">
        <is>
          <t>ED206550</t>
        </is>
      </c>
      <c r="B6409" s="56" t="n">
        <v>45681.54513888889</v>
      </c>
      <c r="C6409" t="inlineStr">
        <is>
          <t>Bluestone Memorial Hospital</t>
        </is>
      </c>
      <c r="D6409" t="n">
        <v>38</v>
      </c>
    </row>
    <row r="6410">
      <c r="A6410" t="inlineStr">
        <is>
          <t>ED206551</t>
        </is>
      </c>
      <c r="B6410" s="56" t="n">
        <v>45681.57222222222</v>
      </c>
      <c r="C6410" t="inlineStr">
        <is>
          <t>Ashby Falls Community Hospital</t>
        </is>
      </c>
      <c r="D6410" t="n">
        <v>104</v>
      </c>
    </row>
    <row r="6411">
      <c r="A6411" t="inlineStr">
        <is>
          <t>ED206552</t>
        </is>
      </c>
      <c r="B6411" s="56" t="n">
        <v>45681.62777777778</v>
      </c>
      <c r="C6411" t="inlineStr">
        <is>
          <t>Bluestone Memorial Hospital</t>
        </is>
      </c>
      <c r="D6411" t="n">
        <v>33</v>
      </c>
    </row>
    <row r="6412">
      <c r="A6412" t="inlineStr">
        <is>
          <t>ED206553</t>
        </is>
      </c>
      <c r="B6412" s="56" t="n">
        <v>45681.62916666667</v>
      </c>
      <c r="C6412" t="inlineStr">
        <is>
          <t>Bluestone Memorial Hospital</t>
        </is>
      </c>
      <c r="D6412" t="n">
        <v>209</v>
      </c>
    </row>
    <row r="6413">
      <c r="A6413" t="inlineStr">
        <is>
          <t>ED206554</t>
        </is>
      </c>
      <c r="B6413" s="56" t="n">
        <v>45681.72361111111</v>
      </c>
      <c r="C6413" t="inlineStr">
        <is>
          <t>Bluestone Memorial Hospital</t>
        </is>
      </c>
      <c r="D6413" t="n">
        <v>48</v>
      </c>
    </row>
    <row r="6414">
      <c r="A6414" t="inlineStr">
        <is>
          <t>ED206555</t>
        </is>
      </c>
      <c r="B6414" s="56" t="n">
        <v>45681.78055555555</v>
      </c>
      <c r="C6414" t="inlineStr">
        <is>
          <t>Bluestone Memorial Hospital</t>
        </is>
      </c>
      <c r="D6414" t="n">
        <v>29</v>
      </c>
    </row>
    <row r="6415">
      <c r="A6415" t="inlineStr">
        <is>
          <t>ED206556</t>
        </is>
      </c>
      <c r="B6415" s="56" t="n">
        <v>45681.84375</v>
      </c>
      <c r="C6415" t="inlineStr">
        <is>
          <t>Bluestone Memorial Hospital</t>
        </is>
      </c>
      <c r="D6415" t="n">
        <v>234</v>
      </c>
    </row>
    <row r="6416">
      <c r="A6416" t="inlineStr">
        <is>
          <t>ED206557</t>
        </is>
      </c>
      <c r="B6416" s="56" t="n">
        <v>45681.86736111111</v>
      </c>
      <c r="C6416" t="inlineStr">
        <is>
          <t>Bluestone Memorial Hospital</t>
        </is>
      </c>
      <c r="D6416" t="n">
        <v>14</v>
      </c>
    </row>
    <row r="6417">
      <c r="A6417" t="inlineStr">
        <is>
          <t>ED206559</t>
        </is>
      </c>
      <c r="B6417" s="56" t="n">
        <v>45682.12291666667</v>
      </c>
      <c r="C6417" t="inlineStr">
        <is>
          <t>Bluestone Memorial Hospital</t>
        </is>
      </c>
      <c r="D6417" t="n">
        <v>9</v>
      </c>
    </row>
    <row r="6418">
      <c r="A6418" t="inlineStr">
        <is>
          <t>ED206560</t>
        </is>
      </c>
      <c r="B6418" s="56" t="n">
        <v>45682.22222222222</v>
      </c>
      <c r="C6418" t="inlineStr">
        <is>
          <t>Bluestone Memorial Hospital</t>
        </is>
      </c>
      <c r="D6418" t="n">
        <v>24</v>
      </c>
    </row>
    <row r="6419">
      <c r="A6419" t="inlineStr">
        <is>
          <t>ED206561</t>
        </is>
      </c>
      <c r="B6419" s="56" t="n">
        <v>45682.4</v>
      </c>
      <c r="C6419" t="inlineStr">
        <is>
          <t>Cedar Ridge Medical Center</t>
        </is>
      </c>
      <c r="D6419" t="n">
        <v>252</v>
      </c>
    </row>
    <row r="6420">
      <c r="A6420" t="inlineStr">
        <is>
          <t>ED206562</t>
        </is>
      </c>
      <c r="B6420" s="56" t="n">
        <v>45682.42083333333</v>
      </c>
      <c r="C6420" t="inlineStr">
        <is>
          <t>Cedar Ridge Medical Center</t>
        </is>
      </c>
      <c r="D6420" t="n">
        <v>29</v>
      </c>
    </row>
    <row r="6421">
      <c r="A6421" t="inlineStr">
        <is>
          <t>ED206563</t>
        </is>
      </c>
      <c r="B6421" s="56" t="n">
        <v>45682.42222222222</v>
      </c>
      <c r="C6421" t="inlineStr">
        <is>
          <t>Bluestone Memorial Hospital</t>
        </is>
      </c>
      <c r="D6421" t="n">
        <v>91</v>
      </c>
    </row>
    <row r="6422">
      <c r="A6422" t="inlineStr">
        <is>
          <t>ED206564</t>
        </is>
      </c>
      <c r="B6422" s="56" t="n">
        <v>45682.48125</v>
      </c>
      <c r="C6422" t="inlineStr">
        <is>
          <t>Bluestone Memorial Hospital</t>
        </is>
      </c>
      <c r="D6422" t="n">
        <v>55</v>
      </c>
    </row>
    <row r="6423">
      <c r="A6423" t="inlineStr">
        <is>
          <t>ED206565</t>
        </is>
      </c>
      <c r="B6423" s="56" t="n">
        <v>45682.50138888889</v>
      </c>
      <c r="C6423" t="inlineStr">
        <is>
          <t>Bluestone Memorial Hospital</t>
        </is>
      </c>
      <c r="D6423" t="n">
        <v>46</v>
      </c>
    </row>
    <row r="6424">
      <c r="A6424" t="inlineStr">
        <is>
          <t>ED206566</t>
        </is>
      </c>
      <c r="B6424" s="56" t="n">
        <v>45682.50416666667</v>
      </c>
      <c r="C6424" t="inlineStr">
        <is>
          <t>Bluestone Memorial Hospital</t>
        </is>
      </c>
      <c r="D6424" t="n">
        <v>14</v>
      </c>
    </row>
    <row r="6425">
      <c r="A6425" t="inlineStr">
        <is>
          <t>ED206567</t>
        </is>
      </c>
      <c r="B6425" s="56" t="n">
        <v>45682.51319444444</v>
      </c>
      <c r="C6425" t="inlineStr">
        <is>
          <t>Bluestone Memorial Hospital</t>
        </is>
      </c>
      <c r="D6425" t="n">
        <v>58</v>
      </c>
    </row>
    <row r="6426">
      <c r="A6426" t="inlineStr">
        <is>
          <t>ED206568</t>
        </is>
      </c>
      <c r="B6426" s="56" t="n">
        <v>45682.51805555556</v>
      </c>
      <c r="C6426" t="inlineStr">
        <is>
          <t>Ashby Falls Community Hospital</t>
        </is>
      </c>
      <c r="D6426" t="n">
        <v>33</v>
      </c>
    </row>
    <row r="6427">
      <c r="A6427" t="inlineStr">
        <is>
          <t>ED206569</t>
        </is>
      </c>
      <c r="B6427" s="56" t="n">
        <v>45682.60208333333</v>
      </c>
      <c r="C6427" t="inlineStr">
        <is>
          <t>Cedar Ridge Medical Center</t>
        </is>
      </c>
      <c r="D6427" t="n">
        <v>23</v>
      </c>
    </row>
    <row r="6428">
      <c r="A6428" t="inlineStr">
        <is>
          <t>ED206570</t>
        </is>
      </c>
      <c r="B6428" s="56" t="n">
        <v>45682.64236111111</v>
      </c>
      <c r="C6428" t="inlineStr">
        <is>
          <t>Cedar Ridge Medical Center</t>
        </is>
      </c>
      <c r="D6428" t="n">
        <v>48</v>
      </c>
    </row>
    <row r="6429">
      <c r="A6429" t="inlineStr">
        <is>
          <t>ED206571</t>
        </is>
      </c>
      <c r="B6429" s="56" t="n">
        <v>45682.66458333333</v>
      </c>
      <c r="C6429" t="inlineStr">
        <is>
          <t>Bluestone Memorial Hospital</t>
        </is>
      </c>
      <c r="D6429" t="n">
        <v>48</v>
      </c>
    </row>
    <row r="6430">
      <c r="A6430" t="inlineStr">
        <is>
          <t>ED206572</t>
        </is>
      </c>
      <c r="B6430" s="56" t="n">
        <v>45682.675</v>
      </c>
      <c r="C6430" t="inlineStr">
        <is>
          <t>Bluestone Memorial Hospital</t>
        </is>
      </c>
      <c r="D6430" t="n">
        <v>100</v>
      </c>
    </row>
    <row r="6431">
      <c r="A6431" t="inlineStr">
        <is>
          <t>ED206573</t>
        </is>
      </c>
      <c r="B6431" s="56" t="n">
        <v>45682.7</v>
      </c>
      <c r="C6431" t="inlineStr">
        <is>
          <t>Bluestone Memorial Hospital</t>
        </is>
      </c>
      <c r="D6431" t="n">
        <v>15</v>
      </c>
    </row>
    <row r="6432">
      <c r="A6432" t="inlineStr">
        <is>
          <t>ED206574</t>
        </is>
      </c>
      <c r="B6432" s="56" t="n">
        <v>45682.70138888889</v>
      </c>
      <c r="C6432" t="inlineStr">
        <is>
          <t>Bluestone Memorial Hospital</t>
        </is>
      </c>
      <c r="D6432" t="n">
        <v>32</v>
      </c>
    </row>
    <row r="6433">
      <c r="A6433" t="inlineStr">
        <is>
          <t>ED206575</t>
        </is>
      </c>
      <c r="B6433" s="56" t="n">
        <v>45682.70625</v>
      </c>
      <c r="C6433" t="inlineStr">
        <is>
          <t>Bluestone Memorial Hospital</t>
        </is>
      </c>
      <c r="D6433" t="n">
        <v>41</v>
      </c>
    </row>
    <row r="6434">
      <c r="A6434" t="inlineStr">
        <is>
          <t>ED206576</t>
        </is>
      </c>
      <c r="B6434" s="56" t="n">
        <v>45682.70902777778</v>
      </c>
      <c r="C6434" t="inlineStr">
        <is>
          <t>Bluestone Memorial Hospital</t>
        </is>
      </c>
      <c r="D6434" t="n">
        <v>56</v>
      </c>
    </row>
    <row r="6435">
      <c r="A6435" t="inlineStr">
        <is>
          <t>ED206577</t>
        </is>
      </c>
      <c r="B6435" s="56" t="n">
        <v>45682.71319444444</v>
      </c>
      <c r="C6435" t="inlineStr">
        <is>
          <t>Bluestone Memorial Hospital</t>
        </is>
      </c>
      <c r="D6435" t="n">
        <v>64</v>
      </c>
    </row>
    <row r="6436">
      <c r="A6436" t="inlineStr">
        <is>
          <t>ED206578</t>
        </is>
      </c>
      <c r="B6436" s="56" t="n">
        <v>45682.78263888889</v>
      </c>
      <c r="C6436" t="inlineStr">
        <is>
          <t>Bluestone Memorial Hospital</t>
        </is>
      </c>
      <c r="D6436" t="n">
        <v>31</v>
      </c>
    </row>
    <row r="6437">
      <c r="A6437" t="inlineStr">
        <is>
          <t>ED206579</t>
        </is>
      </c>
      <c r="B6437" s="56" t="n">
        <v>45682.91041666667</v>
      </c>
      <c r="C6437" t="inlineStr">
        <is>
          <t>Cedar Ridge Medical Center</t>
        </is>
      </c>
      <c r="D6437" t="n">
        <v>28</v>
      </c>
    </row>
    <row r="6438">
      <c r="A6438" t="inlineStr">
        <is>
          <t>ED206580</t>
        </is>
      </c>
      <c r="B6438" s="56" t="n">
        <v>45682.91388888889</v>
      </c>
      <c r="C6438" t="inlineStr">
        <is>
          <t>Bluestone Memorial Hospital</t>
        </is>
      </c>
      <c r="D6438" t="n">
        <v>10</v>
      </c>
    </row>
    <row r="6439">
      <c r="A6439" t="inlineStr">
        <is>
          <t>ED206581</t>
        </is>
      </c>
      <c r="B6439" s="56" t="n">
        <v>45682.99444444444</v>
      </c>
      <c r="C6439" t="inlineStr">
        <is>
          <t>Bluestone Memorial Hospital</t>
        </is>
      </c>
      <c r="D6439" t="n">
        <v>15</v>
      </c>
    </row>
    <row r="6440">
      <c r="A6440" t="inlineStr">
        <is>
          <t>ED206582</t>
        </is>
      </c>
      <c r="B6440" s="56" t="n">
        <v>45683.12361111111</v>
      </c>
      <c r="C6440" t="inlineStr">
        <is>
          <t>Bluestone Memorial Hospital</t>
        </is>
      </c>
      <c r="D6440" t="n">
        <v>58</v>
      </c>
    </row>
    <row r="6441">
      <c r="A6441" t="inlineStr">
        <is>
          <t>ED206583</t>
        </is>
      </c>
      <c r="B6441" s="56" t="n">
        <v>45683.14097222222</v>
      </c>
      <c r="C6441" t="inlineStr">
        <is>
          <t>Bluestone Memorial Hospital</t>
        </is>
      </c>
      <c r="D6441" t="n">
        <v>15</v>
      </c>
    </row>
    <row r="6442">
      <c r="A6442" t="inlineStr">
        <is>
          <t>ED206584</t>
        </is>
      </c>
      <c r="B6442" s="56" t="n">
        <v>45683.16527777778</v>
      </c>
      <c r="C6442" t="inlineStr">
        <is>
          <t>Bluestone Memorial Hospital</t>
        </is>
      </c>
      <c r="D6442" t="n">
        <v>27</v>
      </c>
    </row>
    <row r="6443">
      <c r="A6443" t="inlineStr">
        <is>
          <t>ED206585</t>
        </is>
      </c>
      <c r="B6443" s="56" t="n">
        <v>45683.17777777778</v>
      </c>
      <c r="C6443" t="inlineStr">
        <is>
          <t>Ashby Falls Community Hospital</t>
        </is>
      </c>
      <c r="D6443" t="n">
        <v>14</v>
      </c>
    </row>
    <row r="6444">
      <c r="A6444" t="inlineStr">
        <is>
          <t>ED206586</t>
        </is>
      </c>
      <c r="B6444" s="56" t="n">
        <v>45683.28194444445</v>
      </c>
      <c r="C6444" t="inlineStr">
        <is>
          <t>Bluestone Memorial Hospital</t>
        </is>
      </c>
      <c r="D6444" t="n">
        <v>12</v>
      </c>
    </row>
    <row r="6445">
      <c r="A6445" t="inlineStr">
        <is>
          <t>ED206587</t>
        </is>
      </c>
      <c r="B6445" s="56" t="n">
        <v>45683.29791666667</v>
      </c>
      <c r="C6445" t="inlineStr">
        <is>
          <t>Bluestone Memorial Hospital</t>
        </is>
      </c>
      <c r="D6445" t="n">
        <v>40</v>
      </c>
    </row>
    <row r="6446">
      <c r="A6446" t="inlineStr">
        <is>
          <t>ED206588</t>
        </is>
      </c>
      <c r="B6446" s="56" t="n">
        <v>45683.37083333333</v>
      </c>
      <c r="C6446" t="inlineStr">
        <is>
          <t>Bluestone Memorial Hospital</t>
        </is>
      </c>
      <c r="D6446" t="n">
        <v>50</v>
      </c>
    </row>
    <row r="6447">
      <c r="A6447" t="inlineStr">
        <is>
          <t>ED206589</t>
        </is>
      </c>
      <c r="B6447" s="56" t="n">
        <v>45683.37638888889</v>
      </c>
      <c r="C6447" t="inlineStr">
        <is>
          <t>Ashby Falls Community Hospital</t>
        </is>
      </c>
      <c r="D6447" t="n">
        <v>76</v>
      </c>
    </row>
    <row r="6448">
      <c r="A6448" t="inlineStr">
        <is>
          <t>ED206590</t>
        </is>
      </c>
      <c r="B6448" s="56" t="n">
        <v>45683.41041666667</v>
      </c>
      <c r="C6448" t="inlineStr">
        <is>
          <t>Bluestone Memorial Hospital</t>
        </is>
      </c>
      <c r="D6448" t="n">
        <v>46</v>
      </c>
    </row>
    <row r="6449">
      <c r="A6449" t="inlineStr">
        <is>
          <t>ED206591</t>
        </is>
      </c>
      <c r="B6449" s="56" t="n">
        <v>45683.41805555556</v>
      </c>
      <c r="C6449" t="inlineStr">
        <is>
          <t>Bluestone Memorial Hospital</t>
        </is>
      </c>
      <c r="D6449" t="n">
        <v>38</v>
      </c>
    </row>
    <row r="6450">
      <c r="A6450" t="inlineStr">
        <is>
          <t>ED206592</t>
        </is>
      </c>
      <c r="B6450" s="56" t="n">
        <v>45683.49791666667</v>
      </c>
      <c r="C6450" t="inlineStr">
        <is>
          <t>Cedar Ridge Medical Center</t>
        </is>
      </c>
      <c r="D6450" t="n">
        <v>182</v>
      </c>
    </row>
    <row r="6451">
      <c r="A6451" t="inlineStr">
        <is>
          <t>ED206593</t>
        </is>
      </c>
      <c r="B6451" s="56" t="n">
        <v>45683.52083333334</v>
      </c>
      <c r="C6451" t="inlineStr">
        <is>
          <t>Bluestone Memorial Hospital</t>
        </is>
      </c>
      <c r="D6451" t="n">
        <v>81</v>
      </c>
    </row>
    <row r="6452">
      <c r="A6452" t="inlineStr">
        <is>
          <t>ED206594</t>
        </is>
      </c>
      <c r="B6452" s="56" t="n">
        <v>45683.52222222222</v>
      </c>
      <c r="C6452" t="inlineStr">
        <is>
          <t>Cedar Ridge Medical Center</t>
        </is>
      </c>
      <c r="D6452" t="n">
        <v>113</v>
      </c>
    </row>
    <row r="6453">
      <c r="A6453" t="inlineStr">
        <is>
          <t>ED206595</t>
        </is>
      </c>
      <c r="B6453" s="56" t="n">
        <v>45683.52777777778</v>
      </c>
      <c r="C6453" t="inlineStr">
        <is>
          <t>Bluestone Memorial Hospital</t>
        </is>
      </c>
      <c r="D6453" t="n">
        <v>34</v>
      </c>
    </row>
    <row r="6454">
      <c r="A6454" t="inlineStr">
        <is>
          <t>ED206596</t>
        </is>
      </c>
      <c r="B6454" s="56" t="n">
        <v>45683.52986111111</v>
      </c>
      <c r="C6454" t="inlineStr">
        <is>
          <t>Bluestone Memorial Hospital</t>
        </is>
      </c>
      <c r="D6454" t="n">
        <v>90</v>
      </c>
    </row>
    <row r="6455">
      <c r="A6455" t="inlineStr">
        <is>
          <t>ED206597</t>
        </is>
      </c>
      <c r="B6455" s="56" t="n">
        <v>45683.53333333333</v>
      </c>
      <c r="C6455" t="inlineStr">
        <is>
          <t>Cedar Ridge Medical Center</t>
        </is>
      </c>
      <c r="D6455" t="n">
        <v>102</v>
      </c>
    </row>
    <row r="6456">
      <c r="A6456" t="inlineStr">
        <is>
          <t>ED206598</t>
        </is>
      </c>
      <c r="B6456" s="56" t="n">
        <v>45683.53680555556</v>
      </c>
      <c r="C6456" t="inlineStr">
        <is>
          <t>Bluestone Memorial Hospital</t>
        </is>
      </c>
      <c r="D6456" t="n">
        <v>28</v>
      </c>
    </row>
    <row r="6457">
      <c r="A6457" t="inlineStr">
        <is>
          <t>ED206599</t>
        </is>
      </c>
      <c r="B6457" s="56" t="n">
        <v>45683.54236111111</v>
      </c>
      <c r="C6457" t="inlineStr">
        <is>
          <t>Bluestone Memorial Hospital</t>
        </is>
      </c>
      <c r="D6457" t="n">
        <v>30</v>
      </c>
    </row>
    <row r="6458">
      <c r="A6458" t="inlineStr">
        <is>
          <t>ED206600</t>
        </is>
      </c>
      <c r="B6458" s="56" t="n">
        <v>45683.55069444444</v>
      </c>
      <c r="C6458" t="inlineStr">
        <is>
          <t>Bluestone Memorial Hospital</t>
        </is>
      </c>
      <c r="D6458" t="n">
        <v>20</v>
      </c>
    </row>
    <row r="6459">
      <c r="A6459" t="inlineStr">
        <is>
          <t>ED206601</t>
        </is>
      </c>
      <c r="B6459" s="56" t="n">
        <v>45683.61111111111</v>
      </c>
      <c r="C6459" t="inlineStr">
        <is>
          <t>Bluestone Memorial Hospital</t>
        </is>
      </c>
      <c r="D6459" t="n">
        <v>33</v>
      </c>
    </row>
    <row r="6460">
      <c r="A6460" t="inlineStr">
        <is>
          <t>ED206602</t>
        </is>
      </c>
      <c r="B6460" s="56" t="n">
        <v>45683.61111111111</v>
      </c>
      <c r="C6460" t="inlineStr">
        <is>
          <t>Cedar Ridge Medical Center</t>
        </is>
      </c>
      <c r="D6460" t="n">
        <v>53</v>
      </c>
    </row>
    <row r="6461">
      <c r="A6461" t="inlineStr">
        <is>
          <t>ED206603</t>
        </is>
      </c>
      <c r="B6461" s="56" t="n">
        <v>45683.61597222222</v>
      </c>
      <c r="C6461" t="inlineStr">
        <is>
          <t>Cedar Ridge Medical Center</t>
        </is>
      </c>
      <c r="D6461" t="n">
        <v>74</v>
      </c>
    </row>
    <row r="6462">
      <c r="A6462" t="inlineStr">
        <is>
          <t>ED206604</t>
        </is>
      </c>
      <c r="B6462" s="56" t="n">
        <v>45683.67222222222</v>
      </c>
      <c r="C6462" t="inlineStr">
        <is>
          <t>Bluestone Memorial Hospital</t>
        </is>
      </c>
      <c r="D6462" t="n">
        <v>59</v>
      </c>
    </row>
    <row r="6463">
      <c r="A6463" t="inlineStr">
        <is>
          <t>ED206605</t>
        </is>
      </c>
      <c r="B6463" s="56" t="n">
        <v>45683.675</v>
      </c>
      <c r="C6463" t="inlineStr">
        <is>
          <t>Bluestone Memorial Hospital</t>
        </is>
      </c>
      <c r="D6463" t="n">
        <v>75</v>
      </c>
    </row>
    <row r="6464">
      <c r="A6464" t="inlineStr">
        <is>
          <t>ED206606</t>
        </is>
      </c>
      <c r="B6464" s="56" t="n">
        <v>45683.74722222222</v>
      </c>
      <c r="C6464" t="inlineStr">
        <is>
          <t>Bluestone Memorial Hospital</t>
        </is>
      </c>
      <c r="D6464" t="n">
        <v>53</v>
      </c>
    </row>
    <row r="6465">
      <c r="A6465" t="inlineStr">
        <is>
          <t>ED206607</t>
        </is>
      </c>
      <c r="B6465" s="56" t="n">
        <v>45683.75138888889</v>
      </c>
      <c r="C6465" t="inlineStr">
        <is>
          <t>Bluestone Memorial Hospital</t>
        </is>
      </c>
      <c r="D6465" t="n">
        <v>49</v>
      </c>
    </row>
    <row r="6466">
      <c r="A6466" t="inlineStr">
        <is>
          <t>ED206608</t>
        </is>
      </c>
      <c r="B6466" s="56" t="n">
        <v>45683.76041666666</v>
      </c>
      <c r="C6466" t="inlineStr">
        <is>
          <t>Bluestone Memorial Hospital</t>
        </is>
      </c>
      <c r="D6466" t="n">
        <v>35</v>
      </c>
    </row>
    <row r="6467">
      <c r="A6467" t="inlineStr">
        <is>
          <t>ED206609</t>
        </is>
      </c>
      <c r="B6467" s="56" t="n">
        <v>45683.82569444444</v>
      </c>
      <c r="C6467" t="inlineStr">
        <is>
          <t>Bluestone Memorial Hospital</t>
        </is>
      </c>
      <c r="D6467" t="n">
        <v>50</v>
      </c>
    </row>
    <row r="6468">
      <c r="A6468" t="inlineStr">
        <is>
          <t>ED206610</t>
        </is>
      </c>
      <c r="B6468" s="56" t="n">
        <v>45683.85555555556</v>
      </c>
      <c r="C6468" t="inlineStr">
        <is>
          <t>Bluestone Memorial Hospital</t>
        </is>
      </c>
      <c r="D6468" t="n">
        <v>2</v>
      </c>
    </row>
    <row r="6469">
      <c r="A6469" t="inlineStr">
        <is>
          <t>ED206611</t>
        </is>
      </c>
      <c r="B6469" s="56" t="n">
        <v>45684.08263888889</v>
      </c>
      <c r="C6469" t="inlineStr">
        <is>
          <t>Bluestone Memorial Hospital</t>
        </is>
      </c>
      <c r="D6469" t="n">
        <v>73</v>
      </c>
    </row>
    <row r="6470">
      <c r="A6470" t="inlineStr">
        <is>
          <t>ED206612</t>
        </is>
      </c>
      <c r="B6470" s="56" t="n">
        <v>45684.275</v>
      </c>
      <c r="C6470" t="inlineStr">
        <is>
          <t>Bluestone Memorial Hospital</t>
        </is>
      </c>
      <c r="D6470" t="n">
        <v>147</v>
      </c>
    </row>
    <row r="6471">
      <c r="A6471" t="inlineStr">
        <is>
          <t>ED206613</t>
        </is>
      </c>
      <c r="B6471" s="56" t="n">
        <v>45684.27638888889</v>
      </c>
      <c r="C6471" t="inlineStr">
        <is>
          <t>Ashby Falls Community Hospital</t>
        </is>
      </c>
      <c r="D6471" t="n">
        <v>75</v>
      </c>
    </row>
    <row r="6472">
      <c r="A6472" t="inlineStr">
        <is>
          <t>ED206614</t>
        </is>
      </c>
      <c r="B6472" s="56" t="n">
        <v>45684.40972222222</v>
      </c>
      <c r="C6472" t="inlineStr">
        <is>
          <t>Bluestone Memorial Hospital</t>
        </is>
      </c>
      <c r="D6472" t="n">
        <v>83</v>
      </c>
    </row>
    <row r="6473">
      <c r="A6473" t="inlineStr">
        <is>
          <t>ED206615</t>
        </is>
      </c>
      <c r="B6473" s="56" t="n">
        <v>45684.49444444444</v>
      </c>
      <c r="C6473" t="inlineStr">
        <is>
          <t>Cedar Ridge Medical Center</t>
        </is>
      </c>
      <c r="D6473" t="n">
        <v>23</v>
      </c>
    </row>
    <row r="6474">
      <c r="A6474" t="inlineStr">
        <is>
          <t>ED206616</t>
        </is>
      </c>
      <c r="B6474" s="56" t="n">
        <v>45684.575</v>
      </c>
      <c r="C6474" t="inlineStr">
        <is>
          <t>Bluestone Memorial Hospital</t>
        </is>
      </c>
      <c r="D6474" t="n">
        <v>47</v>
      </c>
    </row>
    <row r="6475">
      <c r="A6475" t="inlineStr">
        <is>
          <t>ED206617</t>
        </is>
      </c>
      <c r="B6475" s="56" t="n">
        <v>45684.59583333333</v>
      </c>
      <c r="C6475" t="inlineStr">
        <is>
          <t>Bluestone Memorial Hospital</t>
        </is>
      </c>
      <c r="D6475" t="n">
        <v>24</v>
      </c>
    </row>
    <row r="6476">
      <c r="A6476" t="inlineStr">
        <is>
          <t>ED206618</t>
        </is>
      </c>
      <c r="B6476" s="56" t="n">
        <v>45684.59861111111</v>
      </c>
      <c r="C6476" t="inlineStr">
        <is>
          <t>Bluestone Memorial Hospital</t>
        </is>
      </c>
      <c r="D6476" t="n">
        <v>70</v>
      </c>
    </row>
    <row r="6477">
      <c r="A6477" t="inlineStr">
        <is>
          <t>ED206619</t>
        </is>
      </c>
      <c r="B6477" s="56" t="n">
        <v>45684.60486111111</v>
      </c>
      <c r="C6477" t="inlineStr">
        <is>
          <t>Bluestone Memorial Hospital</t>
        </is>
      </c>
      <c r="D6477" t="n">
        <v>54</v>
      </c>
    </row>
    <row r="6478">
      <c r="A6478" t="inlineStr">
        <is>
          <t>ED206620</t>
        </is>
      </c>
      <c r="B6478" s="56" t="n">
        <v>45684.73958333334</v>
      </c>
      <c r="C6478" t="inlineStr">
        <is>
          <t>Bluestone Memorial Hospital</t>
        </is>
      </c>
      <c r="D6478" t="n">
        <v>27</v>
      </c>
    </row>
    <row r="6479">
      <c r="A6479" t="inlineStr">
        <is>
          <t>ED206621</t>
        </is>
      </c>
      <c r="B6479" s="56" t="n">
        <v>45684.75625</v>
      </c>
      <c r="C6479" t="inlineStr">
        <is>
          <t>Ashby Falls Community Hospital</t>
        </is>
      </c>
      <c r="D6479" t="n">
        <v>74</v>
      </c>
    </row>
    <row r="6480">
      <c r="A6480" t="inlineStr">
        <is>
          <t>ED206622</t>
        </is>
      </c>
      <c r="B6480" s="56" t="n">
        <v>45684.75694444445</v>
      </c>
      <c r="C6480" t="inlineStr">
        <is>
          <t>Bluestone Memorial Hospital</t>
        </is>
      </c>
      <c r="D6480" t="n">
        <v>25</v>
      </c>
    </row>
    <row r="6481">
      <c r="A6481" t="inlineStr">
        <is>
          <t>ED206623</t>
        </is>
      </c>
      <c r="B6481" s="56" t="n">
        <v>45684.81041666667</v>
      </c>
      <c r="C6481" t="inlineStr">
        <is>
          <t>Ashby Falls Community Hospital</t>
        </is>
      </c>
      <c r="D6481" t="n">
        <v>214</v>
      </c>
    </row>
    <row r="6482">
      <c r="A6482" t="inlineStr">
        <is>
          <t>ED206624</t>
        </is>
      </c>
      <c r="B6482" s="56" t="n">
        <v>45684.84166666667</v>
      </c>
      <c r="C6482" t="inlineStr">
        <is>
          <t>Ashby Falls Community Hospital</t>
        </is>
      </c>
      <c r="D6482" t="n">
        <v>46</v>
      </c>
    </row>
    <row r="6483">
      <c r="A6483" t="inlineStr">
        <is>
          <t>ED206625</t>
        </is>
      </c>
      <c r="B6483" s="56" t="n">
        <v>45684.84444444445</v>
      </c>
      <c r="C6483" t="inlineStr">
        <is>
          <t>Ashby Falls Community Hospital</t>
        </is>
      </c>
      <c r="D6483" t="n">
        <v>33</v>
      </c>
    </row>
    <row r="6484">
      <c r="A6484" t="inlineStr">
        <is>
          <t>ED206626</t>
        </is>
      </c>
      <c r="B6484" s="56" t="n">
        <v>45684.85972222222</v>
      </c>
      <c r="C6484" t="inlineStr">
        <is>
          <t>Bluestone Memorial Hospital</t>
        </is>
      </c>
      <c r="D6484" t="n">
        <v>62</v>
      </c>
    </row>
    <row r="6485">
      <c r="A6485" t="inlineStr">
        <is>
          <t>ED206627</t>
        </is>
      </c>
      <c r="B6485" s="56" t="n">
        <v>45684.88541666666</v>
      </c>
      <c r="C6485" t="inlineStr">
        <is>
          <t>Bluestone Memorial Hospital</t>
        </is>
      </c>
      <c r="D6485" t="n">
        <v>13</v>
      </c>
    </row>
    <row r="6486">
      <c r="A6486" t="inlineStr">
        <is>
          <t>ED206628</t>
        </is>
      </c>
      <c r="B6486" s="56" t="n">
        <v>45684.90069444444</v>
      </c>
      <c r="C6486" t="inlineStr">
        <is>
          <t>Ashby Falls Community Hospital</t>
        </is>
      </c>
      <c r="D6486" t="n">
        <v>40</v>
      </c>
    </row>
    <row r="6487">
      <c r="A6487" t="inlineStr">
        <is>
          <t>ED206629</t>
        </is>
      </c>
      <c r="B6487" s="56" t="n">
        <v>45685.175</v>
      </c>
      <c r="C6487" t="inlineStr">
        <is>
          <t>Cedar Ridge Medical Center</t>
        </is>
      </c>
      <c r="D6487" t="n">
        <v>39</v>
      </c>
    </row>
    <row r="6488">
      <c r="A6488" t="inlineStr">
        <is>
          <t>ED206630</t>
        </is>
      </c>
      <c r="B6488" s="56" t="n">
        <v>45685.32083333333</v>
      </c>
      <c r="C6488" t="inlineStr">
        <is>
          <t>Bluestone Memorial Hospital</t>
        </is>
      </c>
      <c r="D6488" t="n">
        <v>37</v>
      </c>
    </row>
    <row r="6489">
      <c r="A6489" t="inlineStr">
        <is>
          <t>ED206631</t>
        </is>
      </c>
      <c r="B6489" s="56" t="n">
        <v>45685.41388888889</v>
      </c>
      <c r="C6489" t="inlineStr">
        <is>
          <t>Bluestone Memorial Hospital</t>
        </is>
      </c>
      <c r="D6489" t="n">
        <v>36</v>
      </c>
    </row>
    <row r="6490">
      <c r="A6490" t="inlineStr">
        <is>
          <t>ED206632</t>
        </is>
      </c>
      <c r="B6490" s="56" t="n">
        <v>45685.49027777778</v>
      </c>
      <c r="C6490" t="inlineStr">
        <is>
          <t>Ashby Falls Community Hospital</t>
        </is>
      </c>
      <c r="D6490" t="n">
        <v>138</v>
      </c>
    </row>
    <row r="6491">
      <c r="A6491" t="inlineStr">
        <is>
          <t>ED206633</t>
        </is>
      </c>
      <c r="B6491" s="56" t="n">
        <v>45685.50416666667</v>
      </c>
      <c r="C6491" t="inlineStr">
        <is>
          <t>Bluestone Memorial Hospital</t>
        </is>
      </c>
      <c r="D6491" t="n">
        <v>46</v>
      </c>
    </row>
    <row r="6492">
      <c r="A6492" t="inlineStr">
        <is>
          <t>ED206634</t>
        </is>
      </c>
      <c r="B6492" s="56" t="n">
        <v>45685.51041666666</v>
      </c>
      <c r="C6492" t="inlineStr">
        <is>
          <t>Ashby Falls Community Hospital</t>
        </is>
      </c>
      <c r="D6492" t="n">
        <v>41</v>
      </c>
    </row>
    <row r="6493">
      <c r="A6493" t="inlineStr">
        <is>
          <t>ED206635</t>
        </is>
      </c>
      <c r="B6493" s="56" t="n">
        <v>45685.56041666667</v>
      </c>
      <c r="C6493" t="inlineStr">
        <is>
          <t>Bluestone Memorial Hospital</t>
        </is>
      </c>
      <c r="D6493" t="n">
        <v>102</v>
      </c>
    </row>
    <row r="6494">
      <c r="A6494" t="inlineStr">
        <is>
          <t>ED206636</t>
        </is>
      </c>
      <c r="B6494" s="56" t="n">
        <v>45685.58541666667</v>
      </c>
      <c r="C6494" t="inlineStr">
        <is>
          <t>Bluestone Memorial Hospital</t>
        </is>
      </c>
      <c r="D6494" t="n">
        <v>56</v>
      </c>
    </row>
    <row r="6495">
      <c r="A6495" t="inlineStr">
        <is>
          <t>ED206637</t>
        </is>
      </c>
      <c r="B6495" s="56" t="n">
        <v>45685.58819444444</v>
      </c>
      <c r="C6495" t="inlineStr">
        <is>
          <t>Bluestone Memorial Hospital</t>
        </is>
      </c>
      <c r="D6495" t="n">
        <v>87</v>
      </c>
    </row>
    <row r="6496">
      <c r="A6496" t="inlineStr">
        <is>
          <t>ED206638</t>
        </is>
      </c>
      <c r="B6496" s="56" t="n">
        <v>45685.62777777778</v>
      </c>
      <c r="C6496" t="inlineStr">
        <is>
          <t>Bluestone Memorial Hospital</t>
        </is>
      </c>
      <c r="D6496" t="n">
        <v>4</v>
      </c>
    </row>
    <row r="6497">
      <c r="A6497" t="inlineStr">
        <is>
          <t>ED206639</t>
        </is>
      </c>
      <c r="B6497" s="56" t="n">
        <v>45685.65208333333</v>
      </c>
      <c r="C6497" t="inlineStr">
        <is>
          <t>Cedar Ridge Medical Center</t>
        </is>
      </c>
      <c r="D6497" t="n">
        <v>22</v>
      </c>
    </row>
    <row r="6498">
      <c r="A6498" t="inlineStr">
        <is>
          <t>ED206640</t>
        </is>
      </c>
      <c r="B6498" s="56" t="n">
        <v>45685.67430555556</v>
      </c>
      <c r="C6498" t="inlineStr">
        <is>
          <t>Bluestone Memorial Hospital</t>
        </is>
      </c>
      <c r="D6498" t="n">
        <v>17</v>
      </c>
    </row>
    <row r="6499">
      <c r="A6499" t="inlineStr">
        <is>
          <t>ED206641</t>
        </is>
      </c>
      <c r="B6499" s="56" t="n">
        <v>45685.76319444444</v>
      </c>
      <c r="C6499" t="inlineStr">
        <is>
          <t>Bluestone Memorial Hospital</t>
        </is>
      </c>
      <c r="D6499" t="n">
        <v>28</v>
      </c>
    </row>
    <row r="6500">
      <c r="A6500" t="inlineStr">
        <is>
          <t>ED206642</t>
        </is>
      </c>
      <c r="B6500" s="56" t="n">
        <v>45685.77708333333</v>
      </c>
      <c r="C6500" t="inlineStr">
        <is>
          <t>Ashby Falls Community Hospital</t>
        </is>
      </c>
      <c r="D6500" t="n">
        <v>41</v>
      </c>
    </row>
    <row r="6501">
      <c r="A6501" t="inlineStr">
        <is>
          <t>ED206643</t>
        </is>
      </c>
      <c r="B6501" s="56" t="n">
        <v>45685.77986111111</v>
      </c>
      <c r="C6501" t="inlineStr">
        <is>
          <t>Cedar Ridge Medical Center</t>
        </is>
      </c>
      <c r="D6501" t="n">
        <v>46</v>
      </c>
    </row>
    <row r="6502">
      <c r="A6502" t="inlineStr">
        <is>
          <t>ED206644</t>
        </is>
      </c>
      <c r="B6502" s="56" t="n">
        <v>45685.84305555555</v>
      </c>
      <c r="C6502" t="inlineStr">
        <is>
          <t>Ashby Falls Community Hospital</t>
        </is>
      </c>
      <c r="D6502" t="n">
        <v>148</v>
      </c>
    </row>
    <row r="6503">
      <c r="A6503" t="inlineStr">
        <is>
          <t>ED206645</t>
        </is>
      </c>
      <c r="B6503" s="56" t="n">
        <v>45685.9</v>
      </c>
      <c r="C6503" t="inlineStr">
        <is>
          <t>Ashby Falls Community Hospital</t>
        </is>
      </c>
      <c r="D6503" t="n">
        <v>84</v>
      </c>
    </row>
    <row r="6504">
      <c r="A6504" t="inlineStr">
        <is>
          <t>ED206646</t>
        </is>
      </c>
      <c r="B6504" s="56" t="n">
        <v>45685.91875</v>
      </c>
      <c r="C6504" t="inlineStr">
        <is>
          <t>Bluestone Memorial Hospital</t>
        </is>
      </c>
      <c r="D6504" t="n">
        <v>86</v>
      </c>
    </row>
    <row r="6505">
      <c r="A6505" t="inlineStr">
        <is>
          <t>ED206647</t>
        </is>
      </c>
      <c r="B6505" s="56" t="n">
        <v>45685.925</v>
      </c>
      <c r="C6505" t="inlineStr">
        <is>
          <t>Bluestone Memorial Hospital</t>
        </is>
      </c>
      <c r="D6505" t="n">
        <v>19</v>
      </c>
    </row>
    <row r="6506">
      <c r="A6506" t="inlineStr">
        <is>
          <t>ED206648</t>
        </is>
      </c>
      <c r="B6506" s="56" t="n">
        <v>45685.92777777778</v>
      </c>
      <c r="C6506" t="inlineStr">
        <is>
          <t>Bluestone Memorial Hospital</t>
        </is>
      </c>
      <c r="D6506" t="n">
        <v>61</v>
      </c>
    </row>
    <row r="6507">
      <c r="A6507" t="inlineStr">
        <is>
          <t>ED206649</t>
        </is>
      </c>
      <c r="B6507" s="56" t="n">
        <v>45685.93611111111</v>
      </c>
      <c r="C6507" t="inlineStr">
        <is>
          <t>Bluestone Memorial Hospital</t>
        </is>
      </c>
      <c r="D6507" t="n">
        <v>218</v>
      </c>
    </row>
    <row r="6508">
      <c r="A6508" t="inlineStr">
        <is>
          <t>ED206650</t>
        </is>
      </c>
      <c r="B6508" s="56" t="n">
        <v>45685.97083333333</v>
      </c>
      <c r="C6508" t="inlineStr">
        <is>
          <t>Bluestone Memorial Hospital</t>
        </is>
      </c>
      <c r="D6508" t="n">
        <v>95</v>
      </c>
    </row>
    <row r="6509">
      <c r="A6509" t="inlineStr">
        <is>
          <t>ED206651</t>
        </is>
      </c>
      <c r="B6509" s="56" t="n">
        <v>45686.32152777778</v>
      </c>
      <c r="C6509" t="inlineStr">
        <is>
          <t>Bluestone Memorial Hospital</t>
        </is>
      </c>
      <c r="D6509" t="n">
        <v>19</v>
      </c>
    </row>
    <row r="6510">
      <c r="A6510" t="inlineStr">
        <is>
          <t>ED206652</t>
        </is>
      </c>
      <c r="B6510" s="56" t="n">
        <v>45686.33819444444</v>
      </c>
      <c r="C6510" t="inlineStr">
        <is>
          <t>Bluestone Memorial Hospital</t>
        </is>
      </c>
      <c r="D6510" t="n">
        <v>44</v>
      </c>
    </row>
    <row r="6511">
      <c r="A6511" t="inlineStr">
        <is>
          <t>ED206653</t>
        </is>
      </c>
      <c r="B6511" s="56" t="n">
        <v>45686.45208333333</v>
      </c>
      <c r="C6511" t="inlineStr">
        <is>
          <t>Bluestone Memorial Hospital</t>
        </is>
      </c>
      <c r="D6511" t="n">
        <v>94</v>
      </c>
    </row>
    <row r="6512">
      <c r="A6512" t="inlineStr">
        <is>
          <t>ED206654</t>
        </is>
      </c>
      <c r="B6512" s="56" t="n">
        <v>45686.45277777778</v>
      </c>
      <c r="C6512" t="inlineStr">
        <is>
          <t>Bluestone Memorial Hospital</t>
        </is>
      </c>
      <c r="D6512" t="n">
        <v>20</v>
      </c>
    </row>
    <row r="6513">
      <c r="A6513" t="inlineStr">
        <is>
          <t>ED206655</t>
        </is>
      </c>
      <c r="B6513" s="56" t="n">
        <v>45686.475</v>
      </c>
      <c r="C6513" t="inlineStr">
        <is>
          <t>Cedar Ridge Medical Center</t>
        </is>
      </c>
      <c r="D6513" t="n">
        <v>81</v>
      </c>
    </row>
    <row r="6514">
      <c r="A6514" t="inlineStr">
        <is>
          <t>ED206656</t>
        </is>
      </c>
      <c r="B6514" s="56" t="n">
        <v>45686.48055555556</v>
      </c>
      <c r="C6514" t="inlineStr">
        <is>
          <t>Bluestone Memorial Hospital</t>
        </is>
      </c>
      <c r="D6514" t="n">
        <v>45</v>
      </c>
    </row>
    <row r="6515">
      <c r="A6515" t="inlineStr">
        <is>
          <t>ED206657</t>
        </is>
      </c>
      <c r="B6515" s="56" t="n">
        <v>45686.51111111111</v>
      </c>
      <c r="C6515" t="inlineStr">
        <is>
          <t>Bluestone Memorial Hospital</t>
        </is>
      </c>
      <c r="D6515" t="n">
        <v>125</v>
      </c>
    </row>
    <row r="6516">
      <c r="A6516" t="inlineStr">
        <is>
          <t>ED206658</t>
        </is>
      </c>
      <c r="B6516" s="56" t="n">
        <v>45686.54861111111</v>
      </c>
      <c r="C6516" t="inlineStr">
        <is>
          <t>Ashby Falls Community Hospital</t>
        </is>
      </c>
      <c r="D6516" t="n">
        <v>56</v>
      </c>
    </row>
    <row r="6517">
      <c r="A6517" t="inlineStr">
        <is>
          <t>ED206659</t>
        </is>
      </c>
      <c r="B6517" s="56" t="n">
        <v>45686.55277777778</v>
      </c>
      <c r="C6517" t="inlineStr">
        <is>
          <t>Bluestone Memorial Hospital</t>
        </is>
      </c>
      <c r="D6517" t="n">
        <v>63</v>
      </c>
    </row>
    <row r="6518">
      <c r="A6518" t="inlineStr">
        <is>
          <t>ED206660</t>
        </is>
      </c>
      <c r="B6518" s="56" t="n">
        <v>45686.56944444445</v>
      </c>
      <c r="C6518" t="inlineStr">
        <is>
          <t>Cedar Ridge Medical Center</t>
        </is>
      </c>
      <c r="D6518" t="n">
        <v>43</v>
      </c>
    </row>
    <row r="6519">
      <c r="A6519" t="inlineStr">
        <is>
          <t>ED206661</t>
        </is>
      </c>
      <c r="B6519" s="56" t="n">
        <v>45686.57361111111</v>
      </c>
      <c r="C6519" t="inlineStr">
        <is>
          <t>Cedar Ridge Medical Center</t>
        </is>
      </c>
      <c r="D6519" t="n">
        <v>9</v>
      </c>
    </row>
    <row r="6520">
      <c r="A6520" t="inlineStr">
        <is>
          <t>ED206662</t>
        </is>
      </c>
      <c r="B6520" s="56" t="n">
        <v>45686.58263888889</v>
      </c>
      <c r="C6520" t="inlineStr">
        <is>
          <t>Cedar Ridge Medical Center</t>
        </is>
      </c>
      <c r="D6520" t="n">
        <v>58</v>
      </c>
    </row>
    <row r="6521">
      <c r="A6521" t="inlineStr">
        <is>
          <t>ED206663</t>
        </is>
      </c>
      <c r="B6521" s="56" t="n">
        <v>45686.59513888889</v>
      </c>
      <c r="C6521" t="inlineStr">
        <is>
          <t>Bluestone Memorial Hospital</t>
        </is>
      </c>
      <c r="D6521" t="n">
        <v>15</v>
      </c>
    </row>
    <row r="6522">
      <c r="A6522" t="inlineStr">
        <is>
          <t>ED206664</t>
        </is>
      </c>
      <c r="B6522" s="56" t="n">
        <v>45686.69791666666</v>
      </c>
      <c r="C6522" t="inlineStr">
        <is>
          <t>Ashby Falls Community Hospital</t>
        </is>
      </c>
      <c r="D6522" t="n">
        <v>3</v>
      </c>
    </row>
    <row r="6523">
      <c r="A6523" t="inlineStr">
        <is>
          <t>ED206665</t>
        </is>
      </c>
      <c r="B6523" s="56" t="n">
        <v>45686.81597222222</v>
      </c>
      <c r="C6523" t="inlineStr">
        <is>
          <t>Bluestone Memorial Hospital</t>
        </is>
      </c>
      <c r="D6523" t="n">
        <v>78</v>
      </c>
    </row>
    <row r="6524">
      <c r="A6524" t="inlineStr">
        <is>
          <t>ED206667</t>
        </is>
      </c>
      <c r="B6524" s="56" t="n">
        <v>45686.84097222222</v>
      </c>
      <c r="C6524" t="inlineStr">
        <is>
          <t>Bluestone Memorial Hospital</t>
        </is>
      </c>
      <c r="D6524" t="n">
        <v>5</v>
      </c>
    </row>
    <row r="6525">
      <c r="A6525" t="inlineStr">
        <is>
          <t>ED206668</t>
        </is>
      </c>
      <c r="B6525" s="56" t="n">
        <v>45686.86041666667</v>
      </c>
      <c r="C6525" t="inlineStr">
        <is>
          <t>Bluestone Memorial Hospital</t>
        </is>
      </c>
      <c r="D6525" t="n">
        <v>52</v>
      </c>
    </row>
    <row r="6526">
      <c r="A6526" t="inlineStr">
        <is>
          <t>ED206669</t>
        </is>
      </c>
      <c r="B6526" s="56" t="n">
        <v>45686.95</v>
      </c>
      <c r="C6526" t="inlineStr">
        <is>
          <t>Bluestone Memorial Hospital</t>
        </is>
      </c>
      <c r="D6526" t="n">
        <v>49</v>
      </c>
    </row>
    <row r="6527">
      <c r="A6527" t="inlineStr">
        <is>
          <t>ED206670</t>
        </is>
      </c>
      <c r="B6527" s="56" t="n">
        <v>45686.97638888889</v>
      </c>
      <c r="C6527" t="inlineStr">
        <is>
          <t>Bluestone Memorial Hospital</t>
        </is>
      </c>
      <c r="D6527" t="n">
        <v>10</v>
      </c>
    </row>
    <row r="6528">
      <c r="A6528" t="inlineStr">
        <is>
          <t>ED206671</t>
        </is>
      </c>
      <c r="B6528" s="56" t="n">
        <v>45687.13541666666</v>
      </c>
      <c r="C6528" t="inlineStr">
        <is>
          <t>Bluestone Memorial Hospital</t>
        </is>
      </c>
      <c r="D6528" t="n">
        <v>39</v>
      </c>
    </row>
    <row r="6529">
      <c r="A6529" t="inlineStr">
        <is>
          <t>ED206672</t>
        </is>
      </c>
      <c r="B6529" s="56" t="n">
        <v>45687.19027777778</v>
      </c>
      <c r="C6529" t="inlineStr">
        <is>
          <t>Bluestone Memorial Hospital</t>
        </is>
      </c>
      <c r="D6529" t="n">
        <v>18</v>
      </c>
    </row>
    <row r="6530">
      <c r="A6530" t="inlineStr">
        <is>
          <t>ED206673</t>
        </is>
      </c>
      <c r="B6530" s="56" t="n">
        <v>45687.24375</v>
      </c>
      <c r="C6530" t="inlineStr">
        <is>
          <t>Bluestone Memorial Hospital</t>
        </is>
      </c>
      <c r="D6530" t="n">
        <v>21</v>
      </c>
    </row>
    <row r="6531">
      <c r="A6531" t="inlineStr">
        <is>
          <t>ED206674</t>
        </is>
      </c>
      <c r="B6531" s="56" t="n">
        <v>45687.27222222222</v>
      </c>
      <c r="C6531" t="inlineStr">
        <is>
          <t>Bluestone Memorial Hospital</t>
        </is>
      </c>
      <c r="D6531" t="n">
        <v>3</v>
      </c>
    </row>
    <row r="6532">
      <c r="A6532" t="inlineStr">
        <is>
          <t>ED206675</t>
        </is>
      </c>
      <c r="B6532" s="56" t="n">
        <v>45687.36388888889</v>
      </c>
      <c r="C6532" t="inlineStr">
        <is>
          <t>Bluestone Memorial Hospital</t>
        </is>
      </c>
      <c r="D6532" t="n">
        <v>63</v>
      </c>
    </row>
    <row r="6533">
      <c r="A6533" t="inlineStr">
        <is>
          <t>ED206676</t>
        </is>
      </c>
      <c r="B6533" s="56" t="n">
        <v>45687.37291666667</v>
      </c>
      <c r="C6533" t="inlineStr">
        <is>
          <t>Bluestone Memorial Hospital</t>
        </is>
      </c>
      <c r="D6533" t="n">
        <v>25</v>
      </c>
    </row>
    <row r="6534">
      <c r="A6534" t="inlineStr">
        <is>
          <t>ED206677</t>
        </is>
      </c>
      <c r="B6534" s="56" t="n">
        <v>45687.45208333333</v>
      </c>
      <c r="C6534" t="inlineStr">
        <is>
          <t>Bluestone Memorial Hospital</t>
        </is>
      </c>
      <c r="D6534" t="n">
        <v>13</v>
      </c>
    </row>
    <row r="6535">
      <c r="A6535" t="inlineStr">
        <is>
          <t>ED206678</t>
        </is>
      </c>
      <c r="B6535" s="56" t="n">
        <v>45687.46597222222</v>
      </c>
      <c r="C6535" t="inlineStr">
        <is>
          <t>Bluestone Memorial Hospital</t>
        </is>
      </c>
      <c r="D6535" t="n">
        <v>61</v>
      </c>
    </row>
    <row r="6536">
      <c r="A6536" t="inlineStr">
        <is>
          <t>ED206679</t>
        </is>
      </c>
      <c r="B6536" s="56" t="n">
        <v>45687.47152777778</v>
      </c>
      <c r="C6536" t="inlineStr">
        <is>
          <t>Cedar Ridge Medical Center</t>
        </is>
      </c>
      <c r="D6536" t="n">
        <v>10</v>
      </c>
    </row>
    <row r="6537">
      <c r="A6537" t="inlineStr">
        <is>
          <t>ED206680</t>
        </is>
      </c>
      <c r="B6537" s="56" t="n">
        <v>45687.49444444444</v>
      </c>
      <c r="C6537" t="inlineStr">
        <is>
          <t>Ashby Falls Community Hospital</t>
        </is>
      </c>
      <c r="D6537" t="n">
        <v>24</v>
      </c>
    </row>
    <row r="6538">
      <c r="A6538" t="inlineStr">
        <is>
          <t>ED206681</t>
        </is>
      </c>
      <c r="B6538" s="56" t="n">
        <v>45687.52013888889</v>
      </c>
      <c r="C6538" t="inlineStr">
        <is>
          <t>Bluestone Memorial Hospital</t>
        </is>
      </c>
      <c r="D6538" t="n">
        <v>16</v>
      </c>
    </row>
    <row r="6539">
      <c r="A6539" t="inlineStr">
        <is>
          <t>ED206682</t>
        </is>
      </c>
      <c r="B6539" s="56" t="n">
        <v>45687.55277777778</v>
      </c>
      <c r="C6539" t="inlineStr">
        <is>
          <t>Cedar Ridge Medical Center</t>
        </is>
      </c>
      <c r="D6539" t="n">
        <v>18</v>
      </c>
    </row>
    <row r="6540">
      <c r="A6540" t="inlineStr">
        <is>
          <t>ED206683</t>
        </is>
      </c>
      <c r="B6540" s="56" t="n">
        <v>45687.57569444444</v>
      </c>
      <c r="C6540" t="inlineStr">
        <is>
          <t>Bluestone Memorial Hospital</t>
        </is>
      </c>
      <c r="D6540" t="n">
        <v>79</v>
      </c>
    </row>
    <row r="6541">
      <c r="A6541" t="inlineStr">
        <is>
          <t>ED206684</t>
        </is>
      </c>
      <c r="B6541" s="56" t="n">
        <v>45687.62152777778</v>
      </c>
      <c r="C6541" t="inlineStr">
        <is>
          <t>Bluestone Memorial Hospital</t>
        </is>
      </c>
      <c r="D6541" t="n">
        <v>30</v>
      </c>
    </row>
    <row r="6542">
      <c r="A6542" t="inlineStr">
        <is>
          <t>ED206685</t>
        </is>
      </c>
      <c r="B6542" s="56" t="n">
        <v>45687.62916666667</v>
      </c>
      <c r="C6542" t="inlineStr">
        <is>
          <t>Bluestone Memorial Hospital</t>
        </is>
      </c>
      <c r="D6542" t="n">
        <v>223</v>
      </c>
    </row>
    <row r="6543">
      <c r="A6543" t="inlineStr">
        <is>
          <t>ED206686</t>
        </is>
      </c>
      <c r="B6543" s="56" t="n">
        <v>45687.68888888889</v>
      </c>
      <c r="C6543" t="inlineStr">
        <is>
          <t>Ashby Falls Community Hospital</t>
        </is>
      </c>
      <c r="D6543" t="n">
        <v>60</v>
      </c>
    </row>
    <row r="6544">
      <c r="A6544" t="inlineStr">
        <is>
          <t>ED206687</t>
        </is>
      </c>
      <c r="B6544" s="56" t="n">
        <v>45687.76041666666</v>
      </c>
      <c r="C6544" t="inlineStr">
        <is>
          <t>Bluestone Memorial Hospital</t>
        </is>
      </c>
      <c r="D6544" t="n">
        <v>165</v>
      </c>
    </row>
    <row r="6545">
      <c r="A6545" t="inlineStr">
        <is>
          <t>ED206688</t>
        </is>
      </c>
      <c r="B6545" s="56" t="n">
        <v>45687.79305555556</v>
      </c>
      <c r="C6545" t="inlineStr">
        <is>
          <t>Bluestone Memorial Hospital</t>
        </is>
      </c>
      <c r="D6545" t="n">
        <v>37</v>
      </c>
    </row>
    <row r="6546">
      <c r="A6546" t="inlineStr">
        <is>
          <t>ED206689</t>
        </is>
      </c>
      <c r="B6546" s="56" t="n">
        <v>45687.85694444444</v>
      </c>
      <c r="C6546" t="inlineStr">
        <is>
          <t>Bluestone Memorial Hospital</t>
        </is>
      </c>
      <c r="D6546" t="n">
        <v>21</v>
      </c>
    </row>
    <row r="6547">
      <c r="A6547" t="inlineStr">
        <is>
          <t>ED206690</t>
        </is>
      </c>
      <c r="B6547" s="56" t="n">
        <v>45687.88888888889</v>
      </c>
      <c r="C6547" t="inlineStr">
        <is>
          <t>Bluestone Memorial Hospital</t>
        </is>
      </c>
      <c r="D6547" t="n">
        <v>94</v>
      </c>
    </row>
    <row r="6548">
      <c r="A6548" t="inlineStr">
        <is>
          <t>ED206691</t>
        </is>
      </c>
      <c r="B6548" s="56" t="n">
        <v>45687.95555555556</v>
      </c>
      <c r="C6548" t="inlineStr">
        <is>
          <t>Ashby Falls Community Hospital</t>
        </is>
      </c>
      <c r="D6548" t="n">
        <v>34</v>
      </c>
    </row>
    <row r="6549">
      <c r="A6549" t="inlineStr">
        <is>
          <t>ED206692</t>
        </is>
      </c>
      <c r="B6549" s="56" t="n">
        <v>45687.99930555555</v>
      </c>
      <c r="C6549" t="inlineStr">
        <is>
          <t>Bluestone Memorial Hospital</t>
        </is>
      </c>
      <c r="D6549" t="n">
        <v>51</v>
      </c>
    </row>
    <row r="6550">
      <c r="A6550" t="inlineStr">
        <is>
          <t>ED206693</t>
        </is>
      </c>
      <c r="B6550" s="56" t="n">
        <v>45688.21180555555</v>
      </c>
      <c r="C6550" t="inlineStr">
        <is>
          <t>Bluestone Memorial Hospital</t>
        </is>
      </c>
      <c r="D6550" t="n">
        <v>25</v>
      </c>
    </row>
    <row r="6551">
      <c r="A6551" t="inlineStr">
        <is>
          <t>ED206694</t>
        </is>
      </c>
      <c r="B6551" s="56" t="n">
        <v>45688.34444444445</v>
      </c>
      <c r="C6551" t="inlineStr">
        <is>
          <t>Bluestone Memorial Hospital</t>
        </is>
      </c>
      <c r="D6551" t="n">
        <v>5</v>
      </c>
    </row>
    <row r="6552">
      <c r="A6552" t="inlineStr">
        <is>
          <t>ED206695</t>
        </is>
      </c>
      <c r="B6552" s="56" t="n">
        <v>45688.36041666667</v>
      </c>
      <c r="C6552" t="inlineStr">
        <is>
          <t>Bluestone Memorial Hospital</t>
        </is>
      </c>
      <c r="D6552" t="n">
        <v>17</v>
      </c>
    </row>
    <row r="6553">
      <c r="A6553" t="inlineStr">
        <is>
          <t>ED206696</t>
        </is>
      </c>
      <c r="B6553" s="56" t="n">
        <v>45688.36527777778</v>
      </c>
      <c r="C6553" t="inlineStr">
        <is>
          <t>Bluestone Memorial Hospital</t>
        </is>
      </c>
      <c r="D6553" t="n">
        <v>160</v>
      </c>
    </row>
    <row r="6554">
      <c r="A6554" t="inlineStr">
        <is>
          <t>ED206697</t>
        </is>
      </c>
      <c r="B6554" s="56" t="n">
        <v>45688.50833333333</v>
      </c>
      <c r="C6554" t="inlineStr">
        <is>
          <t>Bluestone Memorial Hospital</t>
        </is>
      </c>
      <c r="D6554" t="n">
        <v>55</v>
      </c>
    </row>
    <row r="6555">
      <c r="A6555" t="inlineStr">
        <is>
          <t>ED206698</t>
        </is>
      </c>
      <c r="B6555" s="56" t="n">
        <v>45688.52083333334</v>
      </c>
      <c r="C6555" t="inlineStr">
        <is>
          <t>Bluestone Memorial Hospital</t>
        </is>
      </c>
      <c r="D6555" t="n">
        <v>90</v>
      </c>
    </row>
    <row r="6556">
      <c r="A6556" t="inlineStr">
        <is>
          <t>ED206699</t>
        </is>
      </c>
      <c r="B6556" s="56" t="n">
        <v>45688.55555555555</v>
      </c>
      <c r="C6556" t="inlineStr">
        <is>
          <t>Bluestone Memorial Hospital</t>
        </is>
      </c>
      <c r="D6556" t="n">
        <v>82</v>
      </c>
    </row>
    <row r="6557">
      <c r="A6557" t="inlineStr">
        <is>
          <t>ED206700</t>
        </is>
      </c>
      <c r="B6557" s="56" t="n">
        <v>45688.61944444444</v>
      </c>
      <c r="C6557" t="inlineStr">
        <is>
          <t>Ashby Falls Community Hospital</t>
        </is>
      </c>
      <c r="D6557" t="n">
        <v>11</v>
      </c>
    </row>
    <row r="6558">
      <c r="A6558" t="inlineStr">
        <is>
          <t>ED206702</t>
        </is>
      </c>
      <c r="B6558" s="56" t="n">
        <v>45688.68333333333</v>
      </c>
      <c r="C6558" t="inlineStr">
        <is>
          <t>Bluestone Memorial Hospital</t>
        </is>
      </c>
      <c r="D6558" t="n">
        <v>14</v>
      </c>
    </row>
    <row r="6559">
      <c r="A6559" t="inlineStr">
        <is>
          <t>ED206703</t>
        </is>
      </c>
      <c r="B6559" s="56" t="n">
        <v>45688.74652777778</v>
      </c>
      <c r="C6559" t="inlineStr">
        <is>
          <t>Bluestone Memorial Hospital</t>
        </is>
      </c>
      <c r="D6559" t="n">
        <v>82</v>
      </c>
    </row>
    <row r="6560">
      <c r="A6560" t="inlineStr">
        <is>
          <t>ED206704</t>
        </is>
      </c>
      <c r="B6560" s="56" t="n">
        <v>45688.78263888889</v>
      </c>
      <c r="C6560" t="inlineStr">
        <is>
          <t>Bluestone Memorial Hospital</t>
        </is>
      </c>
      <c r="D6560" t="n">
        <v>16</v>
      </c>
    </row>
    <row r="6561">
      <c r="A6561" t="inlineStr">
        <is>
          <t>ED206705</t>
        </is>
      </c>
      <c r="B6561" s="56" t="n">
        <v>45688.79652777778</v>
      </c>
      <c r="C6561" t="inlineStr">
        <is>
          <t>Bluestone Memorial Hospital</t>
        </is>
      </c>
      <c r="D6561" t="n">
        <v>74</v>
      </c>
    </row>
    <row r="6562">
      <c r="A6562" t="inlineStr">
        <is>
          <t>ED206706</t>
        </is>
      </c>
      <c r="B6562" s="56" t="n">
        <v>45688.80763888889</v>
      </c>
      <c r="C6562" t="inlineStr">
        <is>
          <t>Bluestone Memorial Hospital</t>
        </is>
      </c>
      <c r="D6562" t="n">
        <v>14</v>
      </c>
    </row>
    <row r="6563">
      <c r="A6563" t="inlineStr">
        <is>
          <t>ED206707</t>
        </is>
      </c>
      <c r="B6563" s="56" t="n">
        <v>45689.07361111111</v>
      </c>
      <c r="C6563" t="inlineStr">
        <is>
          <t>Bluestone Memorial Hospital</t>
        </is>
      </c>
      <c r="D6563" t="n">
        <v>41</v>
      </c>
    </row>
    <row r="6564">
      <c r="A6564" t="inlineStr">
        <is>
          <t>ED206708</t>
        </is>
      </c>
      <c r="B6564" s="56" t="n">
        <v>45689.07847222222</v>
      </c>
      <c r="C6564" t="inlineStr">
        <is>
          <t>Bluestone Memorial Hospital</t>
        </is>
      </c>
      <c r="D6564" t="n">
        <v>20</v>
      </c>
    </row>
    <row r="6565">
      <c r="A6565" t="inlineStr">
        <is>
          <t>ED206709</t>
        </is>
      </c>
      <c r="B6565" s="56" t="n">
        <v>45689.09791666667</v>
      </c>
      <c r="C6565" t="inlineStr">
        <is>
          <t>Bluestone Memorial Hospital</t>
        </is>
      </c>
      <c r="D6565" t="n">
        <v>44</v>
      </c>
    </row>
    <row r="6566">
      <c r="A6566" t="inlineStr">
        <is>
          <t>ED206710</t>
        </is>
      </c>
      <c r="B6566" s="56" t="n">
        <v>45689.32777777778</v>
      </c>
      <c r="C6566" t="inlineStr">
        <is>
          <t>Bluestone Memorial Hospital</t>
        </is>
      </c>
      <c r="D6566" t="n">
        <v>23</v>
      </c>
    </row>
    <row r="6567">
      <c r="A6567" t="inlineStr">
        <is>
          <t>ED206711</t>
        </is>
      </c>
      <c r="B6567" s="56" t="n">
        <v>45689.34791666667</v>
      </c>
      <c r="C6567" t="inlineStr">
        <is>
          <t>Bluestone Memorial Hospital</t>
        </is>
      </c>
      <c r="D6567" t="n">
        <v>27</v>
      </c>
    </row>
    <row r="6568">
      <c r="A6568" t="inlineStr">
        <is>
          <t>ED206712</t>
        </is>
      </c>
      <c r="B6568" s="56" t="n">
        <v>45689.51041666666</v>
      </c>
      <c r="C6568" t="inlineStr">
        <is>
          <t>Bluestone Memorial Hospital</t>
        </is>
      </c>
      <c r="D6568" t="n">
        <v>67</v>
      </c>
    </row>
    <row r="6569">
      <c r="A6569" t="inlineStr">
        <is>
          <t>ED206713</t>
        </is>
      </c>
      <c r="B6569" s="56" t="n">
        <v>45689.52430555555</v>
      </c>
      <c r="C6569" t="inlineStr">
        <is>
          <t>Bluestone Memorial Hospital</t>
        </is>
      </c>
      <c r="D6569" t="n">
        <v>94</v>
      </c>
    </row>
    <row r="6570">
      <c r="A6570" t="inlineStr">
        <is>
          <t>ED206714</t>
        </is>
      </c>
      <c r="B6570" s="56" t="n">
        <v>45689.53402777778</v>
      </c>
      <c r="C6570" t="inlineStr">
        <is>
          <t>Bluestone Memorial Hospital</t>
        </is>
      </c>
      <c r="D6570" t="n">
        <v>29</v>
      </c>
    </row>
    <row r="6571">
      <c r="A6571" t="inlineStr">
        <is>
          <t>ED206715</t>
        </is>
      </c>
      <c r="B6571" s="56" t="n">
        <v>45689.56458333333</v>
      </c>
      <c r="C6571" t="inlineStr">
        <is>
          <t>Bluestone Memorial Hospital</t>
        </is>
      </c>
      <c r="D6571" t="n">
        <v>52</v>
      </c>
    </row>
    <row r="6572">
      <c r="A6572" t="inlineStr">
        <is>
          <t>ED206716</t>
        </is>
      </c>
      <c r="B6572" s="56" t="n">
        <v>45689.58263888889</v>
      </c>
      <c r="C6572" t="inlineStr">
        <is>
          <t>Bluestone Memorial Hospital</t>
        </is>
      </c>
      <c r="D6572" t="n">
        <v>30</v>
      </c>
    </row>
    <row r="6573">
      <c r="A6573" t="inlineStr">
        <is>
          <t>ED206717</t>
        </is>
      </c>
      <c r="B6573" s="56" t="n">
        <v>45689.62847222222</v>
      </c>
      <c r="C6573" t="inlineStr">
        <is>
          <t>Bluestone Memorial Hospital</t>
        </is>
      </c>
      <c r="D6573" t="n">
        <v>30</v>
      </c>
    </row>
    <row r="6574">
      <c r="A6574" t="inlineStr">
        <is>
          <t>ED206718</t>
        </is>
      </c>
      <c r="B6574" s="56" t="n">
        <v>45689.64861111111</v>
      </c>
      <c r="C6574" t="inlineStr">
        <is>
          <t>Bluestone Memorial Hospital</t>
        </is>
      </c>
      <c r="D6574" t="n">
        <v>51</v>
      </c>
    </row>
    <row r="6575">
      <c r="A6575" t="inlineStr">
        <is>
          <t>ED206719</t>
        </is>
      </c>
      <c r="B6575" s="56" t="n">
        <v>45689.77847222222</v>
      </c>
      <c r="C6575" t="inlineStr">
        <is>
          <t>Bluestone Memorial Hospital</t>
        </is>
      </c>
      <c r="D6575" t="n">
        <v>49</v>
      </c>
    </row>
    <row r="6576">
      <c r="A6576" t="inlineStr">
        <is>
          <t>ED206720</t>
        </is>
      </c>
      <c r="B6576" s="56" t="n">
        <v>45689.78472222222</v>
      </c>
      <c r="C6576" t="inlineStr">
        <is>
          <t>Cedar Ridge Medical Center</t>
        </is>
      </c>
      <c r="D6576" t="n">
        <v>64</v>
      </c>
    </row>
    <row r="6577">
      <c r="A6577" t="inlineStr">
        <is>
          <t>ED206721</t>
        </is>
      </c>
      <c r="B6577" s="56" t="n">
        <v>45689.79027777778</v>
      </c>
      <c r="C6577" t="inlineStr">
        <is>
          <t>Bluestone Memorial Hospital</t>
        </is>
      </c>
      <c r="D6577" t="n">
        <v>32</v>
      </c>
    </row>
    <row r="6578">
      <c r="A6578" t="inlineStr">
        <is>
          <t>ED206722</t>
        </is>
      </c>
      <c r="B6578" s="56" t="n">
        <v>45689.84861111111</v>
      </c>
      <c r="C6578" t="inlineStr">
        <is>
          <t>Bluestone Memorial Hospital</t>
        </is>
      </c>
      <c r="D6578" t="n">
        <v>15</v>
      </c>
    </row>
    <row r="6579">
      <c r="A6579" t="inlineStr">
        <is>
          <t>ED206723</t>
        </is>
      </c>
      <c r="B6579" s="56" t="n">
        <v>45689.87986111111</v>
      </c>
      <c r="C6579" t="inlineStr">
        <is>
          <t>Bluestone Memorial Hospital</t>
        </is>
      </c>
      <c r="D6579" t="n">
        <v>52</v>
      </c>
    </row>
    <row r="6580">
      <c r="A6580" t="inlineStr">
        <is>
          <t>ED206724</t>
        </is>
      </c>
      <c r="B6580" s="56" t="n">
        <v>45690.09097222222</v>
      </c>
      <c r="C6580" t="inlineStr">
        <is>
          <t>Ashby Falls Community Hospital</t>
        </is>
      </c>
      <c r="D6580" t="n">
        <v>19</v>
      </c>
    </row>
    <row r="6581">
      <c r="A6581" t="inlineStr">
        <is>
          <t>ED206725</t>
        </is>
      </c>
      <c r="B6581" s="56" t="n">
        <v>45690.29236111111</v>
      </c>
      <c r="C6581" t="inlineStr">
        <is>
          <t>Bluestone Memorial Hospital</t>
        </is>
      </c>
      <c r="D6581" t="n">
        <v>13</v>
      </c>
    </row>
    <row r="6582">
      <c r="A6582" t="inlineStr">
        <is>
          <t>ED206726</t>
        </is>
      </c>
      <c r="B6582" s="56" t="n">
        <v>45690.32847222222</v>
      </c>
      <c r="C6582" t="inlineStr">
        <is>
          <t>Bluestone Memorial Hospital</t>
        </is>
      </c>
      <c r="D6582" t="n">
        <v>105</v>
      </c>
    </row>
    <row r="6583">
      <c r="A6583" t="inlineStr">
        <is>
          <t>ED206727</t>
        </is>
      </c>
      <c r="B6583" s="56" t="n">
        <v>45690.37083333333</v>
      </c>
      <c r="C6583" t="inlineStr">
        <is>
          <t>Cedar Ridge Medical Center</t>
        </is>
      </c>
      <c r="D6583" t="n">
        <v>26</v>
      </c>
    </row>
    <row r="6584">
      <c r="A6584" t="inlineStr">
        <is>
          <t>ED206728</t>
        </is>
      </c>
      <c r="B6584" s="56" t="n">
        <v>45690.41041666667</v>
      </c>
      <c r="C6584" t="inlineStr">
        <is>
          <t>Ashby Falls Community Hospital</t>
        </is>
      </c>
      <c r="D6584" t="n">
        <v>9</v>
      </c>
    </row>
    <row r="6585">
      <c r="A6585" t="inlineStr">
        <is>
          <t>ED206729</t>
        </is>
      </c>
      <c r="B6585" s="56" t="n">
        <v>45690.42847222222</v>
      </c>
      <c r="C6585" t="inlineStr">
        <is>
          <t>Bluestone Memorial Hospital</t>
        </is>
      </c>
      <c r="D6585" t="n">
        <v>6</v>
      </c>
    </row>
    <row r="6586">
      <c r="A6586" t="inlineStr">
        <is>
          <t>ED206730</t>
        </is>
      </c>
      <c r="B6586" s="56" t="n">
        <v>45690.45277777778</v>
      </c>
      <c r="C6586" t="inlineStr">
        <is>
          <t>Bluestone Memorial Hospital</t>
        </is>
      </c>
      <c r="D6586" t="n">
        <v>174</v>
      </c>
    </row>
    <row r="6587">
      <c r="A6587" t="inlineStr">
        <is>
          <t>ED206731</t>
        </is>
      </c>
      <c r="B6587" s="56" t="n">
        <v>45690.49097222222</v>
      </c>
      <c r="C6587" t="inlineStr">
        <is>
          <t>Cedar Ridge Medical Center</t>
        </is>
      </c>
      <c r="D6587" t="n">
        <v>15</v>
      </c>
    </row>
    <row r="6588">
      <c r="A6588" t="inlineStr">
        <is>
          <t>ED206732</t>
        </is>
      </c>
      <c r="B6588" s="56" t="n">
        <v>45690.50347222222</v>
      </c>
      <c r="C6588" t="inlineStr">
        <is>
          <t>Bluestone Memorial Hospital</t>
        </is>
      </c>
      <c r="D6588" t="n">
        <v>8</v>
      </c>
    </row>
    <row r="6589">
      <c r="A6589" t="inlineStr">
        <is>
          <t>ED206733</t>
        </is>
      </c>
      <c r="B6589" s="56" t="n">
        <v>45690.54444444444</v>
      </c>
      <c r="C6589" t="inlineStr">
        <is>
          <t>Bluestone Memorial Hospital</t>
        </is>
      </c>
      <c r="D6589" t="n">
        <v>40</v>
      </c>
    </row>
    <row r="6590">
      <c r="A6590" t="inlineStr">
        <is>
          <t>ED206734</t>
        </is>
      </c>
      <c r="B6590" s="56" t="n">
        <v>45690.65486111111</v>
      </c>
      <c r="C6590" t="inlineStr">
        <is>
          <t>Bluestone Memorial Hospital</t>
        </is>
      </c>
      <c r="D6590" t="n">
        <v>27</v>
      </c>
    </row>
    <row r="6591">
      <c r="A6591" t="inlineStr">
        <is>
          <t>ED206735</t>
        </is>
      </c>
      <c r="B6591" s="56" t="n">
        <v>45690.68541666667</v>
      </c>
      <c r="C6591" t="inlineStr">
        <is>
          <t>Bluestone Memorial Hospital</t>
        </is>
      </c>
      <c r="D6591" t="n">
        <v>35</v>
      </c>
    </row>
    <row r="6592">
      <c r="A6592" t="inlineStr">
        <is>
          <t>ED206736</t>
        </is>
      </c>
      <c r="B6592" s="56" t="n">
        <v>45690.70763888889</v>
      </c>
      <c r="C6592" t="inlineStr">
        <is>
          <t>Bluestone Memorial Hospital</t>
        </is>
      </c>
      <c r="D6592" t="n">
        <v>59</v>
      </c>
    </row>
    <row r="6593">
      <c r="A6593" t="inlineStr">
        <is>
          <t>ED206738</t>
        </is>
      </c>
      <c r="B6593" s="56" t="n">
        <v>45690.7625</v>
      </c>
      <c r="C6593" t="inlineStr">
        <is>
          <t>Cedar Ridge Medical Center</t>
        </is>
      </c>
      <c r="D6593" t="n">
        <v>87</v>
      </c>
    </row>
    <row r="6594">
      <c r="A6594" t="inlineStr">
        <is>
          <t>ED206739</t>
        </is>
      </c>
      <c r="B6594" s="56" t="n">
        <v>45690.77222222222</v>
      </c>
      <c r="C6594" t="inlineStr">
        <is>
          <t>Bluestone Memorial Hospital</t>
        </is>
      </c>
      <c r="D6594" t="n">
        <v>92</v>
      </c>
    </row>
    <row r="6595">
      <c r="A6595" t="inlineStr">
        <is>
          <t>ED206740</t>
        </is>
      </c>
      <c r="B6595" s="56" t="n">
        <v>45690.77430555555</v>
      </c>
      <c r="C6595" t="inlineStr">
        <is>
          <t>Cedar Ridge Medical Center</t>
        </is>
      </c>
      <c r="D6595" t="n">
        <v>51</v>
      </c>
    </row>
    <row r="6596">
      <c r="A6596" t="inlineStr">
        <is>
          <t>ED206741</t>
        </is>
      </c>
      <c r="B6596" s="56" t="n">
        <v>45690.85625</v>
      </c>
      <c r="C6596" t="inlineStr">
        <is>
          <t>Bluestone Memorial Hospital</t>
        </is>
      </c>
      <c r="D6596" t="n">
        <v>70</v>
      </c>
    </row>
    <row r="6597">
      <c r="A6597" t="inlineStr">
        <is>
          <t>ED206742</t>
        </is>
      </c>
      <c r="B6597" s="56" t="n">
        <v>45690.88055555556</v>
      </c>
      <c r="C6597" t="inlineStr">
        <is>
          <t>Bluestone Memorial Hospital</t>
        </is>
      </c>
      <c r="D6597" t="n">
        <v>73</v>
      </c>
    </row>
    <row r="6598">
      <c r="A6598" t="inlineStr">
        <is>
          <t>ED206743</t>
        </is>
      </c>
      <c r="B6598" s="56" t="n">
        <v>45690.89513888889</v>
      </c>
      <c r="C6598" t="inlineStr">
        <is>
          <t>Cedar Ridge Medical Center</t>
        </is>
      </c>
      <c r="D6598" t="n">
        <v>54</v>
      </c>
    </row>
    <row r="6599">
      <c r="A6599" t="inlineStr">
        <is>
          <t>ED206744</t>
        </is>
      </c>
      <c r="B6599" s="56" t="n">
        <v>45690.94375</v>
      </c>
      <c r="C6599" t="inlineStr">
        <is>
          <t>Bluestone Memorial Hospital</t>
        </is>
      </c>
      <c r="D6599" t="n">
        <v>18</v>
      </c>
    </row>
    <row r="6600">
      <c r="A6600" t="inlineStr">
        <is>
          <t>ED206745</t>
        </is>
      </c>
      <c r="B6600" s="56" t="n">
        <v>45691.00347222222</v>
      </c>
      <c r="C6600" t="inlineStr">
        <is>
          <t>Bluestone Memorial Hospital</t>
        </is>
      </c>
      <c r="D6600" t="n">
        <v>18</v>
      </c>
    </row>
    <row r="6601">
      <c r="A6601" t="inlineStr">
        <is>
          <t>ED206746</t>
        </is>
      </c>
      <c r="B6601" s="56" t="n">
        <v>45691.31319444445</v>
      </c>
      <c r="C6601" t="inlineStr">
        <is>
          <t>Bluestone Memorial Hospital</t>
        </is>
      </c>
      <c r="D6601" t="n">
        <v>39</v>
      </c>
    </row>
    <row r="6602">
      <c r="A6602" t="inlineStr">
        <is>
          <t>ED206747</t>
        </is>
      </c>
      <c r="B6602" s="56" t="n">
        <v>45691.34097222222</v>
      </c>
      <c r="C6602" t="inlineStr">
        <is>
          <t>Bluestone Memorial Hospital</t>
        </is>
      </c>
      <c r="D6602" t="n">
        <v>5</v>
      </c>
    </row>
    <row r="6603">
      <c r="A6603" t="inlineStr">
        <is>
          <t>ED206748</t>
        </is>
      </c>
      <c r="B6603" s="56" t="n">
        <v>45691.48541666667</v>
      </c>
      <c r="C6603" t="inlineStr">
        <is>
          <t>Bluestone Memorial Hospital</t>
        </is>
      </c>
      <c r="D6603" t="n">
        <v>131</v>
      </c>
    </row>
    <row r="6604">
      <c r="A6604" t="inlineStr">
        <is>
          <t>ED206749</t>
        </is>
      </c>
      <c r="B6604" s="56" t="n">
        <v>45691.51736111111</v>
      </c>
      <c r="C6604" t="inlineStr">
        <is>
          <t>Bluestone Memorial Hospital</t>
        </is>
      </c>
      <c r="D6604" t="n">
        <v>125</v>
      </c>
    </row>
    <row r="6605">
      <c r="A6605" t="inlineStr">
        <is>
          <t>ED206750</t>
        </is>
      </c>
      <c r="B6605" s="56" t="n">
        <v>45691.52708333333</v>
      </c>
      <c r="C6605" t="inlineStr">
        <is>
          <t>Bluestone Memorial Hospital</t>
        </is>
      </c>
      <c r="D6605" t="n">
        <v>38</v>
      </c>
    </row>
    <row r="6606">
      <c r="A6606" t="inlineStr">
        <is>
          <t>ED206751</t>
        </is>
      </c>
      <c r="B6606" s="56" t="n">
        <v>45691.58888888889</v>
      </c>
      <c r="C6606" t="inlineStr">
        <is>
          <t>Cedar Ridge Medical Center</t>
        </is>
      </c>
      <c r="D6606" t="n">
        <v>66</v>
      </c>
    </row>
    <row r="6607">
      <c r="A6607" t="inlineStr">
        <is>
          <t>ED206752</t>
        </is>
      </c>
      <c r="B6607" s="56" t="n">
        <v>45691.60277777778</v>
      </c>
      <c r="C6607" t="inlineStr">
        <is>
          <t>Cedar Ridge Medical Center</t>
        </is>
      </c>
      <c r="D6607" t="n">
        <v>79</v>
      </c>
    </row>
    <row r="6608">
      <c r="A6608" t="inlineStr">
        <is>
          <t>ED206753</t>
        </is>
      </c>
      <c r="B6608" s="56" t="n">
        <v>45691.60902777778</v>
      </c>
      <c r="C6608" t="inlineStr">
        <is>
          <t>Bluestone Memorial Hospital</t>
        </is>
      </c>
      <c r="D6608" t="n">
        <v>28</v>
      </c>
    </row>
    <row r="6609">
      <c r="A6609" t="inlineStr">
        <is>
          <t>ED206754</t>
        </is>
      </c>
      <c r="B6609" s="56" t="n">
        <v>45691.66041666667</v>
      </c>
      <c r="C6609" t="inlineStr">
        <is>
          <t>Bluestone Memorial Hospital</t>
        </is>
      </c>
      <c r="D6609" t="n">
        <v>13</v>
      </c>
    </row>
    <row r="6610">
      <c r="A6610" t="inlineStr">
        <is>
          <t>ED206755</t>
        </is>
      </c>
      <c r="B6610" s="56" t="n">
        <v>45691.67222222222</v>
      </c>
      <c r="C6610" t="inlineStr">
        <is>
          <t>Bluestone Memorial Hospital</t>
        </is>
      </c>
      <c r="D6610" t="n">
        <v>28</v>
      </c>
    </row>
    <row r="6611">
      <c r="A6611" t="inlineStr">
        <is>
          <t>ED206756</t>
        </is>
      </c>
      <c r="B6611" s="56" t="n">
        <v>45691.68680555555</v>
      </c>
      <c r="C6611" t="inlineStr">
        <is>
          <t>Bluestone Memorial Hospital</t>
        </is>
      </c>
      <c r="D6611" t="n">
        <v>34</v>
      </c>
    </row>
    <row r="6612">
      <c r="A6612" t="inlineStr">
        <is>
          <t>ED206757</t>
        </is>
      </c>
      <c r="B6612" s="56" t="n">
        <v>45691.69861111111</v>
      </c>
      <c r="C6612" t="inlineStr">
        <is>
          <t>Bluestone Memorial Hospital</t>
        </is>
      </c>
      <c r="D6612" t="n">
        <v>29</v>
      </c>
    </row>
    <row r="6613">
      <c r="A6613" t="inlineStr">
        <is>
          <t>ED206758</t>
        </is>
      </c>
      <c r="B6613" s="56" t="n">
        <v>45691.84513888889</v>
      </c>
      <c r="C6613" t="inlineStr">
        <is>
          <t>Bluestone Memorial Hospital</t>
        </is>
      </c>
      <c r="D6613" t="n">
        <v>15</v>
      </c>
    </row>
    <row r="6614">
      <c r="A6614" t="inlineStr">
        <is>
          <t>ED206759</t>
        </is>
      </c>
      <c r="B6614" s="56" t="n">
        <v>45691.86527777778</v>
      </c>
      <c r="C6614" t="inlineStr">
        <is>
          <t>Bluestone Memorial Hospital</t>
        </is>
      </c>
      <c r="D6614" t="n">
        <v>62</v>
      </c>
    </row>
    <row r="6615">
      <c r="A6615" t="inlineStr">
        <is>
          <t>ED206760</t>
        </is>
      </c>
      <c r="B6615" s="56" t="n">
        <v>45691.90625</v>
      </c>
      <c r="C6615" t="inlineStr">
        <is>
          <t>Ashby Falls Community Hospital</t>
        </is>
      </c>
      <c r="D6615" t="n">
        <v>21</v>
      </c>
    </row>
    <row r="6616">
      <c r="A6616" t="inlineStr">
        <is>
          <t>ED206761</t>
        </is>
      </c>
      <c r="B6616" s="56" t="n">
        <v>45691.91319444445</v>
      </c>
      <c r="C6616" t="inlineStr">
        <is>
          <t>Ashby Falls Community Hospital</t>
        </is>
      </c>
      <c r="D6616" t="n">
        <v>82</v>
      </c>
    </row>
    <row r="6617">
      <c r="A6617" t="inlineStr">
        <is>
          <t>ED206762</t>
        </is>
      </c>
      <c r="B6617" s="56" t="n">
        <v>45692.00277777778</v>
      </c>
      <c r="C6617" t="inlineStr">
        <is>
          <t>Ashby Falls Community Hospital</t>
        </is>
      </c>
      <c r="D6617" t="n">
        <v>41</v>
      </c>
    </row>
    <row r="6618">
      <c r="A6618" t="inlineStr">
        <is>
          <t>ED206763</t>
        </is>
      </c>
      <c r="B6618" s="56" t="n">
        <v>45692.04305555556</v>
      </c>
      <c r="C6618" t="inlineStr">
        <is>
          <t>Ashby Falls Community Hospital</t>
        </is>
      </c>
      <c r="D6618" t="n">
        <v>24</v>
      </c>
    </row>
    <row r="6619">
      <c r="A6619" t="inlineStr">
        <is>
          <t>ED206764</t>
        </is>
      </c>
      <c r="B6619" s="56" t="n">
        <v>45692.08402777778</v>
      </c>
      <c r="C6619" t="inlineStr">
        <is>
          <t>Bluestone Memorial Hospital</t>
        </is>
      </c>
      <c r="D6619" t="n">
        <v>48</v>
      </c>
    </row>
    <row r="6620">
      <c r="A6620" t="inlineStr">
        <is>
          <t>ED206765</t>
        </is>
      </c>
      <c r="B6620" s="56" t="n">
        <v>45692.11388888889</v>
      </c>
      <c r="C6620" t="inlineStr">
        <is>
          <t>Bluestone Memorial Hospital</t>
        </is>
      </c>
      <c r="D6620" t="n">
        <v>28</v>
      </c>
    </row>
    <row r="6621">
      <c r="A6621" t="inlineStr">
        <is>
          <t>ED206766</t>
        </is>
      </c>
      <c r="B6621" s="56" t="n">
        <v>45692.22708333333</v>
      </c>
      <c r="C6621" t="inlineStr">
        <is>
          <t>Cedar Ridge Medical Center</t>
        </is>
      </c>
      <c r="D6621" t="n">
        <v>28</v>
      </c>
    </row>
    <row r="6622">
      <c r="A6622" t="inlineStr">
        <is>
          <t>ED206767</t>
        </is>
      </c>
      <c r="B6622" s="56" t="n">
        <v>45692.32291666666</v>
      </c>
      <c r="C6622" t="inlineStr">
        <is>
          <t>Bluestone Memorial Hospital</t>
        </is>
      </c>
      <c r="D6622" t="n">
        <v>27</v>
      </c>
    </row>
    <row r="6623">
      <c r="A6623" t="inlineStr">
        <is>
          <t>ED206768</t>
        </is>
      </c>
      <c r="B6623" s="56" t="n">
        <v>45692.34027777778</v>
      </c>
      <c r="C6623" t="inlineStr">
        <is>
          <t>Bluestone Memorial Hospital</t>
        </is>
      </c>
      <c r="D6623" t="n">
        <v>5</v>
      </c>
    </row>
    <row r="6624">
      <c r="A6624" t="inlineStr">
        <is>
          <t>ED206769</t>
        </is>
      </c>
      <c r="B6624" s="56" t="n">
        <v>45692.34166666667</v>
      </c>
      <c r="C6624" t="inlineStr">
        <is>
          <t>Bluestone Memorial Hospital</t>
        </is>
      </c>
      <c r="D6624" t="n">
        <v>115</v>
      </c>
    </row>
    <row r="6625">
      <c r="A6625" t="inlineStr">
        <is>
          <t>ED206770</t>
        </is>
      </c>
      <c r="B6625" s="56" t="n">
        <v>45692.34513888889</v>
      </c>
      <c r="C6625" t="inlineStr">
        <is>
          <t>Cedar Ridge Medical Center</t>
        </is>
      </c>
      <c r="D6625" t="n">
        <v>29</v>
      </c>
    </row>
    <row r="6626">
      <c r="A6626" t="inlineStr">
        <is>
          <t>ED206771</t>
        </is>
      </c>
      <c r="B6626" s="56" t="n">
        <v>45692.36805555555</v>
      </c>
      <c r="C6626" t="inlineStr">
        <is>
          <t>Cedar Ridge Medical Center</t>
        </is>
      </c>
      <c r="D6626" t="n">
        <v>13</v>
      </c>
    </row>
    <row r="6627">
      <c r="A6627" t="inlineStr">
        <is>
          <t>ED206772</t>
        </is>
      </c>
      <c r="B6627" s="56" t="n">
        <v>45692.39166666667</v>
      </c>
      <c r="C6627" t="inlineStr">
        <is>
          <t>Bluestone Memorial Hospital</t>
        </is>
      </c>
      <c r="D6627" t="n">
        <v>13</v>
      </c>
    </row>
    <row r="6628">
      <c r="A6628" t="inlineStr">
        <is>
          <t>ED206773</t>
        </is>
      </c>
      <c r="B6628" s="56" t="n">
        <v>45692.42083333333</v>
      </c>
      <c r="C6628" t="inlineStr">
        <is>
          <t>Bluestone Memorial Hospital</t>
        </is>
      </c>
      <c r="D6628" t="n">
        <v>192</v>
      </c>
    </row>
    <row r="6629">
      <c r="A6629" t="inlineStr">
        <is>
          <t>ED206774</t>
        </is>
      </c>
      <c r="B6629" s="56" t="n">
        <v>45692.43263888889</v>
      </c>
      <c r="C6629" t="inlineStr">
        <is>
          <t>Bluestone Memorial Hospital</t>
        </is>
      </c>
      <c r="D6629" t="n">
        <v>136</v>
      </c>
    </row>
    <row r="6630">
      <c r="A6630" t="inlineStr">
        <is>
          <t>ED206775</t>
        </is>
      </c>
      <c r="B6630" s="56" t="n">
        <v>45692.44722222222</v>
      </c>
      <c r="C6630" t="inlineStr">
        <is>
          <t>Bluestone Memorial Hospital</t>
        </is>
      </c>
      <c r="D6630" t="n">
        <v>69</v>
      </c>
    </row>
    <row r="6631">
      <c r="A6631" t="inlineStr">
        <is>
          <t>ED206776</t>
        </is>
      </c>
      <c r="B6631" s="56" t="n">
        <v>45692.45763888889</v>
      </c>
      <c r="C6631" t="inlineStr">
        <is>
          <t>Bluestone Memorial Hospital</t>
        </is>
      </c>
      <c r="D6631" t="n">
        <v>38</v>
      </c>
    </row>
    <row r="6632">
      <c r="A6632" t="inlineStr">
        <is>
          <t>ED206777</t>
        </is>
      </c>
      <c r="B6632" s="56" t="n">
        <v>45692.46597222222</v>
      </c>
      <c r="C6632" t="inlineStr">
        <is>
          <t>Ashby Falls Community Hospital</t>
        </is>
      </c>
      <c r="D6632" t="n">
        <v>72</v>
      </c>
    </row>
    <row r="6633">
      <c r="A6633" t="inlineStr">
        <is>
          <t>ED206778</t>
        </is>
      </c>
      <c r="B6633" s="56" t="n">
        <v>45692.5</v>
      </c>
      <c r="C6633" t="inlineStr">
        <is>
          <t>Bluestone Memorial Hospital</t>
        </is>
      </c>
      <c r="D6633" t="n">
        <v>59</v>
      </c>
    </row>
    <row r="6634">
      <c r="A6634" t="inlineStr">
        <is>
          <t>ED206779</t>
        </is>
      </c>
      <c r="B6634" s="56" t="n">
        <v>45692.5625</v>
      </c>
      <c r="C6634" t="inlineStr">
        <is>
          <t>Bluestone Memorial Hospital</t>
        </is>
      </c>
      <c r="D6634" t="n">
        <v>55</v>
      </c>
    </row>
    <row r="6635">
      <c r="A6635" t="inlineStr">
        <is>
          <t>ED206780</t>
        </is>
      </c>
      <c r="B6635" s="56" t="n">
        <v>45692.57291666666</v>
      </c>
      <c r="C6635" t="inlineStr">
        <is>
          <t>Cedar Ridge Medical Center</t>
        </is>
      </c>
      <c r="D6635" t="n">
        <v>105</v>
      </c>
    </row>
    <row r="6636">
      <c r="A6636" t="inlineStr">
        <is>
          <t>ED206781</t>
        </is>
      </c>
      <c r="B6636" s="56" t="n">
        <v>45692.60347222222</v>
      </c>
      <c r="C6636" t="inlineStr">
        <is>
          <t>Bluestone Memorial Hospital</t>
        </is>
      </c>
      <c r="D6636" t="n">
        <v>93</v>
      </c>
    </row>
    <row r="6637">
      <c r="A6637" t="inlineStr">
        <is>
          <t>ED206782</t>
        </is>
      </c>
      <c r="B6637" s="56" t="n">
        <v>45692.60902777778</v>
      </c>
      <c r="C6637" t="inlineStr">
        <is>
          <t>Bluestone Memorial Hospital</t>
        </is>
      </c>
      <c r="D6637" t="n">
        <v>125</v>
      </c>
    </row>
    <row r="6638">
      <c r="A6638" t="inlineStr">
        <is>
          <t>ED206783</t>
        </is>
      </c>
      <c r="B6638" s="56" t="n">
        <v>45692.63541666666</v>
      </c>
      <c r="C6638" t="inlineStr">
        <is>
          <t>Bluestone Memorial Hospital</t>
        </is>
      </c>
      <c r="D6638" t="n">
        <v>61</v>
      </c>
    </row>
    <row r="6639">
      <c r="A6639" t="inlineStr">
        <is>
          <t>ED206784</t>
        </is>
      </c>
      <c r="B6639" s="56" t="n">
        <v>45692.74652777778</v>
      </c>
      <c r="C6639" t="inlineStr">
        <is>
          <t>Ashby Falls Community Hospital</t>
        </is>
      </c>
      <c r="D6639" t="n">
        <v>33</v>
      </c>
    </row>
    <row r="6640">
      <c r="A6640" t="inlineStr">
        <is>
          <t>ED206785</t>
        </is>
      </c>
      <c r="B6640" s="56" t="n">
        <v>45692.80069444444</v>
      </c>
      <c r="C6640" t="inlineStr">
        <is>
          <t>Cedar Ridge Medical Center</t>
        </is>
      </c>
      <c r="D6640" t="n">
        <v>76</v>
      </c>
    </row>
    <row r="6641">
      <c r="A6641" t="inlineStr">
        <is>
          <t>ED206786</t>
        </is>
      </c>
      <c r="B6641" s="56" t="n">
        <v>45692.81388888889</v>
      </c>
      <c r="C6641" t="inlineStr">
        <is>
          <t>Bluestone Memorial Hospital</t>
        </is>
      </c>
      <c r="D6641" t="n">
        <v>106</v>
      </c>
    </row>
    <row r="6642">
      <c r="A6642" t="inlineStr">
        <is>
          <t>ED206787</t>
        </is>
      </c>
      <c r="B6642" s="56" t="n">
        <v>45692.84375</v>
      </c>
      <c r="C6642" t="inlineStr">
        <is>
          <t>Bluestone Memorial Hospital</t>
        </is>
      </c>
      <c r="D6642" t="n">
        <v>30</v>
      </c>
    </row>
    <row r="6643">
      <c r="A6643" t="inlineStr">
        <is>
          <t>ED206788</t>
        </is>
      </c>
      <c r="B6643" s="56" t="n">
        <v>45692.89791666667</v>
      </c>
      <c r="C6643" t="inlineStr">
        <is>
          <t>Bluestone Memorial Hospital</t>
        </is>
      </c>
      <c r="D6643" t="n">
        <v>31</v>
      </c>
    </row>
    <row r="6644">
      <c r="A6644" t="inlineStr">
        <is>
          <t>ED206789</t>
        </is>
      </c>
      <c r="B6644" s="56" t="n">
        <v>45692.91805555556</v>
      </c>
      <c r="C6644" t="inlineStr">
        <is>
          <t>Bluestone Memorial Hospital</t>
        </is>
      </c>
      <c r="D6644" t="n">
        <v>18</v>
      </c>
    </row>
    <row r="6645">
      <c r="A6645" t="inlineStr">
        <is>
          <t>ED206790</t>
        </is>
      </c>
      <c r="B6645" s="56" t="n">
        <v>45692.93472222222</v>
      </c>
      <c r="C6645" t="inlineStr">
        <is>
          <t>Cedar Ridge Medical Center</t>
        </is>
      </c>
      <c r="D6645" t="n">
        <v>63</v>
      </c>
    </row>
    <row r="6646">
      <c r="A6646" t="inlineStr">
        <is>
          <t>ED206791</t>
        </is>
      </c>
      <c r="B6646" s="56" t="n">
        <v>45693.00277777778</v>
      </c>
      <c r="C6646" t="inlineStr">
        <is>
          <t>Bluestone Memorial Hospital</t>
        </is>
      </c>
      <c r="D6646" t="n">
        <v>6</v>
      </c>
    </row>
    <row r="6647">
      <c r="A6647" t="inlineStr">
        <is>
          <t>ED206792</t>
        </is>
      </c>
      <c r="B6647" s="56" t="n">
        <v>45693.27291666667</v>
      </c>
      <c r="C6647" t="inlineStr">
        <is>
          <t>Ashby Falls Community Hospital</t>
        </is>
      </c>
      <c r="D6647" t="n">
        <v>15</v>
      </c>
    </row>
    <row r="6648">
      <c r="A6648" t="inlineStr">
        <is>
          <t>ED206793</t>
        </is>
      </c>
      <c r="B6648" s="56" t="n">
        <v>45693.29305555556</v>
      </c>
      <c r="C6648" t="inlineStr">
        <is>
          <t>Bluestone Memorial Hospital</t>
        </is>
      </c>
      <c r="D6648" t="n">
        <v>37</v>
      </c>
    </row>
    <row r="6649">
      <c r="A6649" t="inlineStr">
        <is>
          <t>ED206794</t>
        </is>
      </c>
      <c r="B6649" s="56" t="n">
        <v>45693.30763888889</v>
      </c>
      <c r="C6649" t="inlineStr">
        <is>
          <t>Bluestone Memorial Hospital</t>
        </is>
      </c>
      <c r="D6649" t="n">
        <v>32</v>
      </c>
    </row>
    <row r="6650">
      <c r="A6650" t="inlineStr">
        <is>
          <t>ED206795</t>
        </is>
      </c>
      <c r="B6650" s="56" t="n">
        <v>45693.35138888889</v>
      </c>
      <c r="C6650" t="inlineStr">
        <is>
          <t>Bluestone Memorial Hospital</t>
        </is>
      </c>
      <c r="D6650" t="n">
        <v>26</v>
      </c>
    </row>
    <row r="6651">
      <c r="A6651" t="inlineStr">
        <is>
          <t>ED206796</t>
        </is>
      </c>
      <c r="B6651" s="56" t="n">
        <v>45693.45694444444</v>
      </c>
      <c r="C6651" t="inlineStr">
        <is>
          <t>Bluestone Memorial Hospital</t>
        </is>
      </c>
      <c r="D6651" t="n">
        <v>51</v>
      </c>
    </row>
    <row r="6652">
      <c r="A6652" t="inlineStr">
        <is>
          <t>ED206797</t>
        </is>
      </c>
      <c r="B6652" s="56" t="n">
        <v>45693.46736111111</v>
      </c>
      <c r="C6652" t="inlineStr">
        <is>
          <t>Bluestone Memorial Hospital</t>
        </is>
      </c>
      <c r="D6652" t="n">
        <v>126</v>
      </c>
    </row>
    <row r="6653">
      <c r="A6653" t="inlineStr">
        <is>
          <t>ED206798</t>
        </is>
      </c>
      <c r="B6653" s="56" t="n">
        <v>45693.56111111111</v>
      </c>
      <c r="C6653" t="inlineStr">
        <is>
          <t>Ashby Falls Community Hospital</t>
        </is>
      </c>
      <c r="D6653" t="n">
        <v>61</v>
      </c>
    </row>
    <row r="6654">
      <c r="A6654" t="inlineStr">
        <is>
          <t>ED206799</t>
        </is>
      </c>
      <c r="B6654" s="56" t="n">
        <v>45693.58472222222</v>
      </c>
      <c r="C6654" t="inlineStr">
        <is>
          <t>Bluestone Memorial Hospital</t>
        </is>
      </c>
      <c r="D6654" t="n">
        <v>35</v>
      </c>
    </row>
    <row r="6655">
      <c r="A6655" t="inlineStr">
        <is>
          <t>ED206800</t>
        </is>
      </c>
      <c r="B6655" s="56" t="n">
        <v>45693.64375</v>
      </c>
      <c r="C6655" t="inlineStr">
        <is>
          <t>Bluestone Memorial Hospital</t>
        </is>
      </c>
      <c r="D6655" t="n">
        <v>36</v>
      </c>
    </row>
    <row r="6656">
      <c r="A6656" t="inlineStr">
        <is>
          <t>ED206801</t>
        </is>
      </c>
      <c r="B6656" s="56" t="n">
        <v>45693.65625</v>
      </c>
      <c r="C6656" t="inlineStr">
        <is>
          <t>Ashby Falls Community Hospital</t>
        </is>
      </c>
      <c r="D6656" t="n">
        <v>112</v>
      </c>
    </row>
    <row r="6657">
      <c r="A6657" t="inlineStr">
        <is>
          <t>ED206802</t>
        </is>
      </c>
      <c r="B6657" s="56" t="n">
        <v>45693.72222222222</v>
      </c>
      <c r="C6657" t="inlineStr">
        <is>
          <t>Bluestone Memorial Hospital</t>
        </is>
      </c>
      <c r="D6657" t="n">
        <v>55</v>
      </c>
    </row>
    <row r="6658">
      <c r="A6658" t="inlineStr">
        <is>
          <t>ED206803</t>
        </is>
      </c>
      <c r="B6658" s="56" t="n">
        <v>45693.73819444444</v>
      </c>
      <c r="C6658" t="inlineStr">
        <is>
          <t>Bluestone Memorial Hospital</t>
        </is>
      </c>
      <c r="D6658" t="n">
        <v>28</v>
      </c>
    </row>
    <row r="6659">
      <c r="A6659" t="inlineStr">
        <is>
          <t>ED206804</t>
        </is>
      </c>
      <c r="B6659" s="56" t="n">
        <v>45693.78125</v>
      </c>
      <c r="C6659" t="inlineStr">
        <is>
          <t>Bluestone Memorial Hospital</t>
        </is>
      </c>
      <c r="D6659" t="n">
        <v>24</v>
      </c>
    </row>
    <row r="6660">
      <c r="A6660" t="inlineStr">
        <is>
          <t>ED206805</t>
        </is>
      </c>
      <c r="B6660" s="56" t="n">
        <v>45693.81666666667</v>
      </c>
      <c r="C6660" t="inlineStr">
        <is>
          <t>Bluestone Memorial Hospital</t>
        </is>
      </c>
      <c r="D6660" t="n">
        <v>90</v>
      </c>
    </row>
    <row r="6661">
      <c r="A6661" t="inlineStr">
        <is>
          <t>ED206806</t>
        </is>
      </c>
      <c r="B6661" s="56" t="n">
        <v>45693.81944444445</v>
      </c>
      <c r="C6661" t="inlineStr">
        <is>
          <t>Bluestone Memorial Hospital</t>
        </is>
      </c>
      <c r="D6661" t="n">
        <v>59</v>
      </c>
    </row>
    <row r="6662">
      <c r="A6662" t="inlineStr">
        <is>
          <t>ED206807</t>
        </is>
      </c>
      <c r="B6662" s="56" t="n">
        <v>45693.89375</v>
      </c>
      <c r="C6662" t="inlineStr">
        <is>
          <t>Ashby Falls Community Hospital</t>
        </is>
      </c>
      <c r="D6662" t="n">
        <v>22</v>
      </c>
    </row>
    <row r="6663">
      <c r="A6663" t="inlineStr">
        <is>
          <t>ED206808</t>
        </is>
      </c>
      <c r="B6663" s="56" t="n">
        <v>45693.89722222222</v>
      </c>
      <c r="C6663" t="inlineStr">
        <is>
          <t>Bluestone Memorial Hospital</t>
        </is>
      </c>
      <c r="D6663" t="n">
        <v>18</v>
      </c>
    </row>
    <row r="6664">
      <c r="A6664" t="inlineStr">
        <is>
          <t>ED206809</t>
        </is>
      </c>
      <c r="B6664" s="56" t="n">
        <v>45693.94166666667</v>
      </c>
      <c r="C6664" t="inlineStr">
        <is>
          <t>Bluestone Memorial Hospital</t>
        </is>
      </c>
      <c r="D6664" t="n">
        <v>33</v>
      </c>
    </row>
    <row r="6665">
      <c r="A6665" t="inlineStr">
        <is>
          <t>ED206810</t>
        </is>
      </c>
      <c r="B6665" s="56" t="n">
        <v>45693.96180555555</v>
      </c>
      <c r="C6665" t="inlineStr">
        <is>
          <t>Bluestone Memorial Hospital</t>
        </is>
      </c>
      <c r="D6665" t="n">
        <v>42</v>
      </c>
    </row>
    <row r="6666">
      <c r="A6666" t="inlineStr">
        <is>
          <t>ED206811</t>
        </is>
      </c>
      <c r="B6666" s="56" t="n">
        <v>45693.9625</v>
      </c>
      <c r="C6666" t="inlineStr">
        <is>
          <t>Ashby Falls Community Hospital</t>
        </is>
      </c>
      <c r="D6666" t="n">
        <v>38</v>
      </c>
    </row>
    <row r="6667">
      <c r="A6667" t="inlineStr">
        <is>
          <t>ED206812</t>
        </is>
      </c>
      <c r="B6667" s="56" t="n">
        <v>45694.03263888889</v>
      </c>
      <c r="C6667" t="inlineStr">
        <is>
          <t>Bluestone Memorial Hospital</t>
        </is>
      </c>
      <c r="D6667" t="n">
        <v>137</v>
      </c>
    </row>
    <row r="6668">
      <c r="A6668" t="inlineStr">
        <is>
          <t>ED206813</t>
        </is>
      </c>
      <c r="B6668" s="56" t="n">
        <v>45694.23888888889</v>
      </c>
      <c r="C6668" t="inlineStr">
        <is>
          <t>Bluestone Memorial Hospital</t>
        </is>
      </c>
      <c r="D6668" t="n">
        <v>16</v>
      </c>
    </row>
    <row r="6669">
      <c r="A6669" t="inlineStr">
        <is>
          <t>ED206814</t>
        </is>
      </c>
      <c r="B6669" s="56" t="n">
        <v>45694.27083333334</v>
      </c>
      <c r="C6669" t="inlineStr">
        <is>
          <t>Bluestone Memorial Hospital</t>
        </is>
      </c>
      <c r="D6669" t="n">
        <v>35</v>
      </c>
    </row>
    <row r="6670">
      <c r="A6670" t="inlineStr">
        <is>
          <t>ED206815</t>
        </is>
      </c>
      <c r="B6670" s="56" t="n">
        <v>45694.33263888889</v>
      </c>
      <c r="C6670" t="inlineStr">
        <is>
          <t>Bluestone Memorial Hospital</t>
        </is>
      </c>
      <c r="D6670" t="n">
        <v>42</v>
      </c>
    </row>
    <row r="6671">
      <c r="A6671" t="inlineStr">
        <is>
          <t>ED206816</t>
        </is>
      </c>
      <c r="B6671" s="56" t="n">
        <v>45694.33888888889</v>
      </c>
      <c r="C6671" t="inlineStr">
        <is>
          <t>Ashby Falls Community Hospital</t>
        </is>
      </c>
      <c r="D6671" t="n">
        <v>47</v>
      </c>
    </row>
    <row r="6672">
      <c r="A6672" t="inlineStr">
        <is>
          <t>ED206817</t>
        </is>
      </c>
      <c r="B6672" s="56" t="n">
        <v>45694.35486111111</v>
      </c>
      <c r="C6672" t="inlineStr">
        <is>
          <t>Bluestone Memorial Hospital</t>
        </is>
      </c>
      <c r="D6672" t="n">
        <v>70</v>
      </c>
    </row>
    <row r="6673">
      <c r="A6673" t="inlineStr">
        <is>
          <t>ED206818</t>
        </is>
      </c>
      <c r="B6673" s="56" t="n">
        <v>45694.37291666667</v>
      </c>
      <c r="C6673" t="inlineStr">
        <is>
          <t>Cedar Ridge Medical Center</t>
        </is>
      </c>
      <c r="D6673" t="n">
        <v>23</v>
      </c>
    </row>
    <row r="6674">
      <c r="A6674" t="inlineStr">
        <is>
          <t>ED206819</t>
        </is>
      </c>
      <c r="B6674" s="56" t="n">
        <v>45694.40347222222</v>
      </c>
      <c r="C6674" t="inlineStr">
        <is>
          <t>Bluestone Memorial Hospital</t>
        </is>
      </c>
      <c r="D6674" t="n">
        <v>48</v>
      </c>
    </row>
    <row r="6675">
      <c r="A6675" t="inlineStr">
        <is>
          <t>ED206820</t>
        </is>
      </c>
      <c r="B6675" s="56" t="n">
        <v>45694.40902777778</v>
      </c>
      <c r="C6675" t="inlineStr">
        <is>
          <t>Bluestone Memorial Hospital</t>
        </is>
      </c>
      <c r="D6675" t="n">
        <v>70</v>
      </c>
    </row>
    <row r="6676">
      <c r="A6676" t="inlineStr">
        <is>
          <t>ED206821</t>
        </is>
      </c>
      <c r="B6676" s="56" t="n">
        <v>45694.41666666666</v>
      </c>
      <c r="C6676" t="inlineStr">
        <is>
          <t>Cedar Ridge Medical Center</t>
        </is>
      </c>
      <c r="D6676" t="n">
        <v>90</v>
      </c>
    </row>
    <row r="6677">
      <c r="A6677" t="inlineStr">
        <is>
          <t>ED206822</t>
        </is>
      </c>
      <c r="B6677" s="56" t="n">
        <v>45694.45138888889</v>
      </c>
      <c r="C6677" t="inlineStr">
        <is>
          <t>Bluestone Memorial Hospital</t>
        </is>
      </c>
      <c r="D6677" t="n">
        <v>53</v>
      </c>
    </row>
    <row r="6678">
      <c r="A6678" t="inlineStr">
        <is>
          <t>ED206823</t>
        </is>
      </c>
      <c r="B6678" s="56" t="n">
        <v>45694.47569444445</v>
      </c>
      <c r="C6678" t="inlineStr">
        <is>
          <t>Bluestone Memorial Hospital</t>
        </is>
      </c>
      <c r="D6678" t="n">
        <v>111</v>
      </c>
    </row>
    <row r="6679">
      <c r="A6679" t="inlineStr">
        <is>
          <t>ED206824</t>
        </is>
      </c>
      <c r="B6679" s="56" t="n">
        <v>45694.50833333333</v>
      </c>
      <c r="C6679" t="inlineStr">
        <is>
          <t>Bluestone Memorial Hospital</t>
        </is>
      </c>
      <c r="D6679" t="n">
        <v>29</v>
      </c>
    </row>
    <row r="6680">
      <c r="A6680" t="inlineStr">
        <is>
          <t>ED206825</t>
        </is>
      </c>
      <c r="B6680" s="56" t="n">
        <v>45694.51388888889</v>
      </c>
      <c r="C6680" t="inlineStr">
        <is>
          <t>Cedar Ridge Medical Center</t>
        </is>
      </c>
      <c r="D6680" t="n">
        <v>18</v>
      </c>
    </row>
    <row r="6681">
      <c r="A6681" t="inlineStr">
        <is>
          <t>ED206826</t>
        </is>
      </c>
      <c r="B6681" s="56" t="n">
        <v>45694.52291666667</v>
      </c>
      <c r="C6681" t="inlineStr">
        <is>
          <t>Cedar Ridge Medical Center</t>
        </is>
      </c>
      <c r="D6681" t="n">
        <v>44</v>
      </c>
    </row>
    <row r="6682">
      <c r="A6682" t="inlineStr">
        <is>
          <t>ED206827</t>
        </is>
      </c>
      <c r="B6682" s="56" t="n">
        <v>45694.52847222222</v>
      </c>
      <c r="C6682" t="inlineStr">
        <is>
          <t>Cedar Ridge Medical Center</t>
        </is>
      </c>
      <c r="D6682" t="n">
        <v>108</v>
      </c>
    </row>
    <row r="6683">
      <c r="A6683" t="inlineStr">
        <is>
          <t>ED206828</t>
        </is>
      </c>
      <c r="B6683" s="56" t="n">
        <v>45694.53958333333</v>
      </c>
      <c r="C6683" t="inlineStr">
        <is>
          <t>Bluestone Memorial Hospital</t>
        </is>
      </c>
      <c r="D6683" t="n">
        <v>25</v>
      </c>
    </row>
    <row r="6684">
      <c r="A6684" t="inlineStr">
        <is>
          <t>ED206829</t>
        </is>
      </c>
      <c r="B6684" s="56" t="n">
        <v>45694.57777777778</v>
      </c>
      <c r="C6684" t="inlineStr">
        <is>
          <t>Bluestone Memorial Hospital</t>
        </is>
      </c>
      <c r="D6684" t="n">
        <v>3</v>
      </c>
    </row>
    <row r="6685">
      <c r="A6685" t="inlineStr">
        <is>
          <t>ED206830</t>
        </is>
      </c>
      <c r="B6685" s="56" t="n">
        <v>45694.60833333333</v>
      </c>
      <c r="C6685" t="inlineStr">
        <is>
          <t>Bluestone Memorial Hospital</t>
        </is>
      </c>
      <c r="D6685" t="n">
        <v>28</v>
      </c>
    </row>
    <row r="6686">
      <c r="A6686" t="inlineStr">
        <is>
          <t>ED206831</t>
        </is>
      </c>
      <c r="B6686" s="56" t="n">
        <v>45694.62083333333</v>
      </c>
      <c r="C6686" t="inlineStr">
        <is>
          <t>Bluestone Memorial Hospital</t>
        </is>
      </c>
      <c r="D6686" t="n">
        <v>8</v>
      </c>
    </row>
    <row r="6687">
      <c r="A6687" t="inlineStr">
        <is>
          <t>ED206832</t>
        </is>
      </c>
      <c r="B6687" s="56" t="n">
        <v>45694.63680555556</v>
      </c>
      <c r="C6687" t="inlineStr">
        <is>
          <t>Bluestone Memorial Hospital</t>
        </is>
      </c>
      <c r="D6687" t="n">
        <v>162</v>
      </c>
    </row>
    <row r="6688">
      <c r="A6688" t="inlineStr">
        <is>
          <t>ED206833</t>
        </is>
      </c>
      <c r="B6688" s="56" t="n">
        <v>45694.66388888889</v>
      </c>
      <c r="C6688" t="inlineStr">
        <is>
          <t>Bluestone Memorial Hospital</t>
        </is>
      </c>
      <c r="D6688" t="n">
        <v>17</v>
      </c>
    </row>
    <row r="6689">
      <c r="A6689" t="inlineStr">
        <is>
          <t>ED206834</t>
        </is>
      </c>
      <c r="B6689" s="56" t="n">
        <v>45694.67986111111</v>
      </c>
      <c r="C6689" t="inlineStr">
        <is>
          <t>Bluestone Memorial Hospital</t>
        </is>
      </c>
      <c r="D6689" t="n">
        <v>23</v>
      </c>
    </row>
    <row r="6690">
      <c r="A6690" t="inlineStr">
        <is>
          <t>ED206835</t>
        </is>
      </c>
      <c r="B6690" s="56" t="n">
        <v>45694.67986111111</v>
      </c>
      <c r="C6690" t="inlineStr">
        <is>
          <t>Ashby Falls Community Hospital</t>
        </is>
      </c>
      <c r="D6690" t="n">
        <v>2</v>
      </c>
    </row>
    <row r="6691">
      <c r="A6691" t="inlineStr">
        <is>
          <t>ED206836</t>
        </is>
      </c>
      <c r="B6691" s="56" t="n">
        <v>45694.80833333333</v>
      </c>
      <c r="C6691" t="inlineStr">
        <is>
          <t>Bluestone Memorial Hospital</t>
        </is>
      </c>
      <c r="D6691" t="n">
        <v>26</v>
      </c>
    </row>
    <row r="6692">
      <c r="A6692" t="inlineStr">
        <is>
          <t>ED206837</t>
        </is>
      </c>
      <c r="B6692" s="56" t="n">
        <v>45694.94513888889</v>
      </c>
      <c r="C6692" t="inlineStr">
        <is>
          <t>Bluestone Memorial Hospital</t>
        </is>
      </c>
      <c r="D6692" t="n">
        <v>39</v>
      </c>
    </row>
    <row r="6693">
      <c r="A6693" t="inlineStr">
        <is>
          <t>ED206838</t>
        </is>
      </c>
      <c r="B6693" s="56" t="n">
        <v>45694.99166666667</v>
      </c>
      <c r="C6693" t="inlineStr">
        <is>
          <t>Cedar Ridge Medical Center</t>
        </is>
      </c>
      <c r="D6693" t="n">
        <v>18</v>
      </c>
    </row>
    <row r="6694">
      <c r="A6694" t="inlineStr">
        <is>
          <t>ED206839</t>
        </is>
      </c>
      <c r="B6694" s="56" t="n">
        <v>45695.09861111111</v>
      </c>
      <c r="C6694" t="inlineStr">
        <is>
          <t>Cedar Ridge Medical Center</t>
        </is>
      </c>
      <c r="D6694" t="n">
        <v>42</v>
      </c>
    </row>
    <row r="6695">
      <c r="A6695" t="inlineStr">
        <is>
          <t>ED206840</t>
        </is>
      </c>
      <c r="B6695" s="56" t="n">
        <v>45695.12638888889</v>
      </c>
      <c r="C6695" t="inlineStr">
        <is>
          <t>Bluestone Memorial Hospital</t>
        </is>
      </c>
      <c r="D6695" t="n">
        <v>17</v>
      </c>
    </row>
    <row r="6696">
      <c r="A6696" t="inlineStr">
        <is>
          <t>ED206841</t>
        </is>
      </c>
      <c r="B6696" s="56" t="n">
        <v>45695.23055555556</v>
      </c>
      <c r="C6696" t="inlineStr">
        <is>
          <t>Bluestone Memorial Hospital</t>
        </is>
      </c>
      <c r="D6696" t="n">
        <v>22</v>
      </c>
    </row>
    <row r="6697">
      <c r="A6697" t="inlineStr">
        <is>
          <t>ED206842</t>
        </is>
      </c>
      <c r="B6697" s="56" t="n">
        <v>45695.34027777778</v>
      </c>
      <c r="C6697" t="inlineStr">
        <is>
          <t>Cedar Ridge Medical Center</t>
        </is>
      </c>
      <c r="D6697" t="n">
        <v>87</v>
      </c>
    </row>
    <row r="6698">
      <c r="A6698" t="inlineStr">
        <is>
          <t>ED206843</t>
        </is>
      </c>
      <c r="B6698" s="56" t="n">
        <v>45695.39027777778</v>
      </c>
      <c r="C6698" t="inlineStr">
        <is>
          <t>Bluestone Memorial Hospital</t>
        </is>
      </c>
      <c r="D6698" t="n">
        <v>50</v>
      </c>
    </row>
    <row r="6699">
      <c r="A6699" t="inlineStr">
        <is>
          <t>ED206844</t>
        </is>
      </c>
      <c r="B6699" s="56" t="n">
        <v>45695.42708333334</v>
      </c>
      <c r="C6699" t="inlineStr">
        <is>
          <t>Bluestone Memorial Hospital</t>
        </is>
      </c>
      <c r="D6699" t="n">
        <v>42</v>
      </c>
    </row>
    <row r="6700">
      <c r="A6700" t="inlineStr">
        <is>
          <t>ED206845</t>
        </is>
      </c>
      <c r="B6700" s="56" t="n">
        <v>45695.51666666667</v>
      </c>
      <c r="C6700" t="inlineStr">
        <is>
          <t>Ashby Falls Community Hospital</t>
        </is>
      </c>
      <c r="D6700" t="n">
        <v>155</v>
      </c>
    </row>
    <row r="6701">
      <c r="A6701" t="inlineStr">
        <is>
          <t>ED206846</t>
        </is>
      </c>
      <c r="B6701" s="56" t="n">
        <v>45695.525</v>
      </c>
      <c r="C6701" t="inlineStr">
        <is>
          <t>Bluestone Memorial Hospital</t>
        </is>
      </c>
      <c r="D6701" t="n">
        <v>30</v>
      </c>
    </row>
    <row r="6702">
      <c r="A6702" t="inlineStr">
        <is>
          <t>ED206847</t>
        </is>
      </c>
      <c r="B6702" s="56" t="n">
        <v>45695.62708333333</v>
      </c>
      <c r="C6702" t="inlineStr">
        <is>
          <t>Bluestone Memorial Hospital</t>
        </is>
      </c>
      <c r="D6702" t="n">
        <v>47</v>
      </c>
    </row>
    <row r="6703">
      <c r="A6703" t="inlineStr">
        <is>
          <t>ED206848</t>
        </is>
      </c>
      <c r="B6703" s="56" t="n">
        <v>45695.72083333333</v>
      </c>
      <c r="C6703" t="inlineStr">
        <is>
          <t>Cedar Ridge Medical Center</t>
        </is>
      </c>
      <c r="D6703" t="n">
        <v>9</v>
      </c>
    </row>
    <row r="6704">
      <c r="A6704" t="inlineStr">
        <is>
          <t>ED206849</t>
        </is>
      </c>
      <c r="B6704" s="56" t="n">
        <v>45695.74166666667</v>
      </c>
      <c r="C6704" t="inlineStr">
        <is>
          <t>Cedar Ridge Medical Center</t>
        </is>
      </c>
      <c r="D6704" t="n">
        <v>40</v>
      </c>
    </row>
    <row r="6705">
      <c r="A6705" t="inlineStr">
        <is>
          <t>ED206850</t>
        </is>
      </c>
      <c r="B6705" s="56" t="n">
        <v>45695.77083333334</v>
      </c>
      <c r="C6705" t="inlineStr">
        <is>
          <t>Cedar Ridge Medical Center</t>
        </is>
      </c>
      <c r="D6705" t="n">
        <v>17</v>
      </c>
    </row>
    <row r="6706">
      <c r="A6706" t="inlineStr">
        <is>
          <t>ED206851</t>
        </is>
      </c>
      <c r="B6706" s="56" t="n">
        <v>45695.77986111111</v>
      </c>
      <c r="C6706" t="inlineStr">
        <is>
          <t>Bluestone Memorial Hospital</t>
        </is>
      </c>
      <c r="D6706" t="n">
        <v>53</v>
      </c>
    </row>
    <row r="6707">
      <c r="A6707" t="inlineStr">
        <is>
          <t>ED206852</t>
        </is>
      </c>
      <c r="B6707" s="56" t="n">
        <v>45695.81666666667</v>
      </c>
      <c r="C6707" t="inlineStr">
        <is>
          <t>Cedar Ridge Medical Center</t>
        </is>
      </c>
      <c r="D6707" t="n">
        <v>73</v>
      </c>
    </row>
    <row r="6708">
      <c r="A6708" t="inlineStr">
        <is>
          <t>ED206853</t>
        </is>
      </c>
      <c r="B6708" s="56" t="n">
        <v>45695.83125</v>
      </c>
      <c r="C6708" t="inlineStr">
        <is>
          <t>Bluestone Memorial Hospital</t>
        </is>
      </c>
      <c r="D6708" t="n">
        <v>73</v>
      </c>
    </row>
    <row r="6709">
      <c r="A6709" t="inlineStr">
        <is>
          <t>ED206854</t>
        </is>
      </c>
      <c r="B6709" s="56" t="n">
        <v>45695.86527777778</v>
      </c>
      <c r="C6709" t="inlineStr">
        <is>
          <t>Ashby Falls Community Hospital</t>
        </is>
      </c>
      <c r="D6709" t="n">
        <v>44</v>
      </c>
    </row>
    <row r="6710">
      <c r="A6710" t="inlineStr">
        <is>
          <t>ED206855</t>
        </is>
      </c>
      <c r="B6710" s="56" t="n">
        <v>45695.88125</v>
      </c>
      <c r="C6710" t="inlineStr">
        <is>
          <t>Cedar Ridge Medical Center</t>
        </is>
      </c>
      <c r="D6710" t="n">
        <v>23</v>
      </c>
    </row>
    <row r="6711">
      <c r="A6711" t="inlineStr">
        <is>
          <t>ED206856</t>
        </is>
      </c>
      <c r="B6711" s="56" t="n">
        <v>45695.95416666667</v>
      </c>
      <c r="C6711" t="inlineStr">
        <is>
          <t>Bluestone Memorial Hospital</t>
        </is>
      </c>
      <c r="D6711" t="n">
        <v>14</v>
      </c>
    </row>
    <row r="6712">
      <c r="A6712" t="inlineStr">
        <is>
          <t>ED206857</t>
        </is>
      </c>
      <c r="B6712" s="56" t="n">
        <v>45696.03194444445</v>
      </c>
      <c r="C6712" t="inlineStr">
        <is>
          <t>Bluestone Memorial Hospital</t>
        </is>
      </c>
      <c r="D6712" t="n">
        <v>41</v>
      </c>
    </row>
    <row r="6713">
      <c r="A6713" t="inlineStr">
        <is>
          <t>ED206858</t>
        </is>
      </c>
      <c r="B6713" s="56" t="n">
        <v>45696.06666666667</v>
      </c>
      <c r="C6713" t="inlineStr">
        <is>
          <t>Bluestone Memorial Hospital</t>
        </is>
      </c>
      <c r="D6713" t="n">
        <v>28</v>
      </c>
    </row>
    <row r="6714">
      <c r="A6714" t="inlineStr">
        <is>
          <t>ED206859</t>
        </is>
      </c>
      <c r="B6714" s="56" t="n">
        <v>45696.07430555556</v>
      </c>
      <c r="C6714" t="inlineStr">
        <is>
          <t>Cedar Ridge Medical Center</t>
        </is>
      </c>
      <c r="D6714" t="n">
        <v>94</v>
      </c>
    </row>
    <row r="6715">
      <c r="A6715" t="inlineStr">
        <is>
          <t>ED206860</t>
        </is>
      </c>
      <c r="B6715" s="56" t="n">
        <v>45696.16458333333</v>
      </c>
      <c r="C6715" t="inlineStr">
        <is>
          <t>Cedar Ridge Medical Center</t>
        </is>
      </c>
      <c r="D6715" t="n">
        <v>93</v>
      </c>
    </row>
    <row r="6716">
      <c r="A6716" t="inlineStr">
        <is>
          <t>ED206861</t>
        </is>
      </c>
      <c r="B6716" s="56" t="n">
        <v>45696.29375</v>
      </c>
      <c r="C6716" t="inlineStr">
        <is>
          <t>Cedar Ridge Medical Center</t>
        </is>
      </c>
      <c r="D6716" t="n">
        <v>58</v>
      </c>
    </row>
    <row r="6717">
      <c r="A6717" t="inlineStr">
        <is>
          <t>ED206862</t>
        </is>
      </c>
      <c r="B6717" s="56" t="n">
        <v>45696.36666666667</v>
      </c>
      <c r="C6717" t="inlineStr">
        <is>
          <t>Bluestone Memorial Hospital</t>
        </is>
      </c>
      <c r="D6717" t="n">
        <v>14</v>
      </c>
    </row>
    <row r="6718">
      <c r="A6718" t="inlineStr">
        <is>
          <t>ED206863</t>
        </is>
      </c>
      <c r="B6718" s="56" t="n">
        <v>45696.41944444444</v>
      </c>
      <c r="C6718" t="inlineStr">
        <is>
          <t>Bluestone Memorial Hospital</t>
        </is>
      </c>
      <c r="D6718" t="n">
        <v>35</v>
      </c>
    </row>
    <row r="6719">
      <c r="A6719" t="inlineStr">
        <is>
          <t>ED206864</t>
        </is>
      </c>
      <c r="B6719" s="56" t="n">
        <v>45696.45208333333</v>
      </c>
      <c r="C6719" t="inlineStr">
        <is>
          <t>Bluestone Memorial Hospital</t>
        </is>
      </c>
      <c r="D6719" t="n">
        <v>150</v>
      </c>
    </row>
    <row r="6720">
      <c r="A6720" t="inlineStr">
        <is>
          <t>ED206865</t>
        </is>
      </c>
      <c r="B6720" s="56" t="n">
        <v>45696.67430555556</v>
      </c>
      <c r="C6720" t="inlineStr">
        <is>
          <t>Bluestone Memorial Hospital</t>
        </is>
      </c>
      <c r="D6720" t="n">
        <v>88</v>
      </c>
    </row>
    <row r="6721">
      <c r="A6721" t="inlineStr">
        <is>
          <t>ED206866</t>
        </is>
      </c>
      <c r="B6721" s="56" t="n">
        <v>45696.67986111111</v>
      </c>
      <c r="C6721" t="inlineStr">
        <is>
          <t>Ashby Falls Community Hospital</t>
        </is>
      </c>
      <c r="D6721" t="n">
        <v>54</v>
      </c>
    </row>
    <row r="6722">
      <c r="A6722" t="inlineStr">
        <is>
          <t>ED206868</t>
        </is>
      </c>
      <c r="B6722" s="56" t="n">
        <v>45696.80277777778</v>
      </c>
      <c r="C6722" t="inlineStr">
        <is>
          <t>Bluestone Memorial Hospital</t>
        </is>
      </c>
      <c r="D6722" t="n">
        <v>3</v>
      </c>
    </row>
    <row r="6723">
      <c r="A6723" t="inlineStr">
        <is>
          <t>ED206869</t>
        </is>
      </c>
      <c r="B6723" s="56" t="n">
        <v>45696.85694444444</v>
      </c>
      <c r="C6723" t="inlineStr">
        <is>
          <t>Bluestone Memorial Hospital</t>
        </is>
      </c>
      <c r="D6723" t="n">
        <v>65</v>
      </c>
    </row>
    <row r="6724">
      <c r="A6724" t="inlineStr">
        <is>
          <t>ED206870</t>
        </is>
      </c>
      <c r="B6724" s="56" t="n">
        <v>45696.87430555555</v>
      </c>
      <c r="C6724" t="inlineStr">
        <is>
          <t>Bluestone Memorial Hospital</t>
        </is>
      </c>
      <c r="D6724" t="n">
        <v>26</v>
      </c>
    </row>
    <row r="6725">
      <c r="A6725" t="inlineStr">
        <is>
          <t>ED206871</t>
        </is>
      </c>
      <c r="B6725" s="56" t="n">
        <v>45696.925</v>
      </c>
      <c r="C6725" t="inlineStr">
        <is>
          <t>Cedar Ridge Medical Center</t>
        </is>
      </c>
      <c r="D6725" t="n">
        <v>11</v>
      </c>
    </row>
    <row r="6726">
      <c r="A6726" t="inlineStr">
        <is>
          <t>ED206872</t>
        </is>
      </c>
      <c r="B6726" s="56" t="n">
        <v>45696.95208333333</v>
      </c>
      <c r="C6726" t="inlineStr">
        <is>
          <t>Bluestone Memorial Hospital</t>
        </is>
      </c>
      <c r="D6726" t="n">
        <v>13</v>
      </c>
    </row>
    <row r="6727">
      <c r="A6727" t="inlineStr">
        <is>
          <t>ED206873</t>
        </is>
      </c>
      <c r="B6727" s="56" t="n">
        <v>45696.96111111111</v>
      </c>
      <c r="C6727" t="inlineStr">
        <is>
          <t>Bluestone Memorial Hospital</t>
        </is>
      </c>
      <c r="D6727" t="n">
        <v>71</v>
      </c>
    </row>
    <row r="6728">
      <c r="A6728" t="inlineStr">
        <is>
          <t>ED206874</t>
        </is>
      </c>
      <c r="B6728" s="56" t="n">
        <v>45696.98125</v>
      </c>
      <c r="C6728" t="inlineStr">
        <is>
          <t>Bluestone Memorial Hospital</t>
        </is>
      </c>
      <c r="D6728" t="n">
        <v>1</v>
      </c>
    </row>
    <row r="6729">
      <c r="A6729" t="inlineStr">
        <is>
          <t>ED206875</t>
        </is>
      </c>
      <c r="B6729" s="56" t="n">
        <v>45697.06041666667</v>
      </c>
      <c r="C6729" t="inlineStr">
        <is>
          <t>Ashby Falls Community Hospital</t>
        </is>
      </c>
      <c r="D6729" t="n">
        <v>52</v>
      </c>
    </row>
    <row r="6730">
      <c r="A6730" t="inlineStr">
        <is>
          <t>ED206876</t>
        </is>
      </c>
      <c r="B6730" s="56" t="n">
        <v>45697.41805555556</v>
      </c>
      <c r="C6730" t="inlineStr">
        <is>
          <t>Ashby Falls Community Hospital</t>
        </is>
      </c>
      <c r="D6730" t="n">
        <v>127</v>
      </c>
    </row>
    <row r="6731">
      <c r="A6731" t="inlineStr">
        <is>
          <t>ED206877</t>
        </is>
      </c>
      <c r="B6731" s="56" t="n">
        <v>45697.44722222222</v>
      </c>
      <c r="C6731" t="inlineStr">
        <is>
          <t>Bluestone Memorial Hospital</t>
        </is>
      </c>
      <c r="D6731" t="n">
        <v>18</v>
      </c>
    </row>
    <row r="6732">
      <c r="A6732" t="inlineStr">
        <is>
          <t>ED206878</t>
        </is>
      </c>
      <c r="B6732" s="56" t="n">
        <v>45697.475</v>
      </c>
      <c r="C6732" t="inlineStr">
        <is>
          <t>Bluestone Memorial Hospital</t>
        </is>
      </c>
      <c r="D6732" t="n">
        <v>22</v>
      </c>
    </row>
    <row r="6733">
      <c r="A6733" t="inlineStr">
        <is>
          <t>ED206879</t>
        </is>
      </c>
      <c r="B6733" s="56" t="n">
        <v>45697.47986111111</v>
      </c>
      <c r="C6733" t="inlineStr">
        <is>
          <t>Cedar Ridge Medical Center</t>
        </is>
      </c>
      <c r="D6733" t="n">
        <v>24</v>
      </c>
    </row>
    <row r="6734">
      <c r="A6734" t="inlineStr">
        <is>
          <t>ED206880</t>
        </is>
      </c>
      <c r="B6734" s="56" t="n">
        <v>45697.50069444445</v>
      </c>
      <c r="C6734" t="inlineStr">
        <is>
          <t>Bluestone Memorial Hospital</t>
        </is>
      </c>
      <c r="D6734" t="n">
        <v>22</v>
      </c>
    </row>
    <row r="6735">
      <c r="A6735" t="inlineStr">
        <is>
          <t>ED206881</t>
        </is>
      </c>
      <c r="B6735" s="56" t="n">
        <v>45697.56666666667</v>
      </c>
      <c r="C6735" t="inlineStr">
        <is>
          <t>Bluestone Memorial Hospital</t>
        </is>
      </c>
      <c r="D6735" t="n">
        <v>125</v>
      </c>
    </row>
    <row r="6736">
      <c r="A6736" t="inlineStr">
        <is>
          <t>ED206882</t>
        </is>
      </c>
      <c r="B6736" s="56" t="n">
        <v>45697.56736111111</v>
      </c>
      <c r="C6736" t="inlineStr">
        <is>
          <t>Bluestone Memorial Hospital</t>
        </is>
      </c>
      <c r="D6736" t="n">
        <v>22</v>
      </c>
    </row>
    <row r="6737">
      <c r="A6737" t="inlineStr">
        <is>
          <t>ED206883</t>
        </is>
      </c>
      <c r="B6737" s="56" t="n">
        <v>45697.58194444444</v>
      </c>
      <c r="C6737" t="inlineStr">
        <is>
          <t>Bluestone Memorial Hospital</t>
        </is>
      </c>
      <c r="D6737" t="n">
        <v>3</v>
      </c>
    </row>
    <row r="6738">
      <c r="A6738" t="inlineStr">
        <is>
          <t>ED206884</t>
        </is>
      </c>
      <c r="B6738" s="56" t="n">
        <v>45697.60763888889</v>
      </c>
      <c r="C6738" t="inlineStr">
        <is>
          <t>Bluestone Memorial Hospital</t>
        </is>
      </c>
      <c r="D6738" t="n">
        <v>103</v>
      </c>
    </row>
    <row r="6739">
      <c r="A6739" t="inlineStr">
        <is>
          <t>ED206885</t>
        </is>
      </c>
      <c r="B6739" s="56" t="n">
        <v>45697.60833333333</v>
      </c>
      <c r="C6739" t="inlineStr">
        <is>
          <t>Ashby Falls Community Hospital</t>
        </is>
      </c>
      <c r="D6739" t="n">
        <v>125</v>
      </c>
    </row>
    <row r="6740">
      <c r="A6740" t="inlineStr">
        <is>
          <t>ED206886</t>
        </is>
      </c>
      <c r="B6740" s="56" t="n">
        <v>45697.64236111111</v>
      </c>
      <c r="C6740" t="inlineStr">
        <is>
          <t>Cedar Ridge Medical Center</t>
        </is>
      </c>
      <c r="D6740" t="n">
        <v>25</v>
      </c>
    </row>
    <row r="6741">
      <c r="A6741" t="inlineStr">
        <is>
          <t>ED206887</t>
        </is>
      </c>
      <c r="B6741" s="56" t="n">
        <v>45697.64305555556</v>
      </c>
      <c r="C6741" t="inlineStr">
        <is>
          <t>Bluestone Memorial Hospital</t>
        </is>
      </c>
      <c r="D6741" t="n">
        <v>31</v>
      </c>
    </row>
    <row r="6742">
      <c r="A6742" t="inlineStr">
        <is>
          <t>ED206888</t>
        </is>
      </c>
      <c r="B6742" s="56" t="n">
        <v>45697.64652777778</v>
      </c>
      <c r="C6742" t="inlineStr">
        <is>
          <t>Ashby Falls Community Hospital</t>
        </is>
      </c>
      <c r="D6742" t="n">
        <v>51</v>
      </c>
    </row>
    <row r="6743">
      <c r="A6743" t="inlineStr">
        <is>
          <t>ED206889</t>
        </is>
      </c>
      <c r="B6743" s="56" t="n">
        <v>45697.67430555556</v>
      </c>
      <c r="C6743" t="inlineStr">
        <is>
          <t>Bluestone Memorial Hospital</t>
        </is>
      </c>
      <c r="D6743" t="n">
        <v>30</v>
      </c>
    </row>
    <row r="6744">
      <c r="A6744" t="inlineStr">
        <is>
          <t>ED206890</t>
        </is>
      </c>
      <c r="B6744" s="56" t="n">
        <v>45697.71041666667</v>
      </c>
      <c r="C6744" t="inlineStr">
        <is>
          <t>Cedar Ridge Medical Center</t>
        </is>
      </c>
      <c r="D6744" t="n">
        <v>111</v>
      </c>
    </row>
    <row r="6745">
      <c r="A6745" t="inlineStr">
        <is>
          <t>ED206891</t>
        </is>
      </c>
      <c r="B6745" s="56" t="n">
        <v>45697.74513888889</v>
      </c>
      <c r="C6745" t="inlineStr">
        <is>
          <t>Bluestone Memorial Hospital</t>
        </is>
      </c>
      <c r="D6745" t="n">
        <v>91</v>
      </c>
    </row>
    <row r="6746">
      <c r="A6746" t="inlineStr">
        <is>
          <t>ED206892</t>
        </is>
      </c>
      <c r="B6746" s="56" t="n">
        <v>45697.76805555556</v>
      </c>
      <c r="C6746" t="inlineStr">
        <is>
          <t>Bluestone Memorial Hospital</t>
        </is>
      </c>
      <c r="D6746" t="n">
        <v>31</v>
      </c>
    </row>
    <row r="6747">
      <c r="A6747" t="inlineStr">
        <is>
          <t>ED206893</t>
        </is>
      </c>
      <c r="B6747" s="56" t="n">
        <v>45697.77152777778</v>
      </c>
      <c r="C6747" t="inlineStr">
        <is>
          <t>Bluestone Memorial Hospital</t>
        </is>
      </c>
      <c r="D6747" t="n">
        <v>98</v>
      </c>
    </row>
    <row r="6748">
      <c r="A6748" t="inlineStr">
        <is>
          <t>ED206894</t>
        </is>
      </c>
      <c r="B6748" s="56" t="n">
        <v>45697.80277777778</v>
      </c>
      <c r="C6748" t="inlineStr">
        <is>
          <t>Bluestone Memorial Hospital</t>
        </is>
      </c>
      <c r="D6748" t="n">
        <v>89</v>
      </c>
    </row>
    <row r="6749">
      <c r="A6749" t="inlineStr">
        <is>
          <t>ED206895</t>
        </is>
      </c>
      <c r="B6749" s="56" t="n">
        <v>45697.85486111111</v>
      </c>
      <c r="C6749" t="inlineStr">
        <is>
          <t>Ashby Falls Community Hospital</t>
        </is>
      </c>
      <c r="D6749" t="n">
        <v>53</v>
      </c>
    </row>
    <row r="6750">
      <c r="A6750" t="inlineStr">
        <is>
          <t>ED206896</t>
        </is>
      </c>
      <c r="B6750" s="56" t="n">
        <v>45697.87847222222</v>
      </c>
      <c r="C6750" t="inlineStr">
        <is>
          <t>Cedar Ridge Medical Center</t>
        </is>
      </c>
      <c r="D6750" t="n">
        <v>11</v>
      </c>
    </row>
    <row r="6751">
      <c r="A6751" t="inlineStr">
        <is>
          <t>ED206897</t>
        </is>
      </c>
      <c r="B6751" s="56" t="n">
        <v>45698.00347222222</v>
      </c>
      <c r="C6751" t="inlineStr">
        <is>
          <t>Ashby Falls Community Hospital</t>
        </is>
      </c>
      <c r="D6751" t="n">
        <v>15</v>
      </c>
    </row>
    <row r="6752">
      <c r="A6752" t="inlineStr">
        <is>
          <t>ED206898</t>
        </is>
      </c>
      <c r="B6752" s="56" t="n">
        <v>45698.11319444444</v>
      </c>
      <c r="C6752" t="inlineStr">
        <is>
          <t>Bluestone Memorial Hospital</t>
        </is>
      </c>
      <c r="D6752" t="n">
        <v>61</v>
      </c>
    </row>
    <row r="6753">
      <c r="A6753" t="inlineStr">
        <is>
          <t>ED206899</t>
        </is>
      </c>
      <c r="B6753" s="56" t="n">
        <v>45698.12708333333</v>
      </c>
      <c r="C6753" t="inlineStr">
        <is>
          <t>Cedar Ridge Medical Center</t>
        </is>
      </c>
      <c r="D6753" t="n">
        <v>32</v>
      </c>
    </row>
    <row r="6754">
      <c r="A6754" t="inlineStr">
        <is>
          <t>ED206900</t>
        </is>
      </c>
      <c r="B6754" s="56" t="n">
        <v>45698.17222222222</v>
      </c>
      <c r="C6754" t="inlineStr">
        <is>
          <t>Cedar Ridge Medical Center</t>
        </is>
      </c>
      <c r="D6754" t="n">
        <v>84</v>
      </c>
    </row>
    <row r="6755">
      <c r="A6755" t="inlineStr">
        <is>
          <t>ED206901</t>
        </is>
      </c>
      <c r="B6755" s="56" t="n">
        <v>45698.32083333333</v>
      </c>
      <c r="C6755" t="inlineStr">
        <is>
          <t>Ashby Falls Community Hospital</t>
        </is>
      </c>
      <c r="D6755" t="n">
        <v>26</v>
      </c>
    </row>
    <row r="6756">
      <c r="A6756" t="inlineStr">
        <is>
          <t>ED206902</t>
        </is>
      </c>
      <c r="B6756" s="56" t="n">
        <v>45698.44444444445</v>
      </c>
      <c r="C6756" t="inlineStr">
        <is>
          <t>Cedar Ridge Medical Center</t>
        </is>
      </c>
      <c r="D6756" t="n">
        <v>23</v>
      </c>
    </row>
    <row r="6757">
      <c r="A6757" t="inlineStr">
        <is>
          <t>ED206903</t>
        </is>
      </c>
      <c r="B6757" s="56" t="n">
        <v>45698.45833333334</v>
      </c>
      <c r="C6757" t="inlineStr">
        <is>
          <t>Bluestone Memorial Hospital</t>
        </is>
      </c>
      <c r="D6757" t="n">
        <v>64</v>
      </c>
    </row>
    <row r="6758">
      <c r="A6758" t="inlineStr">
        <is>
          <t>ED206904</t>
        </is>
      </c>
      <c r="B6758" s="56" t="n">
        <v>45698.49513888889</v>
      </c>
      <c r="C6758" t="inlineStr">
        <is>
          <t>Bluestone Memorial Hospital</t>
        </is>
      </c>
      <c r="D6758" t="n">
        <v>35</v>
      </c>
    </row>
    <row r="6759">
      <c r="A6759" t="inlineStr">
        <is>
          <t>ED206905</t>
        </is>
      </c>
      <c r="B6759" s="56" t="n">
        <v>45698.51666666667</v>
      </c>
      <c r="C6759" t="inlineStr">
        <is>
          <t>Bluestone Memorial Hospital</t>
        </is>
      </c>
      <c r="D6759" t="n">
        <v>143</v>
      </c>
    </row>
    <row r="6760">
      <c r="A6760" t="inlineStr">
        <is>
          <t>ED206906</t>
        </is>
      </c>
      <c r="B6760" s="56" t="n">
        <v>45698.53125</v>
      </c>
      <c r="C6760" t="inlineStr">
        <is>
          <t>Bluestone Memorial Hospital</t>
        </is>
      </c>
      <c r="D6760" t="n">
        <v>45</v>
      </c>
    </row>
    <row r="6761">
      <c r="A6761" t="inlineStr">
        <is>
          <t>ED206907</t>
        </is>
      </c>
      <c r="B6761" s="56" t="n">
        <v>45698.58055555556</v>
      </c>
      <c r="C6761" t="inlineStr">
        <is>
          <t>Cedar Ridge Medical Center</t>
        </is>
      </c>
      <c r="D6761" t="n">
        <v>25</v>
      </c>
    </row>
    <row r="6762">
      <c r="A6762" t="inlineStr">
        <is>
          <t>ED206908</t>
        </is>
      </c>
      <c r="B6762" s="56" t="n">
        <v>45698.60069444445</v>
      </c>
      <c r="C6762" t="inlineStr">
        <is>
          <t>Bluestone Memorial Hospital</t>
        </is>
      </c>
      <c r="D6762" t="n">
        <v>65</v>
      </c>
    </row>
    <row r="6763">
      <c r="A6763" t="inlineStr">
        <is>
          <t>ED206909</t>
        </is>
      </c>
      <c r="B6763" s="56" t="n">
        <v>45698.62777777778</v>
      </c>
      <c r="C6763" t="inlineStr">
        <is>
          <t>Cedar Ridge Medical Center</t>
        </is>
      </c>
      <c r="D6763" t="n">
        <v>72</v>
      </c>
    </row>
    <row r="6764">
      <c r="A6764" t="inlineStr">
        <is>
          <t>ED206910</t>
        </is>
      </c>
      <c r="B6764" s="56" t="n">
        <v>45698.63680555556</v>
      </c>
      <c r="C6764" t="inlineStr">
        <is>
          <t>Bluestone Memorial Hospital</t>
        </is>
      </c>
      <c r="D6764" t="n">
        <v>41</v>
      </c>
    </row>
    <row r="6765">
      <c r="A6765" t="inlineStr">
        <is>
          <t>ED206911</t>
        </is>
      </c>
      <c r="B6765" s="56" t="n">
        <v>45698.65763888889</v>
      </c>
      <c r="C6765" t="inlineStr">
        <is>
          <t>Bluestone Memorial Hospital</t>
        </is>
      </c>
      <c r="D6765" t="n">
        <v>82</v>
      </c>
    </row>
    <row r="6766">
      <c r="A6766" t="inlineStr">
        <is>
          <t>ED206912</t>
        </is>
      </c>
      <c r="B6766" s="56" t="n">
        <v>45698.68680555555</v>
      </c>
      <c r="C6766" t="inlineStr">
        <is>
          <t>Bluestone Memorial Hospital</t>
        </is>
      </c>
      <c r="D6766" t="n">
        <v>117</v>
      </c>
    </row>
    <row r="6767">
      <c r="A6767" t="inlineStr">
        <is>
          <t>ED206913</t>
        </is>
      </c>
      <c r="B6767" s="56" t="n">
        <v>45698.73333333333</v>
      </c>
      <c r="C6767" t="inlineStr">
        <is>
          <t>Bluestone Memorial Hospital</t>
        </is>
      </c>
      <c r="D6767" t="n">
        <v>94</v>
      </c>
    </row>
    <row r="6768">
      <c r="A6768" t="inlineStr">
        <is>
          <t>ED206914</t>
        </is>
      </c>
      <c r="B6768" s="56" t="n">
        <v>45698.78402777778</v>
      </c>
      <c r="C6768" t="inlineStr">
        <is>
          <t>Bluestone Memorial Hospital</t>
        </is>
      </c>
      <c r="D6768" t="n">
        <v>70</v>
      </c>
    </row>
    <row r="6769">
      <c r="A6769" t="inlineStr">
        <is>
          <t>ED206915</t>
        </is>
      </c>
      <c r="B6769" s="56" t="n">
        <v>45698.83472222222</v>
      </c>
      <c r="C6769" t="inlineStr">
        <is>
          <t>Bluestone Memorial Hospital</t>
        </is>
      </c>
      <c r="D6769" t="n">
        <v>21</v>
      </c>
    </row>
    <row r="6770">
      <c r="A6770" t="inlineStr">
        <is>
          <t>ED206916</t>
        </is>
      </c>
      <c r="B6770" s="56" t="n">
        <v>45698.85902777778</v>
      </c>
      <c r="C6770" t="inlineStr">
        <is>
          <t>Bluestone Memorial Hospital</t>
        </is>
      </c>
      <c r="D6770" t="n">
        <v>91</v>
      </c>
    </row>
    <row r="6771">
      <c r="A6771" t="inlineStr">
        <is>
          <t>ED206917</t>
        </is>
      </c>
      <c r="B6771" s="56" t="n">
        <v>45698.88611111111</v>
      </c>
      <c r="C6771" t="inlineStr">
        <is>
          <t>Ashby Falls Community Hospital</t>
        </is>
      </c>
      <c r="D6771" t="n">
        <v>77</v>
      </c>
    </row>
    <row r="6772">
      <c r="A6772" t="inlineStr">
        <is>
          <t>ED206918</t>
        </is>
      </c>
      <c r="B6772" s="56" t="n">
        <v>45698.92013888889</v>
      </c>
      <c r="C6772" t="inlineStr">
        <is>
          <t>Cedar Ridge Medical Center</t>
        </is>
      </c>
      <c r="D6772" t="n">
        <v>104</v>
      </c>
    </row>
    <row r="6773">
      <c r="A6773" t="inlineStr">
        <is>
          <t>ED206919</t>
        </is>
      </c>
      <c r="B6773" s="56" t="n">
        <v>45699.01805555556</v>
      </c>
      <c r="C6773" t="inlineStr">
        <is>
          <t>Bluestone Memorial Hospital</t>
        </is>
      </c>
      <c r="D6773" t="n">
        <v>3</v>
      </c>
    </row>
    <row r="6774">
      <c r="A6774" t="inlineStr">
        <is>
          <t>ED206920</t>
        </is>
      </c>
      <c r="B6774" s="56" t="n">
        <v>45699.02013888889</v>
      </c>
      <c r="C6774" t="inlineStr">
        <is>
          <t>Cedar Ridge Medical Center</t>
        </is>
      </c>
      <c r="D6774" t="n">
        <v>6</v>
      </c>
    </row>
    <row r="6775">
      <c r="A6775" t="inlineStr">
        <is>
          <t>ED206921</t>
        </is>
      </c>
      <c r="B6775" s="56" t="n">
        <v>45699.11041666667</v>
      </c>
      <c r="C6775" t="inlineStr">
        <is>
          <t>Cedar Ridge Medical Center</t>
        </is>
      </c>
      <c r="D6775" t="n">
        <v>30</v>
      </c>
    </row>
    <row r="6776">
      <c r="A6776" t="inlineStr">
        <is>
          <t>ED206922</t>
        </is>
      </c>
      <c r="B6776" s="56" t="n">
        <v>45699.24166666667</v>
      </c>
      <c r="C6776" t="inlineStr">
        <is>
          <t>Ashby Falls Community Hospital</t>
        </is>
      </c>
      <c r="D6776" t="n">
        <v>28</v>
      </c>
    </row>
    <row r="6777">
      <c r="A6777" t="inlineStr">
        <is>
          <t>ED206923</t>
        </is>
      </c>
      <c r="B6777" s="56" t="n">
        <v>45699.25972222222</v>
      </c>
      <c r="C6777" t="inlineStr">
        <is>
          <t>Bluestone Memorial Hospital</t>
        </is>
      </c>
      <c r="D6777" t="n">
        <v>29</v>
      </c>
    </row>
    <row r="6778">
      <c r="A6778" t="inlineStr">
        <is>
          <t>ED206924</t>
        </is>
      </c>
      <c r="B6778" s="56" t="n">
        <v>45699.28472222222</v>
      </c>
      <c r="C6778" t="inlineStr">
        <is>
          <t>Ashby Falls Community Hospital</t>
        </is>
      </c>
      <c r="D6778" t="n">
        <v>78</v>
      </c>
    </row>
    <row r="6779">
      <c r="A6779" t="inlineStr">
        <is>
          <t>ED206925</t>
        </is>
      </c>
      <c r="B6779" s="56" t="n">
        <v>45699.34513888889</v>
      </c>
      <c r="C6779" t="inlineStr">
        <is>
          <t>Bluestone Memorial Hospital</t>
        </is>
      </c>
      <c r="D6779" t="n">
        <v>25</v>
      </c>
    </row>
    <row r="6780">
      <c r="A6780" t="inlineStr">
        <is>
          <t>ED206926</t>
        </is>
      </c>
      <c r="B6780" s="56" t="n">
        <v>45699.35694444444</v>
      </c>
      <c r="C6780" t="inlineStr">
        <is>
          <t>Bluestone Memorial Hospital</t>
        </is>
      </c>
      <c r="D6780" t="n">
        <v>51</v>
      </c>
    </row>
    <row r="6781">
      <c r="A6781" t="inlineStr">
        <is>
          <t>ED206927</t>
        </is>
      </c>
      <c r="B6781" s="56" t="n">
        <v>45699.38263888889</v>
      </c>
      <c r="C6781" t="inlineStr">
        <is>
          <t>Bluestone Memorial Hospital</t>
        </is>
      </c>
      <c r="D6781" t="n">
        <v>53</v>
      </c>
    </row>
    <row r="6782">
      <c r="A6782" t="inlineStr">
        <is>
          <t>ED206928</t>
        </is>
      </c>
      <c r="B6782" s="56" t="n">
        <v>45699.45972222222</v>
      </c>
      <c r="C6782" t="inlineStr">
        <is>
          <t>Bluestone Memorial Hospital</t>
        </is>
      </c>
      <c r="D6782" t="n">
        <v>16</v>
      </c>
    </row>
    <row r="6783">
      <c r="A6783" t="inlineStr">
        <is>
          <t>ED206929</t>
        </is>
      </c>
      <c r="B6783" s="56" t="n">
        <v>45699.475</v>
      </c>
      <c r="C6783" t="inlineStr">
        <is>
          <t>Bluestone Memorial Hospital</t>
        </is>
      </c>
      <c r="D6783" t="n">
        <v>55</v>
      </c>
    </row>
    <row r="6784">
      <c r="A6784" t="inlineStr">
        <is>
          <t>ED206930</t>
        </is>
      </c>
      <c r="B6784" s="56" t="n">
        <v>45699.49097222222</v>
      </c>
      <c r="C6784" t="inlineStr">
        <is>
          <t>Cedar Ridge Medical Center</t>
        </is>
      </c>
      <c r="D6784" t="n">
        <v>32</v>
      </c>
    </row>
    <row r="6785">
      <c r="A6785" t="inlineStr">
        <is>
          <t>ED206931</t>
        </is>
      </c>
      <c r="B6785" s="56" t="n">
        <v>45699.55972222222</v>
      </c>
      <c r="C6785" t="inlineStr">
        <is>
          <t>Ashby Falls Community Hospital</t>
        </is>
      </c>
      <c r="D6785" t="n">
        <v>85</v>
      </c>
    </row>
    <row r="6786">
      <c r="A6786" t="inlineStr">
        <is>
          <t>ED206932</t>
        </is>
      </c>
      <c r="B6786" s="56" t="n">
        <v>45699.61319444444</v>
      </c>
      <c r="C6786" t="inlineStr">
        <is>
          <t>Bluestone Memorial Hospital</t>
        </is>
      </c>
      <c r="D6786" t="n">
        <v>93</v>
      </c>
    </row>
    <row r="6787">
      <c r="A6787" t="inlineStr">
        <is>
          <t>ED206933</t>
        </is>
      </c>
      <c r="B6787" s="56" t="n">
        <v>45699.65763888889</v>
      </c>
      <c r="C6787" t="inlineStr">
        <is>
          <t>Ashby Falls Community Hospital</t>
        </is>
      </c>
      <c r="D6787" t="n">
        <v>53</v>
      </c>
    </row>
    <row r="6788">
      <c r="A6788" t="inlineStr">
        <is>
          <t>ED206934</t>
        </is>
      </c>
      <c r="B6788" s="56" t="n">
        <v>45699.68263888889</v>
      </c>
      <c r="C6788" t="inlineStr">
        <is>
          <t>Bluestone Memorial Hospital</t>
        </is>
      </c>
      <c r="D6788" t="n">
        <v>13</v>
      </c>
    </row>
    <row r="6789">
      <c r="A6789" t="inlineStr">
        <is>
          <t>ED206935</t>
        </is>
      </c>
      <c r="B6789" s="56" t="n">
        <v>45699.68680555555</v>
      </c>
      <c r="C6789" t="inlineStr">
        <is>
          <t>Bluestone Memorial Hospital</t>
        </is>
      </c>
      <c r="D6789" t="n">
        <v>32</v>
      </c>
    </row>
    <row r="6790">
      <c r="A6790" t="inlineStr">
        <is>
          <t>ED206936</t>
        </is>
      </c>
      <c r="B6790" s="56" t="n">
        <v>45699.70486111111</v>
      </c>
      <c r="C6790" t="inlineStr">
        <is>
          <t>Bluestone Memorial Hospital</t>
        </is>
      </c>
      <c r="D6790" t="n">
        <v>74</v>
      </c>
    </row>
    <row r="6791">
      <c r="A6791" t="inlineStr">
        <is>
          <t>ED206937</t>
        </is>
      </c>
      <c r="B6791" s="56" t="n">
        <v>45699.70486111111</v>
      </c>
      <c r="C6791" t="inlineStr">
        <is>
          <t>Ashby Falls Community Hospital</t>
        </is>
      </c>
      <c r="D6791" t="n">
        <v>29</v>
      </c>
    </row>
    <row r="6792">
      <c r="A6792" t="inlineStr">
        <is>
          <t>ED206938</t>
        </is>
      </c>
      <c r="B6792" s="56" t="n">
        <v>45699.72152777778</v>
      </c>
      <c r="C6792" t="inlineStr">
        <is>
          <t>Bluestone Memorial Hospital</t>
        </is>
      </c>
      <c r="D6792" t="n">
        <v>117</v>
      </c>
    </row>
    <row r="6793">
      <c r="A6793" t="inlineStr">
        <is>
          <t>ED206939</t>
        </is>
      </c>
      <c r="B6793" s="56" t="n">
        <v>45699.75486111111</v>
      </c>
      <c r="C6793" t="inlineStr">
        <is>
          <t>Bluestone Memorial Hospital</t>
        </is>
      </c>
      <c r="D6793" t="n">
        <v>45</v>
      </c>
    </row>
    <row r="6794">
      <c r="A6794" t="inlineStr">
        <is>
          <t>ED206940</t>
        </is>
      </c>
      <c r="B6794" s="56" t="n">
        <v>45699.78958333333</v>
      </c>
      <c r="C6794" t="inlineStr">
        <is>
          <t>Bluestone Memorial Hospital</t>
        </is>
      </c>
      <c r="D6794" t="n">
        <v>12</v>
      </c>
    </row>
    <row r="6795">
      <c r="A6795" t="inlineStr">
        <is>
          <t>ED206941</t>
        </is>
      </c>
      <c r="B6795" s="56" t="n">
        <v>45699.85208333333</v>
      </c>
      <c r="C6795" t="inlineStr">
        <is>
          <t>Ashby Falls Community Hospital</t>
        </is>
      </c>
      <c r="D6795" t="n">
        <v>3</v>
      </c>
    </row>
    <row r="6796">
      <c r="A6796" t="inlineStr">
        <is>
          <t>ED206942</t>
        </is>
      </c>
      <c r="B6796" s="56" t="n">
        <v>45699.99236111111</v>
      </c>
      <c r="C6796" t="inlineStr">
        <is>
          <t>Bluestone Memorial Hospital</t>
        </is>
      </c>
      <c r="D6796" t="n">
        <v>78</v>
      </c>
    </row>
    <row r="6797">
      <c r="A6797" t="inlineStr">
        <is>
          <t>ED206943</t>
        </is>
      </c>
      <c r="B6797" s="56" t="n">
        <v>45700.07013888889</v>
      </c>
      <c r="C6797" t="inlineStr">
        <is>
          <t>Bluestone Memorial Hospital</t>
        </is>
      </c>
      <c r="D6797" t="n">
        <v>238</v>
      </c>
    </row>
    <row r="6798">
      <c r="A6798" t="inlineStr">
        <is>
          <t>ED206944</t>
        </is>
      </c>
      <c r="B6798" s="56" t="n">
        <v>45700.12638888889</v>
      </c>
      <c r="C6798" t="inlineStr">
        <is>
          <t>Cedar Ridge Medical Center</t>
        </is>
      </c>
      <c r="D6798" t="n">
        <v>20</v>
      </c>
    </row>
    <row r="6799">
      <c r="A6799" t="inlineStr">
        <is>
          <t>ED206945</t>
        </is>
      </c>
      <c r="B6799" s="56" t="n">
        <v>45700.20694444444</v>
      </c>
      <c r="C6799" t="inlineStr">
        <is>
          <t>Bluestone Memorial Hospital</t>
        </is>
      </c>
      <c r="D6799" t="n">
        <v>22</v>
      </c>
    </row>
    <row r="6800">
      <c r="A6800" t="inlineStr">
        <is>
          <t>ED206946</t>
        </is>
      </c>
      <c r="B6800" s="56" t="n">
        <v>45700.375</v>
      </c>
      <c r="C6800" t="inlineStr">
        <is>
          <t>Bluestone Memorial Hospital</t>
        </is>
      </c>
      <c r="D6800" t="n">
        <v>19</v>
      </c>
    </row>
    <row r="6801">
      <c r="A6801" t="inlineStr">
        <is>
          <t>ED206947</t>
        </is>
      </c>
      <c r="B6801" s="56" t="n">
        <v>45700.38819444444</v>
      </c>
      <c r="C6801" t="inlineStr">
        <is>
          <t>Cedar Ridge Medical Center</t>
        </is>
      </c>
      <c r="D6801" t="n">
        <v>98</v>
      </c>
    </row>
    <row r="6802">
      <c r="A6802" t="inlineStr">
        <is>
          <t>ED206948</t>
        </is>
      </c>
      <c r="B6802" s="56" t="n">
        <v>45700.43472222222</v>
      </c>
      <c r="C6802" t="inlineStr">
        <is>
          <t>Bluestone Memorial Hospital</t>
        </is>
      </c>
      <c r="D6802" t="n">
        <v>41</v>
      </c>
    </row>
    <row r="6803">
      <c r="A6803" t="inlineStr">
        <is>
          <t>ED206949</t>
        </is>
      </c>
      <c r="B6803" s="56" t="n">
        <v>45700.48819444444</v>
      </c>
      <c r="C6803" t="inlineStr">
        <is>
          <t>Bluestone Memorial Hospital</t>
        </is>
      </c>
      <c r="D6803" t="n">
        <v>19</v>
      </c>
    </row>
    <row r="6804">
      <c r="A6804" t="inlineStr">
        <is>
          <t>ED206950</t>
        </is>
      </c>
      <c r="B6804" s="56" t="n">
        <v>45700.55208333334</v>
      </c>
      <c r="C6804" t="inlineStr">
        <is>
          <t>Bluestone Memorial Hospital</t>
        </is>
      </c>
      <c r="D6804" t="n">
        <v>65</v>
      </c>
    </row>
    <row r="6805">
      <c r="A6805" t="inlineStr">
        <is>
          <t>ED206951</t>
        </is>
      </c>
      <c r="B6805" s="56" t="n">
        <v>45700.56111111111</v>
      </c>
      <c r="C6805" t="inlineStr">
        <is>
          <t>Bluestone Memorial Hospital</t>
        </is>
      </c>
      <c r="D6805" t="n">
        <v>18</v>
      </c>
    </row>
    <row r="6806">
      <c r="A6806" t="inlineStr">
        <is>
          <t>ED206952</t>
        </is>
      </c>
      <c r="B6806" s="56" t="n">
        <v>45700.59722222222</v>
      </c>
      <c r="C6806" t="inlineStr">
        <is>
          <t>Ashby Falls Community Hospital</t>
        </is>
      </c>
      <c r="D6806" t="n">
        <v>23</v>
      </c>
    </row>
    <row r="6807">
      <c r="A6807" t="inlineStr">
        <is>
          <t>ED206954</t>
        </is>
      </c>
      <c r="B6807" s="56" t="n">
        <v>45700.76666666667</v>
      </c>
      <c r="C6807" t="inlineStr">
        <is>
          <t>Bluestone Memorial Hospital</t>
        </is>
      </c>
      <c r="D6807" t="n">
        <v>25</v>
      </c>
    </row>
    <row r="6808">
      <c r="A6808" t="inlineStr">
        <is>
          <t>ED206955</t>
        </is>
      </c>
      <c r="B6808" s="56" t="n">
        <v>45700.78402777778</v>
      </c>
      <c r="C6808" t="inlineStr">
        <is>
          <t>Bluestone Memorial Hospital</t>
        </is>
      </c>
      <c r="D6808" t="n">
        <v>22</v>
      </c>
    </row>
    <row r="6809">
      <c r="A6809" t="inlineStr">
        <is>
          <t>ED206956</t>
        </is>
      </c>
      <c r="B6809" s="56" t="n">
        <v>45700.82638888889</v>
      </c>
      <c r="C6809" t="inlineStr">
        <is>
          <t>Bluestone Memorial Hospital</t>
        </is>
      </c>
      <c r="D6809" t="n">
        <v>73</v>
      </c>
    </row>
    <row r="6810">
      <c r="A6810" t="inlineStr">
        <is>
          <t>ED206957</t>
        </is>
      </c>
      <c r="B6810" s="56" t="n">
        <v>45700.85694444444</v>
      </c>
      <c r="C6810" t="inlineStr">
        <is>
          <t>Ashby Falls Community Hospital</t>
        </is>
      </c>
      <c r="D6810" t="n">
        <v>33</v>
      </c>
    </row>
    <row r="6811">
      <c r="A6811" t="inlineStr">
        <is>
          <t>ED206958</t>
        </is>
      </c>
      <c r="B6811" s="56" t="n">
        <v>45700.92569444444</v>
      </c>
      <c r="C6811" t="inlineStr">
        <is>
          <t>Bluestone Memorial Hospital</t>
        </is>
      </c>
      <c r="D6811" t="n">
        <v>241</v>
      </c>
    </row>
    <row r="6812">
      <c r="A6812" t="inlineStr">
        <is>
          <t>ED206959</t>
        </is>
      </c>
      <c r="B6812" s="56" t="n">
        <v>45701.12708333333</v>
      </c>
      <c r="C6812" t="inlineStr">
        <is>
          <t>Bluestone Memorial Hospital</t>
        </is>
      </c>
      <c r="D6812" t="n">
        <v>17</v>
      </c>
    </row>
    <row r="6813">
      <c r="A6813" t="inlineStr">
        <is>
          <t>ED206960</t>
        </is>
      </c>
      <c r="B6813" s="56" t="n">
        <v>45701.23055555556</v>
      </c>
      <c r="C6813" t="inlineStr">
        <is>
          <t>Bluestone Memorial Hospital</t>
        </is>
      </c>
      <c r="D6813" t="n">
        <v>7</v>
      </c>
    </row>
    <row r="6814">
      <c r="A6814" t="inlineStr">
        <is>
          <t>ED206961</t>
        </is>
      </c>
      <c r="B6814" s="56" t="n">
        <v>45701.34652777778</v>
      </c>
      <c r="C6814" t="inlineStr">
        <is>
          <t>Bluestone Memorial Hospital</t>
        </is>
      </c>
      <c r="D6814" t="n">
        <v>23</v>
      </c>
    </row>
    <row r="6815">
      <c r="A6815" t="inlineStr">
        <is>
          <t>ED206963</t>
        </is>
      </c>
      <c r="B6815" s="56" t="n">
        <v>45701.44583333333</v>
      </c>
      <c r="C6815" t="inlineStr">
        <is>
          <t>Bluestone Memorial Hospital</t>
        </is>
      </c>
      <c r="D6815" t="n">
        <v>59</v>
      </c>
    </row>
    <row r="6816">
      <c r="A6816" t="inlineStr">
        <is>
          <t>ED206965</t>
        </is>
      </c>
      <c r="B6816" s="56" t="n">
        <v>45701.60069444445</v>
      </c>
      <c r="C6816" t="inlineStr">
        <is>
          <t>Bluestone Memorial Hospital</t>
        </is>
      </c>
      <c r="D6816" t="n">
        <v>26</v>
      </c>
    </row>
    <row r="6817">
      <c r="A6817" t="inlineStr">
        <is>
          <t>ED206966</t>
        </is>
      </c>
      <c r="B6817" s="56" t="n">
        <v>45701.61875</v>
      </c>
      <c r="C6817" t="inlineStr">
        <is>
          <t>Ashby Falls Community Hospital</t>
        </is>
      </c>
      <c r="D6817" t="n">
        <v>124</v>
      </c>
    </row>
    <row r="6818">
      <c r="A6818" t="inlineStr">
        <is>
          <t>ED206967</t>
        </is>
      </c>
      <c r="B6818" s="56" t="n">
        <v>45701.62569444445</v>
      </c>
      <c r="C6818" t="inlineStr">
        <is>
          <t>Ashby Falls Community Hospital</t>
        </is>
      </c>
      <c r="D6818" t="n">
        <v>27</v>
      </c>
    </row>
    <row r="6819">
      <c r="A6819" t="inlineStr">
        <is>
          <t>ED206968</t>
        </is>
      </c>
      <c r="B6819" s="56" t="n">
        <v>45701.63958333333</v>
      </c>
      <c r="C6819" t="inlineStr">
        <is>
          <t>Bluestone Memorial Hospital</t>
        </is>
      </c>
      <c r="D6819" t="n">
        <v>11</v>
      </c>
    </row>
    <row r="6820">
      <c r="A6820" t="inlineStr">
        <is>
          <t>ED206969</t>
        </is>
      </c>
      <c r="B6820" s="56" t="n">
        <v>45701.65069444444</v>
      </c>
      <c r="C6820" t="inlineStr">
        <is>
          <t>Bluestone Memorial Hospital</t>
        </is>
      </c>
      <c r="D6820" t="n">
        <v>38</v>
      </c>
    </row>
    <row r="6821">
      <c r="A6821" t="inlineStr">
        <is>
          <t>ED206970</t>
        </is>
      </c>
      <c r="B6821" s="56" t="n">
        <v>45701.67777777778</v>
      </c>
      <c r="C6821" t="inlineStr">
        <is>
          <t>Cedar Ridge Medical Center</t>
        </is>
      </c>
      <c r="D6821" t="n">
        <v>86</v>
      </c>
    </row>
    <row r="6822">
      <c r="A6822" t="inlineStr">
        <is>
          <t>ED206971</t>
        </is>
      </c>
      <c r="B6822" s="56" t="n">
        <v>45701.69444444445</v>
      </c>
      <c r="C6822" t="inlineStr">
        <is>
          <t>Ashby Falls Community Hospital</t>
        </is>
      </c>
      <c r="D6822" t="n">
        <v>45</v>
      </c>
    </row>
    <row r="6823">
      <c r="A6823" t="inlineStr">
        <is>
          <t>ED206972</t>
        </is>
      </c>
      <c r="B6823" s="56" t="n">
        <v>45701.70347222222</v>
      </c>
      <c r="C6823" t="inlineStr">
        <is>
          <t>Bluestone Memorial Hospital</t>
        </is>
      </c>
      <c r="D6823" t="n">
        <v>31</v>
      </c>
    </row>
    <row r="6824">
      <c r="A6824" t="inlineStr">
        <is>
          <t>ED206973</t>
        </is>
      </c>
      <c r="B6824" s="56" t="n">
        <v>45701.70902777778</v>
      </c>
      <c r="C6824" t="inlineStr">
        <is>
          <t>Bluestone Memorial Hospital</t>
        </is>
      </c>
      <c r="D6824" t="n">
        <v>29</v>
      </c>
    </row>
    <row r="6825">
      <c r="A6825" t="inlineStr">
        <is>
          <t>ED206974</t>
        </is>
      </c>
      <c r="B6825" s="56" t="n">
        <v>45701.76458333333</v>
      </c>
      <c r="C6825" t="inlineStr">
        <is>
          <t>Bluestone Memorial Hospital</t>
        </is>
      </c>
      <c r="D6825" t="n">
        <v>14</v>
      </c>
    </row>
    <row r="6826">
      <c r="A6826" t="inlineStr">
        <is>
          <t>ED206975</t>
        </is>
      </c>
      <c r="B6826" s="56" t="n">
        <v>45701.78055555555</v>
      </c>
      <c r="C6826" t="inlineStr">
        <is>
          <t>Bluestone Memorial Hospital</t>
        </is>
      </c>
      <c r="D6826" t="n">
        <v>29</v>
      </c>
    </row>
    <row r="6827">
      <c r="A6827" t="inlineStr">
        <is>
          <t>ED206976</t>
        </is>
      </c>
      <c r="B6827" s="56" t="n">
        <v>45701.83263888889</v>
      </c>
      <c r="C6827" t="inlineStr">
        <is>
          <t>Bluestone Memorial Hospital</t>
        </is>
      </c>
      <c r="D6827" t="n">
        <v>12</v>
      </c>
    </row>
    <row r="6828">
      <c r="A6828" t="inlineStr">
        <is>
          <t>ED206977</t>
        </is>
      </c>
      <c r="B6828" s="56" t="n">
        <v>45701.8875</v>
      </c>
      <c r="C6828" t="inlineStr">
        <is>
          <t>Cedar Ridge Medical Center</t>
        </is>
      </c>
      <c r="D6828" t="n">
        <v>21</v>
      </c>
    </row>
    <row r="6829">
      <c r="A6829" t="inlineStr">
        <is>
          <t>ED206978</t>
        </is>
      </c>
      <c r="B6829" s="56" t="n">
        <v>45701.95555555556</v>
      </c>
      <c r="C6829" t="inlineStr">
        <is>
          <t>Bluestone Memorial Hospital</t>
        </is>
      </c>
      <c r="D6829" t="n">
        <v>26</v>
      </c>
    </row>
    <row r="6830">
      <c r="A6830" t="inlineStr">
        <is>
          <t>ED206979</t>
        </is>
      </c>
      <c r="B6830" s="56" t="n">
        <v>45702.17083333333</v>
      </c>
      <c r="C6830" t="inlineStr">
        <is>
          <t>Bluestone Memorial Hospital</t>
        </is>
      </c>
      <c r="D6830" t="n">
        <v>15</v>
      </c>
    </row>
    <row r="6831">
      <c r="A6831" t="inlineStr">
        <is>
          <t>ED206980</t>
        </is>
      </c>
      <c r="B6831" s="56" t="n">
        <v>45702.21527777778</v>
      </c>
      <c r="C6831" t="inlineStr">
        <is>
          <t>Bluestone Memorial Hospital</t>
        </is>
      </c>
      <c r="D6831" t="n">
        <v>41</v>
      </c>
    </row>
    <row r="6832">
      <c r="A6832" t="inlineStr">
        <is>
          <t>ED206981</t>
        </is>
      </c>
      <c r="B6832" s="56" t="n">
        <v>45702.33472222222</v>
      </c>
      <c r="C6832" t="inlineStr">
        <is>
          <t>Ashby Falls Community Hospital</t>
        </is>
      </c>
      <c r="D6832" t="n">
        <v>40</v>
      </c>
    </row>
    <row r="6833">
      <c r="A6833" t="inlineStr">
        <is>
          <t>ED206982</t>
        </is>
      </c>
      <c r="B6833" s="56" t="n">
        <v>45702.38819444444</v>
      </c>
      <c r="C6833" t="inlineStr">
        <is>
          <t>Bluestone Memorial Hospital</t>
        </is>
      </c>
      <c r="D6833" t="n">
        <v>95</v>
      </c>
    </row>
    <row r="6834">
      <c r="A6834" t="inlineStr">
        <is>
          <t>ED206983</t>
        </is>
      </c>
      <c r="B6834" s="56" t="n">
        <v>45702.43263888889</v>
      </c>
      <c r="C6834" t="inlineStr">
        <is>
          <t>Bluestone Memorial Hospital</t>
        </is>
      </c>
      <c r="D6834" t="n">
        <v>28</v>
      </c>
    </row>
    <row r="6835">
      <c r="A6835" t="inlineStr">
        <is>
          <t>ED206984</t>
        </is>
      </c>
      <c r="B6835" s="56" t="n">
        <v>45702.45902777778</v>
      </c>
      <c r="C6835" t="inlineStr">
        <is>
          <t>Bluestone Memorial Hospital</t>
        </is>
      </c>
      <c r="D6835" t="n">
        <v>11</v>
      </c>
    </row>
    <row r="6836">
      <c r="A6836" t="inlineStr">
        <is>
          <t>ED206985</t>
        </is>
      </c>
      <c r="B6836" s="56" t="n">
        <v>45702.50277777778</v>
      </c>
      <c r="C6836" t="inlineStr">
        <is>
          <t>Cedar Ridge Medical Center</t>
        </is>
      </c>
      <c r="D6836" t="n">
        <v>46</v>
      </c>
    </row>
    <row r="6837">
      <c r="A6837" t="inlineStr">
        <is>
          <t>ED206986</t>
        </is>
      </c>
      <c r="B6837" s="56" t="n">
        <v>45702.58611111111</v>
      </c>
      <c r="C6837" t="inlineStr">
        <is>
          <t>Bluestone Memorial Hospital</t>
        </is>
      </c>
      <c r="D6837" t="n">
        <v>42</v>
      </c>
    </row>
    <row r="6838">
      <c r="A6838" t="inlineStr">
        <is>
          <t>ED206987</t>
        </is>
      </c>
      <c r="B6838" s="56" t="n">
        <v>45702.59444444445</v>
      </c>
      <c r="C6838" t="inlineStr">
        <is>
          <t>Bluestone Memorial Hospital</t>
        </is>
      </c>
      <c r="D6838" t="n">
        <v>56</v>
      </c>
    </row>
    <row r="6839">
      <c r="A6839" t="inlineStr">
        <is>
          <t>ED206988</t>
        </is>
      </c>
      <c r="B6839" s="56" t="n">
        <v>45702.62638888889</v>
      </c>
      <c r="C6839" t="inlineStr">
        <is>
          <t>Bluestone Memorial Hospital</t>
        </is>
      </c>
      <c r="D6839" t="n">
        <v>81</v>
      </c>
    </row>
    <row r="6840">
      <c r="A6840" t="inlineStr">
        <is>
          <t>ED206989</t>
        </is>
      </c>
      <c r="B6840" s="56" t="n">
        <v>45702.66458333333</v>
      </c>
      <c r="C6840" t="inlineStr">
        <is>
          <t>Bluestone Memorial Hospital</t>
        </is>
      </c>
      <c r="D6840" t="n">
        <v>48</v>
      </c>
    </row>
    <row r="6841">
      <c r="A6841" t="inlineStr">
        <is>
          <t>ED206990</t>
        </is>
      </c>
      <c r="B6841" s="56" t="n">
        <v>45702.67152777778</v>
      </c>
      <c r="C6841" t="inlineStr">
        <is>
          <t>Bluestone Memorial Hospital</t>
        </is>
      </c>
      <c r="D6841" t="n">
        <v>75</v>
      </c>
    </row>
    <row r="6842">
      <c r="A6842" t="inlineStr">
        <is>
          <t>ED206991</t>
        </is>
      </c>
      <c r="B6842" s="56" t="n">
        <v>45702.75902777778</v>
      </c>
      <c r="C6842" t="inlineStr">
        <is>
          <t>Bluestone Memorial Hospital</t>
        </is>
      </c>
      <c r="D6842" t="n">
        <v>65</v>
      </c>
    </row>
    <row r="6843">
      <c r="A6843" t="inlineStr">
        <is>
          <t>ED206992</t>
        </is>
      </c>
      <c r="B6843" s="56" t="n">
        <v>45702.77013888889</v>
      </c>
      <c r="C6843" t="inlineStr">
        <is>
          <t>Ashby Falls Community Hospital</t>
        </is>
      </c>
      <c r="D6843" t="n">
        <v>190</v>
      </c>
    </row>
    <row r="6844">
      <c r="A6844" t="inlineStr">
        <is>
          <t>ED206993</t>
        </is>
      </c>
      <c r="B6844" s="56" t="n">
        <v>45702.81805555556</v>
      </c>
      <c r="C6844" t="inlineStr">
        <is>
          <t>Bluestone Memorial Hospital</t>
        </is>
      </c>
      <c r="D6844" t="n">
        <v>16</v>
      </c>
    </row>
    <row r="6845">
      <c r="A6845" t="inlineStr">
        <is>
          <t>ED206994</t>
        </is>
      </c>
      <c r="B6845" s="56" t="n">
        <v>45702.84930555556</v>
      </c>
      <c r="C6845" t="inlineStr">
        <is>
          <t>Bluestone Memorial Hospital</t>
        </is>
      </c>
      <c r="D6845" t="n">
        <v>104</v>
      </c>
    </row>
    <row r="6846">
      <c r="A6846" t="inlineStr">
        <is>
          <t>ED206995</t>
        </is>
      </c>
      <c r="B6846" s="56" t="n">
        <v>45703.00625</v>
      </c>
      <c r="C6846" t="inlineStr">
        <is>
          <t>Cedar Ridge Medical Center</t>
        </is>
      </c>
      <c r="D6846" t="n">
        <v>66</v>
      </c>
    </row>
    <row r="6847">
      <c r="A6847" t="inlineStr">
        <is>
          <t>ED206996</t>
        </is>
      </c>
      <c r="B6847" s="56" t="n">
        <v>45703.28680555556</v>
      </c>
      <c r="C6847" t="inlineStr">
        <is>
          <t>Ashby Falls Community Hospital</t>
        </is>
      </c>
      <c r="D6847" t="n">
        <v>17</v>
      </c>
    </row>
    <row r="6848">
      <c r="A6848" t="inlineStr">
        <is>
          <t>ED206997</t>
        </is>
      </c>
      <c r="B6848" s="56" t="n">
        <v>45703.37708333333</v>
      </c>
      <c r="C6848" t="inlineStr">
        <is>
          <t>Bluestone Memorial Hospital</t>
        </is>
      </c>
      <c r="D6848" t="n">
        <v>20</v>
      </c>
    </row>
    <row r="6849">
      <c r="A6849" t="inlineStr">
        <is>
          <t>ED206998</t>
        </is>
      </c>
      <c r="B6849" s="56" t="n">
        <v>45703.39861111111</v>
      </c>
      <c r="C6849" t="inlineStr">
        <is>
          <t>Cedar Ridge Medical Center</t>
        </is>
      </c>
      <c r="D6849" t="n">
        <v>68</v>
      </c>
    </row>
    <row r="6850">
      <c r="A6850" t="inlineStr">
        <is>
          <t>ED206999</t>
        </is>
      </c>
      <c r="B6850" s="56" t="n">
        <v>45703.46041666667</v>
      </c>
      <c r="C6850" t="inlineStr">
        <is>
          <t>Bluestone Memorial Hospital</t>
        </is>
      </c>
      <c r="D6850" t="n">
        <v>30</v>
      </c>
    </row>
    <row r="6851">
      <c r="A6851" t="inlineStr">
        <is>
          <t>ED207000</t>
        </is>
      </c>
      <c r="B6851" s="56" t="n">
        <v>45703.46527777778</v>
      </c>
      <c r="C6851" t="inlineStr">
        <is>
          <t>Bluestone Memorial Hospital</t>
        </is>
      </c>
      <c r="D6851" t="n">
        <v>34</v>
      </c>
    </row>
    <row r="6852">
      <c r="A6852" t="inlineStr">
        <is>
          <t>ED207001</t>
        </is>
      </c>
      <c r="B6852" s="56" t="n">
        <v>45703.50277777778</v>
      </c>
      <c r="C6852" t="inlineStr">
        <is>
          <t>Bluestone Memorial Hospital</t>
        </is>
      </c>
      <c r="D6852" t="n">
        <v>34</v>
      </c>
    </row>
    <row r="6853">
      <c r="A6853" t="inlineStr">
        <is>
          <t>ED207002</t>
        </is>
      </c>
      <c r="B6853" s="56" t="n">
        <v>45703.53333333333</v>
      </c>
      <c r="C6853" t="inlineStr">
        <is>
          <t>Bluestone Memorial Hospital</t>
        </is>
      </c>
      <c r="D6853" t="n">
        <v>59</v>
      </c>
    </row>
    <row r="6854">
      <c r="A6854" t="inlineStr">
        <is>
          <t>ED207003</t>
        </is>
      </c>
      <c r="B6854" s="56" t="n">
        <v>45703.56527777778</v>
      </c>
      <c r="C6854" t="inlineStr">
        <is>
          <t>Bluestone Memorial Hospital</t>
        </is>
      </c>
      <c r="D6854" t="n">
        <v>172</v>
      </c>
    </row>
    <row r="6855">
      <c r="A6855" t="inlineStr">
        <is>
          <t>ED207004</t>
        </is>
      </c>
      <c r="B6855" s="56" t="n">
        <v>45703.56666666667</v>
      </c>
      <c r="C6855" t="inlineStr">
        <is>
          <t>Ashby Falls Community Hospital</t>
        </is>
      </c>
      <c r="D6855" t="n">
        <v>48</v>
      </c>
    </row>
    <row r="6856">
      <c r="A6856" t="inlineStr">
        <is>
          <t>ED207005</t>
        </is>
      </c>
      <c r="B6856" s="56" t="n">
        <v>45703.65625</v>
      </c>
      <c r="C6856" t="inlineStr">
        <is>
          <t>Bluestone Memorial Hospital</t>
        </is>
      </c>
      <c r="D6856" t="n">
        <v>55</v>
      </c>
    </row>
    <row r="6857">
      <c r="A6857" t="inlineStr">
        <is>
          <t>ED207006</t>
        </is>
      </c>
      <c r="B6857" s="56" t="n">
        <v>45703.72152777778</v>
      </c>
      <c r="C6857" t="inlineStr">
        <is>
          <t>Bluestone Memorial Hospital</t>
        </is>
      </c>
      <c r="D6857" t="n">
        <v>103</v>
      </c>
    </row>
    <row r="6858">
      <c r="A6858" t="inlineStr">
        <is>
          <t>ED207007</t>
        </is>
      </c>
      <c r="B6858" s="56" t="n">
        <v>45703.73263888889</v>
      </c>
      <c r="C6858" t="inlineStr">
        <is>
          <t>Bluestone Memorial Hospital</t>
        </is>
      </c>
      <c r="D6858" t="n">
        <v>11</v>
      </c>
    </row>
    <row r="6859">
      <c r="A6859" t="inlineStr">
        <is>
          <t>ED207008</t>
        </is>
      </c>
      <c r="B6859" s="56" t="n">
        <v>45703.78680555556</v>
      </c>
      <c r="C6859" t="inlineStr">
        <is>
          <t>Bluestone Memorial Hospital</t>
        </is>
      </c>
      <c r="D6859" t="n">
        <v>23</v>
      </c>
    </row>
    <row r="6860">
      <c r="A6860" t="inlineStr">
        <is>
          <t>ED207009</t>
        </is>
      </c>
      <c r="B6860" s="56" t="n">
        <v>45703.825</v>
      </c>
      <c r="C6860" t="inlineStr">
        <is>
          <t>Bluestone Memorial Hospital</t>
        </is>
      </c>
      <c r="D6860" t="n">
        <v>33</v>
      </c>
    </row>
    <row r="6861">
      <c r="A6861" t="inlineStr">
        <is>
          <t>ED207010</t>
        </is>
      </c>
      <c r="B6861" s="56" t="n">
        <v>45703.91527777778</v>
      </c>
      <c r="C6861" t="inlineStr">
        <is>
          <t>Bluestone Memorial Hospital</t>
        </is>
      </c>
      <c r="D6861" t="n">
        <v>10</v>
      </c>
    </row>
    <row r="6862">
      <c r="A6862" t="inlineStr">
        <is>
          <t>ED207011</t>
        </is>
      </c>
      <c r="B6862" s="56" t="n">
        <v>45704.12777777778</v>
      </c>
      <c r="C6862" t="inlineStr">
        <is>
          <t>Cedar Ridge Medical Center</t>
        </is>
      </c>
      <c r="D6862" t="n">
        <v>20</v>
      </c>
    </row>
    <row r="6863">
      <c r="A6863" t="inlineStr">
        <is>
          <t>ED207012</t>
        </is>
      </c>
      <c r="B6863" s="56" t="n">
        <v>45704.26388888889</v>
      </c>
      <c r="C6863" t="inlineStr">
        <is>
          <t>Bluestone Memorial Hospital</t>
        </is>
      </c>
      <c r="D6863" t="n">
        <v>21</v>
      </c>
    </row>
    <row r="6864">
      <c r="A6864" t="inlineStr">
        <is>
          <t>ED207013</t>
        </is>
      </c>
      <c r="B6864" s="56" t="n">
        <v>45704.41875</v>
      </c>
      <c r="C6864" t="inlineStr">
        <is>
          <t>Bluestone Memorial Hospital</t>
        </is>
      </c>
      <c r="D6864" t="n">
        <v>66</v>
      </c>
    </row>
    <row r="6865">
      <c r="A6865" t="inlineStr">
        <is>
          <t>ED207014</t>
        </is>
      </c>
      <c r="B6865" s="56" t="n">
        <v>45704.45694444444</v>
      </c>
      <c r="C6865" t="inlineStr">
        <is>
          <t>Bluestone Memorial Hospital</t>
        </is>
      </c>
      <c r="D6865" t="n">
        <v>83</v>
      </c>
    </row>
    <row r="6866">
      <c r="A6866" t="inlineStr">
        <is>
          <t>ED207015</t>
        </is>
      </c>
      <c r="B6866" s="56" t="n">
        <v>45704.47361111111</v>
      </c>
      <c r="C6866" t="inlineStr">
        <is>
          <t>Ashby Falls Community Hospital</t>
        </is>
      </c>
      <c r="D6866" t="n">
        <v>90</v>
      </c>
    </row>
    <row r="6867">
      <c r="A6867" t="inlineStr">
        <is>
          <t>ED207016</t>
        </is>
      </c>
      <c r="B6867" s="56" t="n">
        <v>45704.49652777778</v>
      </c>
      <c r="C6867" t="inlineStr">
        <is>
          <t>Bluestone Memorial Hospital</t>
        </is>
      </c>
      <c r="D6867" t="n">
        <v>76</v>
      </c>
    </row>
    <row r="6868">
      <c r="A6868" t="inlineStr">
        <is>
          <t>ED207017</t>
        </is>
      </c>
      <c r="B6868" s="56" t="n">
        <v>45704.54027777778</v>
      </c>
      <c r="C6868" t="inlineStr">
        <is>
          <t>Bluestone Memorial Hospital</t>
        </is>
      </c>
      <c r="D6868" t="n">
        <v>83</v>
      </c>
    </row>
    <row r="6869">
      <c r="A6869" t="inlineStr">
        <is>
          <t>ED207018</t>
        </is>
      </c>
      <c r="B6869" s="56" t="n">
        <v>45704.59722222222</v>
      </c>
      <c r="C6869" t="inlineStr">
        <is>
          <t>Cedar Ridge Medical Center</t>
        </is>
      </c>
      <c r="D6869" t="n">
        <v>94</v>
      </c>
    </row>
    <row r="6870">
      <c r="A6870" t="inlineStr">
        <is>
          <t>ED207019</t>
        </is>
      </c>
      <c r="B6870" s="56" t="n">
        <v>45704.61041666667</v>
      </c>
      <c r="C6870" t="inlineStr">
        <is>
          <t>Bluestone Memorial Hospital</t>
        </is>
      </c>
      <c r="D6870" t="n">
        <v>2</v>
      </c>
    </row>
    <row r="6871">
      <c r="A6871" t="inlineStr">
        <is>
          <t>ED207020</t>
        </is>
      </c>
      <c r="B6871" s="56" t="n">
        <v>45704.61458333334</v>
      </c>
      <c r="C6871" t="inlineStr">
        <is>
          <t>Bluestone Memorial Hospital</t>
        </is>
      </c>
      <c r="D6871" t="n">
        <v>67</v>
      </c>
    </row>
    <row r="6872">
      <c r="A6872" t="inlineStr">
        <is>
          <t>ED207021</t>
        </is>
      </c>
      <c r="B6872" s="56" t="n">
        <v>45704.62777777778</v>
      </c>
      <c r="C6872" t="inlineStr">
        <is>
          <t>Cedar Ridge Medical Center</t>
        </is>
      </c>
      <c r="D6872" t="n">
        <v>210</v>
      </c>
    </row>
    <row r="6873">
      <c r="A6873" t="inlineStr">
        <is>
          <t>ED207022</t>
        </is>
      </c>
      <c r="B6873" s="56" t="n">
        <v>45704.64375</v>
      </c>
      <c r="C6873" t="inlineStr">
        <is>
          <t>Bluestone Memorial Hospital</t>
        </is>
      </c>
      <c r="D6873" t="n">
        <v>76</v>
      </c>
    </row>
    <row r="6874">
      <c r="A6874" t="inlineStr">
        <is>
          <t>ED207023</t>
        </is>
      </c>
      <c r="B6874" s="56" t="n">
        <v>45704.66875</v>
      </c>
      <c r="C6874" t="inlineStr">
        <is>
          <t>Bluestone Memorial Hospital</t>
        </is>
      </c>
      <c r="D6874" t="n">
        <v>37</v>
      </c>
    </row>
    <row r="6875">
      <c r="A6875" t="inlineStr">
        <is>
          <t>ED207025</t>
        </is>
      </c>
      <c r="B6875" s="56" t="n">
        <v>45704.83472222222</v>
      </c>
      <c r="C6875" t="inlineStr">
        <is>
          <t>Ashby Falls Community Hospital</t>
        </is>
      </c>
      <c r="D6875" t="n">
        <v>40</v>
      </c>
    </row>
    <row r="6876">
      <c r="A6876" t="inlineStr">
        <is>
          <t>ED207027</t>
        </is>
      </c>
      <c r="B6876" s="56" t="n">
        <v>45704.89930555555</v>
      </c>
      <c r="C6876" t="inlineStr">
        <is>
          <t>Ashby Falls Community Hospital</t>
        </is>
      </c>
      <c r="D6876" t="n">
        <v>34</v>
      </c>
    </row>
    <row r="6877">
      <c r="A6877" t="inlineStr">
        <is>
          <t>ED207028</t>
        </is>
      </c>
      <c r="B6877" s="56" t="n">
        <v>45704.93333333333</v>
      </c>
      <c r="C6877" t="inlineStr">
        <is>
          <t>Bluestone Memorial Hospital</t>
        </is>
      </c>
      <c r="D6877" t="n">
        <v>58</v>
      </c>
    </row>
    <row r="6878">
      <c r="A6878" t="inlineStr">
        <is>
          <t>ED207029</t>
        </is>
      </c>
      <c r="B6878" s="56" t="n">
        <v>45705.02222222222</v>
      </c>
      <c r="C6878" t="inlineStr">
        <is>
          <t>Bluestone Memorial Hospital</t>
        </is>
      </c>
      <c r="D6878" t="n">
        <v>23</v>
      </c>
    </row>
    <row r="6879">
      <c r="A6879" t="inlineStr">
        <is>
          <t>ED207030</t>
        </is>
      </c>
      <c r="B6879" s="56" t="n">
        <v>45705.04444444444</v>
      </c>
      <c r="C6879" t="inlineStr">
        <is>
          <t>Bluestone Memorial Hospital</t>
        </is>
      </c>
      <c r="D6879" t="n">
        <v>126</v>
      </c>
    </row>
    <row r="6880">
      <c r="A6880" t="inlineStr">
        <is>
          <t>ED207031</t>
        </is>
      </c>
      <c r="B6880" s="56" t="n">
        <v>45705.06319444445</v>
      </c>
      <c r="C6880" t="inlineStr">
        <is>
          <t>Bluestone Memorial Hospital</t>
        </is>
      </c>
      <c r="D6880" t="n">
        <v>122</v>
      </c>
    </row>
    <row r="6881">
      <c r="A6881" t="inlineStr">
        <is>
          <t>ED207032</t>
        </is>
      </c>
      <c r="B6881" s="56" t="n">
        <v>45705.275</v>
      </c>
      <c r="C6881" t="inlineStr">
        <is>
          <t>Bluestone Memorial Hospital</t>
        </is>
      </c>
      <c r="D6881" t="n">
        <v>56</v>
      </c>
    </row>
    <row r="6882">
      <c r="A6882" t="inlineStr">
        <is>
          <t>ED207033</t>
        </is>
      </c>
      <c r="B6882" s="56" t="n">
        <v>45705.27638888889</v>
      </c>
      <c r="C6882" t="inlineStr">
        <is>
          <t>Cedar Ridge Medical Center</t>
        </is>
      </c>
      <c r="D6882" t="n">
        <v>35</v>
      </c>
    </row>
    <row r="6883">
      <c r="A6883" t="inlineStr">
        <is>
          <t>ED207034</t>
        </is>
      </c>
      <c r="B6883" s="56" t="n">
        <v>45705.37986111111</v>
      </c>
      <c r="C6883" t="inlineStr">
        <is>
          <t>Bluestone Memorial Hospital</t>
        </is>
      </c>
      <c r="D6883" t="n">
        <v>12</v>
      </c>
    </row>
    <row r="6884">
      <c r="A6884" t="inlineStr">
        <is>
          <t>ED207035</t>
        </is>
      </c>
      <c r="B6884" s="56" t="n">
        <v>45705.40069444444</v>
      </c>
      <c r="C6884" t="inlineStr">
        <is>
          <t>Bluestone Memorial Hospital</t>
        </is>
      </c>
      <c r="D6884" t="n">
        <v>26</v>
      </c>
    </row>
    <row r="6885">
      <c r="A6885" t="inlineStr">
        <is>
          <t>ED207036</t>
        </is>
      </c>
      <c r="B6885" s="56" t="n">
        <v>45705.40486111111</v>
      </c>
      <c r="C6885" t="inlineStr">
        <is>
          <t>Cedar Ridge Medical Center</t>
        </is>
      </c>
      <c r="D6885" t="n">
        <v>19</v>
      </c>
    </row>
    <row r="6886">
      <c r="A6886" t="inlineStr">
        <is>
          <t>ED207038</t>
        </is>
      </c>
      <c r="B6886" s="56" t="n">
        <v>45705.42916666667</v>
      </c>
      <c r="C6886" t="inlineStr">
        <is>
          <t>Cedar Ridge Medical Center</t>
        </is>
      </c>
      <c r="D6886" t="n">
        <v>59</v>
      </c>
    </row>
    <row r="6887">
      <c r="A6887" t="inlineStr">
        <is>
          <t>ED207039</t>
        </is>
      </c>
      <c r="B6887" s="56" t="n">
        <v>45705.47638888889</v>
      </c>
      <c r="C6887" t="inlineStr">
        <is>
          <t>Bluestone Memorial Hospital</t>
        </is>
      </c>
      <c r="D6887" t="n">
        <v>58</v>
      </c>
    </row>
    <row r="6888">
      <c r="A6888" t="inlineStr">
        <is>
          <t>ED207040</t>
        </is>
      </c>
      <c r="B6888" s="56" t="n">
        <v>45705.48680555556</v>
      </c>
      <c r="C6888" t="inlineStr">
        <is>
          <t>Bluestone Memorial Hospital</t>
        </is>
      </c>
      <c r="D6888" t="n">
        <v>53</v>
      </c>
    </row>
    <row r="6889">
      <c r="A6889" t="inlineStr">
        <is>
          <t>ED207041</t>
        </is>
      </c>
      <c r="B6889" s="56" t="n">
        <v>45705.53194444445</v>
      </c>
      <c r="C6889" t="inlineStr">
        <is>
          <t>Bluestone Memorial Hospital</t>
        </is>
      </c>
      <c r="D6889" t="n">
        <v>82</v>
      </c>
    </row>
    <row r="6890">
      <c r="A6890" t="inlineStr">
        <is>
          <t>ED207042</t>
        </is>
      </c>
      <c r="B6890" s="56" t="n">
        <v>45705.56944444445</v>
      </c>
      <c r="C6890" t="inlineStr">
        <is>
          <t>Ashby Falls Community Hospital</t>
        </is>
      </c>
      <c r="D6890" t="n">
        <v>28</v>
      </c>
    </row>
    <row r="6891">
      <c r="A6891" t="inlineStr">
        <is>
          <t>ED207043</t>
        </is>
      </c>
      <c r="B6891" s="56" t="n">
        <v>45705.70069444444</v>
      </c>
      <c r="C6891" t="inlineStr">
        <is>
          <t>Bluestone Memorial Hospital</t>
        </is>
      </c>
      <c r="D6891" t="n">
        <v>65</v>
      </c>
    </row>
    <row r="6892">
      <c r="A6892" t="inlineStr">
        <is>
          <t>ED207044</t>
        </is>
      </c>
      <c r="B6892" s="56" t="n">
        <v>45705.71180555555</v>
      </c>
      <c r="C6892" t="inlineStr">
        <is>
          <t>Bluestone Memorial Hospital</t>
        </is>
      </c>
      <c r="D6892" t="n">
        <v>24</v>
      </c>
    </row>
    <row r="6893">
      <c r="A6893" t="inlineStr">
        <is>
          <t>ED207045</t>
        </is>
      </c>
      <c r="B6893" s="56" t="n">
        <v>45705.79305555556</v>
      </c>
      <c r="C6893" t="inlineStr">
        <is>
          <t>Bluestone Memorial Hospital</t>
        </is>
      </c>
      <c r="D6893" t="n">
        <v>26</v>
      </c>
    </row>
    <row r="6894">
      <c r="A6894" t="inlineStr">
        <is>
          <t>ED207046</t>
        </is>
      </c>
      <c r="B6894" s="56" t="n">
        <v>45705.88958333333</v>
      </c>
      <c r="C6894" t="inlineStr">
        <is>
          <t>Cedar Ridge Medical Center</t>
        </is>
      </c>
      <c r="D6894" t="n">
        <v>45</v>
      </c>
    </row>
    <row r="6895">
      <c r="A6895" t="inlineStr">
        <is>
          <t>ED207047</t>
        </is>
      </c>
      <c r="B6895" s="56" t="n">
        <v>45706.13402777778</v>
      </c>
      <c r="C6895" t="inlineStr">
        <is>
          <t>Bluestone Memorial Hospital</t>
        </is>
      </c>
      <c r="D6895" t="n">
        <v>20</v>
      </c>
    </row>
    <row r="6896">
      <c r="A6896" t="inlineStr">
        <is>
          <t>ED207048</t>
        </is>
      </c>
      <c r="B6896" s="56" t="n">
        <v>45706.17152777778</v>
      </c>
      <c r="C6896" t="inlineStr">
        <is>
          <t>Ashby Falls Community Hospital</t>
        </is>
      </c>
      <c r="D6896" t="n">
        <v>14</v>
      </c>
    </row>
    <row r="6897">
      <c r="A6897" t="inlineStr">
        <is>
          <t>ED207049</t>
        </is>
      </c>
      <c r="B6897" s="56" t="n">
        <v>45706.2625</v>
      </c>
      <c r="C6897" t="inlineStr">
        <is>
          <t>Bluestone Memorial Hospital</t>
        </is>
      </c>
      <c r="D6897" t="n">
        <v>11</v>
      </c>
    </row>
    <row r="6898">
      <c r="A6898" t="inlineStr">
        <is>
          <t>ED207050</t>
        </is>
      </c>
      <c r="B6898" s="56" t="n">
        <v>45706.45763888889</v>
      </c>
      <c r="C6898" t="inlineStr">
        <is>
          <t>Bluestone Memorial Hospital</t>
        </is>
      </c>
      <c r="D6898" t="n">
        <v>256</v>
      </c>
    </row>
    <row r="6899">
      <c r="A6899" t="inlineStr">
        <is>
          <t>ED207051</t>
        </is>
      </c>
      <c r="B6899" s="56" t="n">
        <v>45706.47291666667</v>
      </c>
      <c r="C6899" t="inlineStr">
        <is>
          <t>Bluestone Memorial Hospital</t>
        </is>
      </c>
      <c r="D6899" t="n">
        <v>46</v>
      </c>
    </row>
    <row r="6900">
      <c r="A6900" t="inlineStr">
        <is>
          <t>ED207052</t>
        </is>
      </c>
      <c r="B6900" s="56" t="n">
        <v>45706.48958333334</v>
      </c>
      <c r="C6900" t="inlineStr">
        <is>
          <t>Bluestone Memorial Hospital</t>
        </is>
      </c>
      <c r="D6900" t="n">
        <v>37</v>
      </c>
    </row>
    <row r="6901">
      <c r="A6901" t="inlineStr">
        <is>
          <t>ED207053</t>
        </is>
      </c>
      <c r="B6901" s="56" t="n">
        <v>45706.60625</v>
      </c>
      <c r="C6901" t="inlineStr">
        <is>
          <t>Ashby Falls Community Hospital</t>
        </is>
      </c>
      <c r="D6901" t="n">
        <v>28</v>
      </c>
    </row>
    <row r="6902">
      <c r="A6902" t="inlineStr">
        <is>
          <t>ED207054</t>
        </is>
      </c>
      <c r="B6902" s="56" t="n">
        <v>45706.63888888889</v>
      </c>
      <c r="C6902" t="inlineStr">
        <is>
          <t>Bluestone Memorial Hospital</t>
        </is>
      </c>
      <c r="D6902" t="n">
        <v>53</v>
      </c>
    </row>
    <row r="6903">
      <c r="A6903" t="inlineStr">
        <is>
          <t>ED207055</t>
        </is>
      </c>
      <c r="B6903" s="56" t="n">
        <v>45706.64861111111</v>
      </c>
      <c r="C6903" t="inlineStr">
        <is>
          <t>Bluestone Memorial Hospital</t>
        </is>
      </c>
      <c r="D6903" t="n">
        <v>19</v>
      </c>
    </row>
    <row r="6904">
      <c r="A6904" t="inlineStr">
        <is>
          <t>ED207056</t>
        </is>
      </c>
      <c r="B6904" s="56" t="n">
        <v>45706.72430555556</v>
      </c>
      <c r="C6904" t="inlineStr">
        <is>
          <t>Ashby Falls Community Hospital</t>
        </is>
      </c>
      <c r="D6904" t="n">
        <v>50</v>
      </c>
    </row>
    <row r="6905">
      <c r="A6905" t="inlineStr">
        <is>
          <t>ED207057</t>
        </is>
      </c>
      <c r="B6905" s="56" t="n">
        <v>45706.74722222222</v>
      </c>
      <c r="C6905" t="inlineStr">
        <is>
          <t>Bluestone Memorial Hospital</t>
        </is>
      </c>
      <c r="D6905" t="n">
        <v>41</v>
      </c>
    </row>
    <row r="6906">
      <c r="A6906" t="inlineStr">
        <is>
          <t>ED207058</t>
        </is>
      </c>
      <c r="B6906" s="56" t="n">
        <v>45706.76597222222</v>
      </c>
      <c r="C6906" t="inlineStr">
        <is>
          <t>Cedar Ridge Medical Center</t>
        </is>
      </c>
      <c r="D6906" t="n">
        <v>53</v>
      </c>
    </row>
    <row r="6907">
      <c r="A6907" t="inlineStr">
        <is>
          <t>ED207059</t>
        </is>
      </c>
      <c r="B6907" s="56" t="n">
        <v>45706.79583333333</v>
      </c>
      <c r="C6907" t="inlineStr">
        <is>
          <t>Bluestone Memorial Hospital</t>
        </is>
      </c>
      <c r="D6907" t="n">
        <v>100</v>
      </c>
    </row>
    <row r="6908">
      <c r="A6908" t="inlineStr">
        <is>
          <t>ED207060</t>
        </is>
      </c>
      <c r="B6908" s="56" t="n">
        <v>45706.81458333333</v>
      </c>
      <c r="C6908" t="inlineStr">
        <is>
          <t>Bluestone Memorial Hospital</t>
        </is>
      </c>
      <c r="D6908" t="n">
        <v>21</v>
      </c>
    </row>
    <row r="6909">
      <c r="A6909" t="inlineStr">
        <is>
          <t>ED207061</t>
        </is>
      </c>
      <c r="B6909" s="56" t="n">
        <v>45706.81944444445</v>
      </c>
      <c r="C6909" t="inlineStr">
        <is>
          <t>Bluestone Memorial Hospital</t>
        </is>
      </c>
      <c r="D6909" t="n">
        <v>94</v>
      </c>
    </row>
    <row r="6910">
      <c r="A6910" t="inlineStr">
        <is>
          <t>ED207062</t>
        </is>
      </c>
      <c r="B6910" s="56" t="n">
        <v>45706.86041666667</v>
      </c>
      <c r="C6910" t="inlineStr">
        <is>
          <t>Bluestone Memorial Hospital</t>
        </is>
      </c>
      <c r="D6910" t="n">
        <v>36</v>
      </c>
    </row>
    <row r="6911">
      <c r="A6911" t="inlineStr">
        <is>
          <t>ED207063</t>
        </is>
      </c>
      <c r="B6911" s="56" t="n">
        <v>45706.90694444445</v>
      </c>
      <c r="C6911" t="inlineStr">
        <is>
          <t>Bluestone Memorial Hospital</t>
        </is>
      </c>
      <c r="D6911" t="n">
        <v>15</v>
      </c>
    </row>
    <row r="6912">
      <c r="A6912" t="inlineStr">
        <is>
          <t>ED207064</t>
        </is>
      </c>
      <c r="B6912" s="56" t="n">
        <v>45707.04097222222</v>
      </c>
      <c r="C6912" t="inlineStr">
        <is>
          <t>Bluestone Memorial Hospital</t>
        </is>
      </c>
      <c r="D6912" t="n">
        <v>20</v>
      </c>
    </row>
    <row r="6913">
      <c r="A6913" t="inlineStr">
        <is>
          <t>ED207065</t>
        </is>
      </c>
      <c r="B6913" s="56" t="n">
        <v>45707.30138888889</v>
      </c>
      <c r="C6913" t="inlineStr">
        <is>
          <t>Bluestone Memorial Hospital</t>
        </is>
      </c>
      <c r="D6913" t="n">
        <v>16</v>
      </c>
    </row>
    <row r="6914">
      <c r="A6914" t="inlineStr">
        <is>
          <t>ED207066</t>
        </is>
      </c>
      <c r="B6914" s="56" t="n">
        <v>45707.36805555555</v>
      </c>
      <c r="C6914" t="inlineStr">
        <is>
          <t>Bluestone Memorial Hospital</t>
        </is>
      </c>
      <c r="D6914" t="n">
        <v>38</v>
      </c>
    </row>
    <row r="6915">
      <c r="A6915" t="inlineStr">
        <is>
          <t>ED207067</t>
        </is>
      </c>
      <c r="B6915" s="56" t="n">
        <v>45707.38055555556</v>
      </c>
      <c r="C6915" t="inlineStr">
        <is>
          <t>Bluestone Memorial Hospital</t>
        </is>
      </c>
      <c r="D6915" t="n">
        <v>33</v>
      </c>
    </row>
    <row r="6916">
      <c r="A6916" t="inlineStr">
        <is>
          <t>ED207068</t>
        </is>
      </c>
      <c r="B6916" s="56" t="n">
        <v>45707.42361111111</v>
      </c>
      <c r="C6916" t="inlineStr">
        <is>
          <t>Ashby Falls Community Hospital</t>
        </is>
      </c>
      <c r="D6916" t="n">
        <v>34</v>
      </c>
    </row>
    <row r="6917">
      <c r="A6917" t="inlineStr">
        <is>
          <t>ED207069</t>
        </is>
      </c>
      <c r="B6917" s="56" t="n">
        <v>45707.44166666667</v>
      </c>
      <c r="C6917" t="inlineStr">
        <is>
          <t>Ashby Falls Community Hospital</t>
        </is>
      </c>
      <c r="D6917" t="n">
        <v>3</v>
      </c>
    </row>
    <row r="6918">
      <c r="A6918" t="inlineStr">
        <is>
          <t>ED207070</t>
        </is>
      </c>
      <c r="B6918" s="56" t="n">
        <v>45707.44861111111</v>
      </c>
      <c r="C6918" t="inlineStr">
        <is>
          <t>Bluestone Memorial Hospital</t>
        </is>
      </c>
      <c r="D6918" t="n">
        <v>19</v>
      </c>
    </row>
    <row r="6919">
      <c r="A6919" t="inlineStr">
        <is>
          <t>ED207071</t>
        </is>
      </c>
      <c r="B6919" s="56" t="n">
        <v>45707.51041666666</v>
      </c>
      <c r="C6919" t="inlineStr">
        <is>
          <t>Bluestone Memorial Hospital</t>
        </is>
      </c>
      <c r="D6919" t="n">
        <v>27</v>
      </c>
    </row>
    <row r="6920">
      <c r="A6920" t="inlineStr">
        <is>
          <t>ED207072</t>
        </is>
      </c>
      <c r="B6920" s="56" t="n">
        <v>45707.51180555556</v>
      </c>
      <c r="C6920" t="inlineStr">
        <is>
          <t>Bluestone Memorial Hospital</t>
        </is>
      </c>
      <c r="D6920" t="n">
        <v>66</v>
      </c>
    </row>
    <row r="6921">
      <c r="A6921" t="inlineStr">
        <is>
          <t>ED207073</t>
        </is>
      </c>
      <c r="B6921" s="56" t="n">
        <v>45707.5125</v>
      </c>
      <c r="C6921" t="inlineStr">
        <is>
          <t>Bluestone Memorial Hospital</t>
        </is>
      </c>
      <c r="D6921" t="n">
        <v>44</v>
      </c>
    </row>
    <row r="6922">
      <c r="A6922" t="inlineStr">
        <is>
          <t>ED207074</t>
        </is>
      </c>
      <c r="B6922" s="56" t="n">
        <v>45707.51319444444</v>
      </c>
      <c r="C6922" t="inlineStr">
        <is>
          <t>Bluestone Memorial Hospital</t>
        </is>
      </c>
      <c r="D6922" t="n">
        <v>63</v>
      </c>
    </row>
    <row r="6923">
      <c r="A6923" t="inlineStr">
        <is>
          <t>ED207075</t>
        </is>
      </c>
      <c r="B6923" s="56" t="n">
        <v>45707.54236111111</v>
      </c>
      <c r="C6923" t="inlineStr">
        <is>
          <t>Bluestone Memorial Hospital</t>
        </is>
      </c>
      <c r="D6923" t="n">
        <v>15</v>
      </c>
    </row>
    <row r="6924">
      <c r="A6924" t="inlineStr">
        <is>
          <t>ED207076</t>
        </is>
      </c>
      <c r="B6924" s="56" t="n">
        <v>45707.55416666667</v>
      </c>
      <c r="C6924" t="inlineStr">
        <is>
          <t>Bluestone Memorial Hospital</t>
        </is>
      </c>
      <c r="D6924" t="n">
        <v>58</v>
      </c>
    </row>
    <row r="6925">
      <c r="A6925" t="inlineStr">
        <is>
          <t>ED207077</t>
        </is>
      </c>
      <c r="B6925" s="56" t="n">
        <v>45707.55486111111</v>
      </c>
      <c r="C6925" t="inlineStr">
        <is>
          <t>Bluestone Memorial Hospital</t>
        </is>
      </c>
      <c r="D6925" t="n">
        <v>24</v>
      </c>
    </row>
    <row r="6926">
      <c r="A6926" t="inlineStr">
        <is>
          <t>ED207078</t>
        </is>
      </c>
      <c r="B6926" s="56" t="n">
        <v>45707.60486111111</v>
      </c>
      <c r="C6926" t="inlineStr">
        <is>
          <t>Ashby Falls Community Hospital</t>
        </is>
      </c>
      <c r="D6926" t="n">
        <v>34</v>
      </c>
    </row>
    <row r="6927">
      <c r="A6927" t="inlineStr">
        <is>
          <t>ED207079</t>
        </is>
      </c>
      <c r="B6927" s="56" t="n">
        <v>45707.63958333333</v>
      </c>
      <c r="C6927" t="inlineStr">
        <is>
          <t>Bluestone Memorial Hospital</t>
        </is>
      </c>
      <c r="D6927" t="n">
        <v>83</v>
      </c>
    </row>
    <row r="6928">
      <c r="A6928" t="inlineStr">
        <is>
          <t>ED207080</t>
        </is>
      </c>
      <c r="B6928" s="56" t="n">
        <v>45707.68055555555</v>
      </c>
      <c r="C6928" t="inlineStr">
        <is>
          <t>Bluestone Memorial Hospital</t>
        </is>
      </c>
      <c r="D6928" t="n">
        <v>15</v>
      </c>
    </row>
    <row r="6929">
      <c r="A6929" t="inlineStr">
        <is>
          <t>ED207081</t>
        </is>
      </c>
      <c r="B6929" s="56" t="n">
        <v>45707.68958333333</v>
      </c>
      <c r="C6929" t="inlineStr">
        <is>
          <t>Ashby Falls Community Hospital</t>
        </is>
      </c>
      <c r="D6929" t="n">
        <v>62</v>
      </c>
    </row>
    <row r="6930">
      <c r="A6930" t="inlineStr">
        <is>
          <t>ED207082</t>
        </is>
      </c>
      <c r="B6930" s="56" t="n">
        <v>45707.69236111111</v>
      </c>
      <c r="C6930" t="inlineStr">
        <is>
          <t>Bluestone Memorial Hospital</t>
        </is>
      </c>
      <c r="D6930" t="n">
        <v>58</v>
      </c>
    </row>
    <row r="6931">
      <c r="A6931" t="inlineStr">
        <is>
          <t>ED207083</t>
        </is>
      </c>
      <c r="B6931" s="56" t="n">
        <v>45707.69861111111</v>
      </c>
      <c r="C6931" t="inlineStr">
        <is>
          <t>Bluestone Memorial Hospital</t>
        </is>
      </c>
      <c r="D6931" t="n">
        <v>44</v>
      </c>
    </row>
    <row r="6932">
      <c r="A6932" t="inlineStr">
        <is>
          <t>ED207084</t>
        </is>
      </c>
      <c r="B6932" s="56" t="n">
        <v>45707.78958333333</v>
      </c>
      <c r="C6932" t="inlineStr">
        <is>
          <t>Bluestone Memorial Hospital</t>
        </is>
      </c>
      <c r="D6932" t="n">
        <v>45</v>
      </c>
    </row>
    <row r="6933">
      <c r="A6933" t="inlineStr">
        <is>
          <t>ED207085</t>
        </is>
      </c>
      <c r="B6933" s="56" t="n">
        <v>45707.79375</v>
      </c>
      <c r="C6933" t="inlineStr">
        <is>
          <t>Bluestone Memorial Hospital</t>
        </is>
      </c>
      <c r="D6933" t="n">
        <v>62</v>
      </c>
    </row>
    <row r="6934">
      <c r="A6934" t="inlineStr">
        <is>
          <t>ED207086</t>
        </is>
      </c>
      <c r="B6934" s="56" t="n">
        <v>45707.79791666667</v>
      </c>
      <c r="C6934" t="inlineStr">
        <is>
          <t>Bluestone Memorial Hospital</t>
        </is>
      </c>
      <c r="D6934" t="n">
        <v>3</v>
      </c>
    </row>
    <row r="6935">
      <c r="A6935" t="inlineStr">
        <is>
          <t>ED207087</t>
        </is>
      </c>
      <c r="B6935" s="56" t="n">
        <v>45707.825</v>
      </c>
      <c r="C6935" t="inlineStr">
        <is>
          <t>Bluestone Memorial Hospital</t>
        </is>
      </c>
      <c r="D6935" t="n">
        <v>74</v>
      </c>
    </row>
    <row r="6936">
      <c r="A6936" t="inlineStr">
        <is>
          <t>ED207088</t>
        </is>
      </c>
      <c r="B6936" s="56" t="n">
        <v>45707.88263888889</v>
      </c>
      <c r="C6936" t="inlineStr">
        <is>
          <t>Bluestone Memorial Hospital</t>
        </is>
      </c>
      <c r="D6936" t="n">
        <v>72</v>
      </c>
    </row>
    <row r="6937">
      <c r="A6937" t="inlineStr">
        <is>
          <t>ED207089</t>
        </is>
      </c>
      <c r="B6937" s="56" t="n">
        <v>45707.8875</v>
      </c>
      <c r="C6937" t="inlineStr">
        <is>
          <t>Bluestone Memorial Hospital</t>
        </is>
      </c>
      <c r="D6937" t="n">
        <v>18</v>
      </c>
    </row>
    <row r="6938">
      <c r="A6938" t="inlineStr">
        <is>
          <t>ED207090</t>
        </is>
      </c>
      <c r="B6938" s="56" t="n">
        <v>45707.9125</v>
      </c>
      <c r="C6938" t="inlineStr">
        <is>
          <t>Bluestone Memorial Hospital</t>
        </is>
      </c>
      <c r="D6938" t="n">
        <v>33</v>
      </c>
    </row>
    <row r="6939">
      <c r="A6939" t="inlineStr">
        <is>
          <t>ED207091</t>
        </is>
      </c>
      <c r="B6939" s="56" t="n">
        <v>45707.92708333334</v>
      </c>
      <c r="C6939" t="inlineStr">
        <is>
          <t>Bluestone Memorial Hospital</t>
        </is>
      </c>
      <c r="D6939" t="n">
        <v>20</v>
      </c>
    </row>
    <row r="6940">
      <c r="A6940" t="inlineStr">
        <is>
          <t>ED207092</t>
        </is>
      </c>
      <c r="B6940" s="56" t="n">
        <v>45707.94513888889</v>
      </c>
      <c r="C6940" t="inlineStr">
        <is>
          <t>Cedar Ridge Medical Center</t>
        </is>
      </c>
      <c r="D6940" t="n">
        <v>16</v>
      </c>
    </row>
    <row r="6941">
      <c r="A6941" t="inlineStr">
        <is>
          <t>ED207093</t>
        </is>
      </c>
      <c r="B6941" s="56" t="n">
        <v>45708.12847222222</v>
      </c>
      <c r="C6941" t="inlineStr">
        <is>
          <t>Bluestone Memorial Hospital</t>
        </is>
      </c>
      <c r="D6941" t="n">
        <v>25</v>
      </c>
    </row>
    <row r="6942">
      <c r="A6942" t="inlineStr">
        <is>
          <t>ED207094</t>
        </is>
      </c>
      <c r="B6942" s="56" t="n">
        <v>45708.13263888889</v>
      </c>
      <c r="C6942" t="inlineStr">
        <is>
          <t>Bluestone Memorial Hospital</t>
        </is>
      </c>
      <c r="D6942" t="n">
        <v>10</v>
      </c>
    </row>
    <row r="6943">
      <c r="A6943" t="inlineStr">
        <is>
          <t>ED207095</t>
        </is>
      </c>
      <c r="B6943" s="56" t="n">
        <v>45708.23125</v>
      </c>
      <c r="C6943" t="inlineStr">
        <is>
          <t>Cedar Ridge Medical Center</t>
        </is>
      </c>
      <c r="D6943" t="n">
        <v>29</v>
      </c>
    </row>
    <row r="6944">
      <c r="A6944" t="inlineStr">
        <is>
          <t>ED207096</t>
        </is>
      </c>
      <c r="B6944" s="56" t="n">
        <v>45708.25138888889</v>
      </c>
      <c r="C6944" t="inlineStr">
        <is>
          <t>Bluestone Memorial Hospital</t>
        </is>
      </c>
      <c r="D6944" t="n">
        <v>23</v>
      </c>
    </row>
    <row r="6945">
      <c r="A6945" t="inlineStr">
        <is>
          <t>ED207097</t>
        </is>
      </c>
      <c r="B6945" s="56" t="n">
        <v>45708.33333333334</v>
      </c>
      <c r="C6945" t="inlineStr">
        <is>
          <t>Bluestone Memorial Hospital</t>
        </is>
      </c>
      <c r="D6945" t="n">
        <v>11</v>
      </c>
    </row>
    <row r="6946">
      <c r="A6946" t="inlineStr">
        <is>
          <t>ED207098</t>
        </is>
      </c>
      <c r="B6946" s="56" t="n">
        <v>45708.38611111111</v>
      </c>
      <c r="C6946" t="inlineStr">
        <is>
          <t>Bluestone Memorial Hospital</t>
        </is>
      </c>
      <c r="D6946" t="n">
        <v>73</v>
      </c>
    </row>
    <row r="6947">
      <c r="A6947" t="inlineStr">
        <is>
          <t>ED207099</t>
        </is>
      </c>
      <c r="B6947" s="56" t="n">
        <v>45708.41458333333</v>
      </c>
      <c r="C6947" t="inlineStr">
        <is>
          <t>Bluestone Memorial Hospital</t>
        </is>
      </c>
      <c r="D6947" t="n">
        <v>30</v>
      </c>
    </row>
    <row r="6948">
      <c r="A6948" t="inlineStr">
        <is>
          <t>ED207100</t>
        </is>
      </c>
      <c r="B6948" s="56" t="n">
        <v>45708.46388888889</v>
      </c>
      <c r="C6948" t="inlineStr">
        <is>
          <t>Bluestone Memorial Hospital</t>
        </is>
      </c>
      <c r="D6948" t="n">
        <v>51</v>
      </c>
    </row>
    <row r="6949">
      <c r="A6949" t="inlineStr">
        <is>
          <t>ED207101</t>
        </is>
      </c>
      <c r="B6949" s="56" t="n">
        <v>45708.49097222222</v>
      </c>
      <c r="C6949" t="inlineStr">
        <is>
          <t>Bluestone Memorial Hospital</t>
        </is>
      </c>
      <c r="D6949" t="n">
        <v>70</v>
      </c>
    </row>
    <row r="6950">
      <c r="A6950" t="inlineStr">
        <is>
          <t>ED207102</t>
        </is>
      </c>
      <c r="B6950" s="56" t="n">
        <v>45708.49791666667</v>
      </c>
      <c r="C6950" t="inlineStr">
        <is>
          <t>Bluestone Memorial Hospital</t>
        </is>
      </c>
      <c r="D6950" t="n">
        <v>20</v>
      </c>
    </row>
    <row r="6951">
      <c r="A6951" t="inlineStr">
        <is>
          <t>ED207103</t>
        </is>
      </c>
      <c r="B6951" s="56" t="n">
        <v>45708.50347222222</v>
      </c>
      <c r="C6951" t="inlineStr">
        <is>
          <t>Bluestone Memorial Hospital</t>
        </is>
      </c>
      <c r="D6951" t="n">
        <v>11</v>
      </c>
    </row>
    <row r="6952">
      <c r="A6952" t="inlineStr">
        <is>
          <t>ED207104</t>
        </is>
      </c>
      <c r="B6952" s="56" t="n">
        <v>45708.55625</v>
      </c>
      <c r="C6952" t="inlineStr">
        <is>
          <t>Bluestone Memorial Hospital</t>
        </is>
      </c>
      <c r="D6952" t="n">
        <v>50</v>
      </c>
    </row>
    <row r="6953">
      <c r="A6953" t="inlineStr">
        <is>
          <t>ED207105</t>
        </is>
      </c>
      <c r="B6953" s="56" t="n">
        <v>45708.60902777778</v>
      </c>
      <c r="C6953" t="inlineStr">
        <is>
          <t>Bluestone Memorial Hospital</t>
        </is>
      </c>
      <c r="D6953" t="n">
        <v>148</v>
      </c>
    </row>
    <row r="6954">
      <c r="A6954" t="inlineStr">
        <is>
          <t>ED207106</t>
        </is>
      </c>
      <c r="B6954" s="56" t="n">
        <v>45708.67777777778</v>
      </c>
      <c r="C6954" t="inlineStr">
        <is>
          <t>Bluestone Memorial Hospital</t>
        </is>
      </c>
      <c r="D6954" t="n">
        <v>48</v>
      </c>
    </row>
    <row r="6955">
      <c r="A6955" t="inlineStr">
        <is>
          <t>ED207108</t>
        </is>
      </c>
      <c r="B6955" s="56" t="n">
        <v>45708.69861111111</v>
      </c>
      <c r="C6955" t="inlineStr">
        <is>
          <t>Bluestone Memorial Hospital</t>
        </is>
      </c>
      <c r="D6955" t="n">
        <v>20</v>
      </c>
    </row>
    <row r="6956">
      <c r="A6956" t="inlineStr">
        <is>
          <t>ED207109</t>
        </is>
      </c>
      <c r="B6956" s="56" t="n">
        <v>45708.7</v>
      </c>
      <c r="C6956" t="inlineStr">
        <is>
          <t>Ashby Falls Community Hospital</t>
        </is>
      </c>
      <c r="D6956" t="n">
        <v>140</v>
      </c>
    </row>
    <row r="6957">
      <c r="A6957" t="inlineStr">
        <is>
          <t>ED207110</t>
        </is>
      </c>
      <c r="B6957" s="56" t="n">
        <v>45708.75625</v>
      </c>
      <c r="C6957" t="inlineStr">
        <is>
          <t>Bluestone Memorial Hospital</t>
        </is>
      </c>
      <c r="D6957" t="n">
        <v>45</v>
      </c>
    </row>
    <row r="6958">
      <c r="A6958" t="inlineStr">
        <is>
          <t>ED207111</t>
        </is>
      </c>
      <c r="B6958" s="56" t="n">
        <v>45708.76388888889</v>
      </c>
      <c r="C6958" t="inlineStr">
        <is>
          <t>Cedar Ridge Medical Center</t>
        </is>
      </c>
      <c r="D6958" t="n">
        <v>62</v>
      </c>
    </row>
    <row r="6959">
      <c r="A6959" t="inlineStr">
        <is>
          <t>ED207112</t>
        </is>
      </c>
      <c r="B6959" s="56" t="n">
        <v>45708.79305555556</v>
      </c>
      <c r="C6959" t="inlineStr">
        <is>
          <t>Bluestone Memorial Hospital</t>
        </is>
      </c>
      <c r="D6959" t="n">
        <v>99</v>
      </c>
    </row>
    <row r="6960">
      <c r="A6960" t="inlineStr">
        <is>
          <t>ED207113</t>
        </is>
      </c>
      <c r="B6960" s="56" t="n">
        <v>45708.79444444444</v>
      </c>
      <c r="C6960" t="inlineStr">
        <is>
          <t>Bluestone Memorial Hospital</t>
        </is>
      </c>
      <c r="D6960" t="n">
        <v>25</v>
      </c>
    </row>
    <row r="6961">
      <c r="A6961" t="inlineStr">
        <is>
          <t>ED207114</t>
        </is>
      </c>
      <c r="B6961" s="56" t="n">
        <v>45708.80486111111</v>
      </c>
      <c r="C6961" t="inlineStr">
        <is>
          <t>Bluestone Memorial Hospital</t>
        </is>
      </c>
      <c r="D6961" t="n">
        <v>76</v>
      </c>
    </row>
    <row r="6962">
      <c r="A6962" t="inlineStr">
        <is>
          <t>ED207115</t>
        </is>
      </c>
      <c r="B6962" s="56" t="n">
        <v>45708.87777777778</v>
      </c>
      <c r="C6962" t="inlineStr">
        <is>
          <t>Bluestone Memorial Hospital</t>
        </is>
      </c>
      <c r="D6962" t="n">
        <v>39</v>
      </c>
    </row>
    <row r="6963">
      <c r="A6963" t="inlineStr">
        <is>
          <t>ED207116</t>
        </is>
      </c>
      <c r="B6963" s="56" t="n">
        <v>45708.90972222222</v>
      </c>
      <c r="C6963" t="inlineStr">
        <is>
          <t>Bluestone Memorial Hospital</t>
        </is>
      </c>
      <c r="D6963" t="n">
        <v>31</v>
      </c>
    </row>
    <row r="6964">
      <c r="A6964" t="inlineStr">
        <is>
          <t>ED207117</t>
        </is>
      </c>
      <c r="B6964" s="56" t="n">
        <v>45709.18333333333</v>
      </c>
      <c r="C6964" t="inlineStr">
        <is>
          <t>Bluestone Memorial Hospital</t>
        </is>
      </c>
      <c r="D6964" t="n">
        <v>49</v>
      </c>
    </row>
    <row r="6965">
      <c r="A6965" t="inlineStr">
        <is>
          <t>ED207118</t>
        </is>
      </c>
      <c r="B6965" s="56" t="n">
        <v>45709.25138888889</v>
      </c>
      <c r="C6965" t="inlineStr">
        <is>
          <t>Bluestone Memorial Hospital</t>
        </is>
      </c>
      <c r="D6965" t="n">
        <v>49</v>
      </c>
    </row>
    <row r="6966">
      <c r="A6966" t="inlineStr">
        <is>
          <t>ED207119</t>
        </is>
      </c>
      <c r="B6966" s="56" t="n">
        <v>45709.35069444445</v>
      </c>
      <c r="C6966" t="inlineStr">
        <is>
          <t>Bluestone Memorial Hospital</t>
        </is>
      </c>
      <c r="D6966" t="n">
        <v>33</v>
      </c>
    </row>
    <row r="6967">
      <c r="A6967" t="inlineStr">
        <is>
          <t>ED207120</t>
        </is>
      </c>
      <c r="B6967" s="56" t="n">
        <v>45709.4</v>
      </c>
      <c r="C6967" t="inlineStr">
        <is>
          <t>Bluestone Memorial Hospital</t>
        </is>
      </c>
      <c r="D6967" t="n">
        <v>30</v>
      </c>
    </row>
    <row r="6968">
      <c r="A6968" t="inlineStr">
        <is>
          <t>ED207121</t>
        </is>
      </c>
      <c r="B6968" s="56" t="n">
        <v>45709.425</v>
      </c>
      <c r="C6968" t="inlineStr">
        <is>
          <t>Bluestone Memorial Hospital</t>
        </is>
      </c>
      <c r="D6968" t="n">
        <v>80</v>
      </c>
    </row>
    <row r="6969">
      <c r="A6969" t="inlineStr">
        <is>
          <t>ED207122</t>
        </is>
      </c>
      <c r="B6969" s="56" t="n">
        <v>45709.45347222222</v>
      </c>
      <c r="C6969" t="inlineStr">
        <is>
          <t>Bluestone Memorial Hospital</t>
        </is>
      </c>
      <c r="D6969" t="n">
        <v>78</v>
      </c>
    </row>
    <row r="6970">
      <c r="A6970" t="inlineStr">
        <is>
          <t>ED207123</t>
        </is>
      </c>
      <c r="B6970" s="56" t="n">
        <v>45709.45972222222</v>
      </c>
      <c r="C6970" t="inlineStr">
        <is>
          <t>Cedar Ridge Medical Center</t>
        </is>
      </c>
      <c r="D6970" t="n">
        <v>52</v>
      </c>
    </row>
    <row r="6971">
      <c r="A6971" t="inlineStr">
        <is>
          <t>ED207124</t>
        </is>
      </c>
      <c r="B6971" s="56" t="n">
        <v>45709.47361111111</v>
      </c>
      <c r="C6971" t="inlineStr">
        <is>
          <t>Bluestone Memorial Hospital</t>
        </is>
      </c>
      <c r="D6971" t="n">
        <v>95</v>
      </c>
    </row>
    <row r="6972">
      <c r="A6972" t="inlineStr">
        <is>
          <t>ED207125</t>
        </is>
      </c>
      <c r="B6972" s="56" t="n">
        <v>45709.51597222222</v>
      </c>
      <c r="C6972" t="inlineStr">
        <is>
          <t>Cedar Ridge Medical Center</t>
        </is>
      </c>
      <c r="D6972" t="n">
        <v>86</v>
      </c>
    </row>
    <row r="6973">
      <c r="A6973" t="inlineStr">
        <is>
          <t>ED207126</t>
        </is>
      </c>
      <c r="B6973" s="56" t="n">
        <v>45709.52222222222</v>
      </c>
      <c r="C6973" t="inlineStr">
        <is>
          <t>Bluestone Memorial Hospital</t>
        </is>
      </c>
      <c r="D6973" t="n">
        <v>45</v>
      </c>
    </row>
    <row r="6974">
      <c r="A6974" t="inlineStr">
        <is>
          <t>ED207127</t>
        </is>
      </c>
      <c r="B6974" s="56" t="n">
        <v>45709.54444444444</v>
      </c>
      <c r="C6974" t="inlineStr">
        <is>
          <t>Ashby Falls Community Hospital</t>
        </is>
      </c>
      <c r="D6974" t="n">
        <v>123</v>
      </c>
    </row>
    <row r="6975">
      <c r="A6975" t="inlineStr">
        <is>
          <t>ED207128</t>
        </is>
      </c>
      <c r="B6975" s="56" t="n">
        <v>45709.55208333334</v>
      </c>
      <c r="C6975" t="inlineStr">
        <is>
          <t>Bluestone Memorial Hospital</t>
        </is>
      </c>
      <c r="D6975" t="n">
        <v>27</v>
      </c>
    </row>
    <row r="6976">
      <c r="A6976" t="inlineStr">
        <is>
          <t>ED207129</t>
        </is>
      </c>
      <c r="B6976" s="56" t="n">
        <v>45709.55694444444</v>
      </c>
      <c r="C6976" t="inlineStr">
        <is>
          <t>Bluestone Memorial Hospital</t>
        </is>
      </c>
      <c r="D6976" t="n">
        <v>65</v>
      </c>
    </row>
    <row r="6977">
      <c r="A6977" t="inlineStr">
        <is>
          <t>ED207130</t>
        </is>
      </c>
      <c r="B6977" s="56" t="n">
        <v>45709.65555555555</v>
      </c>
      <c r="C6977" t="inlineStr">
        <is>
          <t>Bluestone Memorial Hospital</t>
        </is>
      </c>
      <c r="D6977" t="n">
        <v>50</v>
      </c>
    </row>
    <row r="6978">
      <c r="A6978" t="inlineStr">
        <is>
          <t>ED207131</t>
        </is>
      </c>
      <c r="B6978" s="56" t="n">
        <v>45709.67430555556</v>
      </c>
      <c r="C6978" t="inlineStr">
        <is>
          <t>Ashby Falls Community Hospital</t>
        </is>
      </c>
      <c r="D6978" t="n">
        <v>82</v>
      </c>
    </row>
    <row r="6979">
      <c r="A6979" t="inlineStr">
        <is>
          <t>ED207132</t>
        </is>
      </c>
      <c r="B6979" s="56" t="n">
        <v>45709.67916666667</v>
      </c>
      <c r="C6979" t="inlineStr">
        <is>
          <t>Bluestone Memorial Hospital</t>
        </is>
      </c>
      <c r="D6979" t="n">
        <v>95</v>
      </c>
    </row>
    <row r="6980">
      <c r="A6980" t="inlineStr">
        <is>
          <t>ED207133</t>
        </is>
      </c>
      <c r="B6980" s="56" t="n">
        <v>45709.79583333333</v>
      </c>
      <c r="C6980" t="inlineStr">
        <is>
          <t>Bluestone Memorial Hospital</t>
        </is>
      </c>
      <c r="D6980" t="n">
        <v>40</v>
      </c>
    </row>
    <row r="6981">
      <c r="A6981" t="inlineStr">
        <is>
          <t>ED207134</t>
        </is>
      </c>
      <c r="B6981" s="56" t="n">
        <v>45709.97569444445</v>
      </c>
      <c r="C6981" t="inlineStr">
        <is>
          <t>Bluestone Memorial Hospital</t>
        </is>
      </c>
      <c r="D6981" t="n">
        <v>106</v>
      </c>
    </row>
    <row r="6982">
      <c r="A6982" t="inlineStr">
        <is>
          <t>ED207135</t>
        </is>
      </c>
      <c r="B6982" s="56" t="n">
        <v>45710.20347222222</v>
      </c>
      <c r="C6982" t="inlineStr">
        <is>
          <t>Bluestone Memorial Hospital</t>
        </is>
      </c>
      <c r="D6982" t="n">
        <v>78</v>
      </c>
    </row>
    <row r="6983">
      <c r="A6983" t="inlineStr">
        <is>
          <t>ED207136</t>
        </is>
      </c>
      <c r="B6983" s="56" t="n">
        <v>45710.32916666667</v>
      </c>
      <c r="C6983" t="inlineStr">
        <is>
          <t>Bluestone Memorial Hospital</t>
        </is>
      </c>
      <c r="D6983" t="n">
        <v>30</v>
      </c>
    </row>
    <row r="6984">
      <c r="A6984" t="inlineStr">
        <is>
          <t>ED207137</t>
        </is>
      </c>
      <c r="B6984" s="56" t="n">
        <v>45710.37777777778</v>
      </c>
      <c r="C6984" t="inlineStr">
        <is>
          <t>Ashby Falls Community Hospital</t>
        </is>
      </c>
      <c r="D6984" t="n">
        <v>45</v>
      </c>
    </row>
    <row r="6985">
      <c r="A6985" t="inlineStr">
        <is>
          <t>ED207138</t>
        </is>
      </c>
      <c r="B6985" s="56" t="n">
        <v>45710.40486111111</v>
      </c>
      <c r="C6985" t="inlineStr">
        <is>
          <t>Cedar Ridge Medical Center</t>
        </is>
      </c>
      <c r="D6985" t="n">
        <v>117</v>
      </c>
    </row>
    <row r="6986">
      <c r="A6986" t="inlineStr">
        <is>
          <t>ED207139</t>
        </is>
      </c>
      <c r="B6986" s="56" t="n">
        <v>45710.40902777778</v>
      </c>
      <c r="C6986" t="inlineStr">
        <is>
          <t>Cedar Ridge Medical Center</t>
        </is>
      </c>
      <c r="D6986" t="n">
        <v>108</v>
      </c>
    </row>
    <row r="6987">
      <c r="A6987" t="inlineStr">
        <is>
          <t>ED207140</t>
        </is>
      </c>
      <c r="B6987" s="56" t="n">
        <v>45710.41041666667</v>
      </c>
      <c r="C6987" t="inlineStr">
        <is>
          <t>Ashby Falls Community Hospital</t>
        </is>
      </c>
      <c r="D6987" t="n">
        <v>37</v>
      </c>
    </row>
    <row r="6988">
      <c r="A6988" t="inlineStr">
        <is>
          <t>ED207141</t>
        </is>
      </c>
      <c r="B6988" s="56" t="n">
        <v>45710.42013888889</v>
      </c>
      <c r="C6988" t="inlineStr">
        <is>
          <t>Cedar Ridge Medical Center</t>
        </is>
      </c>
      <c r="D6988" t="n">
        <v>52</v>
      </c>
    </row>
    <row r="6989">
      <c r="A6989" t="inlineStr">
        <is>
          <t>ED207142</t>
        </is>
      </c>
      <c r="B6989" s="56" t="n">
        <v>45710.44097222222</v>
      </c>
      <c r="C6989" t="inlineStr">
        <is>
          <t>Ashby Falls Community Hospital</t>
        </is>
      </c>
      <c r="D6989" t="n">
        <v>56</v>
      </c>
    </row>
    <row r="6990">
      <c r="A6990" t="inlineStr">
        <is>
          <t>ED207143</t>
        </is>
      </c>
      <c r="B6990" s="56" t="n">
        <v>45710.46736111111</v>
      </c>
      <c r="C6990" t="inlineStr">
        <is>
          <t>Bluestone Memorial Hospital</t>
        </is>
      </c>
      <c r="D6990" t="n">
        <v>13</v>
      </c>
    </row>
    <row r="6991">
      <c r="A6991" t="inlineStr">
        <is>
          <t>ED207144</t>
        </is>
      </c>
      <c r="B6991" s="56" t="n">
        <v>45710.53055555555</v>
      </c>
      <c r="C6991" t="inlineStr">
        <is>
          <t>Bluestone Memorial Hospital</t>
        </is>
      </c>
      <c r="D6991" t="n">
        <v>53</v>
      </c>
    </row>
    <row r="6992">
      <c r="A6992" t="inlineStr">
        <is>
          <t>ED207145</t>
        </is>
      </c>
      <c r="B6992" s="56" t="n">
        <v>45710.54861111111</v>
      </c>
      <c r="C6992" t="inlineStr">
        <is>
          <t>Bluestone Memorial Hospital</t>
        </is>
      </c>
      <c r="D6992" t="n">
        <v>112</v>
      </c>
    </row>
    <row r="6993">
      <c r="A6993" t="inlineStr">
        <is>
          <t>ED207146</t>
        </is>
      </c>
      <c r="B6993" s="56" t="n">
        <v>45710.625</v>
      </c>
      <c r="C6993" t="inlineStr">
        <is>
          <t>Bluestone Memorial Hospital</t>
        </is>
      </c>
      <c r="D6993" t="n">
        <v>56</v>
      </c>
    </row>
    <row r="6994">
      <c r="A6994" t="inlineStr">
        <is>
          <t>ED207147</t>
        </is>
      </c>
      <c r="B6994" s="56" t="n">
        <v>45710.65555555555</v>
      </c>
      <c r="C6994" t="inlineStr">
        <is>
          <t>Bluestone Memorial Hospital</t>
        </is>
      </c>
      <c r="D6994" t="n">
        <v>25</v>
      </c>
    </row>
    <row r="6995">
      <c r="A6995" t="inlineStr">
        <is>
          <t>ED207148</t>
        </is>
      </c>
      <c r="B6995" s="56" t="n">
        <v>45710.66458333333</v>
      </c>
      <c r="C6995" t="inlineStr">
        <is>
          <t>Bluestone Memorial Hospital</t>
        </is>
      </c>
      <c r="D6995" t="n">
        <v>43</v>
      </c>
    </row>
    <row r="6996">
      <c r="A6996" t="inlineStr">
        <is>
          <t>ED207149</t>
        </is>
      </c>
      <c r="B6996" s="56" t="n">
        <v>45710.67430555556</v>
      </c>
      <c r="C6996" t="inlineStr">
        <is>
          <t>Bluestone Memorial Hospital</t>
        </is>
      </c>
      <c r="D6996" t="n">
        <v>24</v>
      </c>
    </row>
    <row r="6997">
      <c r="A6997" t="inlineStr">
        <is>
          <t>ED207150</t>
        </is>
      </c>
      <c r="B6997" s="56" t="n">
        <v>45710.67708333334</v>
      </c>
      <c r="C6997" t="inlineStr">
        <is>
          <t>Bluestone Memorial Hospital</t>
        </is>
      </c>
      <c r="D6997" t="n">
        <v>45</v>
      </c>
    </row>
    <row r="6998">
      <c r="A6998" t="inlineStr">
        <is>
          <t>ED207151</t>
        </is>
      </c>
      <c r="B6998" s="56" t="n">
        <v>45710.69305555556</v>
      </c>
      <c r="C6998" t="inlineStr">
        <is>
          <t>Bluestone Memorial Hospital</t>
        </is>
      </c>
      <c r="D6998" t="n">
        <v>28</v>
      </c>
    </row>
    <row r="6999">
      <c r="A6999" t="inlineStr">
        <is>
          <t>ED207152</t>
        </is>
      </c>
      <c r="B6999" s="56" t="n">
        <v>45710.74652777778</v>
      </c>
      <c r="C6999" t="inlineStr">
        <is>
          <t>Ashby Falls Community Hospital</t>
        </is>
      </c>
      <c r="D6999" t="n">
        <v>69</v>
      </c>
    </row>
    <row r="7000">
      <c r="A7000" t="inlineStr">
        <is>
          <t>ED207153</t>
        </is>
      </c>
      <c r="B7000" s="56" t="n">
        <v>45710.77430555555</v>
      </c>
      <c r="C7000" t="inlineStr">
        <is>
          <t>Bluestone Memorial Hospital</t>
        </is>
      </c>
      <c r="D7000" t="n">
        <v>83</v>
      </c>
    </row>
    <row r="7001">
      <c r="A7001" t="inlineStr">
        <is>
          <t>ED207154</t>
        </is>
      </c>
      <c r="B7001" s="56" t="n">
        <v>45710.81666666667</v>
      </c>
      <c r="C7001" t="inlineStr">
        <is>
          <t>Bluestone Memorial Hospital</t>
        </is>
      </c>
      <c r="D7001" t="n">
        <v>21</v>
      </c>
    </row>
    <row r="7002">
      <c r="A7002" t="inlineStr">
        <is>
          <t>ED207155</t>
        </is>
      </c>
      <c r="B7002" s="56" t="n">
        <v>45710.90902777778</v>
      </c>
      <c r="C7002" t="inlineStr">
        <is>
          <t>Bluestone Memorial Hospital</t>
        </is>
      </c>
      <c r="D7002" t="n">
        <v>76</v>
      </c>
    </row>
    <row r="7003">
      <c r="A7003" t="inlineStr">
        <is>
          <t>ED207156</t>
        </is>
      </c>
      <c r="B7003" s="56" t="n">
        <v>45710.92291666667</v>
      </c>
      <c r="C7003" t="inlineStr">
        <is>
          <t>Bluestone Memorial Hospital</t>
        </is>
      </c>
      <c r="D7003" t="n">
        <v>23</v>
      </c>
    </row>
    <row r="7004">
      <c r="A7004" t="inlineStr">
        <is>
          <t>ED207157</t>
        </is>
      </c>
      <c r="B7004" s="56" t="n">
        <v>45711.00416666667</v>
      </c>
      <c r="C7004" t="inlineStr">
        <is>
          <t>Bluestone Memorial Hospital</t>
        </is>
      </c>
      <c r="D7004" t="n">
        <v>34</v>
      </c>
    </row>
    <row r="7005">
      <c r="A7005" t="inlineStr">
        <is>
          <t>ED207158</t>
        </is>
      </c>
      <c r="B7005" s="56" t="n">
        <v>45711.08194444444</v>
      </c>
      <c r="C7005" t="inlineStr">
        <is>
          <t>Bluestone Memorial Hospital</t>
        </is>
      </c>
      <c r="D7005" t="n">
        <v>14</v>
      </c>
    </row>
    <row r="7006">
      <c r="A7006" t="inlineStr">
        <is>
          <t>ED207159</t>
        </is>
      </c>
      <c r="B7006" s="56" t="n">
        <v>45711.17222222222</v>
      </c>
      <c r="C7006" t="inlineStr">
        <is>
          <t>Bluestone Memorial Hospital</t>
        </is>
      </c>
      <c r="D7006" t="n">
        <v>26</v>
      </c>
    </row>
    <row r="7007">
      <c r="A7007" t="inlineStr">
        <is>
          <t>ED207160</t>
        </is>
      </c>
      <c r="B7007" s="56" t="n">
        <v>45711.18888888889</v>
      </c>
      <c r="C7007" t="inlineStr">
        <is>
          <t>Cedar Ridge Medical Center</t>
        </is>
      </c>
      <c r="D7007" t="n">
        <v>8</v>
      </c>
    </row>
    <row r="7008">
      <c r="A7008" t="inlineStr">
        <is>
          <t>ED207161</t>
        </is>
      </c>
      <c r="B7008" s="56" t="n">
        <v>45711.36180555556</v>
      </c>
      <c r="C7008" t="inlineStr">
        <is>
          <t>Cedar Ridge Medical Center</t>
        </is>
      </c>
      <c r="D7008" t="n">
        <v>6</v>
      </c>
    </row>
    <row r="7009">
      <c r="A7009" t="inlineStr">
        <is>
          <t>ED207162</t>
        </is>
      </c>
      <c r="B7009" s="56" t="n">
        <v>45711.49930555555</v>
      </c>
      <c r="C7009" t="inlineStr">
        <is>
          <t>Bluestone Memorial Hospital</t>
        </is>
      </c>
      <c r="D7009" t="n">
        <v>39</v>
      </c>
    </row>
    <row r="7010">
      <c r="A7010" t="inlineStr">
        <is>
          <t>ED207163</t>
        </is>
      </c>
      <c r="B7010" s="56" t="n">
        <v>45711.60694444444</v>
      </c>
      <c r="C7010" t="inlineStr">
        <is>
          <t>Bluestone Memorial Hospital</t>
        </is>
      </c>
      <c r="D7010" t="n">
        <v>21</v>
      </c>
    </row>
    <row r="7011">
      <c r="A7011" t="inlineStr">
        <is>
          <t>ED207164</t>
        </is>
      </c>
      <c r="B7011" s="56" t="n">
        <v>45711.62013888889</v>
      </c>
      <c r="C7011" t="inlineStr">
        <is>
          <t>Bluestone Memorial Hospital</t>
        </is>
      </c>
      <c r="D7011" t="n">
        <v>101</v>
      </c>
    </row>
    <row r="7012">
      <c r="A7012" t="inlineStr">
        <is>
          <t>ED207165</t>
        </is>
      </c>
      <c r="B7012" s="56" t="n">
        <v>45711.62569444445</v>
      </c>
      <c r="C7012" t="inlineStr">
        <is>
          <t>Ashby Falls Community Hospital</t>
        </is>
      </c>
      <c r="D7012" t="n">
        <v>19</v>
      </c>
    </row>
    <row r="7013">
      <c r="A7013" t="inlineStr">
        <is>
          <t>ED207166</t>
        </is>
      </c>
      <c r="B7013" s="56" t="n">
        <v>45711.70347222222</v>
      </c>
      <c r="C7013" t="inlineStr">
        <is>
          <t>Bluestone Memorial Hospital</t>
        </is>
      </c>
      <c r="D7013" t="n">
        <v>27</v>
      </c>
    </row>
    <row r="7014">
      <c r="A7014" t="inlineStr">
        <is>
          <t>ED207167</t>
        </is>
      </c>
      <c r="B7014" s="56" t="n">
        <v>45711.725</v>
      </c>
      <c r="C7014" t="inlineStr">
        <is>
          <t>Bluestone Memorial Hospital</t>
        </is>
      </c>
      <c r="D7014" t="n">
        <v>36</v>
      </c>
    </row>
    <row r="7015">
      <c r="A7015" t="inlineStr">
        <is>
          <t>ED207168</t>
        </is>
      </c>
      <c r="B7015" s="56" t="n">
        <v>45711.73472222222</v>
      </c>
      <c r="C7015" t="inlineStr">
        <is>
          <t>Bluestone Memorial Hospital</t>
        </is>
      </c>
      <c r="D7015" t="n">
        <v>25</v>
      </c>
    </row>
    <row r="7016">
      <c r="A7016" t="inlineStr">
        <is>
          <t>ED207169</t>
        </is>
      </c>
      <c r="B7016" s="56" t="n">
        <v>45711.83680555555</v>
      </c>
      <c r="C7016" t="inlineStr">
        <is>
          <t>Ashby Falls Community Hospital</t>
        </is>
      </c>
      <c r="D7016" t="n">
        <v>11</v>
      </c>
    </row>
    <row r="7017">
      <c r="A7017" t="inlineStr">
        <is>
          <t>ED207170</t>
        </is>
      </c>
      <c r="B7017" s="56" t="n">
        <v>45711.89027777778</v>
      </c>
      <c r="C7017" t="inlineStr">
        <is>
          <t>Bluestone Memorial Hospital</t>
        </is>
      </c>
      <c r="D7017" t="n">
        <v>11</v>
      </c>
    </row>
    <row r="7018">
      <c r="A7018" t="inlineStr">
        <is>
          <t>ED207171</t>
        </is>
      </c>
      <c r="B7018" s="56" t="n">
        <v>45712.05</v>
      </c>
      <c r="C7018" t="inlineStr">
        <is>
          <t>Bluestone Memorial Hospital</t>
        </is>
      </c>
      <c r="D7018" t="n">
        <v>21</v>
      </c>
    </row>
    <row r="7019">
      <c r="A7019" t="inlineStr">
        <is>
          <t>ED207172</t>
        </is>
      </c>
      <c r="B7019" s="56" t="n">
        <v>45712.09930555556</v>
      </c>
      <c r="C7019" t="inlineStr">
        <is>
          <t>Ashby Falls Community Hospital</t>
        </is>
      </c>
      <c r="D7019" t="n">
        <v>22</v>
      </c>
    </row>
    <row r="7020">
      <c r="A7020" t="inlineStr">
        <is>
          <t>ED207173</t>
        </is>
      </c>
      <c r="B7020" s="56" t="n">
        <v>45712.19305555556</v>
      </c>
      <c r="C7020" t="inlineStr">
        <is>
          <t>Bluestone Memorial Hospital</t>
        </is>
      </c>
      <c r="D7020" t="n">
        <v>12</v>
      </c>
    </row>
    <row r="7021">
      <c r="A7021" t="inlineStr">
        <is>
          <t>ED207174</t>
        </is>
      </c>
      <c r="B7021" s="56" t="n">
        <v>45712.32430555556</v>
      </c>
      <c r="C7021" t="inlineStr">
        <is>
          <t>Bluestone Memorial Hospital</t>
        </is>
      </c>
      <c r="D7021" t="n">
        <v>110</v>
      </c>
    </row>
    <row r="7022">
      <c r="A7022" t="inlineStr">
        <is>
          <t>ED207175</t>
        </is>
      </c>
      <c r="B7022" s="56" t="n">
        <v>45712.37986111111</v>
      </c>
      <c r="C7022" t="inlineStr">
        <is>
          <t>Bluestone Memorial Hospital</t>
        </is>
      </c>
      <c r="D7022" t="n">
        <v>180</v>
      </c>
    </row>
    <row r="7023">
      <c r="A7023" t="inlineStr">
        <is>
          <t>ED207176</t>
        </is>
      </c>
      <c r="B7023" s="56" t="n">
        <v>45712.38819444444</v>
      </c>
      <c r="C7023" t="inlineStr">
        <is>
          <t>Cedar Ridge Medical Center</t>
        </is>
      </c>
      <c r="D7023" t="n">
        <v>11</v>
      </c>
    </row>
    <row r="7024">
      <c r="A7024" t="inlineStr">
        <is>
          <t>ED207177</t>
        </is>
      </c>
      <c r="B7024" s="56" t="n">
        <v>45712.39236111111</v>
      </c>
      <c r="C7024" t="inlineStr">
        <is>
          <t>Bluestone Memorial Hospital</t>
        </is>
      </c>
      <c r="D7024" t="n">
        <v>68</v>
      </c>
    </row>
    <row r="7025">
      <c r="A7025" t="inlineStr">
        <is>
          <t>ED207178</t>
        </is>
      </c>
      <c r="B7025" s="56" t="n">
        <v>45712.41875</v>
      </c>
      <c r="C7025" t="inlineStr">
        <is>
          <t>Bluestone Memorial Hospital</t>
        </is>
      </c>
      <c r="D7025" t="n">
        <v>30</v>
      </c>
    </row>
    <row r="7026">
      <c r="A7026" t="inlineStr">
        <is>
          <t>ED207179</t>
        </is>
      </c>
      <c r="B7026" s="56" t="n">
        <v>45712.43541666667</v>
      </c>
      <c r="C7026" t="inlineStr">
        <is>
          <t>Cedar Ridge Medical Center</t>
        </is>
      </c>
      <c r="D7026" t="n">
        <v>60</v>
      </c>
    </row>
    <row r="7027">
      <c r="A7027" t="inlineStr">
        <is>
          <t>ED207180</t>
        </is>
      </c>
      <c r="B7027" s="56" t="n">
        <v>45712.44583333333</v>
      </c>
      <c r="C7027" t="inlineStr">
        <is>
          <t>Bluestone Memorial Hospital</t>
        </is>
      </c>
      <c r="D7027" t="n">
        <v>3</v>
      </c>
    </row>
    <row r="7028">
      <c r="A7028" t="inlineStr">
        <is>
          <t>ED207181</t>
        </is>
      </c>
      <c r="B7028" s="56" t="n">
        <v>45712.44722222222</v>
      </c>
      <c r="C7028" t="inlineStr">
        <is>
          <t>Bluestone Memorial Hospital</t>
        </is>
      </c>
      <c r="D7028" t="n">
        <v>25</v>
      </c>
    </row>
    <row r="7029">
      <c r="A7029" t="inlineStr">
        <is>
          <t>ED207182</t>
        </is>
      </c>
      <c r="B7029" s="56" t="n">
        <v>45712.45416666667</v>
      </c>
      <c r="C7029" t="inlineStr">
        <is>
          <t>Cedar Ridge Medical Center</t>
        </is>
      </c>
      <c r="D7029" t="n">
        <v>24</v>
      </c>
    </row>
    <row r="7030">
      <c r="A7030" t="inlineStr">
        <is>
          <t>ED207183</t>
        </is>
      </c>
      <c r="B7030" s="56" t="n">
        <v>45712.49097222222</v>
      </c>
      <c r="C7030" t="inlineStr">
        <is>
          <t>Bluestone Memorial Hospital</t>
        </is>
      </c>
      <c r="D7030" t="n">
        <v>69</v>
      </c>
    </row>
    <row r="7031">
      <c r="A7031" t="inlineStr">
        <is>
          <t>ED207185</t>
        </is>
      </c>
      <c r="B7031" s="56" t="n">
        <v>45712.51041666666</v>
      </c>
      <c r="C7031" t="inlineStr">
        <is>
          <t>Cedar Ridge Medical Center</t>
        </is>
      </c>
      <c r="D7031" t="n">
        <v>51</v>
      </c>
    </row>
    <row r="7032">
      <c r="A7032" t="inlineStr">
        <is>
          <t>ED207186</t>
        </is>
      </c>
      <c r="B7032" s="56" t="n">
        <v>45712.51666666667</v>
      </c>
      <c r="C7032" t="inlineStr">
        <is>
          <t>Bluestone Memorial Hospital</t>
        </is>
      </c>
      <c r="D7032" t="n">
        <v>28</v>
      </c>
    </row>
    <row r="7033">
      <c r="A7033" t="inlineStr">
        <is>
          <t>ED207187</t>
        </is>
      </c>
      <c r="B7033" s="56" t="n">
        <v>45712.52152777778</v>
      </c>
      <c r="C7033" t="inlineStr">
        <is>
          <t>Bluestone Memorial Hospital</t>
        </is>
      </c>
      <c r="D7033" t="n">
        <v>39</v>
      </c>
    </row>
    <row r="7034">
      <c r="A7034" t="inlineStr">
        <is>
          <t>ED207188</t>
        </is>
      </c>
      <c r="B7034" s="56" t="n">
        <v>45712.52430555555</v>
      </c>
      <c r="C7034" t="inlineStr">
        <is>
          <t>Bluestone Memorial Hospital</t>
        </is>
      </c>
      <c r="D7034" t="n">
        <v>119</v>
      </c>
    </row>
    <row r="7035">
      <c r="A7035" t="inlineStr">
        <is>
          <t>ED207189</t>
        </is>
      </c>
      <c r="B7035" s="56" t="n">
        <v>45712.55416666667</v>
      </c>
      <c r="C7035" t="inlineStr">
        <is>
          <t>Bluestone Memorial Hospital</t>
        </is>
      </c>
      <c r="D7035" t="n">
        <v>20</v>
      </c>
    </row>
    <row r="7036">
      <c r="A7036" t="inlineStr">
        <is>
          <t>ED207190</t>
        </is>
      </c>
      <c r="B7036" s="56" t="n">
        <v>45712.62708333333</v>
      </c>
      <c r="C7036" t="inlineStr">
        <is>
          <t>Bluestone Memorial Hospital</t>
        </is>
      </c>
      <c r="D7036" t="n">
        <v>231</v>
      </c>
    </row>
    <row r="7037">
      <c r="A7037" t="inlineStr">
        <is>
          <t>ED207192</t>
        </is>
      </c>
      <c r="B7037" s="56" t="n">
        <v>45712.65416666667</v>
      </c>
      <c r="C7037" t="inlineStr">
        <is>
          <t>Ashby Falls Community Hospital</t>
        </is>
      </c>
      <c r="D7037" t="n">
        <v>17</v>
      </c>
    </row>
    <row r="7038">
      <c r="A7038" t="inlineStr">
        <is>
          <t>ED207193</t>
        </is>
      </c>
      <c r="B7038" s="56" t="n">
        <v>45712.66458333333</v>
      </c>
      <c r="C7038" t="inlineStr">
        <is>
          <t>Cedar Ridge Medical Center</t>
        </is>
      </c>
      <c r="D7038" t="n">
        <v>60</v>
      </c>
    </row>
    <row r="7039">
      <c r="A7039" t="inlineStr">
        <is>
          <t>ED207194</t>
        </is>
      </c>
      <c r="B7039" s="56" t="n">
        <v>45712.67430555556</v>
      </c>
      <c r="C7039" t="inlineStr">
        <is>
          <t>Cedar Ridge Medical Center</t>
        </is>
      </c>
      <c r="D7039" t="n">
        <v>18</v>
      </c>
    </row>
    <row r="7040">
      <c r="A7040" t="inlineStr">
        <is>
          <t>ED207195</t>
        </is>
      </c>
      <c r="B7040" s="56" t="n">
        <v>45712.67430555556</v>
      </c>
      <c r="C7040" t="inlineStr">
        <is>
          <t>Ashby Falls Community Hospital</t>
        </is>
      </c>
      <c r="D7040" t="n">
        <v>16</v>
      </c>
    </row>
    <row r="7041">
      <c r="A7041" t="inlineStr">
        <is>
          <t>ED207196</t>
        </is>
      </c>
      <c r="B7041" s="56" t="n">
        <v>45712.69722222222</v>
      </c>
      <c r="C7041" t="inlineStr">
        <is>
          <t>Bluestone Memorial Hospital</t>
        </is>
      </c>
      <c r="D7041" t="n">
        <v>72</v>
      </c>
    </row>
    <row r="7042">
      <c r="A7042" t="inlineStr">
        <is>
          <t>ED207197</t>
        </is>
      </c>
      <c r="B7042" s="56" t="n">
        <v>45712.70208333333</v>
      </c>
      <c r="C7042" t="inlineStr">
        <is>
          <t>Bluestone Memorial Hospital</t>
        </is>
      </c>
      <c r="D7042" t="n">
        <v>27</v>
      </c>
    </row>
    <row r="7043">
      <c r="A7043" t="inlineStr">
        <is>
          <t>ED207198</t>
        </is>
      </c>
      <c r="B7043" s="56" t="n">
        <v>45712.75277777778</v>
      </c>
      <c r="C7043" t="inlineStr">
        <is>
          <t>Bluestone Memorial Hospital</t>
        </is>
      </c>
      <c r="D7043" t="n">
        <v>71</v>
      </c>
    </row>
    <row r="7044">
      <c r="A7044" t="inlineStr">
        <is>
          <t>ED207199</t>
        </is>
      </c>
      <c r="B7044" s="56" t="n">
        <v>45712.79236111111</v>
      </c>
      <c r="C7044" t="inlineStr">
        <is>
          <t>Bluestone Memorial Hospital</t>
        </is>
      </c>
      <c r="D7044" t="n">
        <v>39</v>
      </c>
    </row>
    <row r="7045">
      <c r="A7045" t="inlineStr">
        <is>
          <t>ED207200</t>
        </is>
      </c>
      <c r="B7045" s="56" t="n">
        <v>45712.88263888889</v>
      </c>
      <c r="C7045" t="inlineStr">
        <is>
          <t>Bluestone Memorial Hospital</t>
        </is>
      </c>
      <c r="D7045" t="n">
        <v>32</v>
      </c>
    </row>
    <row r="7046">
      <c r="A7046" t="inlineStr">
        <is>
          <t>ED207201</t>
        </is>
      </c>
      <c r="B7046" s="56" t="n">
        <v>45712.8875</v>
      </c>
      <c r="C7046" t="inlineStr">
        <is>
          <t>Bluestone Memorial Hospital</t>
        </is>
      </c>
      <c r="D7046" t="n">
        <v>88</v>
      </c>
    </row>
    <row r="7047">
      <c r="A7047" t="inlineStr">
        <is>
          <t>ED207202</t>
        </is>
      </c>
      <c r="B7047" s="56" t="n">
        <v>45713.05208333334</v>
      </c>
      <c r="C7047" t="inlineStr">
        <is>
          <t>Bluestone Memorial Hospital</t>
        </is>
      </c>
      <c r="D7047" t="n">
        <v>48</v>
      </c>
    </row>
    <row r="7048">
      <c r="A7048" t="inlineStr">
        <is>
          <t>ED207203</t>
        </is>
      </c>
      <c r="B7048" s="56" t="n">
        <v>45713.12152777778</v>
      </c>
      <c r="C7048" t="inlineStr">
        <is>
          <t>Bluestone Memorial Hospital</t>
        </is>
      </c>
      <c r="D7048" t="n">
        <v>17</v>
      </c>
    </row>
    <row r="7049">
      <c r="A7049" t="inlineStr">
        <is>
          <t>ED207204</t>
        </is>
      </c>
      <c r="B7049" s="56" t="n">
        <v>45713.21388888889</v>
      </c>
      <c r="C7049" t="inlineStr">
        <is>
          <t>Cedar Ridge Medical Center</t>
        </is>
      </c>
      <c r="D7049" t="n">
        <v>29</v>
      </c>
    </row>
    <row r="7050">
      <c r="A7050" t="inlineStr">
        <is>
          <t>ED207205</t>
        </is>
      </c>
      <c r="B7050" s="56" t="n">
        <v>45713.21458333333</v>
      </c>
      <c r="C7050" t="inlineStr">
        <is>
          <t>Cedar Ridge Medical Center</t>
        </is>
      </c>
      <c r="D7050" t="n">
        <v>23</v>
      </c>
    </row>
    <row r="7051">
      <c r="A7051" t="inlineStr">
        <is>
          <t>ED207206</t>
        </is>
      </c>
      <c r="B7051" s="56" t="n">
        <v>45713.28333333333</v>
      </c>
      <c r="C7051" t="inlineStr">
        <is>
          <t>Bluestone Memorial Hospital</t>
        </is>
      </c>
      <c r="D7051" t="n">
        <v>12</v>
      </c>
    </row>
    <row r="7052">
      <c r="A7052" t="inlineStr">
        <is>
          <t>ED207207</t>
        </is>
      </c>
      <c r="B7052" s="56" t="n">
        <v>45713.30833333333</v>
      </c>
      <c r="C7052" t="inlineStr">
        <is>
          <t>Ashby Falls Community Hospital</t>
        </is>
      </c>
      <c r="D7052" t="n">
        <v>15</v>
      </c>
    </row>
    <row r="7053">
      <c r="A7053" t="inlineStr">
        <is>
          <t>ED207208</t>
        </is>
      </c>
      <c r="B7053" s="56" t="n">
        <v>45713.32222222222</v>
      </c>
      <c r="C7053" t="inlineStr">
        <is>
          <t>Bluestone Memorial Hospital</t>
        </is>
      </c>
      <c r="D7053" t="n">
        <v>57</v>
      </c>
    </row>
    <row r="7054">
      <c r="A7054" t="inlineStr">
        <is>
          <t>ED207209</t>
        </is>
      </c>
      <c r="B7054" s="56" t="n">
        <v>45713.36944444444</v>
      </c>
      <c r="C7054" t="inlineStr">
        <is>
          <t>Bluestone Memorial Hospital</t>
        </is>
      </c>
      <c r="D7054" t="n">
        <v>97</v>
      </c>
    </row>
    <row r="7055">
      <c r="A7055" t="inlineStr">
        <is>
          <t>ED207210</t>
        </is>
      </c>
      <c r="B7055" s="56" t="n">
        <v>45713.40555555555</v>
      </c>
      <c r="C7055" t="inlineStr">
        <is>
          <t>Bluestone Memorial Hospital</t>
        </is>
      </c>
      <c r="D7055" t="n">
        <v>11</v>
      </c>
    </row>
    <row r="7056">
      <c r="A7056" t="inlineStr">
        <is>
          <t>ED207211</t>
        </is>
      </c>
      <c r="B7056" s="56" t="n">
        <v>45713.43333333333</v>
      </c>
      <c r="C7056" t="inlineStr">
        <is>
          <t>Bluestone Memorial Hospital</t>
        </is>
      </c>
      <c r="D7056" t="n">
        <v>57</v>
      </c>
    </row>
    <row r="7057">
      <c r="A7057" t="inlineStr">
        <is>
          <t>ED207212</t>
        </is>
      </c>
      <c r="B7057" s="56" t="n">
        <v>45713.49652777778</v>
      </c>
      <c r="C7057" t="inlineStr">
        <is>
          <t>Bluestone Memorial Hospital</t>
        </is>
      </c>
      <c r="D7057" t="n">
        <v>80</v>
      </c>
    </row>
    <row r="7058">
      <c r="A7058" t="inlineStr">
        <is>
          <t>ED207213</t>
        </is>
      </c>
      <c r="B7058" s="56" t="n">
        <v>45713.52916666667</v>
      </c>
      <c r="C7058" t="inlineStr">
        <is>
          <t>Bluestone Memorial Hospital</t>
        </is>
      </c>
      <c r="D7058" t="n">
        <v>111</v>
      </c>
    </row>
    <row r="7059">
      <c r="A7059" t="inlineStr">
        <is>
          <t>ED207214</t>
        </is>
      </c>
      <c r="B7059" s="56" t="n">
        <v>45713.54930555556</v>
      </c>
      <c r="C7059" t="inlineStr">
        <is>
          <t>Bluestone Memorial Hospital</t>
        </is>
      </c>
      <c r="D7059" t="n">
        <v>26</v>
      </c>
    </row>
    <row r="7060">
      <c r="A7060" t="inlineStr">
        <is>
          <t>ED207215</t>
        </is>
      </c>
      <c r="B7060" s="56" t="n">
        <v>45713.54930555556</v>
      </c>
      <c r="C7060" t="inlineStr">
        <is>
          <t>Bluestone Memorial Hospital</t>
        </is>
      </c>
      <c r="D7060" t="n">
        <v>31</v>
      </c>
    </row>
    <row r="7061">
      <c r="A7061" t="inlineStr">
        <is>
          <t>ED207216</t>
        </is>
      </c>
      <c r="B7061" s="56" t="n">
        <v>45713.5625</v>
      </c>
      <c r="C7061" t="inlineStr">
        <is>
          <t>Cedar Ridge Medical Center</t>
        </is>
      </c>
      <c r="D7061" t="n">
        <v>34</v>
      </c>
    </row>
    <row r="7062">
      <c r="A7062" t="inlineStr">
        <is>
          <t>ED207217</t>
        </is>
      </c>
      <c r="B7062" s="56" t="n">
        <v>45713.68472222222</v>
      </c>
      <c r="C7062" t="inlineStr">
        <is>
          <t>Bluestone Memorial Hospital</t>
        </is>
      </c>
      <c r="D7062" t="n">
        <v>76</v>
      </c>
    </row>
    <row r="7063">
      <c r="A7063" t="inlineStr">
        <is>
          <t>ED207218</t>
        </is>
      </c>
      <c r="B7063" s="56" t="n">
        <v>45713.69444444445</v>
      </c>
      <c r="C7063" t="inlineStr">
        <is>
          <t>Bluestone Memorial Hospital</t>
        </is>
      </c>
      <c r="D7063" t="n">
        <v>16</v>
      </c>
    </row>
    <row r="7064">
      <c r="A7064" t="inlineStr">
        <is>
          <t>ED207219</t>
        </is>
      </c>
      <c r="B7064" s="56" t="n">
        <v>45713.7875</v>
      </c>
      <c r="C7064" t="inlineStr">
        <is>
          <t>Cedar Ridge Medical Center</t>
        </is>
      </c>
      <c r="D7064" t="n">
        <v>49</v>
      </c>
    </row>
    <row r="7065">
      <c r="A7065" t="inlineStr">
        <is>
          <t>ED207220</t>
        </is>
      </c>
      <c r="B7065" s="56" t="n">
        <v>45713.82083333333</v>
      </c>
      <c r="C7065" t="inlineStr">
        <is>
          <t>Ashby Falls Community Hospital</t>
        </is>
      </c>
      <c r="D7065" t="n">
        <v>17</v>
      </c>
    </row>
    <row r="7066">
      <c r="A7066" t="inlineStr">
        <is>
          <t>ED207221</t>
        </is>
      </c>
      <c r="B7066" s="56" t="n">
        <v>45713.82152777778</v>
      </c>
      <c r="C7066" t="inlineStr">
        <is>
          <t>Bluestone Memorial Hospital</t>
        </is>
      </c>
      <c r="D7066" t="n">
        <v>66</v>
      </c>
    </row>
    <row r="7067">
      <c r="A7067" t="inlineStr">
        <is>
          <t>ED207222</t>
        </is>
      </c>
      <c r="B7067" s="56" t="n">
        <v>45713.825</v>
      </c>
      <c r="C7067" t="inlineStr">
        <is>
          <t>Bluestone Memorial Hospital</t>
        </is>
      </c>
      <c r="D7067" t="n">
        <v>24</v>
      </c>
    </row>
    <row r="7068">
      <c r="A7068" t="inlineStr">
        <is>
          <t>ED207223</t>
        </is>
      </c>
      <c r="B7068" s="56" t="n">
        <v>45713.83125</v>
      </c>
      <c r="C7068" t="inlineStr">
        <is>
          <t>Bluestone Memorial Hospital</t>
        </is>
      </c>
      <c r="D7068" t="n">
        <v>22</v>
      </c>
    </row>
    <row r="7069">
      <c r="A7069" t="inlineStr">
        <is>
          <t>ED207224</t>
        </is>
      </c>
      <c r="B7069" s="56" t="n">
        <v>45713.83958333333</v>
      </c>
      <c r="C7069" t="inlineStr">
        <is>
          <t>Cedar Ridge Medical Center</t>
        </is>
      </c>
      <c r="D7069" t="n">
        <v>25</v>
      </c>
    </row>
    <row r="7070">
      <c r="A7070" t="inlineStr">
        <is>
          <t>ED207225</t>
        </is>
      </c>
      <c r="B7070" s="56" t="n">
        <v>45713.85763888889</v>
      </c>
      <c r="C7070" t="inlineStr">
        <is>
          <t>Cedar Ridge Medical Center</t>
        </is>
      </c>
      <c r="D7070" t="n">
        <v>32</v>
      </c>
    </row>
    <row r="7071">
      <c r="A7071" t="inlineStr">
        <is>
          <t>ED207226</t>
        </is>
      </c>
      <c r="B7071" s="56" t="n">
        <v>45713.86041666667</v>
      </c>
      <c r="C7071" t="inlineStr">
        <is>
          <t>Cedar Ridge Medical Center</t>
        </is>
      </c>
      <c r="D7071" t="n">
        <v>103</v>
      </c>
    </row>
    <row r="7072">
      <c r="A7072" t="inlineStr">
        <is>
          <t>ED207227</t>
        </is>
      </c>
      <c r="B7072" s="56" t="n">
        <v>45713.93611111111</v>
      </c>
      <c r="C7072" t="inlineStr">
        <is>
          <t>Cedar Ridge Medical Center</t>
        </is>
      </c>
      <c r="D7072" t="n">
        <v>23</v>
      </c>
    </row>
    <row r="7073">
      <c r="A7073" t="inlineStr">
        <is>
          <t>ED207228</t>
        </is>
      </c>
      <c r="B7073" s="56" t="n">
        <v>45713.94583333333</v>
      </c>
      <c r="C7073" t="inlineStr">
        <is>
          <t>Bluestone Memorial Hospital</t>
        </is>
      </c>
      <c r="D7073" t="n">
        <v>68</v>
      </c>
    </row>
    <row r="7074">
      <c r="A7074" t="inlineStr">
        <is>
          <t>ED207229</t>
        </is>
      </c>
      <c r="B7074" s="56" t="n">
        <v>45713.95902777778</v>
      </c>
      <c r="C7074" t="inlineStr">
        <is>
          <t>Bluestone Memorial Hospital</t>
        </is>
      </c>
      <c r="D7074" t="n">
        <v>43</v>
      </c>
    </row>
    <row r="7075">
      <c r="A7075" t="inlineStr">
        <is>
          <t>ED207230</t>
        </is>
      </c>
      <c r="B7075" s="56" t="n">
        <v>45714.01041666666</v>
      </c>
      <c r="C7075" t="inlineStr">
        <is>
          <t>Cedar Ridge Medical Center</t>
        </is>
      </c>
      <c r="D7075" t="n">
        <v>42</v>
      </c>
    </row>
    <row r="7076">
      <c r="A7076" t="inlineStr">
        <is>
          <t>ED207231</t>
        </is>
      </c>
      <c r="B7076" s="56" t="n">
        <v>45714.03611111111</v>
      </c>
      <c r="C7076" t="inlineStr">
        <is>
          <t>Bluestone Memorial Hospital</t>
        </is>
      </c>
      <c r="D7076" t="n">
        <v>57</v>
      </c>
    </row>
    <row r="7077">
      <c r="A7077" t="inlineStr">
        <is>
          <t>ED207232</t>
        </is>
      </c>
      <c r="B7077" s="56" t="n">
        <v>45714.13541666666</v>
      </c>
      <c r="C7077" t="inlineStr">
        <is>
          <t>Bluestone Memorial Hospital</t>
        </is>
      </c>
      <c r="D7077" t="n">
        <v>10</v>
      </c>
    </row>
    <row r="7078">
      <c r="A7078" t="inlineStr">
        <is>
          <t>ED207233</t>
        </is>
      </c>
      <c r="B7078" s="56" t="n">
        <v>45714.21111111111</v>
      </c>
      <c r="C7078" t="inlineStr">
        <is>
          <t>Bluestone Memorial Hospital</t>
        </is>
      </c>
      <c r="D7078" t="n">
        <v>12</v>
      </c>
    </row>
    <row r="7079">
      <c r="A7079" t="inlineStr">
        <is>
          <t>ED207234</t>
        </is>
      </c>
      <c r="B7079" s="56" t="n">
        <v>45714.3125</v>
      </c>
      <c r="C7079" t="inlineStr">
        <is>
          <t>Bluestone Memorial Hospital</t>
        </is>
      </c>
      <c r="D7079" t="n">
        <v>20</v>
      </c>
    </row>
    <row r="7080">
      <c r="A7080" t="inlineStr">
        <is>
          <t>ED207235</t>
        </is>
      </c>
      <c r="B7080" s="56" t="n">
        <v>45714.36597222222</v>
      </c>
      <c r="C7080" t="inlineStr">
        <is>
          <t>Bluestone Memorial Hospital</t>
        </is>
      </c>
      <c r="D7080" t="n">
        <v>101</v>
      </c>
    </row>
    <row r="7081">
      <c r="A7081" t="inlineStr">
        <is>
          <t>ED207236</t>
        </is>
      </c>
      <c r="B7081" s="56" t="n">
        <v>45714.375</v>
      </c>
      <c r="C7081" t="inlineStr">
        <is>
          <t>Bluestone Memorial Hospital</t>
        </is>
      </c>
      <c r="D7081" t="n">
        <v>26</v>
      </c>
    </row>
    <row r="7082">
      <c r="A7082" t="inlineStr">
        <is>
          <t>ED207237</t>
        </is>
      </c>
      <c r="B7082" s="56" t="n">
        <v>45714.41041666667</v>
      </c>
      <c r="C7082" t="inlineStr">
        <is>
          <t>Bluestone Memorial Hospital</t>
        </is>
      </c>
      <c r="D7082" t="n">
        <v>19</v>
      </c>
    </row>
    <row r="7083">
      <c r="A7083" t="inlineStr">
        <is>
          <t>ED207238</t>
        </is>
      </c>
      <c r="B7083" s="56" t="n">
        <v>45714.45208333333</v>
      </c>
      <c r="C7083" t="inlineStr">
        <is>
          <t>Bluestone Memorial Hospital</t>
        </is>
      </c>
      <c r="D7083" t="n">
        <v>2</v>
      </c>
    </row>
    <row r="7084">
      <c r="A7084" t="inlineStr">
        <is>
          <t>ED207239</t>
        </is>
      </c>
      <c r="B7084" s="56" t="n">
        <v>45714.62847222222</v>
      </c>
      <c r="C7084" t="inlineStr">
        <is>
          <t>Bluestone Memorial Hospital</t>
        </is>
      </c>
      <c r="D7084" t="n">
        <v>43</v>
      </c>
    </row>
    <row r="7085">
      <c r="A7085" t="inlineStr">
        <is>
          <t>ED207240</t>
        </is>
      </c>
      <c r="B7085" s="56" t="n">
        <v>45714.66736111111</v>
      </c>
      <c r="C7085" t="inlineStr">
        <is>
          <t>Bluestone Memorial Hospital</t>
        </is>
      </c>
      <c r="D7085" t="n">
        <v>26</v>
      </c>
    </row>
    <row r="7086">
      <c r="A7086" t="inlineStr">
        <is>
          <t>ED207241</t>
        </is>
      </c>
      <c r="B7086" s="56" t="n">
        <v>45714.68125</v>
      </c>
      <c r="C7086" t="inlineStr">
        <is>
          <t>Bluestone Memorial Hospital</t>
        </is>
      </c>
      <c r="D7086" t="n">
        <v>29</v>
      </c>
    </row>
    <row r="7087">
      <c r="A7087" t="inlineStr">
        <is>
          <t>ED207242</t>
        </is>
      </c>
      <c r="B7087" s="56" t="n">
        <v>45714.69930555556</v>
      </c>
      <c r="C7087" t="inlineStr">
        <is>
          <t>Bluestone Memorial Hospital</t>
        </is>
      </c>
      <c r="D7087" t="n">
        <v>48</v>
      </c>
    </row>
    <row r="7088">
      <c r="A7088" t="inlineStr">
        <is>
          <t>ED207243</t>
        </is>
      </c>
      <c r="B7088" s="56" t="n">
        <v>45714.75138888889</v>
      </c>
      <c r="C7088" t="inlineStr">
        <is>
          <t>Bluestone Memorial Hospital</t>
        </is>
      </c>
      <c r="D7088" t="n">
        <v>68</v>
      </c>
    </row>
    <row r="7089">
      <c r="A7089" t="inlineStr">
        <is>
          <t>ED207244</t>
        </is>
      </c>
      <c r="B7089" s="56" t="n">
        <v>45714.77986111111</v>
      </c>
      <c r="C7089" t="inlineStr">
        <is>
          <t>Cedar Ridge Medical Center</t>
        </is>
      </c>
      <c r="D7089" t="n">
        <v>86</v>
      </c>
    </row>
    <row r="7090">
      <c r="A7090" t="inlineStr">
        <is>
          <t>ED207245</t>
        </is>
      </c>
      <c r="B7090" s="56" t="n">
        <v>45714.79791666667</v>
      </c>
      <c r="C7090" t="inlineStr">
        <is>
          <t>Ashby Falls Community Hospital</t>
        </is>
      </c>
      <c r="D7090" t="n">
        <v>52</v>
      </c>
    </row>
    <row r="7091">
      <c r="A7091" t="inlineStr">
        <is>
          <t>ED207246</t>
        </is>
      </c>
      <c r="B7091" s="56" t="n">
        <v>45714.83402777778</v>
      </c>
      <c r="C7091" t="inlineStr">
        <is>
          <t>Ashby Falls Community Hospital</t>
        </is>
      </c>
      <c r="D7091" t="n">
        <v>90</v>
      </c>
    </row>
    <row r="7092">
      <c r="A7092" t="inlineStr">
        <is>
          <t>ED207247</t>
        </is>
      </c>
      <c r="B7092" s="56" t="n">
        <v>45714.84236111111</v>
      </c>
      <c r="C7092" t="inlineStr">
        <is>
          <t>Bluestone Memorial Hospital</t>
        </is>
      </c>
      <c r="D7092" t="n">
        <v>28</v>
      </c>
    </row>
    <row r="7093">
      <c r="A7093" t="inlineStr">
        <is>
          <t>ED207248</t>
        </is>
      </c>
      <c r="B7093" s="56" t="n">
        <v>45714.88194444445</v>
      </c>
      <c r="C7093" t="inlineStr">
        <is>
          <t>Cedar Ridge Medical Center</t>
        </is>
      </c>
      <c r="D7093" t="n">
        <v>73</v>
      </c>
    </row>
    <row r="7094">
      <c r="A7094" t="inlineStr">
        <is>
          <t>ED207249</t>
        </is>
      </c>
      <c r="B7094" s="56" t="n">
        <v>45714.89236111111</v>
      </c>
      <c r="C7094" t="inlineStr">
        <is>
          <t>Bluestone Memorial Hospital</t>
        </is>
      </c>
      <c r="D7094" t="n">
        <v>35</v>
      </c>
    </row>
    <row r="7095">
      <c r="A7095" t="inlineStr">
        <is>
          <t>ED207250</t>
        </is>
      </c>
      <c r="B7095" s="56" t="n">
        <v>45714.92986111111</v>
      </c>
      <c r="C7095" t="inlineStr">
        <is>
          <t>Bluestone Memorial Hospital</t>
        </is>
      </c>
      <c r="D7095" t="n">
        <v>97</v>
      </c>
    </row>
    <row r="7096">
      <c r="A7096" t="inlineStr">
        <is>
          <t>ED207251</t>
        </is>
      </c>
      <c r="B7096" s="56" t="n">
        <v>45715.26319444444</v>
      </c>
      <c r="C7096" t="inlineStr">
        <is>
          <t>Ashby Falls Community Hospital</t>
        </is>
      </c>
      <c r="D7096" t="n">
        <v>25</v>
      </c>
    </row>
    <row r="7097">
      <c r="A7097" t="inlineStr">
        <is>
          <t>ED207252</t>
        </is>
      </c>
      <c r="B7097" s="56" t="n">
        <v>45715.29166666666</v>
      </c>
      <c r="C7097" t="inlineStr">
        <is>
          <t>Bluestone Memorial Hospital</t>
        </is>
      </c>
      <c r="D7097" t="n">
        <v>19</v>
      </c>
    </row>
    <row r="7098">
      <c r="A7098" t="inlineStr">
        <is>
          <t>ED207253</t>
        </is>
      </c>
      <c r="B7098" s="56" t="n">
        <v>45715.32430555556</v>
      </c>
      <c r="C7098" t="inlineStr">
        <is>
          <t>Bluestone Memorial Hospital</t>
        </is>
      </c>
      <c r="D7098" t="n">
        <v>15</v>
      </c>
    </row>
    <row r="7099">
      <c r="A7099" t="inlineStr">
        <is>
          <t>ED207254</t>
        </is>
      </c>
      <c r="B7099" s="56" t="n">
        <v>45715.36666666667</v>
      </c>
      <c r="C7099" t="inlineStr">
        <is>
          <t>Bluestone Memorial Hospital</t>
        </is>
      </c>
      <c r="D7099" t="n">
        <v>27</v>
      </c>
    </row>
    <row r="7100">
      <c r="A7100" t="inlineStr">
        <is>
          <t>ED207256</t>
        </is>
      </c>
      <c r="B7100" s="56" t="n">
        <v>45715.51180555556</v>
      </c>
      <c r="C7100" t="inlineStr">
        <is>
          <t>Ashby Falls Community Hospital</t>
        </is>
      </c>
      <c r="D7100" t="n">
        <v>63</v>
      </c>
    </row>
    <row r="7101">
      <c r="A7101" t="inlineStr">
        <is>
          <t>ED207257</t>
        </is>
      </c>
      <c r="B7101" s="56" t="n">
        <v>45715.52222222222</v>
      </c>
      <c r="C7101" t="inlineStr">
        <is>
          <t>Bluestone Memorial Hospital</t>
        </is>
      </c>
      <c r="D7101" t="n">
        <v>63</v>
      </c>
    </row>
    <row r="7102">
      <c r="A7102" t="inlineStr">
        <is>
          <t>ED207258</t>
        </is>
      </c>
      <c r="B7102" s="56" t="n">
        <v>45715.57847222222</v>
      </c>
      <c r="C7102" t="inlineStr">
        <is>
          <t>Bluestone Memorial Hospital</t>
        </is>
      </c>
      <c r="D7102" t="n">
        <v>234</v>
      </c>
    </row>
    <row r="7103">
      <c r="A7103" t="inlineStr">
        <is>
          <t>ED207259</t>
        </is>
      </c>
      <c r="B7103" s="56" t="n">
        <v>45715.62638888889</v>
      </c>
      <c r="C7103" t="inlineStr">
        <is>
          <t>Bluestone Memorial Hospital</t>
        </is>
      </c>
      <c r="D7103" t="n">
        <v>29</v>
      </c>
    </row>
    <row r="7104">
      <c r="A7104" t="inlineStr">
        <is>
          <t>ED207260</t>
        </is>
      </c>
      <c r="B7104" s="56" t="n">
        <v>45715.63402777778</v>
      </c>
      <c r="C7104" t="inlineStr">
        <is>
          <t>Bluestone Memorial Hospital</t>
        </is>
      </c>
      <c r="D7104" t="n">
        <v>49</v>
      </c>
    </row>
    <row r="7105">
      <c r="A7105" t="inlineStr">
        <is>
          <t>ED207261</t>
        </is>
      </c>
      <c r="B7105" s="56" t="n">
        <v>45715.66388888889</v>
      </c>
      <c r="C7105" t="inlineStr">
        <is>
          <t>Ashby Falls Community Hospital</t>
        </is>
      </c>
      <c r="D7105" t="n">
        <v>37</v>
      </c>
    </row>
    <row r="7106">
      <c r="A7106" t="inlineStr">
        <is>
          <t>ED207262</t>
        </is>
      </c>
      <c r="B7106" s="56" t="n">
        <v>45715.70416666667</v>
      </c>
      <c r="C7106" t="inlineStr">
        <is>
          <t>Bluestone Memorial Hospital</t>
        </is>
      </c>
      <c r="D7106" t="n">
        <v>92</v>
      </c>
    </row>
    <row r="7107">
      <c r="A7107" t="inlineStr">
        <is>
          <t>ED207263</t>
        </is>
      </c>
      <c r="B7107" s="56" t="n">
        <v>45715.70625</v>
      </c>
      <c r="C7107" t="inlineStr">
        <is>
          <t>Bluestone Memorial Hospital</t>
        </is>
      </c>
      <c r="D7107" t="n">
        <v>137</v>
      </c>
    </row>
    <row r="7108">
      <c r="A7108" t="inlineStr">
        <is>
          <t>ED207264</t>
        </is>
      </c>
      <c r="B7108" s="56" t="n">
        <v>45715.74027777778</v>
      </c>
      <c r="C7108" t="inlineStr">
        <is>
          <t>Bluestone Memorial Hospital</t>
        </is>
      </c>
      <c r="D7108" t="n">
        <v>94</v>
      </c>
    </row>
    <row r="7109">
      <c r="A7109" t="inlineStr">
        <is>
          <t>ED207265</t>
        </is>
      </c>
      <c r="B7109" s="56" t="n">
        <v>45715.78472222222</v>
      </c>
      <c r="C7109" t="inlineStr">
        <is>
          <t>Ashby Falls Community Hospital</t>
        </is>
      </c>
      <c r="D7109" t="n">
        <v>70</v>
      </c>
    </row>
    <row r="7110">
      <c r="A7110" t="inlineStr">
        <is>
          <t>ED207266</t>
        </is>
      </c>
      <c r="B7110" s="56" t="n">
        <v>45715.81805555556</v>
      </c>
      <c r="C7110" t="inlineStr">
        <is>
          <t>Bluestone Memorial Hospital</t>
        </is>
      </c>
      <c r="D7110" t="n">
        <v>18</v>
      </c>
    </row>
    <row r="7111">
      <c r="A7111" t="inlineStr">
        <is>
          <t>ED207267</t>
        </is>
      </c>
      <c r="B7111" s="56" t="n">
        <v>45715.89791666667</v>
      </c>
      <c r="C7111" t="inlineStr">
        <is>
          <t>Bluestone Memorial Hospital</t>
        </is>
      </c>
      <c r="D7111" t="n">
        <v>25</v>
      </c>
    </row>
    <row r="7112">
      <c r="A7112" t="inlineStr">
        <is>
          <t>ED207268</t>
        </is>
      </c>
      <c r="B7112" s="56" t="n">
        <v>45716.01458333333</v>
      </c>
      <c r="C7112" t="inlineStr">
        <is>
          <t>Bluestone Memorial Hospital</t>
        </is>
      </c>
      <c r="D7112" t="n">
        <v>28</v>
      </c>
    </row>
    <row r="7113">
      <c r="A7113" t="inlineStr">
        <is>
          <t>ED207269</t>
        </is>
      </c>
      <c r="B7113" s="56" t="n">
        <v>45716.32638888889</v>
      </c>
      <c r="C7113" t="inlineStr">
        <is>
          <t>Bluestone Memorial Hospital</t>
        </is>
      </c>
      <c r="D7113" t="n">
        <v>36</v>
      </c>
    </row>
    <row r="7114">
      <c r="A7114" t="inlineStr">
        <is>
          <t>ED207270</t>
        </is>
      </c>
      <c r="B7114" s="56" t="n">
        <v>45716.61805555555</v>
      </c>
      <c r="C7114" t="inlineStr">
        <is>
          <t>Bluestone Memorial Hospital</t>
        </is>
      </c>
      <c r="D7114" t="n">
        <v>8</v>
      </c>
    </row>
    <row r="7115">
      <c r="A7115" t="inlineStr">
        <is>
          <t>ED207271</t>
        </is>
      </c>
      <c r="B7115" s="56" t="n">
        <v>45716.62986111111</v>
      </c>
      <c r="C7115" t="inlineStr">
        <is>
          <t>Bluestone Memorial Hospital</t>
        </is>
      </c>
      <c r="D7115" t="n">
        <v>75</v>
      </c>
    </row>
    <row r="7116">
      <c r="A7116" t="inlineStr">
        <is>
          <t>ED207272</t>
        </is>
      </c>
      <c r="B7116" s="56" t="n">
        <v>45716.65902777778</v>
      </c>
      <c r="C7116" t="inlineStr">
        <is>
          <t>Bluestone Memorial Hospital</t>
        </is>
      </c>
      <c r="D7116" t="n">
        <v>47</v>
      </c>
    </row>
    <row r="7117">
      <c r="A7117" t="inlineStr">
        <is>
          <t>ED207273</t>
        </is>
      </c>
      <c r="B7117" s="56" t="n">
        <v>45716.66527777778</v>
      </c>
      <c r="C7117" t="inlineStr">
        <is>
          <t>Bluestone Memorial Hospital</t>
        </is>
      </c>
      <c r="D7117" t="n">
        <v>38</v>
      </c>
    </row>
    <row r="7118">
      <c r="A7118" t="inlineStr">
        <is>
          <t>ED207274</t>
        </is>
      </c>
      <c r="B7118" s="56" t="n">
        <v>45716.66736111111</v>
      </c>
      <c r="C7118" t="inlineStr">
        <is>
          <t>Bluestone Memorial Hospital</t>
        </is>
      </c>
      <c r="D7118" t="n">
        <v>49</v>
      </c>
    </row>
    <row r="7119">
      <c r="A7119" t="inlineStr">
        <is>
          <t>ED207275</t>
        </is>
      </c>
      <c r="B7119" s="56" t="n">
        <v>45716.70486111111</v>
      </c>
      <c r="C7119" t="inlineStr">
        <is>
          <t>Bluestone Memorial Hospital</t>
        </is>
      </c>
      <c r="D7119" t="n">
        <v>49</v>
      </c>
    </row>
    <row r="7120">
      <c r="A7120" t="inlineStr">
        <is>
          <t>ED207276</t>
        </is>
      </c>
      <c r="B7120" s="56" t="n">
        <v>45716.72013888889</v>
      </c>
      <c r="C7120" t="inlineStr">
        <is>
          <t>Bluestone Memorial Hospital</t>
        </is>
      </c>
      <c r="D7120" t="n">
        <v>169</v>
      </c>
    </row>
    <row r="7121">
      <c r="A7121" t="inlineStr">
        <is>
          <t>ED207277</t>
        </is>
      </c>
      <c r="B7121" s="56" t="n">
        <v>45716.82361111111</v>
      </c>
      <c r="C7121" t="inlineStr">
        <is>
          <t>Bluestone Memorial Hospital</t>
        </is>
      </c>
      <c r="D7121" t="n">
        <v>84</v>
      </c>
    </row>
    <row r="7122">
      <c r="A7122" t="inlineStr">
        <is>
          <t>ED207278</t>
        </is>
      </c>
      <c r="B7122" s="56" t="n">
        <v>45716.89791666667</v>
      </c>
      <c r="C7122" t="inlineStr">
        <is>
          <t>Bluestone Memorial Hospital</t>
        </is>
      </c>
      <c r="D7122" t="n">
        <v>50</v>
      </c>
    </row>
    <row r="7123">
      <c r="A7123" t="inlineStr">
        <is>
          <t>ED207279</t>
        </is>
      </c>
      <c r="B7123" s="56" t="n">
        <v>45717.15138888889</v>
      </c>
      <c r="C7123" t="inlineStr">
        <is>
          <t>Cedar Ridge Medical Center</t>
        </is>
      </c>
      <c r="D7123" t="n">
        <v>2</v>
      </c>
    </row>
    <row r="7124">
      <c r="A7124" t="inlineStr">
        <is>
          <t>ED207280</t>
        </is>
      </c>
      <c r="B7124" s="56" t="n">
        <v>45717.27013888889</v>
      </c>
      <c r="C7124" t="inlineStr">
        <is>
          <t>Bluestone Memorial Hospital</t>
        </is>
      </c>
      <c r="D7124" t="n">
        <v>17</v>
      </c>
    </row>
    <row r="7125">
      <c r="A7125" t="inlineStr">
        <is>
          <t>ED207281</t>
        </is>
      </c>
      <c r="B7125" s="56" t="n">
        <v>45717.3875</v>
      </c>
      <c r="C7125" t="inlineStr">
        <is>
          <t>Bluestone Memorial Hospital</t>
        </is>
      </c>
      <c r="D7125" t="n">
        <v>3</v>
      </c>
    </row>
    <row r="7126">
      <c r="A7126" t="inlineStr">
        <is>
          <t>ED207282</t>
        </is>
      </c>
      <c r="B7126" s="56" t="n">
        <v>45717.52986111111</v>
      </c>
      <c r="C7126" t="inlineStr">
        <is>
          <t>Cedar Ridge Medical Center</t>
        </is>
      </c>
      <c r="D7126" t="n">
        <v>102</v>
      </c>
    </row>
    <row r="7127">
      <c r="A7127" t="inlineStr">
        <is>
          <t>ED207283</t>
        </is>
      </c>
      <c r="B7127" s="56" t="n">
        <v>45717.53194444445</v>
      </c>
      <c r="C7127" t="inlineStr">
        <is>
          <t>Ashby Falls Community Hospital</t>
        </is>
      </c>
      <c r="D7127" t="n">
        <v>74</v>
      </c>
    </row>
    <row r="7128">
      <c r="A7128" t="inlineStr">
        <is>
          <t>ED207284</t>
        </is>
      </c>
      <c r="B7128" s="56" t="n">
        <v>45717.56944444445</v>
      </c>
      <c r="C7128" t="inlineStr">
        <is>
          <t>Ashby Falls Community Hospital</t>
        </is>
      </c>
      <c r="D7128" t="n">
        <v>113</v>
      </c>
    </row>
    <row r="7129">
      <c r="A7129" t="inlineStr">
        <is>
          <t>ED207285</t>
        </is>
      </c>
      <c r="B7129" s="56" t="n">
        <v>45717.59583333333</v>
      </c>
      <c r="C7129" t="inlineStr">
        <is>
          <t>Ashby Falls Community Hospital</t>
        </is>
      </c>
      <c r="D7129" t="n">
        <v>44</v>
      </c>
    </row>
    <row r="7130">
      <c r="A7130" t="inlineStr">
        <is>
          <t>ED207286</t>
        </is>
      </c>
      <c r="B7130" s="56" t="n">
        <v>45717.63263888889</v>
      </c>
      <c r="C7130" t="inlineStr">
        <is>
          <t>Bluestone Memorial Hospital</t>
        </is>
      </c>
      <c r="D7130" t="n">
        <v>46</v>
      </c>
    </row>
    <row r="7131">
      <c r="A7131" t="inlineStr">
        <is>
          <t>ED207287</t>
        </is>
      </c>
      <c r="B7131" s="56" t="n">
        <v>45717.63611111111</v>
      </c>
      <c r="C7131" t="inlineStr">
        <is>
          <t>Cedar Ridge Medical Center</t>
        </is>
      </c>
      <c r="D7131" t="n">
        <v>104</v>
      </c>
    </row>
    <row r="7132">
      <c r="A7132" t="inlineStr">
        <is>
          <t>ED207288</t>
        </is>
      </c>
      <c r="B7132" s="56" t="n">
        <v>45717.69583333333</v>
      </c>
      <c r="C7132" t="inlineStr">
        <is>
          <t>Bluestone Memorial Hospital</t>
        </is>
      </c>
      <c r="D7132" t="n">
        <v>21</v>
      </c>
    </row>
    <row r="7133">
      <c r="A7133" t="inlineStr">
        <is>
          <t>ED207289</t>
        </is>
      </c>
      <c r="B7133" s="56" t="n">
        <v>45717.79791666667</v>
      </c>
      <c r="C7133" t="inlineStr">
        <is>
          <t>Cedar Ridge Medical Center</t>
        </is>
      </c>
      <c r="D7133" t="n">
        <v>35</v>
      </c>
    </row>
    <row r="7134">
      <c r="A7134" t="inlineStr">
        <is>
          <t>ED207290</t>
        </is>
      </c>
      <c r="B7134" s="56" t="n">
        <v>45717.80763888889</v>
      </c>
      <c r="C7134" t="inlineStr">
        <is>
          <t>Bluestone Memorial Hospital</t>
        </is>
      </c>
      <c r="D7134" t="n">
        <v>155</v>
      </c>
    </row>
    <row r="7135">
      <c r="A7135" t="inlineStr">
        <is>
          <t>ED207291</t>
        </is>
      </c>
      <c r="B7135" s="56" t="n">
        <v>45717.86597222222</v>
      </c>
      <c r="C7135" t="inlineStr">
        <is>
          <t>Bluestone Memorial Hospital</t>
        </is>
      </c>
      <c r="D7135" t="n">
        <v>29</v>
      </c>
    </row>
    <row r="7136">
      <c r="A7136" t="inlineStr">
        <is>
          <t>ED207292</t>
        </is>
      </c>
      <c r="B7136" s="56" t="n">
        <v>45717.87083333333</v>
      </c>
      <c r="C7136" t="inlineStr">
        <is>
          <t>Bluestone Memorial Hospital</t>
        </is>
      </c>
      <c r="D7136" t="n">
        <v>54</v>
      </c>
    </row>
    <row r="7137">
      <c r="A7137" t="inlineStr">
        <is>
          <t>ED207293</t>
        </is>
      </c>
      <c r="B7137" s="56" t="n">
        <v>45717.89513888889</v>
      </c>
      <c r="C7137" t="inlineStr">
        <is>
          <t>Bluestone Memorial Hospital</t>
        </is>
      </c>
      <c r="D7137" t="n">
        <v>7</v>
      </c>
    </row>
    <row r="7138">
      <c r="A7138" t="inlineStr">
        <is>
          <t>ED207294</t>
        </is>
      </c>
      <c r="B7138" s="56" t="n">
        <v>45717.95069444444</v>
      </c>
      <c r="C7138" t="inlineStr">
        <is>
          <t>Bluestone Memorial Hospital</t>
        </is>
      </c>
      <c r="D7138" t="n">
        <v>148</v>
      </c>
    </row>
    <row r="7139">
      <c r="A7139" t="inlineStr">
        <is>
          <t>ED207295</t>
        </is>
      </c>
      <c r="B7139" s="56" t="n">
        <v>45717.97777777778</v>
      </c>
      <c r="C7139" t="inlineStr">
        <is>
          <t>Bluestone Memorial Hospital</t>
        </is>
      </c>
      <c r="D7139" t="n">
        <v>36</v>
      </c>
    </row>
    <row r="7140">
      <c r="A7140" t="inlineStr">
        <is>
          <t>ED207296</t>
        </is>
      </c>
      <c r="B7140" s="56" t="n">
        <v>45718.15347222222</v>
      </c>
      <c r="C7140" t="inlineStr">
        <is>
          <t>Cedar Ridge Medical Center</t>
        </is>
      </c>
      <c r="D7140" t="n">
        <v>17</v>
      </c>
    </row>
    <row r="7141">
      <c r="A7141" t="inlineStr">
        <is>
          <t>ED207297</t>
        </is>
      </c>
      <c r="B7141" s="56" t="n">
        <v>45718.32152777778</v>
      </c>
      <c r="C7141" t="inlineStr">
        <is>
          <t>Bluestone Memorial Hospital</t>
        </is>
      </c>
      <c r="D7141" t="n">
        <v>26</v>
      </c>
    </row>
    <row r="7142">
      <c r="A7142" t="inlineStr">
        <is>
          <t>ED207298</t>
        </is>
      </c>
      <c r="B7142" s="56" t="n">
        <v>45718.35833333333</v>
      </c>
      <c r="C7142" t="inlineStr">
        <is>
          <t>Cedar Ridge Medical Center</t>
        </is>
      </c>
      <c r="D7142" t="n">
        <v>14</v>
      </c>
    </row>
    <row r="7143">
      <c r="A7143" t="inlineStr">
        <is>
          <t>ED207299</t>
        </is>
      </c>
      <c r="B7143" s="56" t="n">
        <v>45718.47916666666</v>
      </c>
      <c r="C7143" t="inlineStr">
        <is>
          <t>Bluestone Memorial Hospital</t>
        </is>
      </c>
      <c r="D7143" t="n">
        <v>64</v>
      </c>
    </row>
    <row r="7144">
      <c r="A7144" t="inlineStr">
        <is>
          <t>ED207300</t>
        </is>
      </c>
      <c r="B7144" s="56" t="n">
        <v>45718.48680555556</v>
      </c>
      <c r="C7144" t="inlineStr">
        <is>
          <t>Cedar Ridge Medical Center</t>
        </is>
      </c>
      <c r="D7144" t="n">
        <v>60</v>
      </c>
    </row>
    <row r="7145">
      <c r="A7145" t="inlineStr">
        <is>
          <t>ED207301</t>
        </is>
      </c>
      <c r="B7145" s="56" t="n">
        <v>45718.49097222222</v>
      </c>
      <c r="C7145" t="inlineStr">
        <is>
          <t>Bluestone Memorial Hospital</t>
        </is>
      </c>
      <c r="D7145" t="n">
        <v>51</v>
      </c>
    </row>
    <row r="7146">
      <c r="A7146" t="inlineStr">
        <is>
          <t>ED207302</t>
        </is>
      </c>
      <c r="B7146" s="56" t="n">
        <v>45718.625</v>
      </c>
      <c r="C7146" t="inlineStr">
        <is>
          <t>Bluestone Memorial Hospital</t>
        </is>
      </c>
      <c r="D7146" t="n">
        <v>100</v>
      </c>
    </row>
    <row r="7147">
      <c r="A7147" t="inlineStr">
        <is>
          <t>ED207303</t>
        </is>
      </c>
      <c r="B7147" s="56" t="n">
        <v>45718.62986111111</v>
      </c>
      <c r="C7147" t="inlineStr">
        <is>
          <t>Bluestone Memorial Hospital</t>
        </is>
      </c>
      <c r="D7147" t="n">
        <v>51</v>
      </c>
    </row>
    <row r="7148">
      <c r="A7148" t="inlineStr">
        <is>
          <t>ED207304</t>
        </is>
      </c>
      <c r="B7148" s="56" t="n">
        <v>45718.67152777778</v>
      </c>
      <c r="C7148" t="inlineStr">
        <is>
          <t>Bluestone Memorial Hospital</t>
        </is>
      </c>
      <c r="D7148" t="n">
        <v>30</v>
      </c>
    </row>
    <row r="7149">
      <c r="A7149" t="inlineStr">
        <is>
          <t>ED207305</t>
        </is>
      </c>
      <c r="B7149" s="56" t="n">
        <v>45718.70347222222</v>
      </c>
      <c r="C7149" t="inlineStr">
        <is>
          <t>Bluestone Memorial Hospital</t>
        </is>
      </c>
      <c r="D7149" t="n">
        <v>110</v>
      </c>
    </row>
    <row r="7150">
      <c r="A7150" t="inlineStr">
        <is>
          <t>ED207306</t>
        </is>
      </c>
      <c r="B7150" s="56" t="n">
        <v>45718.70694444444</v>
      </c>
      <c r="C7150" t="inlineStr">
        <is>
          <t>Bluestone Memorial Hospital</t>
        </is>
      </c>
      <c r="D7150" t="n">
        <v>29</v>
      </c>
    </row>
    <row r="7151">
      <c r="A7151" t="inlineStr">
        <is>
          <t>ED207307</t>
        </is>
      </c>
      <c r="B7151" s="56" t="n">
        <v>45718.76527777778</v>
      </c>
      <c r="C7151" t="inlineStr">
        <is>
          <t>Bluestone Memorial Hospital</t>
        </is>
      </c>
      <c r="D7151" t="n">
        <v>43</v>
      </c>
    </row>
    <row r="7152">
      <c r="A7152" t="inlineStr">
        <is>
          <t>ED207308</t>
        </is>
      </c>
      <c r="B7152" s="56" t="n">
        <v>45718.81944444445</v>
      </c>
      <c r="C7152" t="inlineStr">
        <is>
          <t>Bluestone Memorial Hospital</t>
        </is>
      </c>
      <c r="D7152" t="n">
        <v>55</v>
      </c>
    </row>
    <row r="7153">
      <c r="A7153" t="inlineStr">
        <is>
          <t>ED207309</t>
        </is>
      </c>
      <c r="B7153" s="56" t="n">
        <v>45718.82777777778</v>
      </c>
      <c r="C7153" t="inlineStr">
        <is>
          <t>Bluestone Memorial Hospital</t>
        </is>
      </c>
      <c r="D7153" t="n">
        <v>13</v>
      </c>
    </row>
    <row r="7154">
      <c r="A7154" t="inlineStr">
        <is>
          <t>ED207310</t>
        </is>
      </c>
      <c r="B7154" s="56" t="n">
        <v>45718.88263888889</v>
      </c>
      <c r="C7154" t="inlineStr">
        <is>
          <t>Bluestone Memorial Hospital</t>
        </is>
      </c>
      <c r="D7154" t="n">
        <v>17</v>
      </c>
    </row>
    <row r="7155">
      <c r="A7155" t="inlineStr">
        <is>
          <t>ED207311</t>
        </is>
      </c>
      <c r="B7155" s="56" t="n">
        <v>45718.94027777778</v>
      </c>
      <c r="C7155" t="inlineStr">
        <is>
          <t>Ashby Falls Community Hospital</t>
        </is>
      </c>
      <c r="D7155" t="n">
        <v>50</v>
      </c>
    </row>
    <row r="7156">
      <c r="A7156" t="inlineStr">
        <is>
          <t>ED207312</t>
        </is>
      </c>
      <c r="B7156" s="56" t="n">
        <v>45718.96597222222</v>
      </c>
      <c r="C7156" t="inlineStr">
        <is>
          <t>Bluestone Memorial Hospital</t>
        </is>
      </c>
      <c r="D7156" t="n">
        <v>44</v>
      </c>
    </row>
    <row r="7157">
      <c r="A7157" t="inlineStr">
        <is>
          <t>ED207313</t>
        </is>
      </c>
      <c r="B7157" s="56" t="n">
        <v>45719.01805555556</v>
      </c>
      <c r="C7157" t="inlineStr">
        <is>
          <t>Bluestone Memorial Hospital</t>
        </is>
      </c>
      <c r="D7157" t="n">
        <v>7</v>
      </c>
    </row>
    <row r="7158">
      <c r="A7158" t="inlineStr">
        <is>
          <t>ED207314</t>
        </is>
      </c>
      <c r="B7158" s="56" t="n">
        <v>45719.04444444444</v>
      </c>
      <c r="C7158" t="inlineStr">
        <is>
          <t>Cedar Ridge Medical Center</t>
        </is>
      </c>
      <c r="D7158" t="n">
        <v>50</v>
      </c>
    </row>
    <row r="7159">
      <c r="A7159" t="inlineStr">
        <is>
          <t>ED207315</t>
        </is>
      </c>
      <c r="B7159" s="56" t="n">
        <v>45719.3</v>
      </c>
      <c r="C7159" t="inlineStr">
        <is>
          <t>Bluestone Memorial Hospital</t>
        </is>
      </c>
      <c r="D7159" t="n">
        <v>62</v>
      </c>
    </row>
    <row r="7160">
      <c r="A7160" t="inlineStr">
        <is>
          <t>ED207316</t>
        </is>
      </c>
      <c r="B7160" s="56" t="n">
        <v>45719.30763888889</v>
      </c>
      <c r="C7160" t="inlineStr">
        <is>
          <t>Ashby Falls Community Hospital</t>
        </is>
      </c>
      <c r="D7160" t="n">
        <v>29</v>
      </c>
    </row>
    <row r="7161">
      <c r="A7161" t="inlineStr">
        <is>
          <t>ED207317</t>
        </is>
      </c>
      <c r="B7161" s="56" t="n">
        <v>45719.31805555556</v>
      </c>
      <c r="C7161" t="inlineStr">
        <is>
          <t>Bluestone Memorial Hospital</t>
        </is>
      </c>
      <c r="D7161" t="n">
        <v>12</v>
      </c>
    </row>
    <row r="7162">
      <c r="A7162" t="inlineStr">
        <is>
          <t>ED207318</t>
        </is>
      </c>
      <c r="B7162" s="56" t="n">
        <v>45719.33680555555</v>
      </c>
      <c r="C7162" t="inlineStr">
        <is>
          <t>Bluestone Memorial Hospital</t>
        </is>
      </c>
      <c r="D7162" t="n">
        <v>51</v>
      </c>
    </row>
    <row r="7163">
      <c r="A7163" t="inlineStr">
        <is>
          <t>ED207319</t>
        </is>
      </c>
      <c r="B7163" s="56" t="n">
        <v>45719.42708333334</v>
      </c>
      <c r="C7163" t="inlineStr">
        <is>
          <t>Ashby Falls Community Hospital</t>
        </is>
      </c>
      <c r="D7163" t="n">
        <v>92</v>
      </c>
    </row>
    <row r="7164">
      <c r="A7164" t="inlineStr">
        <is>
          <t>ED207320</t>
        </is>
      </c>
      <c r="B7164" s="56" t="n">
        <v>45719.49722222222</v>
      </c>
      <c r="C7164" t="inlineStr">
        <is>
          <t>Ashby Falls Community Hospital</t>
        </is>
      </c>
      <c r="D7164" t="n">
        <v>74</v>
      </c>
    </row>
    <row r="7165">
      <c r="A7165" t="inlineStr">
        <is>
          <t>ED207321</t>
        </is>
      </c>
      <c r="B7165" s="56" t="n">
        <v>45719.54305555556</v>
      </c>
      <c r="C7165" t="inlineStr">
        <is>
          <t>Bluestone Memorial Hospital</t>
        </is>
      </c>
      <c r="D7165" t="n">
        <v>58</v>
      </c>
    </row>
    <row r="7166">
      <c r="A7166" t="inlineStr">
        <is>
          <t>ED207322</t>
        </is>
      </c>
      <c r="B7166" s="56" t="n">
        <v>45719.56458333333</v>
      </c>
      <c r="C7166" t="inlineStr">
        <is>
          <t>Bluestone Memorial Hospital</t>
        </is>
      </c>
      <c r="D7166" t="n">
        <v>33</v>
      </c>
    </row>
    <row r="7167">
      <c r="A7167" t="inlineStr">
        <is>
          <t>ED207323</t>
        </is>
      </c>
      <c r="B7167" s="56" t="n">
        <v>45719.61944444444</v>
      </c>
      <c r="C7167" t="inlineStr">
        <is>
          <t>Bluestone Memorial Hospital</t>
        </is>
      </c>
      <c r="D7167" t="n">
        <v>30</v>
      </c>
    </row>
    <row r="7168">
      <c r="A7168" t="inlineStr">
        <is>
          <t>ED207324</t>
        </is>
      </c>
      <c r="B7168" s="56" t="n">
        <v>45719.73958333334</v>
      </c>
      <c r="C7168" t="inlineStr">
        <is>
          <t>Cedar Ridge Medical Center</t>
        </is>
      </c>
      <c r="D7168" t="n">
        <v>65</v>
      </c>
    </row>
    <row r="7169">
      <c r="A7169" t="inlineStr">
        <is>
          <t>ED207325</t>
        </is>
      </c>
      <c r="B7169" s="56" t="n">
        <v>45719.74166666667</v>
      </c>
      <c r="C7169" t="inlineStr">
        <is>
          <t>Bluestone Memorial Hospital</t>
        </is>
      </c>
      <c r="D7169" t="n">
        <v>107</v>
      </c>
    </row>
    <row r="7170">
      <c r="A7170" t="inlineStr">
        <is>
          <t>ED207326</t>
        </is>
      </c>
      <c r="B7170" s="56" t="n">
        <v>45719.76388888889</v>
      </c>
      <c r="C7170" t="inlineStr">
        <is>
          <t>Bluestone Memorial Hospital</t>
        </is>
      </c>
      <c r="D7170" t="n">
        <v>75</v>
      </c>
    </row>
    <row r="7171">
      <c r="A7171" t="inlineStr">
        <is>
          <t>ED207327</t>
        </is>
      </c>
      <c r="B7171" s="56" t="n">
        <v>45719.81666666667</v>
      </c>
      <c r="C7171" t="inlineStr">
        <is>
          <t>Bluestone Memorial Hospital</t>
        </is>
      </c>
      <c r="D7171" t="n">
        <v>15</v>
      </c>
    </row>
    <row r="7172">
      <c r="A7172" t="inlineStr">
        <is>
          <t>ED207329</t>
        </is>
      </c>
      <c r="B7172" s="56" t="n">
        <v>45719.95694444444</v>
      </c>
      <c r="C7172" t="inlineStr">
        <is>
          <t>Ashby Falls Community Hospital</t>
        </is>
      </c>
      <c r="D7172" t="n">
        <v>20</v>
      </c>
    </row>
    <row r="7173">
      <c r="A7173" t="inlineStr">
        <is>
          <t>ED207330</t>
        </is>
      </c>
      <c r="B7173" s="56" t="n">
        <v>45720.07291666666</v>
      </c>
      <c r="C7173" t="inlineStr">
        <is>
          <t>Ashby Falls Community Hospital</t>
        </is>
      </c>
      <c r="D7173" t="n">
        <v>95</v>
      </c>
    </row>
    <row r="7174">
      <c r="A7174" t="inlineStr">
        <is>
          <t>ED207331</t>
        </is>
      </c>
      <c r="B7174" s="56" t="n">
        <v>45720.39861111111</v>
      </c>
      <c r="C7174" t="inlineStr">
        <is>
          <t>Bluestone Memorial Hospital</t>
        </is>
      </c>
      <c r="D7174" t="n">
        <v>41</v>
      </c>
    </row>
    <row r="7175">
      <c r="A7175" t="inlineStr">
        <is>
          <t>ED207332</t>
        </is>
      </c>
      <c r="B7175" s="56" t="n">
        <v>45720.44444444445</v>
      </c>
      <c r="C7175" t="inlineStr">
        <is>
          <t>Bluestone Memorial Hospital</t>
        </is>
      </c>
      <c r="D7175" t="n">
        <v>79</v>
      </c>
    </row>
    <row r="7176">
      <c r="A7176" t="inlineStr">
        <is>
          <t>ED207333</t>
        </is>
      </c>
      <c r="B7176" s="56" t="n">
        <v>45720.45208333333</v>
      </c>
      <c r="C7176" t="inlineStr">
        <is>
          <t>Bluestone Memorial Hospital</t>
        </is>
      </c>
      <c r="D7176" t="n">
        <v>50</v>
      </c>
    </row>
    <row r="7177">
      <c r="A7177" t="inlineStr">
        <is>
          <t>ED207334</t>
        </is>
      </c>
      <c r="B7177" s="56" t="n">
        <v>45720.46597222222</v>
      </c>
      <c r="C7177" t="inlineStr">
        <is>
          <t>Bluestone Memorial Hospital</t>
        </is>
      </c>
      <c r="D7177" t="n">
        <v>50</v>
      </c>
    </row>
    <row r="7178">
      <c r="A7178" t="inlineStr">
        <is>
          <t>ED207335</t>
        </is>
      </c>
      <c r="B7178" s="56" t="n">
        <v>45720.48333333333</v>
      </c>
      <c r="C7178" t="inlineStr">
        <is>
          <t>Cedar Ridge Medical Center</t>
        </is>
      </c>
      <c r="D7178" t="n">
        <v>35</v>
      </c>
    </row>
    <row r="7179">
      <c r="A7179" t="inlineStr">
        <is>
          <t>ED207336</t>
        </is>
      </c>
      <c r="B7179" s="56" t="n">
        <v>45720.59166666667</v>
      </c>
      <c r="C7179" t="inlineStr">
        <is>
          <t>Bluestone Memorial Hospital</t>
        </is>
      </c>
      <c r="D7179" t="n">
        <v>59</v>
      </c>
    </row>
    <row r="7180">
      <c r="A7180" t="inlineStr">
        <is>
          <t>ED207337</t>
        </is>
      </c>
      <c r="B7180" s="56" t="n">
        <v>45720.59166666667</v>
      </c>
      <c r="C7180" t="inlineStr">
        <is>
          <t>Cedar Ridge Medical Center</t>
        </is>
      </c>
      <c r="D7180" t="n">
        <v>78</v>
      </c>
    </row>
    <row r="7181">
      <c r="A7181" t="inlineStr">
        <is>
          <t>ED207338</t>
        </is>
      </c>
      <c r="B7181" s="56" t="n">
        <v>45720.68472222222</v>
      </c>
      <c r="C7181" t="inlineStr">
        <is>
          <t>Bluestone Memorial Hospital</t>
        </is>
      </c>
      <c r="D7181" t="n">
        <v>7</v>
      </c>
    </row>
    <row r="7182">
      <c r="A7182" t="inlineStr">
        <is>
          <t>ED207339</t>
        </is>
      </c>
      <c r="B7182" s="56" t="n">
        <v>45720.71180555555</v>
      </c>
      <c r="C7182" t="inlineStr">
        <is>
          <t>Cedar Ridge Medical Center</t>
        </is>
      </c>
      <c r="D7182" t="n">
        <v>48</v>
      </c>
    </row>
    <row r="7183">
      <c r="A7183" t="inlineStr">
        <is>
          <t>ED207340</t>
        </is>
      </c>
      <c r="B7183" s="56" t="n">
        <v>45720.76666666667</v>
      </c>
      <c r="C7183" t="inlineStr">
        <is>
          <t>Cedar Ridge Medical Center</t>
        </is>
      </c>
      <c r="D7183" t="n">
        <v>73</v>
      </c>
    </row>
    <row r="7184">
      <c r="A7184" t="inlineStr">
        <is>
          <t>ED207341</t>
        </is>
      </c>
      <c r="B7184" s="56" t="n">
        <v>45720.77847222222</v>
      </c>
      <c r="C7184" t="inlineStr">
        <is>
          <t>Bluestone Memorial Hospital</t>
        </is>
      </c>
      <c r="D7184" t="n">
        <v>5</v>
      </c>
    </row>
    <row r="7185">
      <c r="A7185" t="inlineStr">
        <is>
          <t>ED207342</t>
        </is>
      </c>
      <c r="B7185" s="56" t="n">
        <v>45720.81944444445</v>
      </c>
      <c r="C7185" t="inlineStr">
        <is>
          <t>Cedar Ridge Medical Center</t>
        </is>
      </c>
      <c r="D7185" t="n">
        <v>37</v>
      </c>
    </row>
    <row r="7186">
      <c r="A7186" t="inlineStr">
        <is>
          <t>ED207343</t>
        </is>
      </c>
      <c r="B7186" s="56" t="n">
        <v>45721.02291666667</v>
      </c>
      <c r="C7186" t="inlineStr">
        <is>
          <t>Cedar Ridge Medical Center</t>
        </is>
      </c>
      <c r="D7186" t="n">
        <v>65</v>
      </c>
    </row>
    <row r="7187">
      <c r="A7187" t="inlineStr">
        <is>
          <t>ED207344</t>
        </is>
      </c>
      <c r="B7187" s="56" t="n">
        <v>45721.32291666666</v>
      </c>
      <c r="C7187" t="inlineStr">
        <is>
          <t>Bluestone Memorial Hospital</t>
        </is>
      </c>
      <c r="D7187" t="n">
        <v>18</v>
      </c>
    </row>
    <row r="7188">
      <c r="A7188" t="inlineStr">
        <is>
          <t>ED207345</t>
        </is>
      </c>
      <c r="B7188" s="56" t="n">
        <v>45721.34513888889</v>
      </c>
      <c r="C7188" t="inlineStr">
        <is>
          <t>Ashby Falls Community Hospital</t>
        </is>
      </c>
      <c r="D7188" t="n">
        <v>12</v>
      </c>
    </row>
    <row r="7189">
      <c r="A7189" t="inlineStr">
        <is>
          <t>ED207346</t>
        </is>
      </c>
      <c r="B7189" s="56" t="n">
        <v>45721.38055555556</v>
      </c>
      <c r="C7189" t="inlineStr">
        <is>
          <t>Ashby Falls Community Hospital</t>
        </is>
      </c>
      <c r="D7189" t="n">
        <v>149</v>
      </c>
    </row>
    <row r="7190">
      <c r="A7190" t="inlineStr">
        <is>
          <t>ED207347</t>
        </is>
      </c>
      <c r="B7190" s="56" t="n">
        <v>45721.39583333334</v>
      </c>
      <c r="C7190" t="inlineStr">
        <is>
          <t>Bluestone Memorial Hospital</t>
        </is>
      </c>
      <c r="D7190" t="n">
        <v>37</v>
      </c>
    </row>
    <row r="7191">
      <c r="A7191" t="inlineStr">
        <is>
          <t>ED207348</t>
        </is>
      </c>
      <c r="B7191" s="56" t="n">
        <v>45721.48680555556</v>
      </c>
      <c r="C7191" t="inlineStr">
        <is>
          <t>Cedar Ridge Medical Center</t>
        </is>
      </c>
      <c r="D7191" t="n">
        <v>75</v>
      </c>
    </row>
    <row r="7192">
      <c r="A7192" t="inlineStr">
        <is>
          <t>ED207349</t>
        </is>
      </c>
      <c r="B7192" s="56" t="n">
        <v>45721.50138888889</v>
      </c>
      <c r="C7192" t="inlineStr">
        <is>
          <t>Ashby Falls Community Hospital</t>
        </is>
      </c>
      <c r="D7192" t="n">
        <v>10</v>
      </c>
    </row>
    <row r="7193">
      <c r="A7193" t="inlineStr">
        <is>
          <t>ED207350</t>
        </is>
      </c>
      <c r="B7193" s="56" t="n">
        <v>45721.58055555556</v>
      </c>
      <c r="C7193" t="inlineStr">
        <is>
          <t>Cedar Ridge Medical Center</t>
        </is>
      </c>
      <c r="D7193" t="n">
        <v>29</v>
      </c>
    </row>
    <row r="7194">
      <c r="A7194" t="inlineStr">
        <is>
          <t>ED207351</t>
        </is>
      </c>
      <c r="B7194" s="56" t="n">
        <v>45721.62708333333</v>
      </c>
      <c r="C7194" t="inlineStr">
        <is>
          <t>Bluestone Memorial Hospital</t>
        </is>
      </c>
      <c r="D7194" t="n">
        <v>36</v>
      </c>
    </row>
    <row r="7195">
      <c r="A7195" t="inlineStr">
        <is>
          <t>ED207352</t>
        </is>
      </c>
      <c r="B7195" s="56" t="n">
        <v>45721.66875</v>
      </c>
      <c r="C7195" t="inlineStr">
        <is>
          <t>Ashby Falls Community Hospital</t>
        </is>
      </c>
      <c r="D7195" t="n">
        <v>103</v>
      </c>
    </row>
    <row r="7196">
      <c r="A7196" t="inlineStr">
        <is>
          <t>ED207353</t>
        </is>
      </c>
      <c r="B7196" s="56" t="n">
        <v>45721.70625</v>
      </c>
      <c r="C7196" t="inlineStr">
        <is>
          <t>Bluestone Memorial Hospital</t>
        </is>
      </c>
      <c r="D7196" t="n">
        <v>156</v>
      </c>
    </row>
    <row r="7197">
      <c r="A7197" t="inlineStr">
        <is>
          <t>ED207354</t>
        </is>
      </c>
      <c r="B7197" s="56" t="n">
        <v>45721.71805555555</v>
      </c>
      <c r="C7197" t="inlineStr">
        <is>
          <t>Ashby Falls Community Hospital</t>
        </is>
      </c>
      <c r="D7197" t="n">
        <v>42</v>
      </c>
    </row>
    <row r="7198">
      <c r="A7198" t="inlineStr">
        <is>
          <t>ED207355</t>
        </is>
      </c>
      <c r="B7198" s="56" t="n">
        <v>45721.72083333333</v>
      </c>
      <c r="C7198" t="inlineStr">
        <is>
          <t>Cedar Ridge Medical Center</t>
        </is>
      </c>
      <c r="D7198" t="n">
        <v>12</v>
      </c>
    </row>
    <row r="7199">
      <c r="A7199" t="inlineStr">
        <is>
          <t>ED207356</t>
        </is>
      </c>
      <c r="B7199" s="56" t="n">
        <v>45721.73819444444</v>
      </c>
      <c r="C7199" t="inlineStr">
        <is>
          <t>Bluestone Memorial Hospital</t>
        </is>
      </c>
      <c r="D7199" t="n">
        <v>27</v>
      </c>
    </row>
    <row r="7200">
      <c r="A7200" t="inlineStr">
        <is>
          <t>ED207357</t>
        </is>
      </c>
      <c r="B7200" s="56" t="n">
        <v>45721.78402777778</v>
      </c>
      <c r="C7200" t="inlineStr">
        <is>
          <t>Ashby Falls Community Hospital</t>
        </is>
      </c>
      <c r="D7200" t="n">
        <v>23</v>
      </c>
    </row>
    <row r="7201">
      <c r="A7201" t="inlineStr">
        <is>
          <t>ED207358</t>
        </is>
      </c>
      <c r="B7201" s="56" t="n">
        <v>45721.79652777778</v>
      </c>
      <c r="C7201" t="inlineStr">
        <is>
          <t>Ashby Falls Community Hospital</t>
        </is>
      </c>
      <c r="D7201" t="n">
        <v>13</v>
      </c>
    </row>
    <row r="7202">
      <c r="A7202" t="inlineStr">
        <is>
          <t>ED207359</t>
        </is>
      </c>
      <c r="B7202" s="56" t="n">
        <v>45721.81527777778</v>
      </c>
      <c r="C7202" t="inlineStr">
        <is>
          <t>Bluestone Memorial Hospital</t>
        </is>
      </c>
      <c r="D7202" t="n">
        <v>50</v>
      </c>
    </row>
    <row r="7203">
      <c r="A7203" t="inlineStr">
        <is>
          <t>ED207360</t>
        </is>
      </c>
      <c r="B7203" s="56" t="n">
        <v>45721.81875</v>
      </c>
      <c r="C7203" t="inlineStr">
        <is>
          <t>Bluestone Memorial Hospital</t>
        </is>
      </c>
      <c r="D7203" t="n">
        <v>129</v>
      </c>
    </row>
    <row r="7204">
      <c r="A7204" t="inlineStr">
        <is>
          <t>ED207361</t>
        </is>
      </c>
      <c r="B7204" s="56" t="n">
        <v>45721.8625</v>
      </c>
      <c r="C7204" t="inlineStr">
        <is>
          <t>Bluestone Memorial Hospital</t>
        </is>
      </c>
      <c r="D7204" t="n">
        <v>47</v>
      </c>
    </row>
    <row r="7205">
      <c r="A7205" t="inlineStr">
        <is>
          <t>ED207362</t>
        </is>
      </c>
      <c r="B7205" s="56" t="n">
        <v>45721.92361111111</v>
      </c>
      <c r="C7205" t="inlineStr">
        <is>
          <t>Cedar Ridge Medical Center</t>
        </is>
      </c>
      <c r="D7205" t="n">
        <v>18</v>
      </c>
    </row>
    <row r="7206">
      <c r="A7206" t="inlineStr">
        <is>
          <t>ED207363</t>
        </is>
      </c>
      <c r="B7206" s="56" t="n">
        <v>45722.00138888889</v>
      </c>
      <c r="C7206" t="inlineStr">
        <is>
          <t>Ashby Falls Community Hospital</t>
        </is>
      </c>
      <c r="D7206" t="n">
        <v>59</v>
      </c>
    </row>
    <row r="7207">
      <c r="A7207" t="inlineStr">
        <is>
          <t>ED207364</t>
        </is>
      </c>
      <c r="B7207" s="56" t="n">
        <v>45722.19236111111</v>
      </c>
      <c r="C7207" t="inlineStr">
        <is>
          <t>Bluestone Memorial Hospital</t>
        </is>
      </c>
      <c r="D7207" t="n">
        <v>7</v>
      </c>
    </row>
    <row r="7208">
      <c r="A7208" t="inlineStr">
        <is>
          <t>ED207365</t>
        </is>
      </c>
      <c r="B7208" s="56" t="n">
        <v>45722.27222222222</v>
      </c>
      <c r="C7208" t="inlineStr">
        <is>
          <t>Bluestone Memorial Hospital</t>
        </is>
      </c>
      <c r="D7208" t="n">
        <v>18</v>
      </c>
    </row>
    <row r="7209">
      <c r="A7209" t="inlineStr">
        <is>
          <t>ED207366</t>
        </is>
      </c>
      <c r="B7209" s="56" t="n">
        <v>45722.27430555555</v>
      </c>
      <c r="C7209" t="inlineStr">
        <is>
          <t>Ashby Falls Community Hospital</t>
        </is>
      </c>
      <c r="D7209" t="n">
        <v>94</v>
      </c>
    </row>
    <row r="7210">
      <c r="A7210" t="inlineStr">
        <is>
          <t>ED207367</t>
        </is>
      </c>
      <c r="B7210" s="56" t="n">
        <v>45722.38472222222</v>
      </c>
      <c r="C7210" t="inlineStr">
        <is>
          <t>Bluestone Memorial Hospital</t>
        </is>
      </c>
      <c r="D7210" t="n">
        <v>33</v>
      </c>
    </row>
    <row r="7211">
      <c r="A7211" t="inlineStr">
        <is>
          <t>ED207368</t>
        </is>
      </c>
      <c r="B7211" s="56" t="n">
        <v>45722.40972222222</v>
      </c>
      <c r="C7211" t="inlineStr">
        <is>
          <t>Bluestone Memorial Hospital</t>
        </is>
      </c>
      <c r="D7211" t="n">
        <v>5</v>
      </c>
    </row>
    <row r="7212">
      <c r="A7212" t="inlineStr">
        <is>
          <t>ED207369</t>
        </is>
      </c>
      <c r="B7212" s="56" t="n">
        <v>45722.41527777778</v>
      </c>
      <c r="C7212" t="inlineStr">
        <is>
          <t>Bluestone Memorial Hospital</t>
        </is>
      </c>
      <c r="D7212" t="n">
        <v>61</v>
      </c>
    </row>
    <row r="7213">
      <c r="A7213" t="inlineStr">
        <is>
          <t>ED207370</t>
        </is>
      </c>
      <c r="B7213" s="56" t="n">
        <v>45722.53611111111</v>
      </c>
      <c r="C7213" t="inlineStr">
        <is>
          <t>Bluestone Memorial Hospital</t>
        </is>
      </c>
      <c r="D7213" t="n">
        <v>16</v>
      </c>
    </row>
    <row r="7214">
      <c r="A7214" t="inlineStr">
        <is>
          <t>ED207371</t>
        </is>
      </c>
      <c r="B7214" s="56" t="n">
        <v>45722.65972222222</v>
      </c>
      <c r="C7214" t="inlineStr">
        <is>
          <t>Ashby Falls Community Hospital</t>
        </is>
      </c>
      <c r="D7214" t="n">
        <v>117</v>
      </c>
    </row>
    <row r="7215">
      <c r="A7215" t="inlineStr">
        <is>
          <t>ED207372</t>
        </is>
      </c>
      <c r="B7215" s="56" t="n">
        <v>45722.68263888889</v>
      </c>
      <c r="C7215" t="inlineStr">
        <is>
          <t>Ashby Falls Community Hospital</t>
        </is>
      </c>
      <c r="D7215" t="n">
        <v>26</v>
      </c>
    </row>
    <row r="7216">
      <c r="A7216" t="inlineStr">
        <is>
          <t>ED207373</t>
        </is>
      </c>
      <c r="B7216" s="56" t="n">
        <v>45722.69305555556</v>
      </c>
      <c r="C7216" t="inlineStr">
        <is>
          <t>Bluestone Memorial Hospital</t>
        </is>
      </c>
      <c r="D7216" t="n">
        <v>43</v>
      </c>
    </row>
    <row r="7217">
      <c r="A7217" t="inlineStr">
        <is>
          <t>ED207374</t>
        </is>
      </c>
      <c r="B7217" s="56" t="n">
        <v>45722.77083333334</v>
      </c>
      <c r="C7217" t="inlineStr">
        <is>
          <t>Bluestone Memorial Hospital</t>
        </is>
      </c>
      <c r="D7217" t="n">
        <v>70</v>
      </c>
    </row>
    <row r="7218">
      <c r="A7218" t="inlineStr">
        <is>
          <t>ED207375</t>
        </is>
      </c>
      <c r="B7218" s="56" t="n">
        <v>45722.86736111111</v>
      </c>
      <c r="C7218" t="inlineStr">
        <is>
          <t>Ashby Falls Community Hospital</t>
        </is>
      </c>
      <c r="D7218" t="n">
        <v>31</v>
      </c>
    </row>
    <row r="7219">
      <c r="A7219" t="inlineStr">
        <is>
          <t>ED207376</t>
        </is>
      </c>
      <c r="B7219" s="56" t="n">
        <v>45722.925</v>
      </c>
      <c r="C7219" t="inlineStr">
        <is>
          <t>Bluestone Memorial Hospital</t>
        </is>
      </c>
      <c r="D7219" t="n">
        <v>65</v>
      </c>
    </row>
    <row r="7220">
      <c r="A7220" t="inlineStr">
        <is>
          <t>ED207377</t>
        </is>
      </c>
      <c r="B7220" s="56" t="n">
        <v>45722.93263888889</v>
      </c>
      <c r="C7220" t="inlineStr">
        <is>
          <t>Bluestone Memorial Hospital</t>
        </is>
      </c>
      <c r="D7220" t="n">
        <v>73</v>
      </c>
    </row>
    <row r="7221">
      <c r="A7221" t="inlineStr">
        <is>
          <t>ED207378</t>
        </is>
      </c>
      <c r="B7221" s="56" t="n">
        <v>45722.99722222222</v>
      </c>
      <c r="C7221" t="inlineStr">
        <is>
          <t>Bluestone Memorial Hospital</t>
        </is>
      </c>
      <c r="D7221" t="n">
        <v>23</v>
      </c>
    </row>
    <row r="7222">
      <c r="A7222" t="inlineStr">
        <is>
          <t>ED207379</t>
        </is>
      </c>
      <c r="B7222" s="56" t="n">
        <v>45723.34375</v>
      </c>
      <c r="C7222" t="inlineStr">
        <is>
          <t>Bluestone Memorial Hospital</t>
        </is>
      </c>
      <c r="D7222" t="n">
        <v>23</v>
      </c>
    </row>
    <row r="7223">
      <c r="A7223" t="inlineStr">
        <is>
          <t>ED207380</t>
        </is>
      </c>
      <c r="B7223" s="56" t="n">
        <v>45723.40277777778</v>
      </c>
      <c r="C7223" t="inlineStr">
        <is>
          <t>Bluestone Memorial Hospital</t>
        </is>
      </c>
      <c r="D7223" t="n">
        <v>8</v>
      </c>
    </row>
    <row r="7224">
      <c r="A7224" t="inlineStr">
        <is>
          <t>ED207381</t>
        </is>
      </c>
      <c r="B7224" s="56" t="n">
        <v>45723.41388888889</v>
      </c>
      <c r="C7224" t="inlineStr">
        <is>
          <t>Bluestone Memorial Hospital</t>
        </is>
      </c>
      <c r="D7224" t="n">
        <v>46</v>
      </c>
    </row>
    <row r="7225">
      <c r="A7225" t="inlineStr">
        <is>
          <t>ED207382</t>
        </is>
      </c>
      <c r="B7225" s="56" t="n">
        <v>45723.46597222222</v>
      </c>
      <c r="C7225" t="inlineStr">
        <is>
          <t>Bluestone Memorial Hospital</t>
        </is>
      </c>
      <c r="D7225" t="n">
        <v>27</v>
      </c>
    </row>
    <row r="7226">
      <c r="A7226" t="inlineStr">
        <is>
          <t>ED207383</t>
        </is>
      </c>
      <c r="B7226" s="56" t="n">
        <v>45723.48888888889</v>
      </c>
      <c r="C7226" t="inlineStr">
        <is>
          <t>Bluestone Memorial Hospital</t>
        </is>
      </c>
      <c r="D7226" t="n">
        <v>29</v>
      </c>
    </row>
    <row r="7227">
      <c r="A7227" t="inlineStr">
        <is>
          <t>ED207384</t>
        </is>
      </c>
      <c r="B7227" s="56" t="n">
        <v>45723.50763888889</v>
      </c>
      <c r="C7227" t="inlineStr">
        <is>
          <t>Bluestone Memorial Hospital</t>
        </is>
      </c>
      <c r="D7227" t="n">
        <v>34</v>
      </c>
    </row>
    <row r="7228">
      <c r="A7228" t="inlineStr">
        <is>
          <t>ED207385</t>
        </is>
      </c>
      <c r="B7228" s="56" t="n">
        <v>45723.62638888889</v>
      </c>
      <c r="C7228" t="inlineStr">
        <is>
          <t>Bluestone Memorial Hospital</t>
        </is>
      </c>
      <c r="D7228" t="n">
        <v>26</v>
      </c>
    </row>
    <row r="7229">
      <c r="A7229" t="inlineStr">
        <is>
          <t>ED207386</t>
        </is>
      </c>
      <c r="B7229" s="56" t="n">
        <v>45723.7125</v>
      </c>
      <c r="C7229" t="inlineStr">
        <is>
          <t>Bluestone Memorial Hospital</t>
        </is>
      </c>
      <c r="D7229" t="n">
        <v>110</v>
      </c>
    </row>
    <row r="7230">
      <c r="A7230" t="inlineStr">
        <is>
          <t>ED207387</t>
        </is>
      </c>
      <c r="B7230" s="56" t="n">
        <v>45723.74444444444</v>
      </c>
      <c r="C7230" t="inlineStr">
        <is>
          <t>Bluestone Memorial Hospital</t>
        </is>
      </c>
      <c r="D7230" t="n">
        <v>22</v>
      </c>
    </row>
    <row r="7231">
      <c r="A7231" t="inlineStr">
        <is>
          <t>ED207388</t>
        </is>
      </c>
      <c r="B7231" s="56" t="n">
        <v>45723.79722222222</v>
      </c>
      <c r="C7231" t="inlineStr">
        <is>
          <t>Bluestone Memorial Hospital</t>
        </is>
      </c>
      <c r="D7231" t="n">
        <v>107</v>
      </c>
    </row>
    <row r="7232">
      <c r="A7232" t="inlineStr">
        <is>
          <t>ED207389</t>
        </is>
      </c>
      <c r="B7232" s="56" t="n">
        <v>45723.86875</v>
      </c>
      <c r="C7232" t="inlineStr">
        <is>
          <t>Cedar Ridge Medical Center</t>
        </is>
      </c>
      <c r="D7232" t="n">
        <v>38</v>
      </c>
    </row>
    <row r="7233">
      <c r="A7233" t="inlineStr">
        <is>
          <t>ED207390</t>
        </is>
      </c>
      <c r="B7233" s="56" t="n">
        <v>45723.89861111111</v>
      </c>
      <c r="C7233" t="inlineStr">
        <is>
          <t>Bluestone Memorial Hospital</t>
        </is>
      </c>
      <c r="D7233" t="n">
        <v>37</v>
      </c>
    </row>
    <row r="7234">
      <c r="A7234" t="inlineStr">
        <is>
          <t>ED207391</t>
        </is>
      </c>
      <c r="B7234" s="56" t="n">
        <v>45723.96944444445</v>
      </c>
      <c r="C7234" t="inlineStr">
        <is>
          <t>Cedar Ridge Medical Center</t>
        </is>
      </c>
      <c r="D7234" t="n">
        <v>31</v>
      </c>
    </row>
    <row r="7235">
      <c r="A7235" t="inlineStr">
        <is>
          <t>ED207392</t>
        </is>
      </c>
      <c r="B7235" s="56" t="n">
        <v>45724.01388888889</v>
      </c>
      <c r="C7235" t="inlineStr">
        <is>
          <t>Bluestone Memorial Hospital</t>
        </is>
      </c>
      <c r="D7235" t="n">
        <v>3</v>
      </c>
    </row>
    <row r="7236">
      <c r="A7236" t="inlineStr">
        <is>
          <t>ED207393</t>
        </is>
      </c>
      <c r="B7236" s="56" t="n">
        <v>45724.07013888889</v>
      </c>
      <c r="C7236" t="inlineStr">
        <is>
          <t>Bluestone Memorial Hospital</t>
        </is>
      </c>
      <c r="D7236" t="n">
        <v>29</v>
      </c>
    </row>
    <row r="7237">
      <c r="A7237" t="inlineStr">
        <is>
          <t>ED207394</t>
        </is>
      </c>
      <c r="B7237" s="56" t="n">
        <v>45724.32361111111</v>
      </c>
      <c r="C7237" t="inlineStr">
        <is>
          <t>Ashby Falls Community Hospital</t>
        </is>
      </c>
      <c r="D7237" t="n">
        <v>24</v>
      </c>
    </row>
    <row r="7238">
      <c r="A7238" t="inlineStr">
        <is>
          <t>ED207395</t>
        </is>
      </c>
      <c r="B7238" s="56" t="n">
        <v>45724.37708333333</v>
      </c>
      <c r="C7238" t="inlineStr">
        <is>
          <t>Bluestone Memorial Hospital</t>
        </is>
      </c>
      <c r="D7238" t="n">
        <v>53</v>
      </c>
    </row>
    <row r="7239">
      <c r="A7239" t="inlineStr">
        <is>
          <t>ED207396</t>
        </is>
      </c>
      <c r="B7239" s="56" t="n">
        <v>45724.4</v>
      </c>
      <c r="C7239" t="inlineStr">
        <is>
          <t>Bluestone Memorial Hospital</t>
        </is>
      </c>
      <c r="D7239" t="n">
        <v>51</v>
      </c>
    </row>
    <row r="7240">
      <c r="A7240" t="inlineStr">
        <is>
          <t>ED207397</t>
        </is>
      </c>
      <c r="B7240" s="56" t="n">
        <v>45724.49513888889</v>
      </c>
      <c r="C7240" t="inlineStr">
        <is>
          <t>Bluestone Memorial Hospital</t>
        </is>
      </c>
      <c r="D7240" t="n">
        <v>70</v>
      </c>
    </row>
    <row r="7241">
      <c r="A7241" t="inlineStr">
        <is>
          <t>ED207398</t>
        </is>
      </c>
      <c r="B7241" s="56" t="n">
        <v>45724.50069444445</v>
      </c>
      <c r="C7241" t="inlineStr">
        <is>
          <t>Bluestone Memorial Hospital</t>
        </is>
      </c>
      <c r="D7241" t="n">
        <v>11</v>
      </c>
    </row>
    <row r="7242">
      <c r="A7242" t="inlineStr">
        <is>
          <t>ED207399</t>
        </is>
      </c>
      <c r="B7242" s="56" t="n">
        <v>45724.5875</v>
      </c>
      <c r="C7242" t="inlineStr">
        <is>
          <t>Bluestone Memorial Hospital</t>
        </is>
      </c>
      <c r="D7242" t="n">
        <v>14</v>
      </c>
    </row>
    <row r="7243">
      <c r="A7243" t="inlineStr">
        <is>
          <t>ED207400</t>
        </is>
      </c>
      <c r="B7243" s="56" t="n">
        <v>45724.62152777778</v>
      </c>
      <c r="C7243" t="inlineStr">
        <is>
          <t>Bluestone Memorial Hospital</t>
        </is>
      </c>
      <c r="D7243" t="n">
        <v>20</v>
      </c>
    </row>
    <row r="7244">
      <c r="A7244" t="inlineStr">
        <is>
          <t>ED207401</t>
        </is>
      </c>
      <c r="B7244" s="56" t="n">
        <v>45724.65347222222</v>
      </c>
      <c r="C7244" t="inlineStr">
        <is>
          <t>Ashby Falls Community Hospital</t>
        </is>
      </c>
      <c r="D7244" t="n">
        <v>24</v>
      </c>
    </row>
    <row r="7245">
      <c r="A7245" t="inlineStr">
        <is>
          <t>ED207402</t>
        </is>
      </c>
      <c r="B7245" s="56" t="n">
        <v>45724.67291666667</v>
      </c>
      <c r="C7245" t="inlineStr">
        <is>
          <t>Bluestone Memorial Hospital</t>
        </is>
      </c>
      <c r="D7245" t="n">
        <v>86</v>
      </c>
    </row>
    <row r="7246">
      <c r="A7246" t="inlineStr">
        <is>
          <t>ED207403</t>
        </is>
      </c>
      <c r="B7246" s="56" t="n">
        <v>45724.77708333333</v>
      </c>
      <c r="C7246" t="inlineStr">
        <is>
          <t>Cedar Ridge Medical Center</t>
        </is>
      </c>
      <c r="D7246" t="n">
        <v>34</v>
      </c>
    </row>
    <row r="7247">
      <c r="A7247" t="inlineStr">
        <is>
          <t>ED207404</t>
        </is>
      </c>
      <c r="B7247" s="56" t="n">
        <v>45724.78958333333</v>
      </c>
      <c r="C7247" t="inlineStr">
        <is>
          <t>Bluestone Memorial Hospital</t>
        </is>
      </c>
      <c r="D7247" t="n">
        <v>20</v>
      </c>
    </row>
    <row r="7248">
      <c r="A7248" t="inlineStr">
        <is>
          <t>ED207405</t>
        </is>
      </c>
      <c r="B7248" s="56" t="n">
        <v>45724.88402777778</v>
      </c>
      <c r="C7248" t="inlineStr">
        <is>
          <t>Bluestone Memorial Hospital</t>
        </is>
      </c>
      <c r="D7248" t="n">
        <v>24</v>
      </c>
    </row>
    <row r="7249">
      <c r="A7249" t="inlineStr">
        <is>
          <t>ED207406</t>
        </is>
      </c>
      <c r="B7249" s="56" t="n">
        <v>45724.90069444444</v>
      </c>
      <c r="C7249" t="inlineStr">
        <is>
          <t>Bluestone Memorial Hospital</t>
        </is>
      </c>
      <c r="D7249" t="n">
        <v>11</v>
      </c>
    </row>
    <row r="7250">
      <c r="A7250" t="inlineStr">
        <is>
          <t>ED207407</t>
        </is>
      </c>
      <c r="B7250" s="56" t="n">
        <v>45724.90833333333</v>
      </c>
      <c r="C7250" t="inlineStr">
        <is>
          <t>Bluestone Memorial Hospital</t>
        </is>
      </c>
      <c r="D7250" t="n">
        <v>23</v>
      </c>
    </row>
    <row r="7251">
      <c r="A7251" t="inlineStr">
        <is>
          <t>ED207408</t>
        </is>
      </c>
      <c r="B7251" s="56" t="n">
        <v>45724.95277777778</v>
      </c>
      <c r="C7251" t="inlineStr">
        <is>
          <t>Bluestone Memorial Hospital</t>
        </is>
      </c>
      <c r="D7251" t="n">
        <v>23</v>
      </c>
    </row>
    <row r="7252">
      <c r="A7252" t="inlineStr">
        <is>
          <t>ED207409</t>
        </is>
      </c>
      <c r="B7252" s="56" t="n">
        <v>45725.01041666666</v>
      </c>
      <c r="C7252" t="inlineStr">
        <is>
          <t>Ashby Falls Community Hospital</t>
        </is>
      </c>
      <c r="D7252" t="n">
        <v>25</v>
      </c>
    </row>
    <row r="7253">
      <c r="A7253" t="inlineStr">
        <is>
          <t>ED207410</t>
        </is>
      </c>
      <c r="B7253" s="56" t="n">
        <v>45725.12986111111</v>
      </c>
      <c r="C7253" t="inlineStr">
        <is>
          <t>Bluestone Memorial Hospital</t>
        </is>
      </c>
      <c r="D7253" t="n">
        <v>32</v>
      </c>
    </row>
    <row r="7254">
      <c r="A7254" t="inlineStr">
        <is>
          <t>ED207411</t>
        </is>
      </c>
      <c r="B7254" s="56" t="n">
        <v>45725.40069444444</v>
      </c>
      <c r="C7254" t="inlineStr">
        <is>
          <t>Bluestone Memorial Hospital</t>
        </is>
      </c>
      <c r="D7254" t="n">
        <v>40</v>
      </c>
    </row>
    <row r="7255">
      <c r="A7255" t="inlineStr">
        <is>
          <t>ED207412</t>
        </is>
      </c>
      <c r="B7255" s="56" t="n">
        <v>45725.44444444445</v>
      </c>
      <c r="C7255" t="inlineStr">
        <is>
          <t>Cedar Ridge Medical Center</t>
        </is>
      </c>
      <c r="D7255" t="n">
        <v>122</v>
      </c>
    </row>
    <row r="7256">
      <c r="A7256" t="inlineStr">
        <is>
          <t>ED207413</t>
        </is>
      </c>
      <c r="B7256" s="56" t="n">
        <v>45725.46944444445</v>
      </c>
      <c r="C7256" t="inlineStr">
        <is>
          <t>Bluestone Memorial Hospital</t>
        </is>
      </c>
      <c r="D7256" t="n">
        <v>15</v>
      </c>
    </row>
    <row r="7257">
      <c r="A7257" t="inlineStr">
        <is>
          <t>ED207414</t>
        </is>
      </c>
      <c r="B7257" s="56" t="n">
        <v>45725.48333333333</v>
      </c>
      <c r="C7257" t="inlineStr">
        <is>
          <t>Ashby Falls Community Hospital</t>
        </is>
      </c>
      <c r="D7257" t="n">
        <v>56</v>
      </c>
    </row>
    <row r="7258">
      <c r="A7258" t="inlineStr">
        <is>
          <t>ED207415</t>
        </is>
      </c>
      <c r="B7258" s="56" t="n">
        <v>45725.51527777778</v>
      </c>
      <c r="C7258" t="inlineStr">
        <is>
          <t>Bluestone Memorial Hospital</t>
        </is>
      </c>
      <c r="D7258" t="n">
        <v>58</v>
      </c>
    </row>
    <row r="7259">
      <c r="A7259" t="inlineStr">
        <is>
          <t>ED207417</t>
        </is>
      </c>
      <c r="B7259" s="56" t="n">
        <v>45725.54166666666</v>
      </c>
      <c r="C7259" t="inlineStr">
        <is>
          <t>Bluestone Memorial Hospital</t>
        </is>
      </c>
      <c r="D7259" t="n">
        <v>22</v>
      </c>
    </row>
    <row r="7260">
      <c r="A7260" t="inlineStr">
        <is>
          <t>ED207418</t>
        </is>
      </c>
      <c r="B7260" s="56" t="n">
        <v>45725.57847222222</v>
      </c>
      <c r="C7260" t="inlineStr">
        <is>
          <t>Bluestone Memorial Hospital</t>
        </is>
      </c>
      <c r="D7260" t="n">
        <v>115</v>
      </c>
    </row>
    <row r="7261">
      <c r="A7261" t="inlineStr">
        <is>
          <t>ED207419</t>
        </is>
      </c>
      <c r="B7261" s="56" t="n">
        <v>45725.5875</v>
      </c>
      <c r="C7261" t="inlineStr">
        <is>
          <t>Ashby Falls Community Hospital</t>
        </is>
      </c>
      <c r="D7261" t="n">
        <v>78</v>
      </c>
    </row>
    <row r="7262">
      <c r="A7262" t="inlineStr">
        <is>
          <t>ED207420</t>
        </is>
      </c>
      <c r="B7262" s="56" t="n">
        <v>45725.625</v>
      </c>
      <c r="C7262" t="inlineStr">
        <is>
          <t>Ashby Falls Community Hospital</t>
        </is>
      </c>
      <c r="D7262" t="n">
        <v>1</v>
      </c>
    </row>
    <row r="7263">
      <c r="A7263" t="inlineStr">
        <is>
          <t>ED207421</t>
        </is>
      </c>
      <c r="B7263" s="56" t="n">
        <v>45725.63055555556</v>
      </c>
      <c r="C7263" t="inlineStr">
        <is>
          <t>Bluestone Memorial Hospital</t>
        </is>
      </c>
      <c r="D7263" t="n">
        <v>15</v>
      </c>
    </row>
    <row r="7264">
      <c r="A7264" t="inlineStr">
        <is>
          <t>ED207422</t>
        </is>
      </c>
      <c r="B7264" s="56" t="n">
        <v>45725.65277777778</v>
      </c>
      <c r="C7264" t="inlineStr">
        <is>
          <t>Bluestone Memorial Hospital</t>
        </is>
      </c>
      <c r="D7264" t="n">
        <v>40</v>
      </c>
    </row>
    <row r="7265">
      <c r="A7265" t="inlineStr">
        <is>
          <t>ED207423</t>
        </is>
      </c>
      <c r="B7265" s="56" t="n">
        <v>45725.67013888889</v>
      </c>
      <c r="C7265" t="inlineStr">
        <is>
          <t>Bluestone Memorial Hospital</t>
        </is>
      </c>
      <c r="D7265" t="n">
        <v>20</v>
      </c>
    </row>
    <row r="7266">
      <c r="A7266" t="inlineStr">
        <is>
          <t>ED207424</t>
        </is>
      </c>
      <c r="B7266" s="56" t="n">
        <v>45725.73263888889</v>
      </c>
      <c r="C7266" t="inlineStr">
        <is>
          <t>Bluestone Memorial Hospital</t>
        </is>
      </c>
      <c r="D7266" t="n">
        <v>17</v>
      </c>
    </row>
    <row r="7267">
      <c r="A7267" t="inlineStr">
        <is>
          <t>ED207425</t>
        </is>
      </c>
      <c r="B7267" s="56" t="n">
        <v>45725.79722222222</v>
      </c>
      <c r="C7267" t="inlineStr">
        <is>
          <t>Bluestone Memorial Hospital</t>
        </is>
      </c>
      <c r="D7267" t="n">
        <v>73</v>
      </c>
    </row>
    <row r="7268">
      <c r="A7268" t="inlineStr">
        <is>
          <t>ED207426</t>
        </is>
      </c>
      <c r="B7268" s="56" t="n">
        <v>45725.83263888889</v>
      </c>
      <c r="C7268" t="inlineStr">
        <is>
          <t>Bluestone Memorial Hospital</t>
        </is>
      </c>
      <c r="D7268" t="n">
        <v>52</v>
      </c>
    </row>
    <row r="7269">
      <c r="A7269" t="inlineStr">
        <is>
          <t>ED207427</t>
        </is>
      </c>
      <c r="B7269" s="56" t="n">
        <v>45725.85138888889</v>
      </c>
      <c r="C7269" t="inlineStr">
        <is>
          <t>Cedar Ridge Medical Center</t>
        </is>
      </c>
      <c r="D7269" t="n">
        <v>54</v>
      </c>
    </row>
    <row r="7270">
      <c r="A7270" t="inlineStr">
        <is>
          <t>ED207428</t>
        </is>
      </c>
      <c r="B7270" s="56" t="n">
        <v>45725.90069444444</v>
      </c>
      <c r="C7270" t="inlineStr">
        <is>
          <t>Ashby Falls Community Hospital</t>
        </is>
      </c>
      <c r="D7270" t="n">
        <v>57</v>
      </c>
    </row>
    <row r="7271">
      <c r="A7271" t="inlineStr">
        <is>
          <t>ED207429</t>
        </is>
      </c>
      <c r="B7271" s="56" t="n">
        <v>45726.18125</v>
      </c>
      <c r="C7271" t="inlineStr">
        <is>
          <t>Bluestone Memorial Hospital</t>
        </is>
      </c>
      <c r="D7271" t="n">
        <v>32</v>
      </c>
    </row>
    <row r="7272">
      <c r="A7272" t="inlineStr">
        <is>
          <t>ED207430</t>
        </is>
      </c>
      <c r="B7272" s="56" t="n">
        <v>45726.19930555556</v>
      </c>
      <c r="C7272" t="inlineStr">
        <is>
          <t>Bluestone Memorial Hospital</t>
        </is>
      </c>
      <c r="D7272" t="n">
        <v>20</v>
      </c>
    </row>
    <row r="7273">
      <c r="A7273" t="inlineStr">
        <is>
          <t>ED207431</t>
        </is>
      </c>
      <c r="B7273" s="56" t="n">
        <v>45726.26944444444</v>
      </c>
      <c r="C7273" t="inlineStr">
        <is>
          <t>Bluestone Memorial Hospital</t>
        </is>
      </c>
      <c r="D7273" t="n">
        <v>17</v>
      </c>
    </row>
    <row r="7274">
      <c r="A7274" t="inlineStr">
        <is>
          <t>ED207432</t>
        </is>
      </c>
      <c r="B7274" s="56" t="n">
        <v>45726.39722222222</v>
      </c>
      <c r="C7274" t="inlineStr">
        <is>
          <t>Bluestone Memorial Hospital</t>
        </is>
      </c>
      <c r="D7274" t="n">
        <v>50</v>
      </c>
    </row>
    <row r="7275">
      <c r="A7275" t="inlineStr">
        <is>
          <t>ED207433</t>
        </is>
      </c>
      <c r="B7275" s="56" t="n">
        <v>45726.52916666667</v>
      </c>
      <c r="C7275" t="inlineStr">
        <is>
          <t>Ashby Falls Community Hospital</t>
        </is>
      </c>
      <c r="D7275" t="n">
        <v>26</v>
      </c>
    </row>
    <row r="7276">
      <c r="A7276" t="inlineStr">
        <is>
          <t>ED207434</t>
        </is>
      </c>
      <c r="B7276" s="56" t="n">
        <v>45726.54930555556</v>
      </c>
      <c r="C7276" t="inlineStr">
        <is>
          <t>Bluestone Memorial Hospital</t>
        </is>
      </c>
      <c r="D7276" t="n">
        <v>53</v>
      </c>
    </row>
    <row r="7277">
      <c r="A7277" t="inlineStr">
        <is>
          <t>ED207435</t>
        </is>
      </c>
      <c r="B7277" s="56" t="n">
        <v>45726.55416666667</v>
      </c>
      <c r="C7277" t="inlineStr">
        <is>
          <t>Ashby Falls Community Hospital</t>
        </is>
      </c>
      <c r="D7277" t="n">
        <v>35</v>
      </c>
    </row>
    <row r="7278">
      <c r="A7278" t="inlineStr">
        <is>
          <t>ED207436</t>
        </is>
      </c>
      <c r="B7278" s="56" t="n">
        <v>45726.57916666667</v>
      </c>
      <c r="C7278" t="inlineStr">
        <is>
          <t>Bluestone Memorial Hospital</t>
        </is>
      </c>
      <c r="D7278" t="n">
        <v>26</v>
      </c>
    </row>
    <row r="7279">
      <c r="A7279" t="inlineStr">
        <is>
          <t>ED207437</t>
        </is>
      </c>
      <c r="B7279" s="56" t="n">
        <v>45726.58819444444</v>
      </c>
      <c r="C7279" t="inlineStr">
        <is>
          <t>Bluestone Memorial Hospital</t>
        </is>
      </c>
      <c r="D7279" t="n">
        <v>45</v>
      </c>
    </row>
    <row r="7280">
      <c r="A7280" t="inlineStr">
        <is>
          <t>ED207438</t>
        </is>
      </c>
      <c r="B7280" s="56" t="n">
        <v>45726.61527777778</v>
      </c>
      <c r="C7280" t="inlineStr">
        <is>
          <t>Bluestone Memorial Hospital</t>
        </is>
      </c>
      <c r="D7280" t="n">
        <v>29</v>
      </c>
    </row>
    <row r="7281">
      <c r="A7281" t="inlineStr">
        <is>
          <t>ED207439</t>
        </is>
      </c>
      <c r="B7281" s="56" t="n">
        <v>45726.62291666667</v>
      </c>
      <c r="C7281" t="inlineStr">
        <is>
          <t>Bluestone Memorial Hospital</t>
        </is>
      </c>
      <c r="D7281" t="n">
        <v>71</v>
      </c>
    </row>
    <row r="7282">
      <c r="A7282" t="inlineStr">
        <is>
          <t>ED207440</t>
        </is>
      </c>
      <c r="B7282" s="56" t="n">
        <v>45726.64097222222</v>
      </c>
      <c r="C7282" t="inlineStr">
        <is>
          <t>Bluestone Memorial Hospital</t>
        </is>
      </c>
      <c r="D7282" t="n">
        <v>89</v>
      </c>
    </row>
    <row r="7283">
      <c r="A7283" t="inlineStr">
        <is>
          <t>ED207441</t>
        </is>
      </c>
      <c r="B7283" s="56" t="n">
        <v>45726.64375</v>
      </c>
      <c r="C7283" t="inlineStr">
        <is>
          <t>Bluestone Memorial Hospital</t>
        </is>
      </c>
      <c r="D7283" t="n">
        <v>15</v>
      </c>
    </row>
    <row r="7284">
      <c r="A7284" t="inlineStr">
        <is>
          <t>ED207442</t>
        </is>
      </c>
      <c r="B7284" s="56" t="n">
        <v>45726.65486111111</v>
      </c>
      <c r="C7284" t="inlineStr">
        <is>
          <t>Bluestone Memorial Hospital</t>
        </is>
      </c>
      <c r="D7284" t="n">
        <v>69</v>
      </c>
    </row>
    <row r="7285">
      <c r="A7285" t="inlineStr">
        <is>
          <t>ED207444</t>
        </is>
      </c>
      <c r="B7285" s="56" t="n">
        <v>45726.66805555556</v>
      </c>
      <c r="C7285" t="inlineStr">
        <is>
          <t>Bluestone Memorial Hospital</t>
        </is>
      </c>
      <c r="D7285" t="n">
        <v>15</v>
      </c>
    </row>
    <row r="7286">
      <c r="A7286" t="inlineStr">
        <is>
          <t>ED207445</t>
        </is>
      </c>
      <c r="B7286" s="56" t="n">
        <v>45726.73194444444</v>
      </c>
      <c r="C7286" t="inlineStr">
        <is>
          <t>Bluestone Memorial Hospital</t>
        </is>
      </c>
      <c r="D7286" t="n">
        <v>14</v>
      </c>
    </row>
    <row r="7287">
      <c r="A7287" t="inlineStr">
        <is>
          <t>ED207446</t>
        </is>
      </c>
      <c r="B7287" s="56" t="n">
        <v>45726.76875</v>
      </c>
      <c r="C7287" t="inlineStr">
        <is>
          <t>Bluestone Memorial Hospital</t>
        </is>
      </c>
      <c r="D7287" t="n">
        <v>64</v>
      </c>
    </row>
    <row r="7288">
      <c r="A7288" t="inlineStr">
        <is>
          <t>ED207447</t>
        </is>
      </c>
      <c r="B7288" s="56" t="n">
        <v>45726.77916666667</v>
      </c>
      <c r="C7288" t="inlineStr">
        <is>
          <t>Cedar Ridge Medical Center</t>
        </is>
      </c>
      <c r="D7288" t="n">
        <v>18</v>
      </c>
    </row>
    <row r="7289">
      <c r="A7289" t="inlineStr">
        <is>
          <t>ED207448</t>
        </is>
      </c>
      <c r="B7289" s="56" t="n">
        <v>45726.81527777778</v>
      </c>
      <c r="C7289" t="inlineStr">
        <is>
          <t>Cedar Ridge Medical Center</t>
        </is>
      </c>
      <c r="D7289" t="n">
        <v>37</v>
      </c>
    </row>
    <row r="7290">
      <c r="A7290" t="inlineStr">
        <is>
          <t>ED207449</t>
        </is>
      </c>
      <c r="B7290" s="56" t="n">
        <v>45726.84236111111</v>
      </c>
      <c r="C7290" t="inlineStr">
        <is>
          <t>Cedar Ridge Medical Center</t>
        </is>
      </c>
      <c r="D7290" t="n">
        <v>47</v>
      </c>
    </row>
    <row r="7291">
      <c r="A7291" t="inlineStr">
        <is>
          <t>ED207450</t>
        </is>
      </c>
      <c r="B7291" s="56" t="n">
        <v>45726.84861111111</v>
      </c>
      <c r="C7291" t="inlineStr">
        <is>
          <t>Cedar Ridge Medical Center</t>
        </is>
      </c>
      <c r="D7291" t="n">
        <v>46</v>
      </c>
    </row>
    <row r="7292">
      <c r="A7292" t="inlineStr">
        <is>
          <t>ED207451</t>
        </is>
      </c>
      <c r="B7292" s="56" t="n">
        <v>45726.85347222222</v>
      </c>
      <c r="C7292" t="inlineStr">
        <is>
          <t>Bluestone Memorial Hospital</t>
        </is>
      </c>
      <c r="D7292" t="n">
        <v>65</v>
      </c>
    </row>
    <row r="7293">
      <c r="A7293" t="inlineStr">
        <is>
          <t>ED207452</t>
        </is>
      </c>
      <c r="B7293" s="56" t="n">
        <v>45726.87291666667</v>
      </c>
      <c r="C7293" t="inlineStr">
        <is>
          <t>Bluestone Memorial Hospital</t>
        </is>
      </c>
      <c r="D7293" t="n">
        <v>58</v>
      </c>
    </row>
    <row r="7294">
      <c r="A7294" t="inlineStr">
        <is>
          <t>ED207453</t>
        </is>
      </c>
      <c r="B7294" s="56" t="n">
        <v>45726.93333333333</v>
      </c>
      <c r="C7294" t="inlineStr">
        <is>
          <t>Bluestone Memorial Hospital</t>
        </is>
      </c>
      <c r="D7294" t="n">
        <v>110</v>
      </c>
    </row>
    <row r="7295">
      <c r="A7295" t="inlineStr">
        <is>
          <t>ED207454</t>
        </is>
      </c>
      <c r="B7295" s="56" t="n">
        <v>45726.95416666667</v>
      </c>
      <c r="C7295" t="inlineStr">
        <is>
          <t>Bluestone Memorial Hospital</t>
        </is>
      </c>
      <c r="D7295" t="n">
        <v>43</v>
      </c>
    </row>
    <row r="7296">
      <c r="A7296" t="inlineStr">
        <is>
          <t>ED207455</t>
        </is>
      </c>
      <c r="B7296" s="56" t="n">
        <v>45726.97638888889</v>
      </c>
      <c r="C7296" t="inlineStr">
        <is>
          <t>Bluestone Memorial Hospital</t>
        </is>
      </c>
      <c r="D7296" t="n">
        <v>36</v>
      </c>
    </row>
    <row r="7297">
      <c r="A7297" t="inlineStr">
        <is>
          <t>ED207456</t>
        </is>
      </c>
      <c r="B7297" s="56" t="n">
        <v>45727.22916666666</v>
      </c>
      <c r="C7297" t="inlineStr">
        <is>
          <t>Bluestone Memorial Hospital</t>
        </is>
      </c>
      <c r="D7297" t="n">
        <v>38</v>
      </c>
    </row>
    <row r="7298">
      <c r="A7298" t="inlineStr">
        <is>
          <t>ED207457</t>
        </is>
      </c>
      <c r="B7298" s="56" t="n">
        <v>45727.35</v>
      </c>
      <c r="C7298" t="inlineStr">
        <is>
          <t>Bluestone Memorial Hospital</t>
        </is>
      </c>
      <c r="D7298" t="n">
        <v>35</v>
      </c>
    </row>
    <row r="7299">
      <c r="A7299" t="inlineStr">
        <is>
          <t>ED207458</t>
        </is>
      </c>
      <c r="B7299" s="56" t="n">
        <v>45727.4375</v>
      </c>
      <c r="C7299" t="inlineStr">
        <is>
          <t>Cedar Ridge Medical Center</t>
        </is>
      </c>
      <c r="D7299" t="n">
        <v>17</v>
      </c>
    </row>
    <row r="7300">
      <c r="A7300" t="inlineStr">
        <is>
          <t>ED207459</t>
        </is>
      </c>
      <c r="B7300" s="56" t="n">
        <v>45727.50555555556</v>
      </c>
      <c r="C7300" t="inlineStr">
        <is>
          <t>Cedar Ridge Medical Center</t>
        </is>
      </c>
      <c r="D7300" t="n">
        <v>10</v>
      </c>
    </row>
    <row r="7301">
      <c r="A7301" t="inlineStr">
        <is>
          <t>ED207460</t>
        </is>
      </c>
      <c r="B7301" s="56" t="n">
        <v>45727.51944444444</v>
      </c>
      <c r="C7301" t="inlineStr">
        <is>
          <t>Bluestone Memorial Hospital</t>
        </is>
      </c>
      <c r="D7301" t="n">
        <v>94</v>
      </c>
    </row>
    <row r="7302">
      <c r="A7302" t="inlineStr">
        <is>
          <t>ED207461</t>
        </is>
      </c>
      <c r="B7302" s="56" t="n">
        <v>45727.68055555555</v>
      </c>
      <c r="C7302" t="inlineStr">
        <is>
          <t>Cedar Ridge Medical Center</t>
        </is>
      </c>
      <c r="D7302" t="n">
        <v>38</v>
      </c>
    </row>
    <row r="7303">
      <c r="A7303" t="inlineStr">
        <is>
          <t>ED207462</t>
        </is>
      </c>
      <c r="B7303" s="56" t="n">
        <v>45727.70416666667</v>
      </c>
      <c r="C7303" t="inlineStr">
        <is>
          <t>Bluestone Memorial Hospital</t>
        </is>
      </c>
      <c r="D7303" t="n">
        <v>39</v>
      </c>
    </row>
    <row r="7304">
      <c r="A7304" t="inlineStr">
        <is>
          <t>ED207463</t>
        </is>
      </c>
      <c r="B7304" s="56" t="n">
        <v>45727.71736111111</v>
      </c>
      <c r="C7304" t="inlineStr">
        <is>
          <t>Bluestone Memorial Hospital</t>
        </is>
      </c>
      <c r="D7304" t="n">
        <v>14</v>
      </c>
    </row>
    <row r="7305">
      <c r="A7305" t="inlineStr">
        <is>
          <t>ED207464</t>
        </is>
      </c>
      <c r="B7305" s="56" t="n">
        <v>45727.75763888889</v>
      </c>
      <c r="C7305" t="inlineStr">
        <is>
          <t>Bluestone Memorial Hospital</t>
        </is>
      </c>
      <c r="D7305" t="n">
        <v>110</v>
      </c>
    </row>
    <row r="7306">
      <c r="A7306" t="inlineStr">
        <is>
          <t>ED207465</t>
        </is>
      </c>
      <c r="B7306" s="56" t="n">
        <v>45727.75833333333</v>
      </c>
      <c r="C7306" t="inlineStr">
        <is>
          <t>Bluestone Memorial Hospital</t>
        </is>
      </c>
      <c r="D7306" t="n">
        <v>14</v>
      </c>
    </row>
    <row r="7307">
      <c r="A7307" t="inlineStr">
        <is>
          <t>ED207466</t>
        </is>
      </c>
      <c r="B7307" s="56" t="n">
        <v>45727.79722222222</v>
      </c>
      <c r="C7307" t="inlineStr">
        <is>
          <t>Cedar Ridge Medical Center</t>
        </is>
      </c>
      <c r="D7307" t="n">
        <v>37</v>
      </c>
    </row>
    <row r="7308">
      <c r="A7308" t="inlineStr">
        <is>
          <t>ED207467</t>
        </is>
      </c>
      <c r="B7308" s="56" t="n">
        <v>45727.80069444444</v>
      </c>
      <c r="C7308" t="inlineStr">
        <is>
          <t>Bluestone Memorial Hospital</t>
        </is>
      </c>
      <c r="D7308" t="n">
        <v>72</v>
      </c>
    </row>
    <row r="7309">
      <c r="A7309" t="inlineStr">
        <is>
          <t>ED207468</t>
        </is>
      </c>
      <c r="B7309" s="56" t="n">
        <v>45727.88819444444</v>
      </c>
      <c r="C7309" t="inlineStr">
        <is>
          <t>Bluestone Memorial Hospital</t>
        </is>
      </c>
      <c r="D7309" t="n">
        <v>52</v>
      </c>
    </row>
    <row r="7310">
      <c r="A7310" t="inlineStr">
        <is>
          <t>ED207469</t>
        </is>
      </c>
      <c r="B7310" s="56" t="n">
        <v>45727.9125</v>
      </c>
      <c r="C7310" t="inlineStr">
        <is>
          <t>Cedar Ridge Medical Center</t>
        </is>
      </c>
      <c r="D7310" t="n">
        <v>6</v>
      </c>
    </row>
    <row r="7311">
      <c r="A7311" t="inlineStr">
        <is>
          <t>ED207470</t>
        </is>
      </c>
      <c r="B7311" s="56" t="n">
        <v>45728.00486111111</v>
      </c>
      <c r="C7311" t="inlineStr">
        <is>
          <t>Cedar Ridge Medical Center</t>
        </is>
      </c>
      <c r="D7311" t="n">
        <v>10</v>
      </c>
    </row>
    <row r="7312">
      <c r="A7312" t="inlineStr">
        <is>
          <t>ED207471</t>
        </is>
      </c>
      <c r="B7312" s="56" t="n">
        <v>45728.02152777778</v>
      </c>
      <c r="C7312" t="inlineStr">
        <is>
          <t>Ashby Falls Community Hospital</t>
        </is>
      </c>
      <c r="D7312" t="n">
        <v>5</v>
      </c>
    </row>
    <row r="7313">
      <c r="A7313" t="inlineStr">
        <is>
          <t>ED207472</t>
        </is>
      </c>
      <c r="B7313" s="56" t="n">
        <v>45728.15763888889</v>
      </c>
      <c r="C7313" t="inlineStr">
        <is>
          <t>Bluestone Memorial Hospital</t>
        </is>
      </c>
      <c r="D7313" t="n">
        <v>16</v>
      </c>
    </row>
    <row r="7314">
      <c r="A7314" t="inlineStr">
        <is>
          <t>ED207473</t>
        </is>
      </c>
      <c r="B7314" s="56" t="n">
        <v>45728.50625</v>
      </c>
      <c r="C7314" t="inlineStr">
        <is>
          <t>Bluestone Memorial Hospital</t>
        </is>
      </c>
      <c r="D7314" t="n">
        <v>42</v>
      </c>
    </row>
    <row r="7315">
      <c r="A7315" t="inlineStr">
        <is>
          <t>ED207474</t>
        </is>
      </c>
      <c r="B7315" s="56" t="n">
        <v>45728.52013888889</v>
      </c>
      <c r="C7315" t="inlineStr">
        <is>
          <t>Bluestone Memorial Hospital</t>
        </is>
      </c>
      <c r="D7315" t="n">
        <v>70</v>
      </c>
    </row>
    <row r="7316">
      <c r="A7316" t="inlineStr">
        <is>
          <t>ED207475</t>
        </is>
      </c>
      <c r="B7316" s="56" t="n">
        <v>45728.52222222222</v>
      </c>
      <c r="C7316" t="inlineStr">
        <is>
          <t>Ashby Falls Community Hospital</t>
        </is>
      </c>
      <c r="D7316" t="n">
        <v>6</v>
      </c>
    </row>
    <row r="7317">
      <c r="A7317" t="inlineStr">
        <is>
          <t>ED207476</t>
        </is>
      </c>
      <c r="B7317" s="56" t="n">
        <v>45728.54583333333</v>
      </c>
      <c r="C7317" t="inlineStr">
        <is>
          <t>Bluestone Memorial Hospital</t>
        </is>
      </c>
      <c r="D7317" t="n">
        <v>61</v>
      </c>
    </row>
    <row r="7318">
      <c r="A7318" t="inlineStr">
        <is>
          <t>ED207477</t>
        </is>
      </c>
      <c r="B7318" s="56" t="n">
        <v>45728.62013888889</v>
      </c>
      <c r="C7318" t="inlineStr">
        <is>
          <t>Bluestone Memorial Hospital</t>
        </is>
      </c>
      <c r="D7318" t="n">
        <v>40</v>
      </c>
    </row>
    <row r="7319">
      <c r="A7319" t="inlineStr">
        <is>
          <t>ED207478</t>
        </is>
      </c>
      <c r="B7319" s="56" t="n">
        <v>45728.71597222222</v>
      </c>
      <c r="C7319" t="inlineStr">
        <is>
          <t>Bluestone Memorial Hospital</t>
        </is>
      </c>
      <c r="D7319" t="n">
        <v>78</v>
      </c>
    </row>
    <row r="7320">
      <c r="A7320" t="inlineStr">
        <is>
          <t>ED207479</t>
        </is>
      </c>
      <c r="B7320" s="56" t="n">
        <v>45728.71875</v>
      </c>
      <c r="C7320" t="inlineStr">
        <is>
          <t>Cedar Ridge Medical Center</t>
        </is>
      </c>
      <c r="D7320" t="n">
        <v>25</v>
      </c>
    </row>
    <row r="7321">
      <c r="A7321" t="inlineStr">
        <is>
          <t>ED207480</t>
        </is>
      </c>
      <c r="B7321" s="56" t="n">
        <v>45728.74513888889</v>
      </c>
      <c r="C7321" t="inlineStr">
        <is>
          <t>Cedar Ridge Medical Center</t>
        </is>
      </c>
      <c r="D7321" t="n">
        <v>26</v>
      </c>
    </row>
    <row r="7322">
      <c r="A7322" t="inlineStr">
        <is>
          <t>ED207481</t>
        </is>
      </c>
      <c r="B7322" s="56" t="n">
        <v>45728.80347222222</v>
      </c>
      <c r="C7322" t="inlineStr">
        <is>
          <t>Cedar Ridge Medical Center</t>
        </is>
      </c>
      <c r="D7322" t="n">
        <v>39</v>
      </c>
    </row>
    <row r="7323">
      <c r="A7323" t="inlineStr">
        <is>
          <t>ED207482</t>
        </is>
      </c>
      <c r="B7323" s="56" t="n">
        <v>45728.82638888889</v>
      </c>
      <c r="C7323" t="inlineStr">
        <is>
          <t>Bluestone Memorial Hospital</t>
        </is>
      </c>
      <c r="D7323" t="n">
        <v>107</v>
      </c>
    </row>
    <row r="7324">
      <c r="A7324" t="inlineStr">
        <is>
          <t>ED207483</t>
        </is>
      </c>
      <c r="B7324" s="56" t="n">
        <v>45728.96111111111</v>
      </c>
      <c r="C7324" t="inlineStr">
        <is>
          <t>Bluestone Memorial Hospital</t>
        </is>
      </c>
      <c r="D7324" t="n">
        <v>2</v>
      </c>
    </row>
    <row r="7325">
      <c r="A7325" t="inlineStr">
        <is>
          <t>ED207484</t>
        </is>
      </c>
      <c r="B7325" s="56" t="n">
        <v>45728.98333333333</v>
      </c>
      <c r="C7325" t="inlineStr">
        <is>
          <t>Bluestone Memorial Hospital</t>
        </is>
      </c>
      <c r="D7325" t="n">
        <v>23</v>
      </c>
    </row>
    <row r="7326">
      <c r="A7326" t="inlineStr">
        <is>
          <t>ED207485</t>
        </is>
      </c>
      <c r="B7326" s="56" t="n">
        <v>45729.14722222222</v>
      </c>
      <c r="C7326" t="inlineStr">
        <is>
          <t>Bluestone Memorial Hospital</t>
        </is>
      </c>
      <c r="D7326" t="n">
        <v>37</v>
      </c>
    </row>
    <row r="7327">
      <c r="A7327" t="inlineStr">
        <is>
          <t>ED207486</t>
        </is>
      </c>
      <c r="B7327" s="56" t="n">
        <v>45729.39513888889</v>
      </c>
      <c r="C7327" t="inlineStr">
        <is>
          <t>Bluestone Memorial Hospital</t>
        </is>
      </c>
      <c r="D7327" t="n">
        <v>58</v>
      </c>
    </row>
    <row r="7328">
      <c r="A7328" t="inlineStr">
        <is>
          <t>ED207487</t>
        </is>
      </c>
      <c r="B7328" s="56" t="n">
        <v>45729.40763888889</v>
      </c>
      <c r="C7328" t="inlineStr">
        <is>
          <t>Bluestone Memorial Hospital</t>
        </is>
      </c>
      <c r="D7328" t="n">
        <v>96</v>
      </c>
    </row>
    <row r="7329">
      <c r="A7329" t="inlineStr">
        <is>
          <t>ED207488</t>
        </is>
      </c>
      <c r="B7329" s="56" t="n">
        <v>45729.47152777778</v>
      </c>
      <c r="C7329" t="inlineStr">
        <is>
          <t>Ashby Falls Community Hospital</t>
        </is>
      </c>
      <c r="D7329" t="n">
        <v>69</v>
      </c>
    </row>
    <row r="7330">
      <c r="A7330" t="inlineStr">
        <is>
          <t>ED207489</t>
        </is>
      </c>
      <c r="B7330" s="56" t="n">
        <v>45729.48819444444</v>
      </c>
      <c r="C7330" t="inlineStr">
        <is>
          <t>Bluestone Memorial Hospital</t>
        </is>
      </c>
      <c r="D7330" t="n">
        <v>77</v>
      </c>
    </row>
    <row r="7331">
      <c r="A7331" t="inlineStr">
        <is>
          <t>ED207490</t>
        </is>
      </c>
      <c r="B7331" s="56" t="n">
        <v>45729.50416666667</v>
      </c>
      <c r="C7331" t="inlineStr">
        <is>
          <t>Bluestone Memorial Hospital</t>
        </is>
      </c>
      <c r="D7331" t="n">
        <v>46</v>
      </c>
    </row>
    <row r="7332">
      <c r="A7332" t="inlineStr">
        <is>
          <t>ED207491</t>
        </is>
      </c>
      <c r="B7332" s="56" t="n">
        <v>45729.50972222222</v>
      </c>
      <c r="C7332" t="inlineStr">
        <is>
          <t>Ashby Falls Community Hospital</t>
        </is>
      </c>
      <c r="D7332" t="n">
        <v>39</v>
      </c>
    </row>
    <row r="7333">
      <c r="A7333" t="inlineStr">
        <is>
          <t>ED207492</t>
        </is>
      </c>
      <c r="B7333" s="56" t="n">
        <v>45729.57708333333</v>
      </c>
      <c r="C7333" t="inlineStr">
        <is>
          <t>Bluestone Memorial Hospital</t>
        </is>
      </c>
      <c r="D7333" t="n">
        <v>136</v>
      </c>
    </row>
    <row r="7334">
      <c r="A7334" t="inlineStr">
        <is>
          <t>ED207493</t>
        </is>
      </c>
      <c r="B7334" s="56" t="n">
        <v>45729.62152777778</v>
      </c>
      <c r="C7334" t="inlineStr">
        <is>
          <t>Ashby Falls Community Hospital</t>
        </is>
      </c>
      <c r="D7334" t="n">
        <v>29</v>
      </c>
    </row>
    <row r="7335">
      <c r="A7335" t="inlineStr">
        <is>
          <t>ED207494</t>
        </is>
      </c>
      <c r="B7335" s="56" t="n">
        <v>45729.62361111111</v>
      </c>
      <c r="C7335" t="inlineStr">
        <is>
          <t>Bluestone Memorial Hospital</t>
        </is>
      </c>
      <c r="D7335" t="n">
        <v>112</v>
      </c>
    </row>
    <row r="7336">
      <c r="A7336" t="inlineStr">
        <is>
          <t>ED207495</t>
        </is>
      </c>
      <c r="B7336" s="56" t="n">
        <v>45729.67777777778</v>
      </c>
      <c r="C7336" t="inlineStr">
        <is>
          <t>Cedar Ridge Medical Center</t>
        </is>
      </c>
      <c r="D7336" t="n">
        <v>59</v>
      </c>
    </row>
    <row r="7337">
      <c r="A7337" t="inlineStr">
        <is>
          <t>ED207496</t>
        </is>
      </c>
      <c r="B7337" s="56" t="n">
        <v>45729.70555555556</v>
      </c>
      <c r="C7337" t="inlineStr">
        <is>
          <t>Bluestone Memorial Hospital</t>
        </is>
      </c>
      <c r="D7337" t="n">
        <v>33</v>
      </c>
    </row>
    <row r="7338">
      <c r="A7338" t="inlineStr">
        <is>
          <t>ED207497</t>
        </is>
      </c>
      <c r="B7338" s="56" t="n">
        <v>45729.70555555556</v>
      </c>
      <c r="C7338" t="inlineStr">
        <is>
          <t>Ashby Falls Community Hospital</t>
        </is>
      </c>
      <c r="D7338" t="n">
        <v>27</v>
      </c>
    </row>
    <row r="7339">
      <c r="A7339" t="inlineStr">
        <is>
          <t>ED207498</t>
        </is>
      </c>
      <c r="B7339" s="56" t="n">
        <v>45729.775</v>
      </c>
      <c r="C7339" t="inlineStr">
        <is>
          <t>Bluestone Memorial Hospital</t>
        </is>
      </c>
      <c r="D7339" t="n">
        <v>100</v>
      </c>
    </row>
    <row r="7340">
      <c r="A7340" t="inlineStr">
        <is>
          <t>ED207499</t>
        </is>
      </c>
      <c r="B7340" s="56" t="n">
        <v>45729.79791666667</v>
      </c>
      <c r="C7340" t="inlineStr">
        <is>
          <t>Cedar Ridge Medical Center</t>
        </is>
      </c>
      <c r="D7340" t="n">
        <v>124</v>
      </c>
    </row>
    <row r="7341">
      <c r="A7341" t="inlineStr">
        <is>
          <t>ED207500</t>
        </is>
      </c>
      <c r="B7341" s="56" t="n">
        <v>45729.86597222222</v>
      </c>
      <c r="C7341" t="inlineStr">
        <is>
          <t>Bluestone Memorial Hospital</t>
        </is>
      </c>
      <c r="D7341" t="n">
        <v>5</v>
      </c>
    </row>
    <row r="7342">
      <c r="A7342" t="inlineStr">
        <is>
          <t>ED207501</t>
        </is>
      </c>
      <c r="B7342" s="56" t="n">
        <v>45729.93125</v>
      </c>
      <c r="C7342" t="inlineStr">
        <is>
          <t>Bluestone Memorial Hospital</t>
        </is>
      </c>
      <c r="D7342" t="n">
        <v>11</v>
      </c>
    </row>
    <row r="7343">
      <c r="A7343" t="inlineStr">
        <is>
          <t>ED207502</t>
        </is>
      </c>
      <c r="B7343" s="56" t="n">
        <v>45729.98541666667</v>
      </c>
      <c r="C7343" t="inlineStr">
        <is>
          <t>Ashby Falls Community Hospital</t>
        </is>
      </c>
      <c r="D7343" t="n">
        <v>89</v>
      </c>
    </row>
    <row r="7344">
      <c r="A7344" t="inlineStr">
        <is>
          <t>ED207503</t>
        </is>
      </c>
      <c r="B7344" s="56" t="n">
        <v>45730.01319444444</v>
      </c>
      <c r="C7344" t="inlineStr">
        <is>
          <t>Bluestone Memorial Hospital</t>
        </is>
      </c>
      <c r="D7344" t="n">
        <v>26</v>
      </c>
    </row>
    <row r="7345">
      <c r="A7345" t="inlineStr">
        <is>
          <t>ED207504</t>
        </is>
      </c>
      <c r="B7345" s="56" t="n">
        <v>45730.25972222222</v>
      </c>
      <c r="C7345" t="inlineStr">
        <is>
          <t>Bluestone Memorial Hospital</t>
        </is>
      </c>
      <c r="D7345" t="n">
        <v>54</v>
      </c>
    </row>
    <row r="7346">
      <c r="A7346" t="inlineStr">
        <is>
          <t>ED207505</t>
        </is>
      </c>
      <c r="B7346" s="56" t="n">
        <v>45730.36805555555</v>
      </c>
      <c r="C7346" t="inlineStr">
        <is>
          <t>Cedar Ridge Medical Center</t>
        </is>
      </c>
      <c r="D7346" t="n">
        <v>25</v>
      </c>
    </row>
    <row r="7347">
      <c r="A7347" t="inlineStr">
        <is>
          <t>ED207506</t>
        </is>
      </c>
      <c r="B7347" s="56" t="n">
        <v>45730.41180555556</v>
      </c>
      <c r="C7347" t="inlineStr">
        <is>
          <t>Bluestone Memorial Hospital</t>
        </is>
      </c>
      <c r="D7347" t="n">
        <v>55</v>
      </c>
    </row>
    <row r="7348">
      <c r="A7348" t="inlineStr">
        <is>
          <t>ED207507</t>
        </is>
      </c>
      <c r="B7348" s="56" t="n">
        <v>45730.42430555556</v>
      </c>
      <c r="C7348" t="inlineStr">
        <is>
          <t>Bluestone Memorial Hospital</t>
        </is>
      </c>
      <c r="D7348" t="n">
        <v>22</v>
      </c>
    </row>
    <row r="7349">
      <c r="A7349" t="inlineStr">
        <is>
          <t>ED207508</t>
        </is>
      </c>
      <c r="B7349" s="56" t="n">
        <v>45730.43402777778</v>
      </c>
      <c r="C7349" t="inlineStr">
        <is>
          <t>Bluestone Memorial Hospital</t>
        </is>
      </c>
      <c r="D7349" t="n">
        <v>1</v>
      </c>
    </row>
    <row r="7350">
      <c r="A7350" t="inlineStr">
        <is>
          <t>ED207509</t>
        </is>
      </c>
      <c r="B7350" s="56" t="n">
        <v>45730.4625</v>
      </c>
      <c r="C7350" t="inlineStr">
        <is>
          <t>Cedar Ridge Medical Center</t>
        </is>
      </c>
      <c r="D7350" t="n">
        <v>62</v>
      </c>
    </row>
    <row r="7351">
      <c r="A7351" t="inlineStr">
        <is>
          <t>ED207510</t>
        </is>
      </c>
      <c r="B7351" s="56" t="n">
        <v>45730.47569444445</v>
      </c>
      <c r="C7351" t="inlineStr">
        <is>
          <t>Bluestone Memorial Hospital</t>
        </is>
      </c>
      <c r="D7351" t="n">
        <v>92</v>
      </c>
    </row>
    <row r="7352">
      <c r="A7352" t="inlineStr">
        <is>
          <t>ED207511</t>
        </is>
      </c>
      <c r="B7352" s="56" t="n">
        <v>45730.51805555556</v>
      </c>
      <c r="C7352" t="inlineStr">
        <is>
          <t>Cedar Ridge Medical Center</t>
        </is>
      </c>
      <c r="D7352" t="n">
        <v>53</v>
      </c>
    </row>
    <row r="7353">
      <c r="A7353" t="inlineStr">
        <is>
          <t>ED207512</t>
        </is>
      </c>
      <c r="B7353" s="56" t="n">
        <v>45730.60763888889</v>
      </c>
      <c r="C7353" t="inlineStr">
        <is>
          <t>Bluestone Memorial Hospital</t>
        </is>
      </c>
      <c r="D7353" t="n">
        <v>32</v>
      </c>
    </row>
    <row r="7354">
      <c r="A7354" t="inlineStr">
        <is>
          <t>ED207513</t>
        </is>
      </c>
      <c r="B7354" s="56" t="n">
        <v>45730.6125</v>
      </c>
      <c r="C7354" t="inlineStr">
        <is>
          <t>Bluestone Memorial Hospital</t>
        </is>
      </c>
      <c r="D7354" t="n">
        <v>18</v>
      </c>
    </row>
    <row r="7355">
      <c r="A7355" t="inlineStr">
        <is>
          <t>ED207514</t>
        </is>
      </c>
      <c r="B7355" s="56" t="n">
        <v>45730.62222222222</v>
      </c>
      <c r="C7355" t="inlineStr">
        <is>
          <t>Bluestone Memorial Hospital</t>
        </is>
      </c>
      <c r="D7355" t="n">
        <v>209</v>
      </c>
    </row>
    <row r="7356">
      <c r="A7356" t="inlineStr">
        <is>
          <t>ED207515</t>
        </is>
      </c>
      <c r="B7356" s="56" t="n">
        <v>45730.72847222222</v>
      </c>
      <c r="C7356" t="inlineStr">
        <is>
          <t>Bluestone Memorial Hospital</t>
        </is>
      </c>
      <c r="D7356" t="n">
        <v>42</v>
      </c>
    </row>
    <row r="7357">
      <c r="A7357" t="inlineStr">
        <is>
          <t>ED207516</t>
        </is>
      </c>
      <c r="B7357" s="56" t="n">
        <v>45730.80208333334</v>
      </c>
      <c r="C7357" t="inlineStr">
        <is>
          <t>Bluestone Memorial Hospital</t>
        </is>
      </c>
      <c r="D7357" t="n">
        <v>46</v>
      </c>
    </row>
    <row r="7358">
      <c r="A7358" t="inlineStr">
        <is>
          <t>ED207517</t>
        </is>
      </c>
      <c r="B7358" s="56" t="n">
        <v>45730.86736111111</v>
      </c>
      <c r="C7358" t="inlineStr">
        <is>
          <t>Ashby Falls Community Hospital</t>
        </is>
      </c>
      <c r="D7358" t="n">
        <v>22</v>
      </c>
    </row>
    <row r="7359">
      <c r="A7359" t="inlineStr">
        <is>
          <t>ED207518</t>
        </is>
      </c>
      <c r="B7359" s="56" t="n">
        <v>45731.00069444445</v>
      </c>
      <c r="C7359" t="inlineStr">
        <is>
          <t>Bluestone Memorial Hospital</t>
        </is>
      </c>
      <c r="D7359" t="n">
        <v>15</v>
      </c>
    </row>
    <row r="7360">
      <c r="A7360" t="inlineStr">
        <is>
          <t>ED207519</t>
        </is>
      </c>
      <c r="B7360" s="56" t="n">
        <v>45731.05486111111</v>
      </c>
      <c r="C7360" t="inlineStr">
        <is>
          <t>Bluestone Memorial Hospital</t>
        </is>
      </c>
      <c r="D7360" t="n">
        <v>79</v>
      </c>
    </row>
    <row r="7361">
      <c r="A7361" t="inlineStr">
        <is>
          <t>ED207520</t>
        </is>
      </c>
      <c r="B7361" s="56" t="n">
        <v>45731.06458333333</v>
      </c>
      <c r="C7361" t="inlineStr">
        <is>
          <t>Cedar Ridge Medical Center</t>
        </is>
      </c>
      <c r="D7361" t="n">
        <v>24</v>
      </c>
    </row>
    <row r="7362">
      <c r="A7362" t="inlineStr">
        <is>
          <t>ED207521</t>
        </is>
      </c>
      <c r="B7362" s="56" t="n">
        <v>45731.19097222222</v>
      </c>
      <c r="C7362" t="inlineStr">
        <is>
          <t>Cedar Ridge Medical Center</t>
        </is>
      </c>
      <c r="D7362" t="n">
        <v>27</v>
      </c>
    </row>
    <row r="7363">
      <c r="A7363" t="inlineStr">
        <is>
          <t>ED207522</t>
        </is>
      </c>
      <c r="B7363" s="56" t="n">
        <v>45731.29722222222</v>
      </c>
      <c r="C7363" t="inlineStr">
        <is>
          <t>Cedar Ridge Medical Center</t>
        </is>
      </c>
      <c r="D7363" t="n">
        <v>29</v>
      </c>
    </row>
    <row r="7364">
      <c r="A7364" t="inlineStr">
        <is>
          <t>ED207523</t>
        </is>
      </c>
      <c r="B7364" s="56" t="n">
        <v>45731.35138888889</v>
      </c>
      <c r="C7364" t="inlineStr">
        <is>
          <t>Cedar Ridge Medical Center</t>
        </is>
      </c>
      <c r="D7364" t="n">
        <v>21</v>
      </c>
    </row>
    <row r="7365">
      <c r="A7365" t="inlineStr">
        <is>
          <t>ED207524</t>
        </is>
      </c>
      <c r="B7365" s="56" t="n">
        <v>45731.38402777778</v>
      </c>
      <c r="C7365" t="inlineStr">
        <is>
          <t>Bluestone Memorial Hospital</t>
        </is>
      </c>
      <c r="D7365" t="n">
        <v>55</v>
      </c>
    </row>
    <row r="7366">
      <c r="A7366" t="inlineStr">
        <is>
          <t>ED207525</t>
        </is>
      </c>
      <c r="B7366" s="56" t="n">
        <v>45731.4375</v>
      </c>
      <c r="C7366" t="inlineStr">
        <is>
          <t>Bluestone Memorial Hospital</t>
        </is>
      </c>
      <c r="D7366" t="n">
        <v>35</v>
      </c>
    </row>
    <row r="7367">
      <c r="A7367" t="inlineStr">
        <is>
          <t>ED207526</t>
        </is>
      </c>
      <c r="B7367" s="56" t="n">
        <v>45731.45138888889</v>
      </c>
      <c r="C7367" t="inlineStr">
        <is>
          <t>Cedar Ridge Medical Center</t>
        </is>
      </c>
      <c r="D7367" t="n">
        <v>13</v>
      </c>
    </row>
    <row r="7368">
      <c r="A7368" t="inlineStr">
        <is>
          <t>ED207527</t>
        </is>
      </c>
      <c r="B7368" s="56" t="n">
        <v>45731.49791666667</v>
      </c>
      <c r="C7368" t="inlineStr">
        <is>
          <t>Bluestone Memorial Hospital</t>
        </is>
      </c>
      <c r="D7368" t="n">
        <v>251</v>
      </c>
    </row>
    <row r="7369">
      <c r="A7369" t="inlineStr">
        <is>
          <t>ED207528</t>
        </is>
      </c>
      <c r="B7369" s="56" t="n">
        <v>45731.53888888889</v>
      </c>
      <c r="C7369" t="inlineStr">
        <is>
          <t>Cedar Ridge Medical Center</t>
        </is>
      </c>
      <c r="D7369" t="n">
        <v>41</v>
      </c>
    </row>
    <row r="7370">
      <c r="A7370" t="inlineStr">
        <is>
          <t>ED207529</t>
        </is>
      </c>
      <c r="B7370" s="56" t="n">
        <v>45731.57430555556</v>
      </c>
      <c r="C7370" t="inlineStr">
        <is>
          <t>Bluestone Memorial Hospital</t>
        </is>
      </c>
      <c r="D7370" t="n">
        <v>33</v>
      </c>
    </row>
    <row r="7371">
      <c r="A7371" t="inlineStr">
        <is>
          <t>ED207530</t>
        </is>
      </c>
      <c r="B7371" s="56" t="n">
        <v>45731.60416666666</v>
      </c>
      <c r="C7371" t="inlineStr">
        <is>
          <t>Bluestone Memorial Hospital</t>
        </is>
      </c>
      <c r="D7371" t="n">
        <v>62</v>
      </c>
    </row>
    <row r="7372">
      <c r="A7372" t="inlineStr">
        <is>
          <t>ED207531</t>
        </is>
      </c>
      <c r="B7372" s="56" t="n">
        <v>45731.6375</v>
      </c>
      <c r="C7372" t="inlineStr">
        <is>
          <t>Bluestone Memorial Hospital</t>
        </is>
      </c>
      <c r="D7372" t="n">
        <v>27</v>
      </c>
    </row>
    <row r="7373">
      <c r="A7373" t="inlineStr">
        <is>
          <t>ED207532</t>
        </is>
      </c>
      <c r="B7373" s="56" t="n">
        <v>45731.65625</v>
      </c>
      <c r="C7373" t="inlineStr">
        <is>
          <t>Bluestone Memorial Hospital</t>
        </is>
      </c>
      <c r="D7373" t="n">
        <v>50</v>
      </c>
    </row>
    <row r="7374">
      <c r="A7374" t="inlineStr">
        <is>
          <t>ED207533</t>
        </is>
      </c>
      <c r="B7374" s="56" t="n">
        <v>45731.66111111111</v>
      </c>
      <c r="C7374" t="inlineStr">
        <is>
          <t>Bluestone Memorial Hospital</t>
        </is>
      </c>
      <c r="D7374" t="n">
        <v>70</v>
      </c>
    </row>
    <row r="7375">
      <c r="A7375" t="inlineStr">
        <is>
          <t>ED207534</t>
        </is>
      </c>
      <c r="B7375" s="56" t="n">
        <v>45731.72361111111</v>
      </c>
      <c r="C7375" t="inlineStr">
        <is>
          <t>Bluestone Memorial Hospital</t>
        </is>
      </c>
      <c r="D7375" t="n">
        <v>41</v>
      </c>
    </row>
    <row r="7376">
      <c r="A7376" t="inlineStr">
        <is>
          <t>ED207535</t>
        </is>
      </c>
      <c r="B7376" s="56" t="n">
        <v>45731.73958333334</v>
      </c>
      <c r="C7376" t="inlineStr">
        <is>
          <t>Bluestone Memorial Hospital</t>
        </is>
      </c>
      <c r="D7376" t="n">
        <v>23</v>
      </c>
    </row>
    <row r="7377">
      <c r="A7377" t="inlineStr">
        <is>
          <t>ED207536</t>
        </is>
      </c>
      <c r="B7377" s="56" t="n">
        <v>45731.83611111111</v>
      </c>
      <c r="C7377" t="inlineStr">
        <is>
          <t>Cedar Ridge Medical Center</t>
        </is>
      </c>
      <c r="D7377" t="n">
        <v>2</v>
      </c>
    </row>
    <row r="7378">
      <c r="A7378" t="inlineStr">
        <is>
          <t>ED207537</t>
        </is>
      </c>
      <c r="B7378" s="56" t="n">
        <v>45731.90555555555</v>
      </c>
      <c r="C7378" t="inlineStr">
        <is>
          <t>Ashby Falls Community Hospital</t>
        </is>
      </c>
      <c r="D7378" t="n">
        <v>11</v>
      </c>
    </row>
    <row r="7379">
      <c r="A7379" t="inlineStr">
        <is>
          <t>ED207538</t>
        </is>
      </c>
      <c r="B7379" s="56" t="n">
        <v>45732.07638888889</v>
      </c>
      <c r="C7379" t="inlineStr">
        <is>
          <t>Cedar Ridge Medical Center</t>
        </is>
      </c>
      <c r="D7379" t="n">
        <v>14</v>
      </c>
    </row>
    <row r="7380">
      <c r="A7380" t="inlineStr">
        <is>
          <t>ED207539</t>
        </is>
      </c>
      <c r="B7380" s="56" t="n">
        <v>45732.25208333333</v>
      </c>
      <c r="C7380" t="inlineStr">
        <is>
          <t>Ashby Falls Community Hospital</t>
        </is>
      </c>
      <c r="D7380" t="n">
        <v>31</v>
      </c>
    </row>
    <row r="7381">
      <c r="A7381" t="inlineStr">
        <is>
          <t>ED207540</t>
        </is>
      </c>
      <c r="B7381" s="56" t="n">
        <v>45732.33680555555</v>
      </c>
      <c r="C7381" t="inlineStr">
        <is>
          <t>Bluestone Memorial Hospital</t>
        </is>
      </c>
      <c r="D7381" t="n">
        <v>30</v>
      </c>
    </row>
    <row r="7382">
      <c r="A7382" t="inlineStr">
        <is>
          <t>ED207541</t>
        </is>
      </c>
      <c r="B7382" s="56" t="n">
        <v>45732.3875</v>
      </c>
      <c r="C7382" t="inlineStr">
        <is>
          <t>Cedar Ridge Medical Center</t>
        </is>
      </c>
      <c r="D7382" t="n">
        <v>117</v>
      </c>
    </row>
    <row r="7383">
      <c r="A7383" t="inlineStr">
        <is>
          <t>ED207542</t>
        </is>
      </c>
      <c r="B7383" s="56" t="n">
        <v>45732.40972222222</v>
      </c>
      <c r="C7383" t="inlineStr">
        <is>
          <t>Bluestone Memorial Hospital</t>
        </is>
      </c>
      <c r="D7383" t="n">
        <v>12</v>
      </c>
    </row>
    <row r="7384">
      <c r="A7384" t="inlineStr">
        <is>
          <t>ED207543</t>
        </is>
      </c>
      <c r="B7384" s="56" t="n">
        <v>45732.46944444445</v>
      </c>
      <c r="C7384" t="inlineStr">
        <is>
          <t>Cedar Ridge Medical Center</t>
        </is>
      </c>
      <c r="D7384" t="n">
        <v>8</v>
      </c>
    </row>
    <row r="7385">
      <c r="A7385" t="inlineStr">
        <is>
          <t>ED207544</t>
        </is>
      </c>
      <c r="B7385" s="56" t="n">
        <v>45732.51527777778</v>
      </c>
      <c r="C7385" t="inlineStr">
        <is>
          <t>Bluestone Memorial Hospital</t>
        </is>
      </c>
      <c r="D7385" t="n">
        <v>48</v>
      </c>
    </row>
    <row r="7386">
      <c r="A7386" t="inlineStr">
        <is>
          <t>ED207545</t>
        </is>
      </c>
      <c r="B7386" s="56" t="n">
        <v>45732.56736111111</v>
      </c>
      <c r="C7386" t="inlineStr">
        <is>
          <t>Bluestone Memorial Hospital</t>
        </is>
      </c>
      <c r="D7386" t="n">
        <v>30</v>
      </c>
    </row>
    <row r="7387">
      <c r="A7387" t="inlineStr">
        <is>
          <t>ED207546</t>
        </is>
      </c>
      <c r="B7387" s="56" t="n">
        <v>45732.57291666666</v>
      </c>
      <c r="C7387" t="inlineStr">
        <is>
          <t>Cedar Ridge Medical Center</t>
        </is>
      </c>
      <c r="D7387" t="n">
        <v>44</v>
      </c>
    </row>
    <row r="7388">
      <c r="A7388" t="inlineStr">
        <is>
          <t>ED207547</t>
        </is>
      </c>
      <c r="B7388" s="56" t="n">
        <v>45732.68888888889</v>
      </c>
      <c r="C7388" t="inlineStr">
        <is>
          <t>Bluestone Memorial Hospital</t>
        </is>
      </c>
      <c r="D7388" t="n">
        <v>12</v>
      </c>
    </row>
    <row r="7389">
      <c r="A7389" t="inlineStr">
        <is>
          <t>ED207548</t>
        </is>
      </c>
      <c r="B7389" s="56" t="n">
        <v>45732.69513888889</v>
      </c>
      <c r="C7389" t="inlineStr">
        <is>
          <t>Cedar Ridge Medical Center</t>
        </is>
      </c>
      <c r="D7389" t="n">
        <v>67</v>
      </c>
    </row>
    <row r="7390">
      <c r="A7390" t="inlineStr">
        <is>
          <t>ED207549</t>
        </is>
      </c>
      <c r="B7390" s="56" t="n">
        <v>45732.7125</v>
      </c>
      <c r="C7390" t="inlineStr">
        <is>
          <t>Ashby Falls Community Hospital</t>
        </is>
      </c>
      <c r="D7390" t="n">
        <v>46</v>
      </c>
    </row>
    <row r="7391">
      <c r="A7391" t="inlineStr">
        <is>
          <t>ED207550</t>
        </is>
      </c>
      <c r="B7391" s="56" t="n">
        <v>45732.80138888889</v>
      </c>
      <c r="C7391" t="inlineStr">
        <is>
          <t>Bluestone Memorial Hospital</t>
        </is>
      </c>
      <c r="D7391" t="n">
        <v>32</v>
      </c>
    </row>
    <row r="7392">
      <c r="A7392" t="inlineStr">
        <is>
          <t>ED207551</t>
        </is>
      </c>
      <c r="B7392" s="56" t="n">
        <v>45732.89027777778</v>
      </c>
      <c r="C7392" t="inlineStr">
        <is>
          <t>Bluestone Memorial Hospital</t>
        </is>
      </c>
      <c r="D7392" t="n">
        <v>65</v>
      </c>
    </row>
    <row r="7393">
      <c r="A7393" t="inlineStr">
        <is>
          <t>ED207552</t>
        </is>
      </c>
      <c r="B7393" s="56" t="n">
        <v>45732.89305555556</v>
      </c>
      <c r="C7393" t="inlineStr">
        <is>
          <t>Bluestone Memorial Hospital</t>
        </is>
      </c>
      <c r="D7393" t="n">
        <v>24</v>
      </c>
    </row>
    <row r="7394">
      <c r="A7394" t="inlineStr">
        <is>
          <t>ED207553</t>
        </is>
      </c>
      <c r="B7394" s="56" t="n">
        <v>45732.89722222222</v>
      </c>
      <c r="C7394" t="inlineStr">
        <is>
          <t>Bluestone Memorial Hospital</t>
        </is>
      </c>
      <c r="D7394" t="n">
        <v>31</v>
      </c>
    </row>
    <row r="7395">
      <c r="A7395" t="inlineStr">
        <is>
          <t>ED207554</t>
        </is>
      </c>
      <c r="B7395" s="56" t="n">
        <v>45732.9125</v>
      </c>
      <c r="C7395" t="inlineStr">
        <is>
          <t>Ashby Falls Community Hospital</t>
        </is>
      </c>
      <c r="D7395" t="n">
        <v>32</v>
      </c>
    </row>
    <row r="7396">
      <c r="A7396" t="inlineStr">
        <is>
          <t>ED207555</t>
        </is>
      </c>
      <c r="B7396" s="56" t="n">
        <v>45732.91388888889</v>
      </c>
      <c r="C7396" t="inlineStr">
        <is>
          <t>Cedar Ridge Medical Center</t>
        </is>
      </c>
      <c r="D7396" t="n">
        <v>35</v>
      </c>
    </row>
    <row r="7397">
      <c r="A7397" t="inlineStr">
        <is>
          <t>ED207556</t>
        </is>
      </c>
      <c r="B7397" s="56" t="n">
        <v>45733.00972222222</v>
      </c>
      <c r="C7397" t="inlineStr">
        <is>
          <t>Bluestone Memorial Hospital</t>
        </is>
      </c>
      <c r="D7397" t="n">
        <v>22</v>
      </c>
    </row>
    <row r="7398">
      <c r="A7398" t="inlineStr">
        <is>
          <t>ED207557</t>
        </is>
      </c>
      <c r="B7398" s="56" t="n">
        <v>45733.03958333333</v>
      </c>
      <c r="C7398" t="inlineStr">
        <is>
          <t>Ashby Falls Community Hospital</t>
        </is>
      </c>
      <c r="D7398" t="n">
        <v>59</v>
      </c>
    </row>
    <row r="7399">
      <c r="A7399" t="inlineStr">
        <is>
          <t>ED207558</t>
        </is>
      </c>
      <c r="B7399" s="56" t="n">
        <v>45733.03958333333</v>
      </c>
      <c r="C7399" t="inlineStr">
        <is>
          <t>Ashby Falls Community Hospital</t>
        </is>
      </c>
      <c r="D7399" t="n">
        <v>21</v>
      </c>
    </row>
    <row r="7400">
      <c r="A7400" t="inlineStr">
        <is>
          <t>ED207559</t>
        </is>
      </c>
      <c r="B7400" s="56" t="n">
        <v>45733.10902777778</v>
      </c>
      <c r="C7400" t="inlineStr">
        <is>
          <t>Bluestone Memorial Hospital</t>
        </is>
      </c>
      <c r="D7400" t="n">
        <v>9</v>
      </c>
    </row>
    <row r="7401">
      <c r="A7401" t="inlineStr">
        <is>
          <t>ED207560</t>
        </is>
      </c>
      <c r="B7401" s="56" t="n">
        <v>45733.20972222222</v>
      </c>
      <c r="C7401" t="inlineStr">
        <is>
          <t>Bluestone Memorial Hospital</t>
        </is>
      </c>
      <c r="D7401" t="n">
        <v>24</v>
      </c>
    </row>
    <row r="7402">
      <c r="A7402" t="inlineStr">
        <is>
          <t>ED207561</t>
        </is>
      </c>
      <c r="B7402" s="56" t="n">
        <v>45733.26805555556</v>
      </c>
      <c r="C7402" t="inlineStr">
        <is>
          <t>Bluestone Memorial Hospital</t>
        </is>
      </c>
      <c r="D7402" t="n">
        <v>19</v>
      </c>
    </row>
    <row r="7403">
      <c r="A7403" t="inlineStr">
        <is>
          <t>ED207562</t>
        </is>
      </c>
      <c r="B7403" s="56" t="n">
        <v>45733.27083333334</v>
      </c>
      <c r="C7403" t="inlineStr">
        <is>
          <t>Bluestone Memorial Hospital</t>
        </is>
      </c>
      <c r="D7403" t="n">
        <v>8</v>
      </c>
    </row>
    <row r="7404">
      <c r="A7404" t="inlineStr">
        <is>
          <t>ED207563</t>
        </is>
      </c>
      <c r="B7404" s="56" t="n">
        <v>45733.2875</v>
      </c>
      <c r="C7404" t="inlineStr">
        <is>
          <t>Bluestone Memorial Hospital</t>
        </is>
      </c>
      <c r="D7404" t="n">
        <v>12</v>
      </c>
    </row>
    <row r="7405">
      <c r="A7405" t="inlineStr">
        <is>
          <t>ED207564</t>
        </is>
      </c>
      <c r="B7405" s="56" t="n">
        <v>45733.40138888889</v>
      </c>
      <c r="C7405" t="inlineStr">
        <is>
          <t>Bluestone Memorial Hospital</t>
        </is>
      </c>
      <c r="D7405" t="n">
        <v>58</v>
      </c>
    </row>
    <row r="7406">
      <c r="A7406" t="inlineStr">
        <is>
          <t>ED207565</t>
        </is>
      </c>
      <c r="B7406" s="56" t="n">
        <v>45733.41111111111</v>
      </c>
      <c r="C7406" t="inlineStr">
        <is>
          <t>Bluestone Memorial Hospital</t>
        </is>
      </c>
      <c r="D7406" t="n">
        <v>87</v>
      </c>
    </row>
    <row r="7407">
      <c r="A7407" t="inlineStr">
        <is>
          <t>ED207566</t>
        </is>
      </c>
      <c r="B7407" s="56" t="n">
        <v>45733.44166666667</v>
      </c>
      <c r="C7407" t="inlineStr">
        <is>
          <t>Bluestone Memorial Hospital</t>
        </is>
      </c>
      <c r="D7407" t="n">
        <v>20</v>
      </c>
    </row>
    <row r="7408">
      <c r="A7408" t="inlineStr">
        <is>
          <t>ED207567</t>
        </is>
      </c>
      <c r="B7408" s="56" t="n">
        <v>45733.51458333333</v>
      </c>
      <c r="C7408" t="inlineStr">
        <is>
          <t>Cedar Ridge Medical Center</t>
        </is>
      </c>
      <c r="D7408" t="n">
        <v>2</v>
      </c>
    </row>
    <row r="7409">
      <c r="A7409" t="inlineStr">
        <is>
          <t>ED207568</t>
        </is>
      </c>
      <c r="B7409" s="56" t="n">
        <v>45733.5875</v>
      </c>
      <c r="C7409" t="inlineStr">
        <is>
          <t>Bluestone Memorial Hospital</t>
        </is>
      </c>
      <c r="D7409" t="n">
        <v>45</v>
      </c>
    </row>
    <row r="7410">
      <c r="A7410" t="inlineStr">
        <is>
          <t>ED207569</t>
        </is>
      </c>
      <c r="B7410" s="56" t="n">
        <v>45733.67708333334</v>
      </c>
      <c r="C7410" t="inlineStr">
        <is>
          <t>Bluestone Memorial Hospital</t>
        </is>
      </c>
      <c r="D7410" t="n">
        <v>27</v>
      </c>
    </row>
    <row r="7411">
      <c r="A7411" t="inlineStr">
        <is>
          <t>ED207570</t>
        </is>
      </c>
      <c r="B7411" s="56" t="n">
        <v>45733.67986111111</v>
      </c>
      <c r="C7411" t="inlineStr">
        <is>
          <t>Bluestone Memorial Hospital</t>
        </is>
      </c>
      <c r="D7411" t="n">
        <v>38</v>
      </c>
    </row>
    <row r="7412">
      <c r="A7412" t="inlineStr">
        <is>
          <t>ED207571</t>
        </is>
      </c>
      <c r="B7412" s="56" t="n">
        <v>45733.69375</v>
      </c>
      <c r="C7412" t="inlineStr">
        <is>
          <t>Bluestone Memorial Hospital</t>
        </is>
      </c>
      <c r="D7412" t="n">
        <v>28</v>
      </c>
    </row>
    <row r="7413">
      <c r="A7413" t="inlineStr">
        <is>
          <t>ED207572</t>
        </is>
      </c>
      <c r="B7413" s="56" t="n">
        <v>45733.71736111111</v>
      </c>
      <c r="C7413" t="inlineStr">
        <is>
          <t>Cedar Ridge Medical Center</t>
        </is>
      </c>
      <c r="D7413" t="n">
        <v>67</v>
      </c>
    </row>
    <row r="7414">
      <c r="A7414" t="inlineStr">
        <is>
          <t>ED207573</t>
        </is>
      </c>
      <c r="B7414" s="56" t="n">
        <v>45733.71875</v>
      </c>
      <c r="C7414" t="inlineStr">
        <is>
          <t>Bluestone Memorial Hospital</t>
        </is>
      </c>
      <c r="D7414" t="n">
        <v>101</v>
      </c>
    </row>
    <row r="7415">
      <c r="A7415" t="inlineStr">
        <is>
          <t>ED207574</t>
        </is>
      </c>
      <c r="B7415" s="56" t="n">
        <v>45733.73888888889</v>
      </c>
      <c r="C7415" t="inlineStr">
        <is>
          <t>Bluestone Memorial Hospital</t>
        </is>
      </c>
      <c r="D7415" t="n">
        <v>28</v>
      </c>
    </row>
    <row r="7416">
      <c r="A7416" t="inlineStr">
        <is>
          <t>ED207575</t>
        </is>
      </c>
      <c r="B7416" s="56" t="n">
        <v>45733.77083333334</v>
      </c>
      <c r="C7416" t="inlineStr">
        <is>
          <t>Ashby Falls Community Hospital</t>
        </is>
      </c>
      <c r="D7416" t="n">
        <v>64</v>
      </c>
    </row>
    <row r="7417">
      <c r="A7417" t="inlineStr">
        <is>
          <t>ED207576</t>
        </is>
      </c>
      <c r="B7417" s="56" t="n">
        <v>45733.77916666667</v>
      </c>
      <c r="C7417" t="inlineStr">
        <is>
          <t>Bluestone Memorial Hospital</t>
        </is>
      </c>
      <c r="D7417" t="n">
        <v>16</v>
      </c>
    </row>
    <row r="7418">
      <c r="A7418" t="inlineStr">
        <is>
          <t>ED207577</t>
        </is>
      </c>
      <c r="B7418" s="56" t="n">
        <v>45733.85416666666</v>
      </c>
      <c r="C7418" t="inlineStr">
        <is>
          <t>Ashby Falls Community Hospital</t>
        </is>
      </c>
      <c r="D7418" t="n">
        <v>8</v>
      </c>
    </row>
    <row r="7419">
      <c r="A7419" t="inlineStr">
        <is>
          <t>ED207578</t>
        </is>
      </c>
      <c r="B7419" s="56" t="n">
        <v>45733.85486111111</v>
      </c>
      <c r="C7419" t="inlineStr">
        <is>
          <t>Bluestone Memorial Hospital</t>
        </is>
      </c>
      <c r="D7419" t="n">
        <v>37</v>
      </c>
    </row>
    <row r="7420">
      <c r="A7420" t="inlineStr">
        <is>
          <t>ED207579</t>
        </is>
      </c>
      <c r="B7420" s="56" t="n">
        <v>45733.91041666667</v>
      </c>
      <c r="C7420" t="inlineStr">
        <is>
          <t>Ashby Falls Community Hospital</t>
        </is>
      </c>
      <c r="D7420" t="n">
        <v>17</v>
      </c>
    </row>
    <row r="7421">
      <c r="A7421" t="inlineStr">
        <is>
          <t>ED207580</t>
        </is>
      </c>
      <c r="B7421" s="56" t="n">
        <v>45733.96875</v>
      </c>
      <c r="C7421" t="inlineStr">
        <is>
          <t>Bluestone Memorial Hospital</t>
        </is>
      </c>
      <c r="D7421" t="n">
        <v>26</v>
      </c>
    </row>
    <row r="7422">
      <c r="A7422" t="inlineStr">
        <is>
          <t>ED207581</t>
        </is>
      </c>
      <c r="B7422" s="56" t="n">
        <v>45733.98333333333</v>
      </c>
      <c r="C7422" t="inlineStr">
        <is>
          <t>Bluestone Memorial Hospital</t>
        </is>
      </c>
      <c r="D7422" t="n">
        <v>3</v>
      </c>
    </row>
    <row r="7423">
      <c r="A7423" t="inlineStr">
        <is>
          <t>ED207582</t>
        </is>
      </c>
      <c r="B7423" s="56" t="n">
        <v>45734.01597222222</v>
      </c>
      <c r="C7423" t="inlineStr">
        <is>
          <t>Bluestone Memorial Hospital</t>
        </is>
      </c>
      <c r="D7423" t="n">
        <v>22</v>
      </c>
    </row>
    <row r="7424">
      <c r="A7424" t="inlineStr">
        <is>
          <t>ED207583</t>
        </is>
      </c>
      <c r="B7424" s="56" t="n">
        <v>45734.11319444444</v>
      </c>
      <c r="C7424" t="inlineStr">
        <is>
          <t>Bluestone Memorial Hospital</t>
        </is>
      </c>
      <c r="D7424" t="n">
        <v>62</v>
      </c>
    </row>
    <row r="7425">
      <c r="A7425" t="inlineStr">
        <is>
          <t>ED207584</t>
        </is>
      </c>
      <c r="B7425" s="56" t="n">
        <v>45734.18055555555</v>
      </c>
      <c r="C7425" t="inlineStr">
        <is>
          <t>Ashby Falls Community Hospital</t>
        </is>
      </c>
      <c r="D7425" t="n">
        <v>31</v>
      </c>
    </row>
    <row r="7426">
      <c r="A7426" t="inlineStr">
        <is>
          <t>ED207585</t>
        </is>
      </c>
      <c r="B7426" s="56" t="n">
        <v>45734.30208333334</v>
      </c>
      <c r="C7426" t="inlineStr">
        <is>
          <t>Bluestone Memorial Hospital</t>
        </is>
      </c>
      <c r="D7426" t="n">
        <v>33</v>
      </c>
    </row>
    <row r="7427">
      <c r="A7427" t="inlineStr">
        <is>
          <t>ED207586</t>
        </is>
      </c>
      <c r="B7427" s="56" t="n">
        <v>45734.325</v>
      </c>
      <c r="C7427" t="inlineStr">
        <is>
          <t>Bluestone Memorial Hospital</t>
        </is>
      </c>
      <c r="D7427" t="n">
        <v>62</v>
      </c>
    </row>
    <row r="7428">
      <c r="A7428" t="inlineStr">
        <is>
          <t>ED207587</t>
        </is>
      </c>
      <c r="B7428" s="56" t="n">
        <v>45734.4375</v>
      </c>
      <c r="C7428" t="inlineStr">
        <is>
          <t>Bluestone Memorial Hospital</t>
        </is>
      </c>
      <c r="D7428" t="n">
        <v>180</v>
      </c>
    </row>
    <row r="7429">
      <c r="A7429" t="inlineStr">
        <is>
          <t>ED207588</t>
        </is>
      </c>
      <c r="B7429" s="56" t="n">
        <v>45734.45208333333</v>
      </c>
      <c r="C7429" t="inlineStr">
        <is>
          <t>Bluestone Memorial Hospital</t>
        </is>
      </c>
      <c r="D7429" t="n">
        <v>70</v>
      </c>
    </row>
    <row r="7430">
      <c r="A7430" t="inlineStr">
        <is>
          <t>ED207589</t>
        </is>
      </c>
      <c r="B7430" s="56" t="n">
        <v>45734.54583333333</v>
      </c>
      <c r="C7430" t="inlineStr">
        <is>
          <t>Bluestone Memorial Hospital</t>
        </is>
      </c>
      <c r="D7430" t="n">
        <v>99</v>
      </c>
    </row>
    <row r="7431">
      <c r="A7431" t="inlineStr">
        <is>
          <t>ED207590</t>
        </is>
      </c>
      <c r="B7431" s="56" t="n">
        <v>45734.57916666667</v>
      </c>
      <c r="C7431" t="inlineStr">
        <is>
          <t>Ashby Falls Community Hospital</t>
        </is>
      </c>
      <c r="D7431" t="n">
        <v>193</v>
      </c>
    </row>
    <row r="7432">
      <c r="A7432" t="inlineStr">
        <is>
          <t>ED207591</t>
        </is>
      </c>
      <c r="B7432" s="56" t="n">
        <v>45734.69652777778</v>
      </c>
      <c r="C7432" t="inlineStr">
        <is>
          <t>Bluestone Memorial Hospital</t>
        </is>
      </c>
      <c r="D7432" t="n">
        <v>63</v>
      </c>
    </row>
    <row r="7433">
      <c r="A7433" t="inlineStr">
        <is>
          <t>ED207592</t>
        </is>
      </c>
      <c r="B7433" s="56" t="n">
        <v>45734.76180555556</v>
      </c>
      <c r="C7433" t="inlineStr">
        <is>
          <t>Bluestone Memorial Hospital</t>
        </is>
      </c>
      <c r="D7433" t="n">
        <v>61</v>
      </c>
    </row>
    <row r="7434">
      <c r="A7434" t="inlineStr">
        <is>
          <t>ED207593</t>
        </is>
      </c>
      <c r="B7434" s="56" t="n">
        <v>45734.82708333333</v>
      </c>
      <c r="C7434" t="inlineStr">
        <is>
          <t>Bluestone Memorial Hospital</t>
        </is>
      </c>
      <c r="D7434" t="n">
        <v>57</v>
      </c>
    </row>
    <row r="7435">
      <c r="A7435" t="inlineStr">
        <is>
          <t>ED207594</t>
        </is>
      </c>
      <c r="B7435" s="56" t="n">
        <v>45734.84166666667</v>
      </c>
      <c r="C7435" t="inlineStr">
        <is>
          <t>Cedar Ridge Medical Center</t>
        </is>
      </c>
      <c r="D7435" t="n">
        <v>29</v>
      </c>
    </row>
    <row r="7436">
      <c r="A7436" t="inlineStr">
        <is>
          <t>ED207595</t>
        </is>
      </c>
      <c r="B7436" s="56" t="n">
        <v>45734.87361111111</v>
      </c>
      <c r="C7436" t="inlineStr">
        <is>
          <t>Bluestone Memorial Hospital</t>
        </is>
      </c>
      <c r="D7436" t="n">
        <v>53</v>
      </c>
    </row>
    <row r="7437">
      <c r="A7437" t="inlineStr">
        <is>
          <t>ED207596</t>
        </is>
      </c>
      <c r="B7437" s="56" t="n">
        <v>45734.89027777778</v>
      </c>
      <c r="C7437" t="inlineStr">
        <is>
          <t>Bluestone Memorial Hospital</t>
        </is>
      </c>
      <c r="D7437" t="n">
        <v>25</v>
      </c>
    </row>
    <row r="7438">
      <c r="A7438" t="inlineStr">
        <is>
          <t>ED207597</t>
        </is>
      </c>
      <c r="B7438" s="56" t="n">
        <v>45734.98402777778</v>
      </c>
      <c r="C7438" t="inlineStr">
        <is>
          <t>Bluestone Memorial Hospital</t>
        </is>
      </c>
      <c r="D7438" t="n">
        <v>8</v>
      </c>
    </row>
    <row r="7439">
      <c r="A7439" t="inlineStr">
        <is>
          <t>ED207598</t>
        </is>
      </c>
      <c r="B7439" s="56" t="n">
        <v>45735.0125</v>
      </c>
      <c r="C7439" t="inlineStr">
        <is>
          <t>Cedar Ridge Medical Center</t>
        </is>
      </c>
      <c r="D7439" t="n">
        <v>5</v>
      </c>
    </row>
    <row r="7440">
      <c r="A7440" t="inlineStr">
        <is>
          <t>ED207599</t>
        </is>
      </c>
      <c r="B7440" s="56" t="n">
        <v>45735.01388888889</v>
      </c>
      <c r="C7440" t="inlineStr">
        <is>
          <t>Ashby Falls Community Hospital</t>
        </is>
      </c>
      <c r="D7440" t="n">
        <v>51</v>
      </c>
    </row>
    <row r="7441">
      <c r="A7441" t="inlineStr">
        <is>
          <t>ED207600</t>
        </is>
      </c>
      <c r="B7441" s="56" t="n">
        <v>45735.34722222222</v>
      </c>
      <c r="C7441" t="inlineStr">
        <is>
          <t>Cedar Ridge Medical Center</t>
        </is>
      </c>
      <c r="D7441" t="n">
        <v>67</v>
      </c>
    </row>
    <row r="7442">
      <c r="A7442" t="inlineStr">
        <is>
          <t>ED207601</t>
        </is>
      </c>
      <c r="B7442" s="56" t="n">
        <v>45735.37430555555</v>
      </c>
      <c r="C7442" t="inlineStr">
        <is>
          <t>Bluestone Memorial Hospital</t>
        </is>
      </c>
      <c r="D7442" t="n">
        <v>39</v>
      </c>
    </row>
    <row r="7443">
      <c r="A7443" t="inlineStr">
        <is>
          <t>ED207602</t>
        </is>
      </c>
      <c r="B7443" s="56" t="n">
        <v>45735.42013888889</v>
      </c>
      <c r="C7443" t="inlineStr">
        <is>
          <t>Bluestone Memorial Hospital</t>
        </is>
      </c>
      <c r="D7443" t="n">
        <v>117</v>
      </c>
    </row>
    <row r="7444">
      <c r="A7444" t="inlineStr">
        <is>
          <t>ED207603</t>
        </is>
      </c>
      <c r="B7444" s="56" t="n">
        <v>45735.45694444444</v>
      </c>
      <c r="C7444" t="inlineStr">
        <is>
          <t>Bluestone Memorial Hospital</t>
        </is>
      </c>
      <c r="D7444" t="n">
        <v>66</v>
      </c>
    </row>
    <row r="7445">
      <c r="A7445" t="inlineStr">
        <is>
          <t>ED207604</t>
        </is>
      </c>
      <c r="B7445" s="56" t="n">
        <v>45735.56805555556</v>
      </c>
      <c r="C7445" t="inlineStr">
        <is>
          <t>Bluestone Memorial Hospital</t>
        </is>
      </c>
      <c r="D7445" t="n">
        <v>22</v>
      </c>
    </row>
    <row r="7446">
      <c r="A7446" t="inlineStr">
        <is>
          <t>ED207605</t>
        </is>
      </c>
      <c r="B7446" s="56" t="n">
        <v>45735.59722222222</v>
      </c>
      <c r="C7446" t="inlineStr">
        <is>
          <t>Bluestone Memorial Hospital</t>
        </is>
      </c>
      <c r="D7446" t="n">
        <v>27</v>
      </c>
    </row>
    <row r="7447">
      <c r="A7447" t="inlineStr">
        <is>
          <t>ED207606</t>
        </is>
      </c>
      <c r="B7447" s="56" t="n">
        <v>45735.65277777778</v>
      </c>
      <c r="C7447" t="inlineStr">
        <is>
          <t>Bluestone Memorial Hospital</t>
        </is>
      </c>
      <c r="D7447" t="n">
        <v>44</v>
      </c>
    </row>
    <row r="7448">
      <c r="A7448" t="inlineStr">
        <is>
          <t>ED207607</t>
        </is>
      </c>
      <c r="B7448" s="56" t="n">
        <v>45735.65833333333</v>
      </c>
      <c r="C7448" t="inlineStr">
        <is>
          <t>Ashby Falls Community Hospital</t>
        </is>
      </c>
      <c r="D7448" t="n">
        <v>85</v>
      </c>
    </row>
    <row r="7449">
      <c r="A7449" t="inlineStr">
        <is>
          <t>ED207608</t>
        </is>
      </c>
      <c r="B7449" s="56" t="n">
        <v>45735.67708333334</v>
      </c>
      <c r="C7449" t="inlineStr">
        <is>
          <t>Ashby Falls Community Hospital</t>
        </is>
      </c>
      <c r="D7449" t="n">
        <v>56</v>
      </c>
    </row>
    <row r="7450">
      <c r="A7450" t="inlineStr">
        <is>
          <t>ED207609</t>
        </is>
      </c>
      <c r="B7450" s="56" t="n">
        <v>45735.67916666667</v>
      </c>
      <c r="C7450" t="inlineStr">
        <is>
          <t>Bluestone Memorial Hospital</t>
        </is>
      </c>
      <c r="D7450" t="n">
        <v>29</v>
      </c>
    </row>
    <row r="7451">
      <c r="A7451" t="inlineStr">
        <is>
          <t>ED207610</t>
        </is>
      </c>
      <c r="B7451" s="56" t="n">
        <v>45735.69513888889</v>
      </c>
      <c r="C7451" t="inlineStr">
        <is>
          <t>Bluestone Memorial Hospital</t>
        </is>
      </c>
      <c r="D7451" t="n">
        <v>123</v>
      </c>
    </row>
    <row r="7452">
      <c r="A7452" t="inlineStr">
        <is>
          <t>ED207611</t>
        </is>
      </c>
      <c r="B7452" s="56" t="n">
        <v>45735.69861111111</v>
      </c>
      <c r="C7452" t="inlineStr">
        <is>
          <t>Bluestone Memorial Hospital</t>
        </is>
      </c>
      <c r="D7452" t="n">
        <v>53</v>
      </c>
    </row>
    <row r="7453">
      <c r="A7453" t="inlineStr">
        <is>
          <t>ED207612</t>
        </is>
      </c>
      <c r="B7453" s="56" t="n">
        <v>45735.71458333333</v>
      </c>
      <c r="C7453" t="inlineStr">
        <is>
          <t>Ashby Falls Community Hospital</t>
        </is>
      </c>
      <c r="D7453" t="n">
        <v>89</v>
      </c>
    </row>
    <row r="7454">
      <c r="A7454" t="inlineStr">
        <is>
          <t>ED207613</t>
        </is>
      </c>
      <c r="B7454" s="56" t="n">
        <v>45735.74652777778</v>
      </c>
      <c r="C7454" t="inlineStr">
        <is>
          <t>Bluestone Memorial Hospital</t>
        </is>
      </c>
      <c r="D7454" t="n">
        <v>21</v>
      </c>
    </row>
    <row r="7455">
      <c r="A7455" t="inlineStr">
        <is>
          <t>ED207614</t>
        </is>
      </c>
      <c r="B7455" s="56" t="n">
        <v>45735.75416666667</v>
      </c>
      <c r="C7455" t="inlineStr">
        <is>
          <t>Bluestone Memorial Hospital</t>
        </is>
      </c>
      <c r="D7455" t="n">
        <v>47</v>
      </c>
    </row>
    <row r="7456">
      <c r="A7456" t="inlineStr">
        <is>
          <t>ED207615</t>
        </is>
      </c>
      <c r="B7456" s="56" t="n">
        <v>45735.76180555556</v>
      </c>
      <c r="C7456" t="inlineStr">
        <is>
          <t>Bluestone Memorial Hospital</t>
        </is>
      </c>
      <c r="D7456" t="n">
        <v>54</v>
      </c>
    </row>
    <row r="7457">
      <c r="A7457" t="inlineStr">
        <is>
          <t>ED207616</t>
        </is>
      </c>
      <c r="B7457" s="56" t="n">
        <v>45735.85833333333</v>
      </c>
      <c r="C7457" t="inlineStr">
        <is>
          <t>Bluestone Memorial Hospital</t>
        </is>
      </c>
      <c r="D7457" t="n">
        <v>26</v>
      </c>
    </row>
    <row r="7458">
      <c r="A7458" t="inlineStr">
        <is>
          <t>ED207617</t>
        </is>
      </c>
      <c r="B7458" s="56" t="n">
        <v>45735.90069444444</v>
      </c>
      <c r="C7458" t="inlineStr">
        <is>
          <t>Bluestone Memorial Hospital</t>
        </is>
      </c>
      <c r="D7458" t="n">
        <v>38</v>
      </c>
    </row>
    <row r="7459">
      <c r="A7459" t="inlineStr">
        <is>
          <t>ED207618</t>
        </is>
      </c>
      <c r="B7459" s="56" t="n">
        <v>45735.98194444444</v>
      </c>
      <c r="C7459" t="inlineStr">
        <is>
          <t>Cedar Ridge Medical Center</t>
        </is>
      </c>
      <c r="D7459" t="n">
        <v>34</v>
      </c>
    </row>
    <row r="7460">
      <c r="A7460" t="inlineStr">
        <is>
          <t>ED207619</t>
        </is>
      </c>
      <c r="B7460" s="56" t="n">
        <v>45735.99375</v>
      </c>
      <c r="C7460" t="inlineStr">
        <is>
          <t>Bluestone Memorial Hospital</t>
        </is>
      </c>
      <c r="D7460" t="n">
        <v>59</v>
      </c>
    </row>
    <row r="7461">
      <c r="A7461" t="inlineStr">
        <is>
          <t>ED207620</t>
        </is>
      </c>
      <c r="B7461" s="56" t="n">
        <v>45736.05</v>
      </c>
      <c r="C7461" t="inlineStr">
        <is>
          <t>Bluestone Memorial Hospital</t>
        </is>
      </c>
      <c r="D7461" t="n">
        <v>25</v>
      </c>
    </row>
    <row r="7462">
      <c r="A7462" t="inlineStr">
        <is>
          <t>ED207621</t>
        </is>
      </c>
      <c r="B7462" s="56" t="n">
        <v>45736.32222222222</v>
      </c>
      <c r="C7462" t="inlineStr">
        <is>
          <t>Cedar Ridge Medical Center</t>
        </is>
      </c>
      <c r="D7462" t="n">
        <v>18</v>
      </c>
    </row>
    <row r="7463">
      <c r="A7463" t="inlineStr">
        <is>
          <t>ED207622</t>
        </is>
      </c>
      <c r="B7463" s="56" t="n">
        <v>45736.32708333333</v>
      </c>
      <c r="C7463" t="inlineStr">
        <is>
          <t>Bluestone Memorial Hospital</t>
        </is>
      </c>
      <c r="D7463" t="n">
        <v>30</v>
      </c>
    </row>
    <row r="7464">
      <c r="A7464" t="inlineStr">
        <is>
          <t>ED207623</t>
        </is>
      </c>
      <c r="B7464" s="56" t="n">
        <v>45736.44722222222</v>
      </c>
      <c r="C7464" t="inlineStr">
        <is>
          <t>Bluestone Memorial Hospital</t>
        </is>
      </c>
      <c r="D7464" t="n">
        <v>49</v>
      </c>
    </row>
    <row r="7465">
      <c r="A7465" t="inlineStr">
        <is>
          <t>ED207624</t>
        </is>
      </c>
      <c r="B7465" s="56" t="n">
        <v>45736.49513888889</v>
      </c>
      <c r="C7465" t="inlineStr">
        <is>
          <t>Bluestone Memorial Hospital</t>
        </is>
      </c>
      <c r="D7465" t="n">
        <v>105</v>
      </c>
    </row>
    <row r="7466">
      <c r="A7466" t="inlineStr">
        <is>
          <t>ED207625</t>
        </is>
      </c>
      <c r="B7466" s="56" t="n">
        <v>45736.49930555555</v>
      </c>
      <c r="C7466" t="inlineStr">
        <is>
          <t>Bluestone Memorial Hospital</t>
        </is>
      </c>
      <c r="D7466" t="n">
        <v>109</v>
      </c>
    </row>
    <row r="7467">
      <c r="A7467" t="inlineStr">
        <is>
          <t>ED207626</t>
        </is>
      </c>
      <c r="B7467" s="56" t="n">
        <v>45736.50763888889</v>
      </c>
      <c r="C7467" t="inlineStr">
        <is>
          <t>Bluestone Memorial Hospital</t>
        </is>
      </c>
      <c r="D7467" t="n">
        <v>65</v>
      </c>
    </row>
    <row r="7468">
      <c r="A7468" t="inlineStr">
        <is>
          <t>ED207627</t>
        </is>
      </c>
      <c r="B7468" s="56" t="n">
        <v>45736.51666666667</v>
      </c>
      <c r="C7468" t="inlineStr">
        <is>
          <t>Bluestone Memorial Hospital</t>
        </is>
      </c>
      <c r="D7468" t="n">
        <v>19</v>
      </c>
    </row>
    <row r="7469">
      <c r="A7469" t="inlineStr">
        <is>
          <t>ED207628</t>
        </is>
      </c>
      <c r="B7469" s="56" t="n">
        <v>45736.54027777778</v>
      </c>
      <c r="C7469" t="inlineStr">
        <is>
          <t>Bluestone Memorial Hospital</t>
        </is>
      </c>
      <c r="D7469" t="n">
        <v>45</v>
      </c>
    </row>
    <row r="7470">
      <c r="A7470" t="inlineStr">
        <is>
          <t>ED207629</t>
        </is>
      </c>
      <c r="B7470" s="56" t="n">
        <v>45736.57291666666</v>
      </c>
      <c r="C7470" t="inlineStr">
        <is>
          <t>Bluestone Memorial Hospital</t>
        </is>
      </c>
      <c r="D7470" t="n">
        <v>30</v>
      </c>
    </row>
    <row r="7471">
      <c r="A7471" t="inlineStr">
        <is>
          <t>ED207630</t>
        </is>
      </c>
      <c r="B7471" s="56" t="n">
        <v>45736.58125</v>
      </c>
      <c r="C7471" t="inlineStr">
        <is>
          <t>Bluestone Memorial Hospital</t>
        </is>
      </c>
      <c r="D7471" t="n">
        <v>70</v>
      </c>
    </row>
    <row r="7472">
      <c r="A7472" t="inlineStr">
        <is>
          <t>ED207631</t>
        </is>
      </c>
      <c r="B7472" s="56" t="n">
        <v>45736.61597222222</v>
      </c>
      <c r="C7472" t="inlineStr">
        <is>
          <t>Bluestone Memorial Hospital</t>
        </is>
      </c>
      <c r="D7472" t="n">
        <v>195</v>
      </c>
    </row>
    <row r="7473">
      <c r="A7473" t="inlineStr">
        <is>
          <t>ED207632</t>
        </is>
      </c>
      <c r="B7473" s="56" t="n">
        <v>45736.625</v>
      </c>
      <c r="C7473" t="inlineStr">
        <is>
          <t>Bluestone Memorial Hospital</t>
        </is>
      </c>
      <c r="D7473" t="n">
        <v>69</v>
      </c>
    </row>
    <row r="7474">
      <c r="A7474" t="inlineStr">
        <is>
          <t>ED207633</t>
        </is>
      </c>
      <c r="B7474" s="56" t="n">
        <v>45736.68958333333</v>
      </c>
      <c r="C7474" t="inlineStr">
        <is>
          <t>Bluestone Memorial Hospital</t>
        </is>
      </c>
      <c r="D7474" t="n">
        <v>82</v>
      </c>
    </row>
    <row r="7475">
      <c r="A7475" t="inlineStr">
        <is>
          <t>ED207634</t>
        </is>
      </c>
      <c r="B7475" s="56" t="n">
        <v>45736.71111111111</v>
      </c>
      <c r="C7475" t="inlineStr">
        <is>
          <t>Bluestone Memorial Hospital</t>
        </is>
      </c>
      <c r="D7475" t="n">
        <v>19</v>
      </c>
    </row>
    <row r="7476">
      <c r="A7476" t="inlineStr">
        <is>
          <t>ED207635</t>
        </is>
      </c>
      <c r="B7476" s="56" t="n">
        <v>45736.71736111111</v>
      </c>
      <c r="C7476" t="inlineStr">
        <is>
          <t>Bluestone Memorial Hospital</t>
        </is>
      </c>
      <c r="D7476" t="n">
        <v>104</v>
      </c>
    </row>
    <row r="7477">
      <c r="A7477" t="inlineStr">
        <is>
          <t>ED207636</t>
        </is>
      </c>
      <c r="B7477" s="56" t="n">
        <v>45736.74097222222</v>
      </c>
      <c r="C7477" t="inlineStr">
        <is>
          <t>Ashby Falls Community Hospital</t>
        </is>
      </c>
      <c r="D7477" t="n">
        <v>64</v>
      </c>
    </row>
    <row r="7478">
      <c r="A7478" t="inlineStr">
        <is>
          <t>ED207637</t>
        </is>
      </c>
      <c r="B7478" s="56" t="n">
        <v>45736.81597222222</v>
      </c>
      <c r="C7478" t="inlineStr">
        <is>
          <t>Bluestone Memorial Hospital</t>
        </is>
      </c>
      <c r="D7478" t="n">
        <v>80</v>
      </c>
    </row>
    <row r="7479">
      <c r="A7479" t="inlineStr">
        <is>
          <t>ED207638</t>
        </is>
      </c>
      <c r="B7479" s="56" t="n">
        <v>45736.86805555555</v>
      </c>
      <c r="C7479" t="inlineStr">
        <is>
          <t>Bluestone Memorial Hospital</t>
        </is>
      </c>
      <c r="D7479" t="n">
        <v>50</v>
      </c>
    </row>
    <row r="7480">
      <c r="A7480" t="inlineStr">
        <is>
          <t>ED207639</t>
        </is>
      </c>
      <c r="B7480" s="56" t="n">
        <v>45736.94097222222</v>
      </c>
      <c r="C7480" t="inlineStr">
        <is>
          <t>Bluestone Memorial Hospital</t>
        </is>
      </c>
      <c r="D7480" t="n">
        <v>20</v>
      </c>
    </row>
    <row r="7481">
      <c r="A7481" t="inlineStr">
        <is>
          <t>ED207640</t>
        </is>
      </c>
      <c r="B7481" s="56" t="n">
        <v>45736.98472222222</v>
      </c>
      <c r="C7481" t="inlineStr">
        <is>
          <t>Cedar Ridge Medical Center</t>
        </is>
      </c>
      <c r="D7481" t="n">
        <v>12</v>
      </c>
    </row>
    <row r="7482">
      <c r="A7482" t="inlineStr">
        <is>
          <t>ED207641</t>
        </is>
      </c>
      <c r="B7482" s="56" t="n">
        <v>45737.08125</v>
      </c>
      <c r="C7482" t="inlineStr">
        <is>
          <t>Bluestone Memorial Hospital</t>
        </is>
      </c>
      <c r="D7482" t="n">
        <v>30</v>
      </c>
    </row>
    <row r="7483">
      <c r="A7483" t="inlineStr">
        <is>
          <t>ED207642</t>
        </is>
      </c>
      <c r="B7483" s="56" t="n">
        <v>45737.08541666667</v>
      </c>
      <c r="C7483" t="inlineStr">
        <is>
          <t>Bluestone Memorial Hospital</t>
        </is>
      </c>
      <c r="D7483" t="n">
        <v>53</v>
      </c>
    </row>
    <row r="7484">
      <c r="A7484" t="inlineStr">
        <is>
          <t>ED207643</t>
        </is>
      </c>
      <c r="B7484" s="56" t="n">
        <v>45737.19513888889</v>
      </c>
      <c r="C7484" t="inlineStr">
        <is>
          <t>Ashby Falls Community Hospital</t>
        </is>
      </c>
      <c r="D7484" t="n">
        <v>21</v>
      </c>
    </row>
    <row r="7485">
      <c r="A7485" t="inlineStr">
        <is>
          <t>ED207644</t>
        </is>
      </c>
      <c r="B7485" s="56" t="n">
        <v>45737.24513888889</v>
      </c>
      <c r="C7485" t="inlineStr">
        <is>
          <t>Bluestone Memorial Hospital</t>
        </is>
      </c>
      <c r="D7485" t="n">
        <v>33</v>
      </c>
    </row>
    <row r="7486">
      <c r="A7486" t="inlineStr">
        <is>
          <t>ED207645</t>
        </is>
      </c>
      <c r="B7486" s="56" t="n">
        <v>45737.2875</v>
      </c>
      <c r="C7486" t="inlineStr">
        <is>
          <t>Bluestone Memorial Hospital</t>
        </is>
      </c>
      <c r="D7486" t="n">
        <v>25</v>
      </c>
    </row>
    <row r="7487">
      <c r="A7487" t="inlineStr">
        <is>
          <t>ED207646</t>
        </is>
      </c>
      <c r="B7487" s="56" t="n">
        <v>45737.35972222222</v>
      </c>
      <c r="C7487" t="inlineStr">
        <is>
          <t>Bluestone Memorial Hospital</t>
        </is>
      </c>
      <c r="D7487" t="n">
        <v>22</v>
      </c>
    </row>
    <row r="7488">
      <c r="A7488" t="inlineStr">
        <is>
          <t>ED207647</t>
        </is>
      </c>
      <c r="B7488" s="56" t="n">
        <v>45737.40625</v>
      </c>
      <c r="C7488" t="inlineStr">
        <is>
          <t>Ashby Falls Community Hospital</t>
        </is>
      </c>
      <c r="D7488" t="n">
        <v>3</v>
      </c>
    </row>
    <row r="7489">
      <c r="A7489" t="inlineStr">
        <is>
          <t>ED207648</t>
        </is>
      </c>
      <c r="B7489" s="56" t="n">
        <v>45737.42013888889</v>
      </c>
      <c r="C7489" t="inlineStr">
        <is>
          <t>Bluestone Memorial Hospital</t>
        </is>
      </c>
      <c r="D7489" t="n">
        <v>43</v>
      </c>
    </row>
    <row r="7490">
      <c r="A7490" t="inlineStr">
        <is>
          <t>ED207649</t>
        </is>
      </c>
      <c r="B7490" s="56" t="n">
        <v>45737.44861111111</v>
      </c>
      <c r="C7490" t="inlineStr">
        <is>
          <t>Bluestone Memorial Hospital</t>
        </is>
      </c>
      <c r="D7490" t="n">
        <v>17</v>
      </c>
    </row>
    <row r="7491">
      <c r="A7491" t="inlineStr">
        <is>
          <t>ED207650</t>
        </is>
      </c>
      <c r="B7491" s="56" t="n">
        <v>45737.45555555556</v>
      </c>
      <c r="C7491" t="inlineStr">
        <is>
          <t>Bluestone Memorial Hospital</t>
        </is>
      </c>
      <c r="D7491" t="n">
        <v>13</v>
      </c>
    </row>
    <row r="7492">
      <c r="A7492" t="inlineStr">
        <is>
          <t>ED207651</t>
        </is>
      </c>
      <c r="B7492" s="56" t="n">
        <v>45737.47013888889</v>
      </c>
      <c r="C7492" t="inlineStr">
        <is>
          <t>Cedar Ridge Medical Center</t>
        </is>
      </c>
      <c r="D7492" t="n">
        <v>25</v>
      </c>
    </row>
    <row r="7493">
      <c r="A7493" t="inlineStr">
        <is>
          <t>ED207652</t>
        </is>
      </c>
      <c r="B7493" s="56" t="n">
        <v>45737.50972222222</v>
      </c>
      <c r="C7493" t="inlineStr">
        <is>
          <t>Bluestone Memorial Hospital</t>
        </is>
      </c>
      <c r="D7493" t="n">
        <v>41</v>
      </c>
    </row>
    <row r="7494">
      <c r="A7494" t="inlineStr">
        <is>
          <t>ED207653</t>
        </is>
      </c>
      <c r="B7494" s="56" t="n">
        <v>45737.58958333333</v>
      </c>
      <c r="C7494" t="inlineStr">
        <is>
          <t>Ashby Falls Community Hospital</t>
        </is>
      </c>
      <c r="D7494" t="n">
        <v>34</v>
      </c>
    </row>
    <row r="7495">
      <c r="A7495" t="inlineStr">
        <is>
          <t>ED207654</t>
        </is>
      </c>
      <c r="B7495" s="56" t="n">
        <v>45737.66041666667</v>
      </c>
      <c r="C7495" t="inlineStr">
        <is>
          <t>Bluestone Memorial Hospital</t>
        </is>
      </c>
      <c r="D7495" t="n">
        <v>5</v>
      </c>
    </row>
    <row r="7496">
      <c r="A7496" t="inlineStr">
        <is>
          <t>ED207655</t>
        </is>
      </c>
      <c r="B7496" s="56" t="n">
        <v>45737.66527777778</v>
      </c>
      <c r="C7496" t="inlineStr">
        <is>
          <t>Ashby Falls Community Hospital</t>
        </is>
      </c>
      <c r="D7496" t="n">
        <v>56</v>
      </c>
    </row>
    <row r="7497">
      <c r="A7497" t="inlineStr">
        <is>
          <t>ED207656</t>
        </is>
      </c>
      <c r="B7497" s="56" t="n">
        <v>45737.68402777778</v>
      </c>
      <c r="C7497" t="inlineStr">
        <is>
          <t>Bluestone Memorial Hospital</t>
        </is>
      </c>
      <c r="D7497" t="n">
        <v>64</v>
      </c>
    </row>
    <row r="7498">
      <c r="A7498" t="inlineStr">
        <is>
          <t>ED207657</t>
        </is>
      </c>
      <c r="B7498" s="56" t="n">
        <v>45737.73611111111</v>
      </c>
      <c r="C7498" t="inlineStr">
        <is>
          <t>Bluestone Memorial Hospital</t>
        </is>
      </c>
      <c r="D7498" t="n">
        <v>35</v>
      </c>
    </row>
    <row r="7499">
      <c r="A7499" t="inlineStr">
        <is>
          <t>ED207658</t>
        </is>
      </c>
      <c r="B7499" s="56" t="n">
        <v>45737.73819444444</v>
      </c>
      <c r="C7499" t="inlineStr">
        <is>
          <t>Bluestone Memorial Hospital</t>
        </is>
      </c>
      <c r="D7499" t="n">
        <v>27</v>
      </c>
    </row>
    <row r="7500">
      <c r="A7500" t="inlineStr">
        <is>
          <t>ED207659</t>
        </is>
      </c>
      <c r="B7500" s="56" t="n">
        <v>45737.94791666666</v>
      </c>
      <c r="C7500" t="inlineStr">
        <is>
          <t>Bluestone Memorial Hospital</t>
        </is>
      </c>
      <c r="D7500" t="n">
        <v>12</v>
      </c>
    </row>
    <row r="7501">
      <c r="A7501" t="inlineStr">
        <is>
          <t>ED207660</t>
        </is>
      </c>
      <c r="B7501" s="56" t="n">
        <v>45737.975</v>
      </c>
      <c r="C7501" t="inlineStr">
        <is>
          <t>Bluestone Memorial Hospital</t>
        </is>
      </c>
      <c r="D7501" t="n">
        <v>8</v>
      </c>
    </row>
    <row r="7502">
      <c r="A7502" t="inlineStr">
        <is>
          <t>ED207661</t>
        </is>
      </c>
      <c r="B7502" s="56" t="n">
        <v>45738.10347222222</v>
      </c>
      <c r="C7502" t="inlineStr">
        <is>
          <t>Bluestone Memorial Hospital</t>
        </is>
      </c>
      <c r="D7502" t="n">
        <v>27</v>
      </c>
    </row>
    <row r="7503">
      <c r="A7503" t="inlineStr">
        <is>
          <t>ED207662</t>
        </is>
      </c>
      <c r="B7503" s="56" t="n">
        <v>45738.11944444444</v>
      </c>
      <c r="C7503" t="inlineStr">
        <is>
          <t>Bluestone Memorial Hospital</t>
        </is>
      </c>
      <c r="D7503" t="n">
        <v>15</v>
      </c>
    </row>
    <row r="7504">
      <c r="A7504" t="inlineStr">
        <is>
          <t>ED207663</t>
        </is>
      </c>
      <c r="B7504" s="56" t="n">
        <v>45738.30555555555</v>
      </c>
      <c r="C7504" t="inlineStr">
        <is>
          <t>Bluestone Memorial Hospital</t>
        </is>
      </c>
      <c r="D7504" t="n">
        <v>15</v>
      </c>
    </row>
    <row r="7505">
      <c r="A7505" t="inlineStr">
        <is>
          <t>ED207664</t>
        </is>
      </c>
      <c r="B7505" s="56" t="n">
        <v>45738.32569444444</v>
      </c>
      <c r="C7505" t="inlineStr">
        <is>
          <t>Bluestone Memorial Hospital</t>
        </is>
      </c>
      <c r="D7505" t="n">
        <v>15</v>
      </c>
    </row>
    <row r="7506">
      <c r="A7506" t="inlineStr">
        <is>
          <t>ED207665</t>
        </is>
      </c>
      <c r="B7506" s="56" t="n">
        <v>45738.36944444444</v>
      </c>
      <c r="C7506" t="inlineStr">
        <is>
          <t>Bluestone Memorial Hospital</t>
        </is>
      </c>
      <c r="D7506" t="n">
        <v>96</v>
      </c>
    </row>
    <row r="7507">
      <c r="A7507" t="inlineStr">
        <is>
          <t>ED207666</t>
        </is>
      </c>
      <c r="B7507" s="56" t="n">
        <v>45738.39861111111</v>
      </c>
      <c r="C7507" t="inlineStr">
        <is>
          <t>Cedar Ridge Medical Center</t>
        </is>
      </c>
      <c r="D7507" t="n">
        <v>23</v>
      </c>
    </row>
    <row r="7508">
      <c r="A7508" t="inlineStr">
        <is>
          <t>ED207667</t>
        </is>
      </c>
      <c r="B7508" s="56" t="n">
        <v>45738.48402777778</v>
      </c>
      <c r="C7508" t="inlineStr">
        <is>
          <t>Bluestone Memorial Hospital</t>
        </is>
      </c>
      <c r="D7508" t="n">
        <v>14</v>
      </c>
    </row>
    <row r="7509">
      <c r="A7509" t="inlineStr">
        <is>
          <t>ED207668</t>
        </is>
      </c>
      <c r="B7509" s="56" t="n">
        <v>45738.62152777778</v>
      </c>
      <c r="C7509" t="inlineStr">
        <is>
          <t>Bluestone Memorial Hospital</t>
        </is>
      </c>
      <c r="D7509" t="n">
        <v>111</v>
      </c>
    </row>
    <row r="7510">
      <c r="A7510" t="inlineStr">
        <is>
          <t>ED207669</t>
        </is>
      </c>
      <c r="B7510" s="56" t="n">
        <v>45738.65486111111</v>
      </c>
      <c r="C7510" t="inlineStr">
        <is>
          <t>Bluestone Memorial Hospital</t>
        </is>
      </c>
      <c r="D7510" t="n">
        <v>162</v>
      </c>
    </row>
    <row r="7511">
      <c r="A7511" t="inlineStr">
        <is>
          <t>ED207670</t>
        </is>
      </c>
      <c r="B7511" s="56" t="n">
        <v>45738.65486111111</v>
      </c>
      <c r="C7511" t="inlineStr">
        <is>
          <t>Bluestone Memorial Hospital</t>
        </is>
      </c>
      <c r="D7511" t="n">
        <v>67</v>
      </c>
    </row>
    <row r="7512">
      <c r="A7512" t="inlineStr">
        <is>
          <t>ED207671</t>
        </is>
      </c>
      <c r="B7512" s="56" t="n">
        <v>45738.66944444444</v>
      </c>
      <c r="C7512" t="inlineStr">
        <is>
          <t>Bluestone Memorial Hospital</t>
        </is>
      </c>
      <c r="D7512" t="n">
        <v>47</v>
      </c>
    </row>
    <row r="7513">
      <c r="A7513" t="inlineStr">
        <is>
          <t>ED207672</t>
        </is>
      </c>
      <c r="B7513" s="56" t="n">
        <v>45738.75902777778</v>
      </c>
      <c r="C7513" t="inlineStr">
        <is>
          <t>Ashby Falls Community Hospital</t>
        </is>
      </c>
      <c r="D7513" t="n">
        <v>35</v>
      </c>
    </row>
    <row r="7514">
      <c r="A7514" t="inlineStr">
        <is>
          <t>ED207673</t>
        </is>
      </c>
      <c r="B7514" s="56" t="n">
        <v>45738.77777777778</v>
      </c>
      <c r="C7514" t="inlineStr">
        <is>
          <t>Bluestone Memorial Hospital</t>
        </is>
      </c>
      <c r="D7514" t="n">
        <v>115</v>
      </c>
    </row>
    <row r="7515">
      <c r="A7515" t="inlineStr">
        <is>
          <t>ED207674</t>
        </is>
      </c>
      <c r="B7515" s="56" t="n">
        <v>45738.80625</v>
      </c>
      <c r="C7515" t="inlineStr">
        <is>
          <t>Bluestone Memorial Hospital</t>
        </is>
      </c>
      <c r="D7515" t="n">
        <v>72</v>
      </c>
    </row>
    <row r="7516">
      <c r="A7516" t="inlineStr">
        <is>
          <t>ED207675</t>
        </is>
      </c>
      <c r="B7516" s="56" t="n">
        <v>45738.86736111111</v>
      </c>
      <c r="C7516" t="inlineStr">
        <is>
          <t>Bluestone Memorial Hospital</t>
        </is>
      </c>
      <c r="D7516" t="n">
        <v>1</v>
      </c>
    </row>
    <row r="7517">
      <c r="A7517" t="inlineStr">
        <is>
          <t>ED207676</t>
        </is>
      </c>
      <c r="B7517" s="56" t="n">
        <v>45738.9375</v>
      </c>
      <c r="C7517" t="inlineStr">
        <is>
          <t>Bluestone Memorial Hospital</t>
        </is>
      </c>
      <c r="D7517" t="n">
        <v>28</v>
      </c>
    </row>
    <row r="7518">
      <c r="A7518" t="inlineStr">
        <is>
          <t>ED207678</t>
        </is>
      </c>
      <c r="B7518" s="56" t="n">
        <v>45738.95902777778</v>
      </c>
      <c r="C7518" t="inlineStr">
        <is>
          <t>Bluestone Memorial Hospital</t>
        </is>
      </c>
      <c r="D7518" t="n">
        <v>24</v>
      </c>
    </row>
    <row r="7519">
      <c r="A7519" t="inlineStr">
        <is>
          <t>ED207679</t>
        </is>
      </c>
      <c r="B7519" s="56" t="n">
        <v>45739.06041666667</v>
      </c>
      <c r="C7519" t="inlineStr">
        <is>
          <t>Ashby Falls Community Hospital</t>
        </is>
      </c>
      <c r="D7519" t="n">
        <v>3</v>
      </c>
    </row>
    <row r="7520">
      <c r="A7520" t="inlineStr">
        <is>
          <t>ED207680</t>
        </is>
      </c>
      <c r="B7520" s="56" t="n">
        <v>45739.34583333333</v>
      </c>
      <c r="C7520" t="inlineStr">
        <is>
          <t>Ashby Falls Community Hospital</t>
        </is>
      </c>
      <c r="D7520" t="n">
        <v>54</v>
      </c>
    </row>
    <row r="7521">
      <c r="A7521" t="inlineStr">
        <is>
          <t>ED207681</t>
        </is>
      </c>
      <c r="B7521" s="56" t="n">
        <v>45739.45</v>
      </c>
      <c r="C7521" t="inlineStr">
        <is>
          <t>Cedar Ridge Medical Center</t>
        </is>
      </c>
      <c r="D7521" t="n">
        <v>71</v>
      </c>
    </row>
    <row r="7522">
      <c r="A7522" t="inlineStr">
        <is>
          <t>ED207682</t>
        </is>
      </c>
      <c r="B7522" s="56" t="n">
        <v>45739.51388888889</v>
      </c>
      <c r="C7522" t="inlineStr">
        <is>
          <t>Bluestone Memorial Hospital</t>
        </is>
      </c>
      <c r="D7522" t="n">
        <v>51</v>
      </c>
    </row>
    <row r="7523">
      <c r="A7523" t="inlineStr">
        <is>
          <t>ED207683</t>
        </is>
      </c>
      <c r="B7523" s="56" t="n">
        <v>45739.60833333333</v>
      </c>
      <c r="C7523" t="inlineStr">
        <is>
          <t>Bluestone Memorial Hospital</t>
        </is>
      </c>
      <c r="D7523" t="n">
        <v>5</v>
      </c>
    </row>
    <row r="7524">
      <c r="A7524" t="inlineStr">
        <is>
          <t>ED207685</t>
        </is>
      </c>
      <c r="B7524" s="56" t="n">
        <v>45739.78888888889</v>
      </c>
      <c r="C7524" t="inlineStr">
        <is>
          <t>Ashby Falls Community Hospital</t>
        </is>
      </c>
      <c r="D7524" t="n">
        <v>22</v>
      </c>
    </row>
    <row r="7525">
      <c r="A7525" t="inlineStr">
        <is>
          <t>ED207686</t>
        </is>
      </c>
      <c r="B7525" s="56" t="n">
        <v>45739.81319444445</v>
      </c>
      <c r="C7525" t="inlineStr">
        <is>
          <t>Bluestone Memorial Hospital</t>
        </is>
      </c>
      <c r="D7525" t="n">
        <v>68</v>
      </c>
    </row>
    <row r="7526">
      <c r="A7526" t="inlineStr">
        <is>
          <t>ED207687</t>
        </is>
      </c>
      <c r="B7526" s="56" t="n">
        <v>45739.82291666666</v>
      </c>
      <c r="C7526" t="inlineStr">
        <is>
          <t>Bluestone Memorial Hospital</t>
        </is>
      </c>
      <c r="D7526" t="n">
        <v>24</v>
      </c>
    </row>
    <row r="7527">
      <c r="A7527" t="inlineStr">
        <is>
          <t>ED207688</t>
        </is>
      </c>
      <c r="B7527" s="56" t="n">
        <v>45739.9</v>
      </c>
      <c r="C7527" t="inlineStr">
        <is>
          <t>Cedar Ridge Medical Center</t>
        </is>
      </c>
      <c r="D7527" t="n">
        <v>10</v>
      </c>
    </row>
    <row r="7528">
      <c r="A7528" t="inlineStr">
        <is>
          <t>ED207689</t>
        </is>
      </c>
      <c r="B7528" s="56" t="n">
        <v>45739.99722222222</v>
      </c>
      <c r="C7528" t="inlineStr">
        <is>
          <t>Bluestone Memorial Hospital</t>
        </is>
      </c>
      <c r="D7528" t="n">
        <v>11</v>
      </c>
    </row>
    <row r="7529">
      <c r="A7529" t="inlineStr">
        <is>
          <t>ED207690</t>
        </is>
      </c>
      <c r="B7529" s="56" t="n">
        <v>45740</v>
      </c>
      <c r="C7529" t="inlineStr">
        <is>
          <t>Bluestone Memorial Hospital</t>
        </is>
      </c>
      <c r="D7529" t="n">
        <v>17</v>
      </c>
    </row>
    <row r="7530">
      <c r="A7530" t="inlineStr">
        <is>
          <t>ED207691</t>
        </is>
      </c>
      <c r="B7530" s="56" t="n">
        <v>45740.04861111111</v>
      </c>
      <c r="C7530" t="inlineStr">
        <is>
          <t>Cedar Ridge Medical Center</t>
        </is>
      </c>
      <c r="D7530" t="n">
        <v>14</v>
      </c>
    </row>
    <row r="7531">
      <c r="A7531" t="inlineStr">
        <is>
          <t>ED207692</t>
        </is>
      </c>
      <c r="B7531" s="56" t="n">
        <v>45740.07430555556</v>
      </c>
      <c r="C7531" t="inlineStr">
        <is>
          <t>Bluestone Memorial Hospital</t>
        </is>
      </c>
      <c r="D7531" t="n">
        <v>32</v>
      </c>
    </row>
    <row r="7532">
      <c r="A7532" t="inlineStr">
        <is>
          <t>ED207693</t>
        </is>
      </c>
      <c r="B7532" s="56" t="n">
        <v>45740.26111111111</v>
      </c>
      <c r="C7532" t="inlineStr">
        <is>
          <t>Ashby Falls Community Hospital</t>
        </is>
      </c>
      <c r="D7532" t="n">
        <v>33</v>
      </c>
    </row>
    <row r="7533">
      <c r="A7533" t="inlineStr">
        <is>
          <t>ED207694</t>
        </is>
      </c>
      <c r="B7533" s="56" t="n">
        <v>45740.35555555556</v>
      </c>
      <c r="C7533" t="inlineStr">
        <is>
          <t>Bluestone Memorial Hospital</t>
        </is>
      </c>
      <c r="D7533" t="n">
        <v>24</v>
      </c>
    </row>
    <row r="7534">
      <c r="A7534" t="inlineStr">
        <is>
          <t>ED207695</t>
        </is>
      </c>
      <c r="B7534" s="56" t="n">
        <v>45740.36875</v>
      </c>
      <c r="C7534" t="inlineStr">
        <is>
          <t>Bluestone Memorial Hospital</t>
        </is>
      </c>
      <c r="D7534" t="n">
        <v>40</v>
      </c>
    </row>
    <row r="7535">
      <c r="A7535" t="inlineStr">
        <is>
          <t>ED207696</t>
        </is>
      </c>
      <c r="B7535" s="56" t="n">
        <v>45740.38472222222</v>
      </c>
      <c r="C7535" t="inlineStr">
        <is>
          <t>Bluestone Memorial Hospital</t>
        </is>
      </c>
      <c r="D7535" t="n">
        <v>19</v>
      </c>
    </row>
    <row r="7536">
      <c r="A7536" t="inlineStr">
        <is>
          <t>ED207697</t>
        </is>
      </c>
      <c r="B7536" s="56" t="n">
        <v>45740.38958333333</v>
      </c>
      <c r="C7536" t="inlineStr">
        <is>
          <t>Bluestone Memorial Hospital</t>
        </is>
      </c>
      <c r="D7536" t="n">
        <v>18</v>
      </c>
    </row>
    <row r="7537">
      <c r="A7537" t="inlineStr">
        <is>
          <t>ED207698</t>
        </is>
      </c>
      <c r="B7537" s="56" t="n">
        <v>45740.43819444445</v>
      </c>
      <c r="C7537" t="inlineStr">
        <is>
          <t>Bluestone Memorial Hospital</t>
        </is>
      </c>
      <c r="D7537" t="n">
        <v>10</v>
      </c>
    </row>
    <row r="7538">
      <c r="A7538" t="inlineStr">
        <is>
          <t>ED207699</t>
        </is>
      </c>
      <c r="B7538" s="56" t="n">
        <v>45740.45833333334</v>
      </c>
      <c r="C7538" t="inlineStr">
        <is>
          <t>Bluestone Memorial Hospital</t>
        </is>
      </c>
      <c r="D7538" t="n">
        <v>63</v>
      </c>
    </row>
    <row r="7539">
      <c r="A7539" t="inlineStr">
        <is>
          <t>ED207700</t>
        </is>
      </c>
      <c r="B7539" s="56" t="n">
        <v>45740.4625</v>
      </c>
      <c r="C7539" t="inlineStr">
        <is>
          <t>Bluestone Memorial Hospital</t>
        </is>
      </c>
      <c r="D7539" t="n">
        <v>12</v>
      </c>
    </row>
    <row r="7540">
      <c r="A7540" t="inlineStr">
        <is>
          <t>ED207701</t>
        </is>
      </c>
      <c r="B7540" s="56" t="n">
        <v>45740.48055555556</v>
      </c>
      <c r="C7540" t="inlineStr">
        <is>
          <t>Bluestone Memorial Hospital</t>
        </is>
      </c>
      <c r="D7540" t="n">
        <v>32</v>
      </c>
    </row>
    <row r="7541">
      <c r="A7541" t="inlineStr">
        <is>
          <t>ED207702</t>
        </is>
      </c>
      <c r="B7541" s="56" t="n">
        <v>45740.49375</v>
      </c>
      <c r="C7541" t="inlineStr">
        <is>
          <t>Bluestone Memorial Hospital</t>
        </is>
      </c>
      <c r="D7541" t="n">
        <v>49</v>
      </c>
    </row>
    <row r="7542">
      <c r="A7542" t="inlineStr">
        <is>
          <t>ED207703</t>
        </is>
      </c>
      <c r="B7542" s="56" t="n">
        <v>45740.5</v>
      </c>
      <c r="C7542" t="inlineStr">
        <is>
          <t>Bluestone Memorial Hospital</t>
        </is>
      </c>
      <c r="D7542" t="n">
        <v>44</v>
      </c>
    </row>
    <row r="7543">
      <c r="A7543" t="inlineStr">
        <is>
          <t>ED207704</t>
        </is>
      </c>
      <c r="B7543" s="56" t="n">
        <v>45740.56041666667</v>
      </c>
      <c r="C7543" t="inlineStr">
        <is>
          <t>Bluestone Memorial Hospital</t>
        </is>
      </c>
      <c r="D7543" t="n">
        <v>55</v>
      </c>
    </row>
    <row r="7544">
      <c r="A7544" t="inlineStr">
        <is>
          <t>ED207705</t>
        </is>
      </c>
      <c r="B7544" s="56" t="n">
        <v>45740.62013888889</v>
      </c>
      <c r="C7544" t="inlineStr">
        <is>
          <t>Bluestone Memorial Hospital</t>
        </is>
      </c>
      <c r="D7544" t="n">
        <v>74</v>
      </c>
    </row>
    <row r="7545">
      <c r="A7545" t="inlineStr">
        <is>
          <t>ED207706</t>
        </is>
      </c>
      <c r="B7545" s="56" t="n">
        <v>45740.62638888889</v>
      </c>
      <c r="C7545" t="inlineStr">
        <is>
          <t>Cedar Ridge Medical Center</t>
        </is>
      </c>
      <c r="D7545" t="n">
        <v>102</v>
      </c>
    </row>
    <row r="7546">
      <c r="A7546" t="inlineStr">
        <is>
          <t>ED207707</t>
        </is>
      </c>
      <c r="B7546" s="56" t="n">
        <v>45740.63958333333</v>
      </c>
      <c r="C7546" t="inlineStr">
        <is>
          <t>Bluestone Memorial Hospital</t>
        </is>
      </c>
      <c r="D7546" t="n">
        <v>36</v>
      </c>
    </row>
    <row r="7547">
      <c r="A7547" t="inlineStr">
        <is>
          <t>ED207708</t>
        </is>
      </c>
      <c r="B7547" s="56" t="n">
        <v>45740.68680555555</v>
      </c>
      <c r="C7547" t="inlineStr">
        <is>
          <t>Bluestone Memorial Hospital</t>
        </is>
      </c>
      <c r="D7547" t="n">
        <v>19</v>
      </c>
    </row>
    <row r="7548">
      <c r="A7548" t="inlineStr">
        <is>
          <t>ED207709</t>
        </is>
      </c>
      <c r="B7548" s="56" t="n">
        <v>45740.70208333333</v>
      </c>
      <c r="C7548" t="inlineStr">
        <is>
          <t>Cedar Ridge Medical Center</t>
        </is>
      </c>
      <c r="D7548" t="n">
        <v>21</v>
      </c>
    </row>
    <row r="7549">
      <c r="A7549" t="inlineStr">
        <is>
          <t>ED207710</t>
        </is>
      </c>
      <c r="B7549" s="56" t="n">
        <v>45740.87083333333</v>
      </c>
      <c r="C7549" t="inlineStr">
        <is>
          <t>Bluestone Memorial Hospital</t>
        </is>
      </c>
      <c r="D7549" t="n">
        <v>54</v>
      </c>
    </row>
    <row r="7550">
      <c r="A7550" t="inlineStr">
        <is>
          <t>ED207711</t>
        </is>
      </c>
      <c r="B7550" s="56" t="n">
        <v>45740.93958333333</v>
      </c>
      <c r="C7550" t="inlineStr">
        <is>
          <t>Ashby Falls Community Hospital</t>
        </is>
      </c>
      <c r="D7550" t="n">
        <v>22</v>
      </c>
    </row>
    <row r="7551">
      <c r="A7551" t="inlineStr">
        <is>
          <t>ED207712</t>
        </is>
      </c>
      <c r="B7551" s="56" t="n">
        <v>45741.22222222222</v>
      </c>
      <c r="C7551" t="inlineStr">
        <is>
          <t>Cedar Ridge Medical Center</t>
        </is>
      </c>
      <c r="D7551" t="n">
        <v>14</v>
      </c>
    </row>
    <row r="7552">
      <c r="A7552" t="inlineStr">
        <is>
          <t>ED207713</t>
        </is>
      </c>
      <c r="B7552" s="56" t="n">
        <v>45741.25972222222</v>
      </c>
      <c r="C7552" t="inlineStr">
        <is>
          <t>Bluestone Memorial Hospital</t>
        </is>
      </c>
      <c r="D7552" t="n">
        <v>38</v>
      </c>
    </row>
    <row r="7553">
      <c r="A7553" t="inlineStr">
        <is>
          <t>ED207714</t>
        </is>
      </c>
      <c r="B7553" s="56" t="n">
        <v>45741.38125</v>
      </c>
      <c r="C7553" t="inlineStr">
        <is>
          <t>Ashby Falls Community Hospital</t>
        </is>
      </c>
      <c r="D7553" t="n">
        <v>41</v>
      </c>
    </row>
    <row r="7554">
      <c r="A7554" t="inlineStr">
        <is>
          <t>ED207715</t>
        </is>
      </c>
      <c r="B7554" s="56" t="n">
        <v>45741.48541666667</v>
      </c>
      <c r="C7554" t="inlineStr">
        <is>
          <t>Ashby Falls Community Hospital</t>
        </is>
      </c>
      <c r="D7554" t="n">
        <v>32</v>
      </c>
    </row>
    <row r="7555">
      <c r="A7555" t="inlineStr">
        <is>
          <t>ED207716</t>
        </is>
      </c>
      <c r="B7555" s="56" t="n">
        <v>45741.51041666666</v>
      </c>
      <c r="C7555" t="inlineStr">
        <is>
          <t>Cedar Ridge Medical Center</t>
        </is>
      </c>
      <c r="D7555" t="n">
        <v>76</v>
      </c>
    </row>
    <row r="7556">
      <c r="A7556" t="inlineStr">
        <is>
          <t>ED207718</t>
        </is>
      </c>
      <c r="B7556" s="56" t="n">
        <v>45741.68472222222</v>
      </c>
      <c r="C7556" t="inlineStr">
        <is>
          <t>Bluestone Memorial Hospital</t>
        </is>
      </c>
      <c r="D7556" t="n">
        <v>38</v>
      </c>
    </row>
    <row r="7557">
      <c r="A7557" t="inlineStr">
        <is>
          <t>ED207719</t>
        </is>
      </c>
      <c r="B7557" s="56" t="n">
        <v>45741.69513888889</v>
      </c>
      <c r="C7557" t="inlineStr">
        <is>
          <t>Bluestone Memorial Hospital</t>
        </is>
      </c>
      <c r="D7557" t="n">
        <v>56</v>
      </c>
    </row>
    <row r="7558">
      <c r="A7558" t="inlineStr">
        <is>
          <t>ED207720</t>
        </is>
      </c>
      <c r="B7558" s="56" t="n">
        <v>45741.83263888889</v>
      </c>
      <c r="C7558" t="inlineStr">
        <is>
          <t>Bluestone Memorial Hospital</t>
        </is>
      </c>
      <c r="D7558" t="n">
        <v>40</v>
      </c>
    </row>
    <row r="7559">
      <c r="A7559" t="inlineStr">
        <is>
          <t>ED207721</t>
        </is>
      </c>
      <c r="B7559" s="56" t="n">
        <v>45741.84027777778</v>
      </c>
      <c r="C7559" t="inlineStr">
        <is>
          <t>Bluestone Memorial Hospital</t>
        </is>
      </c>
      <c r="D7559" t="n">
        <v>27</v>
      </c>
    </row>
    <row r="7560">
      <c r="A7560" t="inlineStr">
        <is>
          <t>ED207722</t>
        </is>
      </c>
      <c r="B7560" s="56" t="n">
        <v>45741.89861111111</v>
      </c>
      <c r="C7560" t="inlineStr">
        <is>
          <t>Bluestone Memorial Hospital</t>
        </is>
      </c>
      <c r="D7560" t="n">
        <v>10</v>
      </c>
    </row>
    <row r="7561">
      <c r="A7561" t="inlineStr">
        <is>
          <t>ED207723</t>
        </is>
      </c>
      <c r="B7561" s="56" t="n">
        <v>45741.9375</v>
      </c>
      <c r="C7561" t="inlineStr">
        <is>
          <t>Bluestone Memorial Hospital</t>
        </is>
      </c>
      <c r="D7561" t="n">
        <v>22</v>
      </c>
    </row>
    <row r="7562">
      <c r="A7562" t="inlineStr">
        <is>
          <t>ED207724</t>
        </is>
      </c>
      <c r="B7562" s="56" t="n">
        <v>45742.00555555556</v>
      </c>
      <c r="C7562" t="inlineStr">
        <is>
          <t>Bluestone Memorial Hospital</t>
        </is>
      </c>
      <c r="D7562" t="n">
        <v>17</v>
      </c>
    </row>
    <row r="7563">
      <c r="A7563" t="inlineStr">
        <is>
          <t>ED207725</t>
        </is>
      </c>
      <c r="B7563" s="56" t="n">
        <v>45742.38819444444</v>
      </c>
      <c r="C7563" t="inlineStr">
        <is>
          <t>Cedar Ridge Medical Center</t>
        </is>
      </c>
      <c r="D7563" t="n">
        <v>26</v>
      </c>
    </row>
    <row r="7564">
      <c r="A7564" t="inlineStr">
        <is>
          <t>ED207726</t>
        </is>
      </c>
      <c r="B7564" s="56" t="n">
        <v>45742.46041666667</v>
      </c>
      <c r="C7564" t="inlineStr">
        <is>
          <t>Bluestone Memorial Hospital</t>
        </is>
      </c>
      <c r="D7564" t="n">
        <v>15</v>
      </c>
    </row>
    <row r="7565">
      <c r="A7565" t="inlineStr">
        <is>
          <t>ED207727</t>
        </is>
      </c>
      <c r="B7565" s="56" t="n">
        <v>45742.46597222222</v>
      </c>
      <c r="C7565" t="inlineStr">
        <is>
          <t>Bluestone Memorial Hospital</t>
        </is>
      </c>
      <c r="D7565" t="n">
        <v>28</v>
      </c>
    </row>
    <row r="7566">
      <c r="A7566" t="inlineStr">
        <is>
          <t>ED207728</t>
        </is>
      </c>
      <c r="B7566" s="56" t="n">
        <v>45742.50972222222</v>
      </c>
      <c r="C7566" t="inlineStr">
        <is>
          <t>Bluestone Memorial Hospital</t>
        </is>
      </c>
      <c r="D7566" t="n">
        <v>16</v>
      </c>
    </row>
    <row r="7567">
      <c r="A7567" t="inlineStr">
        <is>
          <t>ED207729</t>
        </is>
      </c>
      <c r="B7567" s="56" t="n">
        <v>45742.51666666667</v>
      </c>
      <c r="C7567" t="inlineStr">
        <is>
          <t>Bluestone Memorial Hospital</t>
        </is>
      </c>
      <c r="D7567" t="n">
        <v>57</v>
      </c>
    </row>
    <row r="7568">
      <c r="A7568" t="inlineStr">
        <is>
          <t>ED207730</t>
        </is>
      </c>
      <c r="B7568" s="56" t="n">
        <v>45742.55902777778</v>
      </c>
      <c r="C7568" t="inlineStr">
        <is>
          <t>Cedar Ridge Medical Center</t>
        </is>
      </c>
      <c r="D7568" t="n">
        <v>83</v>
      </c>
    </row>
    <row r="7569">
      <c r="A7569" t="inlineStr">
        <is>
          <t>ED207731</t>
        </is>
      </c>
      <c r="B7569" s="56" t="n">
        <v>45742.60486111111</v>
      </c>
      <c r="C7569" t="inlineStr">
        <is>
          <t>Bluestone Memorial Hospital</t>
        </is>
      </c>
      <c r="D7569" t="n">
        <v>62</v>
      </c>
    </row>
    <row r="7570">
      <c r="A7570" t="inlineStr">
        <is>
          <t>ED207732</t>
        </is>
      </c>
      <c r="B7570" s="56" t="n">
        <v>45742.64861111111</v>
      </c>
      <c r="C7570" t="inlineStr">
        <is>
          <t>Bluestone Memorial Hospital</t>
        </is>
      </c>
      <c r="D7570" t="n">
        <v>114</v>
      </c>
    </row>
    <row r="7571">
      <c r="A7571" t="inlineStr">
        <is>
          <t>ED207733</t>
        </is>
      </c>
      <c r="B7571" s="56" t="n">
        <v>45742.69861111111</v>
      </c>
      <c r="C7571" t="inlineStr">
        <is>
          <t>Ashby Falls Community Hospital</t>
        </is>
      </c>
      <c r="D7571" t="n">
        <v>2</v>
      </c>
    </row>
    <row r="7572">
      <c r="A7572" t="inlineStr">
        <is>
          <t>ED207734</t>
        </is>
      </c>
      <c r="B7572" s="56" t="n">
        <v>45742.71597222222</v>
      </c>
      <c r="C7572" t="inlineStr">
        <is>
          <t>Bluestone Memorial Hospital</t>
        </is>
      </c>
      <c r="D7572" t="n">
        <v>18</v>
      </c>
    </row>
    <row r="7573">
      <c r="A7573" t="inlineStr">
        <is>
          <t>ED207735</t>
        </is>
      </c>
      <c r="B7573" s="56" t="n">
        <v>45742.72847222222</v>
      </c>
      <c r="C7573" t="inlineStr">
        <is>
          <t>Ashby Falls Community Hospital</t>
        </is>
      </c>
      <c r="D7573" t="n">
        <v>100</v>
      </c>
    </row>
    <row r="7574">
      <c r="A7574" t="inlineStr">
        <is>
          <t>ED207736</t>
        </is>
      </c>
      <c r="B7574" s="56" t="n">
        <v>45742.75277777778</v>
      </c>
      <c r="C7574" t="inlineStr">
        <is>
          <t>Bluestone Memorial Hospital</t>
        </is>
      </c>
      <c r="D7574" t="n">
        <v>71</v>
      </c>
    </row>
    <row r="7575">
      <c r="A7575" t="inlineStr">
        <is>
          <t>ED207737</t>
        </is>
      </c>
      <c r="B7575" s="56" t="n">
        <v>45742.76805555556</v>
      </c>
      <c r="C7575" t="inlineStr">
        <is>
          <t>Bluestone Memorial Hospital</t>
        </is>
      </c>
      <c r="D7575" t="n">
        <v>17</v>
      </c>
    </row>
    <row r="7576">
      <c r="A7576" t="inlineStr">
        <is>
          <t>ED207738</t>
        </is>
      </c>
      <c r="B7576" s="56" t="n">
        <v>45742.77152777778</v>
      </c>
      <c r="C7576" t="inlineStr">
        <is>
          <t>Bluestone Memorial Hospital</t>
        </is>
      </c>
      <c r="D7576" t="n">
        <v>16</v>
      </c>
    </row>
    <row r="7577">
      <c r="A7577" t="inlineStr">
        <is>
          <t>ED207739</t>
        </is>
      </c>
      <c r="B7577" s="56" t="n">
        <v>45742.77569444444</v>
      </c>
      <c r="C7577" t="inlineStr">
        <is>
          <t>Bluestone Memorial Hospital</t>
        </is>
      </c>
      <c r="D7577" t="n">
        <v>26</v>
      </c>
    </row>
    <row r="7578">
      <c r="A7578" t="inlineStr">
        <is>
          <t>ED207740</t>
        </is>
      </c>
      <c r="B7578" s="56" t="n">
        <v>45742.93680555555</v>
      </c>
      <c r="C7578" t="inlineStr">
        <is>
          <t>Bluestone Memorial Hospital</t>
        </is>
      </c>
      <c r="D7578" t="n">
        <v>25</v>
      </c>
    </row>
    <row r="7579">
      <c r="A7579" t="inlineStr">
        <is>
          <t>ED207741</t>
        </is>
      </c>
      <c r="B7579" s="56" t="n">
        <v>45742.95277777778</v>
      </c>
      <c r="C7579" t="inlineStr">
        <is>
          <t>Bluestone Memorial Hospital</t>
        </is>
      </c>
      <c r="D7579" t="n">
        <v>37</v>
      </c>
    </row>
    <row r="7580">
      <c r="A7580" t="inlineStr">
        <is>
          <t>ED207742</t>
        </is>
      </c>
      <c r="B7580" s="56" t="n">
        <v>45743.04930555556</v>
      </c>
      <c r="C7580" t="inlineStr">
        <is>
          <t>Bluestone Memorial Hospital</t>
        </is>
      </c>
      <c r="D7580" t="n">
        <v>45</v>
      </c>
    </row>
    <row r="7581">
      <c r="A7581" t="inlineStr">
        <is>
          <t>ED207743</t>
        </is>
      </c>
      <c r="B7581" s="56" t="n">
        <v>45743.15833333333</v>
      </c>
      <c r="C7581" t="inlineStr">
        <is>
          <t>Bluestone Memorial Hospital</t>
        </is>
      </c>
      <c r="D7581" t="n">
        <v>104</v>
      </c>
    </row>
    <row r="7582">
      <c r="A7582" t="inlineStr">
        <is>
          <t>ED207744</t>
        </is>
      </c>
      <c r="B7582" s="56" t="n">
        <v>45743.35277777778</v>
      </c>
      <c r="C7582" t="inlineStr">
        <is>
          <t>Cedar Ridge Medical Center</t>
        </is>
      </c>
      <c r="D7582" t="n">
        <v>23</v>
      </c>
    </row>
    <row r="7583">
      <c r="A7583" t="inlineStr">
        <is>
          <t>ED207745</t>
        </is>
      </c>
      <c r="B7583" s="56" t="n">
        <v>45743.45</v>
      </c>
      <c r="C7583" t="inlineStr">
        <is>
          <t>Ashby Falls Community Hospital</t>
        </is>
      </c>
      <c r="D7583" t="n">
        <v>50</v>
      </c>
    </row>
    <row r="7584">
      <c r="A7584" t="inlineStr">
        <is>
          <t>ED207746</t>
        </is>
      </c>
      <c r="B7584" s="56" t="n">
        <v>45743.47777777778</v>
      </c>
      <c r="C7584" t="inlineStr">
        <is>
          <t>Bluestone Memorial Hospital</t>
        </is>
      </c>
      <c r="D7584" t="n">
        <v>34</v>
      </c>
    </row>
    <row r="7585">
      <c r="A7585" t="inlineStr">
        <is>
          <t>ED207747</t>
        </is>
      </c>
      <c r="B7585" s="56" t="n">
        <v>45743.50694444445</v>
      </c>
      <c r="C7585" t="inlineStr">
        <is>
          <t>Bluestone Memorial Hospital</t>
        </is>
      </c>
      <c r="D7585" t="n">
        <v>19</v>
      </c>
    </row>
    <row r="7586">
      <c r="A7586" t="inlineStr">
        <is>
          <t>ED207748</t>
        </is>
      </c>
      <c r="B7586" s="56" t="n">
        <v>45743.55416666667</v>
      </c>
      <c r="C7586" t="inlineStr">
        <is>
          <t>Bluestone Memorial Hospital</t>
        </is>
      </c>
      <c r="D7586" t="n">
        <v>34</v>
      </c>
    </row>
    <row r="7587">
      <c r="A7587" t="inlineStr">
        <is>
          <t>ED207749</t>
        </is>
      </c>
      <c r="B7587" s="56" t="n">
        <v>45743.56111111111</v>
      </c>
      <c r="C7587" t="inlineStr">
        <is>
          <t>Bluestone Memorial Hospital</t>
        </is>
      </c>
      <c r="D7587" t="n">
        <v>50</v>
      </c>
    </row>
    <row r="7588">
      <c r="A7588" t="inlineStr">
        <is>
          <t>ED207750</t>
        </is>
      </c>
      <c r="B7588" s="56" t="n">
        <v>45743.59791666667</v>
      </c>
      <c r="C7588" t="inlineStr">
        <is>
          <t>Bluestone Memorial Hospital</t>
        </is>
      </c>
      <c r="D7588" t="n">
        <v>84</v>
      </c>
    </row>
    <row r="7589">
      <c r="A7589" t="inlineStr">
        <is>
          <t>ED207751</t>
        </is>
      </c>
      <c r="B7589" s="56" t="n">
        <v>45743.62083333333</v>
      </c>
      <c r="C7589" t="inlineStr">
        <is>
          <t>Bluestone Memorial Hospital</t>
        </is>
      </c>
      <c r="D7589" t="n">
        <v>42</v>
      </c>
    </row>
    <row r="7590">
      <c r="A7590" t="inlineStr">
        <is>
          <t>ED207752</t>
        </is>
      </c>
      <c r="B7590" s="56" t="n">
        <v>45743.65138888889</v>
      </c>
      <c r="C7590" t="inlineStr">
        <is>
          <t>Bluestone Memorial Hospital</t>
        </is>
      </c>
      <c r="D7590" t="n">
        <v>29</v>
      </c>
    </row>
    <row r="7591">
      <c r="A7591" t="inlineStr">
        <is>
          <t>ED207753</t>
        </is>
      </c>
      <c r="B7591" s="56" t="n">
        <v>45743.69930555556</v>
      </c>
      <c r="C7591" t="inlineStr">
        <is>
          <t>Cedar Ridge Medical Center</t>
        </is>
      </c>
      <c r="D7591" t="n">
        <v>63</v>
      </c>
    </row>
    <row r="7592">
      <c r="A7592" t="inlineStr">
        <is>
          <t>ED207754</t>
        </is>
      </c>
      <c r="B7592" s="56" t="n">
        <v>45743.75</v>
      </c>
      <c r="C7592" t="inlineStr">
        <is>
          <t>Cedar Ridge Medical Center</t>
        </is>
      </c>
      <c r="D7592" t="n">
        <v>88</v>
      </c>
    </row>
    <row r="7593">
      <c r="A7593" t="inlineStr">
        <is>
          <t>ED207755</t>
        </is>
      </c>
      <c r="B7593" s="56" t="n">
        <v>45743.82638888889</v>
      </c>
      <c r="C7593" t="inlineStr">
        <is>
          <t>Bluestone Memorial Hospital</t>
        </is>
      </c>
      <c r="D7593" t="n">
        <v>21</v>
      </c>
    </row>
    <row r="7594">
      <c r="A7594" t="inlineStr">
        <is>
          <t>ED207756</t>
        </is>
      </c>
      <c r="B7594" s="56" t="n">
        <v>45743.85416666666</v>
      </c>
      <c r="C7594" t="inlineStr">
        <is>
          <t>Bluestone Memorial Hospital</t>
        </is>
      </c>
      <c r="D7594" t="n">
        <v>40</v>
      </c>
    </row>
    <row r="7595">
      <c r="A7595" t="inlineStr">
        <is>
          <t>ED207757</t>
        </is>
      </c>
      <c r="B7595" s="56" t="n">
        <v>45743.93055555555</v>
      </c>
      <c r="C7595" t="inlineStr">
        <is>
          <t>Bluestone Memorial Hospital</t>
        </is>
      </c>
      <c r="D7595" t="n">
        <v>18</v>
      </c>
    </row>
    <row r="7596">
      <c r="A7596" t="inlineStr">
        <is>
          <t>ED207758</t>
        </is>
      </c>
      <c r="B7596" s="56" t="n">
        <v>45744.11388888889</v>
      </c>
      <c r="C7596" t="inlineStr">
        <is>
          <t>Cedar Ridge Medical Center</t>
        </is>
      </c>
      <c r="D7596" t="n">
        <v>29</v>
      </c>
    </row>
    <row r="7597">
      <c r="A7597" t="inlineStr">
        <is>
          <t>ED207759</t>
        </is>
      </c>
      <c r="B7597" s="56" t="n">
        <v>45744.12291666667</v>
      </c>
      <c r="C7597" t="inlineStr">
        <is>
          <t>Bluestone Memorial Hospital</t>
        </is>
      </c>
      <c r="D7597" t="n">
        <v>28</v>
      </c>
    </row>
    <row r="7598">
      <c r="A7598" t="inlineStr">
        <is>
          <t>ED207760</t>
        </is>
      </c>
      <c r="B7598" s="56" t="n">
        <v>45744.36041666667</v>
      </c>
      <c r="C7598" t="inlineStr">
        <is>
          <t>Bluestone Memorial Hospital</t>
        </is>
      </c>
      <c r="D7598" t="n">
        <v>29</v>
      </c>
    </row>
    <row r="7599">
      <c r="A7599" t="inlineStr">
        <is>
          <t>ED207761</t>
        </is>
      </c>
      <c r="B7599" s="56" t="n">
        <v>45744.41805555556</v>
      </c>
      <c r="C7599" t="inlineStr">
        <is>
          <t>Bluestone Memorial Hospital</t>
        </is>
      </c>
      <c r="D7599" t="n">
        <v>10</v>
      </c>
    </row>
    <row r="7600">
      <c r="A7600" t="inlineStr">
        <is>
          <t>ED207762</t>
        </is>
      </c>
      <c r="B7600" s="56" t="n">
        <v>45744.42361111111</v>
      </c>
      <c r="C7600" t="inlineStr">
        <is>
          <t>Bluestone Memorial Hospital</t>
        </is>
      </c>
      <c r="D7600" t="n">
        <v>33</v>
      </c>
    </row>
    <row r="7601">
      <c r="A7601" t="inlineStr">
        <is>
          <t>ED207763</t>
        </is>
      </c>
      <c r="B7601" s="56" t="n">
        <v>45744.43402777778</v>
      </c>
      <c r="C7601" t="inlineStr">
        <is>
          <t>Bluestone Memorial Hospital</t>
        </is>
      </c>
      <c r="D7601" t="n">
        <v>16</v>
      </c>
    </row>
    <row r="7602">
      <c r="A7602" t="inlineStr">
        <is>
          <t>ED207764</t>
        </is>
      </c>
      <c r="B7602" s="56" t="n">
        <v>45744.44166666667</v>
      </c>
      <c r="C7602" t="inlineStr">
        <is>
          <t>Bluestone Memorial Hospital</t>
        </is>
      </c>
      <c r="D7602" t="n">
        <v>57</v>
      </c>
    </row>
    <row r="7603">
      <c r="A7603" t="inlineStr">
        <is>
          <t>ED207765</t>
        </is>
      </c>
      <c r="B7603" s="56" t="n">
        <v>45744.45277777778</v>
      </c>
      <c r="C7603" t="inlineStr">
        <is>
          <t>Bluestone Memorial Hospital</t>
        </is>
      </c>
      <c r="D7603" t="n">
        <v>64</v>
      </c>
    </row>
    <row r="7604">
      <c r="A7604" t="inlineStr">
        <is>
          <t>ED207766</t>
        </is>
      </c>
      <c r="B7604" s="56" t="n">
        <v>45744.46388888889</v>
      </c>
      <c r="C7604" t="inlineStr">
        <is>
          <t>Bluestone Memorial Hospital</t>
        </is>
      </c>
      <c r="D7604" t="n">
        <v>44</v>
      </c>
    </row>
    <row r="7605">
      <c r="A7605" t="inlineStr">
        <is>
          <t>ED207767</t>
        </is>
      </c>
      <c r="B7605" s="56" t="n">
        <v>45744.48194444444</v>
      </c>
      <c r="C7605" t="inlineStr">
        <is>
          <t>Cedar Ridge Medical Center</t>
        </is>
      </c>
      <c r="D7605" t="n">
        <v>39</v>
      </c>
    </row>
    <row r="7606">
      <c r="A7606" t="inlineStr">
        <is>
          <t>ED207768</t>
        </is>
      </c>
      <c r="B7606" s="56" t="n">
        <v>45744.49444444444</v>
      </c>
      <c r="C7606" t="inlineStr">
        <is>
          <t>Cedar Ridge Medical Center</t>
        </is>
      </c>
      <c r="D7606" t="n">
        <v>25</v>
      </c>
    </row>
    <row r="7607">
      <c r="A7607" t="inlineStr">
        <is>
          <t>ED207770</t>
        </is>
      </c>
      <c r="B7607" s="56" t="n">
        <v>45744.5125</v>
      </c>
      <c r="C7607" t="inlineStr">
        <is>
          <t>Bluestone Memorial Hospital</t>
        </is>
      </c>
      <c r="D7607" t="n">
        <v>16</v>
      </c>
    </row>
    <row r="7608">
      <c r="A7608" t="inlineStr">
        <is>
          <t>ED207771</t>
        </is>
      </c>
      <c r="B7608" s="56" t="n">
        <v>45744.52569444444</v>
      </c>
      <c r="C7608" t="inlineStr">
        <is>
          <t>Bluestone Memorial Hospital</t>
        </is>
      </c>
      <c r="D7608" t="n">
        <v>12</v>
      </c>
    </row>
    <row r="7609">
      <c r="A7609" t="inlineStr">
        <is>
          <t>ED207772</t>
        </is>
      </c>
      <c r="B7609" s="56" t="n">
        <v>45744.54236111111</v>
      </c>
      <c r="C7609" t="inlineStr">
        <is>
          <t>Bluestone Memorial Hospital</t>
        </is>
      </c>
      <c r="D7609" t="n">
        <v>27</v>
      </c>
    </row>
    <row r="7610">
      <c r="A7610" t="inlineStr">
        <is>
          <t>ED207773</t>
        </is>
      </c>
      <c r="B7610" s="56" t="n">
        <v>45744.55555555555</v>
      </c>
      <c r="C7610" t="inlineStr">
        <is>
          <t>Bluestone Memorial Hospital</t>
        </is>
      </c>
      <c r="D7610" t="n">
        <v>31</v>
      </c>
    </row>
    <row r="7611">
      <c r="A7611" t="inlineStr">
        <is>
          <t>ED207774</t>
        </is>
      </c>
      <c r="B7611" s="56" t="n">
        <v>45744.57847222222</v>
      </c>
      <c r="C7611" t="inlineStr">
        <is>
          <t>Ashby Falls Community Hospital</t>
        </is>
      </c>
      <c r="D7611" t="n">
        <v>43</v>
      </c>
    </row>
    <row r="7612">
      <c r="A7612" t="inlineStr">
        <is>
          <t>ED207775</t>
        </is>
      </c>
      <c r="B7612" s="56" t="n">
        <v>45744.64791666667</v>
      </c>
      <c r="C7612" t="inlineStr">
        <is>
          <t>Bluestone Memorial Hospital</t>
        </is>
      </c>
      <c r="D7612" t="n">
        <v>19</v>
      </c>
    </row>
    <row r="7613">
      <c r="A7613" t="inlineStr">
        <is>
          <t>ED207776</t>
        </is>
      </c>
      <c r="B7613" s="56" t="n">
        <v>45744.66805555556</v>
      </c>
      <c r="C7613" t="inlineStr">
        <is>
          <t>Cedar Ridge Medical Center</t>
        </is>
      </c>
      <c r="D7613" t="n">
        <v>16</v>
      </c>
    </row>
    <row r="7614">
      <c r="A7614" t="inlineStr">
        <is>
          <t>ED207777</t>
        </is>
      </c>
      <c r="B7614" s="56" t="n">
        <v>45744.68402777778</v>
      </c>
      <c r="C7614" t="inlineStr">
        <is>
          <t>Bluestone Memorial Hospital</t>
        </is>
      </c>
      <c r="D7614" t="n">
        <v>19</v>
      </c>
    </row>
    <row r="7615">
      <c r="A7615" t="inlineStr">
        <is>
          <t>ED207778</t>
        </is>
      </c>
      <c r="B7615" s="56" t="n">
        <v>45744.72430555556</v>
      </c>
      <c r="C7615" t="inlineStr">
        <is>
          <t>Bluestone Memorial Hospital</t>
        </is>
      </c>
      <c r="D7615" t="n">
        <v>12</v>
      </c>
    </row>
    <row r="7616">
      <c r="A7616" t="inlineStr">
        <is>
          <t>ED207779</t>
        </is>
      </c>
      <c r="B7616" s="56" t="n">
        <v>45744.80555555555</v>
      </c>
      <c r="C7616" t="inlineStr">
        <is>
          <t>Bluestone Memorial Hospital</t>
        </is>
      </c>
      <c r="D7616" t="n">
        <v>23</v>
      </c>
    </row>
    <row r="7617">
      <c r="A7617" t="inlineStr">
        <is>
          <t>ED207780</t>
        </is>
      </c>
      <c r="B7617" s="56" t="n">
        <v>45745.02361111111</v>
      </c>
      <c r="C7617" t="inlineStr">
        <is>
          <t>Bluestone Memorial Hospital</t>
        </is>
      </c>
      <c r="D7617" t="n">
        <v>64</v>
      </c>
    </row>
    <row r="7618">
      <c r="A7618" t="inlineStr">
        <is>
          <t>ED207781</t>
        </is>
      </c>
      <c r="B7618" s="56" t="n">
        <v>45745.04027777778</v>
      </c>
      <c r="C7618" t="inlineStr">
        <is>
          <t>Ashby Falls Community Hospital</t>
        </is>
      </c>
      <c r="D7618" t="n">
        <v>29</v>
      </c>
    </row>
    <row r="7619">
      <c r="A7619" t="inlineStr">
        <is>
          <t>ED207782</t>
        </is>
      </c>
      <c r="B7619" s="56" t="n">
        <v>45745.06944444445</v>
      </c>
      <c r="C7619" t="inlineStr">
        <is>
          <t>Ashby Falls Community Hospital</t>
        </is>
      </c>
      <c r="D7619" t="n">
        <v>60</v>
      </c>
    </row>
    <row r="7620">
      <c r="A7620" t="inlineStr">
        <is>
          <t>ED207783</t>
        </is>
      </c>
      <c r="B7620" s="56" t="n">
        <v>45745.23125</v>
      </c>
      <c r="C7620" t="inlineStr">
        <is>
          <t>Bluestone Memorial Hospital</t>
        </is>
      </c>
      <c r="D7620" t="n">
        <v>50</v>
      </c>
    </row>
    <row r="7621">
      <c r="A7621" t="inlineStr">
        <is>
          <t>ED207784</t>
        </is>
      </c>
      <c r="B7621" s="56" t="n">
        <v>45745.43125</v>
      </c>
      <c r="C7621" t="inlineStr">
        <is>
          <t>Bluestone Memorial Hospital</t>
        </is>
      </c>
      <c r="D7621" t="n">
        <v>38</v>
      </c>
    </row>
    <row r="7622">
      <c r="A7622" t="inlineStr">
        <is>
          <t>ED207785</t>
        </is>
      </c>
      <c r="B7622" s="56" t="n">
        <v>45745.43680555555</v>
      </c>
      <c r="C7622" t="inlineStr">
        <is>
          <t>Cedar Ridge Medical Center</t>
        </is>
      </c>
      <c r="D7622" t="n">
        <v>22</v>
      </c>
    </row>
    <row r="7623">
      <c r="A7623" t="inlineStr">
        <is>
          <t>ED207786</t>
        </is>
      </c>
      <c r="B7623" s="56" t="n">
        <v>45745.45277777778</v>
      </c>
      <c r="C7623" t="inlineStr">
        <is>
          <t>Bluestone Memorial Hospital</t>
        </is>
      </c>
      <c r="D7623" t="n">
        <v>125</v>
      </c>
    </row>
    <row r="7624">
      <c r="A7624" t="inlineStr">
        <is>
          <t>ED207787</t>
        </is>
      </c>
      <c r="B7624" s="56" t="n">
        <v>45745.48958333334</v>
      </c>
      <c r="C7624" t="inlineStr">
        <is>
          <t>Bluestone Memorial Hospital</t>
        </is>
      </c>
      <c r="D7624" t="n">
        <v>36</v>
      </c>
    </row>
    <row r="7625">
      <c r="A7625" t="inlineStr">
        <is>
          <t>ED207788</t>
        </is>
      </c>
      <c r="B7625" s="56" t="n">
        <v>45745.57013888889</v>
      </c>
      <c r="C7625" t="inlineStr">
        <is>
          <t>Bluestone Memorial Hospital</t>
        </is>
      </c>
      <c r="D7625" t="n">
        <v>79</v>
      </c>
    </row>
    <row r="7626">
      <c r="A7626" t="inlineStr">
        <is>
          <t>ED207789</t>
        </is>
      </c>
      <c r="B7626" s="56" t="n">
        <v>45745.57638888889</v>
      </c>
      <c r="C7626" t="inlineStr">
        <is>
          <t>Bluestone Memorial Hospital</t>
        </is>
      </c>
      <c r="D7626" t="n">
        <v>35</v>
      </c>
    </row>
    <row r="7627">
      <c r="A7627" t="inlineStr">
        <is>
          <t>ED207790</t>
        </is>
      </c>
      <c r="B7627" s="56" t="n">
        <v>45745.59652777778</v>
      </c>
      <c r="C7627" t="inlineStr">
        <is>
          <t>Ashby Falls Community Hospital</t>
        </is>
      </c>
      <c r="D7627" t="n">
        <v>119</v>
      </c>
    </row>
    <row r="7628">
      <c r="A7628" t="inlineStr">
        <is>
          <t>ED207791</t>
        </is>
      </c>
      <c r="B7628" s="56" t="n">
        <v>45745.72430555556</v>
      </c>
      <c r="C7628" t="inlineStr">
        <is>
          <t>Bluestone Memorial Hospital</t>
        </is>
      </c>
      <c r="D7628" t="n">
        <v>17</v>
      </c>
    </row>
    <row r="7629">
      <c r="A7629" t="inlineStr">
        <is>
          <t>ED207792</t>
        </is>
      </c>
      <c r="B7629" s="56" t="n">
        <v>45745.74097222222</v>
      </c>
      <c r="C7629" t="inlineStr">
        <is>
          <t>Cedar Ridge Medical Center</t>
        </is>
      </c>
      <c r="D7629" t="n">
        <v>105</v>
      </c>
    </row>
    <row r="7630">
      <c r="A7630" t="inlineStr">
        <is>
          <t>ED207793</t>
        </is>
      </c>
      <c r="B7630" s="56" t="n">
        <v>45745.74583333333</v>
      </c>
      <c r="C7630" t="inlineStr">
        <is>
          <t>Ashby Falls Community Hospital</t>
        </is>
      </c>
      <c r="D7630" t="n">
        <v>54</v>
      </c>
    </row>
    <row r="7631">
      <c r="A7631" t="inlineStr">
        <is>
          <t>ED207794</t>
        </is>
      </c>
      <c r="B7631" s="56" t="n">
        <v>45745.82222222222</v>
      </c>
      <c r="C7631" t="inlineStr">
        <is>
          <t>Bluestone Memorial Hospital</t>
        </is>
      </c>
      <c r="D7631" t="n">
        <v>43</v>
      </c>
    </row>
    <row r="7632">
      <c r="A7632" t="inlineStr">
        <is>
          <t>ED207795</t>
        </is>
      </c>
      <c r="B7632" s="56" t="n">
        <v>45745.82847222222</v>
      </c>
      <c r="C7632" t="inlineStr">
        <is>
          <t>Bluestone Memorial Hospital</t>
        </is>
      </c>
      <c r="D7632" t="n">
        <v>57</v>
      </c>
    </row>
    <row r="7633">
      <c r="A7633" t="inlineStr">
        <is>
          <t>ED207796</t>
        </is>
      </c>
      <c r="B7633" s="56" t="n">
        <v>45745.90972222222</v>
      </c>
      <c r="C7633" t="inlineStr">
        <is>
          <t>Bluestone Memorial Hospital</t>
        </is>
      </c>
      <c r="D7633" t="n">
        <v>12</v>
      </c>
    </row>
    <row r="7634">
      <c r="A7634" t="inlineStr">
        <is>
          <t>ED207797</t>
        </is>
      </c>
      <c r="B7634" s="56" t="n">
        <v>45745.93333333333</v>
      </c>
      <c r="C7634" t="inlineStr">
        <is>
          <t>Bluestone Memorial Hospital</t>
        </is>
      </c>
      <c r="D7634" t="n">
        <v>3</v>
      </c>
    </row>
    <row r="7635">
      <c r="A7635" t="inlineStr">
        <is>
          <t>ED207798</t>
        </is>
      </c>
      <c r="B7635" s="56" t="n">
        <v>45745.95763888889</v>
      </c>
      <c r="C7635" t="inlineStr">
        <is>
          <t>Ashby Falls Community Hospital</t>
        </is>
      </c>
      <c r="D7635" t="n">
        <v>1</v>
      </c>
    </row>
    <row r="7636">
      <c r="A7636" t="inlineStr">
        <is>
          <t>ED207799</t>
        </is>
      </c>
      <c r="B7636" s="56" t="n">
        <v>45746.03402777778</v>
      </c>
      <c r="C7636" t="inlineStr">
        <is>
          <t>Bluestone Memorial Hospital</t>
        </is>
      </c>
      <c r="D7636" t="n">
        <v>87</v>
      </c>
    </row>
    <row r="7637">
      <c r="A7637" t="inlineStr">
        <is>
          <t>ED207800</t>
        </is>
      </c>
      <c r="B7637" s="56" t="n">
        <v>45746.07777777778</v>
      </c>
      <c r="C7637" t="inlineStr">
        <is>
          <t>Bluestone Memorial Hospital</t>
        </is>
      </c>
      <c r="D7637" t="n">
        <v>24</v>
      </c>
    </row>
    <row r="7638">
      <c r="A7638" t="inlineStr">
        <is>
          <t>ED207801</t>
        </is>
      </c>
      <c r="B7638" s="56" t="n">
        <v>45746.38125</v>
      </c>
      <c r="C7638" t="inlineStr">
        <is>
          <t>Bluestone Memorial Hospital</t>
        </is>
      </c>
      <c r="D7638" t="n">
        <v>61</v>
      </c>
    </row>
    <row r="7639">
      <c r="A7639" t="inlineStr">
        <is>
          <t>ED207802</t>
        </is>
      </c>
      <c r="B7639" s="56" t="n">
        <v>45746.58958333333</v>
      </c>
      <c r="C7639" t="inlineStr">
        <is>
          <t>Bluestone Memorial Hospital</t>
        </is>
      </c>
      <c r="D7639" t="n">
        <v>20</v>
      </c>
    </row>
    <row r="7640">
      <c r="A7640" t="inlineStr">
        <is>
          <t>ED207803</t>
        </is>
      </c>
      <c r="B7640" s="56" t="n">
        <v>45746.60555555556</v>
      </c>
      <c r="C7640" t="inlineStr">
        <is>
          <t>Bluestone Memorial Hospital</t>
        </is>
      </c>
      <c r="D7640" t="n">
        <v>76</v>
      </c>
    </row>
    <row r="7641">
      <c r="A7641" t="inlineStr">
        <is>
          <t>ED207804</t>
        </is>
      </c>
      <c r="B7641" s="56" t="n">
        <v>45746.61944444444</v>
      </c>
      <c r="C7641" t="inlineStr">
        <is>
          <t>Bluestone Memorial Hospital</t>
        </is>
      </c>
      <c r="D7641" t="n">
        <v>129</v>
      </c>
    </row>
    <row r="7642">
      <c r="A7642" t="inlineStr">
        <is>
          <t>ED207805</t>
        </is>
      </c>
      <c r="B7642" s="56" t="n">
        <v>45746.62986111111</v>
      </c>
      <c r="C7642" t="inlineStr">
        <is>
          <t>Ashby Falls Community Hospital</t>
        </is>
      </c>
      <c r="D7642" t="n">
        <v>13</v>
      </c>
    </row>
    <row r="7643">
      <c r="A7643" t="inlineStr">
        <is>
          <t>ED207806</t>
        </is>
      </c>
      <c r="B7643" s="56" t="n">
        <v>45746.76805555556</v>
      </c>
      <c r="C7643" t="inlineStr">
        <is>
          <t>Bluestone Memorial Hospital</t>
        </is>
      </c>
      <c r="D7643" t="n">
        <v>50</v>
      </c>
    </row>
    <row r="7644">
      <c r="A7644" t="inlineStr">
        <is>
          <t>ED207807</t>
        </is>
      </c>
      <c r="B7644" s="56" t="n">
        <v>45746.82847222222</v>
      </c>
      <c r="C7644" t="inlineStr">
        <is>
          <t>Bluestone Memorial Hospital</t>
        </is>
      </c>
      <c r="D7644" t="n">
        <v>94</v>
      </c>
    </row>
    <row r="7645">
      <c r="A7645" t="inlineStr">
        <is>
          <t>ED207808</t>
        </is>
      </c>
      <c r="B7645" s="56" t="n">
        <v>45746.86180555556</v>
      </c>
      <c r="C7645" t="inlineStr">
        <is>
          <t>Ashby Falls Community Hospital</t>
        </is>
      </c>
      <c r="D7645" t="n">
        <v>78</v>
      </c>
    </row>
    <row r="7646">
      <c r="A7646" t="inlineStr">
        <is>
          <t>ED207809</t>
        </is>
      </c>
      <c r="B7646" s="56" t="n">
        <v>45746.92430555556</v>
      </c>
      <c r="C7646" t="inlineStr">
        <is>
          <t>Bluestone Memorial Hospital</t>
        </is>
      </c>
      <c r="D7646" t="n">
        <v>31</v>
      </c>
    </row>
    <row r="7647">
      <c r="A7647" t="inlineStr">
        <is>
          <t>ED207810</t>
        </is>
      </c>
      <c r="B7647" s="56" t="n">
        <v>45747.09861111111</v>
      </c>
      <c r="C7647" t="inlineStr">
        <is>
          <t>Cedar Ridge Medical Center</t>
        </is>
      </c>
      <c r="D7647" t="n">
        <v>19</v>
      </c>
    </row>
    <row r="7648">
      <c r="A7648" t="inlineStr">
        <is>
          <t>ED207811</t>
        </is>
      </c>
      <c r="B7648" s="56" t="n">
        <v>45747.14652777778</v>
      </c>
      <c r="C7648" t="inlineStr">
        <is>
          <t>Bluestone Memorial Hospital</t>
        </is>
      </c>
      <c r="D7648" t="n">
        <v>7</v>
      </c>
    </row>
    <row r="7649">
      <c r="A7649" t="inlineStr">
        <is>
          <t>ED207812</t>
        </is>
      </c>
      <c r="B7649" s="56" t="n">
        <v>45747.16041666667</v>
      </c>
      <c r="C7649" t="inlineStr">
        <is>
          <t>Ashby Falls Community Hospital</t>
        </is>
      </c>
      <c r="D7649" t="n">
        <v>48</v>
      </c>
    </row>
    <row r="7650">
      <c r="A7650" t="inlineStr">
        <is>
          <t>ED207813</t>
        </is>
      </c>
      <c r="B7650" s="56" t="n">
        <v>45747.24027777778</v>
      </c>
      <c r="C7650" t="inlineStr">
        <is>
          <t>Bluestone Memorial Hospital</t>
        </is>
      </c>
      <c r="D7650" t="n">
        <v>16</v>
      </c>
    </row>
    <row r="7651">
      <c r="A7651" t="inlineStr">
        <is>
          <t>ED207814</t>
        </is>
      </c>
      <c r="B7651" s="56" t="n">
        <v>45747.27569444444</v>
      </c>
      <c r="C7651" t="inlineStr">
        <is>
          <t>Cedar Ridge Medical Center</t>
        </is>
      </c>
      <c r="D7651" t="n">
        <v>15</v>
      </c>
    </row>
    <row r="7652">
      <c r="A7652" t="inlineStr">
        <is>
          <t>ED207815</t>
        </is>
      </c>
      <c r="B7652" s="56" t="n">
        <v>45747.42013888889</v>
      </c>
      <c r="C7652" t="inlineStr">
        <is>
          <t>Bluestone Memorial Hospital</t>
        </is>
      </c>
      <c r="D7652" t="n">
        <v>24</v>
      </c>
    </row>
    <row r="7653">
      <c r="A7653" t="inlineStr">
        <is>
          <t>ED207816</t>
        </is>
      </c>
      <c r="B7653" s="56" t="n">
        <v>45747.43680555555</v>
      </c>
      <c r="C7653" t="inlineStr">
        <is>
          <t>Bluestone Memorial Hospital</t>
        </is>
      </c>
      <c r="D7653" t="n">
        <v>43</v>
      </c>
    </row>
    <row r="7654">
      <c r="A7654" t="inlineStr">
        <is>
          <t>ED207817</t>
        </is>
      </c>
      <c r="B7654" s="56" t="n">
        <v>45747.46875</v>
      </c>
      <c r="C7654" t="inlineStr">
        <is>
          <t>Bluestone Memorial Hospital</t>
        </is>
      </c>
      <c r="D7654" t="n">
        <v>24</v>
      </c>
    </row>
    <row r="7655">
      <c r="A7655" t="inlineStr">
        <is>
          <t>ED207818</t>
        </is>
      </c>
      <c r="B7655" s="56" t="n">
        <v>45747.49513888889</v>
      </c>
      <c r="C7655" t="inlineStr">
        <is>
          <t>Bluestone Memorial Hospital</t>
        </is>
      </c>
      <c r="D7655" t="n">
        <v>37</v>
      </c>
    </row>
    <row r="7656">
      <c r="A7656" t="inlineStr">
        <is>
          <t>ED207819</t>
        </is>
      </c>
      <c r="B7656" s="56" t="n">
        <v>45747.51527777778</v>
      </c>
      <c r="C7656" t="inlineStr">
        <is>
          <t>Cedar Ridge Medical Center</t>
        </is>
      </c>
      <c r="D7656" t="n">
        <v>115</v>
      </c>
    </row>
    <row r="7657">
      <c r="A7657" t="inlineStr">
        <is>
          <t>ED207820</t>
        </is>
      </c>
      <c r="B7657" s="56" t="n">
        <v>45747.55277777778</v>
      </c>
      <c r="C7657" t="inlineStr">
        <is>
          <t>Bluestone Memorial Hospital</t>
        </is>
      </c>
      <c r="D7657" t="n">
        <v>2</v>
      </c>
    </row>
    <row r="7658">
      <c r="A7658" t="inlineStr">
        <is>
          <t>ED207821</t>
        </is>
      </c>
      <c r="B7658" s="56" t="n">
        <v>45747.60694444444</v>
      </c>
      <c r="C7658" t="inlineStr">
        <is>
          <t>Bluestone Memorial Hospital</t>
        </is>
      </c>
      <c r="D7658" t="n">
        <v>18</v>
      </c>
    </row>
    <row r="7659">
      <c r="A7659" t="inlineStr">
        <is>
          <t>ED207822</t>
        </is>
      </c>
      <c r="B7659" s="56" t="n">
        <v>45747.75763888889</v>
      </c>
      <c r="C7659" t="inlineStr">
        <is>
          <t>Bluestone Memorial Hospital</t>
        </is>
      </c>
      <c r="D7659" t="n">
        <v>14</v>
      </c>
    </row>
    <row r="7660">
      <c r="A7660" t="inlineStr">
        <is>
          <t>ED207823</t>
        </is>
      </c>
      <c r="B7660" s="56" t="n">
        <v>45747.76736111111</v>
      </c>
      <c r="C7660" t="inlineStr">
        <is>
          <t>Bluestone Memorial Hospital</t>
        </is>
      </c>
      <c r="D7660" t="n">
        <v>32</v>
      </c>
    </row>
    <row r="7661">
      <c r="A7661" t="inlineStr">
        <is>
          <t>ED207824</t>
        </is>
      </c>
      <c r="B7661" s="56" t="n">
        <v>45747.83472222222</v>
      </c>
      <c r="C7661" t="inlineStr">
        <is>
          <t>Bluestone Memorial Hospital</t>
        </is>
      </c>
      <c r="D7661" t="n">
        <v>42</v>
      </c>
    </row>
    <row r="7662">
      <c r="A7662" t="inlineStr">
        <is>
          <t>ED207825</t>
        </is>
      </c>
      <c r="B7662" s="56" t="n">
        <v>45748.28541666667</v>
      </c>
      <c r="C7662" t="inlineStr">
        <is>
          <t>Ashby Falls Community Hospital</t>
        </is>
      </c>
      <c r="D7662" t="n">
        <v>14</v>
      </c>
    </row>
    <row r="7663">
      <c r="A7663" t="inlineStr">
        <is>
          <t>ED207826</t>
        </is>
      </c>
      <c r="B7663" s="56" t="n">
        <v>45748.49722222222</v>
      </c>
      <c r="C7663" t="inlineStr">
        <is>
          <t>Bluestone Memorial Hospital</t>
        </is>
      </c>
      <c r="D7663" t="n">
        <v>28</v>
      </c>
    </row>
    <row r="7664">
      <c r="A7664" t="inlineStr">
        <is>
          <t>ED207827</t>
        </is>
      </c>
      <c r="B7664" s="56" t="n">
        <v>45748.52986111111</v>
      </c>
      <c r="C7664" t="inlineStr">
        <is>
          <t>Bluestone Memorial Hospital</t>
        </is>
      </c>
      <c r="D7664" t="n">
        <v>31</v>
      </c>
    </row>
    <row r="7665">
      <c r="A7665" t="inlineStr">
        <is>
          <t>ED207828</t>
        </is>
      </c>
      <c r="B7665" s="56" t="n">
        <v>45748.53819444445</v>
      </c>
      <c r="C7665" t="inlineStr">
        <is>
          <t>Bluestone Memorial Hospital</t>
        </is>
      </c>
      <c r="D7665" t="n">
        <v>86</v>
      </c>
    </row>
    <row r="7666">
      <c r="A7666" t="inlineStr">
        <is>
          <t>ED207829</t>
        </is>
      </c>
      <c r="B7666" s="56" t="n">
        <v>45748.54444444444</v>
      </c>
      <c r="C7666" t="inlineStr">
        <is>
          <t>Bluestone Memorial Hospital</t>
        </is>
      </c>
      <c r="D7666" t="n">
        <v>65</v>
      </c>
    </row>
    <row r="7667">
      <c r="A7667" t="inlineStr">
        <is>
          <t>ED207830</t>
        </is>
      </c>
      <c r="B7667" s="56" t="n">
        <v>45748.74027777778</v>
      </c>
      <c r="C7667" t="inlineStr">
        <is>
          <t>Bluestone Memorial Hospital</t>
        </is>
      </c>
      <c r="D7667" t="n">
        <v>132</v>
      </c>
    </row>
    <row r="7668">
      <c r="A7668" t="inlineStr">
        <is>
          <t>ED207831</t>
        </is>
      </c>
      <c r="B7668" s="56" t="n">
        <v>45748.84027777778</v>
      </c>
      <c r="C7668" t="inlineStr">
        <is>
          <t>Bluestone Memorial Hospital</t>
        </is>
      </c>
      <c r="D7668" t="n">
        <v>10</v>
      </c>
    </row>
    <row r="7669">
      <c r="A7669" t="inlineStr">
        <is>
          <t>ED207832</t>
        </is>
      </c>
      <c r="B7669" s="56" t="n">
        <v>45748.84166666667</v>
      </c>
      <c r="C7669" t="inlineStr">
        <is>
          <t>Bluestone Memorial Hospital</t>
        </is>
      </c>
      <c r="D7669" t="n">
        <v>13</v>
      </c>
    </row>
    <row r="7670">
      <c r="A7670" t="inlineStr">
        <is>
          <t>ED207833</t>
        </is>
      </c>
      <c r="B7670" s="56" t="n">
        <v>45748.86041666667</v>
      </c>
      <c r="C7670" t="inlineStr">
        <is>
          <t>Cedar Ridge Medical Center</t>
        </is>
      </c>
      <c r="D7670" t="n">
        <v>32</v>
      </c>
    </row>
    <row r="7671">
      <c r="A7671" t="inlineStr">
        <is>
          <t>ED207834</t>
        </is>
      </c>
      <c r="B7671" s="56" t="n">
        <v>45748.86666666667</v>
      </c>
      <c r="C7671" t="inlineStr">
        <is>
          <t>Bluestone Memorial Hospital</t>
        </is>
      </c>
      <c r="D7671" t="n">
        <v>56</v>
      </c>
    </row>
    <row r="7672">
      <c r="A7672" t="inlineStr">
        <is>
          <t>ED207835</t>
        </is>
      </c>
      <c r="B7672" s="56" t="n">
        <v>45748.86805555555</v>
      </c>
      <c r="C7672" t="inlineStr">
        <is>
          <t>Ashby Falls Community Hospital</t>
        </is>
      </c>
      <c r="D7672" t="n">
        <v>33</v>
      </c>
    </row>
    <row r="7673">
      <c r="A7673" t="inlineStr">
        <is>
          <t>ED207836</t>
        </is>
      </c>
      <c r="B7673" s="56" t="n">
        <v>45749.02361111111</v>
      </c>
      <c r="C7673" t="inlineStr">
        <is>
          <t>Bluestone Memorial Hospital</t>
        </is>
      </c>
      <c r="D7673" t="n">
        <v>33</v>
      </c>
    </row>
    <row r="7674">
      <c r="A7674" t="inlineStr">
        <is>
          <t>ED207837</t>
        </is>
      </c>
      <c r="B7674" s="56" t="n">
        <v>45749.27291666667</v>
      </c>
      <c r="C7674" t="inlineStr">
        <is>
          <t>Ashby Falls Community Hospital</t>
        </is>
      </c>
      <c r="D7674" t="n">
        <v>21</v>
      </c>
    </row>
    <row r="7675">
      <c r="A7675" t="inlineStr">
        <is>
          <t>ED207838</t>
        </is>
      </c>
      <c r="B7675" s="56" t="n">
        <v>45749.32986111111</v>
      </c>
      <c r="C7675" t="inlineStr">
        <is>
          <t>Ashby Falls Community Hospital</t>
        </is>
      </c>
      <c r="D7675" t="n">
        <v>17</v>
      </c>
    </row>
    <row r="7676">
      <c r="A7676" t="inlineStr">
        <is>
          <t>ED207839</t>
        </is>
      </c>
      <c r="B7676" s="56" t="n">
        <v>45749.38055555556</v>
      </c>
      <c r="C7676" t="inlineStr">
        <is>
          <t>Cedar Ridge Medical Center</t>
        </is>
      </c>
      <c r="D7676" t="n">
        <v>103</v>
      </c>
    </row>
    <row r="7677">
      <c r="A7677" t="inlineStr">
        <is>
          <t>ED207840</t>
        </is>
      </c>
      <c r="B7677" s="56" t="n">
        <v>45749.40902777778</v>
      </c>
      <c r="C7677" t="inlineStr">
        <is>
          <t>Ashby Falls Community Hospital</t>
        </is>
      </c>
      <c r="D7677" t="n">
        <v>29</v>
      </c>
    </row>
    <row r="7678">
      <c r="A7678" t="inlineStr">
        <is>
          <t>ED207841</t>
        </is>
      </c>
      <c r="B7678" s="56" t="n">
        <v>45749.49652777778</v>
      </c>
      <c r="C7678" t="inlineStr">
        <is>
          <t>Cedar Ridge Medical Center</t>
        </is>
      </c>
      <c r="D7678" t="n">
        <v>30</v>
      </c>
    </row>
    <row r="7679">
      <c r="A7679" t="inlineStr">
        <is>
          <t>ED207842</t>
        </is>
      </c>
      <c r="B7679" s="56" t="n">
        <v>45749.50625</v>
      </c>
      <c r="C7679" t="inlineStr">
        <is>
          <t>Ashby Falls Community Hospital</t>
        </is>
      </c>
      <c r="D7679" t="n">
        <v>30</v>
      </c>
    </row>
    <row r="7680">
      <c r="A7680" t="inlineStr">
        <is>
          <t>ED207843</t>
        </is>
      </c>
      <c r="B7680" s="56" t="n">
        <v>45749.54930555556</v>
      </c>
      <c r="C7680" t="inlineStr">
        <is>
          <t>Bluestone Memorial Hospital</t>
        </is>
      </c>
      <c r="D7680" t="n">
        <v>123</v>
      </c>
    </row>
    <row r="7681">
      <c r="A7681" t="inlineStr">
        <is>
          <t>ED207844</t>
        </is>
      </c>
      <c r="B7681" s="56" t="n">
        <v>45749.55138888889</v>
      </c>
      <c r="C7681" t="inlineStr">
        <is>
          <t>Bluestone Memorial Hospital</t>
        </is>
      </c>
      <c r="D7681" t="n">
        <v>3</v>
      </c>
    </row>
    <row r="7682">
      <c r="A7682" t="inlineStr">
        <is>
          <t>ED207845</t>
        </is>
      </c>
      <c r="B7682" s="56" t="n">
        <v>45749.55972222222</v>
      </c>
      <c r="C7682" t="inlineStr">
        <is>
          <t>Bluestone Memorial Hospital</t>
        </is>
      </c>
      <c r="D7682" t="n">
        <v>132</v>
      </c>
    </row>
    <row r="7683">
      <c r="A7683" t="inlineStr">
        <is>
          <t>ED207846</t>
        </is>
      </c>
      <c r="B7683" s="56" t="n">
        <v>45749.60069444445</v>
      </c>
      <c r="C7683" t="inlineStr">
        <is>
          <t>Ashby Falls Community Hospital</t>
        </is>
      </c>
      <c r="D7683" t="n">
        <v>104</v>
      </c>
    </row>
    <row r="7684">
      <c r="A7684" t="inlineStr">
        <is>
          <t>ED207847</t>
        </is>
      </c>
      <c r="B7684" s="56" t="n">
        <v>45749.62152777778</v>
      </c>
      <c r="C7684" t="inlineStr">
        <is>
          <t>Bluestone Memorial Hospital</t>
        </is>
      </c>
      <c r="D7684" t="n">
        <v>36</v>
      </c>
    </row>
    <row r="7685">
      <c r="A7685" t="inlineStr">
        <is>
          <t>ED207848</t>
        </is>
      </c>
      <c r="B7685" s="56" t="n">
        <v>45749.73125</v>
      </c>
      <c r="C7685" t="inlineStr">
        <is>
          <t>Cedar Ridge Medical Center</t>
        </is>
      </c>
      <c r="D7685" t="n">
        <v>102</v>
      </c>
    </row>
    <row r="7686">
      <c r="A7686" t="inlineStr">
        <is>
          <t>ED207849</t>
        </is>
      </c>
      <c r="B7686" s="56" t="n">
        <v>45749.78263888889</v>
      </c>
      <c r="C7686" t="inlineStr">
        <is>
          <t>Bluestone Memorial Hospital</t>
        </is>
      </c>
      <c r="D7686" t="n">
        <v>23</v>
      </c>
    </row>
    <row r="7687">
      <c r="A7687" t="inlineStr">
        <is>
          <t>ED207850</t>
        </is>
      </c>
      <c r="B7687" s="56" t="n">
        <v>45749.86666666667</v>
      </c>
      <c r="C7687" t="inlineStr">
        <is>
          <t>Ashby Falls Community Hospital</t>
        </is>
      </c>
      <c r="D7687" t="n">
        <v>95</v>
      </c>
    </row>
    <row r="7688">
      <c r="A7688" t="inlineStr">
        <is>
          <t>ED207851</t>
        </is>
      </c>
      <c r="B7688" s="56" t="n">
        <v>45749.93194444444</v>
      </c>
      <c r="C7688" t="inlineStr">
        <is>
          <t>Bluestone Memorial Hospital</t>
        </is>
      </c>
      <c r="D7688" t="n">
        <v>10</v>
      </c>
    </row>
    <row r="7689">
      <c r="A7689" t="inlineStr">
        <is>
          <t>ED207852</t>
        </is>
      </c>
      <c r="B7689" s="56" t="n">
        <v>45749.93333333333</v>
      </c>
      <c r="C7689" t="inlineStr">
        <is>
          <t>Bluestone Memorial Hospital</t>
        </is>
      </c>
      <c r="D7689" t="n">
        <v>63</v>
      </c>
    </row>
    <row r="7690">
      <c r="A7690" t="inlineStr">
        <is>
          <t>ED207853</t>
        </is>
      </c>
      <c r="B7690" s="56" t="n">
        <v>45749.93958333333</v>
      </c>
      <c r="C7690" t="inlineStr">
        <is>
          <t>Bluestone Memorial Hospital</t>
        </is>
      </c>
      <c r="D7690" t="n">
        <v>5</v>
      </c>
    </row>
    <row r="7691">
      <c r="A7691" t="inlineStr">
        <is>
          <t>ED207854</t>
        </is>
      </c>
      <c r="B7691" s="56" t="n">
        <v>45750.01041666666</v>
      </c>
      <c r="C7691" t="inlineStr">
        <is>
          <t>Ashby Falls Community Hospital</t>
        </is>
      </c>
      <c r="D7691" t="n">
        <v>23</v>
      </c>
    </row>
    <row r="7692">
      <c r="A7692" t="inlineStr">
        <is>
          <t>ED207855</t>
        </is>
      </c>
      <c r="B7692" s="56" t="n">
        <v>45750.09236111111</v>
      </c>
      <c r="C7692" t="inlineStr">
        <is>
          <t>Cedar Ridge Medical Center</t>
        </is>
      </c>
      <c r="D7692" t="n">
        <v>30</v>
      </c>
    </row>
    <row r="7693">
      <c r="A7693" t="inlineStr">
        <is>
          <t>ED207856</t>
        </is>
      </c>
      <c r="B7693" s="56" t="n">
        <v>45750.11319444444</v>
      </c>
      <c r="C7693" t="inlineStr">
        <is>
          <t>Bluestone Memorial Hospital</t>
        </is>
      </c>
      <c r="D7693" t="n">
        <v>22</v>
      </c>
    </row>
    <row r="7694">
      <c r="A7694" t="inlineStr">
        <is>
          <t>ED207857</t>
        </is>
      </c>
      <c r="B7694" s="56" t="n">
        <v>45750.33680555555</v>
      </c>
      <c r="C7694" t="inlineStr">
        <is>
          <t>Bluestone Memorial Hospital</t>
        </is>
      </c>
      <c r="D7694" t="n">
        <v>43</v>
      </c>
    </row>
    <row r="7695">
      <c r="A7695" t="inlineStr">
        <is>
          <t>ED207858</t>
        </is>
      </c>
      <c r="B7695" s="56" t="n">
        <v>45750.35972222222</v>
      </c>
      <c r="C7695" t="inlineStr">
        <is>
          <t>Bluestone Memorial Hospital</t>
        </is>
      </c>
      <c r="D7695" t="n">
        <v>10</v>
      </c>
    </row>
    <row r="7696">
      <c r="A7696" t="inlineStr">
        <is>
          <t>ED207859</t>
        </is>
      </c>
      <c r="B7696" s="56" t="n">
        <v>45750.36041666667</v>
      </c>
      <c r="C7696" t="inlineStr">
        <is>
          <t>Ashby Falls Community Hospital</t>
        </is>
      </c>
      <c r="D7696" t="n">
        <v>29</v>
      </c>
    </row>
    <row r="7697">
      <c r="A7697" t="inlineStr">
        <is>
          <t>ED207860</t>
        </is>
      </c>
      <c r="B7697" s="56" t="n">
        <v>45750.44513888889</v>
      </c>
      <c r="C7697" t="inlineStr">
        <is>
          <t>Ashby Falls Community Hospital</t>
        </is>
      </c>
      <c r="D7697" t="n">
        <v>57</v>
      </c>
    </row>
    <row r="7698">
      <c r="A7698" t="inlineStr">
        <is>
          <t>ED207861</t>
        </is>
      </c>
      <c r="B7698" s="56" t="n">
        <v>45750.53402777778</v>
      </c>
      <c r="C7698" t="inlineStr">
        <is>
          <t>Bluestone Memorial Hospital</t>
        </is>
      </c>
      <c r="D7698" t="n">
        <v>30</v>
      </c>
    </row>
    <row r="7699">
      <c r="A7699" t="inlineStr">
        <is>
          <t>ED207862</t>
        </is>
      </c>
      <c r="B7699" s="56" t="n">
        <v>45750.54513888889</v>
      </c>
      <c r="C7699" t="inlineStr">
        <is>
          <t>Bluestone Memorial Hospital</t>
        </is>
      </c>
      <c r="D7699" t="n">
        <v>50</v>
      </c>
    </row>
    <row r="7700">
      <c r="A7700" t="inlineStr">
        <is>
          <t>ED207863</t>
        </is>
      </c>
      <c r="B7700" s="56" t="n">
        <v>45750.55</v>
      </c>
      <c r="C7700" t="inlineStr">
        <is>
          <t>Bluestone Memorial Hospital</t>
        </is>
      </c>
      <c r="D7700" t="n">
        <v>19</v>
      </c>
    </row>
    <row r="7701">
      <c r="A7701" t="inlineStr">
        <is>
          <t>ED207864</t>
        </is>
      </c>
      <c r="B7701" s="56" t="n">
        <v>45750.69652777778</v>
      </c>
      <c r="C7701" t="inlineStr">
        <is>
          <t>Bluestone Memorial Hospital</t>
        </is>
      </c>
      <c r="D7701" t="n">
        <v>67</v>
      </c>
    </row>
    <row r="7702">
      <c r="A7702" t="inlineStr">
        <is>
          <t>ED207865</t>
        </is>
      </c>
      <c r="B7702" s="56" t="n">
        <v>45750.70625</v>
      </c>
      <c r="C7702" t="inlineStr">
        <is>
          <t>Bluestone Memorial Hospital</t>
        </is>
      </c>
      <c r="D7702" t="n">
        <v>30</v>
      </c>
    </row>
    <row r="7703">
      <c r="A7703" t="inlineStr">
        <is>
          <t>ED207866</t>
        </is>
      </c>
      <c r="B7703" s="56" t="n">
        <v>45750.73055555556</v>
      </c>
      <c r="C7703" t="inlineStr">
        <is>
          <t>Bluestone Memorial Hospital</t>
        </is>
      </c>
      <c r="D7703" t="n">
        <v>42</v>
      </c>
    </row>
    <row r="7704">
      <c r="A7704" t="inlineStr">
        <is>
          <t>ED207867</t>
        </is>
      </c>
      <c r="B7704" s="56" t="n">
        <v>45750.77708333333</v>
      </c>
      <c r="C7704" t="inlineStr">
        <is>
          <t>Bluestone Memorial Hospital</t>
        </is>
      </c>
      <c r="D7704" t="n">
        <v>85</v>
      </c>
    </row>
    <row r="7705">
      <c r="A7705" t="inlineStr">
        <is>
          <t>ED207868</t>
        </is>
      </c>
      <c r="B7705" s="56" t="n">
        <v>45750.86388888889</v>
      </c>
      <c r="C7705" t="inlineStr">
        <is>
          <t>Bluestone Memorial Hospital</t>
        </is>
      </c>
      <c r="D7705" t="n">
        <v>23</v>
      </c>
    </row>
    <row r="7706">
      <c r="A7706" t="inlineStr">
        <is>
          <t>ED207869</t>
        </is>
      </c>
      <c r="B7706" s="56" t="n">
        <v>45750.88055555556</v>
      </c>
      <c r="C7706" t="inlineStr">
        <is>
          <t>Bluestone Memorial Hospital</t>
        </is>
      </c>
      <c r="D7706" t="n">
        <v>12</v>
      </c>
    </row>
    <row r="7707">
      <c r="A7707" t="inlineStr">
        <is>
          <t>ED207870</t>
        </is>
      </c>
      <c r="B7707" s="56" t="n">
        <v>45750.89097222222</v>
      </c>
      <c r="C7707" t="inlineStr">
        <is>
          <t>Bluestone Memorial Hospital</t>
        </is>
      </c>
      <c r="D7707" t="n">
        <v>19</v>
      </c>
    </row>
    <row r="7708">
      <c r="A7708" t="inlineStr">
        <is>
          <t>ED207871</t>
        </is>
      </c>
      <c r="B7708" s="56" t="n">
        <v>45750.89375</v>
      </c>
      <c r="C7708" t="inlineStr">
        <is>
          <t>Bluestone Memorial Hospital</t>
        </is>
      </c>
      <c r="D7708" t="n">
        <v>17</v>
      </c>
    </row>
    <row r="7709">
      <c r="A7709" t="inlineStr">
        <is>
          <t>ED207872</t>
        </is>
      </c>
      <c r="B7709" s="56" t="n">
        <v>45750.94305555556</v>
      </c>
      <c r="C7709" t="inlineStr">
        <is>
          <t>Bluestone Memorial Hospital</t>
        </is>
      </c>
      <c r="D7709" t="n">
        <v>71</v>
      </c>
    </row>
    <row r="7710">
      <c r="A7710" t="inlineStr">
        <is>
          <t>ED207873</t>
        </is>
      </c>
      <c r="B7710" s="56" t="n">
        <v>45751.20625</v>
      </c>
      <c r="C7710" t="inlineStr">
        <is>
          <t>Bluestone Memorial Hospital</t>
        </is>
      </c>
      <c r="D7710" t="n">
        <v>23</v>
      </c>
    </row>
    <row r="7711">
      <c r="A7711" t="inlineStr">
        <is>
          <t>ED207874</t>
        </is>
      </c>
      <c r="B7711" s="56" t="n">
        <v>45751.33263888889</v>
      </c>
      <c r="C7711" t="inlineStr">
        <is>
          <t>Bluestone Memorial Hospital</t>
        </is>
      </c>
      <c r="D7711" t="n">
        <v>28</v>
      </c>
    </row>
    <row r="7712">
      <c r="A7712" t="inlineStr">
        <is>
          <t>ED207875</t>
        </is>
      </c>
      <c r="B7712" s="56" t="n">
        <v>45751.45416666667</v>
      </c>
      <c r="C7712" t="inlineStr">
        <is>
          <t>Bluestone Memorial Hospital</t>
        </is>
      </c>
      <c r="D7712" t="n">
        <v>58</v>
      </c>
    </row>
    <row r="7713">
      <c r="A7713" t="inlineStr">
        <is>
          <t>ED207876</t>
        </is>
      </c>
      <c r="B7713" s="56" t="n">
        <v>45751.55833333333</v>
      </c>
      <c r="C7713" t="inlineStr">
        <is>
          <t>Ashby Falls Community Hospital</t>
        </is>
      </c>
      <c r="D7713" t="n">
        <v>165</v>
      </c>
    </row>
    <row r="7714">
      <c r="A7714" t="inlineStr">
        <is>
          <t>ED207877</t>
        </is>
      </c>
      <c r="B7714" s="56" t="n">
        <v>45751.59513888889</v>
      </c>
      <c r="C7714" t="inlineStr">
        <is>
          <t>Ashby Falls Community Hospital</t>
        </is>
      </c>
      <c r="D7714" t="n">
        <v>38</v>
      </c>
    </row>
    <row r="7715">
      <c r="A7715" t="inlineStr">
        <is>
          <t>ED207878</t>
        </is>
      </c>
      <c r="B7715" s="56" t="n">
        <v>45751.69930555556</v>
      </c>
      <c r="C7715" t="inlineStr">
        <is>
          <t>Bluestone Memorial Hospital</t>
        </is>
      </c>
      <c r="D7715" t="n">
        <v>44</v>
      </c>
    </row>
    <row r="7716">
      <c r="A7716" t="inlineStr">
        <is>
          <t>ED207879</t>
        </is>
      </c>
      <c r="B7716" s="56" t="n">
        <v>45751.71875</v>
      </c>
      <c r="C7716" t="inlineStr">
        <is>
          <t>Bluestone Memorial Hospital</t>
        </is>
      </c>
      <c r="D7716" t="n">
        <v>46</v>
      </c>
    </row>
    <row r="7717">
      <c r="A7717" t="inlineStr">
        <is>
          <t>ED207880</t>
        </is>
      </c>
      <c r="B7717" s="56" t="n">
        <v>45751.78263888889</v>
      </c>
      <c r="C7717" t="inlineStr">
        <is>
          <t>Bluestone Memorial Hospital</t>
        </is>
      </c>
      <c r="D7717" t="n">
        <v>7</v>
      </c>
    </row>
    <row r="7718">
      <c r="A7718" t="inlineStr">
        <is>
          <t>ED207881</t>
        </is>
      </c>
      <c r="B7718" s="56" t="n">
        <v>45751.78680555556</v>
      </c>
      <c r="C7718" t="inlineStr">
        <is>
          <t>Bluestone Memorial Hospital</t>
        </is>
      </c>
      <c r="D7718" t="n">
        <v>64</v>
      </c>
    </row>
    <row r="7719">
      <c r="A7719" t="inlineStr">
        <is>
          <t>ED207883</t>
        </is>
      </c>
      <c r="B7719" s="56" t="n">
        <v>45751.82847222222</v>
      </c>
      <c r="C7719" t="inlineStr">
        <is>
          <t>Bluestone Memorial Hospital</t>
        </is>
      </c>
      <c r="D7719" t="n">
        <v>34</v>
      </c>
    </row>
    <row r="7720">
      <c r="A7720" t="inlineStr">
        <is>
          <t>ED207884</t>
        </is>
      </c>
      <c r="B7720" s="56" t="n">
        <v>45751.83263888889</v>
      </c>
      <c r="C7720" t="inlineStr">
        <is>
          <t>Bluestone Memorial Hospital</t>
        </is>
      </c>
      <c r="D7720" t="n">
        <v>15</v>
      </c>
    </row>
    <row r="7721">
      <c r="A7721" t="inlineStr">
        <is>
          <t>ED207885</t>
        </is>
      </c>
      <c r="B7721" s="56" t="n">
        <v>45752.46944444445</v>
      </c>
      <c r="C7721" t="inlineStr">
        <is>
          <t>Cedar Ridge Medical Center</t>
        </is>
      </c>
      <c r="D7721" t="n">
        <v>5</v>
      </c>
    </row>
    <row r="7722">
      <c r="A7722" t="inlineStr">
        <is>
          <t>ED207886</t>
        </is>
      </c>
      <c r="B7722" s="56" t="n">
        <v>45752.48958333334</v>
      </c>
      <c r="C7722" t="inlineStr">
        <is>
          <t>Cedar Ridge Medical Center</t>
        </is>
      </c>
      <c r="D7722" t="n">
        <v>34</v>
      </c>
    </row>
    <row r="7723">
      <c r="A7723" t="inlineStr">
        <is>
          <t>ED207887</t>
        </is>
      </c>
      <c r="B7723" s="56" t="n">
        <v>45752.51388888889</v>
      </c>
      <c r="C7723" t="inlineStr">
        <is>
          <t>Bluestone Memorial Hospital</t>
        </is>
      </c>
      <c r="D7723" t="n">
        <v>53</v>
      </c>
    </row>
    <row r="7724">
      <c r="A7724" t="inlineStr">
        <is>
          <t>ED207888</t>
        </is>
      </c>
      <c r="B7724" s="56" t="n">
        <v>45752.55</v>
      </c>
      <c r="C7724" t="inlineStr">
        <is>
          <t>Bluestone Memorial Hospital</t>
        </is>
      </c>
      <c r="D7724" t="n">
        <v>77</v>
      </c>
    </row>
    <row r="7725">
      <c r="A7725" t="inlineStr">
        <is>
          <t>ED207889</t>
        </is>
      </c>
      <c r="B7725" s="56" t="n">
        <v>45752.55833333333</v>
      </c>
      <c r="C7725" t="inlineStr">
        <is>
          <t>Bluestone Memorial Hospital</t>
        </is>
      </c>
      <c r="D7725" t="n">
        <v>30</v>
      </c>
    </row>
    <row r="7726">
      <c r="A7726" t="inlineStr">
        <is>
          <t>ED207890</t>
        </is>
      </c>
      <c r="B7726" s="56" t="n">
        <v>45752.57291666666</v>
      </c>
      <c r="C7726" t="inlineStr">
        <is>
          <t>Bluestone Memorial Hospital</t>
        </is>
      </c>
      <c r="D7726" t="n">
        <v>36</v>
      </c>
    </row>
    <row r="7727">
      <c r="A7727" t="inlineStr">
        <is>
          <t>ED207891</t>
        </is>
      </c>
      <c r="B7727" s="56" t="n">
        <v>45752.61180555556</v>
      </c>
      <c r="C7727" t="inlineStr">
        <is>
          <t>Ashby Falls Community Hospital</t>
        </is>
      </c>
      <c r="D7727" t="n">
        <v>53</v>
      </c>
    </row>
    <row r="7728">
      <c r="A7728" t="inlineStr">
        <is>
          <t>ED207892</t>
        </is>
      </c>
      <c r="B7728" s="56" t="n">
        <v>45752.625</v>
      </c>
      <c r="C7728" t="inlineStr">
        <is>
          <t>Bluestone Memorial Hospital</t>
        </is>
      </c>
      <c r="D7728" t="n">
        <v>21</v>
      </c>
    </row>
    <row r="7729">
      <c r="A7729" t="inlineStr">
        <is>
          <t>ED207893</t>
        </is>
      </c>
      <c r="B7729" s="56" t="n">
        <v>45752.64930555555</v>
      </c>
      <c r="C7729" t="inlineStr">
        <is>
          <t>Bluestone Memorial Hospital</t>
        </is>
      </c>
      <c r="D7729" t="n">
        <v>44</v>
      </c>
    </row>
    <row r="7730">
      <c r="A7730" t="inlineStr">
        <is>
          <t>ED207894</t>
        </is>
      </c>
      <c r="B7730" s="56" t="n">
        <v>45752.81944444445</v>
      </c>
      <c r="C7730" t="inlineStr">
        <is>
          <t>Bluestone Memorial Hospital</t>
        </is>
      </c>
      <c r="D7730" t="n">
        <v>56</v>
      </c>
    </row>
    <row r="7731">
      <c r="A7731" t="inlineStr">
        <is>
          <t>ED207895</t>
        </is>
      </c>
      <c r="B7731" s="56" t="n">
        <v>45752.92777777778</v>
      </c>
      <c r="C7731" t="inlineStr">
        <is>
          <t>Bluestone Memorial Hospital</t>
        </is>
      </c>
      <c r="D7731" t="n">
        <v>23</v>
      </c>
    </row>
    <row r="7732">
      <c r="A7732" t="inlineStr">
        <is>
          <t>ED207896</t>
        </is>
      </c>
      <c r="B7732" s="56" t="n">
        <v>45753.07361111111</v>
      </c>
      <c r="C7732" t="inlineStr">
        <is>
          <t>Cedar Ridge Medical Center</t>
        </is>
      </c>
      <c r="D7732" t="n">
        <v>60</v>
      </c>
    </row>
    <row r="7733">
      <c r="A7733" t="inlineStr">
        <is>
          <t>ED207897</t>
        </is>
      </c>
      <c r="B7733" s="56" t="n">
        <v>45753.21180555555</v>
      </c>
      <c r="C7733" t="inlineStr">
        <is>
          <t>Bluestone Memorial Hospital</t>
        </is>
      </c>
      <c r="D7733" t="n">
        <v>18</v>
      </c>
    </row>
    <row r="7734">
      <c r="A7734" t="inlineStr">
        <is>
          <t>ED207898</t>
        </is>
      </c>
      <c r="B7734" s="56" t="n">
        <v>45753.36388888889</v>
      </c>
      <c r="C7734" t="inlineStr">
        <is>
          <t>Bluestone Memorial Hospital</t>
        </is>
      </c>
      <c r="D7734" t="n">
        <v>84</v>
      </c>
    </row>
    <row r="7735">
      <c r="A7735" t="inlineStr">
        <is>
          <t>ED207899</t>
        </is>
      </c>
      <c r="B7735" s="56" t="n">
        <v>45753.41666666666</v>
      </c>
      <c r="C7735" t="inlineStr">
        <is>
          <t>Bluestone Memorial Hospital</t>
        </is>
      </c>
      <c r="D7735" t="n">
        <v>76</v>
      </c>
    </row>
    <row r="7736">
      <c r="A7736" t="inlineStr">
        <is>
          <t>ED207900</t>
        </is>
      </c>
      <c r="B7736" s="56" t="n">
        <v>45753.44861111111</v>
      </c>
      <c r="C7736" t="inlineStr">
        <is>
          <t>Ashby Falls Community Hospital</t>
        </is>
      </c>
      <c r="D7736" t="n">
        <v>41</v>
      </c>
    </row>
    <row r="7737">
      <c r="A7737" t="inlineStr">
        <is>
          <t>ED207901</t>
        </is>
      </c>
      <c r="B7737" s="56" t="n">
        <v>45753.49097222222</v>
      </c>
      <c r="C7737" t="inlineStr">
        <is>
          <t>Bluestone Memorial Hospital</t>
        </is>
      </c>
      <c r="D7737" t="n">
        <v>95</v>
      </c>
    </row>
    <row r="7738">
      <c r="A7738" t="inlineStr">
        <is>
          <t>ED207902</t>
        </is>
      </c>
      <c r="B7738" s="56" t="n">
        <v>45753.49652777778</v>
      </c>
      <c r="C7738" t="inlineStr">
        <is>
          <t>Cedar Ridge Medical Center</t>
        </is>
      </c>
      <c r="D7738" t="n">
        <v>42</v>
      </c>
    </row>
    <row r="7739">
      <c r="A7739" t="inlineStr">
        <is>
          <t>ED207903</t>
        </is>
      </c>
      <c r="B7739" s="56" t="n">
        <v>45753.50763888889</v>
      </c>
      <c r="C7739" t="inlineStr">
        <is>
          <t>Bluestone Memorial Hospital</t>
        </is>
      </c>
      <c r="D7739" t="n">
        <v>56</v>
      </c>
    </row>
    <row r="7740">
      <c r="A7740" t="inlineStr">
        <is>
          <t>ED207904</t>
        </is>
      </c>
      <c r="B7740" s="56" t="n">
        <v>45753.53125</v>
      </c>
      <c r="C7740" t="inlineStr">
        <is>
          <t>Cedar Ridge Medical Center</t>
        </is>
      </c>
      <c r="D7740" t="n">
        <v>124</v>
      </c>
    </row>
    <row r="7741">
      <c r="A7741" t="inlineStr">
        <is>
          <t>ED207905</t>
        </is>
      </c>
      <c r="B7741" s="56" t="n">
        <v>45753.76944444444</v>
      </c>
      <c r="C7741" t="inlineStr">
        <is>
          <t>Bluestone Memorial Hospital</t>
        </is>
      </c>
      <c r="D7741" t="n">
        <v>49</v>
      </c>
    </row>
    <row r="7742">
      <c r="A7742" t="inlineStr">
        <is>
          <t>ED207906</t>
        </is>
      </c>
      <c r="B7742" s="56" t="n">
        <v>45753.82847222222</v>
      </c>
      <c r="C7742" t="inlineStr">
        <is>
          <t>Bluestone Memorial Hospital</t>
        </is>
      </c>
      <c r="D7742" t="n">
        <v>114</v>
      </c>
    </row>
    <row r="7743">
      <c r="A7743" t="inlineStr">
        <is>
          <t>ED207907</t>
        </is>
      </c>
      <c r="B7743" s="56" t="n">
        <v>45753.8875</v>
      </c>
      <c r="C7743" t="inlineStr">
        <is>
          <t>Ashby Falls Community Hospital</t>
        </is>
      </c>
      <c r="D7743" t="n">
        <v>28</v>
      </c>
    </row>
    <row r="7744">
      <c r="A7744" t="inlineStr">
        <is>
          <t>ED207908</t>
        </is>
      </c>
      <c r="B7744" s="56" t="n">
        <v>45754.01458333333</v>
      </c>
      <c r="C7744" t="inlineStr">
        <is>
          <t>Bluestone Memorial Hospital</t>
        </is>
      </c>
      <c r="D7744" t="n">
        <v>24</v>
      </c>
    </row>
    <row r="7745">
      <c r="A7745" t="inlineStr">
        <is>
          <t>ED207909</t>
        </is>
      </c>
      <c r="B7745" s="56" t="n">
        <v>45754.06388888889</v>
      </c>
      <c r="C7745" t="inlineStr">
        <is>
          <t>Ashby Falls Community Hospital</t>
        </is>
      </c>
      <c r="D7745" t="n">
        <v>32</v>
      </c>
    </row>
    <row r="7746">
      <c r="A7746" t="inlineStr">
        <is>
          <t>ED207910</t>
        </is>
      </c>
      <c r="B7746" s="56" t="n">
        <v>45754.08958333333</v>
      </c>
      <c r="C7746" t="inlineStr">
        <is>
          <t>Bluestone Memorial Hospital</t>
        </is>
      </c>
      <c r="D7746" t="n">
        <v>16</v>
      </c>
    </row>
    <row r="7747">
      <c r="A7747" t="inlineStr">
        <is>
          <t>ED207911</t>
        </is>
      </c>
      <c r="B7747" s="56" t="n">
        <v>45754.09791666667</v>
      </c>
      <c r="C7747" t="inlineStr">
        <is>
          <t>Bluestone Memorial Hospital</t>
        </is>
      </c>
      <c r="D7747" t="n">
        <v>57</v>
      </c>
    </row>
    <row r="7748">
      <c r="A7748" t="inlineStr">
        <is>
          <t>ED207912</t>
        </is>
      </c>
      <c r="B7748" s="56" t="n">
        <v>45754.30694444444</v>
      </c>
      <c r="C7748" t="inlineStr">
        <is>
          <t>Bluestone Memorial Hospital</t>
        </is>
      </c>
      <c r="D7748" t="n">
        <v>39</v>
      </c>
    </row>
    <row r="7749">
      <c r="A7749" t="inlineStr">
        <is>
          <t>ED207913</t>
        </is>
      </c>
      <c r="B7749" s="56" t="n">
        <v>45754.34652777778</v>
      </c>
      <c r="C7749" t="inlineStr">
        <is>
          <t>Bluestone Memorial Hospital</t>
        </is>
      </c>
      <c r="D7749" t="n">
        <v>8</v>
      </c>
    </row>
    <row r="7750">
      <c r="A7750" t="inlineStr">
        <is>
          <t>ED207914</t>
        </is>
      </c>
      <c r="B7750" s="56" t="n">
        <v>45754.36944444444</v>
      </c>
      <c r="C7750" t="inlineStr">
        <is>
          <t>Bluestone Memorial Hospital</t>
        </is>
      </c>
      <c r="D7750" t="n">
        <v>75</v>
      </c>
    </row>
    <row r="7751">
      <c r="A7751" t="inlineStr">
        <is>
          <t>ED207915</t>
        </is>
      </c>
      <c r="B7751" s="56" t="n">
        <v>45754.47569444445</v>
      </c>
      <c r="C7751" t="inlineStr">
        <is>
          <t>Bluestone Memorial Hospital</t>
        </is>
      </c>
      <c r="D7751" t="n">
        <v>56</v>
      </c>
    </row>
    <row r="7752">
      <c r="A7752" t="inlineStr">
        <is>
          <t>ED207916</t>
        </is>
      </c>
      <c r="B7752" s="56" t="n">
        <v>45754.48958333334</v>
      </c>
      <c r="C7752" t="inlineStr">
        <is>
          <t>Bluestone Memorial Hospital</t>
        </is>
      </c>
      <c r="D7752" t="n">
        <v>10</v>
      </c>
    </row>
    <row r="7753">
      <c r="A7753" t="inlineStr">
        <is>
          <t>ED207917</t>
        </is>
      </c>
      <c r="B7753" s="56" t="n">
        <v>45754.57777777778</v>
      </c>
      <c r="C7753" t="inlineStr">
        <is>
          <t>Bluestone Memorial Hospital</t>
        </is>
      </c>
      <c r="D7753" t="n">
        <v>50</v>
      </c>
    </row>
    <row r="7754">
      <c r="A7754" t="inlineStr">
        <is>
          <t>ED207918</t>
        </is>
      </c>
      <c r="B7754" s="56" t="n">
        <v>45754.58402777778</v>
      </c>
      <c r="C7754" t="inlineStr">
        <is>
          <t>Bluestone Memorial Hospital</t>
        </is>
      </c>
      <c r="D7754" t="n">
        <v>105</v>
      </c>
    </row>
    <row r="7755">
      <c r="A7755" t="inlineStr">
        <is>
          <t>ED207919</t>
        </is>
      </c>
      <c r="B7755" s="56" t="n">
        <v>45754.65347222222</v>
      </c>
      <c r="C7755" t="inlineStr">
        <is>
          <t>Bluestone Memorial Hospital</t>
        </is>
      </c>
      <c r="D7755" t="n">
        <v>22</v>
      </c>
    </row>
    <row r="7756">
      <c r="A7756" t="inlineStr">
        <is>
          <t>ED207920</t>
        </is>
      </c>
      <c r="B7756" s="56" t="n">
        <v>45754.70833333334</v>
      </c>
      <c r="C7756" t="inlineStr">
        <is>
          <t>Bluestone Memorial Hospital</t>
        </is>
      </c>
      <c r="D7756" t="n">
        <v>22</v>
      </c>
    </row>
    <row r="7757">
      <c r="A7757" t="inlineStr">
        <is>
          <t>ED207921</t>
        </is>
      </c>
      <c r="B7757" s="56" t="n">
        <v>45754.72291666667</v>
      </c>
      <c r="C7757" t="inlineStr">
        <is>
          <t>Bluestone Memorial Hospital</t>
        </is>
      </c>
      <c r="D7757" t="n">
        <v>12</v>
      </c>
    </row>
    <row r="7758">
      <c r="A7758" t="inlineStr">
        <is>
          <t>ED207922</t>
        </is>
      </c>
      <c r="B7758" s="56" t="n">
        <v>45754.73263888889</v>
      </c>
      <c r="C7758" t="inlineStr">
        <is>
          <t>Cedar Ridge Medical Center</t>
        </is>
      </c>
      <c r="D7758" t="n">
        <v>73</v>
      </c>
    </row>
    <row r="7759">
      <c r="A7759" t="inlineStr">
        <is>
          <t>ED207923</t>
        </is>
      </c>
      <c r="B7759" s="56" t="n">
        <v>45754.89930555555</v>
      </c>
      <c r="C7759" t="inlineStr">
        <is>
          <t>Bluestone Memorial Hospital</t>
        </is>
      </c>
      <c r="D7759" t="n">
        <v>27</v>
      </c>
    </row>
    <row r="7760">
      <c r="A7760" t="inlineStr">
        <is>
          <t>ED207924</t>
        </is>
      </c>
      <c r="B7760" s="56" t="n">
        <v>45755.42638888889</v>
      </c>
      <c r="C7760" t="inlineStr">
        <is>
          <t>Bluestone Memorial Hospital</t>
        </is>
      </c>
      <c r="D7760" t="n">
        <v>23</v>
      </c>
    </row>
    <row r="7761">
      <c r="A7761" t="inlineStr">
        <is>
          <t>ED207925</t>
        </is>
      </c>
      <c r="B7761" s="56" t="n">
        <v>45755.45208333333</v>
      </c>
      <c r="C7761" t="inlineStr">
        <is>
          <t>Bluestone Memorial Hospital</t>
        </is>
      </c>
      <c r="D7761" t="n">
        <v>58</v>
      </c>
    </row>
    <row r="7762">
      <c r="A7762" t="inlineStr">
        <is>
          <t>ED207926</t>
        </is>
      </c>
      <c r="B7762" s="56" t="n">
        <v>45755.51875</v>
      </c>
      <c r="C7762" t="inlineStr">
        <is>
          <t>Bluestone Memorial Hospital</t>
        </is>
      </c>
      <c r="D7762" t="n">
        <v>46</v>
      </c>
    </row>
    <row r="7763">
      <c r="A7763" t="inlineStr">
        <is>
          <t>ED207927</t>
        </is>
      </c>
      <c r="B7763" s="56" t="n">
        <v>45755.56458333333</v>
      </c>
      <c r="C7763" t="inlineStr">
        <is>
          <t>Cedar Ridge Medical Center</t>
        </is>
      </c>
      <c r="D7763" t="n">
        <v>43</v>
      </c>
    </row>
    <row r="7764">
      <c r="A7764" t="inlineStr">
        <is>
          <t>ED207928</t>
        </is>
      </c>
      <c r="B7764" s="56" t="n">
        <v>45755.56736111111</v>
      </c>
      <c r="C7764" t="inlineStr">
        <is>
          <t>Bluestone Memorial Hospital</t>
        </is>
      </c>
      <c r="D7764" t="n">
        <v>59</v>
      </c>
    </row>
    <row r="7765">
      <c r="A7765" t="inlineStr">
        <is>
          <t>ED207929</t>
        </is>
      </c>
      <c r="B7765" s="56" t="n">
        <v>45755.60347222222</v>
      </c>
      <c r="C7765" t="inlineStr">
        <is>
          <t>Bluestone Memorial Hospital</t>
        </is>
      </c>
      <c r="D7765" t="n">
        <v>2</v>
      </c>
    </row>
    <row r="7766">
      <c r="A7766" t="inlineStr">
        <is>
          <t>ED207930</t>
        </is>
      </c>
      <c r="B7766" s="56" t="n">
        <v>45755.64930555555</v>
      </c>
      <c r="C7766" t="inlineStr">
        <is>
          <t>Bluestone Memorial Hospital</t>
        </is>
      </c>
      <c r="D7766" t="n">
        <v>34</v>
      </c>
    </row>
    <row r="7767">
      <c r="A7767" t="inlineStr">
        <is>
          <t>ED207931</t>
        </is>
      </c>
      <c r="B7767" s="56" t="n">
        <v>45755.66041666667</v>
      </c>
      <c r="C7767" t="inlineStr">
        <is>
          <t>Cedar Ridge Medical Center</t>
        </is>
      </c>
      <c r="D7767" t="n">
        <v>26</v>
      </c>
    </row>
    <row r="7768">
      <c r="A7768" t="inlineStr">
        <is>
          <t>ED207932</t>
        </is>
      </c>
      <c r="B7768" s="56" t="n">
        <v>45755.69513888889</v>
      </c>
      <c r="C7768" t="inlineStr">
        <is>
          <t>Ashby Falls Community Hospital</t>
        </is>
      </c>
      <c r="D7768" t="n">
        <v>77</v>
      </c>
    </row>
    <row r="7769">
      <c r="A7769" t="inlineStr">
        <is>
          <t>ED207933</t>
        </is>
      </c>
      <c r="B7769" s="56" t="n">
        <v>45755.72986111111</v>
      </c>
      <c r="C7769" t="inlineStr">
        <is>
          <t>Bluestone Memorial Hospital</t>
        </is>
      </c>
      <c r="D7769" t="n">
        <v>72</v>
      </c>
    </row>
    <row r="7770">
      <c r="A7770" t="inlineStr">
        <is>
          <t>ED207934</t>
        </is>
      </c>
      <c r="B7770" s="56" t="n">
        <v>45755.78125</v>
      </c>
      <c r="C7770" t="inlineStr">
        <is>
          <t>Cedar Ridge Medical Center</t>
        </is>
      </c>
      <c r="D7770" t="n">
        <v>29</v>
      </c>
    </row>
    <row r="7771">
      <c r="A7771" t="inlineStr">
        <is>
          <t>ED207935</t>
        </is>
      </c>
      <c r="B7771" s="56" t="n">
        <v>45755.84652777778</v>
      </c>
      <c r="C7771" t="inlineStr">
        <is>
          <t>Bluestone Memorial Hospital</t>
        </is>
      </c>
      <c r="D7771" t="n">
        <v>53</v>
      </c>
    </row>
    <row r="7772">
      <c r="A7772" t="inlineStr">
        <is>
          <t>ED207936</t>
        </is>
      </c>
      <c r="B7772" s="56" t="n">
        <v>45756.19791666666</v>
      </c>
      <c r="C7772" t="inlineStr">
        <is>
          <t>Bluestone Memorial Hospital</t>
        </is>
      </c>
      <c r="D7772" t="n">
        <v>22</v>
      </c>
    </row>
    <row r="7773">
      <c r="A7773" t="inlineStr">
        <is>
          <t>ED207937</t>
        </is>
      </c>
      <c r="B7773" s="56" t="n">
        <v>45756.25</v>
      </c>
      <c r="C7773" t="inlineStr">
        <is>
          <t>Bluestone Memorial Hospital</t>
        </is>
      </c>
      <c r="D7773" t="n">
        <v>19</v>
      </c>
    </row>
    <row r="7774">
      <c r="A7774" t="inlineStr">
        <is>
          <t>ED207938</t>
        </is>
      </c>
      <c r="B7774" s="56" t="n">
        <v>45756.35833333333</v>
      </c>
      <c r="C7774" t="inlineStr">
        <is>
          <t>Bluestone Memorial Hospital</t>
        </is>
      </c>
      <c r="D7774" t="n">
        <v>42</v>
      </c>
    </row>
    <row r="7775">
      <c r="A7775" t="inlineStr">
        <is>
          <t>ED207939</t>
        </is>
      </c>
      <c r="B7775" s="56" t="n">
        <v>45756.40277777778</v>
      </c>
      <c r="C7775" t="inlineStr">
        <is>
          <t>Bluestone Memorial Hospital</t>
        </is>
      </c>
      <c r="D7775" t="n">
        <v>10</v>
      </c>
    </row>
    <row r="7776">
      <c r="A7776" t="inlineStr">
        <is>
          <t>ED207940</t>
        </is>
      </c>
      <c r="B7776" s="56" t="n">
        <v>45756.45208333333</v>
      </c>
      <c r="C7776" t="inlineStr">
        <is>
          <t>Bluestone Memorial Hospital</t>
        </is>
      </c>
      <c r="D7776" t="n">
        <v>36</v>
      </c>
    </row>
    <row r="7777">
      <c r="A7777" t="inlineStr">
        <is>
          <t>ED207941</t>
        </is>
      </c>
      <c r="B7777" s="56" t="n">
        <v>45756.46944444445</v>
      </c>
      <c r="C7777" t="inlineStr">
        <is>
          <t>Ashby Falls Community Hospital</t>
        </is>
      </c>
      <c r="D7777" t="n">
        <v>32</v>
      </c>
    </row>
    <row r="7778">
      <c r="A7778" t="inlineStr">
        <is>
          <t>ED207942</t>
        </is>
      </c>
      <c r="B7778" s="56" t="n">
        <v>45756.50763888889</v>
      </c>
      <c r="C7778" t="inlineStr">
        <is>
          <t>Ashby Falls Community Hospital</t>
        </is>
      </c>
      <c r="D7778" t="n">
        <v>25</v>
      </c>
    </row>
    <row r="7779">
      <c r="A7779" t="inlineStr">
        <is>
          <t>ED207943</t>
        </is>
      </c>
      <c r="B7779" s="56" t="n">
        <v>45756.59444444445</v>
      </c>
      <c r="C7779" t="inlineStr">
        <is>
          <t>Ashby Falls Community Hospital</t>
        </is>
      </c>
      <c r="D7779" t="n">
        <v>38</v>
      </c>
    </row>
    <row r="7780">
      <c r="A7780" t="inlineStr">
        <is>
          <t>ED207944</t>
        </is>
      </c>
      <c r="B7780" s="56" t="n">
        <v>45756.62638888889</v>
      </c>
      <c r="C7780" t="inlineStr">
        <is>
          <t>Bluestone Memorial Hospital</t>
        </is>
      </c>
      <c r="D7780" t="n">
        <v>63</v>
      </c>
    </row>
    <row r="7781">
      <c r="A7781" t="inlineStr">
        <is>
          <t>ED207945</t>
        </is>
      </c>
      <c r="B7781" s="56" t="n">
        <v>45756.63819444444</v>
      </c>
      <c r="C7781" t="inlineStr">
        <is>
          <t>Cedar Ridge Medical Center</t>
        </is>
      </c>
      <c r="D7781" t="n">
        <v>14</v>
      </c>
    </row>
    <row r="7782">
      <c r="A7782" t="inlineStr">
        <is>
          <t>ED207946</t>
        </is>
      </c>
      <c r="B7782" s="56" t="n">
        <v>45756.65</v>
      </c>
      <c r="C7782" t="inlineStr">
        <is>
          <t>Cedar Ridge Medical Center</t>
        </is>
      </c>
      <c r="D7782" t="n">
        <v>2</v>
      </c>
    </row>
    <row r="7783">
      <c r="A7783" t="inlineStr">
        <is>
          <t>ED207947</t>
        </is>
      </c>
      <c r="B7783" s="56" t="n">
        <v>45756.71597222222</v>
      </c>
      <c r="C7783" t="inlineStr">
        <is>
          <t>Bluestone Memorial Hospital</t>
        </is>
      </c>
      <c r="D7783" t="n">
        <v>63</v>
      </c>
    </row>
    <row r="7784">
      <c r="A7784" t="inlineStr">
        <is>
          <t>ED207948</t>
        </is>
      </c>
      <c r="B7784" s="56" t="n">
        <v>45756.75069444445</v>
      </c>
      <c r="C7784" t="inlineStr">
        <is>
          <t>Cedar Ridge Medical Center</t>
        </is>
      </c>
      <c r="D7784" t="n">
        <v>64</v>
      </c>
    </row>
    <row r="7785">
      <c r="A7785" t="inlineStr">
        <is>
          <t>ED207949</t>
        </is>
      </c>
      <c r="B7785" s="56" t="n">
        <v>45756.89027777778</v>
      </c>
      <c r="C7785" t="inlineStr">
        <is>
          <t>Cedar Ridge Medical Center</t>
        </is>
      </c>
      <c r="D7785" t="n">
        <v>28</v>
      </c>
    </row>
    <row r="7786">
      <c r="A7786" t="inlineStr">
        <is>
          <t>ED207950</t>
        </is>
      </c>
      <c r="B7786" s="56" t="n">
        <v>45756.93263888889</v>
      </c>
      <c r="C7786" t="inlineStr">
        <is>
          <t>Bluestone Memorial Hospital</t>
        </is>
      </c>
      <c r="D7786" t="n">
        <v>53</v>
      </c>
    </row>
    <row r="7787">
      <c r="A7787" t="inlineStr">
        <is>
          <t>ED207951</t>
        </is>
      </c>
      <c r="B7787" s="56" t="n">
        <v>45757.04027777778</v>
      </c>
      <c r="C7787" t="inlineStr">
        <is>
          <t>Bluestone Memorial Hospital</t>
        </is>
      </c>
      <c r="D7787" t="n">
        <v>9</v>
      </c>
    </row>
    <row r="7788">
      <c r="A7788" t="inlineStr">
        <is>
          <t>ED207952</t>
        </is>
      </c>
      <c r="B7788" s="56" t="n">
        <v>45757.12152777778</v>
      </c>
      <c r="C7788" t="inlineStr">
        <is>
          <t>Bluestone Memorial Hospital</t>
        </is>
      </c>
      <c r="D7788" t="n">
        <v>22</v>
      </c>
    </row>
    <row r="7789">
      <c r="A7789" t="inlineStr">
        <is>
          <t>ED207953</t>
        </is>
      </c>
      <c r="B7789" s="56" t="n">
        <v>45757.37430555555</v>
      </c>
      <c r="C7789" t="inlineStr">
        <is>
          <t>Bluestone Memorial Hospital</t>
        </is>
      </c>
      <c r="D7789" t="n">
        <v>43</v>
      </c>
    </row>
    <row r="7790">
      <c r="A7790" t="inlineStr">
        <is>
          <t>ED207954</t>
        </is>
      </c>
      <c r="B7790" s="56" t="n">
        <v>45757.39930555555</v>
      </c>
      <c r="C7790" t="inlineStr">
        <is>
          <t>Ashby Falls Community Hospital</t>
        </is>
      </c>
      <c r="D7790" t="n">
        <v>39</v>
      </c>
    </row>
    <row r="7791">
      <c r="A7791" t="inlineStr">
        <is>
          <t>ED207955</t>
        </is>
      </c>
      <c r="B7791" s="56" t="n">
        <v>45757.45694444444</v>
      </c>
      <c r="C7791" t="inlineStr">
        <is>
          <t>Bluestone Memorial Hospital</t>
        </is>
      </c>
      <c r="D7791" t="n">
        <v>44</v>
      </c>
    </row>
    <row r="7792">
      <c r="A7792" t="inlineStr">
        <is>
          <t>ED207956</t>
        </is>
      </c>
      <c r="B7792" s="56" t="n">
        <v>45757.46527777778</v>
      </c>
      <c r="C7792" t="inlineStr">
        <is>
          <t>Bluestone Memorial Hospital</t>
        </is>
      </c>
      <c r="D7792" t="n">
        <v>20</v>
      </c>
    </row>
    <row r="7793">
      <c r="A7793" t="inlineStr">
        <is>
          <t>ED207957</t>
        </is>
      </c>
      <c r="B7793" s="56" t="n">
        <v>45757.55625</v>
      </c>
      <c r="C7793" t="inlineStr">
        <is>
          <t>Bluestone Memorial Hospital</t>
        </is>
      </c>
      <c r="D7793" t="n">
        <v>13</v>
      </c>
    </row>
    <row r="7794">
      <c r="A7794" t="inlineStr">
        <is>
          <t>ED207958</t>
        </is>
      </c>
      <c r="B7794" s="56" t="n">
        <v>45757.58402777778</v>
      </c>
      <c r="C7794" t="inlineStr">
        <is>
          <t>Bluestone Memorial Hospital</t>
        </is>
      </c>
      <c r="D7794" t="n">
        <v>22</v>
      </c>
    </row>
    <row r="7795">
      <c r="A7795" t="inlineStr">
        <is>
          <t>ED207959</t>
        </is>
      </c>
      <c r="B7795" s="56" t="n">
        <v>45757.61041666667</v>
      </c>
      <c r="C7795" t="inlineStr">
        <is>
          <t>Bluestone Memorial Hospital</t>
        </is>
      </c>
      <c r="D7795" t="n">
        <v>72</v>
      </c>
    </row>
    <row r="7796">
      <c r="A7796" t="inlineStr">
        <is>
          <t>ED207960</t>
        </is>
      </c>
      <c r="B7796" s="56" t="n">
        <v>45757.61944444444</v>
      </c>
      <c r="C7796" t="inlineStr">
        <is>
          <t>Cedar Ridge Medical Center</t>
        </is>
      </c>
      <c r="D7796" t="n">
        <v>144</v>
      </c>
    </row>
    <row r="7797">
      <c r="A7797" t="inlineStr">
        <is>
          <t>ED207961</t>
        </is>
      </c>
      <c r="B7797" s="56" t="n">
        <v>45757.64513888889</v>
      </c>
      <c r="C7797" t="inlineStr">
        <is>
          <t>Bluestone Memorial Hospital</t>
        </is>
      </c>
      <c r="D7797" t="n">
        <v>87</v>
      </c>
    </row>
    <row r="7798">
      <c r="A7798" t="inlineStr">
        <is>
          <t>ED207962</t>
        </is>
      </c>
      <c r="B7798" s="56" t="n">
        <v>45757.64930555555</v>
      </c>
      <c r="C7798" t="inlineStr">
        <is>
          <t>Bluestone Memorial Hospital</t>
        </is>
      </c>
      <c r="D7798" t="n">
        <v>41</v>
      </c>
    </row>
    <row r="7799">
      <c r="A7799" t="inlineStr">
        <is>
          <t>ED207963</t>
        </is>
      </c>
      <c r="B7799" s="56" t="n">
        <v>45757.72083333333</v>
      </c>
      <c r="C7799" t="inlineStr">
        <is>
          <t>Bluestone Memorial Hospital</t>
        </is>
      </c>
      <c r="D7799" t="n">
        <v>62</v>
      </c>
    </row>
    <row r="7800">
      <c r="A7800" t="inlineStr">
        <is>
          <t>ED207964</t>
        </is>
      </c>
      <c r="B7800" s="56" t="n">
        <v>45757.74930555555</v>
      </c>
      <c r="C7800" t="inlineStr">
        <is>
          <t>Bluestone Memorial Hospital</t>
        </is>
      </c>
      <c r="D7800" t="n">
        <v>32</v>
      </c>
    </row>
    <row r="7801">
      <c r="A7801" t="inlineStr">
        <is>
          <t>ED207965</t>
        </is>
      </c>
      <c r="B7801" s="56" t="n">
        <v>45757.7625</v>
      </c>
      <c r="C7801" t="inlineStr">
        <is>
          <t>Cedar Ridge Medical Center</t>
        </is>
      </c>
      <c r="D7801" t="n">
        <v>68</v>
      </c>
    </row>
    <row r="7802">
      <c r="A7802" t="inlineStr">
        <is>
          <t>ED207966</t>
        </is>
      </c>
      <c r="B7802" s="56" t="n">
        <v>45757.76319444444</v>
      </c>
      <c r="C7802" t="inlineStr">
        <is>
          <t>Ashby Falls Community Hospital</t>
        </is>
      </c>
      <c r="D7802" t="n">
        <v>50</v>
      </c>
    </row>
    <row r="7803">
      <c r="A7803" t="inlineStr">
        <is>
          <t>ED207967</t>
        </is>
      </c>
      <c r="B7803" s="56" t="n">
        <v>45757.79305555556</v>
      </c>
      <c r="C7803" t="inlineStr">
        <is>
          <t>Bluestone Memorial Hospital</t>
        </is>
      </c>
      <c r="D7803" t="n">
        <v>114</v>
      </c>
    </row>
    <row r="7804">
      <c r="A7804" t="inlineStr">
        <is>
          <t>ED207968</t>
        </is>
      </c>
      <c r="B7804" s="56" t="n">
        <v>45757.81041666667</v>
      </c>
      <c r="C7804" t="inlineStr">
        <is>
          <t>Cedar Ridge Medical Center</t>
        </is>
      </c>
      <c r="D7804" t="n">
        <v>113</v>
      </c>
    </row>
    <row r="7805">
      <c r="A7805" t="inlineStr">
        <is>
          <t>ED207969</t>
        </is>
      </c>
      <c r="B7805" s="56" t="n">
        <v>45757.82361111111</v>
      </c>
      <c r="C7805" t="inlineStr">
        <is>
          <t>Ashby Falls Community Hospital</t>
        </is>
      </c>
      <c r="D7805" t="n">
        <v>122</v>
      </c>
    </row>
    <row r="7806">
      <c r="A7806" t="inlineStr">
        <is>
          <t>ED207970</t>
        </is>
      </c>
      <c r="B7806" s="56" t="n">
        <v>45757.96944444445</v>
      </c>
      <c r="C7806" t="inlineStr">
        <is>
          <t>Ashby Falls Community Hospital</t>
        </is>
      </c>
      <c r="D7806" t="n">
        <v>64</v>
      </c>
    </row>
    <row r="7807">
      <c r="A7807" t="inlineStr">
        <is>
          <t>ED207971</t>
        </is>
      </c>
      <c r="B7807" s="56" t="n">
        <v>45757.98402777778</v>
      </c>
      <c r="C7807" t="inlineStr">
        <is>
          <t>Bluestone Memorial Hospital</t>
        </is>
      </c>
      <c r="D7807" t="n">
        <v>92</v>
      </c>
    </row>
    <row r="7808">
      <c r="A7808" t="inlineStr">
        <is>
          <t>ED207972</t>
        </is>
      </c>
      <c r="B7808" s="56" t="n">
        <v>45758.06736111111</v>
      </c>
      <c r="C7808" t="inlineStr">
        <is>
          <t>Bluestone Memorial Hospital</t>
        </is>
      </c>
      <c r="D7808" t="n">
        <v>41</v>
      </c>
    </row>
    <row r="7809">
      <c r="A7809" t="inlineStr">
        <is>
          <t>ED207973</t>
        </is>
      </c>
      <c r="B7809" s="56" t="n">
        <v>45758.075</v>
      </c>
      <c r="C7809" t="inlineStr">
        <is>
          <t>Bluestone Memorial Hospital</t>
        </is>
      </c>
      <c r="D7809" t="n">
        <v>8</v>
      </c>
    </row>
    <row r="7810">
      <c r="A7810" t="inlineStr">
        <is>
          <t>ED207974</t>
        </is>
      </c>
      <c r="B7810" s="56" t="n">
        <v>45758.07708333333</v>
      </c>
      <c r="C7810" t="inlineStr">
        <is>
          <t>Bluestone Memorial Hospital</t>
        </is>
      </c>
      <c r="D7810" t="n">
        <v>54</v>
      </c>
    </row>
    <row r="7811">
      <c r="A7811" t="inlineStr">
        <is>
          <t>ED207975</t>
        </is>
      </c>
      <c r="B7811" s="56" t="n">
        <v>45758.34444444445</v>
      </c>
      <c r="C7811" t="inlineStr">
        <is>
          <t>Ashby Falls Community Hospital</t>
        </is>
      </c>
      <c r="D7811" t="n">
        <v>10</v>
      </c>
    </row>
    <row r="7812">
      <c r="A7812" t="inlineStr">
        <is>
          <t>ED207976</t>
        </is>
      </c>
      <c r="B7812" s="56" t="n">
        <v>45758.38611111111</v>
      </c>
      <c r="C7812" t="inlineStr">
        <is>
          <t>Bluestone Memorial Hospital</t>
        </is>
      </c>
      <c r="D7812" t="n">
        <v>26</v>
      </c>
    </row>
    <row r="7813">
      <c r="A7813" t="inlineStr">
        <is>
          <t>ED207977</t>
        </is>
      </c>
      <c r="B7813" s="56" t="n">
        <v>45758.41805555556</v>
      </c>
      <c r="C7813" t="inlineStr">
        <is>
          <t>Cedar Ridge Medical Center</t>
        </is>
      </c>
      <c r="D7813" t="n">
        <v>22</v>
      </c>
    </row>
    <row r="7814">
      <c r="A7814" t="inlineStr">
        <is>
          <t>ED207978</t>
        </is>
      </c>
      <c r="B7814" s="56" t="n">
        <v>45758.42152777778</v>
      </c>
      <c r="C7814" t="inlineStr">
        <is>
          <t>Ashby Falls Community Hospital</t>
        </is>
      </c>
      <c r="D7814" t="n">
        <v>65</v>
      </c>
    </row>
    <row r="7815">
      <c r="A7815" t="inlineStr">
        <is>
          <t>ED207979</t>
        </is>
      </c>
      <c r="B7815" s="56" t="n">
        <v>45758.44305555556</v>
      </c>
      <c r="C7815" t="inlineStr">
        <is>
          <t>Bluestone Memorial Hospital</t>
        </is>
      </c>
      <c r="D7815" t="n">
        <v>31</v>
      </c>
    </row>
    <row r="7816">
      <c r="A7816" t="inlineStr">
        <is>
          <t>ED207980</t>
        </is>
      </c>
      <c r="B7816" s="56" t="n">
        <v>45758.47152777778</v>
      </c>
      <c r="C7816" t="inlineStr">
        <is>
          <t>Bluestone Memorial Hospital</t>
        </is>
      </c>
      <c r="D7816" t="n">
        <v>55</v>
      </c>
    </row>
    <row r="7817">
      <c r="A7817" t="inlineStr">
        <is>
          <t>ED207981</t>
        </is>
      </c>
      <c r="B7817" s="56" t="n">
        <v>45758.47916666666</v>
      </c>
      <c r="C7817" t="inlineStr">
        <is>
          <t>Ashby Falls Community Hospital</t>
        </is>
      </c>
      <c r="D7817" t="n">
        <v>40</v>
      </c>
    </row>
    <row r="7818">
      <c r="A7818" t="inlineStr">
        <is>
          <t>ED207982</t>
        </is>
      </c>
      <c r="B7818" s="56" t="n">
        <v>45758.49375</v>
      </c>
      <c r="C7818" t="inlineStr">
        <is>
          <t>Bluestone Memorial Hospital</t>
        </is>
      </c>
      <c r="D7818" t="n">
        <v>89</v>
      </c>
    </row>
    <row r="7819">
      <c r="A7819" t="inlineStr">
        <is>
          <t>ED207983</t>
        </is>
      </c>
      <c r="B7819" s="56" t="n">
        <v>45758.61041666667</v>
      </c>
      <c r="C7819" t="inlineStr">
        <is>
          <t>Ashby Falls Community Hospital</t>
        </is>
      </c>
      <c r="D7819" t="n">
        <v>33</v>
      </c>
    </row>
    <row r="7820">
      <c r="A7820" t="inlineStr">
        <is>
          <t>ED207984</t>
        </is>
      </c>
      <c r="B7820" s="56" t="n">
        <v>45758.625</v>
      </c>
      <c r="C7820" t="inlineStr">
        <is>
          <t>Cedar Ridge Medical Center</t>
        </is>
      </c>
      <c r="D7820" t="n">
        <v>12</v>
      </c>
    </row>
    <row r="7821">
      <c r="A7821" t="inlineStr">
        <is>
          <t>ED207985</t>
        </is>
      </c>
      <c r="B7821" s="56" t="n">
        <v>45758.78819444445</v>
      </c>
      <c r="C7821" t="inlineStr">
        <is>
          <t>Bluestone Memorial Hospital</t>
        </is>
      </c>
      <c r="D7821" t="n">
        <v>72</v>
      </c>
    </row>
    <row r="7822">
      <c r="A7822" t="inlineStr">
        <is>
          <t>ED207986</t>
        </is>
      </c>
      <c r="B7822" s="56" t="n">
        <v>45758.85555555556</v>
      </c>
      <c r="C7822" t="inlineStr">
        <is>
          <t>Bluestone Memorial Hospital</t>
        </is>
      </c>
      <c r="D7822" t="n">
        <v>39</v>
      </c>
    </row>
    <row r="7823">
      <c r="A7823" t="inlineStr">
        <is>
          <t>ED207987</t>
        </is>
      </c>
      <c r="B7823" s="56" t="n">
        <v>45758.95763888889</v>
      </c>
      <c r="C7823" t="inlineStr">
        <is>
          <t>Cedar Ridge Medical Center</t>
        </is>
      </c>
      <c r="D7823" t="n">
        <v>20</v>
      </c>
    </row>
    <row r="7824">
      <c r="A7824" t="inlineStr">
        <is>
          <t>ED207988</t>
        </is>
      </c>
      <c r="B7824" s="56" t="n">
        <v>45758.96111111111</v>
      </c>
      <c r="C7824" t="inlineStr">
        <is>
          <t>Cedar Ridge Medical Center</t>
        </is>
      </c>
      <c r="D7824" t="n">
        <v>24</v>
      </c>
    </row>
    <row r="7825">
      <c r="A7825" t="inlineStr">
        <is>
          <t>ED207989</t>
        </is>
      </c>
      <c r="B7825" s="56" t="n">
        <v>45758.98402777778</v>
      </c>
      <c r="C7825" t="inlineStr">
        <is>
          <t>Cedar Ridge Medical Center</t>
        </is>
      </c>
      <c r="D7825" t="n">
        <v>27</v>
      </c>
    </row>
    <row r="7826">
      <c r="A7826" t="inlineStr">
        <is>
          <t>ED207990</t>
        </is>
      </c>
      <c r="B7826" s="56" t="n">
        <v>45759.22986111111</v>
      </c>
      <c r="C7826" t="inlineStr">
        <is>
          <t>Bluestone Memorial Hospital</t>
        </is>
      </c>
      <c r="D7826" t="n">
        <v>12</v>
      </c>
    </row>
    <row r="7827">
      <c r="A7827" t="inlineStr">
        <is>
          <t>ED207991</t>
        </is>
      </c>
      <c r="B7827" s="56" t="n">
        <v>45759.30902777778</v>
      </c>
      <c r="C7827" t="inlineStr">
        <is>
          <t>Bluestone Memorial Hospital</t>
        </is>
      </c>
      <c r="D7827" t="n">
        <v>8</v>
      </c>
    </row>
    <row r="7828">
      <c r="A7828" t="inlineStr">
        <is>
          <t>ED207992</t>
        </is>
      </c>
      <c r="B7828" s="56" t="n">
        <v>45759.42708333334</v>
      </c>
      <c r="C7828" t="inlineStr">
        <is>
          <t>Bluestone Memorial Hospital</t>
        </is>
      </c>
      <c r="D7828" t="n">
        <v>17</v>
      </c>
    </row>
    <row r="7829">
      <c r="A7829" t="inlineStr">
        <is>
          <t>ED207993</t>
        </is>
      </c>
      <c r="B7829" s="56" t="n">
        <v>45759.46736111111</v>
      </c>
      <c r="C7829" t="inlineStr">
        <is>
          <t>Bluestone Memorial Hospital</t>
        </is>
      </c>
      <c r="D7829" t="n">
        <v>18</v>
      </c>
    </row>
    <row r="7830">
      <c r="A7830" t="inlineStr">
        <is>
          <t>ED207994</t>
        </is>
      </c>
      <c r="B7830" s="56" t="n">
        <v>45759.51388888889</v>
      </c>
      <c r="C7830" t="inlineStr">
        <is>
          <t>Bluestone Memorial Hospital</t>
        </is>
      </c>
      <c r="D7830" t="n">
        <v>55</v>
      </c>
    </row>
    <row r="7831">
      <c r="A7831" t="inlineStr">
        <is>
          <t>ED207995</t>
        </is>
      </c>
      <c r="B7831" s="56" t="n">
        <v>45759.54375</v>
      </c>
      <c r="C7831" t="inlineStr">
        <is>
          <t>Bluestone Memorial Hospital</t>
        </is>
      </c>
      <c r="D7831" t="n">
        <v>42</v>
      </c>
    </row>
    <row r="7832">
      <c r="A7832" t="inlineStr">
        <is>
          <t>ED207996</t>
        </is>
      </c>
      <c r="B7832" s="56" t="n">
        <v>45759.55138888889</v>
      </c>
      <c r="C7832" t="inlineStr">
        <is>
          <t>Ashby Falls Community Hospital</t>
        </is>
      </c>
      <c r="D7832" t="n">
        <v>21</v>
      </c>
    </row>
    <row r="7833">
      <c r="A7833" t="inlineStr">
        <is>
          <t>ED207997</t>
        </is>
      </c>
      <c r="B7833" s="56" t="n">
        <v>45759.77638888889</v>
      </c>
      <c r="C7833" t="inlineStr">
        <is>
          <t>Bluestone Memorial Hospital</t>
        </is>
      </c>
      <c r="D7833" t="n">
        <v>53</v>
      </c>
    </row>
    <row r="7834">
      <c r="A7834" t="inlineStr">
        <is>
          <t>ED207998</t>
        </is>
      </c>
      <c r="B7834" s="56" t="n">
        <v>45759.78819444445</v>
      </c>
      <c r="C7834" t="inlineStr">
        <is>
          <t>Ashby Falls Community Hospital</t>
        </is>
      </c>
      <c r="D7834" t="n">
        <v>48</v>
      </c>
    </row>
    <row r="7835">
      <c r="A7835" t="inlineStr">
        <is>
          <t>ED207999</t>
        </is>
      </c>
      <c r="B7835" s="56" t="n">
        <v>45759.87222222222</v>
      </c>
      <c r="C7835" t="inlineStr">
        <is>
          <t>Bluestone Memorial Hospital</t>
        </is>
      </c>
      <c r="D7835" t="n">
        <v>282</v>
      </c>
    </row>
    <row r="7836">
      <c r="A7836" t="inlineStr">
        <is>
          <t>ED208000</t>
        </is>
      </c>
      <c r="B7836" s="56" t="n">
        <v>45759.98472222222</v>
      </c>
      <c r="C7836" t="inlineStr">
        <is>
          <t>Ashby Falls Community Hospital</t>
        </is>
      </c>
      <c r="D7836" t="n">
        <v>36</v>
      </c>
    </row>
    <row r="7837">
      <c r="A7837" t="inlineStr">
        <is>
          <t>ED208001</t>
        </is>
      </c>
      <c r="B7837" s="56" t="n">
        <v>45760</v>
      </c>
      <c r="C7837" t="inlineStr">
        <is>
          <t>Bluestone Memorial Hospital</t>
        </is>
      </c>
      <c r="D7837" t="n">
        <v>90</v>
      </c>
    </row>
    <row r="7838">
      <c r="A7838" t="inlineStr">
        <is>
          <t>ED208002</t>
        </is>
      </c>
      <c r="B7838" s="56" t="n">
        <v>45760.30625</v>
      </c>
      <c r="C7838" t="inlineStr">
        <is>
          <t>Ashby Falls Community Hospital</t>
        </is>
      </c>
      <c r="D7838" t="n">
        <v>23</v>
      </c>
    </row>
    <row r="7839">
      <c r="A7839" t="inlineStr">
        <is>
          <t>ED208003</t>
        </is>
      </c>
      <c r="B7839" s="56" t="n">
        <v>45760.42361111111</v>
      </c>
      <c r="C7839" t="inlineStr">
        <is>
          <t>Bluestone Memorial Hospital</t>
        </is>
      </c>
      <c r="D7839" t="n">
        <v>62</v>
      </c>
    </row>
    <row r="7840">
      <c r="A7840" t="inlineStr">
        <is>
          <t>ED208004</t>
        </is>
      </c>
      <c r="B7840" s="56" t="n">
        <v>45760.43194444444</v>
      </c>
      <c r="C7840" t="inlineStr">
        <is>
          <t>Ashby Falls Community Hospital</t>
        </is>
      </c>
      <c r="D7840" t="n">
        <v>41</v>
      </c>
    </row>
    <row r="7841">
      <c r="A7841" t="inlineStr">
        <is>
          <t>ED208005</t>
        </is>
      </c>
      <c r="B7841" s="56" t="n">
        <v>45760.48958333334</v>
      </c>
      <c r="C7841" t="inlineStr">
        <is>
          <t>Bluestone Memorial Hospital</t>
        </is>
      </c>
      <c r="D7841" t="n">
        <v>18</v>
      </c>
    </row>
    <row r="7842">
      <c r="A7842" t="inlineStr">
        <is>
          <t>ED208006</t>
        </is>
      </c>
      <c r="B7842" s="56" t="n">
        <v>45760.5</v>
      </c>
      <c r="C7842" t="inlineStr">
        <is>
          <t>Ashby Falls Community Hospital</t>
        </is>
      </c>
      <c r="D7842" t="n">
        <v>56</v>
      </c>
    </row>
    <row r="7843">
      <c r="A7843" t="inlineStr">
        <is>
          <t>ED208007</t>
        </is>
      </c>
      <c r="B7843" s="56" t="n">
        <v>45760.54027777778</v>
      </c>
      <c r="C7843" t="inlineStr">
        <is>
          <t>Bluestone Memorial Hospital</t>
        </is>
      </c>
      <c r="D7843" t="n">
        <v>9</v>
      </c>
    </row>
    <row r="7844">
      <c r="A7844" t="inlineStr">
        <is>
          <t>ED208008</t>
        </is>
      </c>
      <c r="B7844" s="56" t="n">
        <v>45760.57361111111</v>
      </c>
      <c r="C7844" t="inlineStr">
        <is>
          <t>Bluestone Memorial Hospital</t>
        </is>
      </c>
      <c r="D7844" t="n">
        <v>27</v>
      </c>
    </row>
    <row r="7845">
      <c r="A7845" t="inlineStr">
        <is>
          <t>ED208009</t>
        </is>
      </c>
      <c r="B7845" s="56" t="n">
        <v>45760.64166666667</v>
      </c>
      <c r="C7845" t="inlineStr">
        <is>
          <t>Bluestone Memorial Hospital</t>
        </is>
      </c>
      <c r="D7845" t="n">
        <v>42</v>
      </c>
    </row>
    <row r="7846">
      <c r="A7846" t="inlineStr">
        <is>
          <t>ED208010</t>
        </is>
      </c>
      <c r="B7846" s="56" t="n">
        <v>45760.6625</v>
      </c>
      <c r="C7846" t="inlineStr">
        <is>
          <t>Cedar Ridge Medical Center</t>
        </is>
      </c>
      <c r="D7846" t="n">
        <v>23</v>
      </c>
    </row>
    <row r="7847">
      <c r="A7847" t="inlineStr">
        <is>
          <t>ED208011</t>
        </is>
      </c>
      <c r="B7847" s="56" t="n">
        <v>45760.68402777778</v>
      </c>
      <c r="C7847" t="inlineStr">
        <is>
          <t>Bluestone Memorial Hospital</t>
        </is>
      </c>
      <c r="D7847" t="n">
        <v>115</v>
      </c>
    </row>
    <row r="7848">
      <c r="A7848" t="inlineStr">
        <is>
          <t>ED208012</t>
        </is>
      </c>
      <c r="B7848" s="56" t="n">
        <v>45760.74236111111</v>
      </c>
      <c r="C7848" t="inlineStr">
        <is>
          <t>Cedar Ridge Medical Center</t>
        </is>
      </c>
      <c r="D7848" t="n">
        <v>148</v>
      </c>
    </row>
    <row r="7849">
      <c r="A7849" t="inlineStr">
        <is>
          <t>ED208013</t>
        </is>
      </c>
      <c r="B7849" s="56" t="n">
        <v>45760.78819444445</v>
      </c>
      <c r="C7849" t="inlineStr">
        <is>
          <t>Cedar Ridge Medical Center</t>
        </is>
      </c>
      <c r="D7849" t="n">
        <v>38</v>
      </c>
    </row>
    <row r="7850">
      <c r="A7850" t="inlineStr">
        <is>
          <t>ED208014</t>
        </is>
      </c>
      <c r="B7850" s="56" t="n">
        <v>45760.85902777778</v>
      </c>
      <c r="C7850" t="inlineStr">
        <is>
          <t>Bluestone Memorial Hospital</t>
        </is>
      </c>
      <c r="D7850" t="n">
        <v>92</v>
      </c>
    </row>
    <row r="7851">
      <c r="A7851" t="inlineStr">
        <is>
          <t>ED208015</t>
        </is>
      </c>
      <c r="B7851" s="56" t="n">
        <v>45761.14375</v>
      </c>
      <c r="C7851" t="inlineStr">
        <is>
          <t>Bluestone Memorial Hospital</t>
        </is>
      </c>
      <c r="D7851" t="n">
        <v>57</v>
      </c>
    </row>
    <row r="7852">
      <c r="A7852" t="inlineStr">
        <is>
          <t>ED208016</t>
        </is>
      </c>
      <c r="B7852" s="56" t="n">
        <v>45761.22083333333</v>
      </c>
      <c r="C7852" t="inlineStr">
        <is>
          <t>Bluestone Memorial Hospital</t>
        </is>
      </c>
      <c r="D7852" t="n">
        <v>67</v>
      </c>
    </row>
    <row r="7853">
      <c r="A7853" t="inlineStr">
        <is>
          <t>ED208017</t>
        </is>
      </c>
      <c r="B7853" s="56" t="n">
        <v>45761.36527777778</v>
      </c>
      <c r="C7853" t="inlineStr">
        <is>
          <t>Bluestone Memorial Hospital</t>
        </is>
      </c>
      <c r="D7853" t="n">
        <v>19</v>
      </c>
    </row>
    <row r="7854">
      <c r="A7854" t="inlineStr">
        <is>
          <t>ED208018</t>
        </is>
      </c>
      <c r="B7854" s="56" t="n">
        <v>45761.46944444445</v>
      </c>
      <c r="C7854" t="inlineStr">
        <is>
          <t>Bluestone Memorial Hospital</t>
        </is>
      </c>
      <c r="D7854" t="n">
        <v>20</v>
      </c>
    </row>
    <row r="7855">
      <c r="A7855" t="inlineStr">
        <is>
          <t>ED208019</t>
        </is>
      </c>
      <c r="B7855" s="56" t="n">
        <v>45761.50277777778</v>
      </c>
      <c r="C7855" t="inlineStr">
        <is>
          <t>Ashby Falls Community Hospital</t>
        </is>
      </c>
      <c r="D7855" t="n">
        <v>153</v>
      </c>
    </row>
    <row r="7856">
      <c r="A7856" t="inlineStr">
        <is>
          <t>ED208020</t>
        </is>
      </c>
      <c r="B7856" s="56" t="n">
        <v>45761.51875</v>
      </c>
      <c r="C7856" t="inlineStr">
        <is>
          <t>Bluestone Memorial Hospital</t>
        </is>
      </c>
      <c r="D7856" t="n">
        <v>11</v>
      </c>
    </row>
    <row r="7857">
      <c r="A7857" t="inlineStr">
        <is>
          <t>ED208021</t>
        </is>
      </c>
      <c r="B7857" s="56" t="n">
        <v>45761.5375</v>
      </c>
      <c r="C7857" t="inlineStr">
        <is>
          <t>Cedar Ridge Medical Center</t>
        </is>
      </c>
      <c r="D7857" t="n">
        <v>36</v>
      </c>
    </row>
    <row r="7858">
      <c r="A7858" t="inlineStr">
        <is>
          <t>ED208022</t>
        </is>
      </c>
      <c r="B7858" s="56" t="n">
        <v>45761.59652777778</v>
      </c>
      <c r="C7858" t="inlineStr">
        <is>
          <t>Bluestone Memorial Hospital</t>
        </is>
      </c>
      <c r="D7858" t="n">
        <v>1</v>
      </c>
    </row>
    <row r="7859">
      <c r="A7859" t="inlineStr">
        <is>
          <t>ED208023</t>
        </is>
      </c>
      <c r="B7859" s="56" t="n">
        <v>45761.6125</v>
      </c>
      <c r="C7859" t="inlineStr">
        <is>
          <t>Ashby Falls Community Hospital</t>
        </is>
      </c>
      <c r="D7859" t="n">
        <v>41</v>
      </c>
    </row>
    <row r="7860">
      <c r="A7860" t="inlineStr">
        <is>
          <t>ED208024</t>
        </is>
      </c>
      <c r="B7860" s="56" t="n">
        <v>45761.63472222222</v>
      </c>
      <c r="C7860" t="inlineStr">
        <is>
          <t>Bluestone Memorial Hospital</t>
        </is>
      </c>
      <c r="D7860" t="n">
        <v>11</v>
      </c>
    </row>
    <row r="7861">
      <c r="A7861" t="inlineStr">
        <is>
          <t>ED208026</t>
        </is>
      </c>
      <c r="B7861" s="56" t="n">
        <v>45761.68125</v>
      </c>
      <c r="C7861" t="inlineStr">
        <is>
          <t>Bluestone Memorial Hospital</t>
        </is>
      </c>
      <c r="D7861" t="n">
        <v>89</v>
      </c>
    </row>
    <row r="7862">
      <c r="A7862" t="inlineStr">
        <is>
          <t>ED208027</t>
        </is>
      </c>
      <c r="B7862" s="56" t="n">
        <v>45761.68819444445</v>
      </c>
      <c r="C7862" t="inlineStr">
        <is>
          <t>Bluestone Memorial Hospital</t>
        </is>
      </c>
      <c r="D7862" t="n">
        <v>55</v>
      </c>
    </row>
    <row r="7863">
      <c r="A7863" t="inlineStr">
        <is>
          <t>ED208028</t>
        </is>
      </c>
      <c r="B7863" s="56" t="n">
        <v>45761.69166666667</v>
      </c>
      <c r="C7863" t="inlineStr">
        <is>
          <t>Bluestone Memorial Hospital</t>
        </is>
      </c>
      <c r="D7863" t="n">
        <v>43</v>
      </c>
    </row>
    <row r="7864">
      <c r="A7864" t="inlineStr">
        <is>
          <t>ED208029</t>
        </is>
      </c>
      <c r="B7864" s="56" t="n">
        <v>45761.76041666666</v>
      </c>
      <c r="C7864" t="inlineStr">
        <is>
          <t>Bluestone Memorial Hospital</t>
        </is>
      </c>
      <c r="D7864" t="n">
        <v>15</v>
      </c>
    </row>
    <row r="7865">
      <c r="A7865" t="inlineStr">
        <is>
          <t>ED208030</t>
        </is>
      </c>
      <c r="B7865" s="56" t="n">
        <v>45761.76180555556</v>
      </c>
      <c r="C7865" t="inlineStr">
        <is>
          <t>Cedar Ridge Medical Center</t>
        </is>
      </c>
      <c r="D7865" t="n">
        <v>102</v>
      </c>
    </row>
    <row r="7866">
      <c r="A7866" t="inlineStr">
        <is>
          <t>ED208031</t>
        </is>
      </c>
      <c r="B7866" s="56" t="n">
        <v>45761.80277777778</v>
      </c>
      <c r="C7866" t="inlineStr">
        <is>
          <t>Bluestone Memorial Hospital</t>
        </is>
      </c>
      <c r="D7866" t="n">
        <v>5</v>
      </c>
    </row>
    <row r="7867">
      <c r="A7867" t="inlineStr">
        <is>
          <t>ED208032</t>
        </is>
      </c>
      <c r="B7867" s="56" t="n">
        <v>45761.80277777778</v>
      </c>
      <c r="C7867" t="inlineStr">
        <is>
          <t>Bluestone Memorial Hospital</t>
        </is>
      </c>
      <c r="D7867" t="n">
        <v>45</v>
      </c>
    </row>
    <row r="7868">
      <c r="A7868" t="inlineStr">
        <is>
          <t>ED208033</t>
        </is>
      </c>
      <c r="B7868" s="56" t="n">
        <v>45761.85763888889</v>
      </c>
      <c r="C7868" t="inlineStr">
        <is>
          <t>Cedar Ridge Medical Center</t>
        </is>
      </c>
      <c r="D7868" t="n">
        <v>21</v>
      </c>
    </row>
    <row r="7869">
      <c r="A7869" t="inlineStr">
        <is>
          <t>ED208034</t>
        </is>
      </c>
      <c r="B7869" s="56" t="n">
        <v>45761.91319444445</v>
      </c>
      <c r="C7869" t="inlineStr">
        <is>
          <t>Cedar Ridge Medical Center</t>
        </is>
      </c>
      <c r="D7869" t="n">
        <v>94</v>
      </c>
    </row>
    <row r="7870">
      <c r="A7870" t="inlineStr">
        <is>
          <t>ED208035</t>
        </is>
      </c>
      <c r="B7870" s="56" t="n">
        <v>45761.96666666667</v>
      </c>
      <c r="C7870" t="inlineStr">
        <is>
          <t>Bluestone Memorial Hospital</t>
        </is>
      </c>
      <c r="D7870" t="n">
        <v>45</v>
      </c>
    </row>
    <row r="7871">
      <c r="A7871" t="inlineStr">
        <is>
          <t>ED208036</t>
        </is>
      </c>
      <c r="B7871" s="56" t="n">
        <v>45762.45833333334</v>
      </c>
      <c r="C7871" t="inlineStr">
        <is>
          <t>Bluestone Memorial Hospital</t>
        </is>
      </c>
      <c r="D7871" t="n">
        <v>13</v>
      </c>
    </row>
    <row r="7872">
      <c r="A7872" t="inlineStr">
        <is>
          <t>ED208037</t>
        </is>
      </c>
      <c r="B7872" s="56" t="n">
        <v>45762.46805555555</v>
      </c>
      <c r="C7872" t="inlineStr">
        <is>
          <t>Bluestone Memorial Hospital</t>
        </is>
      </c>
      <c r="D7872" t="n">
        <v>103</v>
      </c>
    </row>
    <row r="7873">
      <c r="A7873" t="inlineStr">
        <is>
          <t>ED208038</t>
        </is>
      </c>
      <c r="B7873" s="56" t="n">
        <v>45762.48194444444</v>
      </c>
      <c r="C7873" t="inlineStr">
        <is>
          <t>Bluestone Memorial Hospital</t>
        </is>
      </c>
      <c r="D7873" t="n">
        <v>49</v>
      </c>
    </row>
    <row r="7874">
      <c r="A7874" t="inlineStr">
        <is>
          <t>ED208039</t>
        </is>
      </c>
      <c r="B7874" s="56" t="n">
        <v>45762.56736111111</v>
      </c>
      <c r="C7874" t="inlineStr">
        <is>
          <t>Bluestone Memorial Hospital</t>
        </is>
      </c>
      <c r="D7874" t="n">
        <v>27</v>
      </c>
    </row>
    <row r="7875">
      <c r="A7875" t="inlineStr">
        <is>
          <t>ED208040</t>
        </is>
      </c>
      <c r="B7875" s="56" t="n">
        <v>45762.64027777778</v>
      </c>
      <c r="C7875" t="inlineStr">
        <is>
          <t>Bluestone Memorial Hospital</t>
        </is>
      </c>
      <c r="D7875" t="n">
        <v>82</v>
      </c>
    </row>
    <row r="7876">
      <c r="A7876" t="inlineStr">
        <is>
          <t>ED208041</t>
        </is>
      </c>
      <c r="B7876" s="56" t="n">
        <v>45762.70833333334</v>
      </c>
      <c r="C7876" t="inlineStr">
        <is>
          <t>Cedar Ridge Medical Center</t>
        </is>
      </c>
      <c r="D7876" t="n">
        <v>94</v>
      </c>
    </row>
    <row r="7877">
      <c r="A7877" t="inlineStr">
        <is>
          <t>ED208042</t>
        </is>
      </c>
      <c r="B7877" s="56" t="n">
        <v>45762.80972222222</v>
      </c>
      <c r="C7877" t="inlineStr">
        <is>
          <t>Bluestone Memorial Hospital</t>
        </is>
      </c>
      <c r="D7877" t="n">
        <v>23</v>
      </c>
    </row>
    <row r="7878">
      <c r="A7878" t="inlineStr">
        <is>
          <t>ED208043</t>
        </is>
      </c>
      <c r="B7878" s="56" t="n">
        <v>45762.81875</v>
      </c>
      <c r="C7878" t="inlineStr">
        <is>
          <t>Ashby Falls Community Hospital</t>
        </is>
      </c>
      <c r="D7878" t="n">
        <v>60</v>
      </c>
    </row>
    <row r="7879">
      <c r="A7879" t="inlineStr">
        <is>
          <t>ED208044</t>
        </is>
      </c>
      <c r="B7879" s="56" t="n">
        <v>45762.83194444444</v>
      </c>
      <c r="C7879" t="inlineStr">
        <is>
          <t>Ashby Falls Community Hospital</t>
        </is>
      </c>
      <c r="D7879" t="n">
        <v>18</v>
      </c>
    </row>
    <row r="7880">
      <c r="A7880" t="inlineStr">
        <is>
          <t>ED208045</t>
        </is>
      </c>
      <c r="B7880" s="56" t="n">
        <v>45762.87083333333</v>
      </c>
      <c r="C7880" t="inlineStr">
        <is>
          <t>Bluestone Memorial Hospital</t>
        </is>
      </c>
      <c r="D7880" t="n">
        <v>22</v>
      </c>
    </row>
    <row r="7881">
      <c r="A7881" t="inlineStr">
        <is>
          <t>ED208046</t>
        </is>
      </c>
      <c r="B7881" s="56" t="n">
        <v>45762.9375</v>
      </c>
      <c r="C7881" t="inlineStr">
        <is>
          <t>Bluestone Memorial Hospital</t>
        </is>
      </c>
      <c r="D7881" t="n">
        <v>30</v>
      </c>
    </row>
    <row r="7882">
      <c r="A7882" t="inlineStr">
        <is>
          <t>ED208047</t>
        </is>
      </c>
      <c r="B7882" s="56" t="n">
        <v>45763.25833333333</v>
      </c>
      <c r="C7882" t="inlineStr">
        <is>
          <t>Bluestone Memorial Hospital</t>
        </is>
      </c>
      <c r="D7882" t="n">
        <v>13</v>
      </c>
    </row>
    <row r="7883">
      <c r="A7883" t="inlineStr">
        <is>
          <t>ED208048</t>
        </is>
      </c>
      <c r="B7883" s="56" t="n">
        <v>45763.32916666667</v>
      </c>
      <c r="C7883" t="inlineStr">
        <is>
          <t>Bluestone Memorial Hospital</t>
        </is>
      </c>
      <c r="D7883" t="n">
        <v>135</v>
      </c>
    </row>
    <row r="7884">
      <c r="A7884" t="inlineStr">
        <is>
          <t>ED208049</t>
        </is>
      </c>
      <c r="B7884" s="56" t="n">
        <v>45763.39583333334</v>
      </c>
      <c r="C7884" t="inlineStr">
        <is>
          <t>Ashby Falls Community Hospital</t>
        </is>
      </c>
      <c r="D7884" t="n">
        <v>12</v>
      </c>
    </row>
    <row r="7885">
      <c r="A7885" t="inlineStr">
        <is>
          <t>ED208050</t>
        </is>
      </c>
      <c r="B7885" s="56" t="n">
        <v>45763.41666666666</v>
      </c>
      <c r="C7885" t="inlineStr">
        <is>
          <t>Bluestone Memorial Hospital</t>
        </is>
      </c>
      <c r="D7885" t="n">
        <v>7</v>
      </c>
    </row>
    <row r="7886">
      <c r="A7886" t="inlineStr">
        <is>
          <t>ED208051</t>
        </is>
      </c>
      <c r="B7886" s="56" t="n">
        <v>45763.45208333333</v>
      </c>
      <c r="C7886" t="inlineStr">
        <is>
          <t>Ashby Falls Community Hospital</t>
        </is>
      </c>
      <c r="D7886" t="n">
        <v>20</v>
      </c>
    </row>
    <row r="7887">
      <c r="A7887" t="inlineStr">
        <is>
          <t>ED208052</t>
        </is>
      </c>
      <c r="B7887" s="56" t="n">
        <v>45763.45972222222</v>
      </c>
      <c r="C7887" t="inlineStr">
        <is>
          <t>Bluestone Memorial Hospital</t>
        </is>
      </c>
      <c r="D7887" t="n">
        <v>169</v>
      </c>
    </row>
    <row r="7888">
      <c r="A7888" t="inlineStr">
        <is>
          <t>ED208053</t>
        </is>
      </c>
      <c r="B7888" s="56" t="n">
        <v>45763.50972222222</v>
      </c>
      <c r="C7888" t="inlineStr">
        <is>
          <t>Ashby Falls Community Hospital</t>
        </is>
      </c>
      <c r="D7888" t="n">
        <v>3</v>
      </c>
    </row>
    <row r="7889">
      <c r="A7889" t="inlineStr">
        <is>
          <t>ED208055</t>
        </is>
      </c>
      <c r="B7889" s="56" t="n">
        <v>45763.54583333333</v>
      </c>
      <c r="C7889" t="inlineStr">
        <is>
          <t>Bluestone Memorial Hospital</t>
        </is>
      </c>
      <c r="D7889" t="n">
        <v>23</v>
      </c>
    </row>
    <row r="7890">
      <c r="A7890" t="inlineStr">
        <is>
          <t>ED208056</t>
        </is>
      </c>
      <c r="B7890" s="56" t="n">
        <v>45763.55763888889</v>
      </c>
      <c r="C7890" t="inlineStr">
        <is>
          <t>Bluestone Memorial Hospital</t>
        </is>
      </c>
      <c r="D7890" t="n">
        <v>72</v>
      </c>
    </row>
    <row r="7891">
      <c r="A7891" t="inlineStr">
        <is>
          <t>ED208057</t>
        </is>
      </c>
      <c r="B7891" s="56" t="n">
        <v>45763.56944444445</v>
      </c>
      <c r="C7891" t="inlineStr">
        <is>
          <t>Ashby Falls Community Hospital</t>
        </is>
      </c>
      <c r="D7891" t="n">
        <v>61</v>
      </c>
    </row>
    <row r="7892">
      <c r="A7892" t="inlineStr">
        <is>
          <t>ED208059</t>
        </is>
      </c>
      <c r="B7892" s="56" t="n">
        <v>45763.66111111111</v>
      </c>
      <c r="C7892" t="inlineStr">
        <is>
          <t>Bluestone Memorial Hospital</t>
        </is>
      </c>
      <c r="D7892" t="n">
        <v>64</v>
      </c>
    </row>
    <row r="7893">
      <c r="A7893" t="inlineStr">
        <is>
          <t>ED208060</t>
        </is>
      </c>
      <c r="B7893" s="56" t="n">
        <v>45763.66458333333</v>
      </c>
      <c r="C7893" t="inlineStr">
        <is>
          <t>Bluestone Memorial Hospital</t>
        </is>
      </c>
      <c r="D7893" t="n">
        <v>77</v>
      </c>
    </row>
    <row r="7894">
      <c r="A7894" t="inlineStr">
        <is>
          <t>ED208061</t>
        </is>
      </c>
      <c r="B7894" s="56" t="n">
        <v>45763.72361111111</v>
      </c>
      <c r="C7894" t="inlineStr">
        <is>
          <t>Cedar Ridge Medical Center</t>
        </is>
      </c>
      <c r="D7894" t="n">
        <v>17</v>
      </c>
    </row>
    <row r="7895">
      <c r="A7895" t="inlineStr">
        <is>
          <t>ED208062</t>
        </is>
      </c>
      <c r="B7895" s="56" t="n">
        <v>45763.73333333333</v>
      </c>
      <c r="C7895" t="inlineStr">
        <is>
          <t>Bluestone Memorial Hospital</t>
        </is>
      </c>
      <c r="D7895" t="n">
        <v>22</v>
      </c>
    </row>
    <row r="7896">
      <c r="A7896" t="inlineStr">
        <is>
          <t>ED208063</t>
        </is>
      </c>
      <c r="B7896" s="56" t="n">
        <v>45763.78055555555</v>
      </c>
      <c r="C7896" t="inlineStr">
        <is>
          <t>Bluestone Memorial Hospital</t>
        </is>
      </c>
      <c r="D7896" t="n">
        <v>68</v>
      </c>
    </row>
    <row r="7897">
      <c r="A7897" t="inlineStr">
        <is>
          <t>ED208064</t>
        </is>
      </c>
      <c r="B7897" s="56" t="n">
        <v>45763.93541666667</v>
      </c>
      <c r="C7897" t="inlineStr">
        <is>
          <t>Ashby Falls Community Hospital</t>
        </is>
      </c>
      <c r="D7897" t="n">
        <v>3</v>
      </c>
    </row>
    <row r="7898">
      <c r="A7898" t="inlineStr">
        <is>
          <t>ED208065</t>
        </is>
      </c>
      <c r="B7898" s="56" t="n">
        <v>45764.03055555555</v>
      </c>
      <c r="C7898" t="inlineStr">
        <is>
          <t>Bluestone Memorial Hospital</t>
        </is>
      </c>
      <c r="D7898" t="n">
        <v>56</v>
      </c>
    </row>
    <row r="7899">
      <c r="A7899" t="inlineStr">
        <is>
          <t>ED208066</t>
        </is>
      </c>
      <c r="B7899" s="56" t="n">
        <v>45764.13680555556</v>
      </c>
      <c r="C7899" t="inlineStr">
        <is>
          <t>Cedar Ridge Medical Center</t>
        </is>
      </c>
      <c r="D7899" t="n">
        <v>27</v>
      </c>
    </row>
    <row r="7900">
      <c r="A7900" t="inlineStr">
        <is>
          <t>ED208067</t>
        </is>
      </c>
      <c r="B7900" s="56" t="n">
        <v>45764.32013888889</v>
      </c>
      <c r="C7900" t="inlineStr">
        <is>
          <t>Bluestone Memorial Hospital</t>
        </is>
      </c>
      <c r="D7900" t="n">
        <v>9</v>
      </c>
    </row>
    <row r="7901">
      <c r="A7901" t="inlineStr">
        <is>
          <t>ED208068</t>
        </is>
      </c>
      <c r="B7901" s="56" t="n">
        <v>45764.38958333333</v>
      </c>
      <c r="C7901" t="inlineStr">
        <is>
          <t>Bluestone Memorial Hospital</t>
        </is>
      </c>
      <c r="D7901" t="n">
        <v>91</v>
      </c>
    </row>
    <row r="7902">
      <c r="A7902" t="inlineStr">
        <is>
          <t>ED208069</t>
        </is>
      </c>
      <c r="B7902" s="56" t="n">
        <v>45764.39722222222</v>
      </c>
      <c r="C7902" t="inlineStr">
        <is>
          <t>Bluestone Memorial Hospital</t>
        </is>
      </c>
      <c r="D7902" t="n">
        <v>28</v>
      </c>
    </row>
    <row r="7903">
      <c r="A7903" t="inlineStr">
        <is>
          <t>ED208070</t>
        </is>
      </c>
      <c r="B7903" s="56" t="n">
        <v>45764.39930555555</v>
      </c>
      <c r="C7903" t="inlineStr">
        <is>
          <t>Bluestone Memorial Hospital</t>
        </is>
      </c>
      <c r="D7903" t="n">
        <v>73</v>
      </c>
    </row>
    <row r="7904">
      <c r="A7904" t="inlineStr">
        <is>
          <t>ED208071</t>
        </is>
      </c>
      <c r="B7904" s="56" t="n">
        <v>45764.42569444444</v>
      </c>
      <c r="C7904" t="inlineStr">
        <is>
          <t>Cedar Ridge Medical Center</t>
        </is>
      </c>
      <c r="D7904" t="n">
        <v>81</v>
      </c>
    </row>
    <row r="7905">
      <c r="A7905" t="inlineStr">
        <is>
          <t>ED208072</t>
        </is>
      </c>
      <c r="B7905" s="56" t="n">
        <v>45764.55069444444</v>
      </c>
      <c r="C7905" t="inlineStr">
        <is>
          <t>Bluestone Memorial Hospital</t>
        </is>
      </c>
      <c r="D7905" t="n">
        <v>68</v>
      </c>
    </row>
    <row r="7906">
      <c r="A7906" t="inlineStr">
        <is>
          <t>ED208073</t>
        </is>
      </c>
      <c r="B7906" s="56" t="n">
        <v>45764.63472222222</v>
      </c>
      <c r="C7906" t="inlineStr">
        <is>
          <t>Bluestone Memorial Hospital</t>
        </is>
      </c>
      <c r="D7906" t="n">
        <v>65</v>
      </c>
    </row>
    <row r="7907">
      <c r="A7907" t="inlineStr">
        <is>
          <t>ED208074</t>
        </is>
      </c>
      <c r="B7907" s="56" t="n">
        <v>45764.73263888889</v>
      </c>
      <c r="C7907" t="inlineStr">
        <is>
          <t>Cedar Ridge Medical Center</t>
        </is>
      </c>
      <c r="D7907" t="n">
        <v>12</v>
      </c>
    </row>
    <row r="7908">
      <c r="A7908" t="inlineStr">
        <is>
          <t>ED208075</t>
        </is>
      </c>
      <c r="B7908" s="56" t="n">
        <v>45764.76736111111</v>
      </c>
      <c r="C7908" t="inlineStr">
        <is>
          <t>Bluestone Memorial Hospital</t>
        </is>
      </c>
      <c r="D7908" t="n">
        <v>23</v>
      </c>
    </row>
    <row r="7909">
      <c r="A7909" t="inlineStr">
        <is>
          <t>ED208076</t>
        </is>
      </c>
      <c r="B7909" s="56" t="n">
        <v>45764.90972222222</v>
      </c>
      <c r="C7909" t="inlineStr">
        <is>
          <t>Bluestone Memorial Hospital</t>
        </is>
      </c>
      <c r="D7909" t="n">
        <v>21</v>
      </c>
    </row>
    <row r="7910">
      <c r="A7910" t="inlineStr">
        <is>
          <t>ED208077</t>
        </is>
      </c>
      <c r="B7910" s="56" t="n">
        <v>45764.91041666667</v>
      </c>
      <c r="C7910" t="inlineStr">
        <is>
          <t>Bluestone Memorial Hospital</t>
        </is>
      </c>
      <c r="D7910" t="n">
        <v>18</v>
      </c>
    </row>
    <row r="7911">
      <c r="A7911" t="inlineStr">
        <is>
          <t>ED208078</t>
        </is>
      </c>
      <c r="B7911" s="56" t="n">
        <v>45764.98402777778</v>
      </c>
      <c r="C7911" t="inlineStr">
        <is>
          <t>Cedar Ridge Medical Center</t>
        </is>
      </c>
      <c r="D7911" t="n">
        <v>37</v>
      </c>
    </row>
    <row r="7912">
      <c r="A7912" t="inlineStr">
        <is>
          <t>ED208079</t>
        </is>
      </c>
      <c r="B7912" s="56" t="n">
        <v>45765.0125</v>
      </c>
      <c r="C7912" t="inlineStr">
        <is>
          <t>Bluestone Memorial Hospital</t>
        </is>
      </c>
      <c r="D7912" t="n">
        <v>28</v>
      </c>
    </row>
    <row r="7913">
      <c r="A7913" t="inlineStr">
        <is>
          <t>ED208080</t>
        </is>
      </c>
      <c r="B7913" s="56" t="n">
        <v>45765.17569444444</v>
      </c>
      <c r="C7913" t="inlineStr">
        <is>
          <t>Bluestone Memorial Hospital</t>
        </is>
      </c>
      <c r="D7913" t="n">
        <v>12</v>
      </c>
    </row>
    <row r="7914">
      <c r="A7914" t="inlineStr">
        <is>
          <t>ED208081</t>
        </is>
      </c>
      <c r="B7914" s="56" t="n">
        <v>45765.22986111111</v>
      </c>
      <c r="C7914" t="inlineStr">
        <is>
          <t>Bluestone Memorial Hospital</t>
        </is>
      </c>
      <c r="D7914" t="n">
        <v>26</v>
      </c>
    </row>
    <row r="7915">
      <c r="A7915" t="inlineStr">
        <is>
          <t>ED208082</t>
        </is>
      </c>
      <c r="B7915" s="56" t="n">
        <v>45765.27986111111</v>
      </c>
      <c r="C7915" t="inlineStr">
        <is>
          <t>Bluestone Memorial Hospital</t>
        </is>
      </c>
      <c r="D7915" t="n">
        <v>5</v>
      </c>
    </row>
    <row r="7916">
      <c r="A7916" t="inlineStr">
        <is>
          <t>ED208083</t>
        </is>
      </c>
      <c r="B7916" s="56" t="n">
        <v>45765.31944444445</v>
      </c>
      <c r="C7916" t="inlineStr">
        <is>
          <t>Cedar Ridge Medical Center</t>
        </is>
      </c>
      <c r="D7916" t="n">
        <v>27</v>
      </c>
    </row>
    <row r="7917">
      <c r="A7917" t="inlineStr">
        <is>
          <t>ED208084</t>
        </is>
      </c>
      <c r="B7917" s="56" t="n">
        <v>45765.36458333334</v>
      </c>
      <c r="C7917" t="inlineStr">
        <is>
          <t>Bluestone Memorial Hospital</t>
        </is>
      </c>
      <c r="D7917" t="n">
        <v>91</v>
      </c>
    </row>
    <row r="7918">
      <c r="A7918" t="inlineStr">
        <is>
          <t>ED208085</t>
        </is>
      </c>
      <c r="B7918" s="56" t="n">
        <v>45765.46527777778</v>
      </c>
      <c r="C7918" t="inlineStr">
        <is>
          <t>Bluestone Memorial Hospital</t>
        </is>
      </c>
      <c r="D7918" t="n">
        <v>39</v>
      </c>
    </row>
    <row r="7919">
      <c r="A7919" t="inlineStr">
        <is>
          <t>ED208086</t>
        </is>
      </c>
      <c r="B7919" s="56" t="n">
        <v>45765.48472222222</v>
      </c>
      <c r="C7919" t="inlineStr">
        <is>
          <t>Bluestone Memorial Hospital</t>
        </is>
      </c>
      <c r="D7919" t="n">
        <v>29</v>
      </c>
    </row>
    <row r="7920">
      <c r="A7920" t="inlineStr">
        <is>
          <t>ED208087</t>
        </is>
      </c>
      <c r="B7920" s="56" t="n">
        <v>45765.48888888889</v>
      </c>
      <c r="C7920" t="inlineStr">
        <is>
          <t>Cedar Ridge Medical Center</t>
        </is>
      </c>
      <c r="D7920" t="n">
        <v>79</v>
      </c>
    </row>
    <row r="7921">
      <c r="A7921" t="inlineStr">
        <is>
          <t>ED208088</t>
        </is>
      </c>
      <c r="B7921" s="56" t="n">
        <v>45765.5375</v>
      </c>
      <c r="C7921" t="inlineStr">
        <is>
          <t>Bluestone Memorial Hospital</t>
        </is>
      </c>
      <c r="D7921" t="n">
        <v>109</v>
      </c>
    </row>
    <row r="7922">
      <c r="A7922" t="inlineStr">
        <is>
          <t>ED208089</t>
        </is>
      </c>
      <c r="B7922" s="56" t="n">
        <v>45765.54166666666</v>
      </c>
      <c r="C7922" t="inlineStr">
        <is>
          <t>Bluestone Memorial Hospital</t>
        </is>
      </c>
      <c r="D7922" t="n">
        <v>39</v>
      </c>
    </row>
    <row r="7923">
      <c r="A7923" t="inlineStr">
        <is>
          <t>ED208090</t>
        </is>
      </c>
      <c r="B7923" s="56" t="n">
        <v>45765.54236111111</v>
      </c>
      <c r="C7923" t="inlineStr">
        <is>
          <t>Ashby Falls Community Hospital</t>
        </is>
      </c>
      <c r="D7923" t="n">
        <v>81</v>
      </c>
    </row>
    <row r="7924">
      <c r="A7924" t="inlineStr">
        <is>
          <t>ED208091</t>
        </is>
      </c>
      <c r="B7924" s="56" t="n">
        <v>45765.88333333333</v>
      </c>
      <c r="C7924" t="inlineStr">
        <is>
          <t>Bluestone Memorial Hospital</t>
        </is>
      </c>
      <c r="D7924" t="n">
        <v>8</v>
      </c>
    </row>
    <row r="7925">
      <c r="A7925" t="inlineStr">
        <is>
          <t>ED208092</t>
        </is>
      </c>
      <c r="B7925" s="56" t="n">
        <v>45765.88333333333</v>
      </c>
      <c r="C7925" t="inlineStr">
        <is>
          <t>Bluestone Memorial Hospital</t>
        </is>
      </c>
      <c r="D7925" t="n">
        <v>46</v>
      </c>
    </row>
    <row r="7926">
      <c r="A7926" t="inlineStr">
        <is>
          <t>ED208093</t>
        </is>
      </c>
      <c r="B7926" s="56" t="n">
        <v>45766.01875</v>
      </c>
      <c r="C7926" t="inlineStr">
        <is>
          <t>Bluestone Memorial Hospital</t>
        </is>
      </c>
      <c r="D7926" t="n">
        <v>18</v>
      </c>
    </row>
    <row r="7927">
      <c r="A7927" t="inlineStr">
        <is>
          <t>ED208094</t>
        </is>
      </c>
      <c r="B7927" s="56" t="n">
        <v>45766.09583333333</v>
      </c>
      <c r="C7927" t="inlineStr">
        <is>
          <t>Bluestone Memorial Hospital</t>
        </is>
      </c>
      <c r="D7927" t="n">
        <v>14</v>
      </c>
    </row>
    <row r="7928">
      <c r="A7928" t="inlineStr">
        <is>
          <t>ED208095</t>
        </is>
      </c>
      <c r="B7928" s="56" t="n">
        <v>45766.29652777778</v>
      </c>
      <c r="C7928" t="inlineStr">
        <is>
          <t>Bluestone Memorial Hospital</t>
        </is>
      </c>
      <c r="D7928" t="n">
        <v>26</v>
      </c>
    </row>
    <row r="7929">
      <c r="A7929" t="inlineStr">
        <is>
          <t>ED208096</t>
        </is>
      </c>
      <c r="B7929" s="56" t="n">
        <v>45766.38402777778</v>
      </c>
      <c r="C7929" t="inlineStr">
        <is>
          <t>Bluestone Memorial Hospital</t>
        </is>
      </c>
      <c r="D7929" t="n">
        <v>24</v>
      </c>
    </row>
    <row r="7930">
      <c r="A7930" t="inlineStr">
        <is>
          <t>ED208097</t>
        </is>
      </c>
      <c r="B7930" s="56" t="n">
        <v>45766.45069444444</v>
      </c>
      <c r="C7930" t="inlineStr">
        <is>
          <t>Bluestone Memorial Hospital</t>
        </is>
      </c>
      <c r="D7930" t="n">
        <v>85</v>
      </c>
    </row>
    <row r="7931">
      <c r="A7931" t="inlineStr">
        <is>
          <t>ED208098</t>
        </is>
      </c>
      <c r="B7931" s="56" t="n">
        <v>45766.46111111111</v>
      </c>
      <c r="C7931" t="inlineStr">
        <is>
          <t>Ashby Falls Community Hospital</t>
        </is>
      </c>
      <c r="D7931" t="n">
        <v>39</v>
      </c>
    </row>
    <row r="7932">
      <c r="A7932" t="inlineStr">
        <is>
          <t>ED208099</t>
        </is>
      </c>
      <c r="B7932" s="56" t="n">
        <v>45766.575</v>
      </c>
      <c r="C7932" t="inlineStr">
        <is>
          <t>Bluestone Memorial Hospital</t>
        </is>
      </c>
      <c r="D7932" t="n">
        <v>97</v>
      </c>
    </row>
    <row r="7933">
      <c r="A7933" t="inlineStr">
        <is>
          <t>ED208100</t>
        </is>
      </c>
      <c r="B7933" s="56" t="n">
        <v>45766.67847222222</v>
      </c>
      <c r="C7933" t="inlineStr">
        <is>
          <t>Bluestone Memorial Hospital</t>
        </is>
      </c>
      <c r="D7933" t="n">
        <v>45</v>
      </c>
    </row>
    <row r="7934">
      <c r="A7934" t="inlineStr">
        <is>
          <t>ED208101</t>
        </is>
      </c>
      <c r="B7934" s="56" t="n">
        <v>45766.69305555556</v>
      </c>
      <c r="C7934" t="inlineStr">
        <is>
          <t>Bluestone Memorial Hospital</t>
        </is>
      </c>
      <c r="D7934" t="n">
        <v>40</v>
      </c>
    </row>
    <row r="7935">
      <c r="A7935" t="inlineStr">
        <is>
          <t>ED208102</t>
        </is>
      </c>
      <c r="B7935" s="56" t="n">
        <v>45766.77013888889</v>
      </c>
      <c r="C7935" t="inlineStr">
        <is>
          <t>Bluestone Memorial Hospital</t>
        </is>
      </c>
      <c r="D7935" t="n">
        <v>23</v>
      </c>
    </row>
    <row r="7936">
      <c r="A7936" t="inlineStr">
        <is>
          <t>ED208103</t>
        </is>
      </c>
      <c r="B7936" s="56" t="n">
        <v>45766.77430555555</v>
      </c>
      <c r="C7936" t="inlineStr">
        <is>
          <t>Bluestone Memorial Hospital</t>
        </is>
      </c>
      <c r="D7936" t="n">
        <v>66</v>
      </c>
    </row>
    <row r="7937">
      <c r="A7937" t="inlineStr">
        <is>
          <t>ED208104</t>
        </is>
      </c>
      <c r="B7937" s="56" t="n">
        <v>45766.82013888889</v>
      </c>
      <c r="C7937" t="inlineStr">
        <is>
          <t>Cedar Ridge Medical Center</t>
        </is>
      </c>
      <c r="D7937" t="n">
        <v>77</v>
      </c>
    </row>
    <row r="7938">
      <c r="A7938" t="inlineStr">
        <is>
          <t>ED208105</t>
        </is>
      </c>
      <c r="B7938" s="56" t="n">
        <v>45766.84513888889</v>
      </c>
      <c r="C7938" t="inlineStr">
        <is>
          <t>Bluestone Memorial Hospital</t>
        </is>
      </c>
      <c r="D7938" t="n">
        <v>7</v>
      </c>
    </row>
    <row r="7939">
      <c r="A7939" t="inlineStr">
        <is>
          <t>ED208106</t>
        </is>
      </c>
      <c r="B7939" s="56" t="n">
        <v>45766.98055555556</v>
      </c>
      <c r="C7939" t="inlineStr">
        <is>
          <t>Cedar Ridge Medical Center</t>
        </is>
      </c>
      <c r="D7939" t="n">
        <v>3</v>
      </c>
    </row>
    <row r="7940">
      <c r="A7940" t="inlineStr">
        <is>
          <t>ED208107</t>
        </is>
      </c>
      <c r="B7940" s="56" t="n">
        <v>45767.16458333333</v>
      </c>
      <c r="C7940" t="inlineStr">
        <is>
          <t>Bluestone Memorial Hospital</t>
        </is>
      </c>
      <c r="D7940" t="n">
        <v>33</v>
      </c>
    </row>
    <row r="7941">
      <c r="A7941" t="inlineStr">
        <is>
          <t>ED208108</t>
        </is>
      </c>
      <c r="B7941" s="56" t="n">
        <v>45767.17361111111</v>
      </c>
      <c r="C7941" t="inlineStr">
        <is>
          <t>Cedar Ridge Medical Center</t>
        </is>
      </c>
      <c r="D7941" t="n">
        <v>54</v>
      </c>
    </row>
    <row r="7942">
      <c r="A7942" t="inlineStr">
        <is>
          <t>ED208109</t>
        </is>
      </c>
      <c r="B7942" s="56" t="n">
        <v>45767.37638888889</v>
      </c>
      <c r="C7942" t="inlineStr">
        <is>
          <t>Bluestone Memorial Hospital</t>
        </is>
      </c>
      <c r="D7942" t="n">
        <v>52</v>
      </c>
    </row>
    <row r="7943">
      <c r="A7943" t="inlineStr">
        <is>
          <t>ED208110</t>
        </is>
      </c>
      <c r="B7943" s="56" t="n">
        <v>45767.40416666667</v>
      </c>
      <c r="C7943" t="inlineStr">
        <is>
          <t>Bluestone Memorial Hospital</t>
        </is>
      </c>
      <c r="D7943" t="n">
        <v>59</v>
      </c>
    </row>
    <row r="7944">
      <c r="A7944" t="inlineStr">
        <is>
          <t>ED208111</t>
        </is>
      </c>
      <c r="B7944" s="56" t="n">
        <v>45767.45277777778</v>
      </c>
      <c r="C7944" t="inlineStr">
        <is>
          <t>Ashby Falls Community Hospital</t>
        </is>
      </c>
      <c r="D7944" t="n">
        <v>64</v>
      </c>
    </row>
    <row r="7945">
      <c r="A7945" t="inlineStr">
        <is>
          <t>ED208112</t>
        </is>
      </c>
      <c r="B7945" s="56" t="n">
        <v>45767.54236111111</v>
      </c>
      <c r="C7945" t="inlineStr">
        <is>
          <t>Bluestone Memorial Hospital</t>
        </is>
      </c>
      <c r="D7945" t="n">
        <v>29</v>
      </c>
    </row>
    <row r="7946">
      <c r="A7946" t="inlineStr">
        <is>
          <t>ED208113</t>
        </is>
      </c>
      <c r="B7946" s="56" t="n">
        <v>45767.55833333333</v>
      </c>
      <c r="C7946" t="inlineStr">
        <is>
          <t>Cedar Ridge Medical Center</t>
        </is>
      </c>
      <c r="D7946" t="n">
        <v>55</v>
      </c>
    </row>
    <row r="7947">
      <c r="A7947" t="inlineStr">
        <is>
          <t>ED208114</t>
        </is>
      </c>
      <c r="B7947" s="56" t="n">
        <v>45767.56041666667</v>
      </c>
      <c r="C7947" t="inlineStr">
        <is>
          <t>Bluestone Memorial Hospital</t>
        </is>
      </c>
      <c r="D7947" t="n">
        <v>110</v>
      </c>
    </row>
    <row r="7948">
      <c r="A7948" t="inlineStr">
        <is>
          <t>ED208115</t>
        </is>
      </c>
      <c r="B7948" s="56" t="n">
        <v>45767.57569444444</v>
      </c>
      <c r="C7948" t="inlineStr">
        <is>
          <t>Bluestone Memorial Hospital</t>
        </is>
      </c>
      <c r="D7948" t="n">
        <v>26</v>
      </c>
    </row>
    <row r="7949">
      <c r="A7949" t="inlineStr">
        <is>
          <t>ED208116</t>
        </is>
      </c>
      <c r="B7949" s="56" t="n">
        <v>45767.57638888889</v>
      </c>
      <c r="C7949" t="inlineStr">
        <is>
          <t>Bluestone Memorial Hospital</t>
        </is>
      </c>
      <c r="D7949" t="n">
        <v>86</v>
      </c>
    </row>
    <row r="7950">
      <c r="A7950" t="inlineStr">
        <is>
          <t>ED208117</t>
        </is>
      </c>
      <c r="B7950" s="56" t="n">
        <v>45767.58402777778</v>
      </c>
      <c r="C7950" t="inlineStr">
        <is>
          <t>Bluestone Memorial Hospital</t>
        </is>
      </c>
      <c r="D7950" t="n">
        <v>65</v>
      </c>
    </row>
    <row r="7951">
      <c r="A7951" t="inlineStr">
        <is>
          <t>ED208118</t>
        </is>
      </c>
      <c r="B7951" s="56" t="n">
        <v>45767.62916666667</v>
      </c>
      <c r="C7951" t="inlineStr">
        <is>
          <t>Bluestone Memorial Hospital</t>
        </is>
      </c>
      <c r="D7951" t="n">
        <v>26</v>
      </c>
    </row>
    <row r="7952">
      <c r="A7952" t="inlineStr">
        <is>
          <t>ED208119</t>
        </is>
      </c>
      <c r="B7952" s="56" t="n">
        <v>45767.63541666666</v>
      </c>
      <c r="C7952" t="inlineStr">
        <is>
          <t>Bluestone Memorial Hospital</t>
        </is>
      </c>
      <c r="D7952" t="n">
        <v>28</v>
      </c>
    </row>
    <row r="7953">
      <c r="A7953" t="inlineStr">
        <is>
          <t>ED208120</t>
        </is>
      </c>
      <c r="B7953" s="56" t="n">
        <v>45767.78819444445</v>
      </c>
      <c r="C7953" t="inlineStr">
        <is>
          <t>Cedar Ridge Medical Center</t>
        </is>
      </c>
      <c r="D7953" t="n">
        <v>42</v>
      </c>
    </row>
    <row r="7954">
      <c r="A7954" t="inlineStr">
        <is>
          <t>ED208121</t>
        </is>
      </c>
      <c r="B7954" s="56" t="n">
        <v>45767.80138888889</v>
      </c>
      <c r="C7954" t="inlineStr">
        <is>
          <t>Ashby Falls Community Hospital</t>
        </is>
      </c>
      <c r="D7954" t="n">
        <v>44</v>
      </c>
    </row>
    <row r="7955">
      <c r="A7955" t="inlineStr">
        <is>
          <t>ED208122</t>
        </is>
      </c>
      <c r="B7955" s="56" t="n">
        <v>45768</v>
      </c>
      <c r="C7955" t="inlineStr">
        <is>
          <t>Bluestone Memorial Hospital</t>
        </is>
      </c>
      <c r="D7955" t="n">
        <v>98</v>
      </c>
    </row>
    <row r="7956">
      <c r="A7956" t="inlineStr">
        <is>
          <t>ED208123</t>
        </is>
      </c>
      <c r="B7956" s="56" t="n">
        <v>45768.01805555556</v>
      </c>
      <c r="C7956" t="inlineStr">
        <is>
          <t>Ashby Falls Community Hospital</t>
        </is>
      </c>
      <c r="D7956" t="n">
        <v>65</v>
      </c>
    </row>
    <row r="7957">
      <c r="A7957" t="inlineStr">
        <is>
          <t>ED208124</t>
        </is>
      </c>
      <c r="B7957" s="56" t="n">
        <v>45768.22916666666</v>
      </c>
      <c r="C7957" t="inlineStr">
        <is>
          <t>Bluestone Memorial Hospital</t>
        </is>
      </c>
      <c r="D7957" t="n">
        <v>11</v>
      </c>
    </row>
    <row r="7958">
      <c r="A7958" t="inlineStr">
        <is>
          <t>ED208125</t>
        </is>
      </c>
      <c r="B7958" s="56" t="n">
        <v>45768.35</v>
      </c>
      <c r="C7958" t="inlineStr">
        <is>
          <t>Bluestone Memorial Hospital</t>
        </is>
      </c>
      <c r="D7958" t="n">
        <v>16</v>
      </c>
    </row>
    <row r="7959">
      <c r="A7959" t="inlineStr">
        <is>
          <t>ED208126</t>
        </is>
      </c>
      <c r="B7959" s="56" t="n">
        <v>45768.39027777778</v>
      </c>
      <c r="C7959" t="inlineStr">
        <is>
          <t>Ashby Falls Community Hospital</t>
        </is>
      </c>
      <c r="D7959" t="n">
        <v>26</v>
      </c>
    </row>
    <row r="7960">
      <c r="A7960" t="inlineStr">
        <is>
          <t>ED208127</t>
        </is>
      </c>
      <c r="B7960" s="56" t="n">
        <v>45768.40486111111</v>
      </c>
      <c r="C7960" t="inlineStr">
        <is>
          <t>Bluestone Memorial Hospital</t>
        </is>
      </c>
      <c r="D7960" t="n">
        <v>43</v>
      </c>
    </row>
    <row r="7961">
      <c r="A7961" t="inlineStr">
        <is>
          <t>ED208128</t>
        </is>
      </c>
      <c r="B7961" s="56" t="n">
        <v>45768.41527777778</v>
      </c>
      <c r="C7961" t="inlineStr">
        <is>
          <t>Bluestone Memorial Hospital</t>
        </is>
      </c>
      <c r="D7961" t="n">
        <v>31</v>
      </c>
    </row>
    <row r="7962">
      <c r="A7962" t="inlineStr">
        <is>
          <t>ED208129</t>
        </is>
      </c>
      <c r="B7962" s="56" t="n">
        <v>45768.43541666667</v>
      </c>
      <c r="C7962" t="inlineStr">
        <is>
          <t>Bluestone Memorial Hospital</t>
        </is>
      </c>
      <c r="D7962" t="n">
        <v>14</v>
      </c>
    </row>
    <row r="7963">
      <c r="A7963" t="inlineStr">
        <is>
          <t>ED208130</t>
        </is>
      </c>
      <c r="B7963" s="56" t="n">
        <v>45768.44166666667</v>
      </c>
      <c r="C7963" t="inlineStr">
        <is>
          <t>Bluestone Memorial Hospital</t>
        </is>
      </c>
      <c r="D7963" t="n">
        <v>36</v>
      </c>
    </row>
    <row r="7964">
      <c r="A7964" t="inlineStr">
        <is>
          <t>ED208131</t>
        </is>
      </c>
      <c r="B7964" s="56" t="n">
        <v>45768.50138888889</v>
      </c>
      <c r="C7964" t="inlineStr">
        <is>
          <t>Cedar Ridge Medical Center</t>
        </is>
      </c>
      <c r="D7964" t="n">
        <v>26</v>
      </c>
    </row>
    <row r="7965">
      <c r="A7965" t="inlineStr">
        <is>
          <t>ED208132</t>
        </is>
      </c>
      <c r="B7965" s="56" t="n">
        <v>45768.50416666667</v>
      </c>
      <c r="C7965" t="inlineStr">
        <is>
          <t>Bluestone Memorial Hospital</t>
        </is>
      </c>
      <c r="D7965" t="n">
        <v>140</v>
      </c>
    </row>
    <row r="7966">
      <c r="A7966" t="inlineStr">
        <is>
          <t>ED208133</t>
        </is>
      </c>
      <c r="B7966" s="56" t="n">
        <v>45768.51597222222</v>
      </c>
      <c r="C7966" t="inlineStr">
        <is>
          <t>Bluestone Memorial Hospital</t>
        </is>
      </c>
      <c r="D7966" t="n">
        <v>35</v>
      </c>
    </row>
    <row r="7967">
      <c r="A7967" t="inlineStr">
        <is>
          <t>ED208134</t>
        </is>
      </c>
      <c r="B7967" s="56" t="n">
        <v>45768.58125</v>
      </c>
      <c r="C7967" t="inlineStr">
        <is>
          <t>Cedar Ridge Medical Center</t>
        </is>
      </c>
      <c r="D7967" t="n">
        <v>7</v>
      </c>
    </row>
    <row r="7968">
      <c r="A7968" t="inlineStr">
        <is>
          <t>ED208135</t>
        </is>
      </c>
      <c r="B7968" s="56" t="n">
        <v>45768.61805555555</v>
      </c>
      <c r="C7968" t="inlineStr">
        <is>
          <t>Ashby Falls Community Hospital</t>
        </is>
      </c>
      <c r="D7968" t="n">
        <v>77</v>
      </c>
    </row>
    <row r="7969">
      <c r="A7969" t="inlineStr">
        <is>
          <t>ED208136</t>
        </is>
      </c>
      <c r="B7969" s="56" t="n">
        <v>45768.67361111111</v>
      </c>
      <c r="C7969" t="inlineStr">
        <is>
          <t>Bluestone Memorial Hospital</t>
        </is>
      </c>
      <c r="D7969" t="n">
        <v>119</v>
      </c>
    </row>
    <row r="7970">
      <c r="A7970" t="inlineStr">
        <is>
          <t>ED208138</t>
        </is>
      </c>
      <c r="B7970" s="56" t="n">
        <v>45768.70972222222</v>
      </c>
      <c r="C7970" t="inlineStr">
        <is>
          <t>Bluestone Memorial Hospital</t>
        </is>
      </c>
      <c r="D7970" t="n">
        <v>30</v>
      </c>
    </row>
    <row r="7971">
      <c r="A7971" t="inlineStr">
        <is>
          <t>ED208139</t>
        </is>
      </c>
      <c r="B7971" s="56" t="n">
        <v>45768.7625</v>
      </c>
      <c r="C7971" t="inlineStr">
        <is>
          <t>Bluestone Memorial Hospital</t>
        </is>
      </c>
      <c r="D7971" t="n">
        <v>32</v>
      </c>
    </row>
    <row r="7972">
      <c r="A7972" t="inlineStr">
        <is>
          <t>ED208140</t>
        </is>
      </c>
      <c r="B7972" s="56" t="n">
        <v>45768.78819444445</v>
      </c>
      <c r="C7972" t="inlineStr">
        <is>
          <t>Bluestone Memorial Hospital</t>
        </is>
      </c>
      <c r="D7972" t="n">
        <v>54</v>
      </c>
    </row>
    <row r="7973">
      <c r="A7973" t="inlineStr">
        <is>
          <t>ED208141</t>
        </is>
      </c>
      <c r="B7973" s="56" t="n">
        <v>45768.84097222222</v>
      </c>
      <c r="C7973" t="inlineStr">
        <is>
          <t>Bluestone Memorial Hospital</t>
        </is>
      </c>
      <c r="D7973" t="n">
        <v>21</v>
      </c>
    </row>
    <row r="7974">
      <c r="A7974" t="inlineStr">
        <is>
          <t>ED208142</t>
        </is>
      </c>
      <c r="B7974" s="56" t="n">
        <v>45768.92083333333</v>
      </c>
      <c r="C7974" t="inlineStr">
        <is>
          <t>Bluestone Memorial Hospital</t>
        </is>
      </c>
      <c r="D7974" t="n">
        <v>36</v>
      </c>
    </row>
    <row r="7975">
      <c r="A7975" t="inlineStr">
        <is>
          <t>ED208143</t>
        </is>
      </c>
      <c r="B7975" s="56" t="n">
        <v>45769.45069444444</v>
      </c>
      <c r="C7975" t="inlineStr">
        <is>
          <t>Cedar Ridge Medical Center</t>
        </is>
      </c>
      <c r="D7975" t="n">
        <v>48</v>
      </c>
    </row>
    <row r="7976">
      <c r="A7976" t="inlineStr">
        <is>
          <t>ED208144</t>
        </is>
      </c>
      <c r="B7976" s="56" t="n">
        <v>45769.47291666667</v>
      </c>
      <c r="C7976" t="inlineStr">
        <is>
          <t>Bluestone Memorial Hospital</t>
        </is>
      </c>
      <c r="D7976" t="n">
        <v>56</v>
      </c>
    </row>
    <row r="7977">
      <c r="A7977" t="inlineStr">
        <is>
          <t>ED208145</t>
        </is>
      </c>
      <c r="B7977" s="56" t="n">
        <v>45769.48611111111</v>
      </c>
      <c r="C7977" t="inlineStr">
        <is>
          <t>Bluestone Memorial Hospital</t>
        </is>
      </c>
      <c r="D7977" t="n">
        <v>13</v>
      </c>
    </row>
    <row r="7978">
      <c r="A7978" t="inlineStr">
        <is>
          <t>ED208146</t>
        </is>
      </c>
      <c r="B7978" s="56" t="n">
        <v>45769.58263888889</v>
      </c>
      <c r="C7978" t="inlineStr">
        <is>
          <t>Ashby Falls Community Hospital</t>
        </is>
      </c>
      <c r="D7978" t="n">
        <v>90</v>
      </c>
    </row>
    <row r="7979">
      <c r="A7979" t="inlineStr">
        <is>
          <t>ED208147</t>
        </is>
      </c>
      <c r="B7979" s="56" t="n">
        <v>45769.59166666667</v>
      </c>
      <c r="C7979" t="inlineStr">
        <is>
          <t>Bluestone Memorial Hospital</t>
        </is>
      </c>
      <c r="D7979" t="n">
        <v>78</v>
      </c>
    </row>
    <row r="7980">
      <c r="A7980" t="inlineStr">
        <is>
          <t>ED208148</t>
        </is>
      </c>
      <c r="B7980" s="56" t="n">
        <v>45769.65763888889</v>
      </c>
      <c r="C7980" t="inlineStr">
        <is>
          <t>Bluestone Memorial Hospital</t>
        </is>
      </c>
      <c r="D7980" t="n">
        <v>42</v>
      </c>
    </row>
    <row r="7981">
      <c r="A7981" t="inlineStr">
        <is>
          <t>ED208149</t>
        </is>
      </c>
      <c r="B7981" s="56" t="n">
        <v>45769.6625</v>
      </c>
      <c r="C7981" t="inlineStr">
        <is>
          <t>Bluestone Memorial Hospital</t>
        </is>
      </c>
      <c r="D7981" t="n">
        <v>69</v>
      </c>
    </row>
    <row r="7982">
      <c r="A7982" t="inlineStr">
        <is>
          <t>ED208150</t>
        </is>
      </c>
      <c r="B7982" s="56" t="n">
        <v>45769.67916666667</v>
      </c>
      <c r="C7982" t="inlineStr">
        <is>
          <t>Bluestone Memorial Hospital</t>
        </is>
      </c>
      <c r="D7982" t="n">
        <v>76</v>
      </c>
    </row>
    <row r="7983">
      <c r="A7983" t="inlineStr">
        <is>
          <t>ED208151</t>
        </is>
      </c>
      <c r="B7983" s="56" t="n">
        <v>45769.69097222222</v>
      </c>
      <c r="C7983" t="inlineStr">
        <is>
          <t>Bluestone Memorial Hospital</t>
        </is>
      </c>
      <c r="D7983" t="n">
        <v>105</v>
      </c>
    </row>
    <row r="7984">
      <c r="A7984" t="inlineStr">
        <is>
          <t>ED208152</t>
        </is>
      </c>
      <c r="B7984" s="56" t="n">
        <v>45769.69166666667</v>
      </c>
      <c r="C7984" t="inlineStr">
        <is>
          <t>Cedar Ridge Medical Center</t>
        </is>
      </c>
      <c r="D7984" t="n">
        <v>84</v>
      </c>
    </row>
    <row r="7985">
      <c r="A7985" t="inlineStr">
        <is>
          <t>ED208153</t>
        </is>
      </c>
      <c r="B7985" s="56" t="n">
        <v>45769.79236111111</v>
      </c>
      <c r="C7985" t="inlineStr">
        <is>
          <t>Bluestone Memorial Hospital</t>
        </is>
      </c>
      <c r="D7985" t="n">
        <v>59</v>
      </c>
    </row>
    <row r="7986">
      <c r="A7986" t="inlineStr">
        <is>
          <t>ED208154</t>
        </is>
      </c>
      <c r="B7986" s="56" t="n">
        <v>45769.82708333333</v>
      </c>
      <c r="C7986" t="inlineStr">
        <is>
          <t>Cedar Ridge Medical Center</t>
        </is>
      </c>
      <c r="D7986" t="n">
        <v>38</v>
      </c>
    </row>
    <row r="7987">
      <c r="A7987" t="inlineStr">
        <is>
          <t>ED208155</t>
        </is>
      </c>
      <c r="B7987" s="56" t="n">
        <v>45769.83888888889</v>
      </c>
      <c r="C7987" t="inlineStr">
        <is>
          <t>Ashby Falls Community Hospital</t>
        </is>
      </c>
      <c r="D7987" t="n">
        <v>52</v>
      </c>
    </row>
    <row r="7988">
      <c r="A7988" t="inlineStr">
        <is>
          <t>ED208156</t>
        </is>
      </c>
      <c r="B7988" s="56" t="n">
        <v>45770.02569444444</v>
      </c>
      <c r="C7988" t="inlineStr">
        <is>
          <t>Ashby Falls Community Hospital</t>
        </is>
      </c>
      <c r="D7988" t="n">
        <v>30</v>
      </c>
    </row>
    <row r="7989">
      <c r="A7989" t="inlineStr">
        <is>
          <t>ED208157</t>
        </is>
      </c>
      <c r="B7989" s="56" t="n">
        <v>45770.29027777778</v>
      </c>
      <c r="C7989" t="inlineStr">
        <is>
          <t>Cedar Ridge Medical Center</t>
        </is>
      </c>
      <c r="D7989" t="n">
        <v>36</v>
      </c>
    </row>
    <row r="7990">
      <c r="A7990" t="inlineStr">
        <is>
          <t>ED208158</t>
        </is>
      </c>
      <c r="B7990" s="56" t="n">
        <v>45770.32986111111</v>
      </c>
      <c r="C7990" t="inlineStr">
        <is>
          <t>Bluestone Memorial Hospital</t>
        </is>
      </c>
      <c r="D7990" t="n">
        <v>32</v>
      </c>
    </row>
    <row r="7991">
      <c r="A7991" t="inlineStr">
        <is>
          <t>ED208159</t>
        </is>
      </c>
      <c r="B7991" s="56" t="n">
        <v>45770.35972222222</v>
      </c>
      <c r="C7991" t="inlineStr">
        <is>
          <t>Bluestone Memorial Hospital</t>
        </is>
      </c>
      <c r="D7991" t="n">
        <v>39</v>
      </c>
    </row>
    <row r="7992">
      <c r="A7992" t="inlineStr">
        <is>
          <t>ED208160</t>
        </is>
      </c>
      <c r="B7992" s="56" t="n">
        <v>45770.37986111111</v>
      </c>
      <c r="C7992" t="inlineStr">
        <is>
          <t>Bluestone Memorial Hospital</t>
        </is>
      </c>
      <c r="D7992" t="n">
        <v>16</v>
      </c>
    </row>
    <row r="7993">
      <c r="A7993" t="inlineStr">
        <is>
          <t>ED208161</t>
        </is>
      </c>
      <c r="B7993" s="56" t="n">
        <v>45770.39513888889</v>
      </c>
      <c r="C7993" t="inlineStr">
        <is>
          <t>Bluestone Memorial Hospital</t>
        </is>
      </c>
      <c r="D7993" t="n">
        <v>10</v>
      </c>
    </row>
    <row r="7994">
      <c r="A7994" t="inlineStr">
        <is>
          <t>ED208162</t>
        </is>
      </c>
      <c r="B7994" s="56" t="n">
        <v>45770.42916666667</v>
      </c>
      <c r="C7994" t="inlineStr">
        <is>
          <t>Bluestone Memorial Hospital</t>
        </is>
      </c>
      <c r="D7994" t="n">
        <v>49</v>
      </c>
    </row>
    <row r="7995">
      <c r="A7995" t="inlineStr">
        <is>
          <t>ED208163</t>
        </is>
      </c>
      <c r="B7995" s="56" t="n">
        <v>45770.42916666667</v>
      </c>
      <c r="C7995" t="inlineStr">
        <is>
          <t>Bluestone Memorial Hospital</t>
        </is>
      </c>
      <c r="D7995" t="n">
        <v>29</v>
      </c>
    </row>
    <row r="7996">
      <c r="A7996" t="inlineStr">
        <is>
          <t>ED208164</t>
        </is>
      </c>
      <c r="B7996" s="56" t="n">
        <v>45770.46180555555</v>
      </c>
      <c r="C7996" t="inlineStr">
        <is>
          <t>Bluestone Memorial Hospital</t>
        </is>
      </c>
      <c r="D7996" t="n">
        <v>80</v>
      </c>
    </row>
    <row r="7997">
      <c r="A7997" t="inlineStr">
        <is>
          <t>ED208165</t>
        </is>
      </c>
      <c r="B7997" s="56" t="n">
        <v>45770.525</v>
      </c>
      <c r="C7997" t="inlineStr">
        <is>
          <t>Cedar Ridge Medical Center</t>
        </is>
      </c>
      <c r="D7997" t="n">
        <v>6</v>
      </c>
    </row>
    <row r="7998">
      <c r="A7998" t="inlineStr">
        <is>
          <t>ED208166</t>
        </is>
      </c>
      <c r="B7998" s="56" t="n">
        <v>45770.53819444445</v>
      </c>
      <c r="C7998" t="inlineStr">
        <is>
          <t>Cedar Ridge Medical Center</t>
        </is>
      </c>
      <c r="D7998" t="n">
        <v>2</v>
      </c>
    </row>
    <row r="7999">
      <c r="A7999" t="inlineStr">
        <is>
          <t>ED208167</t>
        </is>
      </c>
      <c r="B7999" s="56" t="n">
        <v>45770.58680555555</v>
      </c>
      <c r="C7999" t="inlineStr">
        <is>
          <t>Ashby Falls Community Hospital</t>
        </is>
      </c>
      <c r="D7999" t="n">
        <v>14</v>
      </c>
    </row>
    <row r="8000">
      <c r="A8000" t="inlineStr">
        <is>
          <t>ED208168</t>
        </is>
      </c>
      <c r="B8000" s="56" t="n">
        <v>45770.67986111111</v>
      </c>
      <c r="C8000" t="inlineStr">
        <is>
          <t>Bluestone Memorial Hospital</t>
        </is>
      </c>
      <c r="D8000" t="n">
        <v>71</v>
      </c>
    </row>
    <row r="8001">
      <c r="A8001" t="inlineStr">
        <is>
          <t>ED208169</t>
        </is>
      </c>
      <c r="B8001" s="56" t="n">
        <v>45770.68611111111</v>
      </c>
      <c r="C8001" t="inlineStr">
        <is>
          <t>Cedar Ridge Medical Center</t>
        </is>
      </c>
      <c r="D8001" t="n">
        <v>13</v>
      </c>
    </row>
    <row r="8002">
      <c r="A8002" t="inlineStr">
        <is>
          <t>ED208170</t>
        </is>
      </c>
      <c r="B8002" s="56" t="n">
        <v>45770.79027777778</v>
      </c>
      <c r="C8002" t="inlineStr">
        <is>
          <t>Bluestone Memorial Hospital</t>
        </is>
      </c>
      <c r="D8002" t="n">
        <v>18</v>
      </c>
    </row>
    <row r="8003">
      <c r="A8003" t="inlineStr">
        <is>
          <t>ED208171</t>
        </is>
      </c>
      <c r="B8003" s="56" t="n">
        <v>45770.84791666667</v>
      </c>
      <c r="C8003" t="inlineStr">
        <is>
          <t>Ashby Falls Community Hospital</t>
        </is>
      </c>
      <c r="D8003" t="n">
        <v>1</v>
      </c>
    </row>
    <row r="8004">
      <c r="A8004" t="inlineStr">
        <is>
          <t>ED208172</t>
        </is>
      </c>
      <c r="B8004" s="56" t="n">
        <v>45770.86944444444</v>
      </c>
      <c r="C8004" t="inlineStr">
        <is>
          <t>Cedar Ridge Medical Center</t>
        </is>
      </c>
      <c r="D8004" t="n">
        <v>40</v>
      </c>
    </row>
    <row r="8005">
      <c r="A8005" t="inlineStr">
        <is>
          <t>ED208173</t>
        </is>
      </c>
      <c r="B8005" s="56" t="n">
        <v>45770.91458333333</v>
      </c>
      <c r="C8005" t="inlineStr">
        <is>
          <t>Bluestone Memorial Hospital</t>
        </is>
      </c>
      <c r="D8005" t="n">
        <v>11</v>
      </c>
    </row>
    <row r="8006">
      <c r="A8006" t="inlineStr">
        <is>
          <t>ED208174</t>
        </is>
      </c>
      <c r="B8006" s="56" t="n">
        <v>45770.99097222222</v>
      </c>
      <c r="C8006" t="inlineStr">
        <is>
          <t>Bluestone Memorial Hospital</t>
        </is>
      </c>
      <c r="D8006" t="n">
        <v>15</v>
      </c>
    </row>
    <row r="8007">
      <c r="A8007" t="inlineStr">
        <is>
          <t>ED208175</t>
        </is>
      </c>
      <c r="B8007" s="56" t="n">
        <v>45770.99444444444</v>
      </c>
      <c r="C8007" t="inlineStr">
        <is>
          <t>Bluestone Memorial Hospital</t>
        </is>
      </c>
      <c r="D8007" t="n">
        <v>42</v>
      </c>
    </row>
    <row r="8008">
      <c r="A8008" t="inlineStr">
        <is>
          <t>ED208176</t>
        </is>
      </c>
      <c r="B8008" s="56" t="n">
        <v>45771.03194444445</v>
      </c>
      <c r="C8008" t="inlineStr">
        <is>
          <t>Cedar Ridge Medical Center</t>
        </is>
      </c>
      <c r="D8008" t="n">
        <v>55</v>
      </c>
    </row>
    <row r="8009">
      <c r="A8009" t="inlineStr">
        <is>
          <t>ED208177</t>
        </is>
      </c>
      <c r="B8009" s="56" t="n">
        <v>45771.03472222222</v>
      </c>
      <c r="C8009" t="inlineStr">
        <is>
          <t>Bluestone Memorial Hospital</t>
        </is>
      </c>
      <c r="D8009" t="n">
        <v>44</v>
      </c>
    </row>
    <row r="8010">
      <c r="A8010" t="inlineStr">
        <is>
          <t>ED208178</t>
        </is>
      </c>
      <c r="B8010" s="56" t="n">
        <v>45771.16458333333</v>
      </c>
      <c r="C8010" t="inlineStr">
        <is>
          <t>Bluestone Memorial Hospital</t>
        </is>
      </c>
      <c r="D8010" t="n">
        <v>4</v>
      </c>
    </row>
    <row r="8011">
      <c r="A8011" t="inlineStr">
        <is>
          <t>ED208179</t>
        </is>
      </c>
      <c r="B8011" s="56" t="n">
        <v>45771.38194444445</v>
      </c>
      <c r="C8011" t="inlineStr">
        <is>
          <t>Cedar Ridge Medical Center</t>
        </is>
      </c>
      <c r="D8011" t="n">
        <v>38</v>
      </c>
    </row>
    <row r="8012">
      <c r="A8012" t="inlineStr">
        <is>
          <t>ED208180</t>
        </is>
      </c>
      <c r="B8012" s="56" t="n">
        <v>45771.46944444445</v>
      </c>
      <c r="C8012" t="inlineStr">
        <is>
          <t>Cedar Ridge Medical Center</t>
        </is>
      </c>
      <c r="D8012" t="n">
        <v>18</v>
      </c>
    </row>
    <row r="8013">
      <c r="A8013" t="inlineStr">
        <is>
          <t>ED208181</t>
        </is>
      </c>
      <c r="B8013" s="56" t="n">
        <v>45771.48888888889</v>
      </c>
      <c r="C8013" t="inlineStr">
        <is>
          <t>Bluestone Memorial Hospital</t>
        </is>
      </c>
      <c r="D8013" t="n">
        <v>83</v>
      </c>
    </row>
    <row r="8014">
      <c r="A8014" t="inlineStr">
        <is>
          <t>ED208182</t>
        </is>
      </c>
      <c r="B8014" s="56" t="n">
        <v>45771.51527777778</v>
      </c>
      <c r="C8014" t="inlineStr">
        <is>
          <t>Bluestone Memorial Hospital</t>
        </is>
      </c>
      <c r="D8014" t="n">
        <v>47</v>
      </c>
    </row>
    <row r="8015">
      <c r="A8015" t="inlineStr">
        <is>
          <t>ED208183</t>
        </is>
      </c>
      <c r="B8015" s="56" t="n">
        <v>45771.52291666667</v>
      </c>
      <c r="C8015" t="inlineStr">
        <is>
          <t>Bluestone Memorial Hospital</t>
        </is>
      </c>
      <c r="D8015" t="n">
        <v>20</v>
      </c>
    </row>
    <row r="8016">
      <c r="A8016" t="inlineStr">
        <is>
          <t>ED208184</t>
        </is>
      </c>
      <c r="B8016" s="56" t="n">
        <v>45771.61041666667</v>
      </c>
      <c r="C8016" t="inlineStr">
        <is>
          <t>Bluestone Memorial Hospital</t>
        </is>
      </c>
      <c r="D8016" t="n">
        <v>89</v>
      </c>
    </row>
    <row r="8017">
      <c r="A8017" t="inlineStr">
        <is>
          <t>ED208185</t>
        </is>
      </c>
      <c r="B8017" s="56" t="n">
        <v>45771.66944444444</v>
      </c>
      <c r="C8017" t="inlineStr">
        <is>
          <t>Cedar Ridge Medical Center</t>
        </is>
      </c>
      <c r="D8017" t="n">
        <v>27</v>
      </c>
    </row>
    <row r="8018">
      <c r="A8018" t="inlineStr">
        <is>
          <t>ED208186</t>
        </is>
      </c>
      <c r="B8018" s="56" t="n">
        <v>45771.70625</v>
      </c>
      <c r="C8018" t="inlineStr">
        <is>
          <t>Bluestone Memorial Hospital</t>
        </is>
      </c>
      <c r="D8018" t="n">
        <v>14</v>
      </c>
    </row>
    <row r="8019">
      <c r="A8019" t="inlineStr">
        <is>
          <t>ED208188</t>
        </is>
      </c>
      <c r="B8019" s="56" t="n">
        <v>45771.79305555556</v>
      </c>
      <c r="C8019" t="inlineStr">
        <is>
          <t>Ashby Falls Community Hospital</t>
        </is>
      </c>
      <c r="D8019" t="n">
        <v>52</v>
      </c>
    </row>
    <row r="8020">
      <c r="A8020" t="inlineStr">
        <is>
          <t>ED208189</t>
        </is>
      </c>
      <c r="B8020" s="56" t="n">
        <v>45771.86180555556</v>
      </c>
      <c r="C8020" t="inlineStr">
        <is>
          <t>Cedar Ridge Medical Center</t>
        </is>
      </c>
      <c r="D8020" t="n">
        <v>20</v>
      </c>
    </row>
    <row r="8021">
      <c r="A8021" t="inlineStr">
        <is>
          <t>ED208190</t>
        </is>
      </c>
      <c r="B8021" s="56" t="n">
        <v>45772.09861111111</v>
      </c>
      <c r="C8021" t="inlineStr">
        <is>
          <t>Cedar Ridge Medical Center</t>
        </is>
      </c>
      <c r="D8021" t="n">
        <v>9</v>
      </c>
    </row>
    <row r="8022">
      <c r="A8022" t="inlineStr">
        <is>
          <t>ED208191</t>
        </is>
      </c>
      <c r="B8022" s="56" t="n">
        <v>45772.14097222222</v>
      </c>
      <c r="C8022" t="inlineStr">
        <is>
          <t>Bluestone Memorial Hospital</t>
        </is>
      </c>
      <c r="D8022" t="n">
        <v>31</v>
      </c>
    </row>
    <row r="8023">
      <c r="A8023" t="inlineStr">
        <is>
          <t>ED208192</t>
        </is>
      </c>
      <c r="B8023" s="56" t="n">
        <v>45772.33472222222</v>
      </c>
      <c r="C8023" t="inlineStr">
        <is>
          <t>Bluestone Memorial Hospital</t>
        </is>
      </c>
      <c r="D8023" t="n">
        <v>23</v>
      </c>
    </row>
    <row r="8024">
      <c r="A8024" t="inlineStr">
        <is>
          <t>ED208193</t>
        </is>
      </c>
      <c r="B8024" s="56" t="n">
        <v>45772.33611111111</v>
      </c>
      <c r="C8024" t="inlineStr">
        <is>
          <t>Bluestone Memorial Hospital</t>
        </is>
      </c>
      <c r="D8024" t="n">
        <v>32</v>
      </c>
    </row>
    <row r="8025">
      <c r="A8025" t="inlineStr">
        <is>
          <t>ED208194</t>
        </is>
      </c>
      <c r="B8025" s="56" t="n">
        <v>45772.41944444444</v>
      </c>
      <c r="C8025" t="inlineStr">
        <is>
          <t>Bluestone Memorial Hospital</t>
        </is>
      </c>
      <c r="D8025" t="n">
        <v>25</v>
      </c>
    </row>
    <row r="8026">
      <c r="A8026" t="inlineStr">
        <is>
          <t>ED208195</t>
        </is>
      </c>
      <c r="B8026" s="56" t="n">
        <v>45772.42361111111</v>
      </c>
      <c r="C8026" t="inlineStr">
        <is>
          <t>Bluestone Memorial Hospital</t>
        </is>
      </c>
      <c r="D8026" t="n">
        <v>40</v>
      </c>
    </row>
    <row r="8027">
      <c r="A8027" t="inlineStr">
        <is>
          <t>ED208196</t>
        </is>
      </c>
      <c r="B8027" s="56" t="n">
        <v>45772.47291666667</v>
      </c>
      <c r="C8027" t="inlineStr">
        <is>
          <t>Bluestone Memorial Hospital</t>
        </is>
      </c>
      <c r="D8027" t="n">
        <v>10</v>
      </c>
    </row>
    <row r="8028">
      <c r="A8028" t="inlineStr">
        <is>
          <t>ED208197</t>
        </is>
      </c>
      <c r="B8028" s="56" t="n">
        <v>45772.475</v>
      </c>
      <c r="C8028" t="inlineStr">
        <is>
          <t>Bluestone Memorial Hospital</t>
        </is>
      </c>
      <c r="D8028" t="n">
        <v>21</v>
      </c>
    </row>
    <row r="8029">
      <c r="A8029" t="inlineStr">
        <is>
          <t>ED208198</t>
        </is>
      </c>
      <c r="B8029" s="56" t="n">
        <v>45772.5</v>
      </c>
      <c r="C8029" t="inlineStr">
        <is>
          <t>Bluestone Memorial Hospital</t>
        </is>
      </c>
      <c r="D8029" t="n">
        <v>61</v>
      </c>
    </row>
    <row r="8030">
      <c r="A8030" t="inlineStr">
        <is>
          <t>ED208199</t>
        </is>
      </c>
      <c r="B8030" s="56" t="n">
        <v>45772.54305555556</v>
      </c>
      <c r="C8030" t="inlineStr">
        <is>
          <t>Bluestone Memorial Hospital</t>
        </is>
      </c>
      <c r="D8030" t="n">
        <v>34</v>
      </c>
    </row>
    <row r="8031">
      <c r="A8031" t="inlineStr">
        <is>
          <t>ED208200</t>
        </is>
      </c>
      <c r="B8031" s="56" t="n">
        <v>45772.61527777778</v>
      </c>
      <c r="C8031" t="inlineStr">
        <is>
          <t>Bluestone Memorial Hospital</t>
        </is>
      </c>
      <c r="D8031" t="n">
        <v>10</v>
      </c>
    </row>
    <row r="8032">
      <c r="A8032" t="inlineStr">
        <is>
          <t>ED208201</t>
        </is>
      </c>
      <c r="B8032" s="56" t="n">
        <v>45772.65277777778</v>
      </c>
      <c r="C8032" t="inlineStr">
        <is>
          <t>Bluestone Memorial Hospital</t>
        </is>
      </c>
      <c r="D8032" t="n">
        <v>23</v>
      </c>
    </row>
    <row r="8033">
      <c r="A8033" t="inlineStr">
        <is>
          <t>ED208202</t>
        </is>
      </c>
      <c r="B8033" s="56" t="n">
        <v>45772.65347222222</v>
      </c>
      <c r="C8033" t="inlineStr">
        <is>
          <t>Ashby Falls Community Hospital</t>
        </is>
      </c>
      <c r="D8033" t="n">
        <v>114</v>
      </c>
    </row>
    <row r="8034">
      <c r="A8034" t="inlineStr">
        <is>
          <t>ED208203</t>
        </is>
      </c>
      <c r="B8034" s="56" t="n">
        <v>45772.69236111111</v>
      </c>
      <c r="C8034" t="inlineStr">
        <is>
          <t>Bluestone Memorial Hospital</t>
        </is>
      </c>
      <c r="D8034" t="n">
        <v>50</v>
      </c>
    </row>
    <row r="8035">
      <c r="A8035" t="inlineStr">
        <is>
          <t>ED208204</t>
        </is>
      </c>
      <c r="B8035" s="56" t="n">
        <v>45772.73402777778</v>
      </c>
      <c r="C8035" t="inlineStr">
        <is>
          <t>Bluestone Memorial Hospital</t>
        </is>
      </c>
      <c r="D8035" t="n">
        <v>35</v>
      </c>
    </row>
    <row r="8036">
      <c r="A8036" t="inlineStr">
        <is>
          <t>ED208205</t>
        </is>
      </c>
      <c r="B8036" s="56" t="n">
        <v>45772.79652777778</v>
      </c>
      <c r="C8036" t="inlineStr">
        <is>
          <t>Bluestone Memorial Hospital</t>
        </is>
      </c>
      <c r="D8036" t="n">
        <v>34</v>
      </c>
    </row>
    <row r="8037">
      <c r="A8037" t="inlineStr">
        <is>
          <t>ED208206</t>
        </is>
      </c>
      <c r="B8037" s="56" t="n">
        <v>45772.83472222222</v>
      </c>
      <c r="C8037" t="inlineStr">
        <is>
          <t>Bluestone Memorial Hospital</t>
        </is>
      </c>
      <c r="D8037" t="n">
        <v>110</v>
      </c>
    </row>
    <row r="8038">
      <c r="A8038" t="inlineStr">
        <is>
          <t>ED208207</t>
        </is>
      </c>
      <c r="B8038" s="56" t="n">
        <v>45773.10555555556</v>
      </c>
      <c r="C8038" t="inlineStr">
        <is>
          <t>Bluestone Memorial Hospital</t>
        </is>
      </c>
      <c r="D8038" t="n">
        <v>11</v>
      </c>
    </row>
    <row r="8039">
      <c r="A8039" t="inlineStr">
        <is>
          <t>ED208208</t>
        </is>
      </c>
      <c r="B8039" s="56" t="n">
        <v>45773.24305555555</v>
      </c>
      <c r="C8039" t="inlineStr">
        <is>
          <t>Ashby Falls Community Hospital</t>
        </is>
      </c>
      <c r="D8039" t="n">
        <v>38</v>
      </c>
    </row>
    <row r="8040">
      <c r="A8040" t="inlineStr">
        <is>
          <t>ED208209</t>
        </is>
      </c>
      <c r="B8040" s="56" t="n">
        <v>45773.30069444444</v>
      </c>
      <c r="C8040" t="inlineStr">
        <is>
          <t>Bluestone Memorial Hospital</t>
        </is>
      </c>
      <c r="D8040" t="n">
        <v>62</v>
      </c>
    </row>
    <row r="8041">
      <c r="A8041" t="inlineStr">
        <is>
          <t>ED208210</t>
        </is>
      </c>
      <c r="B8041" s="56" t="n">
        <v>45773.36944444444</v>
      </c>
      <c r="C8041" t="inlineStr">
        <is>
          <t>Bluestone Memorial Hospital</t>
        </is>
      </c>
      <c r="D8041" t="n">
        <v>60</v>
      </c>
    </row>
    <row r="8042">
      <c r="A8042" t="inlineStr">
        <is>
          <t>ED208211</t>
        </is>
      </c>
      <c r="B8042" s="56" t="n">
        <v>45773.40486111111</v>
      </c>
      <c r="C8042" t="inlineStr">
        <is>
          <t>Bluestone Memorial Hospital</t>
        </is>
      </c>
      <c r="D8042" t="n">
        <v>47</v>
      </c>
    </row>
    <row r="8043">
      <c r="A8043" t="inlineStr">
        <is>
          <t>ED208212</t>
        </is>
      </c>
      <c r="B8043" s="56" t="n">
        <v>45773.40555555555</v>
      </c>
      <c r="C8043" t="inlineStr">
        <is>
          <t>Bluestone Memorial Hospital</t>
        </is>
      </c>
      <c r="D8043" t="n">
        <v>30</v>
      </c>
    </row>
    <row r="8044">
      <c r="A8044" t="inlineStr">
        <is>
          <t>ED208213</t>
        </is>
      </c>
      <c r="B8044" s="56" t="n">
        <v>45773.50555555556</v>
      </c>
      <c r="C8044" t="inlineStr">
        <is>
          <t>Bluestone Memorial Hospital</t>
        </is>
      </c>
      <c r="D8044" t="n">
        <v>13</v>
      </c>
    </row>
    <row r="8045">
      <c r="A8045" t="inlineStr">
        <is>
          <t>ED208214</t>
        </is>
      </c>
      <c r="B8045" s="56" t="n">
        <v>45773.52847222222</v>
      </c>
      <c r="C8045" t="inlineStr">
        <is>
          <t>Bluestone Memorial Hospital</t>
        </is>
      </c>
      <c r="D8045" t="n">
        <v>54</v>
      </c>
    </row>
    <row r="8046">
      <c r="A8046" t="inlineStr">
        <is>
          <t>ED208215</t>
        </is>
      </c>
      <c r="B8046" s="56" t="n">
        <v>45773.53680555556</v>
      </c>
      <c r="C8046" t="inlineStr">
        <is>
          <t>Cedar Ridge Medical Center</t>
        </is>
      </c>
      <c r="D8046" t="n">
        <v>23</v>
      </c>
    </row>
    <row r="8047">
      <c r="A8047" t="inlineStr">
        <is>
          <t>ED208216</t>
        </is>
      </c>
      <c r="B8047" s="56" t="n">
        <v>45773.55347222222</v>
      </c>
      <c r="C8047" t="inlineStr">
        <is>
          <t>Cedar Ridge Medical Center</t>
        </is>
      </c>
      <c r="D8047" t="n">
        <v>29</v>
      </c>
    </row>
    <row r="8048">
      <c r="A8048" t="inlineStr">
        <is>
          <t>ED208217</t>
        </is>
      </c>
      <c r="B8048" s="56" t="n">
        <v>45773.7125</v>
      </c>
      <c r="C8048" t="inlineStr">
        <is>
          <t>Bluestone Memorial Hospital</t>
        </is>
      </c>
      <c r="D8048" t="n">
        <v>129</v>
      </c>
    </row>
    <row r="8049">
      <c r="A8049" t="inlineStr">
        <is>
          <t>ED208218</t>
        </is>
      </c>
      <c r="B8049" s="56" t="n">
        <v>45773.7625</v>
      </c>
      <c r="C8049" t="inlineStr">
        <is>
          <t>Cedar Ridge Medical Center</t>
        </is>
      </c>
      <c r="D8049" t="n">
        <v>21</v>
      </c>
    </row>
    <row r="8050">
      <c r="A8050" t="inlineStr">
        <is>
          <t>ED208219</t>
        </is>
      </c>
      <c r="B8050" s="56" t="n">
        <v>45773.83472222222</v>
      </c>
      <c r="C8050" t="inlineStr">
        <is>
          <t>Cedar Ridge Medical Center</t>
        </is>
      </c>
      <c r="D8050" t="n">
        <v>5</v>
      </c>
    </row>
    <row r="8051">
      <c r="A8051" t="inlineStr">
        <is>
          <t>ED208220</t>
        </is>
      </c>
      <c r="B8051" s="56" t="n">
        <v>45774.00694444445</v>
      </c>
      <c r="C8051" t="inlineStr">
        <is>
          <t>Bluestone Memorial Hospital</t>
        </is>
      </c>
      <c r="D8051" t="n">
        <v>19</v>
      </c>
    </row>
    <row r="8052">
      <c r="A8052" t="inlineStr">
        <is>
          <t>ED208221</t>
        </is>
      </c>
      <c r="B8052" s="56" t="n">
        <v>45774.02708333333</v>
      </c>
      <c r="C8052" t="inlineStr">
        <is>
          <t>Ashby Falls Community Hospital</t>
        </is>
      </c>
      <c r="D8052" t="n">
        <v>78</v>
      </c>
    </row>
    <row r="8053">
      <c r="A8053" t="inlineStr">
        <is>
          <t>ED208222</t>
        </is>
      </c>
      <c r="B8053" s="56" t="n">
        <v>45774.03958333333</v>
      </c>
      <c r="C8053" t="inlineStr">
        <is>
          <t>Bluestone Memorial Hospital</t>
        </is>
      </c>
      <c r="D8053" t="n">
        <v>23</v>
      </c>
    </row>
    <row r="8054">
      <c r="A8054" t="inlineStr">
        <is>
          <t>ED208223</t>
        </is>
      </c>
      <c r="B8054" s="56" t="n">
        <v>45774.30486111111</v>
      </c>
      <c r="C8054" t="inlineStr">
        <is>
          <t>Cedar Ridge Medical Center</t>
        </is>
      </c>
      <c r="D8054" t="n">
        <v>6</v>
      </c>
    </row>
    <row r="8055">
      <c r="A8055" t="inlineStr">
        <is>
          <t>ED208224</t>
        </is>
      </c>
      <c r="B8055" s="56" t="n">
        <v>45774.32777777778</v>
      </c>
      <c r="C8055" t="inlineStr">
        <is>
          <t>Bluestone Memorial Hospital</t>
        </is>
      </c>
      <c r="D8055" t="n">
        <v>68</v>
      </c>
    </row>
    <row r="8056">
      <c r="A8056" t="inlineStr">
        <is>
          <t>ED208225</t>
        </is>
      </c>
      <c r="B8056" s="56" t="n">
        <v>45774.42777777778</v>
      </c>
      <c r="C8056" t="inlineStr">
        <is>
          <t>Bluestone Memorial Hospital</t>
        </is>
      </c>
      <c r="D8056" t="n">
        <v>104</v>
      </c>
    </row>
    <row r="8057">
      <c r="A8057" t="inlineStr">
        <is>
          <t>ED208226</t>
        </is>
      </c>
      <c r="B8057" s="56" t="n">
        <v>45774.48333333333</v>
      </c>
      <c r="C8057" t="inlineStr">
        <is>
          <t>Bluestone Memorial Hospital</t>
        </is>
      </c>
      <c r="D8057" t="n">
        <v>84</v>
      </c>
    </row>
    <row r="8058">
      <c r="A8058" t="inlineStr">
        <is>
          <t>ED208227</t>
        </is>
      </c>
      <c r="B8058" s="56" t="n">
        <v>45774.56944444445</v>
      </c>
      <c r="C8058" t="inlineStr">
        <is>
          <t>Bluestone Memorial Hospital</t>
        </is>
      </c>
      <c r="D8058" t="n">
        <v>50</v>
      </c>
    </row>
    <row r="8059">
      <c r="A8059" t="inlineStr">
        <is>
          <t>ED208228</t>
        </is>
      </c>
      <c r="B8059" s="56" t="n">
        <v>45774.57083333333</v>
      </c>
      <c r="C8059" t="inlineStr">
        <is>
          <t>Cedar Ridge Medical Center</t>
        </is>
      </c>
      <c r="D8059" t="n">
        <v>82</v>
      </c>
    </row>
    <row r="8060">
      <c r="A8060" t="inlineStr">
        <is>
          <t>ED208229</t>
        </is>
      </c>
      <c r="B8060" s="56" t="n">
        <v>45774.71666666667</v>
      </c>
      <c r="C8060" t="inlineStr">
        <is>
          <t>Bluestone Memorial Hospital</t>
        </is>
      </c>
      <c r="D8060" t="n">
        <v>10</v>
      </c>
    </row>
    <row r="8061">
      <c r="A8061" t="inlineStr">
        <is>
          <t>ED208230</t>
        </is>
      </c>
      <c r="B8061" s="56" t="n">
        <v>45774.72152777778</v>
      </c>
      <c r="C8061" t="inlineStr">
        <is>
          <t>Bluestone Memorial Hospital</t>
        </is>
      </c>
      <c r="D8061" t="n">
        <v>112</v>
      </c>
    </row>
    <row r="8062">
      <c r="A8062" t="inlineStr">
        <is>
          <t>ED208231</t>
        </is>
      </c>
      <c r="B8062" s="56" t="n">
        <v>45774.85</v>
      </c>
      <c r="C8062" t="inlineStr">
        <is>
          <t>Bluestone Memorial Hospital</t>
        </is>
      </c>
      <c r="D8062" t="n">
        <v>2</v>
      </c>
    </row>
    <row r="8063">
      <c r="A8063" t="inlineStr">
        <is>
          <t>ED208232</t>
        </is>
      </c>
      <c r="B8063" s="56" t="n">
        <v>45775.06458333333</v>
      </c>
      <c r="C8063" t="inlineStr">
        <is>
          <t>Bluestone Memorial Hospital</t>
        </is>
      </c>
      <c r="D8063" t="n">
        <v>89</v>
      </c>
    </row>
    <row r="8064">
      <c r="A8064" t="inlineStr">
        <is>
          <t>ED208233</t>
        </is>
      </c>
      <c r="B8064" s="56" t="n">
        <v>45775.21666666667</v>
      </c>
      <c r="C8064" t="inlineStr">
        <is>
          <t>Ashby Falls Community Hospital</t>
        </is>
      </c>
      <c r="D8064" t="n">
        <v>86</v>
      </c>
    </row>
    <row r="8065">
      <c r="A8065" t="inlineStr">
        <is>
          <t>ED208234</t>
        </is>
      </c>
      <c r="B8065" s="56" t="n">
        <v>45775.24444444444</v>
      </c>
      <c r="C8065" t="inlineStr">
        <is>
          <t>Ashby Falls Community Hospital</t>
        </is>
      </c>
      <c r="D8065" t="n">
        <v>15</v>
      </c>
    </row>
    <row r="8066">
      <c r="A8066" t="inlineStr">
        <is>
          <t>ED208235</t>
        </is>
      </c>
      <c r="B8066" s="56" t="n">
        <v>45775.46527777778</v>
      </c>
      <c r="C8066" t="inlineStr">
        <is>
          <t>Bluestone Memorial Hospital</t>
        </is>
      </c>
      <c r="D8066" t="n">
        <v>87</v>
      </c>
    </row>
    <row r="8067">
      <c r="A8067" t="inlineStr">
        <is>
          <t>ED208236</t>
        </is>
      </c>
      <c r="B8067" s="56" t="n">
        <v>45775.50763888889</v>
      </c>
      <c r="C8067" t="inlineStr">
        <is>
          <t>Cedar Ridge Medical Center</t>
        </is>
      </c>
      <c r="D8067" t="n">
        <v>46</v>
      </c>
    </row>
    <row r="8068">
      <c r="A8068" t="inlineStr">
        <is>
          <t>ED208237</t>
        </is>
      </c>
      <c r="B8068" s="56" t="n">
        <v>45775.54652777778</v>
      </c>
      <c r="C8068" t="inlineStr">
        <is>
          <t>Bluestone Memorial Hospital</t>
        </is>
      </c>
      <c r="D8068" t="n">
        <v>17</v>
      </c>
    </row>
    <row r="8069">
      <c r="A8069" t="inlineStr">
        <is>
          <t>ED208238</t>
        </is>
      </c>
      <c r="B8069" s="56" t="n">
        <v>45775.58194444444</v>
      </c>
      <c r="C8069" t="inlineStr">
        <is>
          <t>Bluestone Memorial Hospital</t>
        </is>
      </c>
      <c r="D8069" t="n">
        <v>17</v>
      </c>
    </row>
    <row r="8070">
      <c r="A8070" t="inlineStr">
        <is>
          <t>ED208239</t>
        </is>
      </c>
      <c r="B8070" s="56" t="n">
        <v>45775.60486111111</v>
      </c>
      <c r="C8070" t="inlineStr">
        <is>
          <t>Bluestone Memorial Hospital</t>
        </is>
      </c>
      <c r="D8070" t="n">
        <v>54</v>
      </c>
    </row>
    <row r="8071">
      <c r="A8071" t="inlineStr">
        <is>
          <t>ED208240</t>
        </is>
      </c>
      <c r="B8071" s="56" t="n">
        <v>45775.71180555555</v>
      </c>
      <c r="C8071" t="inlineStr">
        <is>
          <t>Bluestone Memorial Hospital</t>
        </is>
      </c>
      <c r="D8071" t="n">
        <v>48</v>
      </c>
    </row>
    <row r="8072">
      <c r="A8072" t="inlineStr">
        <is>
          <t>ED208241</t>
        </is>
      </c>
      <c r="B8072" s="56" t="n">
        <v>45775.80694444444</v>
      </c>
      <c r="C8072" t="inlineStr">
        <is>
          <t>Bluestone Memorial Hospital</t>
        </is>
      </c>
      <c r="D8072" t="n">
        <v>256</v>
      </c>
    </row>
    <row r="8073">
      <c r="A8073" t="inlineStr">
        <is>
          <t>ED208242</t>
        </is>
      </c>
      <c r="B8073" s="56" t="n">
        <v>45775.80763888889</v>
      </c>
      <c r="C8073" t="inlineStr">
        <is>
          <t>Bluestone Memorial Hospital</t>
        </is>
      </c>
      <c r="D8073" t="n">
        <v>4</v>
      </c>
    </row>
    <row r="8074">
      <c r="A8074" t="inlineStr">
        <is>
          <t>ED208243</t>
        </is>
      </c>
      <c r="B8074" s="56" t="n">
        <v>45775.82777777778</v>
      </c>
      <c r="C8074" t="inlineStr">
        <is>
          <t>Bluestone Memorial Hospital</t>
        </is>
      </c>
      <c r="D8074" t="n">
        <v>47</v>
      </c>
    </row>
    <row r="8075">
      <c r="A8075" t="inlineStr">
        <is>
          <t>ED208244</t>
        </is>
      </c>
      <c r="B8075" s="56" t="n">
        <v>45776.09583333333</v>
      </c>
      <c r="C8075" t="inlineStr">
        <is>
          <t>Bluestone Memorial Hospital</t>
        </is>
      </c>
      <c r="D8075" t="n">
        <v>17</v>
      </c>
    </row>
    <row r="8076">
      <c r="A8076" t="inlineStr">
        <is>
          <t>ED208245</t>
        </is>
      </c>
      <c r="B8076" s="56" t="n">
        <v>45776.39930555555</v>
      </c>
      <c r="C8076" t="inlineStr">
        <is>
          <t>Bluestone Memorial Hospital</t>
        </is>
      </c>
      <c r="D8076" t="n">
        <v>48</v>
      </c>
    </row>
    <row r="8077">
      <c r="A8077" t="inlineStr">
        <is>
          <t>ED208246</t>
        </is>
      </c>
      <c r="B8077" s="56" t="n">
        <v>45776.44097222222</v>
      </c>
      <c r="C8077" t="inlineStr">
        <is>
          <t>Bluestone Memorial Hospital</t>
        </is>
      </c>
      <c r="D8077" t="n">
        <v>92</v>
      </c>
    </row>
    <row r="8078">
      <c r="A8078" t="inlineStr">
        <is>
          <t>ED208247</t>
        </is>
      </c>
      <c r="B8078" s="56" t="n">
        <v>45776.50208333333</v>
      </c>
      <c r="C8078" t="inlineStr">
        <is>
          <t>Bluestone Memorial Hospital</t>
        </is>
      </c>
      <c r="D8078" t="n">
        <v>34</v>
      </c>
    </row>
    <row r="8079">
      <c r="A8079" t="inlineStr">
        <is>
          <t>ED208248</t>
        </is>
      </c>
      <c r="B8079" s="56" t="n">
        <v>45776.59097222222</v>
      </c>
      <c r="C8079" t="inlineStr">
        <is>
          <t>Cedar Ridge Medical Center</t>
        </is>
      </c>
      <c r="D8079" t="n">
        <v>28</v>
      </c>
    </row>
    <row r="8080">
      <c r="A8080" t="inlineStr">
        <is>
          <t>ED208249</t>
        </is>
      </c>
      <c r="B8080" s="56" t="n">
        <v>45776.61111111111</v>
      </c>
      <c r="C8080" t="inlineStr">
        <is>
          <t>Bluestone Memorial Hospital</t>
        </is>
      </c>
      <c r="D8080" t="n">
        <v>23</v>
      </c>
    </row>
    <row r="8081">
      <c r="A8081" t="inlineStr">
        <is>
          <t>ED208250</t>
        </is>
      </c>
      <c r="B8081" s="56" t="n">
        <v>45776.84097222222</v>
      </c>
      <c r="C8081" t="inlineStr">
        <is>
          <t>Bluestone Memorial Hospital</t>
        </is>
      </c>
      <c r="D8081" t="n">
        <v>32</v>
      </c>
    </row>
    <row r="8082">
      <c r="A8082" t="inlineStr">
        <is>
          <t>ED208251</t>
        </is>
      </c>
      <c r="B8082" s="56" t="n">
        <v>45776.85277777778</v>
      </c>
      <c r="C8082" t="inlineStr">
        <is>
          <t>Bluestone Memorial Hospital</t>
        </is>
      </c>
      <c r="D8082" t="n">
        <v>17</v>
      </c>
    </row>
    <row r="8083">
      <c r="A8083" t="inlineStr">
        <is>
          <t>ED208252</t>
        </is>
      </c>
      <c r="B8083" s="56" t="n">
        <v>45776.93263888889</v>
      </c>
      <c r="C8083" t="inlineStr">
        <is>
          <t>Ashby Falls Community Hospital</t>
        </is>
      </c>
      <c r="D8083" t="n">
        <v>21</v>
      </c>
    </row>
    <row r="8084">
      <c r="A8084" t="inlineStr">
        <is>
          <t>ED208253</t>
        </is>
      </c>
      <c r="B8084" s="56" t="n">
        <v>45777.02569444444</v>
      </c>
      <c r="C8084" t="inlineStr">
        <is>
          <t>Bluestone Memorial Hospital</t>
        </is>
      </c>
      <c r="D8084" t="n">
        <v>12</v>
      </c>
    </row>
    <row r="8085">
      <c r="A8085" t="inlineStr">
        <is>
          <t>ED208254</t>
        </is>
      </c>
      <c r="B8085" s="56" t="n">
        <v>45777.09236111111</v>
      </c>
      <c r="C8085" t="inlineStr">
        <is>
          <t>Ashby Falls Community Hospital</t>
        </is>
      </c>
      <c r="D8085" t="n">
        <v>9</v>
      </c>
    </row>
    <row r="8086">
      <c r="A8086" t="inlineStr">
        <is>
          <t>ED208255</t>
        </is>
      </c>
      <c r="B8086" s="56" t="n">
        <v>45777.31180555555</v>
      </c>
      <c r="C8086" t="inlineStr">
        <is>
          <t>Ashby Falls Community Hospital</t>
        </is>
      </c>
      <c r="D8086" t="n">
        <v>8</v>
      </c>
    </row>
    <row r="8087">
      <c r="A8087" t="inlineStr">
        <is>
          <t>ED208256</t>
        </is>
      </c>
      <c r="B8087" s="56" t="n">
        <v>45777.40069444444</v>
      </c>
      <c r="C8087" t="inlineStr">
        <is>
          <t>Bluestone Memorial Hospital</t>
        </is>
      </c>
      <c r="D8087" t="n">
        <v>20</v>
      </c>
    </row>
    <row r="8088">
      <c r="A8088" t="inlineStr">
        <is>
          <t>ED208257</t>
        </is>
      </c>
      <c r="B8088" s="56" t="n">
        <v>45777.58472222222</v>
      </c>
      <c r="C8088" t="inlineStr">
        <is>
          <t>Bluestone Memorial Hospital</t>
        </is>
      </c>
      <c r="D8088" t="n">
        <v>24</v>
      </c>
    </row>
    <row r="8089">
      <c r="A8089" t="inlineStr">
        <is>
          <t>ED208258</t>
        </is>
      </c>
      <c r="B8089" s="56" t="n">
        <v>45777.66736111111</v>
      </c>
      <c r="C8089" t="inlineStr">
        <is>
          <t>Bluestone Memorial Hospital</t>
        </is>
      </c>
      <c r="D8089" t="n">
        <v>33</v>
      </c>
    </row>
    <row r="8090">
      <c r="A8090" t="inlineStr">
        <is>
          <t>ED208259</t>
        </is>
      </c>
      <c r="B8090" s="56" t="n">
        <v>45777.75208333333</v>
      </c>
      <c r="C8090" t="inlineStr">
        <is>
          <t>Cedar Ridge Medical Center</t>
        </is>
      </c>
      <c r="D8090" t="n">
        <v>33</v>
      </c>
    </row>
    <row r="8091">
      <c r="A8091" t="inlineStr">
        <is>
          <t>ED208260</t>
        </is>
      </c>
      <c r="B8091" s="56" t="n">
        <v>45777.775</v>
      </c>
      <c r="C8091" t="inlineStr">
        <is>
          <t>Bluestone Memorial Hospital</t>
        </is>
      </c>
      <c r="D8091" t="n">
        <v>29</v>
      </c>
    </row>
    <row r="8092">
      <c r="A8092" t="inlineStr">
        <is>
          <t>ED208261</t>
        </is>
      </c>
      <c r="B8092" s="56" t="n">
        <v>45778.01180555556</v>
      </c>
      <c r="C8092" t="inlineStr">
        <is>
          <t>Bluestone Memorial Hospital</t>
        </is>
      </c>
      <c r="D8092" t="n">
        <v>29</v>
      </c>
    </row>
    <row r="8093">
      <c r="A8093" t="inlineStr">
        <is>
          <t>ED208262</t>
        </is>
      </c>
      <c r="B8093" s="56" t="n">
        <v>45778.0625</v>
      </c>
      <c r="C8093" t="inlineStr">
        <is>
          <t>Cedar Ridge Medical Center</t>
        </is>
      </c>
      <c r="D8093" t="n">
        <v>112</v>
      </c>
    </row>
    <row r="8094">
      <c r="A8094" t="inlineStr">
        <is>
          <t>ED208263</t>
        </is>
      </c>
      <c r="B8094" s="56" t="n">
        <v>45778.1625</v>
      </c>
      <c r="C8094" t="inlineStr">
        <is>
          <t>Bluestone Memorial Hospital</t>
        </is>
      </c>
      <c r="D8094" t="n">
        <v>27</v>
      </c>
    </row>
    <row r="8095">
      <c r="A8095" t="inlineStr">
        <is>
          <t>ED208264</t>
        </is>
      </c>
      <c r="B8095" s="56" t="n">
        <v>45778.19513888889</v>
      </c>
      <c r="C8095" t="inlineStr">
        <is>
          <t>Cedar Ridge Medical Center</t>
        </is>
      </c>
      <c r="D8095" t="n">
        <v>9</v>
      </c>
    </row>
    <row r="8096">
      <c r="A8096" t="inlineStr">
        <is>
          <t>ED208265</t>
        </is>
      </c>
      <c r="B8096" s="56" t="n">
        <v>45778.23194444444</v>
      </c>
      <c r="C8096" t="inlineStr">
        <is>
          <t>Ashby Falls Community Hospital</t>
        </is>
      </c>
      <c r="D8096" t="n">
        <v>16</v>
      </c>
    </row>
    <row r="8097">
      <c r="A8097" t="inlineStr">
        <is>
          <t>ED208266</t>
        </is>
      </c>
      <c r="B8097" s="56" t="n">
        <v>45778.34513888889</v>
      </c>
      <c r="C8097" t="inlineStr">
        <is>
          <t>Bluestone Memorial Hospital</t>
        </is>
      </c>
      <c r="D8097" t="n">
        <v>121</v>
      </c>
    </row>
    <row r="8098">
      <c r="A8098" t="inlineStr">
        <is>
          <t>ED208267</t>
        </is>
      </c>
      <c r="B8098" s="56" t="n">
        <v>45778.39722222222</v>
      </c>
      <c r="C8098" t="inlineStr">
        <is>
          <t>Ashby Falls Community Hospital</t>
        </is>
      </c>
      <c r="D8098" t="n">
        <v>51</v>
      </c>
    </row>
    <row r="8099">
      <c r="A8099" t="inlineStr">
        <is>
          <t>ED208268</t>
        </is>
      </c>
      <c r="B8099" s="56" t="n">
        <v>45778.43125</v>
      </c>
      <c r="C8099" t="inlineStr">
        <is>
          <t>Bluestone Memorial Hospital</t>
        </is>
      </c>
      <c r="D8099" t="n">
        <v>5</v>
      </c>
    </row>
    <row r="8100">
      <c r="A8100" t="inlineStr">
        <is>
          <t>ED208269</t>
        </is>
      </c>
      <c r="B8100" s="56" t="n">
        <v>45778.46041666667</v>
      </c>
      <c r="C8100" t="inlineStr">
        <is>
          <t>Bluestone Memorial Hospital</t>
        </is>
      </c>
      <c r="D8100" t="n">
        <v>16</v>
      </c>
    </row>
    <row r="8101">
      <c r="A8101" t="inlineStr">
        <is>
          <t>ED208270</t>
        </is>
      </c>
      <c r="B8101" s="56" t="n">
        <v>45778.48472222222</v>
      </c>
      <c r="C8101" t="inlineStr">
        <is>
          <t>Bluestone Memorial Hospital</t>
        </is>
      </c>
      <c r="D8101" t="n">
        <v>48</v>
      </c>
    </row>
    <row r="8102">
      <c r="A8102" t="inlineStr">
        <is>
          <t>ED208271</t>
        </is>
      </c>
      <c r="B8102" s="56" t="n">
        <v>45778.48611111111</v>
      </c>
      <c r="C8102" t="inlineStr">
        <is>
          <t>Bluestone Memorial Hospital</t>
        </is>
      </c>
      <c r="D8102" t="n">
        <v>11</v>
      </c>
    </row>
    <row r="8103">
      <c r="A8103" t="inlineStr">
        <is>
          <t>ED208272</t>
        </is>
      </c>
      <c r="B8103" s="56" t="n">
        <v>45778.52777777778</v>
      </c>
      <c r="C8103" t="inlineStr">
        <is>
          <t>Bluestone Memorial Hospital</t>
        </is>
      </c>
      <c r="D8103" t="n">
        <v>46</v>
      </c>
    </row>
    <row r="8104">
      <c r="A8104" t="inlineStr">
        <is>
          <t>ED208273</t>
        </is>
      </c>
      <c r="B8104" s="56" t="n">
        <v>45778.55416666667</v>
      </c>
      <c r="C8104" t="inlineStr">
        <is>
          <t>Ashby Falls Community Hospital</t>
        </is>
      </c>
      <c r="D8104" t="n">
        <v>63</v>
      </c>
    </row>
    <row r="8105">
      <c r="A8105" t="inlineStr">
        <is>
          <t>ED208274</t>
        </is>
      </c>
      <c r="B8105" s="56" t="n">
        <v>45778.64444444444</v>
      </c>
      <c r="C8105" t="inlineStr">
        <is>
          <t>Bluestone Memorial Hospital</t>
        </is>
      </c>
      <c r="D8105" t="n">
        <v>106</v>
      </c>
    </row>
    <row r="8106">
      <c r="A8106" t="inlineStr">
        <is>
          <t>ED208275</t>
        </is>
      </c>
      <c r="B8106" s="56" t="n">
        <v>45778.69166666667</v>
      </c>
      <c r="C8106" t="inlineStr">
        <is>
          <t>Ashby Falls Community Hospital</t>
        </is>
      </c>
      <c r="D8106" t="n">
        <v>29</v>
      </c>
    </row>
    <row r="8107">
      <c r="A8107" t="inlineStr">
        <is>
          <t>ED208276</t>
        </is>
      </c>
      <c r="B8107" s="56" t="n">
        <v>45778.70138888889</v>
      </c>
      <c r="C8107" t="inlineStr">
        <is>
          <t>Bluestone Memorial Hospital</t>
        </is>
      </c>
      <c r="D8107" t="n">
        <v>44</v>
      </c>
    </row>
    <row r="8108">
      <c r="A8108" t="inlineStr">
        <is>
          <t>ED208277</t>
        </is>
      </c>
      <c r="B8108" s="56" t="n">
        <v>45778.74791666667</v>
      </c>
      <c r="C8108" t="inlineStr">
        <is>
          <t>Bluestone Memorial Hospital</t>
        </is>
      </c>
      <c r="D8108" t="n">
        <v>17</v>
      </c>
    </row>
    <row r="8109">
      <c r="A8109" t="inlineStr">
        <is>
          <t>ED208278</t>
        </is>
      </c>
      <c r="B8109" s="56" t="n">
        <v>45778.78194444445</v>
      </c>
      <c r="C8109" t="inlineStr">
        <is>
          <t>Bluestone Memorial Hospital</t>
        </is>
      </c>
      <c r="D8109" t="n">
        <v>10</v>
      </c>
    </row>
    <row r="8110">
      <c r="A8110" t="inlineStr">
        <is>
          <t>ED208279</t>
        </is>
      </c>
      <c r="B8110" s="56" t="n">
        <v>45778.83402777778</v>
      </c>
      <c r="C8110" t="inlineStr">
        <is>
          <t>Bluestone Memorial Hospital</t>
        </is>
      </c>
      <c r="D8110" t="n">
        <v>48</v>
      </c>
    </row>
    <row r="8111">
      <c r="A8111" t="inlineStr">
        <is>
          <t>ED208280</t>
        </is>
      </c>
      <c r="B8111" s="56" t="n">
        <v>45778.86597222222</v>
      </c>
      <c r="C8111" t="inlineStr">
        <is>
          <t>Bluestone Memorial Hospital</t>
        </is>
      </c>
      <c r="D8111" t="n">
        <v>92</v>
      </c>
    </row>
    <row r="8112">
      <c r="A8112" t="inlineStr">
        <is>
          <t>ED208281</t>
        </is>
      </c>
      <c r="B8112" s="56" t="n">
        <v>45778.88611111111</v>
      </c>
      <c r="C8112" t="inlineStr">
        <is>
          <t>Bluestone Memorial Hospital</t>
        </is>
      </c>
      <c r="D8112" t="n">
        <v>26</v>
      </c>
    </row>
    <row r="8113">
      <c r="A8113" t="inlineStr">
        <is>
          <t>ED208282</t>
        </is>
      </c>
      <c r="B8113" s="56" t="n">
        <v>45778.89027777778</v>
      </c>
      <c r="C8113" t="inlineStr">
        <is>
          <t>Bluestone Memorial Hospital</t>
        </is>
      </c>
      <c r="D8113" t="n">
        <v>41</v>
      </c>
    </row>
    <row r="8114">
      <c r="A8114" t="inlineStr">
        <is>
          <t>ED208283</t>
        </is>
      </c>
      <c r="B8114" s="56" t="n">
        <v>45779.05555555555</v>
      </c>
      <c r="C8114" t="inlineStr">
        <is>
          <t>Cedar Ridge Medical Center</t>
        </is>
      </c>
      <c r="D8114" t="n">
        <v>19</v>
      </c>
    </row>
    <row r="8115">
      <c r="A8115" t="inlineStr">
        <is>
          <t>ED208284</t>
        </is>
      </c>
      <c r="B8115" s="56" t="n">
        <v>45779.07638888889</v>
      </c>
      <c r="C8115" t="inlineStr">
        <is>
          <t>Bluestone Memorial Hospital</t>
        </is>
      </c>
      <c r="D8115" t="n">
        <v>38</v>
      </c>
    </row>
    <row r="8116">
      <c r="A8116" t="inlineStr">
        <is>
          <t>ED208285</t>
        </is>
      </c>
      <c r="B8116" s="56" t="n">
        <v>45779.23472222222</v>
      </c>
      <c r="C8116" t="inlineStr">
        <is>
          <t>Bluestone Memorial Hospital</t>
        </is>
      </c>
      <c r="D8116" t="n">
        <v>15</v>
      </c>
    </row>
    <row r="8117">
      <c r="A8117" t="inlineStr">
        <is>
          <t>ED208286</t>
        </is>
      </c>
      <c r="B8117" s="56" t="n">
        <v>45779.25902777778</v>
      </c>
      <c r="C8117" t="inlineStr">
        <is>
          <t>Bluestone Memorial Hospital</t>
        </is>
      </c>
      <c r="D8117" t="n">
        <v>30</v>
      </c>
    </row>
    <row r="8118">
      <c r="A8118" t="inlineStr">
        <is>
          <t>ED208287</t>
        </is>
      </c>
      <c r="B8118" s="56" t="n">
        <v>45779.33680555555</v>
      </c>
      <c r="C8118" t="inlineStr">
        <is>
          <t>Ashby Falls Community Hospital</t>
        </is>
      </c>
      <c r="D8118" t="n">
        <v>38</v>
      </c>
    </row>
    <row r="8119">
      <c r="A8119" t="inlineStr">
        <is>
          <t>ED208288</t>
        </is>
      </c>
      <c r="B8119" s="56" t="n">
        <v>45779.38541666666</v>
      </c>
      <c r="C8119" t="inlineStr">
        <is>
          <t>Bluestone Memorial Hospital</t>
        </is>
      </c>
      <c r="D8119" t="n">
        <v>19</v>
      </c>
    </row>
    <row r="8120">
      <c r="A8120" t="inlineStr">
        <is>
          <t>ED208289</t>
        </is>
      </c>
      <c r="B8120" s="56" t="n">
        <v>45779.42291666667</v>
      </c>
      <c r="C8120" t="inlineStr">
        <is>
          <t>Bluestone Memorial Hospital</t>
        </is>
      </c>
      <c r="D8120" t="n">
        <v>77</v>
      </c>
    </row>
    <row r="8121">
      <c r="A8121" t="inlineStr">
        <is>
          <t>ED208290</t>
        </is>
      </c>
      <c r="B8121" s="56" t="n">
        <v>45779.43472222222</v>
      </c>
      <c r="C8121" t="inlineStr">
        <is>
          <t>Cedar Ridge Medical Center</t>
        </is>
      </c>
      <c r="D8121" t="n">
        <v>19</v>
      </c>
    </row>
    <row r="8122">
      <c r="A8122" t="inlineStr">
        <is>
          <t>ED208291</t>
        </is>
      </c>
      <c r="B8122" s="56" t="n">
        <v>45779.46041666667</v>
      </c>
      <c r="C8122" t="inlineStr">
        <is>
          <t>Bluestone Memorial Hospital</t>
        </is>
      </c>
      <c r="D8122" t="n">
        <v>127</v>
      </c>
    </row>
    <row r="8123">
      <c r="A8123" t="inlineStr">
        <is>
          <t>ED208292</t>
        </is>
      </c>
      <c r="B8123" s="56" t="n">
        <v>45779.47152777778</v>
      </c>
      <c r="C8123" t="inlineStr">
        <is>
          <t>Bluestone Memorial Hospital</t>
        </is>
      </c>
      <c r="D8123" t="n">
        <v>10</v>
      </c>
    </row>
    <row r="8124">
      <c r="A8124" t="inlineStr">
        <is>
          <t>ED208293</t>
        </is>
      </c>
      <c r="B8124" s="56" t="n">
        <v>45779.47708333333</v>
      </c>
      <c r="C8124" t="inlineStr">
        <is>
          <t>Bluestone Memorial Hospital</t>
        </is>
      </c>
      <c r="D8124" t="n">
        <v>117</v>
      </c>
    </row>
    <row r="8125">
      <c r="A8125" t="inlineStr">
        <is>
          <t>ED208294</t>
        </is>
      </c>
      <c r="B8125" s="56" t="n">
        <v>45779.48472222222</v>
      </c>
      <c r="C8125" t="inlineStr">
        <is>
          <t>Bluestone Memorial Hospital</t>
        </is>
      </c>
      <c r="D8125" t="n">
        <v>79</v>
      </c>
    </row>
    <row r="8126">
      <c r="A8126" t="inlineStr">
        <is>
          <t>ED208295</t>
        </is>
      </c>
      <c r="B8126" s="56" t="n">
        <v>45779.51944444444</v>
      </c>
      <c r="C8126" t="inlineStr">
        <is>
          <t>Bluestone Memorial Hospital</t>
        </is>
      </c>
      <c r="D8126" t="n">
        <v>11</v>
      </c>
    </row>
    <row r="8127">
      <c r="A8127" t="inlineStr">
        <is>
          <t>ED208296</t>
        </is>
      </c>
      <c r="B8127" s="56" t="n">
        <v>45779.52708333333</v>
      </c>
      <c r="C8127" t="inlineStr">
        <is>
          <t>Bluestone Memorial Hospital</t>
        </is>
      </c>
      <c r="D8127" t="n">
        <v>77</v>
      </c>
    </row>
    <row r="8128">
      <c r="A8128" t="inlineStr">
        <is>
          <t>ED208297</t>
        </is>
      </c>
      <c r="B8128" s="56" t="n">
        <v>45779.54097222222</v>
      </c>
      <c r="C8128" t="inlineStr">
        <is>
          <t>Bluestone Memorial Hospital</t>
        </is>
      </c>
      <c r="D8128" t="n">
        <v>43</v>
      </c>
    </row>
    <row r="8129">
      <c r="A8129" t="inlineStr">
        <is>
          <t>ED208298</t>
        </is>
      </c>
      <c r="B8129" s="56" t="n">
        <v>45779.54930555556</v>
      </c>
      <c r="C8129" t="inlineStr">
        <is>
          <t>Bluestone Memorial Hospital</t>
        </is>
      </c>
      <c r="D8129" t="n">
        <v>45</v>
      </c>
    </row>
    <row r="8130">
      <c r="A8130" t="inlineStr">
        <is>
          <t>ED208299</t>
        </is>
      </c>
      <c r="B8130" s="56" t="n">
        <v>45779.55972222222</v>
      </c>
      <c r="C8130" t="inlineStr">
        <is>
          <t>Bluestone Memorial Hospital</t>
        </is>
      </c>
      <c r="D8130" t="n">
        <v>12</v>
      </c>
    </row>
    <row r="8131">
      <c r="A8131" t="inlineStr">
        <is>
          <t>ED208300</t>
        </is>
      </c>
      <c r="B8131" s="56" t="n">
        <v>45779.56597222222</v>
      </c>
      <c r="C8131" t="inlineStr">
        <is>
          <t>Bluestone Memorial Hospital</t>
        </is>
      </c>
      <c r="D8131" t="n">
        <v>13</v>
      </c>
    </row>
    <row r="8132">
      <c r="A8132" t="inlineStr">
        <is>
          <t>ED208301</t>
        </is>
      </c>
      <c r="B8132" s="56" t="n">
        <v>45779.59097222222</v>
      </c>
      <c r="C8132" t="inlineStr">
        <is>
          <t>Bluestone Memorial Hospital</t>
        </is>
      </c>
      <c r="D8132" t="n">
        <v>20</v>
      </c>
    </row>
    <row r="8133">
      <c r="A8133" t="inlineStr">
        <is>
          <t>ED208302</t>
        </is>
      </c>
      <c r="B8133" s="56" t="n">
        <v>45779.59097222222</v>
      </c>
      <c r="C8133" t="inlineStr">
        <is>
          <t>Ashby Falls Community Hospital</t>
        </is>
      </c>
      <c r="D8133" t="n">
        <v>14</v>
      </c>
    </row>
    <row r="8134">
      <c r="A8134" t="inlineStr">
        <is>
          <t>ED208303</t>
        </is>
      </c>
      <c r="B8134" s="56" t="n">
        <v>45779.60694444444</v>
      </c>
      <c r="C8134" t="inlineStr">
        <is>
          <t>Bluestone Memorial Hospital</t>
        </is>
      </c>
      <c r="D8134" t="n">
        <v>35</v>
      </c>
    </row>
    <row r="8135">
      <c r="A8135" t="inlineStr">
        <is>
          <t>ED208304</t>
        </is>
      </c>
      <c r="B8135" s="56" t="n">
        <v>45779.62152777778</v>
      </c>
      <c r="C8135" t="inlineStr">
        <is>
          <t>Bluestone Memorial Hospital</t>
        </is>
      </c>
      <c r="D8135" t="n">
        <v>1</v>
      </c>
    </row>
    <row r="8136">
      <c r="A8136" t="inlineStr">
        <is>
          <t>ED208305</t>
        </is>
      </c>
      <c r="B8136" s="56" t="n">
        <v>45779.675</v>
      </c>
      <c r="C8136" t="inlineStr">
        <is>
          <t>Bluestone Memorial Hospital</t>
        </is>
      </c>
      <c r="D8136" t="n">
        <v>43</v>
      </c>
    </row>
    <row r="8137">
      <c r="A8137" t="inlineStr">
        <is>
          <t>ED208306</t>
        </is>
      </c>
      <c r="B8137" s="56" t="n">
        <v>45779.69791666666</v>
      </c>
      <c r="C8137" t="inlineStr">
        <is>
          <t>Bluestone Memorial Hospital</t>
        </is>
      </c>
      <c r="D8137" t="n">
        <v>18</v>
      </c>
    </row>
    <row r="8138">
      <c r="A8138" t="inlineStr">
        <is>
          <t>ED208307</t>
        </is>
      </c>
      <c r="B8138" s="56" t="n">
        <v>45779.72430555556</v>
      </c>
      <c r="C8138" t="inlineStr">
        <is>
          <t>Bluestone Memorial Hospital</t>
        </is>
      </c>
      <c r="D8138" t="n">
        <v>68</v>
      </c>
    </row>
    <row r="8139">
      <c r="A8139" t="inlineStr">
        <is>
          <t>ED208308</t>
        </is>
      </c>
      <c r="B8139" s="56" t="n">
        <v>45779.77847222222</v>
      </c>
      <c r="C8139" t="inlineStr">
        <is>
          <t>Bluestone Memorial Hospital</t>
        </is>
      </c>
      <c r="D8139" t="n">
        <v>20</v>
      </c>
    </row>
    <row r="8140">
      <c r="A8140" t="inlineStr">
        <is>
          <t>ED208309</t>
        </is>
      </c>
      <c r="B8140" s="56" t="n">
        <v>45779.83472222222</v>
      </c>
      <c r="C8140" t="inlineStr">
        <is>
          <t>Ashby Falls Community Hospital</t>
        </is>
      </c>
      <c r="D8140" t="n">
        <v>24</v>
      </c>
    </row>
    <row r="8141">
      <c r="A8141" t="inlineStr">
        <is>
          <t>ED208310</t>
        </is>
      </c>
      <c r="B8141" s="56" t="n">
        <v>45779.87291666667</v>
      </c>
      <c r="C8141" t="inlineStr">
        <is>
          <t>Bluestone Memorial Hospital</t>
        </is>
      </c>
      <c r="D8141" t="n">
        <v>76</v>
      </c>
    </row>
    <row r="8142">
      <c r="A8142" t="inlineStr">
        <is>
          <t>ED208311</t>
        </is>
      </c>
      <c r="B8142" s="56" t="n">
        <v>45780.06666666667</v>
      </c>
      <c r="C8142" t="inlineStr">
        <is>
          <t>Bluestone Memorial Hospital</t>
        </is>
      </c>
      <c r="D8142" t="n">
        <v>19</v>
      </c>
    </row>
    <row r="8143">
      <c r="A8143" t="inlineStr">
        <is>
          <t>ED208312</t>
        </is>
      </c>
      <c r="B8143" s="56" t="n">
        <v>45780.46388888889</v>
      </c>
      <c r="C8143" t="inlineStr">
        <is>
          <t>Bluestone Memorial Hospital</t>
        </is>
      </c>
      <c r="D8143" t="n">
        <v>87</v>
      </c>
    </row>
    <row r="8144">
      <c r="A8144" t="inlineStr">
        <is>
          <t>ED208313</t>
        </is>
      </c>
      <c r="B8144" s="56" t="n">
        <v>45780.48680555556</v>
      </c>
      <c r="C8144" t="inlineStr">
        <is>
          <t>Bluestone Memorial Hospital</t>
        </is>
      </c>
      <c r="D8144" t="n">
        <v>12</v>
      </c>
    </row>
    <row r="8145">
      <c r="A8145" t="inlineStr">
        <is>
          <t>ED208314</t>
        </is>
      </c>
      <c r="B8145" s="56" t="n">
        <v>45780.49791666667</v>
      </c>
      <c r="C8145" t="inlineStr">
        <is>
          <t>Ashby Falls Community Hospital</t>
        </is>
      </c>
      <c r="D8145" t="n">
        <v>79</v>
      </c>
    </row>
    <row r="8146">
      <c r="A8146" t="inlineStr">
        <is>
          <t>ED208315</t>
        </is>
      </c>
      <c r="B8146" s="56" t="n">
        <v>45780.56805555556</v>
      </c>
      <c r="C8146" t="inlineStr">
        <is>
          <t>Bluestone Memorial Hospital</t>
        </is>
      </c>
      <c r="D8146" t="n">
        <v>13</v>
      </c>
    </row>
    <row r="8147">
      <c r="A8147" t="inlineStr">
        <is>
          <t>ED208316</t>
        </is>
      </c>
      <c r="B8147" s="56" t="n">
        <v>45780.58402777778</v>
      </c>
      <c r="C8147" t="inlineStr">
        <is>
          <t>Ashby Falls Community Hospital</t>
        </is>
      </c>
      <c r="D8147" t="n">
        <v>34</v>
      </c>
    </row>
    <row r="8148">
      <c r="A8148" t="inlineStr">
        <is>
          <t>ED208318</t>
        </is>
      </c>
      <c r="B8148" s="56" t="n">
        <v>45780.72777777778</v>
      </c>
      <c r="C8148" t="inlineStr">
        <is>
          <t>Bluestone Memorial Hospital</t>
        </is>
      </c>
      <c r="D8148" t="n">
        <v>113</v>
      </c>
    </row>
    <row r="8149">
      <c r="A8149" t="inlineStr">
        <is>
          <t>ED208319</t>
        </is>
      </c>
      <c r="B8149" s="56" t="n">
        <v>45780.82986111111</v>
      </c>
      <c r="C8149" t="inlineStr">
        <is>
          <t>Ashby Falls Community Hospital</t>
        </is>
      </c>
      <c r="D8149" t="n">
        <v>71</v>
      </c>
    </row>
    <row r="8150">
      <c r="A8150" t="inlineStr">
        <is>
          <t>ED208320</t>
        </is>
      </c>
      <c r="B8150" s="56" t="n">
        <v>45780.83333333334</v>
      </c>
      <c r="C8150" t="inlineStr">
        <is>
          <t>Bluestone Memorial Hospital</t>
        </is>
      </c>
      <c r="D8150" t="n">
        <v>28</v>
      </c>
    </row>
    <row r="8151">
      <c r="A8151" t="inlineStr">
        <is>
          <t>ED208321</t>
        </is>
      </c>
      <c r="B8151" s="56" t="n">
        <v>45780.89305555556</v>
      </c>
      <c r="C8151" t="inlineStr">
        <is>
          <t>Bluestone Memorial Hospital</t>
        </is>
      </c>
      <c r="D8151" t="n">
        <v>13</v>
      </c>
    </row>
    <row r="8152">
      <c r="A8152" t="inlineStr">
        <is>
          <t>ED208322</t>
        </is>
      </c>
      <c r="B8152" s="56" t="n">
        <v>45780.93055555555</v>
      </c>
      <c r="C8152" t="inlineStr">
        <is>
          <t>Ashby Falls Community Hospital</t>
        </is>
      </c>
      <c r="D8152" t="n">
        <v>86</v>
      </c>
    </row>
    <row r="8153">
      <c r="A8153" t="inlineStr">
        <is>
          <t>ED208323</t>
        </is>
      </c>
      <c r="B8153" s="56" t="n">
        <v>45780.94166666667</v>
      </c>
      <c r="C8153" t="inlineStr">
        <is>
          <t>Bluestone Memorial Hospital</t>
        </is>
      </c>
      <c r="D8153" t="n">
        <v>9</v>
      </c>
    </row>
    <row r="8154">
      <c r="A8154" t="inlineStr">
        <is>
          <t>ED208324</t>
        </is>
      </c>
      <c r="B8154" s="56" t="n">
        <v>45780.96527777778</v>
      </c>
      <c r="C8154" t="inlineStr">
        <is>
          <t>Bluestone Memorial Hospital</t>
        </is>
      </c>
      <c r="D8154" t="n">
        <v>27</v>
      </c>
    </row>
    <row r="8155">
      <c r="A8155" t="inlineStr">
        <is>
          <t>ED208325</t>
        </is>
      </c>
      <c r="B8155" s="56" t="n">
        <v>45781.31666666667</v>
      </c>
      <c r="C8155" t="inlineStr">
        <is>
          <t>Bluestone Memorial Hospital</t>
        </is>
      </c>
      <c r="D8155" t="n">
        <v>25</v>
      </c>
    </row>
    <row r="8156">
      <c r="A8156" t="inlineStr">
        <is>
          <t>ED208326</t>
        </is>
      </c>
      <c r="B8156" s="56" t="n">
        <v>45781.45972222222</v>
      </c>
      <c r="C8156" t="inlineStr">
        <is>
          <t>Bluestone Memorial Hospital</t>
        </is>
      </c>
      <c r="D8156" t="n">
        <v>67</v>
      </c>
    </row>
    <row r="8157">
      <c r="A8157" t="inlineStr">
        <is>
          <t>ED208327</t>
        </is>
      </c>
      <c r="B8157" s="56" t="n">
        <v>45781.50555555556</v>
      </c>
      <c r="C8157" t="inlineStr">
        <is>
          <t>Bluestone Memorial Hospital</t>
        </is>
      </c>
      <c r="D8157" t="n">
        <v>145</v>
      </c>
    </row>
    <row r="8158">
      <c r="A8158" t="inlineStr">
        <is>
          <t>ED208328</t>
        </is>
      </c>
      <c r="B8158" s="56" t="n">
        <v>45781.51041666666</v>
      </c>
      <c r="C8158" t="inlineStr">
        <is>
          <t>Ashby Falls Community Hospital</t>
        </is>
      </c>
      <c r="D8158" t="n">
        <v>66</v>
      </c>
    </row>
    <row r="8159">
      <c r="A8159" t="inlineStr">
        <is>
          <t>ED208329</t>
        </is>
      </c>
      <c r="B8159" s="56" t="n">
        <v>45781.53611111111</v>
      </c>
      <c r="C8159" t="inlineStr">
        <is>
          <t>Ashby Falls Community Hospital</t>
        </is>
      </c>
      <c r="D8159" t="n">
        <v>41</v>
      </c>
    </row>
    <row r="8160">
      <c r="A8160" t="inlineStr">
        <is>
          <t>ED208330</t>
        </is>
      </c>
      <c r="B8160" s="56" t="n">
        <v>45781.55625</v>
      </c>
      <c r="C8160" t="inlineStr">
        <is>
          <t>Ashby Falls Community Hospital</t>
        </is>
      </c>
      <c r="D8160" t="n">
        <v>50</v>
      </c>
    </row>
    <row r="8161">
      <c r="A8161" t="inlineStr">
        <is>
          <t>ED208331</t>
        </is>
      </c>
      <c r="B8161" s="56" t="n">
        <v>45781.56944444445</v>
      </c>
      <c r="C8161" t="inlineStr">
        <is>
          <t>Ashby Falls Community Hospital</t>
        </is>
      </c>
      <c r="D8161" t="n">
        <v>22</v>
      </c>
    </row>
    <row r="8162">
      <c r="A8162" t="inlineStr">
        <is>
          <t>ED208332</t>
        </is>
      </c>
      <c r="B8162" s="56" t="n">
        <v>45781.58402777778</v>
      </c>
      <c r="C8162" t="inlineStr">
        <is>
          <t>Ashby Falls Community Hospital</t>
        </is>
      </c>
      <c r="D8162" t="n">
        <v>12</v>
      </c>
    </row>
    <row r="8163">
      <c r="A8163" t="inlineStr">
        <is>
          <t>ED208333</t>
        </is>
      </c>
      <c r="B8163" s="56" t="n">
        <v>45781.59166666667</v>
      </c>
      <c r="C8163" t="inlineStr">
        <is>
          <t>Bluestone Memorial Hospital</t>
        </is>
      </c>
      <c r="D8163" t="n">
        <v>25</v>
      </c>
    </row>
    <row r="8164">
      <c r="A8164" t="inlineStr">
        <is>
          <t>ED208334</t>
        </is>
      </c>
      <c r="B8164" s="56" t="n">
        <v>45781.63125</v>
      </c>
      <c r="C8164" t="inlineStr">
        <is>
          <t>Bluestone Memorial Hospital</t>
        </is>
      </c>
      <c r="D8164" t="n">
        <v>46</v>
      </c>
    </row>
    <row r="8165">
      <c r="A8165" t="inlineStr">
        <is>
          <t>ED208335</t>
        </is>
      </c>
      <c r="B8165" s="56" t="n">
        <v>45781.65763888889</v>
      </c>
      <c r="C8165" t="inlineStr">
        <is>
          <t>Bluestone Memorial Hospital</t>
        </is>
      </c>
      <c r="D8165" t="n">
        <v>30</v>
      </c>
    </row>
    <row r="8166">
      <c r="A8166" t="inlineStr">
        <is>
          <t>ED208336</t>
        </is>
      </c>
      <c r="B8166" s="56" t="n">
        <v>45781.6625</v>
      </c>
      <c r="C8166" t="inlineStr">
        <is>
          <t>Ashby Falls Community Hospital</t>
        </is>
      </c>
      <c r="D8166" t="n">
        <v>24</v>
      </c>
    </row>
    <row r="8167">
      <c r="A8167" t="inlineStr">
        <is>
          <t>ED208337</t>
        </is>
      </c>
      <c r="B8167" s="56" t="n">
        <v>45781.68472222222</v>
      </c>
      <c r="C8167" t="inlineStr">
        <is>
          <t>Cedar Ridge Medical Center</t>
        </is>
      </c>
      <c r="D8167" t="n">
        <v>30</v>
      </c>
    </row>
    <row r="8168">
      <c r="A8168" t="inlineStr">
        <is>
          <t>ED208338</t>
        </is>
      </c>
      <c r="B8168" s="56" t="n">
        <v>45781.78888888889</v>
      </c>
      <c r="C8168" t="inlineStr">
        <is>
          <t>Cedar Ridge Medical Center</t>
        </is>
      </c>
      <c r="D8168" t="n">
        <v>113</v>
      </c>
    </row>
    <row r="8169">
      <c r="A8169" t="inlineStr">
        <is>
          <t>ED208339</t>
        </is>
      </c>
      <c r="B8169" s="56" t="n">
        <v>45782</v>
      </c>
      <c r="C8169" t="inlineStr">
        <is>
          <t>Bluestone Memorial Hospital</t>
        </is>
      </c>
      <c r="D8169" t="n">
        <v>40</v>
      </c>
    </row>
    <row r="8170">
      <c r="A8170" t="inlineStr">
        <is>
          <t>ED208340</t>
        </is>
      </c>
      <c r="B8170" s="56" t="n">
        <v>45782.05277777778</v>
      </c>
      <c r="C8170" t="inlineStr">
        <is>
          <t>Bluestone Memorial Hospital</t>
        </is>
      </c>
      <c r="D8170" t="n">
        <v>19</v>
      </c>
    </row>
    <row r="8171">
      <c r="A8171" t="inlineStr">
        <is>
          <t>ED208341</t>
        </is>
      </c>
      <c r="B8171" s="56" t="n">
        <v>45782.19097222222</v>
      </c>
      <c r="C8171" t="inlineStr">
        <is>
          <t>Cedar Ridge Medical Center</t>
        </is>
      </c>
      <c r="D8171" t="n">
        <v>20</v>
      </c>
    </row>
    <row r="8172">
      <c r="A8172" t="inlineStr">
        <is>
          <t>ED208342</t>
        </is>
      </c>
      <c r="B8172" s="56" t="n">
        <v>45782.2</v>
      </c>
      <c r="C8172" t="inlineStr">
        <is>
          <t>Bluestone Memorial Hospital</t>
        </is>
      </c>
      <c r="D8172" t="n">
        <v>12</v>
      </c>
    </row>
    <row r="8173">
      <c r="A8173" t="inlineStr">
        <is>
          <t>ED208343</t>
        </is>
      </c>
      <c r="B8173" s="56" t="n">
        <v>45782.2625</v>
      </c>
      <c r="C8173" t="inlineStr">
        <is>
          <t>Cedar Ridge Medical Center</t>
        </is>
      </c>
      <c r="D8173" t="n">
        <v>21</v>
      </c>
    </row>
    <row r="8174">
      <c r="A8174" t="inlineStr">
        <is>
          <t>ED208344</t>
        </is>
      </c>
      <c r="B8174" s="56" t="n">
        <v>45782.34305555555</v>
      </c>
      <c r="C8174" t="inlineStr">
        <is>
          <t>Bluestone Memorial Hospital</t>
        </is>
      </c>
      <c r="D8174" t="n">
        <v>70</v>
      </c>
    </row>
    <row r="8175">
      <c r="A8175" t="inlineStr">
        <is>
          <t>ED208345</t>
        </is>
      </c>
      <c r="B8175" s="56" t="n">
        <v>45782.40416666667</v>
      </c>
      <c r="C8175" t="inlineStr">
        <is>
          <t>Ashby Falls Community Hospital</t>
        </is>
      </c>
      <c r="D8175" t="n">
        <v>80</v>
      </c>
    </row>
    <row r="8176">
      <c r="A8176" t="inlineStr">
        <is>
          <t>ED208346</t>
        </is>
      </c>
      <c r="B8176" s="56" t="n">
        <v>45782.43055555555</v>
      </c>
      <c r="C8176" t="inlineStr">
        <is>
          <t>Cedar Ridge Medical Center</t>
        </is>
      </c>
      <c r="D8176" t="n">
        <v>9</v>
      </c>
    </row>
    <row r="8177">
      <c r="A8177" t="inlineStr">
        <is>
          <t>ED208347</t>
        </is>
      </c>
      <c r="B8177" s="56" t="n">
        <v>45782.4625</v>
      </c>
      <c r="C8177" t="inlineStr">
        <is>
          <t>Bluestone Memorial Hospital</t>
        </is>
      </c>
      <c r="D8177" t="n">
        <v>30</v>
      </c>
    </row>
    <row r="8178">
      <c r="A8178" t="inlineStr">
        <is>
          <t>ED208348</t>
        </is>
      </c>
      <c r="B8178" s="56" t="n">
        <v>45782.48125</v>
      </c>
      <c r="C8178" t="inlineStr">
        <is>
          <t>Bluestone Memorial Hospital</t>
        </is>
      </c>
      <c r="D8178" t="n">
        <v>23</v>
      </c>
    </row>
    <row r="8179">
      <c r="A8179" t="inlineStr">
        <is>
          <t>ED208349</t>
        </is>
      </c>
      <c r="B8179" s="56" t="n">
        <v>45782.54305555556</v>
      </c>
      <c r="C8179" t="inlineStr">
        <is>
          <t>Bluestone Memorial Hospital</t>
        </is>
      </c>
      <c r="D8179" t="n">
        <v>32</v>
      </c>
    </row>
    <row r="8180">
      <c r="A8180" t="inlineStr">
        <is>
          <t>ED208350</t>
        </is>
      </c>
      <c r="B8180" s="56" t="n">
        <v>45782.56180555555</v>
      </c>
      <c r="C8180" t="inlineStr">
        <is>
          <t>Bluestone Memorial Hospital</t>
        </is>
      </c>
      <c r="D8180" t="n">
        <v>21</v>
      </c>
    </row>
    <row r="8181">
      <c r="A8181" t="inlineStr">
        <is>
          <t>ED208351</t>
        </is>
      </c>
      <c r="B8181" s="56" t="n">
        <v>45782.65347222222</v>
      </c>
      <c r="C8181" t="inlineStr">
        <is>
          <t>Ashby Falls Community Hospital</t>
        </is>
      </c>
      <c r="D8181" t="n">
        <v>21</v>
      </c>
    </row>
    <row r="8182">
      <c r="A8182" t="inlineStr">
        <is>
          <t>ED208352</t>
        </is>
      </c>
      <c r="B8182" s="56" t="n">
        <v>45782.66180555556</v>
      </c>
      <c r="C8182" t="inlineStr">
        <is>
          <t>Bluestone Memorial Hospital</t>
        </is>
      </c>
      <c r="D8182" t="n">
        <v>70</v>
      </c>
    </row>
    <row r="8183">
      <c r="A8183" t="inlineStr">
        <is>
          <t>ED208353</t>
        </is>
      </c>
      <c r="B8183" s="56" t="n">
        <v>45782.68333333333</v>
      </c>
      <c r="C8183" t="inlineStr">
        <is>
          <t>Ashby Falls Community Hospital</t>
        </is>
      </c>
      <c r="D8183" t="n">
        <v>97</v>
      </c>
    </row>
    <row r="8184">
      <c r="A8184" t="inlineStr">
        <is>
          <t>ED208354</t>
        </is>
      </c>
      <c r="B8184" s="56" t="n">
        <v>45782.69861111111</v>
      </c>
      <c r="C8184" t="inlineStr">
        <is>
          <t>Bluestone Memorial Hospital</t>
        </is>
      </c>
      <c r="D8184" t="n">
        <v>98</v>
      </c>
    </row>
    <row r="8185">
      <c r="A8185" t="inlineStr">
        <is>
          <t>ED208355</t>
        </is>
      </c>
      <c r="B8185" s="56" t="n">
        <v>45782.73819444444</v>
      </c>
      <c r="C8185" t="inlineStr">
        <is>
          <t>Bluestone Memorial Hospital</t>
        </is>
      </c>
      <c r="D8185" t="n">
        <v>91</v>
      </c>
    </row>
    <row r="8186">
      <c r="A8186" t="inlineStr">
        <is>
          <t>ED208356</t>
        </is>
      </c>
      <c r="B8186" s="56" t="n">
        <v>45782.76041666666</v>
      </c>
      <c r="C8186" t="inlineStr">
        <is>
          <t>Bluestone Memorial Hospital</t>
        </is>
      </c>
      <c r="D8186" t="n">
        <v>25</v>
      </c>
    </row>
    <row r="8187">
      <c r="A8187" t="inlineStr">
        <is>
          <t>ED208357</t>
        </is>
      </c>
      <c r="B8187" s="56" t="n">
        <v>45782.76736111111</v>
      </c>
      <c r="C8187" t="inlineStr">
        <is>
          <t>Bluestone Memorial Hospital</t>
        </is>
      </c>
      <c r="D8187" t="n">
        <v>137</v>
      </c>
    </row>
    <row r="8188">
      <c r="A8188" t="inlineStr">
        <is>
          <t>ED208358</t>
        </is>
      </c>
      <c r="B8188" s="56" t="n">
        <v>45782.77083333334</v>
      </c>
      <c r="C8188" t="inlineStr">
        <is>
          <t>Bluestone Memorial Hospital</t>
        </is>
      </c>
      <c r="D8188" t="n">
        <v>14</v>
      </c>
    </row>
    <row r="8189">
      <c r="A8189" t="inlineStr">
        <is>
          <t>ED208359</t>
        </is>
      </c>
      <c r="B8189" s="56" t="n">
        <v>45782.79583333333</v>
      </c>
      <c r="C8189" t="inlineStr">
        <is>
          <t>Bluestone Memorial Hospital</t>
        </is>
      </c>
      <c r="D8189" t="n">
        <v>5</v>
      </c>
    </row>
    <row r="8190">
      <c r="A8190" t="inlineStr">
        <is>
          <t>ED208360</t>
        </is>
      </c>
      <c r="B8190" s="56" t="n">
        <v>45782.81597222222</v>
      </c>
      <c r="C8190" t="inlineStr">
        <is>
          <t>Cedar Ridge Medical Center</t>
        </is>
      </c>
      <c r="D8190" t="n">
        <v>80</v>
      </c>
    </row>
    <row r="8191">
      <c r="A8191" t="inlineStr">
        <is>
          <t>ED208361</t>
        </is>
      </c>
      <c r="B8191" s="56" t="n">
        <v>45782.82222222222</v>
      </c>
      <c r="C8191" t="inlineStr">
        <is>
          <t>Cedar Ridge Medical Center</t>
        </is>
      </c>
      <c r="D8191" t="n">
        <v>62</v>
      </c>
    </row>
    <row r="8192">
      <c r="A8192" t="inlineStr">
        <is>
          <t>ED208362</t>
        </is>
      </c>
      <c r="B8192" s="56" t="n">
        <v>45782.82916666667</v>
      </c>
      <c r="C8192" t="inlineStr">
        <is>
          <t>Bluestone Memorial Hospital</t>
        </is>
      </c>
      <c r="D8192" t="n">
        <v>67</v>
      </c>
    </row>
    <row r="8193">
      <c r="A8193" t="inlineStr">
        <is>
          <t>ED208363</t>
        </is>
      </c>
      <c r="B8193" s="56" t="n">
        <v>45782.87986111111</v>
      </c>
      <c r="C8193" t="inlineStr">
        <is>
          <t>Bluestone Memorial Hospital</t>
        </is>
      </c>
      <c r="D8193" t="n">
        <v>30</v>
      </c>
    </row>
    <row r="8194">
      <c r="A8194" t="inlineStr">
        <is>
          <t>ED208364</t>
        </is>
      </c>
      <c r="B8194" s="56" t="n">
        <v>45782.9</v>
      </c>
      <c r="C8194" t="inlineStr">
        <is>
          <t>Bluestone Memorial Hospital</t>
        </is>
      </c>
      <c r="D8194" t="n">
        <v>18</v>
      </c>
    </row>
    <row r="8195">
      <c r="A8195" t="inlineStr">
        <is>
          <t>ED208365</t>
        </is>
      </c>
      <c r="B8195" s="56" t="n">
        <v>45782.99930555555</v>
      </c>
      <c r="C8195" t="inlineStr">
        <is>
          <t>Bluestone Memorial Hospital</t>
        </is>
      </c>
      <c r="D8195" t="n">
        <v>19</v>
      </c>
    </row>
    <row r="8196">
      <c r="A8196" t="inlineStr">
        <is>
          <t>ED208366</t>
        </is>
      </c>
      <c r="B8196" s="56" t="n">
        <v>45783.00833333333</v>
      </c>
      <c r="C8196" t="inlineStr">
        <is>
          <t>Bluestone Memorial Hospital</t>
        </is>
      </c>
      <c r="D8196" t="n">
        <v>33</v>
      </c>
    </row>
    <row r="8197">
      <c r="A8197" t="inlineStr">
        <is>
          <t>ED208367</t>
        </is>
      </c>
      <c r="B8197" s="56" t="n">
        <v>45783.02430555555</v>
      </c>
      <c r="C8197" t="inlineStr">
        <is>
          <t>Ashby Falls Community Hospital</t>
        </is>
      </c>
      <c r="D8197" t="n">
        <v>6</v>
      </c>
    </row>
    <row r="8198">
      <c r="A8198" t="inlineStr">
        <is>
          <t>ED208368</t>
        </is>
      </c>
      <c r="B8198" s="56" t="n">
        <v>45783.05416666667</v>
      </c>
      <c r="C8198" t="inlineStr">
        <is>
          <t>Cedar Ridge Medical Center</t>
        </is>
      </c>
      <c r="D8198" t="n">
        <v>11</v>
      </c>
    </row>
    <row r="8199">
      <c r="A8199" t="inlineStr">
        <is>
          <t>ED208369</t>
        </is>
      </c>
      <c r="B8199" s="56" t="n">
        <v>45783.14097222222</v>
      </c>
      <c r="C8199" t="inlineStr">
        <is>
          <t>Bluestone Memorial Hospital</t>
        </is>
      </c>
      <c r="D8199" t="n">
        <v>27</v>
      </c>
    </row>
    <row r="8200">
      <c r="A8200" t="inlineStr">
        <is>
          <t>ED208370</t>
        </is>
      </c>
      <c r="B8200" s="56" t="n">
        <v>45783.18541666667</v>
      </c>
      <c r="C8200" t="inlineStr">
        <is>
          <t>Bluestone Memorial Hospital</t>
        </is>
      </c>
      <c r="D8200" t="n">
        <v>9</v>
      </c>
    </row>
    <row r="8201">
      <c r="A8201" t="inlineStr">
        <is>
          <t>ED208371</t>
        </is>
      </c>
      <c r="B8201" s="56" t="n">
        <v>45783.24861111111</v>
      </c>
      <c r="C8201" t="inlineStr">
        <is>
          <t>Bluestone Memorial Hospital</t>
        </is>
      </c>
      <c r="D8201" t="n">
        <v>17</v>
      </c>
    </row>
    <row r="8202">
      <c r="A8202" t="inlineStr">
        <is>
          <t>ED208372</t>
        </is>
      </c>
      <c r="B8202" s="56" t="n">
        <v>45783.26805555556</v>
      </c>
      <c r="C8202" t="inlineStr">
        <is>
          <t>Bluestone Memorial Hospital</t>
        </is>
      </c>
      <c r="D8202" t="n">
        <v>41</v>
      </c>
    </row>
    <row r="8203">
      <c r="A8203" t="inlineStr">
        <is>
          <t>ED208373</t>
        </is>
      </c>
      <c r="B8203" s="56" t="n">
        <v>45783.31180555555</v>
      </c>
      <c r="C8203" t="inlineStr">
        <is>
          <t>Bluestone Memorial Hospital</t>
        </is>
      </c>
      <c r="D8203" t="n">
        <v>37</v>
      </c>
    </row>
    <row r="8204">
      <c r="A8204" t="inlineStr">
        <is>
          <t>ED208374</t>
        </is>
      </c>
      <c r="B8204" s="56" t="n">
        <v>45783.35972222222</v>
      </c>
      <c r="C8204" t="inlineStr">
        <is>
          <t>Bluestone Memorial Hospital</t>
        </is>
      </c>
      <c r="D8204" t="n">
        <v>40</v>
      </c>
    </row>
    <row r="8205">
      <c r="A8205" t="inlineStr">
        <is>
          <t>ED208375</t>
        </is>
      </c>
      <c r="B8205" s="56" t="n">
        <v>45783.37361111111</v>
      </c>
      <c r="C8205" t="inlineStr">
        <is>
          <t>Bluestone Memorial Hospital</t>
        </is>
      </c>
      <c r="D8205" t="n">
        <v>36</v>
      </c>
    </row>
    <row r="8206">
      <c r="A8206" t="inlineStr">
        <is>
          <t>ED208376</t>
        </is>
      </c>
      <c r="B8206" s="56" t="n">
        <v>45783.43819444445</v>
      </c>
      <c r="C8206" t="inlineStr">
        <is>
          <t>Bluestone Memorial Hospital</t>
        </is>
      </c>
      <c r="D8206" t="n">
        <v>9</v>
      </c>
    </row>
    <row r="8207">
      <c r="A8207" t="inlineStr">
        <is>
          <t>ED208377</t>
        </is>
      </c>
      <c r="B8207" s="56" t="n">
        <v>45783.56388888889</v>
      </c>
      <c r="C8207" t="inlineStr">
        <is>
          <t>Bluestone Memorial Hospital</t>
        </is>
      </c>
      <c r="D8207" t="n">
        <v>74</v>
      </c>
    </row>
    <row r="8208">
      <c r="A8208" t="inlineStr">
        <is>
          <t>ED208378</t>
        </is>
      </c>
      <c r="B8208" s="56" t="n">
        <v>45783.56527777778</v>
      </c>
      <c r="C8208" t="inlineStr">
        <is>
          <t>Cedar Ridge Medical Center</t>
        </is>
      </c>
      <c r="D8208" t="n">
        <v>35</v>
      </c>
    </row>
    <row r="8209">
      <c r="A8209" t="inlineStr">
        <is>
          <t>ED208380</t>
        </is>
      </c>
      <c r="B8209" s="56" t="n">
        <v>45783.65972222222</v>
      </c>
      <c r="C8209" t="inlineStr">
        <is>
          <t>Bluestone Memorial Hospital</t>
        </is>
      </c>
      <c r="D8209" t="n">
        <v>63</v>
      </c>
    </row>
    <row r="8210">
      <c r="A8210" t="inlineStr">
        <is>
          <t>ED208381</t>
        </is>
      </c>
      <c r="B8210" s="56" t="n">
        <v>45783.6875</v>
      </c>
      <c r="C8210" t="inlineStr">
        <is>
          <t>Bluestone Memorial Hospital</t>
        </is>
      </c>
      <c r="D8210" t="n">
        <v>57</v>
      </c>
    </row>
    <row r="8211">
      <c r="A8211" t="inlineStr">
        <is>
          <t>ED208382</t>
        </is>
      </c>
      <c r="B8211" s="56" t="n">
        <v>45783.70138888889</v>
      </c>
      <c r="C8211" t="inlineStr">
        <is>
          <t>Bluestone Memorial Hospital</t>
        </is>
      </c>
      <c r="D8211" t="n">
        <v>23</v>
      </c>
    </row>
    <row r="8212">
      <c r="A8212" t="inlineStr">
        <is>
          <t>ED208383</t>
        </is>
      </c>
      <c r="B8212" s="56" t="n">
        <v>45783.72569444445</v>
      </c>
      <c r="C8212" t="inlineStr">
        <is>
          <t>Bluestone Memorial Hospital</t>
        </is>
      </c>
      <c r="D8212" t="n">
        <v>3</v>
      </c>
    </row>
    <row r="8213">
      <c r="A8213" t="inlineStr">
        <is>
          <t>ED208384</t>
        </is>
      </c>
      <c r="B8213" s="56" t="n">
        <v>45783.82152777778</v>
      </c>
      <c r="C8213" t="inlineStr">
        <is>
          <t>Bluestone Memorial Hospital</t>
        </is>
      </c>
      <c r="D8213" t="n">
        <v>215</v>
      </c>
    </row>
    <row r="8214">
      <c r="A8214" t="inlineStr">
        <is>
          <t>ED208385</t>
        </is>
      </c>
      <c r="B8214" s="56" t="n">
        <v>45783.82986111111</v>
      </c>
      <c r="C8214" t="inlineStr">
        <is>
          <t>Cedar Ridge Medical Center</t>
        </is>
      </c>
      <c r="D8214" t="n">
        <v>42</v>
      </c>
    </row>
    <row r="8215">
      <c r="A8215" t="inlineStr">
        <is>
          <t>ED208386</t>
        </is>
      </c>
      <c r="B8215" s="56" t="n">
        <v>45783.84236111111</v>
      </c>
      <c r="C8215" t="inlineStr">
        <is>
          <t>Bluestone Memorial Hospital</t>
        </is>
      </c>
      <c r="D8215" t="n">
        <v>16</v>
      </c>
    </row>
    <row r="8216">
      <c r="A8216" t="inlineStr">
        <is>
          <t>ED208387</t>
        </is>
      </c>
      <c r="B8216" s="56" t="n">
        <v>45783.94097222222</v>
      </c>
      <c r="C8216" t="inlineStr">
        <is>
          <t>Cedar Ridge Medical Center</t>
        </is>
      </c>
      <c r="D8216" t="n">
        <v>60</v>
      </c>
    </row>
    <row r="8217">
      <c r="A8217" t="inlineStr">
        <is>
          <t>ED208388</t>
        </is>
      </c>
      <c r="B8217" s="56" t="n">
        <v>45784.00763888889</v>
      </c>
      <c r="C8217" t="inlineStr">
        <is>
          <t>Bluestone Memorial Hospital</t>
        </is>
      </c>
      <c r="D8217" t="n">
        <v>32</v>
      </c>
    </row>
    <row r="8218">
      <c r="A8218" t="inlineStr">
        <is>
          <t>ED208389</t>
        </is>
      </c>
      <c r="B8218" s="56" t="n">
        <v>45784.09097222222</v>
      </c>
      <c r="C8218" t="inlineStr">
        <is>
          <t>Bluestone Memorial Hospital</t>
        </is>
      </c>
      <c r="D8218" t="n">
        <v>9</v>
      </c>
    </row>
    <row r="8219">
      <c r="A8219" t="inlineStr">
        <is>
          <t>ED208390</t>
        </is>
      </c>
      <c r="B8219" s="56" t="n">
        <v>45784.29930555556</v>
      </c>
      <c r="C8219" t="inlineStr">
        <is>
          <t>Ashby Falls Community Hospital</t>
        </is>
      </c>
      <c r="D8219" t="n">
        <v>32</v>
      </c>
    </row>
    <row r="8220">
      <c r="A8220" t="inlineStr">
        <is>
          <t>ED208391</t>
        </is>
      </c>
      <c r="B8220" s="56" t="n">
        <v>45784.30138888889</v>
      </c>
      <c r="C8220" t="inlineStr">
        <is>
          <t>Bluestone Memorial Hospital</t>
        </is>
      </c>
      <c r="D8220" t="n">
        <v>15</v>
      </c>
    </row>
    <row r="8221">
      <c r="A8221" t="inlineStr">
        <is>
          <t>ED208392</t>
        </is>
      </c>
      <c r="B8221" s="56" t="n">
        <v>45784.47083333333</v>
      </c>
      <c r="C8221" t="inlineStr">
        <is>
          <t>Bluestone Memorial Hospital</t>
        </is>
      </c>
      <c r="D8221" t="n">
        <v>93</v>
      </c>
    </row>
    <row r="8222">
      <c r="A8222" t="inlineStr">
        <is>
          <t>ED208393</t>
        </is>
      </c>
      <c r="B8222" s="56" t="n">
        <v>45784.61944444444</v>
      </c>
      <c r="C8222" t="inlineStr">
        <is>
          <t>Cedar Ridge Medical Center</t>
        </is>
      </c>
      <c r="D8222" t="n">
        <v>35</v>
      </c>
    </row>
    <row r="8223">
      <c r="A8223" t="inlineStr">
        <is>
          <t>ED208394</t>
        </is>
      </c>
      <c r="B8223" s="56" t="n">
        <v>45784.62361111111</v>
      </c>
      <c r="C8223" t="inlineStr">
        <is>
          <t>Bluestone Memorial Hospital</t>
        </is>
      </c>
      <c r="D8223" t="n">
        <v>20</v>
      </c>
    </row>
    <row r="8224">
      <c r="A8224" t="inlineStr">
        <is>
          <t>ED208395</t>
        </is>
      </c>
      <c r="B8224" s="56" t="n">
        <v>45784.76597222222</v>
      </c>
      <c r="C8224" t="inlineStr">
        <is>
          <t>Bluestone Memorial Hospital</t>
        </is>
      </c>
      <c r="D8224" t="n">
        <v>37</v>
      </c>
    </row>
    <row r="8225">
      <c r="A8225" t="inlineStr">
        <is>
          <t>ED208396</t>
        </is>
      </c>
      <c r="B8225" s="56" t="n">
        <v>45784.78125</v>
      </c>
      <c r="C8225" t="inlineStr">
        <is>
          <t>Bluestone Memorial Hospital</t>
        </is>
      </c>
      <c r="D8225" t="n">
        <v>20</v>
      </c>
    </row>
    <row r="8226">
      <c r="A8226" t="inlineStr">
        <is>
          <t>ED208397</t>
        </is>
      </c>
      <c r="B8226" s="56" t="n">
        <v>45784.81319444445</v>
      </c>
      <c r="C8226" t="inlineStr">
        <is>
          <t>Ashby Falls Community Hospital</t>
        </is>
      </c>
      <c r="D8226" t="n">
        <v>4</v>
      </c>
    </row>
    <row r="8227">
      <c r="A8227" t="inlineStr">
        <is>
          <t>ED208398</t>
        </is>
      </c>
      <c r="B8227" s="56" t="n">
        <v>45784.95972222222</v>
      </c>
      <c r="C8227" t="inlineStr">
        <is>
          <t>Bluestone Memorial Hospital</t>
        </is>
      </c>
      <c r="D8227" t="n">
        <v>10</v>
      </c>
    </row>
    <row r="8228">
      <c r="A8228" t="inlineStr">
        <is>
          <t>ED208399</t>
        </is>
      </c>
      <c r="B8228" s="56" t="n">
        <v>45785.00833333333</v>
      </c>
      <c r="C8228" t="inlineStr">
        <is>
          <t>Bluestone Memorial Hospital</t>
        </is>
      </c>
      <c r="D8228" t="n">
        <v>2</v>
      </c>
    </row>
    <row r="8229">
      <c r="A8229" t="inlineStr">
        <is>
          <t>ED208400</t>
        </is>
      </c>
      <c r="B8229" s="56" t="n">
        <v>45785.43611111111</v>
      </c>
      <c r="C8229" t="inlineStr">
        <is>
          <t>Bluestone Memorial Hospital</t>
        </is>
      </c>
      <c r="D8229" t="n">
        <v>20</v>
      </c>
    </row>
    <row r="8230">
      <c r="A8230" t="inlineStr">
        <is>
          <t>ED208401</t>
        </is>
      </c>
      <c r="B8230" s="56" t="n">
        <v>45785.60069444445</v>
      </c>
      <c r="C8230" t="inlineStr">
        <is>
          <t>Bluestone Memorial Hospital</t>
        </is>
      </c>
      <c r="D8230" t="n">
        <v>23</v>
      </c>
    </row>
    <row r="8231">
      <c r="A8231" t="inlineStr">
        <is>
          <t>ED208402</t>
        </is>
      </c>
      <c r="B8231" s="56" t="n">
        <v>45785.60347222222</v>
      </c>
      <c r="C8231" t="inlineStr">
        <is>
          <t>Bluestone Memorial Hospital</t>
        </is>
      </c>
      <c r="D8231" t="n">
        <v>26</v>
      </c>
    </row>
    <row r="8232">
      <c r="A8232" t="inlineStr">
        <is>
          <t>ED208403</t>
        </is>
      </c>
      <c r="B8232" s="56" t="n">
        <v>45785.68194444444</v>
      </c>
      <c r="C8232" t="inlineStr">
        <is>
          <t>Cedar Ridge Medical Center</t>
        </is>
      </c>
      <c r="D8232" t="n">
        <v>99</v>
      </c>
    </row>
    <row r="8233">
      <c r="A8233" t="inlineStr">
        <is>
          <t>ED208404</t>
        </is>
      </c>
      <c r="B8233" s="56" t="n">
        <v>45785.71319444444</v>
      </c>
      <c r="C8233" t="inlineStr">
        <is>
          <t>Ashby Falls Community Hospital</t>
        </is>
      </c>
      <c r="D8233" t="n">
        <v>17</v>
      </c>
    </row>
    <row r="8234">
      <c r="A8234" t="inlineStr">
        <is>
          <t>ED208405</t>
        </is>
      </c>
      <c r="B8234" s="56" t="n">
        <v>45785.72013888889</v>
      </c>
      <c r="C8234" t="inlineStr">
        <is>
          <t>Ashby Falls Community Hospital</t>
        </is>
      </c>
      <c r="D8234" t="n">
        <v>91</v>
      </c>
    </row>
    <row r="8235">
      <c r="A8235" t="inlineStr">
        <is>
          <t>ED208406</t>
        </is>
      </c>
      <c r="B8235" s="56" t="n">
        <v>45785.74236111111</v>
      </c>
      <c r="C8235" t="inlineStr">
        <is>
          <t>Bluestone Memorial Hospital</t>
        </is>
      </c>
      <c r="D8235" t="n">
        <v>12</v>
      </c>
    </row>
    <row r="8236">
      <c r="A8236" t="inlineStr">
        <is>
          <t>ED208407</t>
        </is>
      </c>
      <c r="B8236" s="56" t="n">
        <v>45785.74583333333</v>
      </c>
      <c r="C8236" t="inlineStr">
        <is>
          <t>Bluestone Memorial Hospital</t>
        </is>
      </c>
      <c r="D8236" t="n">
        <v>30</v>
      </c>
    </row>
    <row r="8237">
      <c r="A8237" t="inlineStr">
        <is>
          <t>ED208408</t>
        </is>
      </c>
      <c r="B8237" s="56" t="n">
        <v>45785.82708333333</v>
      </c>
      <c r="C8237" t="inlineStr">
        <is>
          <t>Ashby Falls Community Hospital</t>
        </is>
      </c>
      <c r="D8237" t="n">
        <v>16</v>
      </c>
    </row>
    <row r="8238">
      <c r="A8238" t="inlineStr">
        <is>
          <t>ED208409</t>
        </is>
      </c>
      <c r="B8238" s="56" t="n">
        <v>45785.84166666667</v>
      </c>
      <c r="C8238" t="inlineStr">
        <is>
          <t>Bluestone Memorial Hospital</t>
        </is>
      </c>
      <c r="D8238" t="n">
        <v>91</v>
      </c>
    </row>
    <row r="8239">
      <c r="A8239" t="inlineStr">
        <is>
          <t>ED208410</t>
        </is>
      </c>
      <c r="B8239" s="56" t="n">
        <v>45786.16875</v>
      </c>
      <c r="C8239" t="inlineStr">
        <is>
          <t>Cedar Ridge Medical Center</t>
        </is>
      </c>
      <c r="D8239" t="n">
        <v>8</v>
      </c>
    </row>
    <row r="8240">
      <c r="A8240" t="inlineStr">
        <is>
          <t>ED208411</t>
        </is>
      </c>
      <c r="B8240" s="56" t="n">
        <v>45786.34027777778</v>
      </c>
      <c r="C8240" t="inlineStr">
        <is>
          <t>Bluestone Memorial Hospital</t>
        </is>
      </c>
      <c r="D8240" t="n">
        <v>25</v>
      </c>
    </row>
    <row r="8241">
      <c r="A8241" t="inlineStr">
        <is>
          <t>ED208412</t>
        </is>
      </c>
      <c r="B8241" s="56" t="n">
        <v>45786.34652777778</v>
      </c>
      <c r="C8241" t="inlineStr">
        <is>
          <t>Bluestone Memorial Hospital</t>
        </is>
      </c>
      <c r="D8241" t="n">
        <v>69</v>
      </c>
    </row>
    <row r="8242">
      <c r="A8242" t="inlineStr">
        <is>
          <t>ED208413</t>
        </is>
      </c>
      <c r="B8242" s="56" t="n">
        <v>45786.43611111111</v>
      </c>
      <c r="C8242" t="inlineStr">
        <is>
          <t>Bluestone Memorial Hospital</t>
        </is>
      </c>
      <c r="D8242" t="n">
        <v>26</v>
      </c>
    </row>
    <row r="8243">
      <c r="A8243" t="inlineStr">
        <is>
          <t>ED208414</t>
        </is>
      </c>
      <c r="B8243" s="56" t="n">
        <v>45786.45347222222</v>
      </c>
      <c r="C8243" t="inlineStr">
        <is>
          <t>Bluestone Memorial Hospital</t>
        </is>
      </c>
      <c r="D8243" t="n">
        <v>17</v>
      </c>
    </row>
    <row r="8244">
      <c r="A8244" t="inlineStr">
        <is>
          <t>ED208415</t>
        </is>
      </c>
      <c r="B8244" s="56" t="n">
        <v>45786.45625</v>
      </c>
      <c r="C8244" t="inlineStr">
        <is>
          <t>Bluestone Memorial Hospital</t>
        </is>
      </c>
      <c r="D8244" t="n">
        <v>10</v>
      </c>
    </row>
    <row r="8245">
      <c r="A8245" t="inlineStr">
        <is>
          <t>ED208416</t>
        </is>
      </c>
      <c r="B8245" s="56" t="n">
        <v>45786.46388888889</v>
      </c>
      <c r="C8245" t="inlineStr">
        <is>
          <t>Bluestone Memorial Hospital</t>
        </is>
      </c>
      <c r="D8245" t="n">
        <v>77</v>
      </c>
    </row>
    <row r="8246">
      <c r="A8246" t="inlineStr">
        <is>
          <t>ED208417</t>
        </is>
      </c>
      <c r="B8246" s="56" t="n">
        <v>45786.67152777778</v>
      </c>
      <c r="C8246" t="inlineStr">
        <is>
          <t>Bluestone Memorial Hospital</t>
        </is>
      </c>
      <c r="D8246" t="n">
        <v>21</v>
      </c>
    </row>
    <row r="8247">
      <c r="A8247" t="inlineStr">
        <is>
          <t>ED208418</t>
        </is>
      </c>
      <c r="B8247" s="56" t="n">
        <v>45786.70694444444</v>
      </c>
      <c r="C8247" t="inlineStr">
        <is>
          <t>Bluestone Memorial Hospital</t>
        </is>
      </c>
      <c r="D8247" t="n">
        <v>169</v>
      </c>
    </row>
    <row r="8248">
      <c r="A8248" t="inlineStr">
        <is>
          <t>ED208419</t>
        </is>
      </c>
      <c r="B8248" s="56" t="n">
        <v>45786.72013888889</v>
      </c>
      <c r="C8248" t="inlineStr">
        <is>
          <t>Bluestone Memorial Hospital</t>
        </is>
      </c>
      <c r="D8248" t="n">
        <v>162</v>
      </c>
    </row>
    <row r="8249">
      <c r="A8249" t="inlineStr">
        <is>
          <t>ED208420</t>
        </is>
      </c>
      <c r="B8249" s="56" t="n">
        <v>45786.76736111111</v>
      </c>
      <c r="C8249" t="inlineStr">
        <is>
          <t>Bluestone Memorial Hospital</t>
        </is>
      </c>
      <c r="D8249" t="n">
        <v>27</v>
      </c>
    </row>
    <row r="8250">
      <c r="A8250" t="inlineStr">
        <is>
          <t>ED208421</t>
        </is>
      </c>
      <c r="B8250" s="56" t="n">
        <v>45786.77361111111</v>
      </c>
      <c r="C8250" t="inlineStr">
        <is>
          <t>Cedar Ridge Medical Center</t>
        </is>
      </c>
      <c r="D8250" t="n">
        <v>57</v>
      </c>
    </row>
    <row r="8251">
      <c r="A8251" t="inlineStr">
        <is>
          <t>ED208422</t>
        </is>
      </c>
      <c r="B8251" s="56" t="n">
        <v>45786.86319444444</v>
      </c>
      <c r="C8251" t="inlineStr">
        <is>
          <t>Bluestone Memorial Hospital</t>
        </is>
      </c>
      <c r="D8251" t="n">
        <v>30</v>
      </c>
    </row>
    <row r="8252">
      <c r="A8252" t="inlineStr">
        <is>
          <t>ED208423</t>
        </is>
      </c>
      <c r="B8252" s="56" t="n">
        <v>45786.99791666667</v>
      </c>
      <c r="C8252" t="inlineStr">
        <is>
          <t>Ashby Falls Community Hospital</t>
        </is>
      </c>
      <c r="D8252" t="n">
        <v>29</v>
      </c>
    </row>
    <row r="8253">
      <c r="A8253" t="inlineStr">
        <is>
          <t>ED208424</t>
        </is>
      </c>
      <c r="B8253" s="56" t="n">
        <v>45787.10138888889</v>
      </c>
      <c r="C8253" t="inlineStr">
        <is>
          <t>Cedar Ridge Medical Center</t>
        </is>
      </c>
      <c r="D8253" t="n">
        <v>27</v>
      </c>
    </row>
    <row r="8254">
      <c r="A8254" t="inlineStr">
        <is>
          <t>ED208425</t>
        </is>
      </c>
      <c r="B8254" s="56" t="n">
        <v>45787.26527777778</v>
      </c>
      <c r="C8254" t="inlineStr">
        <is>
          <t>Bluestone Memorial Hospital</t>
        </is>
      </c>
      <c r="D8254" t="n">
        <v>44</v>
      </c>
    </row>
    <row r="8255">
      <c r="A8255" t="inlineStr">
        <is>
          <t>ED208426</t>
        </is>
      </c>
      <c r="B8255" s="56" t="n">
        <v>45787.36805555555</v>
      </c>
      <c r="C8255" t="inlineStr">
        <is>
          <t>Bluestone Memorial Hospital</t>
        </is>
      </c>
      <c r="D8255" t="n">
        <v>15</v>
      </c>
    </row>
    <row r="8256">
      <c r="A8256" t="inlineStr">
        <is>
          <t>ED208427</t>
        </is>
      </c>
      <c r="B8256" s="56" t="n">
        <v>45787.36875</v>
      </c>
      <c r="C8256" t="inlineStr">
        <is>
          <t>Bluestone Memorial Hospital</t>
        </is>
      </c>
      <c r="D8256" t="n">
        <v>37</v>
      </c>
    </row>
    <row r="8257">
      <c r="A8257" t="inlineStr">
        <is>
          <t>ED208428</t>
        </is>
      </c>
      <c r="B8257" s="56" t="n">
        <v>45787.39305555556</v>
      </c>
      <c r="C8257" t="inlineStr">
        <is>
          <t>Bluestone Memorial Hospital</t>
        </is>
      </c>
      <c r="D8257" t="n">
        <v>65</v>
      </c>
    </row>
    <row r="8258">
      <c r="A8258" t="inlineStr">
        <is>
          <t>ED208429</t>
        </is>
      </c>
      <c r="B8258" s="56" t="n">
        <v>45787.41736111111</v>
      </c>
      <c r="C8258" t="inlineStr">
        <is>
          <t>Bluestone Memorial Hospital</t>
        </is>
      </c>
      <c r="D8258" t="n">
        <v>15</v>
      </c>
    </row>
    <row r="8259">
      <c r="A8259" t="inlineStr">
        <is>
          <t>ED208430</t>
        </is>
      </c>
      <c r="B8259" s="56" t="n">
        <v>45787.49027777778</v>
      </c>
      <c r="C8259" t="inlineStr">
        <is>
          <t>Bluestone Memorial Hospital</t>
        </is>
      </c>
      <c r="D8259" t="n">
        <v>75</v>
      </c>
    </row>
    <row r="8260">
      <c r="A8260" t="inlineStr">
        <is>
          <t>ED208431</t>
        </is>
      </c>
      <c r="B8260" s="56" t="n">
        <v>45787.49236111111</v>
      </c>
      <c r="C8260" t="inlineStr">
        <is>
          <t>Bluestone Memorial Hospital</t>
        </is>
      </c>
      <c r="D8260" t="n">
        <v>62</v>
      </c>
    </row>
    <row r="8261">
      <c r="A8261" t="inlineStr">
        <is>
          <t>ED208432</t>
        </is>
      </c>
      <c r="B8261" s="56" t="n">
        <v>45787.59444444445</v>
      </c>
      <c r="C8261" t="inlineStr">
        <is>
          <t>Bluestone Memorial Hospital</t>
        </is>
      </c>
      <c r="D8261" t="n">
        <v>52</v>
      </c>
    </row>
    <row r="8262">
      <c r="A8262" t="inlineStr">
        <is>
          <t>ED208433</t>
        </is>
      </c>
      <c r="B8262" s="56" t="n">
        <v>45787.69722222222</v>
      </c>
      <c r="C8262" t="inlineStr">
        <is>
          <t>Bluestone Memorial Hospital</t>
        </is>
      </c>
      <c r="D8262" t="n">
        <v>100</v>
      </c>
    </row>
    <row r="8263">
      <c r="A8263" t="inlineStr">
        <is>
          <t>ED208434</t>
        </is>
      </c>
      <c r="B8263" s="56" t="n">
        <v>45787.8125</v>
      </c>
      <c r="C8263" t="inlineStr">
        <is>
          <t>Bluestone Memorial Hospital</t>
        </is>
      </c>
      <c r="D8263" t="n">
        <v>20</v>
      </c>
    </row>
    <row r="8264">
      <c r="A8264" t="inlineStr">
        <is>
          <t>ED208435</t>
        </is>
      </c>
      <c r="B8264" s="56" t="n">
        <v>45787.85138888889</v>
      </c>
      <c r="C8264" t="inlineStr">
        <is>
          <t>Bluestone Memorial Hospital</t>
        </is>
      </c>
      <c r="D8264" t="n">
        <v>43</v>
      </c>
    </row>
    <row r="8265">
      <c r="A8265" t="inlineStr">
        <is>
          <t>ED208436</t>
        </is>
      </c>
      <c r="B8265" s="56" t="n">
        <v>45787.86458333334</v>
      </c>
      <c r="C8265" t="inlineStr">
        <is>
          <t>Bluestone Memorial Hospital</t>
        </is>
      </c>
      <c r="D8265" t="n">
        <v>20</v>
      </c>
    </row>
    <row r="8266">
      <c r="A8266" t="inlineStr">
        <is>
          <t>ED208437</t>
        </is>
      </c>
      <c r="B8266" s="56" t="n">
        <v>45788.32986111111</v>
      </c>
      <c r="C8266" t="inlineStr">
        <is>
          <t>Ashby Falls Community Hospital</t>
        </is>
      </c>
      <c r="D8266" t="n">
        <v>18</v>
      </c>
    </row>
    <row r="8267">
      <c r="A8267" t="inlineStr">
        <is>
          <t>ED208438</t>
        </is>
      </c>
      <c r="B8267" s="56" t="n">
        <v>45788.38194444445</v>
      </c>
      <c r="C8267" t="inlineStr">
        <is>
          <t>Bluestone Memorial Hospital</t>
        </is>
      </c>
      <c r="D8267" t="n">
        <v>17</v>
      </c>
    </row>
    <row r="8268">
      <c r="A8268" t="inlineStr">
        <is>
          <t>ED208439</t>
        </is>
      </c>
      <c r="B8268" s="56" t="n">
        <v>45788.38333333333</v>
      </c>
      <c r="C8268" t="inlineStr">
        <is>
          <t>Bluestone Memorial Hospital</t>
        </is>
      </c>
      <c r="D8268" t="n">
        <v>49</v>
      </c>
    </row>
    <row r="8269">
      <c r="A8269" t="inlineStr">
        <is>
          <t>ED208440</t>
        </is>
      </c>
      <c r="B8269" s="56" t="n">
        <v>45788.44027777778</v>
      </c>
      <c r="C8269" t="inlineStr">
        <is>
          <t>Bluestone Memorial Hospital</t>
        </is>
      </c>
      <c r="D8269" t="n">
        <v>95</v>
      </c>
    </row>
    <row r="8270">
      <c r="A8270" t="inlineStr">
        <is>
          <t>ED208441</t>
        </is>
      </c>
      <c r="B8270" s="56" t="n">
        <v>45788.44861111111</v>
      </c>
      <c r="C8270" t="inlineStr">
        <is>
          <t>Bluestone Memorial Hospital</t>
        </is>
      </c>
      <c r="D8270" t="n">
        <v>3</v>
      </c>
    </row>
    <row r="8271">
      <c r="A8271" t="inlineStr">
        <is>
          <t>ED208442</t>
        </is>
      </c>
      <c r="B8271" s="56" t="n">
        <v>45788.46111111111</v>
      </c>
      <c r="C8271" t="inlineStr">
        <is>
          <t>Bluestone Memorial Hospital</t>
        </is>
      </c>
      <c r="D8271" t="n">
        <v>17</v>
      </c>
    </row>
    <row r="8272">
      <c r="A8272" t="inlineStr">
        <is>
          <t>ED208443</t>
        </is>
      </c>
      <c r="B8272" s="56" t="n">
        <v>45788.52013888889</v>
      </c>
      <c r="C8272" t="inlineStr">
        <is>
          <t>Bluestone Memorial Hospital</t>
        </is>
      </c>
      <c r="D8272" t="n">
        <v>62</v>
      </c>
    </row>
    <row r="8273">
      <c r="A8273" t="inlineStr">
        <is>
          <t>ED208444</t>
        </is>
      </c>
      <c r="B8273" s="56" t="n">
        <v>45788.52152777778</v>
      </c>
      <c r="C8273" t="inlineStr">
        <is>
          <t>Bluestone Memorial Hospital</t>
        </is>
      </c>
      <c r="D8273" t="n">
        <v>26</v>
      </c>
    </row>
    <row r="8274">
      <c r="A8274" t="inlineStr">
        <is>
          <t>ED208445</t>
        </is>
      </c>
      <c r="B8274" s="56" t="n">
        <v>45788.61875</v>
      </c>
      <c r="C8274" t="inlineStr">
        <is>
          <t>Ashby Falls Community Hospital</t>
        </is>
      </c>
      <c r="D8274" t="n">
        <v>51</v>
      </c>
    </row>
    <row r="8275">
      <c r="A8275" t="inlineStr">
        <is>
          <t>ED208446</t>
        </is>
      </c>
      <c r="B8275" s="56" t="n">
        <v>45788.71041666667</v>
      </c>
      <c r="C8275" t="inlineStr">
        <is>
          <t>Bluestone Memorial Hospital</t>
        </is>
      </c>
      <c r="D8275" t="n">
        <v>20</v>
      </c>
    </row>
    <row r="8276">
      <c r="A8276" t="inlineStr">
        <is>
          <t>ED208447</t>
        </is>
      </c>
      <c r="B8276" s="56" t="n">
        <v>45788.71736111111</v>
      </c>
      <c r="C8276" t="inlineStr">
        <is>
          <t>Bluestone Memorial Hospital</t>
        </is>
      </c>
      <c r="D8276" t="n">
        <v>59</v>
      </c>
    </row>
    <row r="8277">
      <c r="A8277" t="inlineStr">
        <is>
          <t>ED208448</t>
        </is>
      </c>
      <c r="B8277" s="56" t="n">
        <v>45788.73888888889</v>
      </c>
      <c r="C8277" t="inlineStr">
        <is>
          <t>Bluestone Memorial Hospital</t>
        </is>
      </c>
      <c r="D8277" t="n">
        <v>61</v>
      </c>
    </row>
    <row r="8278">
      <c r="A8278" t="inlineStr">
        <is>
          <t>ED208449</t>
        </is>
      </c>
      <c r="B8278" s="56" t="n">
        <v>45788.77430555555</v>
      </c>
      <c r="C8278" t="inlineStr">
        <is>
          <t>Bluestone Memorial Hospital</t>
        </is>
      </c>
      <c r="D8278" t="n">
        <v>88</v>
      </c>
    </row>
    <row r="8279">
      <c r="A8279" t="inlineStr">
        <is>
          <t>ED208450</t>
        </is>
      </c>
      <c r="B8279" s="56" t="n">
        <v>45788.90694444445</v>
      </c>
      <c r="C8279" t="inlineStr">
        <is>
          <t>Bluestone Memorial Hospital</t>
        </is>
      </c>
      <c r="D8279" t="n">
        <v>21</v>
      </c>
    </row>
    <row r="8280">
      <c r="A8280" t="inlineStr">
        <is>
          <t>ED208451</t>
        </is>
      </c>
      <c r="B8280" s="56" t="n">
        <v>45788.98055555556</v>
      </c>
      <c r="C8280" t="inlineStr">
        <is>
          <t>Bluestone Memorial Hospital</t>
        </is>
      </c>
      <c r="D8280" t="n">
        <v>20</v>
      </c>
    </row>
    <row r="8281">
      <c r="A8281" t="inlineStr">
        <is>
          <t>ED208452</t>
        </is>
      </c>
      <c r="B8281" s="56" t="n">
        <v>45788.99930555555</v>
      </c>
      <c r="C8281" t="inlineStr">
        <is>
          <t>Bluestone Memorial Hospital</t>
        </is>
      </c>
      <c r="D8281" t="n">
        <v>18</v>
      </c>
    </row>
    <row r="8282">
      <c r="A8282" t="inlineStr">
        <is>
          <t>ED208453</t>
        </is>
      </c>
      <c r="B8282" s="56" t="n">
        <v>45789.19513888889</v>
      </c>
      <c r="C8282" t="inlineStr">
        <is>
          <t>Bluestone Memorial Hospital</t>
        </is>
      </c>
      <c r="D8282" t="n">
        <v>37</v>
      </c>
    </row>
    <row r="8283">
      <c r="A8283" t="inlineStr">
        <is>
          <t>ED208454</t>
        </is>
      </c>
      <c r="B8283" s="56" t="n">
        <v>45789.42708333334</v>
      </c>
      <c r="C8283" t="inlineStr">
        <is>
          <t>Bluestone Memorial Hospital</t>
        </is>
      </c>
      <c r="D8283" t="n">
        <v>30</v>
      </c>
    </row>
    <row r="8284">
      <c r="A8284" t="inlineStr">
        <is>
          <t>ED208455</t>
        </is>
      </c>
      <c r="B8284" s="56" t="n">
        <v>45789.47152777778</v>
      </c>
      <c r="C8284" t="inlineStr">
        <is>
          <t>Bluestone Memorial Hospital</t>
        </is>
      </c>
      <c r="D8284" t="n">
        <v>18</v>
      </c>
    </row>
    <row r="8285">
      <c r="A8285" t="inlineStr">
        <is>
          <t>ED208456</t>
        </is>
      </c>
      <c r="B8285" s="56" t="n">
        <v>45789.48194444444</v>
      </c>
      <c r="C8285" t="inlineStr">
        <is>
          <t>Bluestone Memorial Hospital</t>
        </is>
      </c>
      <c r="D8285" t="n">
        <v>30</v>
      </c>
    </row>
    <row r="8286">
      <c r="A8286" t="inlineStr">
        <is>
          <t>ED208457</t>
        </is>
      </c>
      <c r="B8286" s="56" t="n">
        <v>45789.50138888889</v>
      </c>
      <c r="C8286" t="inlineStr">
        <is>
          <t>Cedar Ridge Medical Center</t>
        </is>
      </c>
      <c r="D8286" t="n">
        <v>25</v>
      </c>
    </row>
    <row r="8287">
      <c r="A8287" t="inlineStr">
        <is>
          <t>ED208458</t>
        </is>
      </c>
      <c r="B8287" s="56" t="n">
        <v>45789.52361111111</v>
      </c>
      <c r="C8287" t="inlineStr">
        <is>
          <t>Bluestone Memorial Hospital</t>
        </is>
      </c>
      <c r="D8287" t="n">
        <v>7</v>
      </c>
    </row>
    <row r="8288">
      <c r="A8288" t="inlineStr">
        <is>
          <t>ED208459</t>
        </is>
      </c>
      <c r="B8288" s="56" t="n">
        <v>45789.53055555555</v>
      </c>
      <c r="C8288" t="inlineStr">
        <is>
          <t>Bluestone Memorial Hospital</t>
        </is>
      </c>
      <c r="D8288" t="n">
        <v>42</v>
      </c>
    </row>
    <row r="8289">
      <c r="A8289" t="inlineStr">
        <is>
          <t>ED208460</t>
        </is>
      </c>
      <c r="B8289" s="56" t="n">
        <v>45789.63263888889</v>
      </c>
      <c r="C8289" t="inlineStr">
        <is>
          <t>Bluestone Memorial Hospital</t>
        </is>
      </c>
      <c r="D8289" t="n">
        <v>91</v>
      </c>
    </row>
    <row r="8290">
      <c r="A8290" t="inlineStr">
        <is>
          <t>ED208461</t>
        </is>
      </c>
      <c r="B8290" s="56" t="n">
        <v>45789.67222222222</v>
      </c>
      <c r="C8290" t="inlineStr">
        <is>
          <t>Bluestone Memorial Hospital</t>
        </is>
      </c>
      <c r="D8290" t="n">
        <v>13</v>
      </c>
    </row>
    <row r="8291">
      <c r="A8291" t="inlineStr">
        <is>
          <t>ED208462</t>
        </is>
      </c>
      <c r="B8291" s="56" t="n">
        <v>45789.68194444444</v>
      </c>
      <c r="C8291" t="inlineStr">
        <is>
          <t>Bluestone Memorial Hospital</t>
        </is>
      </c>
      <c r="D8291" t="n">
        <v>127</v>
      </c>
    </row>
    <row r="8292">
      <c r="A8292" t="inlineStr">
        <is>
          <t>ED208463</t>
        </is>
      </c>
      <c r="B8292" s="56" t="n">
        <v>45789.76805555556</v>
      </c>
      <c r="C8292" t="inlineStr">
        <is>
          <t>Cedar Ridge Medical Center</t>
        </is>
      </c>
      <c r="D8292" t="n">
        <v>36</v>
      </c>
    </row>
    <row r="8293">
      <c r="A8293" t="inlineStr">
        <is>
          <t>ED208464</t>
        </is>
      </c>
      <c r="B8293" s="56" t="n">
        <v>45789.77291666667</v>
      </c>
      <c r="C8293" t="inlineStr">
        <is>
          <t>Bluestone Memorial Hospital</t>
        </is>
      </c>
      <c r="D8293" t="n">
        <v>71</v>
      </c>
    </row>
    <row r="8294">
      <c r="A8294" t="inlineStr">
        <is>
          <t>ED208465</t>
        </is>
      </c>
      <c r="B8294" s="56" t="n">
        <v>45789.78055555555</v>
      </c>
      <c r="C8294" t="inlineStr">
        <is>
          <t>Bluestone Memorial Hospital</t>
        </is>
      </c>
      <c r="D8294" t="n">
        <v>54</v>
      </c>
    </row>
    <row r="8295">
      <c r="A8295" t="inlineStr">
        <is>
          <t>ED208466</t>
        </is>
      </c>
      <c r="B8295" s="56" t="n">
        <v>45789.79444444444</v>
      </c>
      <c r="C8295" t="inlineStr">
        <is>
          <t>Bluestone Memorial Hospital</t>
        </is>
      </c>
      <c r="D8295" t="n">
        <v>16</v>
      </c>
    </row>
    <row r="8296">
      <c r="A8296" t="inlineStr">
        <is>
          <t>ED208467</t>
        </is>
      </c>
      <c r="B8296" s="56" t="n">
        <v>45789.80555555555</v>
      </c>
      <c r="C8296" t="inlineStr">
        <is>
          <t>Bluestone Memorial Hospital</t>
        </is>
      </c>
      <c r="D8296" t="n">
        <v>79</v>
      </c>
    </row>
    <row r="8297">
      <c r="A8297" t="inlineStr">
        <is>
          <t>ED208468</t>
        </is>
      </c>
      <c r="B8297" s="56" t="n">
        <v>45789.98541666667</v>
      </c>
      <c r="C8297" t="inlineStr">
        <is>
          <t>Bluestone Memorial Hospital</t>
        </is>
      </c>
      <c r="D8297" t="n">
        <v>11</v>
      </c>
    </row>
    <row r="8298">
      <c r="A8298" t="inlineStr">
        <is>
          <t>ED208469</t>
        </is>
      </c>
      <c r="B8298" s="56" t="n">
        <v>45790.12361111111</v>
      </c>
      <c r="C8298" t="inlineStr">
        <is>
          <t>Ashby Falls Community Hospital</t>
        </is>
      </c>
      <c r="D8298" t="n">
        <v>37</v>
      </c>
    </row>
    <row r="8299">
      <c r="A8299" t="inlineStr">
        <is>
          <t>ED208470</t>
        </is>
      </c>
      <c r="B8299" s="56" t="n">
        <v>45790.32708333333</v>
      </c>
      <c r="C8299" t="inlineStr">
        <is>
          <t>Bluestone Memorial Hospital</t>
        </is>
      </c>
      <c r="D8299" t="n">
        <v>43</v>
      </c>
    </row>
    <row r="8300">
      <c r="A8300" t="inlineStr">
        <is>
          <t>ED208471</t>
        </is>
      </c>
      <c r="B8300" s="56" t="n">
        <v>45790.42708333334</v>
      </c>
      <c r="C8300" t="inlineStr">
        <is>
          <t>Bluestone Memorial Hospital</t>
        </is>
      </c>
      <c r="D8300" t="n">
        <v>34</v>
      </c>
    </row>
    <row r="8301">
      <c r="A8301" t="inlineStr">
        <is>
          <t>ED208472</t>
        </is>
      </c>
      <c r="B8301" s="56" t="n">
        <v>45790.47986111111</v>
      </c>
      <c r="C8301" t="inlineStr">
        <is>
          <t>Bluestone Memorial Hospital</t>
        </is>
      </c>
      <c r="D8301" t="n">
        <v>13</v>
      </c>
    </row>
    <row r="8302">
      <c r="A8302" t="inlineStr">
        <is>
          <t>ED208473</t>
        </is>
      </c>
      <c r="B8302" s="56" t="n">
        <v>45790.49027777778</v>
      </c>
      <c r="C8302" t="inlineStr">
        <is>
          <t>Bluestone Memorial Hospital</t>
        </is>
      </c>
      <c r="D8302" t="n">
        <v>58</v>
      </c>
    </row>
    <row r="8303">
      <c r="A8303" t="inlineStr">
        <is>
          <t>ED208474</t>
        </is>
      </c>
      <c r="B8303" s="56" t="n">
        <v>45790.49930555555</v>
      </c>
      <c r="C8303" t="inlineStr">
        <is>
          <t>Bluestone Memorial Hospital</t>
        </is>
      </c>
      <c r="D8303" t="n">
        <v>41</v>
      </c>
    </row>
    <row r="8304">
      <c r="A8304" t="inlineStr">
        <is>
          <t>ED208475</t>
        </is>
      </c>
      <c r="B8304" s="56" t="n">
        <v>45790.50833333333</v>
      </c>
      <c r="C8304" t="inlineStr">
        <is>
          <t>Bluestone Memorial Hospital</t>
        </is>
      </c>
      <c r="D8304" t="n">
        <v>48</v>
      </c>
    </row>
    <row r="8305">
      <c r="A8305" t="inlineStr">
        <is>
          <t>ED208476</t>
        </is>
      </c>
      <c r="B8305" s="56" t="n">
        <v>45790.51319444444</v>
      </c>
      <c r="C8305" t="inlineStr">
        <is>
          <t>Ashby Falls Community Hospital</t>
        </is>
      </c>
      <c r="D8305" t="n">
        <v>10</v>
      </c>
    </row>
    <row r="8306">
      <c r="A8306" t="inlineStr">
        <is>
          <t>ED208477</t>
        </is>
      </c>
      <c r="B8306" s="56" t="n">
        <v>45790.55416666667</v>
      </c>
      <c r="C8306" t="inlineStr">
        <is>
          <t>Bluestone Memorial Hospital</t>
        </is>
      </c>
      <c r="D8306" t="n">
        <v>127</v>
      </c>
    </row>
    <row r="8307">
      <c r="A8307" t="inlineStr">
        <is>
          <t>ED208478</t>
        </is>
      </c>
      <c r="B8307" s="56" t="n">
        <v>45790.55625</v>
      </c>
      <c r="C8307" t="inlineStr">
        <is>
          <t>Bluestone Memorial Hospital</t>
        </is>
      </c>
      <c r="D8307" t="n">
        <v>125</v>
      </c>
    </row>
    <row r="8308">
      <c r="A8308" t="inlineStr">
        <is>
          <t>ED208479</t>
        </is>
      </c>
      <c r="B8308" s="56" t="n">
        <v>45790.59652777778</v>
      </c>
      <c r="C8308" t="inlineStr">
        <is>
          <t>Bluestone Memorial Hospital</t>
        </is>
      </c>
      <c r="D8308" t="n">
        <v>1</v>
      </c>
    </row>
    <row r="8309">
      <c r="A8309" t="inlineStr">
        <is>
          <t>ED208480</t>
        </is>
      </c>
      <c r="B8309" s="56" t="n">
        <v>45790.76388888889</v>
      </c>
      <c r="C8309" t="inlineStr">
        <is>
          <t>Bluestone Memorial Hospital</t>
        </is>
      </c>
      <c r="D8309" t="n">
        <v>68</v>
      </c>
    </row>
    <row r="8310">
      <c r="A8310" t="inlineStr">
        <is>
          <t>ED208481</t>
        </is>
      </c>
      <c r="B8310" s="56" t="n">
        <v>45790.77083333334</v>
      </c>
      <c r="C8310" t="inlineStr">
        <is>
          <t>Bluestone Memorial Hospital</t>
        </is>
      </c>
      <c r="D8310" t="n">
        <v>33</v>
      </c>
    </row>
    <row r="8311">
      <c r="A8311" t="inlineStr">
        <is>
          <t>ED208482</t>
        </is>
      </c>
      <c r="B8311" s="56" t="n">
        <v>45790.79027777778</v>
      </c>
      <c r="C8311" t="inlineStr">
        <is>
          <t>Bluestone Memorial Hospital</t>
        </is>
      </c>
      <c r="D8311" t="n">
        <v>111</v>
      </c>
    </row>
    <row r="8312">
      <c r="A8312" t="inlineStr">
        <is>
          <t>ED208483</t>
        </is>
      </c>
      <c r="B8312" s="56" t="n">
        <v>45790.79583333333</v>
      </c>
      <c r="C8312" t="inlineStr">
        <is>
          <t>Ashby Falls Community Hospital</t>
        </is>
      </c>
      <c r="D8312" t="n">
        <v>16</v>
      </c>
    </row>
    <row r="8313">
      <c r="A8313" t="inlineStr">
        <is>
          <t>ED208484</t>
        </is>
      </c>
      <c r="B8313" s="56" t="n">
        <v>45790.82013888889</v>
      </c>
      <c r="C8313" t="inlineStr">
        <is>
          <t>Bluestone Memorial Hospital</t>
        </is>
      </c>
      <c r="D8313" t="n">
        <v>43</v>
      </c>
    </row>
    <row r="8314">
      <c r="A8314" t="inlineStr">
        <is>
          <t>ED208485</t>
        </is>
      </c>
      <c r="B8314" s="56" t="n">
        <v>45790.825</v>
      </c>
      <c r="C8314" t="inlineStr">
        <is>
          <t>Bluestone Memorial Hospital</t>
        </is>
      </c>
      <c r="D8314" t="n">
        <v>82</v>
      </c>
    </row>
    <row r="8315">
      <c r="A8315" t="inlineStr">
        <is>
          <t>ED208486</t>
        </is>
      </c>
      <c r="B8315" s="56" t="n">
        <v>45790.86527777778</v>
      </c>
      <c r="C8315" t="inlineStr">
        <is>
          <t>Ashby Falls Community Hospital</t>
        </is>
      </c>
      <c r="D8315" t="n">
        <v>111</v>
      </c>
    </row>
    <row r="8316">
      <c r="A8316" t="inlineStr">
        <is>
          <t>ED208487</t>
        </is>
      </c>
      <c r="B8316" s="56" t="n">
        <v>45790.88263888889</v>
      </c>
      <c r="C8316" t="inlineStr">
        <is>
          <t>Bluestone Memorial Hospital</t>
        </is>
      </c>
      <c r="D8316" t="n">
        <v>38</v>
      </c>
    </row>
    <row r="8317">
      <c r="A8317" t="inlineStr">
        <is>
          <t>ED208488</t>
        </is>
      </c>
      <c r="B8317" s="56" t="n">
        <v>45790.8875</v>
      </c>
      <c r="C8317" t="inlineStr">
        <is>
          <t>Bluestone Memorial Hospital</t>
        </is>
      </c>
      <c r="D8317" t="n">
        <v>25</v>
      </c>
    </row>
    <row r="8318">
      <c r="A8318" t="inlineStr">
        <is>
          <t>ED208489</t>
        </is>
      </c>
      <c r="B8318" s="56" t="n">
        <v>45790.88819444444</v>
      </c>
      <c r="C8318" t="inlineStr">
        <is>
          <t>Bluestone Memorial Hospital</t>
        </is>
      </c>
      <c r="D8318" t="n">
        <v>35</v>
      </c>
    </row>
    <row r="8319">
      <c r="A8319" t="inlineStr">
        <is>
          <t>ED208490</t>
        </is>
      </c>
      <c r="B8319" s="56" t="n">
        <v>45790.89375</v>
      </c>
      <c r="C8319" t="inlineStr">
        <is>
          <t>Ashby Falls Community Hospital</t>
        </is>
      </c>
      <c r="D8319" t="n">
        <v>13</v>
      </c>
    </row>
    <row r="8320">
      <c r="A8320" t="inlineStr">
        <is>
          <t>ED208491</t>
        </is>
      </c>
      <c r="B8320" s="56" t="n">
        <v>45790.90763888889</v>
      </c>
      <c r="C8320" t="inlineStr">
        <is>
          <t>Bluestone Memorial Hospital</t>
        </is>
      </c>
      <c r="D8320" t="n">
        <v>63</v>
      </c>
    </row>
    <row r="8321">
      <c r="A8321" t="inlineStr">
        <is>
          <t>ED208492</t>
        </is>
      </c>
      <c r="B8321" s="56" t="n">
        <v>45790.93125</v>
      </c>
      <c r="C8321" t="inlineStr">
        <is>
          <t>Bluestone Memorial Hospital</t>
        </is>
      </c>
      <c r="D8321" t="n">
        <v>89</v>
      </c>
    </row>
    <row r="8322">
      <c r="A8322" t="inlineStr">
        <is>
          <t>ED208493</t>
        </is>
      </c>
      <c r="B8322" s="56" t="n">
        <v>45791.03194444445</v>
      </c>
      <c r="C8322" t="inlineStr">
        <is>
          <t>Ashby Falls Community Hospital</t>
        </is>
      </c>
      <c r="D8322" t="n">
        <v>119</v>
      </c>
    </row>
    <row r="8323">
      <c r="A8323" t="inlineStr">
        <is>
          <t>ED208494</t>
        </is>
      </c>
      <c r="B8323" s="56" t="n">
        <v>45791.03402777778</v>
      </c>
      <c r="C8323" t="inlineStr">
        <is>
          <t>Bluestone Memorial Hospital</t>
        </is>
      </c>
      <c r="D8323" t="n">
        <v>63</v>
      </c>
    </row>
    <row r="8324">
      <c r="A8324" t="inlineStr">
        <is>
          <t>ED208495</t>
        </is>
      </c>
      <c r="B8324" s="56" t="n">
        <v>45791.04652777778</v>
      </c>
      <c r="C8324" t="inlineStr">
        <is>
          <t>Ashby Falls Community Hospital</t>
        </is>
      </c>
      <c r="D8324" t="n">
        <v>17</v>
      </c>
    </row>
    <row r="8325">
      <c r="A8325" t="inlineStr">
        <is>
          <t>ED208496</t>
        </is>
      </c>
      <c r="B8325" s="56" t="n">
        <v>45791.40555555555</v>
      </c>
      <c r="C8325" t="inlineStr">
        <is>
          <t>Bluestone Memorial Hospital</t>
        </is>
      </c>
      <c r="D8325" t="n">
        <v>31</v>
      </c>
    </row>
    <row r="8326">
      <c r="A8326" t="inlineStr">
        <is>
          <t>ED208497</t>
        </is>
      </c>
      <c r="B8326" s="56" t="n">
        <v>45791.45833333334</v>
      </c>
      <c r="C8326" t="inlineStr">
        <is>
          <t>Bluestone Memorial Hospital</t>
        </is>
      </c>
      <c r="D8326" t="n">
        <v>44</v>
      </c>
    </row>
    <row r="8327">
      <c r="A8327" t="inlineStr">
        <is>
          <t>ED208498</t>
        </is>
      </c>
      <c r="B8327" s="56" t="n">
        <v>45791.53402777778</v>
      </c>
      <c r="C8327" t="inlineStr">
        <is>
          <t>Cedar Ridge Medical Center</t>
        </is>
      </c>
      <c r="D8327" t="n">
        <v>18</v>
      </c>
    </row>
    <row r="8328">
      <c r="A8328" t="inlineStr">
        <is>
          <t>ED208499</t>
        </is>
      </c>
      <c r="B8328" s="56" t="n">
        <v>45791.54097222222</v>
      </c>
      <c r="C8328" t="inlineStr">
        <is>
          <t>Cedar Ridge Medical Center</t>
        </is>
      </c>
      <c r="D8328" t="n">
        <v>11</v>
      </c>
    </row>
    <row r="8329">
      <c r="A8329" t="inlineStr">
        <is>
          <t>ED208500</t>
        </is>
      </c>
      <c r="B8329" s="56" t="n">
        <v>45791.56458333333</v>
      </c>
      <c r="C8329" t="inlineStr">
        <is>
          <t>Bluestone Memorial Hospital</t>
        </is>
      </c>
      <c r="D8329" t="n">
        <v>3</v>
      </c>
    </row>
    <row r="8330">
      <c r="A8330" t="inlineStr">
        <is>
          <t>ED208501</t>
        </is>
      </c>
      <c r="B8330" s="56" t="n">
        <v>45791.56805555556</v>
      </c>
      <c r="C8330" t="inlineStr">
        <is>
          <t>Bluestone Memorial Hospital</t>
        </is>
      </c>
      <c r="D8330" t="n">
        <v>48</v>
      </c>
    </row>
    <row r="8331">
      <c r="A8331" t="inlineStr">
        <is>
          <t>ED208503</t>
        </is>
      </c>
      <c r="B8331" s="56" t="n">
        <v>45791.60208333333</v>
      </c>
      <c r="C8331" t="inlineStr">
        <is>
          <t>Bluestone Memorial Hospital</t>
        </is>
      </c>
      <c r="D8331" t="n">
        <v>61</v>
      </c>
    </row>
    <row r="8332">
      <c r="A8332" t="inlineStr">
        <is>
          <t>ED208505</t>
        </is>
      </c>
      <c r="B8332" s="56" t="n">
        <v>45791.82222222222</v>
      </c>
      <c r="C8332" t="inlineStr">
        <is>
          <t>Ashby Falls Community Hospital</t>
        </is>
      </c>
      <c r="D8332" t="n">
        <v>9</v>
      </c>
    </row>
    <row r="8333">
      <c r="A8333" t="inlineStr">
        <is>
          <t>ED208506</t>
        </is>
      </c>
      <c r="B8333" s="56" t="n">
        <v>45791.82916666667</v>
      </c>
      <c r="C8333" t="inlineStr">
        <is>
          <t>Bluestone Memorial Hospital</t>
        </is>
      </c>
      <c r="D8333" t="n">
        <v>11</v>
      </c>
    </row>
    <row r="8334">
      <c r="A8334" t="inlineStr">
        <is>
          <t>ED208507</t>
        </is>
      </c>
      <c r="B8334" s="56" t="n">
        <v>45791.84652777778</v>
      </c>
      <c r="C8334" t="inlineStr">
        <is>
          <t>Bluestone Memorial Hospital</t>
        </is>
      </c>
      <c r="D8334" t="n">
        <v>48</v>
      </c>
    </row>
    <row r="8335">
      <c r="A8335" t="inlineStr">
        <is>
          <t>ED208508</t>
        </is>
      </c>
      <c r="B8335" s="56" t="n">
        <v>45791.90625</v>
      </c>
      <c r="C8335" t="inlineStr">
        <is>
          <t>Bluestone Memorial Hospital</t>
        </is>
      </c>
      <c r="D8335" t="n">
        <v>36</v>
      </c>
    </row>
    <row r="8336">
      <c r="A8336" t="inlineStr">
        <is>
          <t>ED208509</t>
        </is>
      </c>
      <c r="B8336" s="56" t="n">
        <v>45791.97986111111</v>
      </c>
      <c r="C8336" t="inlineStr">
        <is>
          <t>Bluestone Memorial Hospital</t>
        </is>
      </c>
      <c r="D8336" t="n">
        <v>18</v>
      </c>
    </row>
    <row r="8337">
      <c r="A8337" t="inlineStr">
        <is>
          <t>ED208510</t>
        </is>
      </c>
      <c r="B8337" s="56" t="n">
        <v>45791.99513888889</v>
      </c>
      <c r="C8337" t="inlineStr">
        <is>
          <t>Ashby Falls Community Hospital</t>
        </is>
      </c>
      <c r="D8337" t="n">
        <v>17</v>
      </c>
    </row>
    <row r="8338">
      <c r="A8338" t="inlineStr">
        <is>
          <t>ED208511</t>
        </is>
      </c>
      <c r="B8338" s="56" t="n">
        <v>45792.02638888889</v>
      </c>
      <c r="C8338" t="inlineStr">
        <is>
          <t>Bluestone Memorial Hospital</t>
        </is>
      </c>
      <c r="D8338" t="n">
        <v>38</v>
      </c>
    </row>
    <row r="8339">
      <c r="A8339" t="inlineStr">
        <is>
          <t>ED208512</t>
        </is>
      </c>
      <c r="B8339" s="56" t="n">
        <v>45792.09513888889</v>
      </c>
      <c r="C8339" t="inlineStr">
        <is>
          <t>Bluestone Memorial Hospital</t>
        </is>
      </c>
      <c r="D8339" t="n">
        <v>116</v>
      </c>
    </row>
    <row r="8340">
      <c r="A8340" t="inlineStr">
        <is>
          <t>ED208513</t>
        </is>
      </c>
      <c r="B8340" s="56" t="n">
        <v>45792.43333333333</v>
      </c>
      <c r="C8340" t="inlineStr">
        <is>
          <t>Ashby Falls Community Hospital</t>
        </is>
      </c>
      <c r="D8340" t="n">
        <v>26</v>
      </c>
    </row>
    <row r="8341">
      <c r="A8341" t="inlineStr">
        <is>
          <t>ED208514</t>
        </is>
      </c>
      <c r="B8341" s="56" t="n">
        <v>45792.4625</v>
      </c>
      <c r="C8341" t="inlineStr">
        <is>
          <t>Ashby Falls Community Hospital</t>
        </is>
      </c>
      <c r="D8341" t="n">
        <v>20</v>
      </c>
    </row>
    <row r="8342">
      <c r="A8342" t="inlineStr">
        <is>
          <t>ED208515</t>
        </is>
      </c>
      <c r="B8342" s="56" t="n">
        <v>45792.51597222222</v>
      </c>
      <c r="C8342" t="inlineStr">
        <is>
          <t>Bluestone Memorial Hospital</t>
        </is>
      </c>
      <c r="D8342" t="n">
        <v>3</v>
      </c>
    </row>
    <row r="8343">
      <c r="A8343" t="inlineStr">
        <is>
          <t>ED208516</t>
        </is>
      </c>
      <c r="B8343" s="56" t="n">
        <v>45792.58819444444</v>
      </c>
      <c r="C8343" t="inlineStr">
        <is>
          <t>Bluestone Memorial Hospital</t>
        </is>
      </c>
      <c r="D8343" t="n">
        <v>44</v>
      </c>
    </row>
    <row r="8344">
      <c r="A8344" t="inlineStr">
        <is>
          <t>ED208517</t>
        </is>
      </c>
      <c r="B8344" s="56" t="n">
        <v>45792.65277777778</v>
      </c>
      <c r="C8344" t="inlineStr">
        <is>
          <t>Bluestone Memorial Hospital</t>
        </is>
      </c>
      <c r="D8344" t="n">
        <v>33</v>
      </c>
    </row>
    <row r="8345">
      <c r="A8345" t="inlineStr">
        <is>
          <t>ED208518</t>
        </is>
      </c>
      <c r="B8345" s="56" t="n">
        <v>45792.77083333334</v>
      </c>
      <c r="C8345" t="inlineStr">
        <is>
          <t>Bluestone Memorial Hospital</t>
        </is>
      </c>
      <c r="D8345" t="n">
        <v>75</v>
      </c>
    </row>
    <row r="8346">
      <c r="A8346" t="inlineStr">
        <is>
          <t>ED208519</t>
        </is>
      </c>
      <c r="B8346" s="56" t="n">
        <v>45792.78055555555</v>
      </c>
      <c r="C8346" t="inlineStr">
        <is>
          <t>Ashby Falls Community Hospital</t>
        </is>
      </c>
      <c r="D8346" t="n">
        <v>285</v>
      </c>
    </row>
    <row r="8347">
      <c r="A8347" t="inlineStr">
        <is>
          <t>ED208520</t>
        </is>
      </c>
      <c r="B8347" s="56" t="n">
        <v>45792.79722222222</v>
      </c>
      <c r="C8347" t="inlineStr">
        <is>
          <t>Bluestone Memorial Hospital</t>
        </is>
      </c>
      <c r="D8347" t="n">
        <v>21</v>
      </c>
    </row>
    <row r="8348">
      <c r="A8348" t="inlineStr">
        <is>
          <t>ED208521</t>
        </is>
      </c>
      <c r="B8348" s="56" t="n">
        <v>45792.80208333334</v>
      </c>
      <c r="C8348" t="inlineStr">
        <is>
          <t>Bluestone Memorial Hospital</t>
        </is>
      </c>
      <c r="D8348" t="n">
        <v>23</v>
      </c>
    </row>
    <row r="8349">
      <c r="A8349" t="inlineStr">
        <is>
          <t>ED208522</t>
        </is>
      </c>
      <c r="B8349" s="56" t="n">
        <v>45792.86597222222</v>
      </c>
      <c r="C8349" t="inlineStr">
        <is>
          <t>Bluestone Memorial Hospital</t>
        </is>
      </c>
      <c r="D8349" t="n">
        <v>29</v>
      </c>
    </row>
    <row r="8350">
      <c r="A8350" t="inlineStr">
        <is>
          <t>ED208523</t>
        </is>
      </c>
      <c r="B8350" s="56" t="n">
        <v>45792.89791666667</v>
      </c>
      <c r="C8350" t="inlineStr">
        <is>
          <t>Bluestone Memorial Hospital</t>
        </is>
      </c>
      <c r="D8350" t="n">
        <v>9</v>
      </c>
    </row>
    <row r="8351">
      <c r="A8351" t="inlineStr">
        <is>
          <t>ED208524</t>
        </is>
      </c>
      <c r="B8351" s="56" t="n">
        <v>45793.35416666666</v>
      </c>
      <c r="C8351" t="inlineStr">
        <is>
          <t>Bluestone Memorial Hospital</t>
        </is>
      </c>
      <c r="D8351" t="n">
        <v>103</v>
      </c>
    </row>
    <row r="8352">
      <c r="A8352" t="inlineStr">
        <is>
          <t>ED208525</t>
        </is>
      </c>
      <c r="B8352" s="56" t="n">
        <v>45793.39722222222</v>
      </c>
      <c r="C8352" t="inlineStr">
        <is>
          <t>Bluestone Memorial Hospital</t>
        </is>
      </c>
      <c r="D8352" t="n">
        <v>53</v>
      </c>
    </row>
    <row r="8353">
      <c r="A8353" t="inlineStr">
        <is>
          <t>ED208526</t>
        </is>
      </c>
      <c r="B8353" s="56" t="n">
        <v>45793.41180555556</v>
      </c>
      <c r="C8353" t="inlineStr">
        <is>
          <t>Bluestone Memorial Hospital</t>
        </is>
      </c>
      <c r="D8353" t="n">
        <v>98</v>
      </c>
    </row>
    <row r="8354">
      <c r="A8354" t="inlineStr">
        <is>
          <t>ED208527</t>
        </is>
      </c>
      <c r="B8354" s="56" t="n">
        <v>45793.43402777778</v>
      </c>
      <c r="C8354" t="inlineStr">
        <is>
          <t>Ashby Falls Community Hospital</t>
        </is>
      </c>
      <c r="D8354" t="n">
        <v>22</v>
      </c>
    </row>
    <row r="8355">
      <c r="A8355" t="inlineStr">
        <is>
          <t>ED208528</t>
        </is>
      </c>
      <c r="B8355" s="56" t="n">
        <v>45793.57222222222</v>
      </c>
      <c r="C8355" t="inlineStr">
        <is>
          <t>Bluestone Memorial Hospital</t>
        </is>
      </c>
      <c r="D8355" t="n">
        <v>76</v>
      </c>
    </row>
    <row r="8356">
      <c r="A8356" t="inlineStr">
        <is>
          <t>ED208529</t>
        </is>
      </c>
      <c r="B8356" s="56" t="n">
        <v>45793.58402777778</v>
      </c>
      <c r="C8356" t="inlineStr">
        <is>
          <t>Bluestone Memorial Hospital</t>
        </is>
      </c>
      <c r="D8356" t="n">
        <v>41</v>
      </c>
    </row>
    <row r="8357">
      <c r="A8357" t="inlineStr">
        <is>
          <t>ED208530</t>
        </is>
      </c>
      <c r="B8357" s="56" t="n">
        <v>45793.6375</v>
      </c>
      <c r="C8357" t="inlineStr">
        <is>
          <t>Bluestone Memorial Hospital</t>
        </is>
      </c>
      <c r="D8357" t="n">
        <v>3</v>
      </c>
    </row>
    <row r="8358">
      <c r="A8358" t="inlineStr">
        <is>
          <t>ED208531</t>
        </is>
      </c>
      <c r="B8358" s="56" t="n">
        <v>45793.67638888889</v>
      </c>
      <c r="C8358" t="inlineStr">
        <is>
          <t>Bluestone Memorial Hospital</t>
        </is>
      </c>
      <c r="D8358" t="n">
        <v>15</v>
      </c>
    </row>
    <row r="8359">
      <c r="A8359" t="inlineStr">
        <is>
          <t>ED208532</t>
        </is>
      </c>
      <c r="B8359" s="56" t="n">
        <v>45793.70625</v>
      </c>
      <c r="C8359" t="inlineStr">
        <is>
          <t>Bluestone Memorial Hospital</t>
        </is>
      </c>
      <c r="D8359" t="n">
        <v>23</v>
      </c>
    </row>
    <row r="8360">
      <c r="A8360" t="inlineStr">
        <is>
          <t>ED208533</t>
        </is>
      </c>
      <c r="B8360" s="56" t="n">
        <v>45793.85972222222</v>
      </c>
      <c r="C8360" t="inlineStr">
        <is>
          <t>Cedar Ridge Medical Center</t>
        </is>
      </c>
      <c r="D8360" t="n">
        <v>52</v>
      </c>
    </row>
    <row r="8361">
      <c r="A8361" t="inlineStr">
        <is>
          <t>ED208534</t>
        </is>
      </c>
      <c r="B8361" s="56" t="n">
        <v>45794.26180555556</v>
      </c>
      <c r="C8361" t="inlineStr">
        <is>
          <t>Bluestone Memorial Hospital</t>
        </is>
      </c>
      <c r="D8361" t="n">
        <v>22</v>
      </c>
    </row>
    <row r="8362">
      <c r="A8362" t="inlineStr">
        <is>
          <t>ED208535</t>
        </is>
      </c>
      <c r="B8362" s="56" t="n">
        <v>45794.34513888889</v>
      </c>
      <c r="C8362" t="inlineStr">
        <is>
          <t>Bluestone Memorial Hospital</t>
        </is>
      </c>
      <c r="D8362" t="n">
        <v>36</v>
      </c>
    </row>
    <row r="8363">
      <c r="A8363" t="inlineStr">
        <is>
          <t>ED208536</t>
        </is>
      </c>
      <c r="B8363" s="56" t="n">
        <v>45794.34861111111</v>
      </c>
      <c r="C8363" t="inlineStr">
        <is>
          <t>Ashby Falls Community Hospital</t>
        </is>
      </c>
      <c r="D8363" t="n">
        <v>61</v>
      </c>
    </row>
    <row r="8364">
      <c r="A8364" t="inlineStr">
        <is>
          <t>ED208537</t>
        </is>
      </c>
      <c r="B8364" s="56" t="n">
        <v>45794.36597222222</v>
      </c>
      <c r="C8364" t="inlineStr">
        <is>
          <t>Ashby Falls Community Hospital</t>
        </is>
      </c>
      <c r="D8364" t="n">
        <v>18</v>
      </c>
    </row>
    <row r="8365">
      <c r="A8365" t="inlineStr">
        <is>
          <t>ED208538</t>
        </is>
      </c>
      <c r="B8365" s="56" t="n">
        <v>45794.43472222222</v>
      </c>
      <c r="C8365" t="inlineStr">
        <is>
          <t>Bluestone Memorial Hospital</t>
        </is>
      </c>
      <c r="D8365" t="n">
        <v>31</v>
      </c>
    </row>
    <row r="8366">
      <c r="A8366" t="inlineStr">
        <is>
          <t>ED208539</t>
        </is>
      </c>
      <c r="B8366" s="56" t="n">
        <v>45794.43888888889</v>
      </c>
      <c r="C8366" t="inlineStr">
        <is>
          <t>Ashby Falls Community Hospital</t>
        </is>
      </c>
      <c r="D8366" t="n">
        <v>68</v>
      </c>
    </row>
    <row r="8367">
      <c r="A8367" t="inlineStr">
        <is>
          <t>ED208540</t>
        </is>
      </c>
      <c r="B8367" s="56" t="n">
        <v>45794.49166666667</v>
      </c>
      <c r="C8367" t="inlineStr">
        <is>
          <t>Bluestone Memorial Hospital</t>
        </is>
      </c>
      <c r="D8367" t="n">
        <v>19</v>
      </c>
    </row>
    <row r="8368">
      <c r="A8368" t="inlineStr">
        <is>
          <t>ED208541</t>
        </is>
      </c>
      <c r="B8368" s="56" t="n">
        <v>45794.49236111111</v>
      </c>
      <c r="C8368" t="inlineStr">
        <is>
          <t>Bluestone Memorial Hospital</t>
        </is>
      </c>
      <c r="D8368" t="n">
        <v>54</v>
      </c>
    </row>
    <row r="8369">
      <c r="A8369" t="inlineStr">
        <is>
          <t>ED208542</t>
        </is>
      </c>
      <c r="B8369" s="56" t="n">
        <v>45794.51180555556</v>
      </c>
      <c r="C8369" t="inlineStr">
        <is>
          <t>Bluestone Memorial Hospital</t>
        </is>
      </c>
      <c r="D8369" t="n">
        <v>34</v>
      </c>
    </row>
    <row r="8370">
      <c r="A8370" t="inlineStr">
        <is>
          <t>ED208543</t>
        </is>
      </c>
      <c r="B8370" s="56" t="n">
        <v>45794.51458333333</v>
      </c>
      <c r="C8370" t="inlineStr">
        <is>
          <t>Cedar Ridge Medical Center</t>
        </is>
      </c>
      <c r="D8370" t="n">
        <v>43</v>
      </c>
    </row>
    <row r="8371">
      <c r="A8371" t="inlineStr">
        <is>
          <t>ED208544</t>
        </is>
      </c>
      <c r="B8371" s="56" t="n">
        <v>45794.53055555555</v>
      </c>
      <c r="C8371" t="inlineStr">
        <is>
          <t>Cedar Ridge Medical Center</t>
        </is>
      </c>
      <c r="D8371" t="n">
        <v>128</v>
      </c>
    </row>
    <row r="8372">
      <c r="A8372" t="inlineStr">
        <is>
          <t>ED208545</t>
        </is>
      </c>
      <c r="B8372" s="56" t="n">
        <v>45794.54513888889</v>
      </c>
      <c r="C8372" t="inlineStr">
        <is>
          <t>Bluestone Memorial Hospital</t>
        </is>
      </c>
      <c r="D8372" t="n">
        <v>108</v>
      </c>
    </row>
    <row r="8373">
      <c r="A8373" t="inlineStr">
        <is>
          <t>ED208546</t>
        </is>
      </c>
      <c r="B8373" s="56" t="n">
        <v>45794.60208333333</v>
      </c>
      <c r="C8373" t="inlineStr">
        <is>
          <t>Bluestone Memorial Hospital</t>
        </is>
      </c>
      <c r="D8373" t="n">
        <v>99</v>
      </c>
    </row>
    <row r="8374">
      <c r="A8374" t="inlineStr">
        <is>
          <t>ED208547</t>
        </is>
      </c>
      <c r="B8374" s="56" t="n">
        <v>45794.67916666667</v>
      </c>
      <c r="C8374" t="inlineStr">
        <is>
          <t>Bluestone Memorial Hospital</t>
        </is>
      </c>
      <c r="D8374" t="n">
        <v>36</v>
      </c>
    </row>
    <row r="8375">
      <c r="A8375" t="inlineStr">
        <is>
          <t>ED208548</t>
        </is>
      </c>
      <c r="B8375" s="56" t="n">
        <v>45794.69722222222</v>
      </c>
      <c r="C8375" t="inlineStr">
        <is>
          <t>Ashby Falls Community Hospital</t>
        </is>
      </c>
      <c r="D8375" t="n">
        <v>13</v>
      </c>
    </row>
    <row r="8376">
      <c r="A8376" t="inlineStr">
        <is>
          <t>ED208549</t>
        </is>
      </c>
      <c r="B8376" s="56" t="n">
        <v>45794.72916666666</v>
      </c>
      <c r="C8376" t="inlineStr">
        <is>
          <t>Bluestone Memorial Hospital</t>
        </is>
      </c>
      <c r="D8376" t="n">
        <v>93</v>
      </c>
    </row>
    <row r="8377">
      <c r="A8377" t="inlineStr">
        <is>
          <t>ED208550</t>
        </is>
      </c>
      <c r="B8377" s="56" t="n">
        <v>45794.73819444444</v>
      </c>
      <c r="C8377" t="inlineStr">
        <is>
          <t>Bluestone Memorial Hospital</t>
        </is>
      </c>
      <c r="D8377" t="n">
        <v>32</v>
      </c>
    </row>
    <row r="8378">
      <c r="A8378" t="inlineStr">
        <is>
          <t>ED208551</t>
        </is>
      </c>
      <c r="B8378" s="56" t="n">
        <v>45794.80486111111</v>
      </c>
      <c r="C8378" t="inlineStr">
        <is>
          <t>Ashby Falls Community Hospital</t>
        </is>
      </c>
      <c r="D8378" t="n">
        <v>21</v>
      </c>
    </row>
    <row r="8379">
      <c r="A8379" t="inlineStr">
        <is>
          <t>ED208552</t>
        </is>
      </c>
      <c r="B8379" s="56" t="n">
        <v>45794.95694444444</v>
      </c>
      <c r="C8379" t="inlineStr">
        <is>
          <t>Bluestone Memorial Hospital</t>
        </is>
      </c>
      <c r="D8379" t="n">
        <v>18</v>
      </c>
    </row>
    <row r="8380">
      <c r="A8380" t="inlineStr">
        <is>
          <t>ED208553</t>
        </is>
      </c>
      <c r="B8380" s="56" t="n">
        <v>45795.24791666667</v>
      </c>
      <c r="C8380" t="inlineStr">
        <is>
          <t>Bluestone Memorial Hospital</t>
        </is>
      </c>
      <c r="D8380" t="n">
        <v>21</v>
      </c>
    </row>
    <row r="8381">
      <c r="A8381" t="inlineStr">
        <is>
          <t>ED208554</t>
        </is>
      </c>
      <c r="B8381" s="56" t="n">
        <v>45795.30138888889</v>
      </c>
      <c r="C8381" t="inlineStr">
        <is>
          <t>Bluestone Memorial Hospital</t>
        </is>
      </c>
      <c r="D8381" t="n">
        <v>143</v>
      </c>
    </row>
    <row r="8382">
      <c r="A8382" t="inlineStr">
        <is>
          <t>ED208555</t>
        </is>
      </c>
      <c r="B8382" s="56" t="n">
        <v>45795.32708333333</v>
      </c>
      <c r="C8382" t="inlineStr">
        <is>
          <t>Bluestone Memorial Hospital</t>
        </is>
      </c>
      <c r="D8382" t="n">
        <v>26</v>
      </c>
    </row>
    <row r="8383">
      <c r="A8383" t="inlineStr">
        <is>
          <t>ED208556</t>
        </is>
      </c>
      <c r="B8383" s="56" t="n">
        <v>45795.36944444444</v>
      </c>
      <c r="C8383" t="inlineStr">
        <is>
          <t>Bluestone Memorial Hospital</t>
        </is>
      </c>
      <c r="D8383" t="n">
        <v>51</v>
      </c>
    </row>
    <row r="8384">
      <c r="A8384" t="inlineStr">
        <is>
          <t>ED208557</t>
        </is>
      </c>
      <c r="B8384" s="56" t="n">
        <v>45795.45555555556</v>
      </c>
      <c r="C8384" t="inlineStr">
        <is>
          <t>Bluestone Memorial Hospital</t>
        </is>
      </c>
      <c r="D8384" t="n">
        <v>42</v>
      </c>
    </row>
    <row r="8385">
      <c r="A8385" t="inlineStr">
        <is>
          <t>ED208558</t>
        </is>
      </c>
      <c r="B8385" s="56" t="n">
        <v>45795.46875</v>
      </c>
      <c r="C8385" t="inlineStr">
        <is>
          <t>Bluestone Memorial Hospital</t>
        </is>
      </c>
      <c r="D8385" t="n">
        <v>16</v>
      </c>
    </row>
    <row r="8386">
      <c r="A8386" t="inlineStr">
        <is>
          <t>ED208559</t>
        </is>
      </c>
      <c r="B8386" s="56" t="n">
        <v>45795.47430555556</v>
      </c>
      <c r="C8386" t="inlineStr">
        <is>
          <t>Bluestone Memorial Hospital</t>
        </is>
      </c>
      <c r="D8386" t="n">
        <v>35</v>
      </c>
    </row>
    <row r="8387">
      <c r="A8387" t="inlineStr">
        <is>
          <t>ED208560</t>
        </is>
      </c>
      <c r="B8387" s="56" t="n">
        <v>45795.47430555556</v>
      </c>
      <c r="C8387" t="inlineStr">
        <is>
          <t>Bluestone Memorial Hospital</t>
        </is>
      </c>
      <c r="D8387" t="n">
        <v>24</v>
      </c>
    </row>
    <row r="8388">
      <c r="A8388" t="inlineStr">
        <is>
          <t>ED208561</t>
        </is>
      </c>
      <c r="B8388" s="56" t="n">
        <v>45795.56805555556</v>
      </c>
      <c r="C8388" t="inlineStr">
        <is>
          <t>Bluestone Memorial Hospital</t>
        </is>
      </c>
      <c r="D8388" t="n">
        <v>4</v>
      </c>
    </row>
    <row r="8389">
      <c r="A8389" t="inlineStr">
        <is>
          <t>ED208562</t>
        </is>
      </c>
      <c r="B8389" s="56" t="n">
        <v>45795.62569444445</v>
      </c>
      <c r="C8389" t="inlineStr">
        <is>
          <t>Bluestone Memorial Hospital</t>
        </is>
      </c>
      <c r="D8389" t="n">
        <v>17</v>
      </c>
    </row>
    <row r="8390">
      <c r="A8390" t="inlineStr">
        <is>
          <t>ED208563</t>
        </is>
      </c>
      <c r="B8390" s="56" t="n">
        <v>45795.62847222222</v>
      </c>
      <c r="C8390" t="inlineStr">
        <is>
          <t>Bluestone Memorial Hospital</t>
        </is>
      </c>
      <c r="D8390" t="n">
        <v>148</v>
      </c>
    </row>
    <row r="8391">
      <c r="A8391" t="inlineStr">
        <is>
          <t>ED208564</t>
        </is>
      </c>
      <c r="B8391" s="56" t="n">
        <v>45795.65277777778</v>
      </c>
      <c r="C8391" t="inlineStr">
        <is>
          <t>Bluestone Memorial Hospital</t>
        </is>
      </c>
      <c r="D8391" t="n">
        <v>83</v>
      </c>
    </row>
    <row r="8392">
      <c r="A8392" t="inlineStr">
        <is>
          <t>ED208565</t>
        </is>
      </c>
      <c r="B8392" s="56" t="n">
        <v>45795.69166666667</v>
      </c>
      <c r="C8392" t="inlineStr">
        <is>
          <t>Bluestone Memorial Hospital</t>
        </is>
      </c>
      <c r="D8392" t="n">
        <v>38</v>
      </c>
    </row>
    <row r="8393">
      <c r="A8393" t="inlineStr">
        <is>
          <t>ED208566</t>
        </is>
      </c>
      <c r="B8393" s="56" t="n">
        <v>45795.72708333333</v>
      </c>
      <c r="C8393" t="inlineStr">
        <is>
          <t>Bluestone Memorial Hospital</t>
        </is>
      </c>
      <c r="D8393" t="n">
        <v>59</v>
      </c>
    </row>
    <row r="8394">
      <c r="A8394" t="inlineStr">
        <is>
          <t>ED208567</t>
        </is>
      </c>
      <c r="B8394" s="56" t="n">
        <v>45795.73263888889</v>
      </c>
      <c r="C8394" t="inlineStr">
        <is>
          <t>Bluestone Memorial Hospital</t>
        </is>
      </c>
      <c r="D8394" t="n">
        <v>75</v>
      </c>
    </row>
    <row r="8395">
      <c r="A8395" t="inlineStr">
        <is>
          <t>ED208568</t>
        </is>
      </c>
      <c r="B8395" s="56" t="n">
        <v>45795.75902777778</v>
      </c>
      <c r="C8395" t="inlineStr">
        <is>
          <t>Bluestone Memorial Hospital</t>
        </is>
      </c>
      <c r="D8395" t="n">
        <v>112</v>
      </c>
    </row>
    <row r="8396">
      <c r="A8396" t="inlineStr">
        <is>
          <t>ED208569</t>
        </is>
      </c>
      <c r="B8396" s="56" t="n">
        <v>45795.92361111111</v>
      </c>
      <c r="C8396" t="inlineStr">
        <is>
          <t>Bluestone Memorial Hospital</t>
        </is>
      </c>
      <c r="D8396" t="n">
        <v>27</v>
      </c>
    </row>
    <row r="8397">
      <c r="A8397" t="inlineStr">
        <is>
          <t>ED208570</t>
        </is>
      </c>
      <c r="B8397" s="56" t="n">
        <v>45795.92986111111</v>
      </c>
      <c r="C8397" t="inlineStr">
        <is>
          <t>Bluestone Memorial Hospital</t>
        </is>
      </c>
      <c r="D8397" t="n">
        <v>81</v>
      </c>
    </row>
    <row r="8398">
      <c r="A8398" t="inlineStr">
        <is>
          <t>ED208571</t>
        </is>
      </c>
      <c r="B8398" s="56" t="n">
        <v>45796.14861111111</v>
      </c>
      <c r="C8398" t="inlineStr">
        <is>
          <t>Bluestone Memorial Hospital</t>
        </is>
      </c>
      <c r="D8398" t="n">
        <v>46</v>
      </c>
    </row>
    <row r="8399">
      <c r="A8399" t="inlineStr">
        <is>
          <t>ED208572</t>
        </is>
      </c>
      <c r="B8399" s="56" t="n">
        <v>45796.16180555556</v>
      </c>
      <c r="C8399" t="inlineStr">
        <is>
          <t>Ashby Falls Community Hospital</t>
        </is>
      </c>
      <c r="D8399" t="n">
        <v>29</v>
      </c>
    </row>
    <row r="8400">
      <c r="A8400" t="inlineStr">
        <is>
          <t>ED208573</t>
        </is>
      </c>
      <c r="B8400" s="56" t="n">
        <v>45796.40208333333</v>
      </c>
      <c r="C8400" t="inlineStr">
        <is>
          <t>Cedar Ridge Medical Center</t>
        </is>
      </c>
      <c r="D8400" t="n">
        <v>27</v>
      </c>
    </row>
    <row r="8401">
      <c r="A8401" t="inlineStr">
        <is>
          <t>ED208574</t>
        </is>
      </c>
      <c r="B8401" s="56" t="n">
        <v>45796.43402777778</v>
      </c>
      <c r="C8401" t="inlineStr">
        <is>
          <t>Bluestone Memorial Hospital</t>
        </is>
      </c>
      <c r="D8401" t="n">
        <v>51</v>
      </c>
    </row>
    <row r="8402">
      <c r="A8402" t="inlineStr">
        <is>
          <t>ED208575</t>
        </is>
      </c>
      <c r="B8402" s="56" t="n">
        <v>45796.43958333333</v>
      </c>
      <c r="C8402" t="inlineStr">
        <is>
          <t>Bluestone Memorial Hospital</t>
        </is>
      </c>
      <c r="D8402" t="n">
        <v>26</v>
      </c>
    </row>
    <row r="8403">
      <c r="A8403" t="inlineStr">
        <is>
          <t>ED208576</t>
        </is>
      </c>
      <c r="B8403" s="56" t="n">
        <v>45796.48055555556</v>
      </c>
      <c r="C8403" t="inlineStr">
        <is>
          <t>Bluestone Memorial Hospital</t>
        </is>
      </c>
      <c r="D8403" t="n">
        <v>82</v>
      </c>
    </row>
    <row r="8404">
      <c r="A8404" t="inlineStr">
        <is>
          <t>ED208577</t>
        </is>
      </c>
      <c r="B8404" s="56" t="n">
        <v>45796.48194444444</v>
      </c>
      <c r="C8404" t="inlineStr">
        <is>
          <t>Bluestone Memorial Hospital</t>
        </is>
      </c>
      <c r="D8404" t="n">
        <v>23</v>
      </c>
    </row>
    <row r="8405">
      <c r="A8405" t="inlineStr">
        <is>
          <t>ED208578</t>
        </is>
      </c>
      <c r="B8405" s="56" t="n">
        <v>45796.49583333333</v>
      </c>
      <c r="C8405" t="inlineStr">
        <is>
          <t>Bluestone Memorial Hospital</t>
        </is>
      </c>
      <c r="D8405" t="n">
        <v>106</v>
      </c>
    </row>
    <row r="8406">
      <c r="A8406" t="inlineStr">
        <is>
          <t>ED208579</t>
        </is>
      </c>
      <c r="B8406" s="56" t="n">
        <v>45796.49791666667</v>
      </c>
      <c r="C8406" t="inlineStr">
        <is>
          <t>Cedar Ridge Medical Center</t>
        </is>
      </c>
      <c r="D8406" t="n">
        <v>117</v>
      </c>
    </row>
    <row r="8407">
      <c r="A8407" t="inlineStr">
        <is>
          <t>ED208580</t>
        </is>
      </c>
      <c r="B8407" s="56" t="n">
        <v>45796.60347222222</v>
      </c>
      <c r="C8407" t="inlineStr">
        <is>
          <t>Bluestone Memorial Hospital</t>
        </is>
      </c>
      <c r="D8407" t="n">
        <v>32</v>
      </c>
    </row>
    <row r="8408">
      <c r="A8408" t="inlineStr">
        <is>
          <t>ED208581</t>
        </is>
      </c>
      <c r="B8408" s="56" t="n">
        <v>45796.60833333333</v>
      </c>
      <c r="C8408" t="inlineStr">
        <is>
          <t>Ashby Falls Community Hospital</t>
        </is>
      </c>
      <c r="D8408" t="n">
        <v>45</v>
      </c>
    </row>
    <row r="8409">
      <c r="A8409" t="inlineStr">
        <is>
          <t>ED208582</t>
        </is>
      </c>
      <c r="B8409" s="56" t="n">
        <v>45796.66388888889</v>
      </c>
      <c r="C8409" t="inlineStr">
        <is>
          <t>Bluestone Memorial Hospital</t>
        </is>
      </c>
      <c r="D8409" t="n">
        <v>95</v>
      </c>
    </row>
    <row r="8410">
      <c r="A8410" t="inlineStr">
        <is>
          <t>ED208583</t>
        </is>
      </c>
      <c r="B8410" s="56" t="n">
        <v>45796.74722222222</v>
      </c>
      <c r="C8410" t="inlineStr">
        <is>
          <t>Bluestone Memorial Hospital</t>
        </is>
      </c>
      <c r="D8410" t="n">
        <v>18</v>
      </c>
    </row>
    <row r="8411">
      <c r="A8411" t="inlineStr">
        <is>
          <t>ED208584</t>
        </is>
      </c>
      <c r="B8411" s="56" t="n">
        <v>45796.75694444445</v>
      </c>
      <c r="C8411" t="inlineStr">
        <is>
          <t>Bluestone Memorial Hospital</t>
        </is>
      </c>
      <c r="D8411" t="n">
        <v>52</v>
      </c>
    </row>
    <row r="8412">
      <c r="A8412" t="inlineStr">
        <is>
          <t>ED208585</t>
        </is>
      </c>
      <c r="B8412" s="56" t="n">
        <v>45796.80138888889</v>
      </c>
      <c r="C8412" t="inlineStr">
        <is>
          <t>Bluestone Memorial Hospital</t>
        </is>
      </c>
      <c r="D8412" t="n">
        <v>36</v>
      </c>
    </row>
    <row r="8413">
      <c r="A8413" t="inlineStr">
        <is>
          <t>ED208586</t>
        </is>
      </c>
      <c r="B8413" s="56" t="n">
        <v>45796.84444444445</v>
      </c>
      <c r="C8413" t="inlineStr">
        <is>
          <t>Cedar Ridge Medical Center</t>
        </is>
      </c>
      <c r="D8413" t="n">
        <v>90</v>
      </c>
    </row>
    <row r="8414">
      <c r="A8414" t="inlineStr">
        <is>
          <t>ED208587</t>
        </is>
      </c>
      <c r="B8414" s="56" t="n">
        <v>45796.88125</v>
      </c>
      <c r="C8414" t="inlineStr">
        <is>
          <t>Bluestone Memorial Hospital</t>
        </is>
      </c>
      <c r="D8414" t="n">
        <v>13</v>
      </c>
    </row>
    <row r="8415">
      <c r="A8415" t="inlineStr">
        <is>
          <t>ED208588</t>
        </is>
      </c>
      <c r="B8415" s="56" t="n">
        <v>45796.90555555555</v>
      </c>
      <c r="C8415" t="inlineStr">
        <is>
          <t>Bluestone Memorial Hospital</t>
        </is>
      </c>
      <c r="D8415" t="n">
        <v>39</v>
      </c>
    </row>
    <row r="8416">
      <c r="A8416" t="inlineStr">
        <is>
          <t>ED208589</t>
        </is>
      </c>
      <c r="B8416" s="56" t="n">
        <v>45797.32013888889</v>
      </c>
      <c r="C8416" t="inlineStr">
        <is>
          <t>Bluestone Memorial Hospital</t>
        </is>
      </c>
      <c r="D8416" t="n">
        <v>96</v>
      </c>
    </row>
    <row r="8417">
      <c r="A8417" t="inlineStr">
        <is>
          <t>ED208590</t>
        </is>
      </c>
      <c r="B8417" s="56" t="n">
        <v>45797.33819444444</v>
      </c>
      <c r="C8417" t="inlineStr">
        <is>
          <t>Bluestone Memorial Hospital</t>
        </is>
      </c>
      <c r="D8417" t="n">
        <v>81</v>
      </c>
    </row>
    <row r="8418">
      <c r="A8418" t="inlineStr">
        <is>
          <t>ED208591</t>
        </is>
      </c>
      <c r="B8418" s="56" t="n">
        <v>45797.47777777778</v>
      </c>
      <c r="C8418" t="inlineStr">
        <is>
          <t>Ashby Falls Community Hospital</t>
        </is>
      </c>
      <c r="D8418" t="n">
        <v>143</v>
      </c>
    </row>
    <row r="8419">
      <c r="A8419" t="inlineStr">
        <is>
          <t>ED208592</t>
        </is>
      </c>
      <c r="B8419" s="56" t="n">
        <v>45797.51666666667</v>
      </c>
      <c r="C8419" t="inlineStr">
        <is>
          <t>Bluestone Memorial Hospital</t>
        </is>
      </c>
      <c r="D8419" t="n">
        <v>11</v>
      </c>
    </row>
    <row r="8420">
      <c r="A8420" t="inlineStr">
        <is>
          <t>ED208593</t>
        </is>
      </c>
      <c r="B8420" s="56" t="n">
        <v>45797.54652777778</v>
      </c>
      <c r="C8420" t="inlineStr">
        <is>
          <t>Cedar Ridge Medical Center</t>
        </is>
      </c>
      <c r="D8420" t="n">
        <v>110</v>
      </c>
    </row>
    <row r="8421">
      <c r="A8421" t="inlineStr">
        <is>
          <t>ED208594</t>
        </is>
      </c>
      <c r="B8421" s="56" t="n">
        <v>45797.57430555556</v>
      </c>
      <c r="C8421" t="inlineStr">
        <is>
          <t>Ashby Falls Community Hospital</t>
        </is>
      </c>
      <c r="D8421" t="n">
        <v>69</v>
      </c>
    </row>
    <row r="8422">
      <c r="A8422" t="inlineStr">
        <is>
          <t>ED208595</t>
        </is>
      </c>
      <c r="B8422" s="56" t="n">
        <v>45797.58263888889</v>
      </c>
      <c r="C8422" t="inlineStr">
        <is>
          <t>Bluestone Memorial Hospital</t>
        </is>
      </c>
      <c r="D8422" t="n">
        <v>44</v>
      </c>
    </row>
    <row r="8423">
      <c r="A8423" t="inlineStr">
        <is>
          <t>ED208596</t>
        </is>
      </c>
      <c r="B8423" s="56" t="n">
        <v>45797.58680555555</v>
      </c>
      <c r="C8423" t="inlineStr">
        <is>
          <t>Cedar Ridge Medical Center</t>
        </is>
      </c>
      <c r="D8423" t="n">
        <v>20</v>
      </c>
    </row>
    <row r="8424">
      <c r="A8424" t="inlineStr">
        <is>
          <t>ED208597</t>
        </is>
      </c>
      <c r="B8424" s="56" t="n">
        <v>45797.61041666667</v>
      </c>
      <c r="C8424" t="inlineStr">
        <is>
          <t>Bluestone Memorial Hospital</t>
        </is>
      </c>
      <c r="D8424" t="n">
        <v>65</v>
      </c>
    </row>
    <row r="8425">
      <c r="A8425" t="inlineStr">
        <is>
          <t>ED208598</t>
        </is>
      </c>
      <c r="B8425" s="56" t="n">
        <v>45797.64027777778</v>
      </c>
      <c r="C8425" t="inlineStr">
        <is>
          <t>Bluestone Memorial Hospital</t>
        </is>
      </c>
      <c r="D8425" t="n">
        <v>118</v>
      </c>
    </row>
    <row r="8426">
      <c r="A8426" t="inlineStr">
        <is>
          <t>ED208599</t>
        </is>
      </c>
      <c r="B8426" s="56" t="n">
        <v>45797.64444444444</v>
      </c>
      <c r="C8426" t="inlineStr">
        <is>
          <t>Cedar Ridge Medical Center</t>
        </is>
      </c>
      <c r="D8426" t="n">
        <v>68</v>
      </c>
    </row>
    <row r="8427">
      <c r="A8427" t="inlineStr">
        <is>
          <t>ED208600</t>
        </is>
      </c>
      <c r="B8427" s="56" t="n">
        <v>45797.67916666667</v>
      </c>
      <c r="C8427" t="inlineStr">
        <is>
          <t>Bluestone Memorial Hospital</t>
        </is>
      </c>
      <c r="D8427" t="n">
        <v>60</v>
      </c>
    </row>
    <row r="8428">
      <c r="A8428" t="inlineStr">
        <is>
          <t>ED208601</t>
        </is>
      </c>
      <c r="B8428" s="56" t="n">
        <v>45797.7</v>
      </c>
      <c r="C8428" t="inlineStr">
        <is>
          <t>Bluestone Memorial Hospital</t>
        </is>
      </c>
      <c r="D8428" t="n">
        <v>122</v>
      </c>
    </row>
    <row r="8429">
      <c r="A8429" t="inlineStr">
        <is>
          <t>ED208602</t>
        </is>
      </c>
      <c r="B8429" s="56" t="n">
        <v>45797.70694444444</v>
      </c>
      <c r="C8429" t="inlineStr">
        <is>
          <t>Cedar Ridge Medical Center</t>
        </is>
      </c>
      <c r="D8429" t="n">
        <v>30</v>
      </c>
    </row>
    <row r="8430">
      <c r="A8430" t="inlineStr">
        <is>
          <t>ED208603</t>
        </is>
      </c>
      <c r="B8430" s="56" t="n">
        <v>45797.71944444445</v>
      </c>
      <c r="C8430" t="inlineStr">
        <is>
          <t>Bluestone Memorial Hospital</t>
        </is>
      </c>
      <c r="D8430" t="n">
        <v>99</v>
      </c>
    </row>
    <row r="8431">
      <c r="A8431" t="inlineStr">
        <is>
          <t>ED208604</t>
        </is>
      </c>
      <c r="B8431" s="56" t="n">
        <v>45797.76180555556</v>
      </c>
      <c r="C8431" t="inlineStr">
        <is>
          <t>Bluestone Memorial Hospital</t>
        </is>
      </c>
      <c r="D8431" t="n">
        <v>29</v>
      </c>
    </row>
    <row r="8432">
      <c r="A8432" t="inlineStr">
        <is>
          <t>ED208605</t>
        </is>
      </c>
      <c r="B8432" s="56" t="n">
        <v>45797.82013888889</v>
      </c>
      <c r="C8432" t="inlineStr">
        <is>
          <t>Cedar Ridge Medical Center</t>
        </is>
      </c>
      <c r="D8432" t="n">
        <v>44</v>
      </c>
    </row>
    <row r="8433">
      <c r="A8433" t="inlineStr">
        <is>
          <t>ED208606</t>
        </is>
      </c>
      <c r="B8433" s="56" t="n">
        <v>45797.825</v>
      </c>
      <c r="C8433" t="inlineStr">
        <is>
          <t>Cedar Ridge Medical Center</t>
        </is>
      </c>
      <c r="D8433" t="n">
        <v>76</v>
      </c>
    </row>
    <row r="8434">
      <c r="A8434" t="inlineStr">
        <is>
          <t>ED208607</t>
        </is>
      </c>
      <c r="B8434" s="56" t="n">
        <v>45797.84583333333</v>
      </c>
      <c r="C8434" t="inlineStr">
        <is>
          <t>Bluestone Memorial Hospital</t>
        </is>
      </c>
      <c r="D8434" t="n">
        <v>35</v>
      </c>
    </row>
    <row r="8435">
      <c r="A8435" t="inlineStr">
        <is>
          <t>ED208608</t>
        </is>
      </c>
      <c r="B8435" s="56" t="n">
        <v>45797.85486111111</v>
      </c>
      <c r="C8435" t="inlineStr">
        <is>
          <t>Bluestone Memorial Hospital</t>
        </is>
      </c>
      <c r="D8435" t="n">
        <v>36</v>
      </c>
    </row>
    <row r="8436">
      <c r="A8436" t="inlineStr">
        <is>
          <t>ED208609</t>
        </is>
      </c>
      <c r="B8436" s="56" t="n">
        <v>45798.29513888889</v>
      </c>
      <c r="C8436" t="inlineStr">
        <is>
          <t>Bluestone Memorial Hospital</t>
        </is>
      </c>
      <c r="D8436" t="n">
        <v>21</v>
      </c>
    </row>
    <row r="8437">
      <c r="A8437" t="inlineStr">
        <is>
          <t>ED208610</t>
        </is>
      </c>
      <c r="B8437" s="56" t="n">
        <v>45798.29652777778</v>
      </c>
      <c r="C8437" t="inlineStr">
        <is>
          <t>Bluestone Memorial Hospital</t>
        </is>
      </c>
      <c r="D8437" t="n">
        <v>18</v>
      </c>
    </row>
    <row r="8438">
      <c r="A8438" t="inlineStr">
        <is>
          <t>ED208611</t>
        </is>
      </c>
      <c r="B8438" s="56" t="n">
        <v>45798.42430555556</v>
      </c>
      <c r="C8438" t="inlineStr">
        <is>
          <t>Bluestone Memorial Hospital</t>
        </is>
      </c>
      <c r="D8438" t="n">
        <v>18</v>
      </c>
    </row>
    <row r="8439">
      <c r="A8439" t="inlineStr">
        <is>
          <t>ED208612</t>
        </is>
      </c>
      <c r="B8439" s="56" t="n">
        <v>45798.47083333333</v>
      </c>
      <c r="C8439" t="inlineStr">
        <is>
          <t>Cedar Ridge Medical Center</t>
        </is>
      </c>
      <c r="D8439" t="n">
        <v>92</v>
      </c>
    </row>
    <row r="8440">
      <c r="A8440" t="inlineStr">
        <is>
          <t>ED208613</t>
        </is>
      </c>
      <c r="B8440" s="56" t="n">
        <v>45798.65277777778</v>
      </c>
      <c r="C8440" t="inlineStr">
        <is>
          <t>Bluestone Memorial Hospital</t>
        </is>
      </c>
      <c r="D8440" t="n">
        <v>15</v>
      </c>
    </row>
    <row r="8441">
      <c r="A8441" t="inlineStr">
        <is>
          <t>ED208614</t>
        </is>
      </c>
      <c r="B8441" s="56" t="n">
        <v>45798.67777777778</v>
      </c>
      <c r="C8441" t="inlineStr">
        <is>
          <t>Bluestone Memorial Hospital</t>
        </is>
      </c>
      <c r="D8441" t="n">
        <v>43</v>
      </c>
    </row>
    <row r="8442">
      <c r="A8442" t="inlineStr">
        <is>
          <t>ED208615</t>
        </is>
      </c>
      <c r="B8442" s="56" t="n">
        <v>45798.69930555556</v>
      </c>
      <c r="C8442" t="inlineStr">
        <is>
          <t>Bluestone Memorial Hospital</t>
        </is>
      </c>
      <c r="D8442" t="n">
        <v>14</v>
      </c>
    </row>
    <row r="8443">
      <c r="A8443" t="inlineStr">
        <is>
          <t>ED208616</t>
        </is>
      </c>
      <c r="B8443" s="56" t="n">
        <v>45798.73263888889</v>
      </c>
      <c r="C8443" t="inlineStr">
        <is>
          <t>Cedar Ridge Medical Center</t>
        </is>
      </c>
      <c r="D8443" t="n">
        <v>18</v>
      </c>
    </row>
    <row r="8444">
      <c r="A8444" t="inlineStr">
        <is>
          <t>ED208617</t>
        </is>
      </c>
      <c r="B8444" s="56" t="n">
        <v>45798.82777777778</v>
      </c>
      <c r="C8444" t="inlineStr">
        <is>
          <t>Bluestone Memorial Hospital</t>
        </is>
      </c>
      <c r="D8444" t="n">
        <v>18</v>
      </c>
    </row>
    <row r="8445">
      <c r="A8445" t="inlineStr">
        <is>
          <t>ED208618</t>
        </is>
      </c>
      <c r="B8445" s="56" t="n">
        <v>45798.88194444445</v>
      </c>
      <c r="C8445" t="inlineStr">
        <is>
          <t>Bluestone Memorial Hospital</t>
        </is>
      </c>
      <c r="D8445" t="n">
        <v>58</v>
      </c>
    </row>
    <row r="8446">
      <c r="A8446" t="inlineStr">
        <is>
          <t>ED208619</t>
        </is>
      </c>
      <c r="B8446" s="56" t="n">
        <v>45799.08819444444</v>
      </c>
      <c r="C8446" t="inlineStr">
        <is>
          <t>Bluestone Memorial Hospital</t>
        </is>
      </c>
      <c r="D8446" t="n">
        <v>69</v>
      </c>
    </row>
    <row r="8447">
      <c r="A8447" t="inlineStr">
        <is>
          <t>ED208620</t>
        </is>
      </c>
      <c r="B8447" s="56" t="n">
        <v>45799.15694444445</v>
      </c>
      <c r="C8447" t="inlineStr">
        <is>
          <t>Bluestone Memorial Hospital</t>
        </is>
      </c>
      <c r="D8447" t="n">
        <v>15</v>
      </c>
    </row>
    <row r="8448">
      <c r="A8448" t="inlineStr">
        <is>
          <t>ED208621</t>
        </is>
      </c>
      <c r="B8448" s="56" t="n">
        <v>45799.17222222222</v>
      </c>
      <c r="C8448" t="inlineStr">
        <is>
          <t>Bluestone Memorial Hospital</t>
        </is>
      </c>
      <c r="D8448" t="n">
        <v>24</v>
      </c>
    </row>
    <row r="8449">
      <c r="A8449" t="inlineStr">
        <is>
          <t>ED208622</t>
        </is>
      </c>
      <c r="B8449" s="56" t="n">
        <v>45799.29444444444</v>
      </c>
      <c r="C8449" t="inlineStr">
        <is>
          <t>Bluestone Memorial Hospital</t>
        </is>
      </c>
      <c r="D8449" t="n">
        <v>32</v>
      </c>
    </row>
    <row r="8450">
      <c r="A8450" t="inlineStr">
        <is>
          <t>ED208623</t>
        </is>
      </c>
      <c r="B8450" s="56" t="n">
        <v>45799.42013888889</v>
      </c>
      <c r="C8450" t="inlineStr">
        <is>
          <t>Bluestone Memorial Hospital</t>
        </is>
      </c>
      <c r="D8450" t="n">
        <v>44</v>
      </c>
    </row>
    <row r="8451">
      <c r="A8451" t="inlineStr">
        <is>
          <t>ED208624</t>
        </is>
      </c>
      <c r="B8451" s="56" t="n">
        <v>45799.46944444445</v>
      </c>
      <c r="C8451" t="inlineStr">
        <is>
          <t>Bluestone Memorial Hospital</t>
        </is>
      </c>
      <c r="D8451" t="n">
        <v>74</v>
      </c>
    </row>
    <row r="8452">
      <c r="A8452" t="inlineStr">
        <is>
          <t>ED208625</t>
        </is>
      </c>
      <c r="B8452" s="56" t="n">
        <v>45799.50763888889</v>
      </c>
      <c r="C8452" t="inlineStr">
        <is>
          <t>Cedar Ridge Medical Center</t>
        </is>
      </c>
      <c r="D8452" t="n">
        <v>62</v>
      </c>
    </row>
    <row r="8453">
      <c r="A8453" t="inlineStr">
        <is>
          <t>ED208626</t>
        </is>
      </c>
      <c r="B8453" s="56" t="n">
        <v>45799.62430555555</v>
      </c>
      <c r="C8453" t="inlineStr">
        <is>
          <t>Cedar Ridge Medical Center</t>
        </is>
      </c>
      <c r="D8453" t="n">
        <v>119</v>
      </c>
    </row>
    <row r="8454">
      <c r="A8454" t="inlineStr">
        <is>
          <t>ED208627</t>
        </is>
      </c>
      <c r="B8454" s="56" t="n">
        <v>45799.66875</v>
      </c>
      <c r="C8454" t="inlineStr">
        <is>
          <t>Cedar Ridge Medical Center</t>
        </is>
      </c>
      <c r="D8454" t="n">
        <v>60</v>
      </c>
    </row>
    <row r="8455">
      <c r="A8455" t="inlineStr">
        <is>
          <t>ED208628</t>
        </is>
      </c>
      <c r="B8455" s="56" t="n">
        <v>45799.70208333333</v>
      </c>
      <c r="C8455" t="inlineStr">
        <is>
          <t>Bluestone Memorial Hospital</t>
        </is>
      </c>
      <c r="D8455" t="n">
        <v>63</v>
      </c>
    </row>
    <row r="8456">
      <c r="A8456" t="inlineStr">
        <is>
          <t>ED208629</t>
        </is>
      </c>
      <c r="B8456" s="56" t="n">
        <v>45799.76458333333</v>
      </c>
      <c r="C8456" t="inlineStr">
        <is>
          <t>Bluestone Memorial Hospital</t>
        </is>
      </c>
      <c r="D8456" t="n">
        <v>8</v>
      </c>
    </row>
    <row r="8457">
      <c r="A8457" t="inlineStr">
        <is>
          <t>ED208630</t>
        </is>
      </c>
      <c r="B8457" s="56" t="n">
        <v>45799.86666666667</v>
      </c>
      <c r="C8457" t="inlineStr">
        <is>
          <t>Bluestone Memorial Hospital</t>
        </is>
      </c>
      <c r="D8457" t="n">
        <v>13</v>
      </c>
    </row>
    <row r="8458">
      <c r="A8458" t="inlineStr">
        <is>
          <t>ED208631</t>
        </is>
      </c>
      <c r="B8458" s="56" t="n">
        <v>45799.99513888889</v>
      </c>
      <c r="C8458" t="inlineStr">
        <is>
          <t>Bluestone Memorial Hospital</t>
        </is>
      </c>
      <c r="D8458" t="n">
        <v>35</v>
      </c>
    </row>
    <row r="8459">
      <c r="A8459" t="inlineStr">
        <is>
          <t>ED208632</t>
        </is>
      </c>
      <c r="B8459" s="56" t="n">
        <v>45800.15277777778</v>
      </c>
      <c r="C8459" t="inlineStr">
        <is>
          <t>Cedar Ridge Medical Center</t>
        </is>
      </c>
      <c r="D8459" t="n">
        <v>14</v>
      </c>
    </row>
    <row r="8460">
      <c r="A8460" t="inlineStr">
        <is>
          <t>ED208633</t>
        </is>
      </c>
      <c r="B8460" s="56" t="n">
        <v>45800.36041666667</v>
      </c>
      <c r="C8460" t="inlineStr">
        <is>
          <t>Cedar Ridge Medical Center</t>
        </is>
      </c>
      <c r="D8460" t="n">
        <v>72</v>
      </c>
    </row>
    <row r="8461">
      <c r="A8461" t="inlineStr">
        <is>
          <t>ED208634</t>
        </is>
      </c>
      <c r="B8461" s="56" t="n">
        <v>45800.52291666667</v>
      </c>
      <c r="C8461" t="inlineStr">
        <is>
          <t>Cedar Ridge Medical Center</t>
        </is>
      </c>
      <c r="D8461" t="n">
        <v>29</v>
      </c>
    </row>
    <row r="8462">
      <c r="A8462" t="inlineStr">
        <is>
          <t>ED208635</t>
        </is>
      </c>
      <c r="B8462" s="56" t="n">
        <v>45800.56944444445</v>
      </c>
      <c r="C8462" t="inlineStr">
        <is>
          <t>Cedar Ridge Medical Center</t>
        </is>
      </c>
      <c r="D8462" t="n">
        <v>55</v>
      </c>
    </row>
    <row r="8463">
      <c r="A8463" t="inlineStr">
        <is>
          <t>ED208636</t>
        </is>
      </c>
      <c r="B8463" s="56" t="n">
        <v>45800.59583333333</v>
      </c>
      <c r="C8463" t="inlineStr">
        <is>
          <t>Cedar Ridge Medical Center</t>
        </is>
      </c>
      <c r="D8463" t="n">
        <v>33</v>
      </c>
    </row>
    <row r="8464">
      <c r="A8464" t="inlineStr">
        <is>
          <t>ED208637</t>
        </is>
      </c>
      <c r="B8464" s="56" t="n">
        <v>45800.61805555555</v>
      </c>
      <c r="C8464" t="inlineStr">
        <is>
          <t>Bluestone Memorial Hospital</t>
        </is>
      </c>
      <c r="D8464" t="n">
        <v>19</v>
      </c>
    </row>
    <row r="8465">
      <c r="A8465" t="inlineStr">
        <is>
          <t>ED208638</t>
        </is>
      </c>
      <c r="B8465" s="56" t="n">
        <v>45800.61875</v>
      </c>
      <c r="C8465" t="inlineStr">
        <is>
          <t>Bluestone Memorial Hospital</t>
        </is>
      </c>
      <c r="D8465" t="n">
        <v>21</v>
      </c>
    </row>
    <row r="8466">
      <c r="A8466" t="inlineStr">
        <is>
          <t>ED208639</t>
        </is>
      </c>
      <c r="B8466" s="56" t="n">
        <v>45800.64166666667</v>
      </c>
      <c r="C8466" t="inlineStr">
        <is>
          <t>Bluestone Memorial Hospital</t>
        </is>
      </c>
      <c r="D8466" t="n">
        <v>109</v>
      </c>
    </row>
    <row r="8467">
      <c r="A8467" t="inlineStr">
        <is>
          <t>ED208640</t>
        </is>
      </c>
      <c r="B8467" s="56" t="n">
        <v>45800.64166666667</v>
      </c>
      <c r="C8467" t="inlineStr">
        <is>
          <t>Bluestone Memorial Hospital</t>
        </is>
      </c>
      <c r="D8467" t="n">
        <v>39</v>
      </c>
    </row>
    <row r="8468">
      <c r="A8468" t="inlineStr">
        <is>
          <t>ED208641</t>
        </is>
      </c>
      <c r="B8468" s="56" t="n">
        <v>45800.64652777778</v>
      </c>
      <c r="C8468" t="inlineStr">
        <is>
          <t>Cedar Ridge Medical Center</t>
        </is>
      </c>
      <c r="D8468" t="n">
        <v>20</v>
      </c>
    </row>
    <row r="8469">
      <c r="A8469" t="inlineStr">
        <is>
          <t>ED208642</t>
        </is>
      </c>
      <c r="B8469" s="56" t="n">
        <v>45800.74513888889</v>
      </c>
      <c r="C8469" t="inlineStr">
        <is>
          <t>Bluestone Memorial Hospital</t>
        </is>
      </c>
      <c r="D8469" t="n">
        <v>103</v>
      </c>
    </row>
    <row r="8470">
      <c r="A8470" t="inlineStr">
        <is>
          <t>ED208643</t>
        </is>
      </c>
      <c r="B8470" s="56" t="n">
        <v>45800.76736111111</v>
      </c>
      <c r="C8470" t="inlineStr">
        <is>
          <t>Bluestone Memorial Hospital</t>
        </is>
      </c>
      <c r="D8470" t="n">
        <v>39</v>
      </c>
    </row>
    <row r="8471">
      <c r="A8471" t="inlineStr">
        <is>
          <t>ED208644</t>
        </is>
      </c>
      <c r="B8471" s="56" t="n">
        <v>45800.79027777778</v>
      </c>
      <c r="C8471" t="inlineStr">
        <is>
          <t>Bluestone Memorial Hospital</t>
        </is>
      </c>
      <c r="D8471" t="n">
        <v>24</v>
      </c>
    </row>
    <row r="8472">
      <c r="A8472" t="inlineStr">
        <is>
          <t>ED208645</t>
        </is>
      </c>
      <c r="B8472" s="56" t="n">
        <v>45800.79652777778</v>
      </c>
      <c r="C8472" t="inlineStr">
        <is>
          <t>Cedar Ridge Medical Center</t>
        </is>
      </c>
      <c r="D8472" t="n">
        <v>104</v>
      </c>
    </row>
    <row r="8473">
      <c r="A8473" t="inlineStr">
        <is>
          <t>ED208646</t>
        </is>
      </c>
      <c r="B8473" s="56" t="n">
        <v>45800.9375</v>
      </c>
      <c r="C8473" t="inlineStr">
        <is>
          <t>Bluestone Memorial Hospital</t>
        </is>
      </c>
      <c r="D8473" t="n">
        <v>66</v>
      </c>
    </row>
    <row r="8474">
      <c r="A8474" t="inlineStr">
        <is>
          <t>ED208647</t>
        </is>
      </c>
      <c r="B8474" s="56" t="n">
        <v>45801.00138888889</v>
      </c>
      <c r="C8474" t="inlineStr">
        <is>
          <t>Bluestone Memorial Hospital</t>
        </is>
      </c>
      <c r="D8474" t="n">
        <v>98</v>
      </c>
    </row>
    <row r="8475">
      <c r="A8475" t="inlineStr">
        <is>
          <t>ED208648</t>
        </is>
      </c>
      <c r="B8475" s="56" t="n">
        <v>45801.23680555556</v>
      </c>
      <c r="C8475" t="inlineStr">
        <is>
          <t>Bluestone Memorial Hospital</t>
        </is>
      </c>
      <c r="D8475" t="n">
        <v>20</v>
      </c>
    </row>
    <row r="8476">
      <c r="A8476" t="inlineStr">
        <is>
          <t>ED208649</t>
        </is>
      </c>
      <c r="B8476" s="56" t="n">
        <v>45801.25347222222</v>
      </c>
      <c r="C8476" t="inlineStr">
        <is>
          <t>Bluestone Memorial Hospital</t>
        </is>
      </c>
      <c r="D8476" t="n">
        <v>21</v>
      </c>
    </row>
    <row r="8477">
      <c r="A8477" t="inlineStr">
        <is>
          <t>ED208650</t>
        </is>
      </c>
      <c r="B8477" s="56" t="n">
        <v>45801.25902777778</v>
      </c>
      <c r="C8477" t="inlineStr">
        <is>
          <t>Cedar Ridge Medical Center</t>
        </is>
      </c>
      <c r="D8477" t="n">
        <v>88</v>
      </c>
    </row>
    <row r="8478">
      <c r="A8478" t="inlineStr">
        <is>
          <t>ED208651</t>
        </is>
      </c>
      <c r="B8478" s="56" t="n">
        <v>45801.33958333333</v>
      </c>
      <c r="C8478" t="inlineStr">
        <is>
          <t>Bluestone Memorial Hospital</t>
        </is>
      </c>
      <c r="D8478" t="n">
        <v>20</v>
      </c>
    </row>
    <row r="8479">
      <c r="A8479" t="inlineStr">
        <is>
          <t>ED208652</t>
        </is>
      </c>
      <c r="B8479" s="56" t="n">
        <v>45801.39166666667</v>
      </c>
      <c r="C8479" t="inlineStr">
        <is>
          <t>Cedar Ridge Medical Center</t>
        </is>
      </c>
      <c r="D8479" t="n">
        <v>6</v>
      </c>
    </row>
    <row r="8480">
      <c r="A8480" t="inlineStr">
        <is>
          <t>ED208653</t>
        </is>
      </c>
      <c r="B8480" s="56" t="n">
        <v>45801.42291666667</v>
      </c>
      <c r="C8480" t="inlineStr">
        <is>
          <t>Ashby Falls Community Hospital</t>
        </is>
      </c>
      <c r="D8480" t="n">
        <v>26</v>
      </c>
    </row>
    <row r="8481">
      <c r="A8481" t="inlineStr">
        <is>
          <t>ED208654</t>
        </is>
      </c>
      <c r="B8481" s="56" t="n">
        <v>45801.57291666666</v>
      </c>
      <c r="C8481" t="inlineStr">
        <is>
          <t>Ashby Falls Community Hospital</t>
        </is>
      </c>
      <c r="D8481" t="n">
        <v>106</v>
      </c>
    </row>
    <row r="8482">
      <c r="A8482" t="inlineStr">
        <is>
          <t>ED208655</t>
        </is>
      </c>
      <c r="B8482" s="56" t="n">
        <v>45801.57708333333</v>
      </c>
      <c r="C8482" t="inlineStr">
        <is>
          <t>Bluestone Memorial Hospital</t>
        </is>
      </c>
      <c r="D8482" t="n">
        <v>23</v>
      </c>
    </row>
    <row r="8483">
      <c r="A8483" t="inlineStr">
        <is>
          <t>ED208656</t>
        </is>
      </c>
      <c r="B8483" s="56" t="n">
        <v>45801.60555555556</v>
      </c>
      <c r="C8483" t="inlineStr">
        <is>
          <t>Bluestone Memorial Hospital</t>
        </is>
      </c>
      <c r="D8483" t="n">
        <v>84</v>
      </c>
    </row>
    <row r="8484">
      <c r="A8484" t="inlineStr">
        <is>
          <t>ED208657</t>
        </is>
      </c>
      <c r="B8484" s="56" t="n">
        <v>45801.68333333333</v>
      </c>
      <c r="C8484" t="inlineStr">
        <is>
          <t>Bluestone Memorial Hospital</t>
        </is>
      </c>
      <c r="D8484" t="n">
        <v>70</v>
      </c>
    </row>
    <row r="8485">
      <c r="A8485" t="inlineStr">
        <is>
          <t>ED208658</t>
        </is>
      </c>
      <c r="B8485" s="56" t="n">
        <v>45801.71319444444</v>
      </c>
      <c r="C8485" t="inlineStr">
        <is>
          <t>Bluestone Memorial Hospital</t>
        </is>
      </c>
      <c r="D8485" t="n">
        <v>18</v>
      </c>
    </row>
    <row r="8486">
      <c r="A8486" t="inlineStr">
        <is>
          <t>ED208659</t>
        </is>
      </c>
      <c r="B8486" s="56" t="n">
        <v>45801.71597222222</v>
      </c>
      <c r="C8486" t="inlineStr">
        <is>
          <t>Cedar Ridge Medical Center</t>
        </is>
      </c>
      <c r="D8486" t="n">
        <v>35</v>
      </c>
    </row>
    <row r="8487">
      <c r="A8487" t="inlineStr">
        <is>
          <t>ED208660</t>
        </is>
      </c>
      <c r="B8487" s="56" t="n">
        <v>45801.8375</v>
      </c>
      <c r="C8487" t="inlineStr">
        <is>
          <t>Bluestone Memorial Hospital</t>
        </is>
      </c>
      <c r="D8487" t="n">
        <v>38</v>
      </c>
    </row>
    <row r="8488">
      <c r="A8488" t="inlineStr">
        <is>
          <t>ED208661</t>
        </is>
      </c>
      <c r="B8488" s="56" t="n">
        <v>45801.94236111111</v>
      </c>
      <c r="C8488" t="inlineStr">
        <is>
          <t>Bluestone Memorial Hospital</t>
        </is>
      </c>
      <c r="D8488" t="n">
        <v>13</v>
      </c>
    </row>
    <row r="8489">
      <c r="A8489" t="inlineStr">
        <is>
          <t>ED208662</t>
        </is>
      </c>
      <c r="B8489" s="56" t="n">
        <v>45802.34722222222</v>
      </c>
      <c r="C8489" t="inlineStr">
        <is>
          <t>Cedar Ridge Medical Center</t>
        </is>
      </c>
      <c r="D8489" t="n">
        <v>18</v>
      </c>
    </row>
    <row r="8490">
      <c r="A8490" t="inlineStr">
        <is>
          <t>ED208663</t>
        </is>
      </c>
      <c r="B8490" s="56" t="n">
        <v>45802.38125</v>
      </c>
      <c r="C8490" t="inlineStr">
        <is>
          <t>Bluestone Memorial Hospital</t>
        </is>
      </c>
      <c r="D8490" t="n">
        <v>27</v>
      </c>
    </row>
    <row r="8491">
      <c r="A8491" t="inlineStr">
        <is>
          <t>ED208664</t>
        </is>
      </c>
      <c r="B8491" s="56" t="n">
        <v>45802.39513888889</v>
      </c>
      <c r="C8491" t="inlineStr">
        <is>
          <t>Bluestone Memorial Hospital</t>
        </is>
      </c>
      <c r="D8491" t="n">
        <v>16</v>
      </c>
    </row>
    <row r="8492">
      <c r="A8492" t="inlineStr">
        <is>
          <t>ED208665</t>
        </is>
      </c>
      <c r="B8492" s="56" t="n">
        <v>45802.41527777778</v>
      </c>
      <c r="C8492" t="inlineStr">
        <is>
          <t>Bluestone Memorial Hospital</t>
        </is>
      </c>
      <c r="D8492" t="n">
        <v>53</v>
      </c>
    </row>
    <row r="8493">
      <c r="A8493" t="inlineStr">
        <is>
          <t>ED208666</t>
        </is>
      </c>
      <c r="B8493" s="56" t="n">
        <v>45802.525</v>
      </c>
      <c r="C8493" t="inlineStr">
        <is>
          <t>Bluestone Memorial Hospital</t>
        </is>
      </c>
      <c r="D8493" t="n">
        <v>61</v>
      </c>
    </row>
    <row r="8494">
      <c r="A8494" t="inlineStr">
        <is>
          <t>ED208667</t>
        </is>
      </c>
      <c r="B8494" s="56" t="n">
        <v>45802.55625</v>
      </c>
      <c r="C8494" t="inlineStr">
        <is>
          <t>Bluestone Memorial Hospital</t>
        </is>
      </c>
      <c r="D8494" t="n">
        <v>59</v>
      </c>
    </row>
    <row r="8495">
      <c r="A8495" t="inlineStr">
        <is>
          <t>ED208668</t>
        </is>
      </c>
      <c r="B8495" s="56" t="n">
        <v>45802.59236111111</v>
      </c>
      <c r="C8495" t="inlineStr">
        <is>
          <t>Ashby Falls Community Hospital</t>
        </is>
      </c>
      <c r="D8495" t="n">
        <v>126</v>
      </c>
    </row>
    <row r="8496">
      <c r="A8496" t="inlineStr">
        <is>
          <t>ED208669</t>
        </is>
      </c>
      <c r="B8496" s="56" t="n">
        <v>45802.65138888889</v>
      </c>
      <c r="C8496" t="inlineStr">
        <is>
          <t>Bluestone Memorial Hospital</t>
        </is>
      </c>
      <c r="D8496" t="n">
        <v>23</v>
      </c>
    </row>
    <row r="8497">
      <c r="A8497" t="inlineStr">
        <is>
          <t>ED208670</t>
        </is>
      </c>
      <c r="B8497" s="56" t="n">
        <v>45802.66666666666</v>
      </c>
      <c r="C8497" t="inlineStr">
        <is>
          <t>Bluestone Memorial Hospital</t>
        </is>
      </c>
      <c r="D8497" t="n">
        <v>46</v>
      </c>
    </row>
    <row r="8498">
      <c r="A8498" t="inlineStr">
        <is>
          <t>ED208671</t>
        </is>
      </c>
      <c r="B8498" s="56" t="n">
        <v>45802.67222222222</v>
      </c>
      <c r="C8498" t="inlineStr">
        <is>
          <t>Bluestone Memorial Hospital</t>
        </is>
      </c>
      <c r="D8498" t="n">
        <v>5</v>
      </c>
    </row>
    <row r="8499">
      <c r="A8499" t="inlineStr">
        <is>
          <t>ED208672</t>
        </is>
      </c>
      <c r="B8499" s="56" t="n">
        <v>45802.85486111111</v>
      </c>
      <c r="C8499" t="inlineStr">
        <is>
          <t>Ashby Falls Community Hospital</t>
        </is>
      </c>
      <c r="D8499" t="n">
        <v>28</v>
      </c>
    </row>
    <row r="8500">
      <c r="A8500" t="inlineStr">
        <is>
          <t>ED208673</t>
        </is>
      </c>
      <c r="B8500" s="56" t="n">
        <v>45802.86180555556</v>
      </c>
      <c r="C8500" t="inlineStr">
        <is>
          <t>Bluestone Memorial Hospital</t>
        </is>
      </c>
      <c r="D8500" t="n">
        <v>30</v>
      </c>
    </row>
    <row r="8501">
      <c r="A8501" t="inlineStr">
        <is>
          <t>ED208674</t>
        </is>
      </c>
      <c r="B8501" s="56" t="n">
        <v>45803.00138888889</v>
      </c>
      <c r="C8501" t="inlineStr">
        <is>
          <t>Bluestone Memorial Hospital</t>
        </is>
      </c>
      <c r="D8501" t="n">
        <v>23</v>
      </c>
    </row>
    <row r="8502">
      <c r="A8502" t="inlineStr">
        <is>
          <t>ED208675</t>
        </is>
      </c>
      <c r="B8502" s="56" t="n">
        <v>45803.06111111111</v>
      </c>
      <c r="C8502" t="inlineStr">
        <is>
          <t>Bluestone Memorial Hospital</t>
        </is>
      </c>
      <c r="D8502" t="n">
        <v>1</v>
      </c>
    </row>
    <row r="8503">
      <c r="A8503" t="inlineStr">
        <is>
          <t>ED208676</t>
        </is>
      </c>
      <c r="B8503" s="56" t="n">
        <v>45803.10555555556</v>
      </c>
      <c r="C8503" t="inlineStr">
        <is>
          <t>Bluestone Memorial Hospital</t>
        </is>
      </c>
      <c r="D8503" t="n">
        <v>20</v>
      </c>
    </row>
    <row r="8504">
      <c r="A8504" t="inlineStr">
        <is>
          <t>ED208677</t>
        </is>
      </c>
      <c r="B8504" s="56" t="n">
        <v>45803.12638888889</v>
      </c>
      <c r="C8504" t="inlineStr">
        <is>
          <t>Bluestone Memorial Hospital</t>
        </is>
      </c>
      <c r="D8504" t="n">
        <v>72</v>
      </c>
    </row>
    <row r="8505">
      <c r="A8505" t="inlineStr">
        <is>
          <t>ED208678</t>
        </is>
      </c>
      <c r="B8505" s="56" t="n">
        <v>45803.38055555556</v>
      </c>
      <c r="C8505" t="inlineStr">
        <is>
          <t>Cedar Ridge Medical Center</t>
        </is>
      </c>
      <c r="D8505" t="n">
        <v>18</v>
      </c>
    </row>
    <row r="8506">
      <c r="A8506" t="inlineStr">
        <is>
          <t>ED208679</t>
        </is>
      </c>
      <c r="B8506" s="56" t="n">
        <v>45803.43402777778</v>
      </c>
      <c r="C8506" t="inlineStr">
        <is>
          <t>Bluestone Memorial Hospital</t>
        </is>
      </c>
      <c r="D8506" t="n">
        <v>89</v>
      </c>
    </row>
    <row r="8507">
      <c r="A8507" t="inlineStr">
        <is>
          <t>ED208680</t>
        </is>
      </c>
      <c r="B8507" s="56" t="n">
        <v>45803.48541666667</v>
      </c>
      <c r="C8507" t="inlineStr">
        <is>
          <t>Cedar Ridge Medical Center</t>
        </is>
      </c>
      <c r="D8507" t="n">
        <v>47</v>
      </c>
    </row>
    <row r="8508">
      <c r="A8508" t="inlineStr">
        <is>
          <t>ED208681</t>
        </is>
      </c>
      <c r="B8508" s="56" t="n">
        <v>45803.55555555555</v>
      </c>
      <c r="C8508" t="inlineStr">
        <is>
          <t>Bluestone Memorial Hospital</t>
        </is>
      </c>
      <c r="D8508" t="n">
        <v>43</v>
      </c>
    </row>
    <row r="8509">
      <c r="A8509" t="inlineStr">
        <is>
          <t>ED208682</t>
        </is>
      </c>
      <c r="B8509" s="56" t="n">
        <v>45803.56666666667</v>
      </c>
      <c r="C8509" t="inlineStr">
        <is>
          <t>Cedar Ridge Medical Center</t>
        </is>
      </c>
      <c r="D8509" t="n">
        <v>43</v>
      </c>
    </row>
    <row r="8510">
      <c r="A8510" t="inlineStr">
        <is>
          <t>ED208683</t>
        </is>
      </c>
      <c r="B8510" s="56" t="n">
        <v>45803.63680555556</v>
      </c>
      <c r="C8510" t="inlineStr">
        <is>
          <t>Bluestone Memorial Hospital</t>
        </is>
      </c>
      <c r="D8510" t="n">
        <v>60</v>
      </c>
    </row>
    <row r="8511">
      <c r="A8511" t="inlineStr">
        <is>
          <t>ED208684</t>
        </is>
      </c>
      <c r="B8511" s="56" t="n">
        <v>45803.66597222222</v>
      </c>
      <c r="C8511" t="inlineStr">
        <is>
          <t>Bluestone Memorial Hospital</t>
        </is>
      </c>
      <c r="D8511" t="n">
        <v>13</v>
      </c>
    </row>
    <row r="8512">
      <c r="A8512" t="inlineStr">
        <is>
          <t>ED208685</t>
        </is>
      </c>
      <c r="B8512" s="56" t="n">
        <v>45803.67708333334</v>
      </c>
      <c r="C8512" t="inlineStr">
        <is>
          <t>Bluestone Memorial Hospital</t>
        </is>
      </c>
      <c r="D8512" t="n">
        <v>16</v>
      </c>
    </row>
    <row r="8513">
      <c r="A8513" t="inlineStr">
        <is>
          <t>ED208686</t>
        </is>
      </c>
      <c r="B8513" s="56" t="n">
        <v>45803.68194444444</v>
      </c>
      <c r="C8513" t="inlineStr">
        <is>
          <t>Bluestone Memorial Hospital</t>
        </is>
      </c>
      <c r="D8513" t="n">
        <v>101</v>
      </c>
    </row>
    <row r="8514">
      <c r="A8514" t="inlineStr">
        <is>
          <t>ED208687</t>
        </is>
      </c>
      <c r="B8514" s="56" t="n">
        <v>45803.75</v>
      </c>
      <c r="C8514" t="inlineStr">
        <is>
          <t>Bluestone Memorial Hospital</t>
        </is>
      </c>
      <c r="D8514" t="n">
        <v>38</v>
      </c>
    </row>
    <row r="8515">
      <c r="A8515" t="inlineStr">
        <is>
          <t>ED208688</t>
        </is>
      </c>
      <c r="B8515" s="56" t="n">
        <v>45803.78055555555</v>
      </c>
      <c r="C8515" t="inlineStr">
        <is>
          <t>Bluestone Memorial Hospital</t>
        </is>
      </c>
      <c r="D8515" t="n">
        <v>35</v>
      </c>
    </row>
    <row r="8516">
      <c r="A8516" t="inlineStr">
        <is>
          <t>ED208689</t>
        </is>
      </c>
      <c r="B8516" s="56" t="n">
        <v>45803.83055555556</v>
      </c>
      <c r="C8516" t="inlineStr">
        <is>
          <t>Bluestone Memorial Hospital</t>
        </is>
      </c>
      <c r="D8516" t="n">
        <v>120</v>
      </c>
    </row>
    <row r="8517">
      <c r="A8517" t="inlineStr">
        <is>
          <t>ED208690</t>
        </is>
      </c>
      <c r="B8517" s="56" t="n">
        <v>45803.85625</v>
      </c>
      <c r="C8517" t="inlineStr">
        <is>
          <t>Cedar Ridge Medical Center</t>
        </is>
      </c>
      <c r="D8517" t="n">
        <v>60</v>
      </c>
    </row>
    <row r="8518">
      <c r="A8518" t="inlineStr">
        <is>
          <t>ED208691</t>
        </is>
      </c>
      <c r="B8518" s="56" t="n">
        <v>45803.86041666667</v>
      </c>
      <c r="C8518" t="inlineStr">
        <is>
          <t>Bluestone Memorial Hospital</t>
        </is>
      </c>
      <c r="D8518" t="n">
        <v>12</v>
      </c>
    </row>
    <row r="8519">
      <c r="A8519" t="inlineStr">
        <is>
          <t>ED208692</t>
        </is>
      </c>
      <c r="B8519" s="56" t="n">
        <v>45803.8625</v>
      </c>
      <c r="C8519" t="inlineStr">
        <is>
          <t>Bluestone Memorial Hospital</t>
        </is>
      </c>
      <c r="D8519" t="n">
        <v>48</v>
      </c>
    </row>
    <row r="8520">
      <c r="A8520" t="inlineStr">
        <is>
          <t>ED208693</t>
        </is>
      </c>
      <c r="B8520" s="56" t="n">
        <v>45803.90555555555</v>
      </c>
      <c r="C8520" t="inlineStr">
        <is>
          <t>Bluestone Memorial Hospital</t>
        </is>
      </c>
      <c r="D8520" t="n">
        <v>98</v>
      </c>
    </row>
    <row r="8521">
      <c r="A8521" t="inlineStr">
        <is>
          <t>ED208694</t>
        </is>
      </c>
      <c r="B8521" s="56" t="n">
        <v>45803.94513888889</v>
      </c>
      <c r="C8521" t="inlineStr">
        <is>
          <t>Cedar Ridge Medical Center</t>
        </is>
      </c>
      <c r="D8521" t="n">
        <v>44</v>
      </c>
    </row>
    <row r="8522">
      <c r="A8522" t="inlineStr">
        <is>
          <t>ED208695</t>
        </is>
      </c>
      <c r="B8522" s="56" t="n">
        <v>45804.16527777778</v>
      </c>
      <c r="C8522" t="inlineStr">
        <is>
          <t>Bluestone Memorial Hospital</t>
        </is>
      </c>
      <c r="D8522" t="n">
        <v>20</v>
      </c>
    </row>
    <row r="8523">
      <c r="A8523" t="inlineStr">
        <is>
          <t>ED208696</t>
        </is>
      </c>
      <c r="B8523" s="56" t="n">
        <v>45804.28819444445</v>
      </c>
      <c r="C8523" t="inlineStr">
        <is>
          <t>Bluestone Memorial Hospital</t>
        </is>
      </c>
      <c r="D8523" t="n">
        <v>100</v>
      </c>
    </row>
    <row r="8524">
      <c r="A8524" t="inlineStr">
        <is>
          <t>ED208697</t>
        </is>
      </c>
      <c r="B8524" s="56" t="n">
        <v>45804.39027777778</v>
      </c>
      <c r="C8524" t="inlineStr">
        <is>
          <t>Bluestone Memorial Hospital</t>
        </is>
      </c>
      <c r="D8524" t="n">
        <v>3</v>
      </c>
    </row>
    <row r="8525">
      <c r="A8525" t="inlineStr">
        <is>
          <t>ED208698</t>
        </is>
      </c>
      <c r="B8525" s="56" t="n">
        <v>45804.41666666666</v>
      </c>
      <c r="C8525" t="inlineStr">
        <is>
          <t>Cedar Ridge Medical Center</t>
        </is>
      </c>
      <c r="D8525" t="n">
        <v>50</v>
      </c>
    </row>
    <row r="8526">
      <c r="A8526" t="inlineStr">
        <is>
          <t>ED208699</t>
        </is>
      </c>
      <c r="B8526" s="56" t="n">
        <v>45804.51041666666</v>
      </c>
      <c r="C8526" t="inlineStr">
        <is>
          <t>Bluestone Memorial Hospital</t>
        </is>
      </c>
      <c r="D8526" t="n">
        <v>49</v>
      </c>
    </row>
    <row r="8527">
      <c r="A8527" t="inlineStr">
        <is>
          <t>ED208700</t>
        </is>
      </c>
      <c r="B8527" s="56" t="n">
        <v>45804.52013888889</v>
      </c>
      <c r="C8527" t="inlineStr">
        <is>
          <t>Bluestone Memorial Hospital</t>
        </is>
      </c>
      <c r="D8527" t="n">
        <v>34</v>
      </c>
    </row>
    <row r="8528">
      <c r="A8528" t="inlineStr">
        <is>
          <t>ED208701</t>
        </is>
      </c>
      <c r="B8528" s="56" t="n">
        <v>45804.62777777778</v>
      </c>
      <c r="C8528" t="inlineStr">
        <is>
          <t>Bluestone Memorial Hospital</t>
        </is>
      </c>
      <c r="D8528" t="n">
        <v>103</v>
      </c>
    </row>
    <row r="8529">
      <c r="A8529" t="inlineStr">
        <is>
          <t>ED208702</t>
        </is>
      </c>
      <c r="B8529" s="56" t="n">
        <v>45804.725</v>
      </c>
      <c r="C8529" t="inlineStr">
        <is>
          <t>Bluestone Memorial Hospital</t>
        </is>
      </c>
      <c r="D8529" t="n">
        <v>60</v>
      </c>
    </row>
    <row r="8530">
      <c r="A8530" t="inlineStr">
        <is>
          <t>ED208703</t>
        </is>
      </c>
      <c r="B8530" s="56" t="n">
        <v>45804.76666666667</v>
      </c>
      <c r="C8530" t="inlineStr">
        <is>
          <t>Bluestone Memorial Hospital</t>
        </is>
      </c>
      <c r="D8530" t="n">
        <v>59</v>
      </c>
    </row>
    <row r="8531">
      <c r="A8531" t="inlineStr">
        <is>
          <t>ED208704</t>
        </is>
      </c>
      <c r="B8531" s="56" t="n">
        <v>45804.77916666667</v>
      </c>
      <c r="C8531" t="inlineStr">
        <is>
          <t>Bluestone Memorial Hospital</t>
        </is>
      </c>
      <c r="D8531" t="n">
        <v>88</v>
      </c>
    </row>
    <row r="8532">
      <c r="A8532" t="inlineStr">
        <is>
          <t>ED208705</t>
        </is>
      </c>
      <c r="B8532" s="56" t="n">
        <v>45804.80069444444</v>
      </c>
      <c r="C8532" t="inlineStr">
        <is>
          <t>Bluestone Memorial Hospital</t>
        </is>
      </c>
      <c r="D8532" t="n">
        <v>59</v>
      </c>
    </row>
    <row r="8533">
      <c r="A8533" t="inlineStr">
        <is>
          <t>ED208706</t>
        </is>
      </c>
      <c r="B8533" s="56" t="n">
        <v>45804.85555555556</v>
      </c>
      <c r="C8533" t="inlineStr">
        <is>
          <t>Ashby Falls Community Hospital</t>
        </is>
      </c>
      <c r="D8533" t="n">
        <v>36</v>
      </c>
    </row>
    <row r="8534">
      <c r="A8534" t="inlineStr">
        <is>
          <t>ED208707</t>
        </is>
      </c>
      <c r="B8534" s="56" t="n">
        <v>45804.88472222222</v>
      </c>
      <c r="C8534" t="inlineStr">
        <is>
          <t>Bluestone Memorial Hospital</t>
        </is>
      </c>
      <c r="D8534" t="n">
        <v>20</v>
      </c>
    </row>
    <row r="8535">
      <c r="A8535" t="inlineStr">
        <is>
          <t>ED208708</t>
        </is>
      </c>
      <c r="B8535" s="56" t="n">
        <v>45804.99513888889</v>
      </c>
      <c r="C8535" t="inlineStr">
        <is>
          <t>Cedar Ridge Medical Center</t>
        </is>
      </c>
      <c r="D8535" t="n">
        <v>17</v>
      </c>
    </row>
    <row r="8536">
      <c r="A8536" t="inlineStr">
        <is>
          <t>ED208709</t>
        </is>
      </c>
      <c r="B8536" s="56" t="n">
        <v>45805.10625</v>
      </c>
      <c r="C8536" t="inlineStr">
        <is>
          <t>Ashby Falls Community Hospital</t>
        </is>
      </c>
      <c r="D8536" t="n">
        <v>23</v>
      </c>
    </row>
    <row r="8537">
      <c r="A8537" t="inlineStr">
        <is>
          <t>ED208710</t>
        </is>
      </c>
      <c r="B8537" s="56" t="n">
        <v>45805.30555555555</v>
      </c>
      <c r="C8537" t="inlineStr">
        <is>
          <t>Ashby Falls Community Hospital</t>
        </is>
      </c>
      <c r="D8537" t="n">
        <v>50</v>
      </c>
    </row>
    <row r="8538">
      <c r="A8538" t="inlineStr">
        <is>
          <t>ED208711</t>
        </is>
      </c>
      <c r="B8538" s="56" t="n">
        <v>45805.375</v>
      </c>
      <c r="C8538" t="inlineStr">
        <is>
          <t>Bluestone Memorial Hospital</t>
        </is>
      </c>
      <c r="D8538" t="n">
        <v>29</v>
      </c>
    </row>
    <row r="8539">
      <c r="A8539" t="inlineStr">
        <is>
          <t>ED208712</t>
        </is>
      </c>
      <c r="B8539" s="56" t="n">
        <v>45805.37777777778</v>
      </c>
      <c r="C8539" t="inlineStr">
        <is>
          <t>Bluestone Memorial Hospital</t>
        </is>
      </c>
      <c r="D8539" t="n">
        <v>59</v>
      </c>
    </row>
    <row r="8540">
      <c r="A8540" t="inlineStr">
        <is>
          <t>ED208713</t>
        </is>
      </c>
      <c r="B8540" s="56" t="n">
        <v>45805.3875</v>
      </c>
      <c r="C8540" t="inlineStr">
        <is>
          <t>Ashby Falls Community Hospital</t>
        </is>
      </c>
      <c r="D8540" t="n">
        <v>85</v>
      </c>
    </row>
    <row r="8541">
      <c r="A8541" t="inlineStr">
        <is>
          <t>ED208714</t>
        </is>
      </c>
      <c r="B8541" s="56" t="n">
        <v>45805.39166666667</v>
      </c>
      <c r="C8541" t="inlineStr">
        <is>
          <t>Bluestone Memorial Hospital</t>
        </is>
      </c>
      <c r="D8541" t="n">
        <v>75</v>
      </c>
    </row>
    <row r="8542">
      <c r="A8542" t="inlineStr">
        <is>
          <t>ED208715</t>
        </is>
      </c>
      <c r="B8542" s="56" t="n">
        <v>45805.44027777778</v>
      </c>
      <c r="C8542" t="inlineStr">
        <is>
          <t>Ashby Falls Community Hospital</t>
        </is>
      </c>
      <c r="D8542" t="n">
        <v>45</v>
      </c>
    </row>
    <row r="8543">
      <c r="A8543" t="inlineStr">
        <is>
          <t>ED208716</t>
        </is>
      </c>
      <c r="B8543" s="56" t="n">
        <v>45805.47708333333</v>
      </c>
      <c r="C8543" t="inlineStr">
        <is>
          <t>Bluestone Memorial Hospital</t>
        </is>
      </c>
      <c r="D8543" t="n">
        <v>65</v>
      </c>
    </row>
    <row r="8544">
      <c r="A8544" t="inlineStr">
        <is>
          <t>ED208717</t>
        </is>
      </c>
      <c r="B8544" s="56" t="n">
        <v>45805.60763888889</v>
      </c>
      <c r="C8544" t="inlineStr">
        <is>
          <t>Bluestone Memorial Hospital</t>
        </is>
      </c>
      <c r="D8544" t="n">
        <v>51</v>
      </c>
    </row>
    <row r="8545">
      <c r="A8545" t="inlineStr">
        <is>
          <t>ED208718</t>
        </is>
      </c>
      <c r="B8545" s="56" t="n">
        <v>45805.6625</v>
      </c>
      <c r="C8545" t="inlineStr">
        <is>
          <t>Bluestone Memorial Hospital</t>
        </is>
      </c>
      <c r="D8545" t="n">
        <v>42</v>
      </c>
    </row>
    <row r="8546">
      <c r="A8546" t="inlineStr">
        <is>
          <t>ED208719</t>
        </is>
      </c>
      <c r="B8546" s="56" t="n">
        <v>45805.70277777778</v>
      </c>
      <c r="C8546" t="inlineStr">
        <is>
          <t>Cedar Ridge Medical Center</t>
        </is>
      </c>
      <c r="D8546" t="n">
        <v>40</v>
      </c>
    </row>
    <row r="8547">
      <c r="A8547" t="inlineStr">
        <is>
          <t>ED208720</t>
        </is>
      </c>
      <c r="B8547" s="56" t="n">
        <v>45805.71805555555</v>
      </c>
      <c r="C8547" t="inlineStr">
        <is>
          <t>Ashby Falls Community Hospital</t>
        </is>
      </c>
      <c r="D8547" t="n">
        <v>43</v>
      </c>
    </row>
    <row r="8548">
      <c r="A8548" t="inlineStr">
        <is>
          <t>ED208721</t>
        </is>
      </c>
      <c r="B8548" s="56" t="n">
        <v>45805.79791666667</v>
      </c>
      <c r="C8548" t="inlineStr">
        <is>
          <t>Bluestone Memorial Hospital</t>
        </is>
      </c>
      <c r="D8548" t="n">
        <v>17</v>
      </c>
    </row>
    <row r="8549">
      <c r="A8549" t="inlineStr">
        <is>
          <t>ED208723</t>
        </is>
      </c>
      <c r="B8549" s="56" t="n">
        <v>45805.92083333333</v>
      </c>
      <c r="C8549" t="inlineStr">
        <is>
          <t>Bluestone Memorial Hospital</t>
        </is>
      </c>
      <c r="D8549" t="n">
        <v>16</v>
      </c>
    </row>
    <row r="8550">
      <c r="A8550" t="inlineStr">
        <is>
          <t>ED208724</t>
        </is>
      </c>
      <c r="B8550" s="56" t="n">
        <v>45805.98819444444</v>
      </c>
      <c r="C8550" t="inlineStr">
        <is>
          <t>Cedar Ridge Medical Center</t>
        </is>
      </c>
      <c r="D8550" t="n">
        <v>59</v>
      </c>
    </row>
    <row r="8551">
      <c r="A8551" t="inlineStr">
        <is>
          <t>ED208725</t>
        </is>
      </c>
      <c r="B8551" s="56" t="n">
        <v>45806.11736111111</v>
      </c>
      <c r="C8551" t="inlineStr">
        <is>
          <t>Cedar Ridge Medical Center</t>
        </is>
      </c>
      <c r="D8551" t="n">
        <v>34</v>
      </c>
    </row>
    <row r="8552">
      <c r="A8552" t="inlineStr">
        <is>
          <t>ED208726</t>
        </is>
      </c>
      <c r="B8552" s="56" t="n">
        <v>45806.16319444445</v>
      </c>
      <c r="C8552" t="inlineStr">
        <is>
          <t>Ashby Falls Community Hospital</t>
        </is>
      </c>
      <c r="D8552" t="n">
        <v>21</v>
      </c>
    </row>
    <row r="8553">
      <c r="A8553" t="inlineStr">
        <is>
          <t>ED208727</t>
        </is>
      </c>
      <c r="B8553" s="56" t="n">
        <v>45806.40555555555</v>
      </c>
      <c r="C8553" t="inlineStr">
        <is>
          <t>Ashby Falls Community Hospital</t>
        </is>
      </c>
      <c r="D8553" t="n">
        <v>35</v>
      </c>
    </row>
    <row r="8554">
      <c r="A8554" t="inlineStr">
        <is>
          <t>ED208728</t>
        </is>
      </c>
      <c r="B8554" s="56" t="n">
        <v>45806.45</v>
      </c>
      <c r="C8554" t="inlineStr">
        <is>
          <t>Bluestone Memorial Hospital</t>
        </is>
      </c>
      <c r="D8554" t="n">
        <v>73</v>
      </c>
    </row>
    <row r="8555">
      <c r="A8555" t="inlineStr">
        <is>
          <t>ED208729</t>
        </is>
      </c>
      <c r="B8555" s="56" t="n">
        <v>45806.47986111111</v>
      </c>
      <c r="C8555" t="inlineStr">
        <is>
          <t>Bluestone Memorial Hospital</t>
        </is>
      </c>
      <c r="D8555" t="n">
        <v>44</v>
      </c>
    </row>
    <row r="8556">
      <c r="A8556" t="inlineStr">
        <is>
          <t>ED208730</t>
        </is>
      </c>
      <c r="B8556" s="56" t="n">
        <v>45806.53888888889</v>
      </c>
      <c r="C8556" t="inlineStr">
        <is>
          <t>Bluestone Memorial Hospital</t>
        </is>
      </c>
      <c r="D8556" t="n">
        <v>49</v>
      </c>
    </row>
    <row r="8557">
      <c r="A8557" t="inlineStr">
        <is>
          <t>ED208731</t>
        </is>
      </c>
      <c r="B8557" s="56" t="n">
        <v>45806.71041666667</v>
      </c>
      <c r="C8557" t="inlineStr">
        <is>
          <t>Bluestone Memorial Hospital</t>
        </is>
      </c>
      <c r="D8557" t="n">
        <v>38</v>
      </c>
    </row>
    <row r="8558">
      <c r="A8558" t="inlineStr">
        <is>
          <t>ED208732</t>
        </is>
      </c>
      <c r="B8558" s="56" t="n">
        <v>45806.7375</v>
      </c>
      <c r="C8558" t="inlineStr">
        <is>
          <t>Bluestone Memorial Hospital</t>
        </is>
      </c>
      <c r="D8558" t="n">
        <v>43</v>
      </c>
    </row>
    <row r="8559">
      <c r="A8559" t="inlineStr">
        <is>
          <t>ED208733</t>
        </is>
      </c>
      <c r="B8559" s="56" t="n">
        <v>45806.76805555556</v>
      </c>
      <c r="C8559" t="inlineStr">
        <is>
          <t>Ashby Falls Community Hospital</t>
        </is>
      </c>
      <c r="D8559" t="n">
        <v>44</v>
      </c>
    </row>
    <row r="8560">
      <c r="A8560" t="inlineStr">
        <is>
          <t>ED208734</t>
        </is>
      </c>
      <c r="B8560" s="56" t="n">
        <v>45806.80138888889</v>
      </c>
      <c r="C8560" t="inlineStr">
        <is>
          <t>Bluestone Memorial Hospital</t>
        </is>
      </c>
      <c r="D8560" t="n">
        <v>79</v>
      </c>
    </row>
    <row r="8561">
      <c r="A8561" t="inlineStr">
        <is>
          <t>ED208735</t>
        </is>
      </c>
      <c r="B8561" s="56" t="n">
        <v>45806.82430555556</v>
      </c>
      <c r="C8561" t="inlineStr">
        <is>
          <t>Bluestone Memorial Hospital</t>
        </is>
      </c>
      <c r="D8561" t="n">
        <v>11</v>
      </c>
    </row>
    <row r="8562">
      <c r="A8562" t="inlineStr">
        <is>
          <t>ED208736</t>
        </is>
      </c>
      <c r="B8562" s="56" t="n">
        <v>45806.93819444445</v>
      </c>
      <c r="C8562" t="inlineStr">
        <is>
          <t>Bluestone Memorial Hospital</t>
        </is>
      </c>
      <c r="D8562" t="n">
        <v>13</v>
      </c>
    </row>
    <row r="8563">
      <c r="A8563" t="inlineStr">
        <is>
          <t>ED208737</t>
        </is>
      </c>
      <c r="B8563" s="56" t="n">
        <v>45807.02013888889</v>
      </c>
      <c r="C8563" t="inlineStr">
        <is>
          <t>Bluestone Memorial Hospital</t>
        </is>
      </c>
      <c r="D8563" t="n">
        <v>47</v>
      </c>
    </row>
    <row r="8564">
      <c r="A8564" t="inlineStr">
        <is>
          <t>ED208738</t>
        </is>
      </c>
      <c r="B8564" s="56" t="n">
        <v>45807.15486111111</v>
      </c>
      <c r="C8564" t="inlineStr">
        <is>
          <t>Bluestone Memorial Hospital</t>
        </is>
      </c>
      <c r="D8564" t="n">
        <v>8</v>
      </c>
    </row>
    <row r="8565">
      <c r="A8565" t="inlineStr">
        <is>
          <t>ED208739</t>
        </is>
      </c>
      <c r="B8565" s="56" t="n">
        <v>45807.275</v>
      </c>
      <c r="C8565" t="inlineStr">
        <is>
          <t>Bluestone Memorial Hospital</t>
        </is>
      </c>
      <c r="D8565" t="n">
        <v>15</v>
      </c>
    </row>
    <row r="8566">
      <c r="A8566" t="inlineStr">
        <is>
          <t>ED208740</t>
        </is>
      </c>
      <c r="B8566" s="56" t="n">
        <v>45807.43888888889</v>
      </c>
      <c r="C8566" t="inlineStr">
        <is>
          <t>Bluestone Memorial Hospital</t>
        </is>
      </c>
      <c r="D8566" t="n">
        <v>78</v>
      </c>
    </row>
    <row r="8567">
      <c r="A8567" t="inlineStr">
        <is>
          <t>ED208741</t>
        </is>
      </c>
      <c r="B8567" s="56" t="n">
        <v>45807.47777777778</v>
      </c>
      <c r="C8567" t="inlineStr">
        <is>
          <t>Bluestone Memorial Hospital</t>
        </is>
      </c>
      <c r="D8567" t="n">
        <v>7</v>
      </c>
    </row>
    <row r="8568">
      <c r="A8568" t="inlineStr">
        <is>
          <t>ED208742</t>
        </is>
      </c>
      <c r="B8568" s="56" t="n">
        <v>45807.52430555555</v>
      </c>
      <c r="C8568" t="inlineStr">
        <is>
          <t>Bluestone Memorial Hospital</t>
        </is>
      </c>
      <c r="D8568" t="n">
        <v>36</v>
      </c>
    </row>
    <row r="8569">
      <c r="A8569" t="inlineStr">
        <is>
          <t>ED208743</t>
        </is>
      </c>
      <c r="B8569" s="56" t="n">
        <v>45807.52847222222</v>
      </c>
      <c r="C8569" t="inlineStr">
        <is>
          <t>Bluestone Memorial Hospital</t>
        </is>
      </c>
      <c r="D8569" t="n">
        <v>33</v>
      </c>
    </row>
    <row r="8570">
      <c r="A8570" t="inlineStr">
        <is>
          <t>ED208744</t>
        </is>
      </c>
      <c r="B8570" s="56" t="n">
        <v>45807.64791666667</v>
      </c>
      <c r="C8570" t="inlineStr">
        <is>
          <t>Ashby Falls Community Hospital</t>
        </is>
      </c>
      <c r="D8570" t="n">
        <v>64</v>
      </c>
    </row>
    <row r="8571">
      <c r="A8571" t="inlineStr">
        <is>
          <t>ED208745</t>
        </is>
      </c>
      <c r="B8571" s="56" t="n">
        <v>45807.69375</v>
      </c>
      <c r="C8571" t="inlineStr">
        <is>
          <t>Bluestone Memorial Hospital</t>
        </is>
      </c>
      <c r="D8571" t="n">
        <v>58</v>
      </c>
    </row>
    <row r="8572">
      <c r="A8572" t="inlineStr">
        <is>
          <t>ED208746</t>
        </is>
      </c>
      <c r="B8572" s="56" t="n">
        <v>45807.775</v>
      </c>
      <c r="C8572" t="inlineStr">
        <is>
          <t>Bluestone Memorial Hospital</t>
        </is>
      </c>
      <c r="D8572" t="n">
        <v>65</v>
      </c>
    </row>
    <row r="8573">
      <c r="A8573" t="inlineStr">
        <is>
          <t>ED208747</t>
        </is>
      </c>
      <c r="B8573" s="56" t="n">
        <v>45807.79305555556</v>
      </c>
      <c r="C8573" t="inlineStr">
        <is>
          <t>Bluestone Memorial Hospital</t>
        </is>
      </c>
      <c r="D8573" t="n">
        <v>51</v>
      </c>
    </row>
    <row r="8574">
      <c r="A8574" t="inlineStr">
        <is>
          <t>ED208748</t>
        </is>
      </c>
      <c r="B8574" s="56" t="n">
        <v>45807.83819444444</v>
      </c>
      <c r="C8574" t="inlineStr">
        <is>
          <t>Bluestone Memorial Hospital</t>
        </is>
      </c>
      <c r="D8574" t="n">
        <v>42</v>
      </c>
    </row>
    <row r="8575">
      <c r="A8575" t="inlineStr">
        <is>
          <t>ED208749</t>
        </is>
      </c>
      <c r="B8575" s="56" t="n">
        <v>45807.87013888889</v>
      </c>
      <c r="C8575" t="inlineStr">
        <is>
          <t>Bluestone Memorial Hospital</t>
        </is>
      </c>
      <c r="D8575" t="n">
        <v>13</v>
      </c>
    </row>
    <row r="8576">
      <c r="A8576" t="inlineStr">
        <is>
          <t>ED208750</t>
        </is>
      </c>
      <c r="B8576" s="56" t="n">
        <v>45807.99513888889</v>
      </c>
      <c r="C8576" t="inlineStr">
        <is>
          <t>Bluestone Memorial Hospital</t>
        </is>
      </c>
      <c r="D8576" t="n">
        <v>10</v>
      </c>
    </row>
    <row r="8577">
      <c r="A8577" t="inlineStr">
        <is>
          <t>ED208751</t>
        </is>
      </c>
      <c r="B8577" s="56" t="n">
        <v>45808.00347222222</v>
      </c>
      <c r="C8577" t="inlineStr">
        <is>
          <t>Bluestone Memorial Hospital</t>
        </is>
      </c>
      <c r="D8577" t="n">
        <v>54</v>
      </c>
    </row>
    <row r="8578">
      <c r="A8578" t="inlineStr">
        <is>
          <t>ED208752</t>
        </is>
      </c>
      <c r="B8578" s="56" t="n">
        <v>45808.02916666667</v>
      </c>
      <c r="C8578" t="inlineStr">
        <is>
          <t>Bluestone Memorial Hospital</t>
        </is>
      </c>
      <c r="D8578" t="n">
        <v>18</v>
      </c>
    </row>
    <row r="8579">
      <c r="A8579" t="inlineStr">
        <is>
          <t>ED208753</t>
        </is>
      </c>
      <c r="B8579" s="56" t="n">
        <v>45808.05</v>
      </c>
      <c r="C8579" t="inlineStr">
        <is>
          <t>Bluestone Memorial Hospital</t>
        </is>
      </c>
      <c r="D8579" t="n">
        <v>25</v>
      </c>
    </row>
    <row r="8580">
      <c r="A8580" t="inlineStr">
        <is>
          <t>ED208754</t>
        </is>
      </c>
      <c r="B8580" s="56" t="n">
        <v>45808.48541666667</v>
      </c>
      <c r="C8580" t="inlineStr">
        <is>
          <t>Cedar Ridge Medical Center</t>
        </is>
      </c>
      <c r="D8580" t="n">
        <v>134</v>
      </c>
    </row>
    <row r="8581">
      <c r="A8581" t="inlineStr">
        <is>
          <t>ED208755</t>
        </is>
      </c>
      <c r="B8581" s="56" t="n">
        <v>45808.61388888889</v>
      </c>
      <c r="C8581" t="inlineStr">
        <is>
          <t>Bluestone Memorial Hospital</t>
        </is>
      </c>
      <c r="D8581" t="n">
        <v>53</v>
      </c>
    </row>
    <row r="8582">
      <c r="A8582" t="inlineStr">
        <is>
          <t>ED208756</t>
        </is>
      </c>
      <c r="B8582" s="56" t="n">
        <v>45808.74930555555</v>
      </c>
      <c r="C8582" t="inlineStr">
        <is>
          <t>Ashby Falls Community Hospital</t>
        </is>
      </c>
      <c r="D8582" t="n">
        <v>15</v>
      </c>
    </row>
    <row r="8583">
      <c r="A8583" t="inlineStr">
        <is>
          <t>ED208757</t>
        </is>
      </c>
      <c r="B8583" s="56" t="n">
        <v>45808.86041666667</v>
      </c>
      <c r="C8583" t="inlineStr">
        <is>
          <t>Ashby Falls Community Hospital</t>
        </is>
      </c>
      <c r="D8583" t="n">
        <v>81</v>
      </c>
    </row>
    <row r="8584">
      <c r="A8584" t="inlineStr">
        <is>
          <t>ED208758</t>
        </is>
      </c>
      <c r="B8584" s="56" t="n">
        <v>45808.8625</v>
      </c>
      <c r="C8584" t="inlineStr">
        <is>
          <t>Ashby Falls Community Hospital</t>
        </is>
      </c>
      <c r="D8584" t="n">
        <v>55</v>
      </c>
    </row>
    <row r="8585">
      <c r="A8585" t="inlineStr">
        <is>
          <t>ED208759</t>
        </is>
      </c>
      <c r="B8585" s="56" t="n">
        <v>45808.89513888889</v>
      </c>
      <c r="C8585" t="inlineStr">
        <is>
          <t>Bluestone Memorial Hospital</t>
        </is>
      </c>
      <c r="D8585" t="n">
        <v>16</v>
      </c>
    </row>
    <row r="8586">
      <c r="A8586" t="inlineStr">
        <is>
          <t>ED208760</t>
        </is>
      </c>
      <c r="B8586" s="56" t="n">
        <v>45809.14513888889</v>
      </c>
      <c r="C8586" t="inlineStr">
        <is>
          <t>Bluestone Memorial Hospital</t>
        </is>
      </c>
      <c r="D8586" t="n">
        <v>35</v>
      </c>
    </row>
    <row r="8587">
      <c r="A8587" t="inlineStr">
        <is>
          <t>ED208761</t>
        </is>
      </c>
      <c r="B8587" s="56" t="n">
        <v>45809.20416666667</v>
      </c>
      <c r="C8587" t="inlineStr">
        <is>
          <t>Bluestone Memorial Hospital</t>
        </is>
      </c>
      <c r="D8587" t="n">
        <v>35</v>
      </c>
    </row>
    <row r="8588">
      <c r="A8588" t="inlineStr">
        <is>
          <t>ED208762</t>
        </is>
      </c>
      <c r="B8588" s="56" t="n">
        <v>45809.32777777778</v>
      </c>
      <c r="C8588" t="inlineStr">
        <is>
          <t>Bluestone Memorial Hospital</t>
        </is>
      </c>
      <c r="D8588" t="n">
        <v>31</v>
      </c>
    </row>
    <row r="8589">
      <c r="A8589" t="inlineStr">
        <is>
          <t>ED208763</t>
        </is>
      </c>
      <c r="B8589" s="56" t="n">
        <v>45809.38194444445</v>
      </c>
      <c r="C8589" t="inlineStr">
        <is>
          <t>Bluestone Memorial Hospital</t>
        </is>
      </c>
      <c r="D8589" t="n">
        <v>21</v>
      </c>
    </row>
    <row r="8590">
      <c r="A8590" t="inlineStr">
        <is>
          <t>ED208764</t>
        </is>
      </c>
      <c r="B8590" s="56" t="n">
        <v>45809.39444444444</v>
      </c>
      <c r="C8590" t="inlineStr">
        <is>
          <t>Bluestone Memorial Hospital</t>
        </is>
      </c>
      <c r="D8590" t="n">
        <v>78</v>
      </c>
    </row>
    <row r="8591">
      <c r="A8591" t="inlineStr">
        <is>
          <t>ED208765</t>
        </is>
      </c>
      <c r="B8591" s="56" t="n">
        <v>45809.42291666667</v>
      </c>
      <c r="C8591" t="inlineStr">
        <is>
          <t>Cedar Ridge Medical Center</t>
        </is>
      </c>
      <c r="D8591" t="n">
        <v>29</v>
      </c>
    </row>
    <row r="8592">
      <c r="A8592" t="inlineStr">
        <is>
          <t>ED208766</t>
        </is>
      </c>
      <c r="B8592" s="56" t="n">
        <v>45809.49722222222</v>
      </c>
      <c r="C8592" t="inlineStr">
        <is>
          <t>Cedar Ridge Medical Center</t>
        </is>
      </c>
      <c r="D8592" t="n">
        <v>10</v>
      </c>
    </row>
    <row r="8593">
      <c r="A8593" t="inlineStr">
        <is>
          <t>ED208767</t>
        </is>
      </c>
      <c r="B8593" s="56" t="n">
        <v>45809.52916666667</v>
      </c>
      <c r="C8593" t="inlineStr">
        <is>
          <t>Ashby Falls Community Hospital</t>
        </is>
      </c>
      <c r="D8593" t="n">
        <v>10</v>
      </c>
    </row>
    <row r="8594">
      <c r="A8594" t="inlineStr">
        <is>
          <t>ED208768</t>
        </is>
      </c>
      <c r="B8594" s="56" t="n">
        <v>45809.56180555555</v>
      </c>
      <c r="C8594" t="inlineStr">
        <is>
          <t>Bluestone Memorial Hospital</t>
        </is>
      </c>
      <c r="D8594" t="n">
        <v>15</v>
      </c>
    </row>
    <row r="8595">
      <c r="A8595" t="inlineStr">
        <is>
          <t>ED208769</t>
        </is>
      </c>
      <c r="B8595" s="56" t="n">
        <v>45809.62291666667</v>
      </c>
      <c r="C8595" t="inlineStr">
        <is>
          <t>Bluestone Memorial Hospital</t>
        </is>
      </c>
      <c r="D8595" t="n">
        <v>6</v>
      </c>
    </row>
    <row r="8596">
      <c r="A8596" t="inlineStr">
        <is>
          <t>ED208770</t>
        </is>
      </c>
      <c r="B8596" s="56" t="n">
        <v>45809.64097222222</v>
      </c>
      <c r="C8596" t="inlineStr">
        <is>
          <t>Bluestone Memorial Hospital</t>
        </is>
      </c>
      <c r="D8596" t="n">
        <v>43</v>
      </c>
    </row>
    <row r="8597">
      <c r="A8597" t="inlineStr">
        <is>
          <t>ED208771</t>
        </is>
      </c>
      <c r="B8597" s="56" t="n">
        <v>45809.64097222222</v>
      </c>
      <c r="C8597" t="inlineStr">
        <is>
          <t>Bluestone Memorial Hospital</t>
        </is>
      </c>
      <c r="D8597" t="n">
        <v>41</v>
      </c>
    </row>
    <row r="8598">
      <c r="A8598" t="inlineStr">
        <is>
          <t>ED208772</t>
        </is>
      </c>
      <c r="B8598" s="56" t="n">
        <v>45809.66875</v>
      </c>
      <c r="C8598" t="inlineStr">
        <is>
          <t>Bluestone Memorial Hospital</t>
        </is>
      </c>
      <c r="D8598" t="n">
        <v>28</v>
      </c>
    </row>
    <row r="8599">
      <c r="A8599" t="inlineStr">
        <is>
          <t>ED208773</t>
        </is>
      </c>
      <c r="B8599" s="56" t="n">
        <v>45809.68402777778</v>
      </c>
      <c r="C8599" t="inlineStr">
        <is>
          <t>Cedar Ridge Medical Center</t>
        </is>
      </c>
      <c r="D8599" t="n">
        <v>51</v>
      </c>
    </row>
    <row r="8600">
      <c r="A8600" t="inlineStr">
        <is>
          <t>ED208774</t>
        </is>
      </c>
      <c r="B8600" s="56" t="n">
        <v>45809.70208333333</v>
      </c>
      <c r="C8600" t="inlineStr">
        <is>
          <t>Bluestone Memorial Hospital</t>
        </is>
      </c>
      <c r="D8600" t="n">
        <v>40</v>
      </c>
    </row>
    <row r="8601">
      <c r="A8601" t="inlineStr">
        <is>
          <t>ED208775</t>
        </is>
      </c>
      <c r="B8601" s="56" t="n">
        <v>45809.75486111111</v>
      </c>
      <c r="C8601" t="inlineStr">
        <is>
          <t>Bluestone Memorial Hospital</t>
        </is>
      </c>
      <c r="D8601" t="n">
        <v>61</v>
      </c>
    </row>
    <row r="8602">
      <c r="A8602" t="inlineStr">
        <is>
          <t>ED208776</t>
        </is>
      </c>
      <c r="B8602" s="56" t="n">
        <v>45809.84166666667</v>
      </c>
      <c r="C8602" t="inlineStr">
        <is>
          <t>Bluestone Memorial Hospital</t>
        </is>
      </c>
      <c r="D8602" t="n">
        <v>163</v>
      </c>
    </row>
    <row r="8603">
      <c r="A8603" t="inlineStr">
        <is>
          <t>ED208777</t>
        </is>
      </c>
      <c r="B8603" s="56" t="n">
        <v>45810.00069444445</v>
      </c>
      <c r="C8603" t="inlineStr">
        <is>
          <t>Bluestone Memorial Hospital</t>
        </is>
      </c>
      <c r="D8603" t="n">
        <v>20</v>
      </c>
    </row>
    <row r="8604">
      <c r="A8604" t="inlineStr">
        <is>
          <t>ED208778</t>
        </is>
      </c>
      <c r="B8604" s="56" t="n">
        <v>45810.04722222222</v>
      </c>
      <c r="C8604" t="inlineStr">
        <is>
          <t>Ashby Falls Community Hospital</t>
        </is>
      </c>
      <c r="D8604" t="n">
        <v>87</v>
      </c>
    </row>
    <row r="8605">
      <c r="A8605" t="inlineStr">
        <is>
          <t>ED208779</t>
        </is>
      </c>
      <c r="B8605" s="56" t="n">
        <v>45810.05</v>
      </c>
      <c r="C8605" t="inlineStr">
        <is>
          <t>Bluestone Memorial Hospital</t>
        </is>
      </c>
      <c r="D8605" t="n">
        <v>29</v>
      </c>
    </row>
    <row r="8606">
      <c r="A8606" t="inlineStr">
        <is>
          <t>ED208780</t>
        </is>
      </c>
      <c r="B8606" s="56" t="n">
        <v>45810.21111111111</v>
      </c>
      <c r="C8606" t="inlineStr">
        <is>
          <t>Bluestone Memorial Hospital</t>
        </is>
      </c>
      <c r="D8606" t="n">
        <v>4</v>
      </c>
    </row>
    <row r="8607">
      <c r="A8607" t="inlineStr">
        <is>
          <t>ED208781</t>
        </is>
      </c>
      <c r="B8607" s="56" t="n">
        <v>45810.39305555556</v>
      </c>
      <c r="C8607" t="inlineStr">
        <is>
          <t>Bluestone Memorial Hospital</t>
        </is>
      </c>
      <c r="D8607" t="n">
        <v>8</v>
      </c>
    </row>
    <row r="8608">
      <c r="A8608" t="inlineStr">
        <is>
          <t>ED208782</t>
        </is>
      </c>
      <c r="B8608" s="56" t="n">
        <v>45810.39652777778</v>
      </c>
      <c r="C8608" t="inlineStr">
        <is>
          <t>Ashby Falls Community Hospital</t>
        </is>
      </c>
      <c r="D8608" t="n">
        <v>23</v>
      </c>
    </row>
    <row r="8609">
      <c r="A8609" t="inlineStr">
        <is>
          <t>ED208783</t>
        </is>
      </c>
      <c r="B8609" s="56" t="n">
        <v>45810.44930555556</v>
      </c>
      <c r="C8609" t="inlineStr">
        <is>
          <t>Bluestone Memorial Hospital</t>
        </is>
      </c>
      <c r="D8609" t="n">
        <v>51</v>
      </c>
    </row>
    <row r="8610">
      <c r="A8610" t="inlineStr">
        <is>
          <t>ED208784</t>
        </is>
      </c>
      <c r="B8610" s="56" t="n">
        <v>45810.49930555555</v>
      </c>
      <c r="C8610" t="inlineStr">
        <is>
          <t>Bluestone Memorial Hospital</t>
        </is>
      </c>
      <c r="D8610" t="n">
        <v>83</v>
      </c>
    </row>
    <row r="8611">
      <c r="A8611" t="inlineStr">
        <is>
          <t>ED208785</t>
        </is>
      </c>
      <c r="B8611" s="56" t="n">
        <v>45810.59444444445</v>
      </c>
      <c r="C8611" t="inlineStr">
        <is>
          <t>Bluestone Memorial Hospital</t>
        </is>
      </c>
      <c r="D8611" t="n">
        <v>12</v>
      </c>
    </row>
    <row r="8612">
      <c r="A8612" t="inlineStr">
        <is>
          <t>ED208786</t>
        </is>
      </c>
      <c r="B8612" s="56" t="n">
        <v>45810.64305555556</v>
      </c>
      <c r="C8612" t="inlineStr">
        <is>
          <t>Bluestone Memorial Hospital</t>
        </is>
      </c>
      <c r="D8612" t="n">
        <v>76</v>
      </c>
    </row>
    <row r="8613">
      <c r="A8613" t="inlineStr">
        <is>
          <t>ED208787</t>
        </is>
      </c>
      <c r="B8613" s="56" t="n">
        <v>45810.74305555555</v>
      </c>
      <c r="C8613" t="inlineStr">
        <is>
          <t>Bluestone Memorial Hospital</t>
        </is>
      </c>
      <c r="D8613" t="n">
        <v>74</v>
      </c>
    </row>
    <row r="8614">
      <c r="A8614" t="inlineStr">
        <is>
          <t>ED208788</t>
        </is>
      </c>
      <c r="B8614" s="56" t="n">
        <v>45810.75486111111</v>
      </c>
      <c r="C8614" t="inlineStr">
        <is>
          <t>Bluestone Memorial Hospital</t>
        </is>
      </c>
      <c r="D8614" t="n">
        <v>13</v>
      </c>
    </row>
    <row r="8615">
      <c r="A8615" t="inlineStr">
        <is>
          <t>ED208789</t>
        </is>
      </c>
      <c r="B8615" s="56" t="n">
        <v>45810.77083333334</v>
      </c>
      <c r="C8615" t="inlineStr">
        <is>
          <t>Cedar Ridge Medical Center</t>
        </is>
      </c>
      <c r="D8615" t="n">
        <v>159</v>
      </c>
    </row>
    <row r="8616">
      <c r="A8616" t="inlineStr">
        <is>
          <t>ED208790</t>
        </is>
      </c>
      <c r="B8616" s="56" t="n">
        <v>45810.77291666667</v>
      </c>
      <c r="C8616" t="inlineStr">
        <is>
          <t>Bluestone Memorial Hospital</t>
        </is>
      </c>
      <c r="D8616" t="n">
        <v>88</v>
      </c>
    </row>
    <row r="8617">
      <c r="A8617" t="inlineStr">
        <is>
          <t>ED208791</t>
        </is>
      </c>
      <c r="B8617" s="56" t="n">
        <v>45810.77708333333</v>
      </c>
      <c r="C8617" t="inlineStr">
        <is>
          <t>Bluestone Memorial Hospital</t>
        </is>
      </c>
      <c r="D8617" t="n">
        <v>2</v>
      </c>
    </row>
    <row r="8618">
      <c r="A8618" t="inlineStr">
        <is>
          <t>ED208792</t>
        </is>
      </c>
      <c r="B8618" s="56" t="n">
        <v>45810.78194444445</v>
      </c>
      <c r="C8618" t="inlineStr">
        <is>
          <t>Ashby Falls Community Hospital</t>
        </is>
      </c>
      <c r="D8618" t="n">
        <v>109</v>
      </c>
    </row>
    <row r="8619">
      <c r="A8619" t="inlineStr">
        <is>
          <t>ED208793</t>
        </is>
      </c>
      <c r="B8619" s="56" t="n">
        <v>45810.81111111111</v>
      </c>
      <c r="C8619" t="inlineStr">
        <is>
          <t>Bluestone Memorial Hospital</t>
        </is>
      </c>
      <c r="D8619" t="n">
        <v>26</v>
      </c>
    </row>
    <row r="8620">
      <c r="A8620" t="inlineStr">
        <is>
          <t>ED208794</t>
        </is>
      </c>
      <c r="B8620" s="56" t="n">
        <v>45810.82847222222</v>
      </c>
      <c r="C8620" t="inlineStr">
        <is>
          <t>Bluestone Memorial Hospital</t>
        </is>
      </c>
      <c r="D8620" t="n">
        <v>15</v>
      </c>
    </row>
    <row r="8621">
      <c r="A8621" t="inlineStr">
        <is>
          <t>ED208795</t>
        </is>
      </c>
      <c r="B8621" s="56" t="n">
        <v>45810.84513888889</v>
      </c>
      <c r="C8621" t="inlineStr">
        <is>
          <t>Bluestone Memorial Hospital</t>
        </is>
      </c>
      <c r="D8621" t="n">
        <v>183</v>
      </c>
    </row>
    <row r="8622">
      <c r="A8622" t="inlineStr">
        <is>
          <t>ED208796</t>
        </is>
      </c>
      <c r="B8622" s="56" t="n">
        <v>45810.84722222222</v>
      </c>
      <c r="C8622" t="inlineStr">
        <is>
          <t>Bluestone Memorial Hospital</t>
        </is>
      </c>
      <c r="D8622" t="n">
        <v>31</v>
      </c>
    </row>
    <row r="8623">
      <c r="A8623" t="inlineStr">
        <is>
          <t>ED208797</t>
        </is>
      </c>
      <c r="B8623" s="56" t="n">
        <v>45810.90763888889</v>
      </c>
      <c r="C8623" t="inlineStr">
        <is>
          <t>Bluestone Memorial Hospital</t>
        </is>
      </c>
      <c r="D8623" t="n">
        <v>17</v>
      </c>
    </row>
    <row r="8624">
      <c r="A8624" t="inlineStr">
        <is>
          <t>ED208798</t>
        </is>
      </c>
      <c r="B8624" s="56" t="n">
        <v>45810.98888888889</v>
      </c>
      <c r="C8624" t="inlineStr">
        <is>
          <t>Bluestone Memorial Hospital</t>
        </is>
      </c>
      <c r="D8624" t="n">
        <v>47</v>
      </c>
    </row>
    <row r="8625">
      <c r="A8625" t="inlineStr">
        <is>
          <t>ED208799</t>
        </is>
      </c>
      <c r="B8625" s="56" t="n">
        <v>45811.22847222222</v>
      </c>
      <c r="C8625" t="inlineStr">
        <is>
          <t>Bluestone Memorial Hospital</t>
        </is>
      </c>
      <c r="D8625" t="n">
        <v>123</v>
      </c>
    </row>
    <row r="8626">
      <c r="A8626" t="inlineStr">
        <is>
          <t>ED208800</t>
        </is>
      </c>
      <c r="B8626" s="56" t="n">
        <v>45811.26388888889</v>
      </c>
      <c r="C8626" t="inlineStr">
        <is>
          <t>Bluestone Memorial Hospital</t>
        </is>
      </c>
      <c r="D8626" t="n">
        <v>55</v>
      </c>
    </row>
    <row r="8627">
      <c r="A8627" t="inlineStr">
        <is>
          <t>ED208801</t>
        </is>
      </c>
      <c r="B8627" s="56" t="n">
        <v>45811.40972222222</v>
      </c>
      <c r="C8627" t="inlineStr">
        <is>
          <t>Bluestone Memorial Hospital</t>
        </is>
      </c>
      <c r="D8627" t="n">
        <v>71</v>
      </c>
    </row>
    <row r="8628">
      <c r="A8628" t="inlineStr">
        <is>
          <t>ED208802</t>
        </is>
      </c>
      <c r="B8628" s="56" t="n">
        <v>45811.45277777778</v>
      </c>
      <c r="C8628" t="inlineStr">
        <is>
          <t>Bluestone Memorial Hospital</t>
        </is>
      </c>
      <c r="D8628" t="n">
        <v>10</v>
      </c>
    </row>
    <row r="8629">
      <c r="A8629" t="inlineStr">
        <is>
          <t>ED208803</t>
        </is>
      </c>
      <c r="B8629" s="56" t="n">
        <v>45811.45763888889</v>
      </c>
      <c r="C8629" t="inlineStr">
        <is>
          <t>Bluestone Memorial Hospital</t>
        </is>
      </c>
      <c r="D8629" t="n">
        <v>21</v>
      </c>
    </row>
    <row r="8630">
      <c r="A8630" t="inlineStr">
        <is>
          <t>ED208804</t>
        </is>
      </c>
      <c r="B8630" s="56" t="n">
        <v>45811.575</v>
      </c>
      <c r="C8630" t="inlineStr">
        <is>
          <t>Bluestone Memorial Hospital</t>
        </is>
      </c>
      <c r="D8630" t="n">
        <v>58</v>
      </c>
    </row>
    <row r="8631">
      <c r="A8631" t="inlineStr">
        <is>
          <t>ED208805</t>
        </is>
      </c>
      <c r="B8631" s="56" t="n">
        <v>45811.58125</v>
      </c>
      <c r="C8631" t="inlineStr">
        <is>
          <t>Bluestone Memorial Hospital</t>
        </is>
      </c>
      <c r="D8631" t="n">
        <v>60</v>
      </c>
    </row>
    <row r="8632">
      <c r="A8632" t="inlineStr">
        <is>
          <t>ED208806</t>
        </is>
      </c>
      <c r="B8632" s="56" t="n">
        <v>45811.61805555555</v>
      </c>
      <c r="C8632" t="inlineStr">
        <is>
          <t>Bluestone Memorial Hospital</t>
        </is>
      </c>
      <c r="D8632" t="n">
        <v>28</v>
      </c>
    </row>
    <row r="8633">
      <c r="A8633" t="inlineStr">
        <is>
          <t>ED208807</t>
        </is>
      </c>
      <c r="B8633" s="56" t="n">
        <v>45811.75694444445</v>
      </c>
      <c r="C8633" t="inlineStr">
        <is>
          <t>Bluestone Memorial Hospital</t>
        </is>
      </c>
      <c r="D8633" t="n">
        <v>20</v>
      </c>
    </row>
    <row r="8634">
      <c r="A8634" t="inlineStr">
        <is>
          <t>ED208808</t>
        </is>
      </c>
      <c r="B8634" s="56" t="n">
        <v>45811.79097222222</v>
      </c>
      <c r="C8634" t="inlineStr">
        <is>
          <t>Bluestone Memorial Hospital</t>
        </is>
      </c>
      <c r="D8634" t="n">
        <v>30</v>
      </c>
    </row>
    <row r="8635">
      <c r="A8635" t="inlineStr">
        <is>
          <t>ED208809</t>
        </is>
      </c>
      <c r="B8635" s="56" t="n">
        <v>45811.86319444444</v>
      </c>
      <c r="C8635" t="inlineStr">
        <is>
          <t>Cedar Ridge Medical Center</t>
        </is>
      </c>
      <c r="D8635" t="n">
        <v>41</v>
      </c>
    </row>
    <row r="8636">
      <c r="A8636" t="inlineStr">
        <is>
          <t>ED208810</t>
        </is>
      </c>
      <c r="B8636" s="56" t="n">
        <v>45811.89444444444</v>
      </c>
      <c r="C8636" t="inlineStr">
        <is>
          <t>Bluestone Memorial Hospital</t>
        </is>
      </c>
      <c r="D8636" t="n">
        <v>73</v>
      </c>
    </row>
    <row r="8637">
      <c r="A8637" t="inlineStr">
        <is>
          <t>ED208811</t>
        </is>
      </c>
      <c r="B8637" s="56" t="n">
        <v>45812.08125</v>
      </c>
      <c r="C8637" t="inlineStr">
        <is>
          <t>Bluestone Memorial Hospital</t>
        </is>
      </c>
      <c r="D8637" t="n">
        <v>21</v>
      </c>
    </row>
    <row r="8638">
      <c r="A8638" t="inlineStr">
        <is>
          <t>ED208812</t>
        </is>
      </c>
      <c r="B8638" s="56" t="n">
        <v>45812.17569444444</v>
      </c>
      <c r="C8638" t="inlineStr">
        <is>
          <t>Bluestone Memorial Hospital</t>
        </is>
      </c>
      <c r="D8638" t="n">
        <v>8</v>
      </c>
    </row>
    <row r="8639">
      <c r="A8639" t="inlineStr">
        <is>
          <t>ED208813</t>
        </is>
      </c>
      <c r="B8639" s="56" t="n">
        <v>45812.34652777778</v>
      </c>
      <c r="C8639" t="inlineStr">
        <is>
          <t>Ashby Falls Community Hospital</t>
        </is>
      </c>
      <c r="D8639" t="n">
        <v>18</v>
      </c>
    </row>
    <row r="8640">
      <c r="A8640" t="inlineStr">
        <is>
          <t>ED208814</t>
        </is>
      </c>
      <c r="B8640" s="56" t="n">
        <v>45812.36597222222</v>
      </c>
      <c r="C8640" t="inlineStr">
        <is>
          <t>Bluestone Memorial Hospital</t>
        </is>
      </c>
      <c r="D8640" t="n">
        <v>25</v>
      </c>
    </row>
    <row r="8641">
      <c r="A8641" t="inlineStr">
        <is>
          <t>ED208815</t>
        </is>
      </c>
      <c r="B8641" s="56" t="n">
        <v>45812.39444444444</v>
      </c>
      <c r="C8641" t="inlineStr">
        <is>
          <t>Bluestone Memorial Hospital</t>
        </is>
      </c>
      <c r="D8641" t="n">
        <v>18</v>
      </c>
    </row>
    <row r="8642">
      <c r="A8642" t="inlineStr">
        <is>
          <t>ED208816</t>
        </is>
      </c>
      <c r="B8642" s="56" t="n">
        <v>45812.43472222222</v>
      </c>
      <c r="C8642" t="inlineStr">
        <is>
          <t>Bluestone Memorial Hospital</t>
        </is>
      </c>
      <c r="D8642" t="n">
        <v>17</v>
      </c>
    </row>
    <row r="8643">
      <c r="A8643" t="inlineStr">
        <is>
          <t>ED208817</t>
        </is>
      </c>
      <c r="B8643" s="56" t="n">
        <v>45812.44930555556</v>
      </c>
      <c r="C8643" t="inlineStr">
        <is>
          <t>Bluestone Memorial Hospital</t>
        </is>
      </c>
      <c r="D8643" t="n">
        <v>14</v>
      </c>
    </row>
    <row r="8644">
      <c r="A8644" t="inlineStr">
        <is>
          <t>ED208818</t>
        </is>
      </c>
      <c r="B8644" s="56" t="n">
        <v>45812.45833333334</v>
      </c>
      <c r="C8644" t="inlineStr">
        <is>
          <t>Bluestone Memorial Hospital</t>
        </is>
      </c>
      <c r="D8644" t="n">
        <v>129</v>
      </c>
    </row>
    <row r="8645">
      <c r="A8645" t="inlineStr">
        <is>
          <t>ED208819</t>
        </is>
      </c>
      <c r="B8645" s="56" t="n">
        <v>45812.47430555556</v>
      </c>
      <c r="C8645" t="inlineStr">
        <is>
          <t>Bluestone Memorial Hospital</t>
        </is>
      </c>
      <c r="D8645" t="n">
        <v>58</v>
      </c>
    </row>
    <row r="8646">
      <c r="A8646" t="inlineStr">
        <is>
          <t>ED208820</t>
        </is>
      </c>
      <c r="B8646" s="56" t="n">
        <v>45812.49305555555</v>
      </c>
      <c r="C8646" t="inlineStr">
        <is>
          <t>Bluestone Memorial Hospital</t>
        </is>
      </c>
      <c r="D8646" t="n">
        <v>82</v>
      </c>
    </row>
    <row r="8647">
      <c r="A8647" t="inlineStr">
        <is>
          <t>ED208821</t>
        </is>
      </c>
      <c r="B8647" s="56" t="n">
        <v>45812.52013888889</v>
      </c>
      <c r="C8647" t="inlineStr">
        <is>
          <t>Bluestone Memorial Hospital</t>
        </is>
      </c>
      <c r="D8647" t="n">
        <v>3</v>
      </c>
    </row>
    <row r="8648">
      <c r="A8648" t="inlineStr">
        <is>
          <t>ED208822</t>
        </is>
      </c>
      <c r="B8648" s="56" t="n">
        <v>45812.56666666667</v>
      </c>
      <c r="C8648" t="inlineStr">
        <is>
          <t>Bluestone Memorial Hospital</t>
        </is>
      </c>
      <c r="D8648" t="n">
        <v>34</v>
      </c>
    </row>
    <row r="8649">
      <c r="A8649" t="inlineStr">
        <is>
          <t>ED208823</t>
        </is>
      </c>
      <c r="B8649" s="56" t="n">
        <v>45812.57361111111</v>
      </c>
      <c r="C8649" t="inlineStr">
        <is>
          <t>Bluestone Memorial Hospital</t>
        </is>
      </c>
      <c r="D8649" t="n">
        <v>36</v>
      </c>
    </row>
    <row r="8650">
      <c r="A8650" t="inlineStr">
        <is>
          <t>ED208824</t>
        </is>
      </c>
      <c r="B8650" s="56" t="n">
        <v>45812.59513888889</v>
      </c>
      <c r="C8650" t="inlineStr">
        <is>
          <t>Bluestone Memorial Hospital</t>
        </is>
      </c>
      <c r="D8650" t="n">
        <v>18</v>
      </c>
    </row>
    <row r="8651">
      <c r="A8651" t="inlineStr">
        <is>
          <t>ED208825</t>
        </is>
      </c>
      <c r="B8651" s="56" t="n">
        <v>45812.60833333333</v>
      </c>
      <c r="C8651" t="inlineStr">
        <is>
          <t>Bluestone Memorial Hospital</t>
        </is>
      </c>
      <c r="D8651" t="n">
        <v>23</v>
      </c>
    </row>
    <row r="8652">
      <c r="A8652" t="inlineStr">
        <is>
          <t>ED208826</t>
        </is>
      </c>
      <c r="B8652" s="56" t="n">
        <v>45812.61736111111</v>
      </c>
      <c r="C8652" t="inlineStr">
        <is>
          <t>Bluestone Memorial Hospital</t>
        </is>
      </c>
      <c r="D8652" t="n">
        <v>16</v>
      </c>
    </row>
    <row r="8653">
      <c r="A8653" t="inlineStr">
        <is>
          <t>ED208827</t>
        </is>
      </c>
      <c r="B8653" s="56" t="n">
        <v>45812.64444444444</v>
      </c>
      <c r="C8653" t="inlineStr">
        <is>
          <t>Cedar Ridge Medical Center</t>
        </is>
      </c>
      <c r="D8653" t="n">
        <v>55</v>
      </c>
    </row>
    <row r="8654">
      <c r="A8654" t="inlineStr">
        <is>
          <t>ED208828</t>
        </is>
      </c>
      <c r="B8654" s="56" t="n">
        <v>45812.65208333333</v>
      </c>
      <c r="C8654" t="inlineStr">
        <is>
          <t>Bluestone Memorial Hospital</t>
        </is>
      </c>
      <c r="D8654" t="n">
        <v>36</v>
      </c>
    </row>
    <row r="8655">
      <c r="A8655" t="inlineStr">
        <is>
          <t>ED208830</t>
        </is>
      </c>
      <c r="B8655" s="56" t="n">
        <v>45812.75208333333</v>
      </c>
      <c r="C8655" t="inlineStr">
        <is>
          <t>Bluestone Memorial Hospital</t>
        </is>
      </c>
      <c r="D8655" t="n">
        <v>83</v>
      </c>
    </row>
    <row r="8656">
      <c r="A8656" t="inlineStr">
        <is>
          <t>ED208831</t>
        </is>
      </c>
      <c r="B8656" s="56" t="n">
        <v>45812.84513888889</v>
      </c>
      <c r="C8656" t="inlineStr">
        <is>
          <t>Cedar Ridge Medical Center</t>
        </is>
      </c>
      <c r="D8656" t="n">
        <v>48</v>
      </c>
    </row>
    <row r="8657">
      <c r="A8657" t="inlineStr">
        <is>
          <t>ED208833</t>
        </is>
      </c>
      <c r="B8657" s="56" t="n">
        <v>45812.85972222222</v>
      </c>
      <c r="C8657" t="inlineStr">
        <is>
          <t>Ashby Falls Community Hospital</t>
        </is>
      </c>
      <c r="D8657" t="n">
        <v>21</v>
      </c>
    </row>
    <row r="8658">
      <c r="A8658" t="inlineStr">
        <is>
          <t>ED208834</t>
        </is>
      </c>
      <c r="B8658" s="56" t="n">
        <v>45813.09722222222</v>
      </c>
      <c r="C8658" t="inlineStr">
        <is>
          <t>Bluestone Memorial Hospital</t>
        </is>
      </c>
      <c r="D8658" t="n">
        <v>14</v>
      </c>
    </row>
    <row r="8659">
      <c r="A8659" t="inlineStr">
        <is>
          <t>ED208835</t>
        </is>
      </c>
      <c r="B8659" s="56" t="n">
        <v>45813.18402777778</v>
      </c>
      <c r="C8659" t="inlineStr">
        <is>
          <t>Bluestone Memorial Hospital</t>
        </is>
      </c>
      <c r="D8659" t="n">
        <v>97</v>
      </c>
    </row>
    <row r="8660">
      <c r="A8660" t="inlineStr">
        <is>
          <t>ED208836</t>
        </is>
      </c>
      <c r="B8660" s="56" t="n">
        <v>45813.31041666667</v>
      </c>
      <c r="C8660" t="inlineStr">
        <is>
          <t>Bluestone Memorial Hospital</t>
        </is>
      </c>
      <c r="D8660" t="n">
        <v>59</v>
      </c>
    </row>
    <row r="8661">
      <c r="A8661" t="inlineStr">
        <is>
          <t>ED208837</t>
        </is>
      </c>
      <c r="B8661" s="56" t="n">
        <v>45813.31111111111</v>
      </c>
      <c r="C8661" t="inlineStr">
        <is>
          <t>Bluestone Memorial Hospital</t>
        </is>
      </c>
      <c r="D8661" t="n">
        <v>17</v>
      </c>
    </row>
    <row r="8662">
      <c r="A8662" t="inlineStr">
        <is>
          <t>ED208838</t>
        </is>
      </c>
      <c r="B8662" s="56" t="n">
        <v>45813.40694444445</v>
      </c>
      <c r="C8662" t="inlineStr">
        <is>
          <t>Bluestone Memorial Hospital</t>
        </is>
      </c>
      <c r="D8662" t="n">
        <v>10</v>
      </c>
    </row>
    <row r="8663">
      <c r="A8663" t="inlineStr">
        <is>
          <t>ED208839</t>
        </is>
      </c>
      <c r="B8663" s="56" t="n">
        <v>45813.57847222222</v>
      </c>
      <c r="C8663" t="inlineStr">
        <is>
          <t>Bluestone Memorial Hospital</t>
        </is>
      </c>
      <c r="D8663" t="n">
        <v>52</v>
      </c>
    </row>
    <row r="8664">
      <c r="A8664" t="inlineStr">
        <is>
          <t>ED208840</t>
        </is>
      </c>
      <c r="B8664" s="56" t="n">
        <v>45813.65555555555</v>
      </c>
      <c r="C8664" t="inlineStr">
        <is>
          <t>Bluestone Memorial Hospital</t>
        </is>
      </c>
      <c r="D8664" t="n">
        <v>1</v>
      </c>
    </row>
    <row r="8665">
      <c r="A8665" t="inlineStr">
        <is>
          <t>ED208841</t>
        </is>
      </c>
      <c r="B8665" s="56" t="n">
        <v>45813.76805555556</v>
      </c>
      <c r="C8665" t="inlineStr">
        <is>
          <t>Ashby Falls Community Hospital</t>
        </is>
      </c>
      <c r="D8665" t="n">
        <v>58</v>
      </c>
    </row>
    <row r="8666">
      <c r="A8666" t="inlineStr">
        <is>
          <t>ED208842</t>
        </is>
      </c>
      <c r="B8666" s="56" t="n">
        <v>45813.76875</v>
      </c>
      <c r="C8666" t="inlineStr">
        <is>
          <t>Bluestone Memorial Hospital</t>
        </is>
      </c>
      <c r="D8666" t="n">
        <v>92</v>
      </c>
    </row>
    <row r="8667">
      <c r="A8667" t="inlineStr">
        <is>
          <t>ED208843</t>
        </is>
      </c>
      <c r="B8667" s="56" t="n">
        <v>45813.77916666667</v>
      </c>
      <c r="C8667" t="inlineStr">
        <is>
          <t>Bluestone Memorial Hospital</t>
        </is>
      </c>
      <c r="D8667" t="n">
        <v>14</v>
      </c>
    </row>
    <row r="8668">
      <c r="A8668" t="inlineStr">
        <is>
          <t>ED208844</t>
        </is>
      </c>
      <c r="B8668" s="56" t="n">
        <v>45813.9</v>
      </c>
      <c r="C8668" t="inlineStr">
        <is>
          <t>Ashby Falls Community Hospital</t>
        </is>
      </c>
      <c r="D8668" t="n">
        <v>36</v>
      </c>
    </row>
    <row r="8669">
      <c r="A8669" t="inlineStr">
        <is>
          <t>ED208845</t>
        </is>
      </c>
      <c r="B8669" s="56" t="n">
        <v>45814.07916666667</v>
      </c>
      <c r="C8669" t="inlineStr">
        <is>
          <t>Ashby Falls Community Hospital</t>
        </is>
      </c>
      <c r="D8669" t="n">
        <v>116</v>
      </c>
    </row>
    <row r="8670">
      <c r="A8670" t="inlineStr">
        <is>
          <t>ED208846</t>
        </is>
      </c>
      <c r="B8670" s="56" t="n">
        <v>45814.10138888889</v>
      </c>
      <c r="C8670" t="inlineStr">
        <is>
          <t>Bluestone Memorial Hospital</t>
        </is>
      </c>
      <c r="D8670" t="n">
        <v>24</v>
      </c>
    </row>
    <row r="8671">
      <c r="A8671" t="inlineStr">
        <is>
          <t>ED208847</t>
        </is>
      </c>
      <c r="B8671" s="56" t="n">
        <v>45814.10555555556</v>
      </c>
      <c r="C8671" t="inlineStr">
        <is>
          <t>Bluestone Memorial Hospital</t>
        </is>
      </c>
      <c r="D8671" t="n">
        <v>12</v>
      </c>
    </row>
    <row r="8672">
      <c r="A8672" t="inlineStr">
        <is>
          <t>ED208848</t>
        </is>
      </c>
      <c r="B8672" s="56" t="n">
        <v>45814.26597222222</v>
      </c>
      <c r="C8672" t="inlineStr">
        <is>
          <t>Bluestone Memorial Hospital</t>
        </is>
      </c>
      <c r="D8672" t="n">
        <v>28</v>
      </c>
    </row>
    <row r="8673">
      <c r="A8673" t="inlineStr">
        <is>
          <t>ED208849</t>
        </is>
      </c>
      <c r="B8673" s="56" t="n">
        <v>45814.38472222222</v>
      </c>
      <c r="C8673" t="inlineStr">
        <is>
          <t>Cedar Ridge Medical Center</t>
        </is>
      </c>
      <c r="D8673" t="n">
        <v>83</v>
      </c>
    </row>
    <row r="8674">
      <c r="A8674" t="inlineStr">
        <is>
          <t>ED208850</t>
        </is>
      </c>
      <c r="B8674" s="56" t="n">
        <v>45814.40138888889</v>
      </c>
      <c r="C8674" t="inlineStr">
        <is>
          <t>Bluestone Memorial Hospital</t>
        </is>
      </c>
      <c r="D8674" t="n">
        <v>8</v>
      </c>
    </row>
    <row r="8675">
      <c r="A8675" t="inlineStr">
        <is>
          <t>ED208851</t>
        </is>
      </c>
      <c r="B8675" s="56" t="n">
        <v>45814.43125</v>
      </c>
      <c r="C8675" t="inlineStr">
        <is>
          <t>Ashby Falls Community Hospital</t>
        </is>
      </c>
      <c r="D8675" t="n">
        <v>39</v>
      </c>
    </row>
    <row r="8676">
      <c r="A8676" t="inlineStr">
        <is>
          <t>ED208852</t>
        </is>
      </c>
      <c r="B8676" s="56" t="n">
        <v>45814.4375</v>
      </c>
      <c r="C8676" t="inlineStr">
        <is>
          <t>Bluestone Memorial Hospital</t>
        </is>
      </c>
      <c r="D8676" t="n">
        <v>58</v>
      </c>
    </row>
    <row r="8677">
      <c r="A8677" t="inlineStr">
        <is>
          <t>ED208853</t>
        </is>
      </c>
      <c r="B8677" s="56" t="n">
        <v>45814.44166666667</v>
      </c>
      <c r="C8677" t="inlineStr">
        <is>
          <t>Bluestone Memorial Hospital</t>
        </is>
      </c>
      <c r="D8677" t="n">
        <v>163</v>
      </c>
    </row>
    <row r="8678">
      <c r="A8678" t="inlineStr">
        <is>
          <t>ED208854</t>
        </is>
      </c>
      <c r="B8678" s="56" t="n">
        <v>45814.47152777778</v>
      </c>
      <c r="C8678" t="inlineStr">
        <is>
          <t>Ashby Falls Community Hospital</t>
        </is>
      </c>
      <c r="D8678" t="n">
        <v>37</v>
      </c>
    </row>
    <row r="8679">
      <c r="A8679" t="inlineStr">
        <is>
          <t>ED208855</t>
        </is>
      </c>
      <c r="B8679" s="56" t="n">
        <v>45814.47291666667</v>
      </c>
      <c r="C8679" t="inlineStr">
        <is>
          <t>Bluestone Memorial Hospital</t>
        </is>
      </c>
      <c r="D8679" t="n">
        <v>36</v>
      </c>
    </row>
    <row r="8680">
      <c r="A8680" t="inlineStr">
        <is>
          <t>ED208856</t>
        </is>
      </c>
      <c r="B8680" s="56" t="n">
        <v>45814.47708333333</v>
      </c>
      <c r="C8680" t="inlineStr">
        <is>
          <t>Ashby Falls Community Hospital</t>
        </is>
      </c>
      <c r="D8680" t="n">
        <v>57</v>
      </c>
    </row>
    <row r="8681">
      <c r="A8681" t="inlineStr">
        <is>
          <t>ED208857</t>
        </is>
      </c>
      <c r="B8681" s="56" t="n">
        <v>45814.49583333333</v>
      </c>
      <c r="C8681" t="inlineStr">
        <is>
          <t>Bluestone Memorial Hospital</t>
        </is>
      </c>
      <c r="D8681" t="n">
        <v>98</v>
      </c>
    </row>
    <row r="8682">
      <c r="A8682" t="inlineStr">
        <is>
          <t>ED208858</t>
        </is>
      </c>
      <c r="B8682" s="56" t="n">
        <v>45814.66180555556</v>
      </c>
      <c r="C8682" t="inlineStr">
        <is>
          <t>Bluestone Memorial Hospital</t>
        </is>
      </c>
      <c r="D8682" t="n">
        <v>21</v>
      </c>
    </row>
    <row r="8683">
      <c r="A8683" t="inlineStr">
        <is>
          <t>ED208859</t>
        </is>
      </c>
      <c r="B8683" s="56" t="n">
        <v>45814.66319444445</v>
      </c>
      <c r="C8683" t="inlineStr">
        <is>
          <t>Bluestone Memorial Hospital</t>
        </is>
      </c>
      <c r="D8683" t="n">
        <v>195</v>
      </c>
    </row>
    <row r="8684">
      <c r="A8684" t="inlineStr">
        <is>
          <t>ED208860</t>
        </is>
      </c>
      <c r="B8684" s="56" t="n">
        <v>45814.66805555556</v>
      </c>
      <c r="C8684" t="inlineStr">
        <is>
          <t>Bluestone Memorial Hospital</t>
        </is>
      </c>
      <c r="D8684" t="n">
        <v>105</v>
      </c>
    </row>
    <row r="8685">
      <c r="A8685" t="inlineStr">
        <is>
          <t>ED208861</t>
        </is>
      </c>
      <c r="B8685" s="56" t="n">
        <v>45814.69166666667</v>
      </c>
      <c r="C8685" t="inlineStr">
        <is>
          <t>Bluestone Memorial Hospital</t>
        </is>
      </c>
      <c r="D8685" t="n">
        <v>112</v>
      </c>
    </row>
    <row r="8686">
      <c r="A8686" t="inlineStr">
        <is>
          <t>ED208862</t>
        </is>
      </c>
      <c r="B8686" s="56" t="n">
        <v>45814.70555555556</v>
      </c>
      <c r="C8686" t="inlineStr">
        <is>
          <t>Cedar Ridge Medical Center</t>
        </is>
      </c>
      <c r="D8686" t="n">
        <v>46</v>
      </c>
    </row>
    <row r="8687">
      <c r="A8687" t="inlineStr">
        <is>
          <t>ED208863</t>
        </is>
      </c>
      <c r="B8687" s="56" t="n">
        <v>45814.71736111111</v>
      </c>
      <c r="C8687" t="inlineStr">
        <is>
          <t>Bluestone Memorial Hospital</t>
        </is>
      </c>
      <c r="D8687" t="n">
        <v>39</v>
      </c>
    </row>
    <row r="8688">
      <c r="A8688" t="inlineStr">
        <is>
          <t>ED208864</t>
        </is>
      </c>
      <c r="B8688" s="56" t="n">
        <v>45814.74583333333</v>
      </c>
      <c r="C8688" t="inlineStr">
        <is>
          <t>Bluestone Memorial Hospital</t>
        </is>
      </c>
      <c r="D8688" t="n">
        <v>28</v>
      </c>
    </row>
    <row r="8689">
      <c r="A8689" t="inlineStr">
        <is>
          <t>ED208865</t>
        </is>
      </c>
      <c r="B8689" s="56" t="n">
        <v>45814.76111111111</v>
      </c>
      <c r="C8689" t="inlineStr">
        <is>
          <t>Bluestone Memorial Hospital</t>
        </is>
      </c>
      <c r="D8689" t="n">
        <v>54</v>
      </c>
    </row>
    <row r="8690">
      <c r="A8690" t="inlineStr">
        <is>
          <t>ED208866</t>
        </is>
      </c>
      <c r="B8690" s="56" t="n">
        <v>45814.85625</v>
      </c>
      <c r="C8690" t="inlineStr">
        <is>
          <t>Bluestone Memorial Hospital</t>
        </is>
      </c>
      <c r="D8690" t="n">
        <v>31</v>
      </c>
    </row>
    <row r="8691">
      <c r="A8691" t="inlineStr">
        <is>
          <t>ED208867</t>
        </is>
      </c>
      <c r="B8691" s="56" t="n">
        <v>45814.87291666667</v>
      </c>
      <c r="C8691" t="inlineStr">
        <is>
          <t>Bluestone Memorial Hospital</t>
        </is>
      </c>
      <c r="D8691" t="n">
        <v>168</v>
      </c>
    </row>
    <row r="8692">
      <c r="A8692" t="inlineStr">
        <is>
          <t>ED208868</t>
        </is>
      </c>
      <c r="B8692" s="56" t="n">
        <v>45815.42638888889</v>
      </c>
      <c r="C8692" t="inlineStr">
        <is>
          <t>Bluestone Memorial Hospital</t>
        </is>
      </c>
      <c r="D8692" t="n">
        <v>44</v>
      </c>
    </row>
    <row r="8693">
      <c r="A8693" t="inlineStr">
        <is>
          <t>ED208869</t>
        </is>
      </c>
      <c r="B8693" s="56" t="n">
        <v>45815.50416666667</v>
      </c>
      <c r="C8693" t="inlineStr">
        <is>
          <t>Bluestone Memorial Hospital</t>
        </is>
      </c>
      <c r="D8693" t="n">
        <v>106</v>
      </c>
    </row>
    <row r="8694">
      <c r="A8694" t="inlineStr">
        <is>
          <t>ED208870</t>
        </is>
      </c>
      <c r="B8694" s="56" t="n">
        <v>45815.52777777778</v>
      </c>
      <c r="C8694" t="inlineStr">
        <is>
          <t>Bluestone Memorial Hospital</t>
        </is>
      </c>
      <c r="D8694" t="n">
        <v>38</v>
      </c>
    </row>
    <row r="8695">
      <c r="A8695" t="inlineStr">
        <is>
          <t>ED208871</t>
        </is>
      </c>
      <c r="B8695" s="56" t="n">
        <v>45815.58819444444</v>
      </c>
      <c r="C8695" t="inlineStr">
        <is>
          <t>Bluestone Memorial Hospital</t>
        </is>
      </c>
      <c r="D8695" t="n">
        <v>20</v>
      </c>
    </row>
    <row r="8696">
      <c r="A8696" t="inlineStr">
        <is>
          <t>ED208872</t>
        </is>
      </c>
      <c r="B8696" s="56" t="n">
        <v>45815.65555555555</v>
      </c>
      <c r="C8696" t="inlineStr">
        <is>
          <t>Cedar Ridge Medical Center</t>
        </is>
      </c>
      <c r="D8696" t="n">
        <v>33</v>
      </c>
    </row>
    <row r="8697">
      <c r="A8697" t="inlineStr">
        <is>
          <t>ED208873</t>
        </is>
      </c>
      <c r="B8697" s="56" t="n">
        <v>45815.68125</v>
      </c>
      <c r="C8697" t="inlineStr">
        <is>
          <t>Cedar Ridge Medical Center</t>
        </is>
      </c>
      <c r="D8697" t="n">
        <v>93</v>
      </c>
    </row>
    <row r="8698">
      <c r="A8698" t="inlineStr">
        <is>
          <t>ED208874</t>
        </is>
      </c>
      <c r="B8698" s="56" t="n">
        <v>45815.68958333333</v>
      </c>
      <c r="C8698" t="inlineStr">
        <is>
          <t>Cedar Ridge Medical Center</t>
        </is>
      </c>
      <c r="D8698" t="n">
        <v>52</v>
      </c>
    </row>
    <row r="8699">
      <c r="A8699" t="inlineStr">
        <is>
          <t>ED208875</t>
        </is>
      </c>
      <c r="B8699" s="56" t="n">
        <v>45815.73125</v>
      </c>
      <c r="C8699" t="inlineStr">
        <is>
          <t>Bluestone Memorial Hospital</t>
        </is>
      </c>
      <c r="D8699" t="n">
        <v>71</v>
      </c>
    </row>
    <row r="8700">
      <c r="A8700" t="inlineStr">
        <is>
          <t>ED208876</t>
        </is>
      </c>
      <c r="B8700" s="56" t="n">
        <v>45815.75</v>
      </c>
      <c r="C8700" t="inlineStr">
        <is>
          <t>Bluestone Memorial Hospital</t>
        </is>
      </c>
      <c r="D8700" t="n">
        <v>21</v>
      </c>
    </row>
    <row r="8701">
      <c r="A8701" t="inlineStr">
        <is>
          <t>ED208877</t>
        </is>
      </c>
      <c r="B8701" s="56" t="n">
        <v>45815.87847222222</v>
      </c>
      <c r="C8701" t="inlineStr">
        <is>
          <t>Bluestone Memorial Hospital</t>
        </is>
      </c>
      <c r="D8701" t="n">
        <v>49</v>
      </c>
    </row>
    <row r="8702">
      <c r="A8702" t="inlineStr">
        <is>
          <t>ED208878</t>
        </is>
      </c>
      <c r="B8702" s="56" t="n">
        <v>45816.04305555556</v>
      </c>
      <c r="C8702" t="inlineStr">
        <is>
          <t>Bluestone Memorial Hospital</t>
        </is>
      </c>
      <c r="D8702" t="n">
        <v>41</v>
      </c>
    </row>
    <row r="8703">
      <c r="A8703" t="inlineStr">
        <is>
          <t>ED208879</t>
        </is>
      </c>
      <c r="B8703" s="56" t="n">
        <v>45816.11458333334</v>
      </c>
      <c r="C8703" t="inlineStr">
        <is>
          <t>Bluestone Memorial Hospital</t>
        </is>
      </c>
      <c r="D8703" t="n">
        <v>21</v>
      </c>
    </row>
    <row r="8704">
      <c r="A8704" t="inlineStr">
        <is>
          <t>ED208880</t>
        </is>
      </c>
      <c r="B8704" s="56" t="n">
        <v>45816.36319444444</v>
      </c>
      <c r="C8704" t="inlineStr">
        <is>
          <t>Bluestone Memorial Hospital</t>
        </is>
      </c>
      <c r="D8704" t="n">
        <v>84</v>
      </c>
    </row>
    <row r="8705">
      <c r="A8705" t="inlineStr">
        <is>
          <t>ED208881</t>
        </is>
      </c>
      <c r="B8705" s="56" t="n">
        <v>45816.36805555555</v>
      </c>
      <c r="C8705" t="inlineStr">
        <is>
          <t>Bluestone Memorial Hospital</t>
        </is>
      </c>
      <c r="D8705" t="n">
        <v>26</v>
      </c>
    </row>
    <row r="8706">
      <c r="A8706" t="inlineStr">
        <is>
          <t>ED208882</t>
        </is>
      </c>
      <c r="B8706" s="56" t="n">
        <v>45816.50138888889</v>
      </c>
      <c r="C8706" t="inlineStr">
        <is>
          <t>Cedar Ridge Medical Center</t>
        </is>
      </c>
      <c r="D8706" t="n">
        <v>34</v>
      </c>
    </row>
    <row r="8707">
      <c r="A8707" t="inlineStr">
        <is>
          <t>ED208883</t>
        </is>
      </c>
      <c r="B8707" s="56" t="n">
        <v>45816.53055555555</v>
      </c>
      <c r="C8707" t="inlineStr">
        <is>
          <t>Cedar Ridge Medical Center</t>
        </is>
      </c>
      <c r="D8707" t="n">
        <v>151</v>
      </c>
    </row>
    <row r="8708">
      <c r="A8708" t="inlineStr">
        <is>
          <t>ED208884</t>
        </is>
      </c>
      <c r="B8708" s="56" t="n">
        <v>45816.55625</v>
      </c>
      <c r="C8708" t="inlineStr">
        <is>
          <t>Bluestone Memorial Hospital</t>
        </is>
      </c>
      <c r="D8708" t="n">
        <v>97</v>
      </c>
    </row>
    <row r="8709">
      <c r="A8709" t="inlineStr">
        <is>
          <t>ED208885</t>
        </is>
      </c>
      <c r="B8709" s="56" t="n">
        <v>45816.56180555555</v>
      </c>
      <c r="C8709" t="inlineStr">
        <is>
          <t>Cedar Ridge Medical Center</t>
        </is>
      </c>
      <c r="D8709" t="n">
        <v>30</v>
      </c>
    </row>
    <row r="8710">
      <c r="A8710" t="inlineStr">
        <is>
          <t>ED208886</t>
        </is>
      </c>
      <c r="B8710" s="56" t="n">
        <v>45816.57638888889</v>
      </c>
      <c r="C8710" t="inlineStr">
        <is>
          <t>Bluestone Memorial Hospital</t>
        </is>
      </c>
      <c r="D8710" t="n">
        <v>161</v>
      </c>
    </row>
    <row r="8711">
      <c r="A8711" t="inlineStr">
        <is>
          <t>ED208887</t>
        </is>
      </c>
      <c r="B8711" s="56" t="n">
        <v>45816.60972222222</v>
      </c>
      <c r="C8711" t="inlineStr">
        <is>
          <t>Cedar Ridge Medical Center</t>
        </is>
      </c>
      <c r="D8711" t="n">
        <v>38</v>
      </c>
    </row>
    <row r="8712">
      <c r="A8712" t="inlineStr">
        <is>
          <t>ED208888</t>
        </is>
      </c>
      <c r="B8712" s="56" t="n">
        <v>45816.61041666667</v>
      </c>
      <c r="C8712" t="inlineStr">
        <is>
          <t>Bluestone Memorial Hospital</t>
        </is>
      </c>
      <c r="D8712" t="n">
        <v>63</v>
      </c>
    </row>
    <row r="8713">
      <c r="A8713" t="inlineStr">
        <is>
          <t>ED208889</t>
        </is>
      </c>
      <c r="B8713" s="56" t="n">
        <v>45816.63055555556</v>
      </c>
      <c r="C8713" t="inlineStr">
        <is>
          <t>Cedar Ridge Medical Center</t>
        </is>
      </c>
      <c r="D8713" t="n">
        <v>45</v>
      </c>
    </row>
    <row r="8714">
      <c r="A8714" t="inlineStr">
        <is>
          <t>ED208890</t>
        </is>
      </c>
      <c r="B8714" s="56" t="n">
        <v>45816.65833333333</v>
      </c>
      <c r="C8714" t="inlineStr">
        <is>
          <t>Bluestone Memorial Hospital</t>
        </is>
      </c>
      <c r="D8714" t="n">
        <v>57</v>
      </c>
    </row>
    <row r="8715">
      <c r="A8715" t="inlineStr">
        <is>
          <t>ED208891</t>
        </is>
      </c>
      <c r="B8715" s="56" t="n">
        <v>45816.68888888889</v>
      </c>
      <c r="C8715" t="inlineStr">
        <is>
          <t>Bluestone Memorial Hospital</t>
        </is>
      </c>
      <c r="D8715" t="n">
        <v>13</v>
      </c>
    </row>
    <row r="8716">
      <c r="A8716" t="inlineStr">
        <is>
          <t>ED208892</t>
        </is>
      </c>
      <c r="B8716" s="56" t="n">
        <v>45816.73958333334</v>
      </c>
      <c r="C8716" t="inlineStr">
        <is>
          <t>Bluestone Memorial Hospital</t>
        </is>
      </c>
      <c r="D8716" t="n">
        <v>26</v>
      </c>
    </row>
    <row r="8717">
      <c r="A8717" t="inlineStr">
        <is>
          <t>ED208893</t>
        </is>
      </c>
      <c r="B8717" s="56" t="n">
        <v>45816.77430555555</v>
      </c>
      <c r="C8717" t="inlineStr">
        <is>
          <t>Ashby Falls Community Hospital</t>
        </is>
      </c>
      <c r="D8717" t="n">
        <v>11</v>
      </c>
    </row>
    <row r="8718">
      <c r="A8718" t="inlineStr">
        <is>
          <t>ED208894</t>
        </is>
      </c>
      <c r="B8718" s="56" t="n">
        <v>45816.81527777778</v>
      </c>
      <c r="C8718" t="inlineStr">
        <is>
          <t>Cedar Ridge Medical Center</t>
        </is>
      </c>
      <c r="D8718" t="n">
        <v>69</v>
      </c>
    </row>
    <row r="8719">
      <c r="A8719" t="inlineStr">
        <is>
          <t>ED208895</t>
        </is>
      </c>
      <c r="B8719" s="56" t="n">
        <v>45816.88819444444</v>
      </c>
      <c r="C8719" t="inlineStr">
        <is>
          <t>Bluestone Memorial Hospital</t>
        </is>
      </c>
      <c r="D8719" t="n">
        <v>28</v>
      </c>
    </row>
    <row r="8720">
      <c r="A8720" t="inlineStr">
        <is>
          <t>ED208896</t>
        </is>
      </c>
      <c r="B8720" s="56" t="n">
        <v>45816.93958333333</v>
      </c>
      <c r="C8720" t="inlineStr">
        <is>
          <t>Bluestone Memorial Hospital</t>
        </is>
      </c>
      <c r="D8720" t="n">
        <v>61</v>
      </c>
    </row>
    <row r="8721">
      <c r="A8721" t="inlineStr">
        <is>
          <t>ED208897</t>
        </is>
      </c>
      <c r="B8721" s="56" t="n">
        <v>45817.25069444445</v>
      </c>
      <c r="C8721" t="inlineStr">
        <is>
          <t>Ashby Falls Community Hospital</t>
        </is>
      </c>
      <c r="D8721" t="n">
        <v>14</v>
      </c>
    </row>
    <row r="8722">
      <c r="A8722" t="inlineStr">
        <is>
          <t>ED208898</t>
        </is>
      </c>
      <c r="B8722" s="56" t="n">
        <v>45817.36180555556</v>
      </c>
      <c r="C8722" t="inlineStr">
        <is>
          <t>Bluestone Memorial Hospital</t>
        </is>
      </c>
      <c r="D8722" t="n">
        <v>40</v>
      </c>
    </row>
    <row r="8723">
      <c r="A8723" t="inlineStr">
        <is>
          <t>ED208899</t>
        </is>
      </c>
      <c r="B8723" s="56" t="n">
        <v>45817.3875</v>
      </c>
      <c r="C8723" t="inlineStr">
        <is>
          <t>Bluestone Memorial Hospital</t>
        </is>
      </c>
      <c r="D8723" t="n">
        <v>14</v>
      </c>
    </row>
    <row r="8724">
      <c r="A8724" t="inlineStr">
        <is>
          <t>ED208900</t>
        </is>
      </c>
      <c r="B8724" s="56" t="n">
        <v>45817.45</v>
      </c>
      <c r="C8724" t="inlineStr">
        <is>
          <t>Bluestone Memorial Hospital</t>
        </is>
      </c>
      <c r="D8724" t="n">
        <v>50</v>
      </c>
    </row>
    <row r="8725">
      <c r="A8725" t="inlineStr">
        <is>
          <t>ED208901</t>
        </is>
      </c>
      <c r="B8725" s="56" t="n">
        <v>45817.47222222222</v>
      </c>
      <c r="C8725" t="inlineStr">
        <is>
          <t>Cedar Ridge Medical Center</t>
        </is>
      </c>
      <c r="D8725" t="n">
        <v>55</v>
      </c>
    </row>
    <row r="8726">
      <c r="A8726" t="inlineStr">
        <is>
          <t>ED208902</t>
        </is>
      </c>
      <c r="B8726" s="56" t="n">
        <v>45817.52708333333</v>
      </c>
      <c r="C8726" t="inlineStr">
        <is>
          <t>Bluestone Memorial Hospital</t>
        </is>
      </c>
      <c r="D8726" t="n">
        <v>29</v>
      </c>
    </row>
    <row r="8727">
      <c r="A8727" t="inlineStr">
        <is>
          <t>ED208903</t>
        </is>
      </c>
      <c r="B8727" s="56" t="n">
        <v>45817.56458333333</v>
      </c>
      <c r="C8727" t="inlineStr">
        <is>
          <t>Bluestone Memorial Hospital</t>
        </is>
      </c>
      <c r="D8727" t="n">
        <v>20</v>
      </c>
    </row>
    <row r="8728">
      <c r="A8728" t="inlineStr">
        <is>
          <t>ED208904</t>
        </is>
      </c>
      <c r="B8728" s="56" t="n">
        <v>45817.57569444444</v>
      </c>
      <c r="C8728" t="inlineStr">
        <is>
          <t>Bluestone Memorial Hospital</t>
        </is>
      </c>
      <c r="D8728" t="n">
        <v>53</v>
      </c>
    </row>
    <row r="8729">
      <c r="A8729" t="inlineStr">
        <is>
          <t>ED208905</t>
        </is>
      </c>
      <c r="B8729" s="56" t="n">
        <v>45817.62569444445</v>
      </c>
      <c r="C8729" t="inlineStr">
        <is>
          <t>Bluestone Memorial Hospital</t>
        </is>
      </c>
      <c r="D8729" t="n">
        <v>2</v>
      </c>
    </row>
    <row r="8730">
      <c r="A8730" t="inlineStr">
        <is>
          <t>ED208906</t>
        </is>
      </c>
      <c r="B8730" s="56" t="n">
        <v>45817.675</v>
      </c>
      <c r="C8730" t="inlineStr">
        <is>
          <t>Bluestone Memorial Hospital</t>
        </is>
      </c>
      <c r="D8730" t="n">
        <v>76</v>
      </c>
    </row>
    <row r="8731">
      <c r="A8731" t="inlineStr">
        <is>
          <t>ED208907</t>
        </is>
      </c>
      <c r="B8731" s="56" t="n">
        <v>45817.78958333333</v>
      </c>
      <c r="C8731" t="inlineStr">
        <is>
          <t>Bluestone Memorial Hospital</t>
        </is>
      </c>
      <c r="D8731" t="n">
        <v>4</v>
      </c>
    </row>
    <row r="8732">
      <c r="A8732" t="inlineStr">
        <is>
          <t>ED208908</t>
        </is>
      </c>
      <c r="B8732" s="56" t="n">
        <v>45817.87083333333</v>
      </c>
      <c r="C8732" t="inlineStr">
        <is>
          <t>Bluestone Memorial Hospital</t>
        </is>
      </c>
      <c r="D8732" t="n">
        <v>48</v>
      </c>
    </row>
    <row r="8733">
      <c r="A8733" t="inlineStr">
        <is>
          <t>ED208909</t>
        </is>
      </c>
      <c r="B8733" s="56" t="n">
        <v>45817.925</v>
      </c>
      <c r="C8733" t="inlineStr">
        <is>
          <t>Bluestone Memorial Hospital</t>
        </is>
      </c>
      <c r="D8733" t="n">
        <v>2</v>
      </c>
    </row>
    <row r="8734">
      <c r="A8734" t="inlineStr">
        <is>
          <t>ED208910</t>
        </is>
      </c>
      <c r="B8734" s="56" t="n">
        <v>45818.21111111111</v>
      </c>
      <c r="C8734" t="inlineStr">
        <is>
          <t>Bluestone Memorial Hospital</t>
        </is>
      </c>
      <c r="D8734" t="n">
        <v>6</v>
      </c>
    </row>
    <row r="8735">
      <c r="A8735" t="inlineStr">
        <is>
          <t>ED208911</t>
        </is>
      </c>
      <c r="B8735" s="56" t="n">
        <v>45818.34652777778</v>
      </c>
      <c r="C8735" t="inlineStr">
        <is>
          <t>Cedar Ridge Medical Center</t>
        </is>
      </c>
      <c r="D8735" t="n">
        <v>68</v>
      </c>
    </row>
    <row r="8736">
      <c r="A8736" t="inlineStr">
        <is>
          <t>ED208912</t>
        </is>
      </c>
      <c r="B8736" s="56" t="n">
        <v>45818.39722222222</v>
      </c>
      <c r="C8736" t="inlineStr">
        <is>
          <t>Bluestone Memorial Hospital</t>
        </is>
      </c>
      <c r="D8736" t="n">
        <v>2</v>
      </c>
    </row>
    <row r="8737">
      <c r="A8737" t="inlineStr">
        <is>
          <t>ED208913</t>
        </is>
      </c>
      <c r="B8737" s="56" t="n">
        <v>45818.42638888889</v>
      </c>
      <c r="C8737" t="inlineStr">
        <is>
          <t>Ashby Falls Community Hospital</t>
        </is>
      </c>
      <c r="D8737" t="n">
        <v>48</v>
      </c>
    </row>
    <row r="8738">
      <c r="A8738" t="inlineStr">
        <is>
          <t>ED208914</t>
        </is>
      </c>
      <c r="B8738" s="56" t="n">
        <v>45818.46736111111</v>
      </c>
      <c r="C8738" t="inlineStr">
        <is>
          <t>Cedar Ridge Medical Center</t>
        </is>
      </c>
      <c r="D8738" t="n">
        <v>43</v>
      </c>
    </row>
    <row r="8739">
      <c r="A8739" t="inlineStr">
        <is>
          <t>ED208915</t>
        </is>
      </c>
      <c r="B8739" s="56" t="n">
        <v>45818.47847222222</v>
      </c>
      <c r="C8739" t="inlineStr">
        <is>
          <t>Cedar Ridge Medical Center</t>
        </is>
      </c>
      <c r="D8739" t="n">
        <v>89</v>
      </c>
    </row>
    <row r="8740">
      <c r="A8740" t="inlineStr">
        <is>
          <t>ED208916</t>
        </is>
      </c>
      <c r="B8740" s="56" t="n">
        <v>45818.50833333333</v>
      </c>
      <c r="C8740" t="inlineStr">
        <is>
          <t>Bluestone Memorial Hospital</t>
        </is>
      </c>
      <c r="D8740" t="n">
        <v>83</v>
      </c>
    </row>
    <row r="8741">
      <c r="A8741" t="inlineStr">
        <is>
          <t>ED208917</t>
        </is>
      </c>
      <c r="B8741" s="56" t="n">
        <v>45818.55763888889</v>
      </c>
      <c r="C8741" t="inlineStr">
        <is>
          <t>Bluestone Memorial Hospital</t>
        </is>
      </c>
      <c r="D8741" t="n">
        <v>13</v>
      </c>
    </row>
    <row r="8742">
      <c r="A8742" t="inlineStr">
        <is>
          <t>ED208918</t>
        </is>
      </c>
      <c r="B8742" s="56" t="n">
        <v>45818.63402777778</v>
      </c>
      <c r="C8742" t="inlineStr">
        <is>
          <t>Bluestone Memorial Hospital</t>
        </is>
      </c>
      <c r="D8742" t="n">
        <v>82</v>
      </c>
    </row>
    <row r="8743">
      <c r="A8743" t="inlineStr">
        <is>
          <t>ED208919</t>
        </is>
      </c>
      <c r="B8743" s="56" t="n">
        <v>45818.65347222222</v>
      </c>
      <c r="C8743" t="inlineStr">
        <is>
          <t>Bluestone Memorial Hospital</t>
        </is>
      </c>
      <c r="D8743" t="n">
        <v>126</v>
      </c>
    </row>
    <row r="8744">
      <c r="A8744" t="inlineStr">
        <is>
          <t>ED208920</t>
        </is>
      </c>
      <c r="B8744" s="56" t="n">
        <v>45818.76875</v>
      </c>
      <c r="C8744" t="inlineStr">
        <is>
          <t>Bluestone Memorial Hospital</t>
        </is>
      </c>
      <c r="D8744" t="n">
        <v>80</v>
      </c>
    </row>
    <row r="8745">
      <c r="A8745" t="inlineStr">
        <is>
          <t>ED208921</t>
        </is>
      </c>
      <c r="B8745" s="56" t="n">
        <v>45818.86944444444</v>
      </c>
      <c r="C8745" t="inlineStr">
        <is>
          <t>Bluestone Memorial Hospital</t>
        </is>
      </c>
      <c r="D8745" t="n">
        <v>11</v>
      </c>
    </row>
    <row r="8746">
      <c r="A8746" t="inlineStr">
        <is>
          <t>ED208922</t>
        </is>
      </c>
      <c r="B8746" s="56" t="n">
        <v>45818.87013888889</v>
      </c>
      <c r="C8746" t="inlineStr">
        <is>
          <t>Cedar Ridge Medical Center</t>
        </is>
      </c>
      <c r="D8746" t="n">
        <v>119</v>
      </c>
    </row>
    <row r="8747">
      <c r="A8747" t="inlineStr">
        <is>
          <t>ED208923</t>
        </is>
      </c>
      <c r="B8747" s="56" t="n">
        <v>45818.88055555556</v>
      </c>
      <c r="C8747" t="inlineStr">
        <is>
          <t>Bluestone Memorial Hospital</t>
        </is>
      </c>
      <c r="D8747" t="n">
        <v>93</v>
      </c>
    </row>
    <row r="8748">
      <c r="A8748" t="inlineStr">
        <is>
          <t>ED208924</t>
        </is>
      </c>
      <c r="B8748" s="56" t="n">
        <v>45818.95625</v>
      </c>
      <c r="C8748" t="inlineStr">
        <is>
          <t>Bluestone Memorial Hospital</t>
        </is>
      </c>
      <c r="D8748" t="n">
        <v>16</v>
      </c>
    </row>
    <row r="8749">
      <c r="A8749" t="inlineStr">
        <is>
          <t>ED208925</t>
        </is>
      </c>
      <c r="B8749" s="56" t="n">
        <v>45819.14930555555</v>
      </c>
      <c r="C8749" t="inlineStr">
        <is>
          <t>Cedar Ridge Medical Center</t>
        </is>
      </c>
      <c r="D8749" t="n">
        <v>22</v>
      </c>
    </row>
    <row r="8750">
      <c r="A8750" t="inlineStr">
        <is>
          <t>ED208926</t>
        </is>
      </c>
      <c r="B8750" s="56" t="n">
        <v>45819.19652777778</v>
      </c>
      <c r="C8750" t="inlineStr">
        <is>
          <t>Bluestone Memorial Hospital</t>
        </is>
      </c>
      <c r="D8750" t="n">
        <v>15</v>
      </c>
    </row>
    <row r="8751">
      <c r="A8751" t="inlineStr">
        <is>
          <t>ED208927</t>
        </is>
      </c>
      <c r="B8751" s="56" t="n">
        <v>45819.36180555556</v>
      </c>
      <c r="C8751" t="inlineStr">
        <is>
          <t>Ashby Falls Community Hospital</t>
        </is>
      </c>
      <c r="D8751" t="n">
        <v>14</v>
      </c>
    </row>
    <row r="8752">
      <c r="A8752" t="inlineStr">
        <is>
          <t>ED208928</t>
        </is>
      </c>
      <c r="B8752" s="56" t="n">
        <v>45819.42083333333</v>
      </c>
      <c r="C8752" t="inlineStr">
        <is>
          <t>Bluestone Memorial Hospital</t>
        </is>
      </c>
      <c r="D8752" t="n">
        <v>23</v>
      </c>
    </row>
    <row r="8753">
      <c r="A8753" t="inlineStr">
        <is>
          <t>ED208929</t>
        </is>
      </c>
      <c r="B8753" s="56" t="n">
        <v>45819.45069444444</v>
      </c>
      <c r="C8753" t="inlineStr">
        <is>
          <t>Bluestone Memorial Hospital</t>
        </is>
      </c>
      <c r="D8753" t="n">
        <v>68</v>
      </c>
    </row>
    <row r="8754">
      <c r="A8754" t="inlineStr">
        <is>
          <t>ED208930</t>
        </is>
      </c>
      <c r="B8754" s="56" t="n">
        <v>45819.50138888889</v>
      </c>
      <c r="C8754" t="inlineStr">
        <is>
          <t>Bluestone Memorial Hospital</t>
        </is>
      </c>
      <c r="D8754" t="n">
        <v>29</v>
      </c>
    </row>
    <row r="8755">
      <c r="A8755" t="inlineStr">
        <is>
          <t>ED208931</t>
        </is>
      </c>
      <c r="B8755" s="56" t="n">
        <v>45819.56736111111</v>
      </c>
      <c r="C8755" t="inlineStr">
        <is>
          <t>Cedar Ridge Medical Center</t>
        </is>
      </c>
      <c r="D8755" t="n">
        <v>66</v>
      </c>
    </row>
    <row r="8756">
      <c r="A8756" t="inlineStr">
        <is>
          <t>ED208932</t>
        </is>
      </c>
      <c r="B8756" s="56" t="n">
        <v>45819.57013888889</v>
      </c>
      <c r="C8756" t="inlineStr">
        <is>
          <t>Cedar Ridge Medical Center</t>
        </is>
      </c>
      <c r="D8756" t="n">
        <v>53</v>
      </c>
    </row>
    <row r="8757">
      <c r="A8757" t="inlineStr">
        <is>
          <t>ED208933</t>
        </is>
      </c>
      <c r="B8757" s="56" t="n">
        <v>45819.75069444445</v>
      </c>
      <c r="C8757" t="inlineStr">
        <is>
          <t>Bluestone Memorial Hospital</t>
        </is>
      </c>
      <c r="D8757" t="n">
        <v>28</v>
      </c>
    </row>
    <row r="8758">
      <c r="A8758" t="inlineStr">
        <is>
          <t>ED208934</t>
        </is>
      </c>
      <c r="B8758" s="56" t="n">
        <v>45819.76041666666</v>
      </c>
      <c r="C8758" t="inlineStr">
        <is>
          <t>Cedar Ridge Medical Center</t>
        </is>
      </c>
      <c r="D8758" t="n">
        <v>87</v>
      </c>
    </row>
    <row r="8759">
      <c r="A8759" t="inlineStr">
        <is>
          <t>ED208935</t>
        </is>
      </c>
      <c r="B8759" s="56" t="n">
        <v>45819.77013888889</v>
      </c>
      <c r="C8759" t="inlineStr">
        <is>
          <t>Bluestone Memorial Hospital</t>
        </is>
      </c>
      <c r="D8759" t="n">
        <v>44</v>
      </c>
    </row>
    <row r="8760">
      <c r="A8760" t="inlineStr">
        <is>
          <t>ED208937</t>
        </is>
      </c>
      <c r="B8760" s="56" t="n">
        <v>45819.88194444445</v>
      </c>
      <c r="C8760" t="inlineStr">
        <is>
          <t>Bluestone Memorial Hospital</t>
        </is>
      </c>
      <c r="D8760" t="n">
        <v>15</v>
      </c>
    </row>
    <row r="8761">
      <c r="A8761" t="inlineStr">
        <is>
          <t>ED208938</t>
        </is>
      </c>
      <c r="B8761" s="56" t="n">
        <v>45819.90069444444</v>
      </c>
      <c r="C8761" t="inlineStr">
        <is>
          <t>Bluestone Memorial Hospital</t>
        </is>
      </c>
      <c r="D8761" t="n">
        <v>192</v>
      </c>
    </row>
    <row r="8762">
      <c r="A8762" t="inlineStr">
        <is>
          <t>ED208939</t>
        </is>
      </c>
      <c r="B8762" s="56" t="n">
        <v>45820.00972222222</v>
      </c>
      <c r="C8762" t="inlineStr">
        <is>
          <t>Bluestone Memorial Hospital</t>
        </is>
      </c>
      <c r="D8762" t="n">
        <v>20</v>
      </c>
    </row>
    <row r="8763">
      <c r="A8763" t="inlineStr">
        <is>
          <t>ED208940</t>
        </is>
      </c>
      <c r="B8763" s="56" t="n">
        <v>45820.02013888889</v>
      </c>
      <c r="C8763" t="inlineStr">
        <is>
          <t>Bluestone Memorial Hospital</t>
        </is>
      </c>
      <c r="D8763" t="n">
        <v>117</v>
      </c>
    </row>
    <row r="8764">
      <c r="A8764" t="inlineStr">
        <is>
          <t>ED208941</t>
        </is>
      </c>
      <c r="B8764" s="56" t="n">
        <v>45820.02708333333</v>
      </c>
      <c r="C8764" t="inlineStr">
        <is>
          <t>Cedar Ridge Medical Center</t>
        </is>
      </c>
      <c r="D8764" t="n">
        <v>136</v>
      </c>
    </row>
    <row r="8765">
      <c r="A8765" t="inlineStr">
        <is>
          <t>ED208942</t>
        </is>
      </c>
      <c r="B8765" s="56" t="n">
        <v>45820.14652777778</v>
      </c>
      <c r="C8765" t="inlineStr">
        <is>
          <t>Bluestone Memorial Hospital</t>
        </is>
      </c>
      <c r="D8765" t="n">
        <v>20</v>
      </c>
    </row>
    <row r="8766">
      <c r="A8766" t="inlineStr">
        <is>
          <t>ED208943</t>
        </is>
      </c>
      <c r="B8766" s="56" t="n">
        <v>45820.26597222222</v>
      </c>
      <c r="C8766" t="inlineStr">
        <is>
          <t>Bluestone Memorial Hospital</t>
        </is>
      </c>
      <c r="D8766" t="n">
        <v>20</v>
      </c>
    </row>
    <row r="8767">
      <c r="A8767" t="inlineStr">
        <is>
          <t>ED208944</t>
        </is>
      </c>
      <c r="B8767" s="56" t="n">
        <v>45820.32986111111</v>
      </c>
      <c r="C8767" t="inlineStr">
        <is>
          <t>Bluestone Memorial Hospital</t>
        </is>
      </c>
      <c r="D8767" t="n">
        <v>24</v>
      </c>
    </row>
    <row r="8768">
      <c r="A8768" t="inlineStr">
        <is>
          <t>ED208945</t>
        </is>
      </c>
      <c r="B8768" s="56" t="n">
        <v>45820.34236111111</v>
      </c>
      <c r="C8768" t="inlineStr">
        <is>
          <t>Bluestone Memorial Hospital</t>
        </is>
      </c>
      <c r="D8768" t="n">
        <v>117</v>
      </c>
    </row>
    <row r="8769">
      <c r="A8769" t="inlineStr">
        <is>
          <t>ED208946</t>
        </is>
      </c>
      <c r="B8769" s="56" t="n">
        <v>45820.41458333333</v>
      </c>
      <c r="C8769" t="inlineStr">
        <is>
          <t>Bluestone Memorial Hospital</t>
        </is>
      </c>
      <c r="D8769" t="n">
        <v>14</v>
      </c>
    </row>
    <row r="8770">
      <c r="A8770" t="inlineStr">
        <is>
          <t>ED208947</t>
        </is>
      </c>
      <c r="B8770" s="56" t="n">
        <v>45820.43958333333</v>
      </c>
      <c r="C8770" t="inlineStr">
        <is>
          <t>Bluestone Memorial Hospital</t>
        </is>
      </c>
      <c r="D8770" t="n">
        <v>34</v>
      </c>
    </row>
    <row r="8771">
      <c r="A8771" t="inlineStr">
        <is>
          <t>ED208948</t>
        </is>
      </c>
      <c r="B8771" s="56" t="n">
        <v>45820.48125</v>
      </c>
      <c r="C8771" t="inlineStr">
        <is>
          <t>Cedar Ridge Medical Center</t>
        </is>
      </c>
      <c r="D8771" t="n">
        <v>54</v>
      </c>
    </row>
    <row r="8772">
      <c r="A8772" t="inlineStr">
        <is>
          <t>ED208949</t>
        </is>
      </c>
      <c r="B8772" s="56" t="n">
        <v>45820.48680555556</v>
      </c>
      <c r="C8772" t="inlineStr">
        <is>
          <t>Bluestone Memorial Hospital</t>
        </is>
      </c>
      <c r="D8772" t="n">
        <v>81</v>
      </c>
    </row>
    <row r="8773">
      <c r="A8773" t="inlineStr">
        <is>
          <t>ED208950</t>
        </is>
      </c>
      <c r="B8773" s="56" t="n">
        <v>45820.51458333333</v>
      </c>
      <c r="C8773" t="inlineStr">
        <is>
          <t>Bluestone Memorial Hospital</t>
        </is>
      </c>
      <c r="D8773" t="n">
        <v>171</v>
      </c>
    </row>
    <row r="8774">
      <c r="A8774" t="inlineStr">
        <is>
          <t>ED208951</t>
        </is>
      </c>
      <c r="B8774" s="56" t="n">
        <v>45820.55972222222</v>
      </c>
      <c r="C8774" t="inlineStr">
        <is>
          <t>Bluestone Memorial Hospital</t>
        </is>
      </c>
      <c r="D8774" t="n">
        <v>14</v>
      </c>
    </row>
    <row r="8775">
      <c r="A8775" t="inlineStr">
        <is>
          <t>ED208952</t>
        </is>
      </c>
      <c r="B8775" s="56" t="n">
        <v>45820.60208333333</v>
      </c>
      <c r="C8775" t="inlineStr">
        <is>
          <t>Bluestone Memorial Hospital</t>
        </is>
      </c>
      <c r="D8775" t="n">
        <v>37</v>
      </c>
    </row>
    <row r="8776">
      <c r="A8776" t="inlineStr">
        <is>
          <t>ED208953</t>
        </is>
      </c>
      <c r="B8776" s="56" t="n">
        <v>45820.61458333334</v>
      </c>
      <c r="C8776" t="inlineStr">
        <is>
          <t>Bluestone Memorial Hospital</t>
        </is>
      </c>
      <c r="D8776" t="n">
        <v>65</v>
      </c>
    </row>
    <row r="8777">
      <c r="A8777" t="inlineStr">
        <is>
          <t>ED208954</t>
        </is>
      </c>
      <c r="B8777" s="56" t="n">
        <v>45820.64583333334</v>
      </c>
      <c r="C8777" t="inlineStr">
        <is>
          <t>Bluestone Memorial Hospital</t>
        </is>
      </c>
      <c r="D8777" t="n">
        <v>48</v>
      </c>
    </row>
    <row r="8778">
      <c r="A8778" t="inlineStr">
        <is>
          <t>ED208955</t>
        </is>
      </c>
      <c r="B8778" s="56" t="n">
        <v>45820.66736111111</v>
      </c>
      <c r="C8778" t="inlineStr">
        <is>
          <t>Ashby Falls Community Hospital</t>
        </is>
      </c>
      <c r="D8778" t="n">
        <v>48</v>
      </c>
    </row>
    <row r="8779">
      <c r="A8779" t="inlineStr">
        <is>
          <t>ED208956</t>
        </is>
      </c>
      <c r="B8779" s="56" t="n">
        <v>45820.67222222222</v>
      </c>
      <c r="C8779" t="inlineStr">
        <is>
          <t>Bluestone Memorial Hospital</t>
        </is>
      </c>
      <c r="D8779" t="n">
        <v>48</v>
      </c>
    </row>
    <row r="8780">
      <c r="A8780" t="inlineStr">
        <is>
          <t>ED208957</t>
        </is>
      </c>
      <c r="B8780" s="56" t="n">
        <v>45820.68958333333</v>
      </c>
      <c r="C8780" t="inlineStr">
        <is>
          <t>Cedar Ridge Medical Center</t>
        </is>
      </c>
      <c r="D8780" t="n">
        <v>87</v>
      </c>
    </row>
    <row r="8781">
      <c r="A8781" t="inlineStr">
        <is>
          <t>ED208958</t>
        </is>
      </c>
      <c r="B8781" s="56" t="n">
        <v>45820.74722222222</v>
      </c>
      <c r="C8781" t="inlineStr">
        <is>
          <t>Bluestone Memorial Hospital</t>
        </is>
      </c>
      <c r="D8781" t="n">
        <v>38</v>
      </c>
    </row>
    <row r="8782">
      <c r="A8782" t="inlineStr">
        <is>
          <t>ED208959</t>
        </is>
      </c>
      <c r="B8782" s="56" t="n">
        <v>45820.75486111111</v>
      </c>
      <c r="C8782" t="inlineStr">
        <is>
          <t>Bluestone Memorial Hospital</t>
        </is>
      </c>
      <c r="D8782" t="n">
        <v>30</v>
      </c>
    </row>
    <row r="8783">
      <c r="A8783" t="inlineStr">
        <is>
          <t>ED208960</t>
        </is>
      </c>
      <c r="B8783" s="56" t="n">
        <v>45820.83263888889</v>
      </c>
      <c r="C8783" t="inlineStr">
        <is>
          <t>Bluestone Memorial Hospital</t>
        </is>
      </c>
      <c r="D8783" t="n">
        <v>41</v>
      </c>
    </row>
    <row r="8784">
      <c r="A8784" t="inlineStr">
        <is>
          <t>ED208961</t>
        </is>
      </c>
      <c r="B8784" s="56" t="n">
        <v>45820.99652777778</v>
      </c>
      <c r="C8784" t="inlineStr">
        <is>
          <t>Ashby Falls Community Hospital</t>
        </is>
      </c>
      <c r="D8784" t="n">
        <v>23</v>
      </c>
    </row>
    <row r="8785">
      <c r="A8785" t="inlineStr">
        <is>
          <t>ED208962</t>
        </is>
      </c>
      <c r="B8785" s="56" t="n">
        <v>45821.03125</v>
      </c>
      <c r="C8785" t="inlineStr">
        <is>
          <t>Cedar Ridge Medical Center</t>
        </is>
      </c>
      <c r="D8785" t="n">
        <v>47</v>
      </c>
    </row>
    <row r="8786">
      <c r="A8786" t="inlineStr">
        <is>
          <t>ED208963</t>
        </is>
      </c>
      <c r="B8786" s="56" t="n">
        <v>45821.05416666667</v>
      </c>
      <c r="C8786" t="inlineStr">
        <is>
          <t>Bluestone Memorial Hospital</t>
        </is>
      </c>
      <c r="D8786" t="n">
        <v>34</v>
      </c>
    </row>
    <row r="8787">
      <c r="A8787" t="inlineStr">
        <is>
          <t>ED208964</t>
        </is>
      </c>
      <c r="B8787" s="56" t="n">
        <v>45821.07152777778</v>
      </c>
      <c r="C8787" t="inlineStr">
        <is>
          <t>Bluestone Memorial Hospital</t>
        </is>
      </c>
      <c r="D8787" t="n">
        <v>48</v>
      </c>
    </row>
    <row r="8788">
      <c r="A8788" t="inlineStr">
        <is>
          <t>ED208965</t>
        </is>
      </c>
      <c r="B8788" s="56" t="n">
        <v>45821.16458333333</v>
      </c>
      <c r="C8788" t="inlineStr">
        <is>
          <t>Bluestone Memorial Hospital</t>
        </is>
      </c>
      <c r="D8788" t="n">
        <v>66</v>
      </c>
    </row>
    <row r="8789">
      <c r="A8789" t="inlineStr">
        <is>
          <t>ED208966</t>
        </is>
      </c>
      <c r="B8789" s="56" t="n">
        <v>45821.49166666667</v>
      </c>
      <c r="C8789" t="inlineStr">
        <is>
          <t>Bluestone Memorial Hospital</t>
        </is>
      </c>
      <c r="D8789" t="n">
        <v>24</v>
      </c>
    </row>
    <row r="8790">
      <c r="A8790" t="inlineStr">
        <is>
          <t>ED208967</t>
        </is>
      </c>
      <c r="B8790" s="56" t="n">
        <v>45821.54513888889</v>
      </c>
      <c r="C8790" t="inlineStr">
        <is>
          <t>Ashby Falls Community Hospital</t>
        </is>
      </c>
      <c r="D8790" t="n">
        <v>82</v>
      </c>
    </row>
    <row r="8791">
      <c r="A8791" t="inlineStr">
        <is>
          <t>ED208968</t>
        </is>
      </c>
      <c r="B8791" s="56" t="n">
        <v>45821.57291666666</v>
      </c>
      <c r="C8791" t="inlineStr">
        <is>
          <t>Bluestone Memorial Hospital</t>
        </is>
      </c>
      <c r="D8791" t="n">
        <v>202</v>
      </c>
    </row>
    <row r="8792">
      <c r="A8792" t="inlineStr">
        <is>
          <t>ED208970</t>
        </is>
      </c>
      <c r="B8792" s="56" t="n">
        <v>45821.62569444445</v>
      </c>
      <c r="C8792" t="inlineStr">
        <is>
          <t>Cedar Ridge Medical Center</t>
        </is>
      </c>
      <c r="D8792" t="n">
        <v>299</v>
      </c>
    </row>
    <row r="8793">
      <c r="A8793" t="inlineStr">
        <is>
          <t>ED208971</t>
        </is>
      </c>
      <c r="B8793" s="56" t="n">
        <v>45821.70208333333</v>
      </c>
      <c r="C8793" t="inlineStr">
        <is>
          <t>Bluestone Memorial Hospital</t>
        </is>
      </c>
      <c r="D8793" t="n">
        <v>76</v>
      </c>
    </row>
    <row r="8794">
      <c r="A8794" t="inlineStr">
        <is>
          <t>ED208972</t>
        </is>
      </c>
      <c r="B8794" s="56" t="n">
        <v>45821.75486111111</v>
      </c>
      <c r="C8794" t="inlineStr">
        <is>
          <t>Ashby Falls Community Hospital</t>
        </is>
      </c>
      <c r="D8794" t="n">
        <v>35</v>
      </c>
    </row>
    <row r="8795">
      <c r="A8795" t="inlineStr">
        <is>
          <t>ED208973</t>
        </is>
      </c>
      <c r="B8795" s="56" t="n">
        <v>45821.8125</v>
      </c>
      <c r="C8795" t="inlineStr">
        <is>
          <t>Ashby Falls Community Hospital</t>
        </is>
      </c>
      <c r="D8795" t="n">
        <v>22</v>
      </c>
    </row>
    <row r="8796">
      <c r="A8796" t="inlineStr">
        <is>
          <t>ED208974</t>
        </is>
      </c>
      <c r="B8796" s="56" t="n">
        <v>45821.84375</v>
      </c>
      <c r="C8796" t="inlineStr">
        <is>
          <t>Ashby Falls Community Hospital</t>
        </is>
      </c>
      <c r="D8796" t="n">
        <v>38</v>
      </c>
    </row>
    <row r="8797">
      <c r="A8797" t="inlineStr">
        <is>
          <t>ED208975</t>
        </is>
      </c>
      <c r="B8797" s="56" t="n">
        <v>45821.85</v>
      </c>
      <c r="C8797" t="inlineStr">
        <is>
          <t>Bluestone Memorial Hospital</t>
        </is>
      </c>
      <c r="D8797" t="n">
        <v>23</v>
      </c>
    </row>
    <row r="8798">
      <c r="A8798" t="inlineStr">
        <is>
          <t>ED208976</t>
        </is>
      </c>
      <c r="B8798" s="56" t="n">
        <v>45821.85833333333</v>
      </c>
      <c r="C8798" t="inlineStr">
        <is>
          <t>Bluestone Memorial Hospital</t>
        </is>
      </c>
      <c r="D8798" t="n">
        <v>26</v>
      </c>
    </row>
    <row r="8799">
      <c r="A8799" t="inlineStr">
        <is>
          <t>ED208977</t>
        </is>
      </c>
      <c r="B8799" s="56" t="n">
        <v>45821.89652777778</v>
      </c>
      <c r="C8799" t="inlineStr">
        <is>
          <t>Bluestone Memorial Hospital</t>
        </is>
      </c>
      <c r="D8799" t="n">
        <v>155</v>
      </c>
    </row>
    <row r="8800">
      <c r="A8800" t="inlineStr">
        <is>
          <t>ED208978</t>
        </is>
      </c>
      <c r="B8800" s="56" t="n">
        <v>45821.92638888889</v>
      </c>
      <c r="C8800" t="inlineStr">
        <is>
          <t>Cedar Ridge Medical Center</t>
        </is>
      </c>
      <c r="D8800" t="n">
        <v>18</v>
      </c>
    </row>
    <row r="8801">
      <c r="A8801" t="inlineStr">
        <is>
          <t>ED208979</t>
        </is>
      </c>
      <c r="B8801" s="56" t="n">
        <v>45821.96736111111</v>
      </c>
      <c r="C8801" t="inlineStr">
        <is>
          <t>Bluestone Memorial Hospital</t>
        </is>
      </c>
      <c r="D8801" t="n">
        <v>62</v>
      </c>
    </row>
    <row r="8802">
      <c r="A8802" t="inlineStr">
        <is>
          <t>ED208980</t>
        </is>
      </c>
      <c r="B8802" s="56" t="n">
        <v>45821.97777777778</v>
      </c>
      <c r="C8802" t="inlineStr">
        <is>
          <t>Bluestone Memorial Hospital</t>
        </is>
      </c>
      <c r="D8802" t="n">
        <v>12</v>
      </c>
    </row>
    <row r="8803">
      <c r="A8803" t="inlineStr">
        <is>
          <t>ED208981</t>
        </is>
      </c>
      <c r="B8803" s="56" t="n">
        <v>45821.98402777778</v>
      </c>
      <c r="C8803" t="inlineStr">
        <is>
          <t>Bluestone Memorial Hospital</t>
        </is>
      </c>
      <c r="D8803" t="n">
        <v>14</v>
      </c>
    </row>
    <row r="8804">
      <c r="A8804" t="inlineStr">
        <is>
          <t>ED208982</t>
        </is>
      </c>
      <c r="B8804" s="56" t="n">
        <v>45822.30416666667</v>
      </c>
      <c r="C8804" t="inlineStr">
        <is>
          <t>Ashby Falls Community Hospital</t>
        </is>
      </c>
      <c r="D8804" t="n">
        <v>24</v>
      </c>
    </row>
    <row r="8805">
      <c r="A8805" t="inlineStr">
        <is>
          <t>ED208983</t>
        </is>
      </c>
      <c r="B8805" s="56" t="n">
        <v>45822.33958333333</v>
      </c>
      <c r="C8805" t="inlineStr">
        <is>
          <t>Ashby Falls Community Hospital</t>
        </is>
      </c>
      <c r="D8805" t="n">
        <v>31</v>
      </c>
    </row>
    <row r="8806">
      <c r="A8806" t="inlineStr">
        <is>
          <t>ED208984</t>
        </is>
      </c>
      <c r="B8806" s="56" t="n">
        <v>45822.34861111111</v>
      </c>
      <c r="C8806" t="inlineStr">
        <is>
          <t>Bluestone Memorial Hospital</t>
        </is>
      </c>
      <c r="D8806" t="n">
        <v>8</v>
      </c>
    </row>
    <row r="8807">
      <c r="A8807" t="inlineStr">
        <is>
          <t>ED208985</t>
        </is>
      </c>
      <c r="B8807" s="56" t="n">
        <v>45822.34930555556</v>
      </c>
      <c r="C8807" t="inlineStr">
        <is>
          <t>Cedar Ridge Medical Center</t>
        </is>
      </c>
      <c r="D8807" t="n">
        <v>26</v>
      </c>
    </row>
    <row r="8808">
      <c r="A8808" t="inlineStr">
        <is>
          <t>ED208986</t>
        </is>
      </c>
      <c r="B8808" s="56" t="n">
        <v>45822.35347222222</v>
      </c>
      <c r="C8808" t="inlineStr">
        <is>
          <t>Bluestone Memorial Hospital</t>
        </is>
      </c>
      <c r="D8808" t="n">
        <v>50</v>
      </c>
    </row>
    <row r="8809">
      <c r="A8809" t="inlineStr">
        <is>
          <t>ED208987</t>
        </is>
      </c>
      <c r="B8809" s="56" t="n">
        <v>45822.36458333334</v>
      </c>
      <c r="C8809" t="inlineStr">
        <is>
          <t>Ashby Falls Community Hospital</t>
        </is>
      </c>
      <c r="D8809" t="n">
        <v>10</v>
      </c>
    </row>
    <row r="8810">
      <c r="A8810" t="inlineStr">
        <is>
          <t>ED208988</t>
        </is>
      </c>
      <c r="B8810" s="56" t="n">
        <v>45822.43888888889</v>
      </c>
      <c r="C8810" t="inlineStr">
        <is>
          <t>Ashby Falls Community Hospital</t>
        </is>
      </c>
      <c r="D8810" t="n">
        <v>73</v>
      </c>
    </row>
    <row r="8811">
      <c r="A8811" t="inlineStr">
        <is>
          <t>ED208989</t>
        </is>
      </c>
      <c r="B8811" s="56" t="n">
        <v>45822.51736111111</v>
      </c>
      <c r="C8811" t="inlineStr">
        <is>
          <t>Cedar Ridge Medical Center</t>
        </is>
      </c>
      <c r="D8811" t="n">
        <v>52</v>
      </c>
    </row>
    <row r="8812">
      <c r="A8812" t="inlineStr">
        <is>
          <t>ED208990</t>
        </is>
      </c>
      <c r="B8812" s="56" t="n">
        <v>45822.54236111111</v>
      </c>
      <c r="C8812" t="inlineStr">
        <is>
          <t>Bluestone Memorial Hospital</t>
        </is>
      </c>
      <c r="D8812" t="n">
        <v>24</v>
      </c>
    </row>
    <row r="8813">
      <c r="A8813" t="inlineStr">
        <is>
          <t>ED208991</t>
        </is>
      </c>
      <c r="B8813" s="56" t="n">
        <v>45822.54236111111</v>
      </c>
      <c r="C8813" t="inlineStr">
        <is>
          <t>Cedar Ridge Medical Center</t>
        </is>
      </c>
      <c r="D8813" t="n">
        <v>14</v>
      </c>
    </row>
    <row r="8814">
      <c r="A8814" t="inlineStr">
        <is>
          <t>ED208992</t>
        </is>
      </c>
      <c r="B8814" s="56" t="n">
        <v>45822.56944444445</v>
      </c>
      <c r="C8814" t="inlineStr">
        <is>
          <t>Bluestone Memorial Hospital</t>
        </is>
      </c>
      <c r="D8814" t="n">
        <v>43</v>
      </c>
    </row>
    <row r="8815">
      <c r="A8815" t="inlineStr">
        <is>
          <t>ED208993</t>
        </is>
      </c>
      <c r="B8815" s="56" t="n">
        <v>45822.58055555556</v>
      </c>
      <c r="C8815" t="inlineStr">
        <is>
          <t>Bluestone Memorial Hospital</t>
        </is>
      </c>
      <c r="D8815" t="n">
        <v>11</v>
      </c>
    </row>
    <row r="8816">
      <c r="A8816" t="inlineStr">
        <is>
          <t>ED208994</t>
        </is>
      </c>
      <c r="B8816" s="56" t="n">
        <v>45822.59236111111</v>
      </c>
      <c r="C8816" t="inlineStr">
        <is>
          <t>Cedar Ridge Medical Center</t>
        </is>
      </c>
      <c r="D8816" t="n">
        <v>20</v>
      </c>
    </row>
    <row r="8817">
      <c r="A8817" t="inlineStr">
        <is>
          <t>ED208995</t>
        </is>
      </c>
      <c r="B8817" s="56" t="n">
        <v>45822.70277777778</v>
      </c>
      <c r="C8817" t="inlineStr">
        <is>
          <t>Bluestone Memorial Hospital</t>
        </is>
      </c>
      <c r="D8817" t="n">
        <v>35</v>
      </c>
    </row>
    <row r="8818">
      <c r="A8818" t="inlineStr">
        <is>
          <t>ED208996</t>
        </is>
      </c>
      <c r="B8818" s="56" t="n">
        <v>45822.75138888889</v>
      </c>
      <c r="C8818" t="inlineStr">
        <is>
          <t>Bluestone Memorial Hospital</t>
        </is>
      </c>
      <c r="D8818" t="n">
        <v>3</v>
      </c>
    </row>
    <row r="8819">
      <c r="A8819" t="inlineStr">
        <is>
          <t>ED208997</t>
        </is>
      </c>
      <c r="B8819" s="56" t="n">
        <v>45822.79236111111</v>
      </c>
      <c r="C8819" t="inlineStr">
        <is>
          <t>Bluestone Memorial Hospital</t>
        </is>
      </c>
      <c r="D8819" t="n">
        <v>39</v>
      </c>
    </row>
    <row r="8820">
      <c r="A8820" t="inlineStr">
        <is>
          <t>ED208998</t>
        </is>
      </c>
      <c r="B8820" s="56" t="n">
        <v>45822.79861111111</v>
      </c>
      <c r="C8820" t="inlineStr">
        <is>
          <t>Cedar Ridge Medical Center</t>
        </is>
      </c>
      <c r="D8820" t="n">
        <v>10</v>
      </c>
    </row>
    <row r="8821">
      <c r="A8821" t="inlineStr">
        <is>
          <t>ED208999</t>
        </is>
      </c>
      <c r="B8821" s="56" t="n">
        <v>45822.82083333333</v>
      </c>
      <c r="C8821" t="inlineStr">
        <is>
          <t>Ashby Falls Community Hospital</t>
        </is>
      </c>
      <c r="D8821" t="n">
        <v>149</v>
      </c>
    </row>
    <row r="8822">
      <c r="A8822" t="inlineStr">
        <is>
          <t>ED209000</t>
        </is>
      </c>
      <c r="B8822" s="56" t="n">
        <v>45822.825</v>
      </c>
      <c r="C8822" t="inlineStr">
        <is>
          <t>Cedar Ridge Medical Center</t>
        </is>
      </c>
      <c r="D8822" t="n">
        <v>15</v>
      </c>
    </row>
    <row r="8823">
      <c r="A8823" t="inlineStr">
        <is>
          <t>ED209001</t>
        </is>
      </c>
      <c r="B8823" s="56" t="n">
        <v>45822.82916666667</v>
      </c>
      <c r="C8823" t="inlineStr">
        <is>
          <t>Bluestone Memorial Hospital</t>
        </is>
      </c>
      <c r="D8823" t="n">
        <v>18</v>
      </c>
    </row>
    <row r="8824">
      <c r="A8824" t="inlineStr">
        <is>
          <t>ED209002</t>
        </is>
      </c>
      <c r="B8824" s="56" t="n">
        <v>45822.86319444444</v>
      </c>
      <c r="C8824" t="inlineStr">
        <is>
          <t>Bluestone Memorial Hospital</t>
        </is>
      </c>
      <c r="D8824" t="n">
        <v>89</v>
      </c>
    </row>
    <row r="8825">
      <c r="A8825" t="inlineStr">
        <is>
          <t>ED209003</t>
        </is>
      </c>
      <c r="B8825" s="56" t="n">
        <v>45823.03541666667</v>
      </c>
      <c r="C8825" t="inlineStr">
        <is>
          <t>Ashby Falls Community Hospital</t>
        </is>
      </c>
      <c r="D8825" t="n">
        <v>37</v>
      </c>
    </row>
    <row r="8826">
      <c r="A8826" t="inlineStr">
        <is>
          <t>ED209004</t>
        </is>
      </c>
      <c r="B8826" s="56" t="n">
        <v>45823.37152777778</v>
      </c>
      <c r="C8826" t="inlineStr">
        <is>
          <t>Bluestone Memorial Hospital</t>
        </is>
      </c>
      <c r="D8826" t="n">
        <v>46</v>
      </c>
    </row>
    <row r="8827">
      <c r="A8827" t="inlineStr">
        <is>
          <t>ED209005</t>
        </is>
      </c>
      <c r="B8827" s="56" t="n">
        <v>45823.50347222222</v>
      </c>
      <c r="C8827" t="inlineStr">
        <is>
          <t>Bluestone Memorial Hospital</t>
        </is>
      </c>
      <c r="D8827" t="n">
        <v>37</v>
      </c>
    </row>
    <row r="8828">
      <c r="A8828" t="inlineStr">
        <is>
          <t>ED209006</t>
        </is>
      </c>
      <c r="B8828" s="56" t="n">
        <v>45823.51319444444</v>
      </c>
      <c r="C8828" t="inlineStr">
        <is>
          <t>Cedar Ridge Medical Center</t>
        </is>
      </c>
      <c r="D8828" t="n">
        <v>62</v>
      </c>
    </row>
    <row r="8829">
      <c r="A8829" t="inlineStr">
        <is>
          <t>ED209007</t>
        </is>
      </c>
      <c r="B8829" s="56" t="n">
        <v>45823.57708333333</v>
      </c>
      <c r="C8829" t="inlineStr">
        <is>
          <t>Bluestone Memorial Hospital</t>
        </is>
      </c>
      <c r="D8829" t="n">
        <v>43</v>
      </c>
    </row>
    <row r="8830">
      <c r="A8830" t="inlineStr">
        <is>
          <t>ED209008</t>
        </is>
      </c>
      <c r="B8830" s="56" t="n">
        <v>45823.60486111111</v>
      </c>
      <c r="C8830" t="inlineStr">
        <is>
          <t>Bluestone Memorial Hospital</t>
        </is>
      </c>
      <c r="D8830" t="n">
        <v>46</v>
      </c>
    </row>
    <row r="8831">
      <c r="A8831" t="inlineStr">
        <is>
          <t>ED209009</t>
        </is>
      </c>
      <c r="B8831" s="56" t="n">
        <v>45823.6125</v>
      </c>
      <c r="C8831" t="inlineStr">
        <is>
          <t>Bluestone Memorial Hospital</t>
        </is>
      </c>
      <c r="D8831" t="n">
        <v>33</v>
      </c>
    </row>
    <row r="8832">
      <c r="A8832" t="inlineStr">
        <is>
          <t>ED209010</t>
        </is>
      </c>
      <c r="B8832" s="56" t="n">
        <v>45823.62430555555</v>
      </c>
      <c r="C8832" t="inlineStr">
        <is>
          <t>Bluestone Memorial Hospital</t>
        </is>
      </c>
      <c r="D8832" t="n">
        <v>37</v>
      </c>
    </row>
    <row r="8833">
      <c r="A8833" t="inlineStr">
        <is>
          <t>ED209011</t>
        </is>
      </c>
      <c r="B8833" s="56" t="n">
        <v>45823.625</v>
      </c>
      <c r="C8833" t="inlineStr">
        <is>
          <t>Bluestone Memorial Hospital</t>
        </is>
      </c>
      <c r="D8833" t="n">
        <v>76</v>
      </c>
    </row>
    <row r="8834">
      <c r="A8834" t="inlineStr">
        <is>
          <t>ED209012</t>
        </is>
      </c>
      <c r="B8834" s="56" t="n">
        <v>45823.65416666667</v>
      </c>
      <c r="C8834" t="inlineStr">
        <is>
          <t>Bluestone Memorial Hospital</t>
        </is>
      </c>
      <c r="D8834" t="n">
        <v>62</v>
      </c>
    </row>
    <row r="8835">
      <c r="A8835" t="inlineStr">
        <is>
          <t>ED209013</t>
        </is>
      </c>
      <c r="B8835" s="56" t="n">
        <v>45823.68472222222</v>
      </c>
      <c r="C8835" t="inlineStr">
        <is>
          <t>Cedar Ridge Medical Center</t>
        </is>
      </c>
      <c r="D8835" t="n">
        <v>114</v>
      </c>
    </row>
    <row r="8836">
      <c r="A8836" t="inlineStr">
        <is>
          <t>ED209014</t>
        </is>
      </c>
      <c r="B8836" s="56" t="n">
        <v>45823.80833333333</v>
      </c>
      <c r="C8836" t="inlineStr">
        <is>
          <t>Bluestone Memorial Hospital</t>
        </is>
      </c>
      <c r="D8836" t="n">
        <v>16</v>
      </c>
    </row>
    <row r="8837">
      <c r="A8837" t="inlineStr">
        <is>
          <t>ED209015</t>
        </is>
      </c>
      <c r="B8837" s="56" t="n">
        <v>45823.85694444444</v>
      </c>
      <c r="C8837" t="inlineStr">
        <is>
          <t>Ashby Falls Community Hospital</t>
        </is>
      </c>
      <c r="D8837" t="n">
        <v>17</v>
      </c>
    </row>
    <row r="8838">
      <c r="A8838" t="inlineStr">
        <is>
          <t>ED209016</t>
        </is>
      </c>
      <c r="B8838" s="56" t="n">
        <v>45823.88055555556</v>
      </c>
      <c r="C8838" t="inlineStr">
        <is>
          <t>Cedar Ridge Medical Center</t>
        </is>
      </c>
      <c r="D8838" t="n">
        <v>27</v>
      </c>
    </row>
    <row r="8839">
      <c r="A8839" t="inlineStr">
        <is>
          <t>ED209017</t>
        </is>
      </c>
      <c r="B8839" s="56" t="n">
        <v>45823.88194444445</v>
      </c>
      <c r="C8839" t="inlineStr">
        <is>
          <t>Bluestone Memorial Hospital</t>
        </is>
      </c>
      <c r="D8839" t="n">
        <v>54</v>
      </c>
    </row>
    <row r="8840">
      <c r="A8840" t="inlineStr">
        <is>
          <t>ED209018</t>
        </is>
      </c>
      <c r="B8840" s="56" t="n">
        <v>45824.10902777778</v>
      </c>
      <c r="C8840" t="inlineStr">
        <is>
          <t>Bluestone Memorial Hospital</t>
        </is>
      </c>
      <c r="D8840" t="n">
        <v>48</v>
      </c>
    </row>
    <row r="8841">
      <c r="A8841" t="inlineStr">
        <is>
          <t>ED209019</t>
        </is>
      </c>
      <c r="B8841" s="56" t="n">
        <v>45824.21527777778</v>
      </c>
      <c r="C8841" t="inlineStr">
        <is>
          <t>Bluestone Memorial Hospital</t>
        </is>
      </c>
      <c r="D8841" t="n">
        <v>51</v>
      </c>
    </row>
    <row r="8842">
      <c r="A8842" t="inlineStr">
        <is>
          <t>ED209020</t>
        </is>
      </c>
      <c r="B8842" s="56" t="n">
        <v>45824.29930555556</v>
      </c>
      <c r="C8842" t="inlineStr">
        <is>
          <t>Bluestone Memorial Hospital</t>
        </is>
      </c>
      <c r="D8842" t="n">
        <v>44</v>
      </c>
    </row>
    <row r="8843">
      <c r="A8843" t="inlineStr">
        <is>
          <t>ED209022</t>
        </is>
      </c>
      <c r="B8843" s="56" t="n">
        <v>45824.43402777778</v>
      </c>
      <c r="C8843" t="inlineStr">
        <is>
          <t>Bluestone Memorial Hospital</t>
        </is>
      </c>
      <c r="D8843" t="n">
        <v>44</v>
      </c>
    </row>
    <row r="8844">
      <c r="A8844" t="inlineStr">
        <is>
          <t>ED209023</t>
        </is>
      </c>
      <c r="B8844" s="56" t="n">
        <v>45824.45694444444</v>
      </c>
      <c r="C8844" t="inlineStr">
        <is>
          <t>Bluestone Memorial Hospital</t>
        </is>
      </c>
      <c r="D8844" t="n">
        <v>27</v>
      </c>
    </row>
    <row r="8845">
      <c r="A8845" t="inlineStr">
        <is>
          <t>ED209024</t>
        </is>
      </c>
      <c r="B8845" s="56" t="n">
        <v>45824.47013888889</v>
      </c>
      <c r="C8845" t="inlineStr">
        <is>
          <t>Cedar Ridge Medical Center</t>
        </is>
      </c>
      <c r="D8845" t="n">
        <v>22</v>
      </c>
    </row>
    <row r="8846">
      <c r="A8846" t="inlineStr">
        <is>
          <t>ED209025</t>
        </is>
      </c>
      <c r="B8846" s="56" t="n">
        <v>45824.52430555555</v>
      </c>
      <c r="C8846" t="inlineStr">
        <is>
          <t>Bluestone Memorial Hospital</t>
        </is>
      </c>
      <c r="D8846" t="n">
        <v>150</v>
      </c>
    </row>
    <row r="8847">
      <c r="A8847" t="inlineStr">
        <is>
          <t>ED209026</t>
        </is>
      </c>
      <c r="B8847" s="56" t="n">
        <v>45824.56111111111</v>
      </c>
      <c r="C8847" t="inlineStr">
        <is>
          <t>Bluestone Memorial Hospital</t>
        </is>
      </c>
      <c r="D8847" t="n">
        <v>69</v>
      </c>
    </row>
    <row r="8848">
      <c r="A8848" t="inlineStr">
        <is>
          <t>ED209027</t>
        </is>
      </c>
      <c r="B8848" s="56" t="n">
        <v>45824.57847222222</v>
      </c>
      <c r="C8848" t="inlineStr">
        <is>
          <t>Bluestone Memorial Hospital</t>
        </is>
      </c>
      <c r="D8848" t="n">
        <v>53</v>
      </c>
    </row>
    <row r="8849">
      <c r="A8849" t="inlineStr">
        <is>
          <t>ED209028</t>
        </is>
      </c>
      <c r="B8849" s="56" t="n">
        <v>45824.66805555556</v>
      </c>
      <c r="C8849" t="inlineStr">
        <is>
          <t>Cedar Ridge Medical Center</t>
        </is>
      </c>
      <c r="D8849" t="n">
        <v>34</v>
      </c>
    </row>
    <row r="8850">
      <c r="A8850" t="inlineStr">
        <is>
          <t>ED209029</t>
        </is>
      </c>
      <c r="B8850" s="56" t="n">
        <v>45824.70138888889</v>
      </c>
      <c r="C8850" t="inlineStr">
        <is>
          <t>Bluestone Memorial Hospital</t>
        </is>
      </c>
      <c r="D8850" t="n">
        <v>41</v>
      </c>
    </row>
    <row r="8851">
      <c r="A8851" t="inlineStr">
        <is>
          <t>ED209030</t>
        </is>
      </c>
      <c r="B8851" s="56" t="n">
        <v>45824.8125</v>
      </c>
      <c r="C8851" t="inlineStr">
        <is>
          <t>Bluestone Memorial Hospital</t>
        </is>
      </c>
      <c r="D8851" t="n">
        <v>13</v>
      </c>
    </row>
    <row r="8852">
      <c r="A8852" t="inlineStr">
        <is>
          <t>ED209031</t>
        </is>
      </c>
      <c r="B8852" s="56" t="n">
        <v>45824.99791666667</v>
      </c>
      <c r="C8852" t="inlineStr">
        <is>
          <t>Cedar Ridge Medical Center</t>
        </is>
      </c>
      <c r="D8852" t="n">
        <v>31</v>
      </c>
    </row>
    <row r="8853">
      <c r="A8853" t="inlineStr">
        <is>
          <t>ED209032</t>
        </is>
      </c>
      <c r="B8853" s="56" t="n">
        <v>45825.1625</v>
      </c>
      <c r="C8853" t="inlineStr">
        <is>
          <t>Bluestone Memorial Hospital</t>
        </is>
      </c>
      <c r="D8853" t="n">
        <v>26</v>
      </c>
    </row>
    <row r="8854">
      <c r="A8854" t="inlineStr">
        <is>
          <t>ED209033</t>
        </is>
      </c>
      <c r="B8854" s="56" t="n">
        <v>45825.32152777778</v>
      </c>
      <c r="C8854" t="inlineStr">
        <is>
          <t>Cedar Ridge Medical Center</t>
        </is>
      </c>
      <c r="D8854" t="n">
        <v>61</v>
      </c>
    </row>
    <row r="8855">
      <c r="A8855" t="inlineStr">
        <is>
          <t>ED209034</t>
        </is>
      </c>
      <c r="B8855" s="56" t="n">
        <v>45825.38472222222</v>
      </c>
      <c r="C8855" t="inlineStr">
        <is>
          <t>Bluestone Memorial Hospital</t>
        </is>
      </c>
      <c r="D8855" t="n">
        <v>58</v>
      </c>
    </row>
    <row r="8856">
      <c r="A8856" t="inlineStr">
        <is>
          <t>ED209035</t>
        </is>
      </c>
      <c r="B8856" s="56" t="n">
        <v>45825.51180555556</v>
      </c>
      <c r="C8856" t="inlineStr">
        <is>
          <t>Bluestone Memorial Hospital</t>
        </is>
      </c>
      <c r="D8856" t="n">
        <v>87</v>
      </c>
    </row>
    <row r="8857">
      <c r="A8857" t="inlineStr">
        <is>
          <t>ED209036</t>
        </is>
      </c>
      <c r="B8857" s="56" t="n">
        <v>45825.66805555556</v>
      </c>
      <c r="C8857" t="inlineStr">
        <is>
          <t>Cedar Ridge Medical Center</t>
        </is>
      </c>
      <c r="D8857" t="n">
        <v>16</v>
      </c>
    </row>
    <row r="8858">
      <c r="A8858" t="inlineStr">
        <is>
          <t>ED209037</t>
        </is>
      </c>
      <c r="B8858" s="56" t="n">
        <v>45825.68888888889</v>
      </c>
      <c r="C8858" t="inlineStr">
        <is>
          <t>Bluestone Memorial Hospital</t>
        </is>
      </c>
      <c r="D8858" t="n">
        <v>7</v>
      </c>
    </row>
    <row r="8859">
      <c r="A8859" t="inlineStr">
        <is>
          <t>ED209038</t>
        </is>
      </c>
      <c r="B8859" s="56" t="n">
        <v>45825.73333333333</v>
      </c>
      <c r="C8859" t="inlineStr">
        <is>
          <t>Ashby Falls Community Hospital</t>
        </is>
      </c>
      <c r="D8859" t="n">
        <v>52</v>
      </c>
    </row>
    <row r="8860">
      <c r="A8860" t="inlineStr">
        <is>
          <t>ED209039</t>
        </is>
      </c>
      <c r="B8860" s="56" t="n">
        <v>45825.8</v>
      </c>
      <c r="C8860" t="inlineStr">
        <is>
          <t>Bluestone Memorial Hospital</t>
        </is>
      </c>
      <c r="D8860" t="n">
        <v>63</v>
      </c>
    </row>
    <row r="8861">
      <c r="A8861" t="inlineStr">
        <is>
          <t>ED209040</t>
        </is>
      </c>
      <c r="B8861" s="56" t="n">
        <v>45825.83819444444</v>
      </c>
      <c r="C8861" t="inlineStr">
        <is>
          <t>Bluestone Memorial Hospital</t>
        </is>
      </c>
      <c r="D8861" t="n">
        <v>86</v>
      </c>
    </row>
    <row r="8862">
      <c r="A8862" t="inlineStr">
        <is>
          <t>ED209041</t>
        </is>
      </c>
      <c r="B8862" s="56" t="n">
        <v>45825.86666666667</v>
      </c>
      <c r="C8862" t="inlineStr">
        <is>
          <t>Cedar Ridge Medical Center</t>
        </is>
      </c>
      <c r="D8862" t="n">
        <v>40</v>
      </c>
    </row>
    <row r="8863">
      <c r="A8863" t="inlineStr">
        <is>
          <t>ED209042</t>
        </is>
      </c>
      <c r="B8863" s="56" t="n">
        <v>45825.97152777778</v>
      </c>
      <c r="C8863" t="inlineStr">
        <is>
          <t>Bluestone Memorial Hospital</t>
        </is>
      </c>
      <c r="D8863" t="n">
        <v>20</v>
      </c>
    </row>
    <row r="8864">
      <c r="A8864" t="inlineStr">
        <is>
          <t>ED209043</t>
        </is>
      </c>
      <c r="B8864" s="56" t="n">
        <v>45826.09722222222</v>
      </c>
      <c r="C8864" t="inlineStr">
        <is>
          <t>Bluestone Memorial Hospital</t>
        </is>
      </c>
      <c r="D8864" t="n">
        <v>16</v>
      </c>
    </row>
    <row r="8865">
      <c r="A8865" t="inlineStr">
        <is>
          <t>ED209044</t>
        </is>
      </c>
      <c r="B8865" s="56" t="n">
        <v>45826.13263888889</v>
      </c>
      <c r="C8865" t="inlineStr">
        <is>
          <t>Bluestone Memorial Hospital</t>
        </is>
      </c>
      <c r="D8865" t="n">
        <v>29</v>
      </c>
    </row>
    <row r="8866">
      <c r="A8866" t="inlineStr">
        <is>
          <t>ED209045</t>
        </is>
      </c>
      <c r="B8866" s="56" t="n">
        <v>45826.35416666666</v>
      </c>
      <c r="C8866" t="inlineStr">
        <is>
          <t>Cedar Ridge Medical Center</t>
        </is>
      </c>
      <c r="D8866" t="n">
        <v>75</v>
      </c>
    </row>
    <row r="8867">
      <c r="A8867" t="inlineStr">
        <is>
          <t>ED209046</t>
        </is>
      </c>
      <c r="B8867" s="56" t="n">
        <v>45826.35625</v>
      </c>
      <c r="C8867" t="inlineStr">
        <is>
          <t>Bluestone Memorial Hospital</t>
        </is>
      </c>
      <c r="D8867" t="n">
        <v>8</v>
      </c>
    </row>
    <row r="8868">
      <c r="A8868" t="inlineStr">
        <is>
          <t>ED209047</t>
        </is>
      </c>
      <c r="B8868" s="56" t="n">
        <v>45826.37638888889</v>
      </c>
      <c r="C8868" t="inlineStr">
        <is>
          <t>Bluestone Memorial Hospital</t>
        </is>
      </c>
      <c r="D8868" t="n">
        <v>5</v>
      </c>
    </row>
    <row r="8869">
      <c r="A8869" t="inlineStr">
        <is>
          <t>ED209048</t>
        </is>
      </c>
      <c r="B8869" s="56" t="n">
        <v>45826.38680555556</v>
      </c>
      <c r="C8869" t="inlineStr">
        <is>
          <t>Cedar Ridge Medical Center</t>
        </is>
      </c>
      <c r="D8869" t="n">
        <v>66</v>
      </c>
    </row>
    <row r="8870">
      <c r="A8870" t="inlineStr">
        <is>
          <t>ED209049</t>
        </is>
      </c>
      <c r="B8870" s="56" t="n">
        <v>45826.43194444444</v>
      </c>
      <c r="C8870" t="inlineStr">
        <is>
          <t>Bluestone Memorial Hospital</t>
        </is>
      </c>
      <c r="D8870" t="n">
        <v>35</v>
      </c>
    </row>
    <row r="8871">
      <c r="A8871" t="inlineStr">
        <is>
          <t>ED209050</t>
        </is>
      </c>
      <c r="B8871" s="56" t="n">
        <v>45826.46111111111</v>
      </c>
      <c r="C8871" t="inlineStr">
        <is>
          <t>Bluestone Memorial Hospital</t>
        </is>
      </c>
      <c r="D8871" t="n">
        <v>20</v>
      </c>
    </row>
    <row r="8872">
      <c r="A8872" t="inlineStr">
        <is>
          <t>ED209051</t>
        </is>
      </c>
      <c r="B8872" s="56" t="n">
        <v>45826.48402777778</v>
      </c>
      <c r="C8872" t="inlineStr">
        <is>
          <t>Bluestone Memorial Hospital</t>
        </is>
      </c>
      <c r="D8872" t="n">
        <v>49</v>
      </c>
    </row>
    <row r="8873">
      <c r="A8873" t="inlineStr">
        <is>
          <t>ED209052</t>
        </is>
      </c>
      <c r="B8873" s="56" t="n">
        <v>45826.54305555556</v>
      </c>
      <c r="C8873" t="inlineStr">
        <is>
          <t>Bluestone Memorial Hospital</t>
        </is>
      </c>
      <c r="D8873" t="n">
        <v>41</v>
      </c>
    </row>
    <row r="8874">
      <c r="A8874" t="inlineStr">
        <is>
          <t>ED209053</t>
        </is>
      </c>
      <c r="B8874" s="56" t="n">
        <v>45826.57083333333</v>
      </c>
      <c r="C8874" t="inlineStr">
        <is>
          <t>Bluestone Memorial Hospital</t>
        </is>
      </c>
      <c r="D8874" t="n">
        <v>56</v>
      </c>
    </row>
    <row r="8875">
      <c r="A8875" t="inlineStr">
        <is>
          <t>ED209054</t>
        </is>
      </c>
      <c r="B8875" s="56" t="n">
        <v>45826.60069444445</v>
      </c>
      <c r="C8875" t="inlineStr">
        <is>
          <t>Bluestone Memorial Hospital</t>
        </is>
      </c>
      <c r="D8875" t="n">
        <v>52</v>
      </c>
    </row>
    <row r="8876">
      <c r="A8876" t="inlineStr">
        <is>
          <t>ED209055</t>
        </is>
      </c>
      <c r="B8876" s="56" t="n">
        <v>45826.63194444445</v>
      </c>
      <c r="C8876" t="inlineStr">
        <is>
          <t>Bluestone Memorial Hospital</t>
        </is>
      </c>
      <c r="D8876" t="n">
        <v>12</v>
      </c>
    </row>
    <row r="8877">
      <c r="A8877" t="inlineStr">
        <is>
          <t>ED209056</t>
        </is>
      </c>
      <c r="B8877" s="56" t="n">
        <v>45826.63541666666</v>
      </c>
      <c r="C8877" t="inlineStr">
        <is>
          <t>Cedar Ridge Medical Center</t>
        </is>
      </c>
      <c r="D8877" t="n">
        <v>45</v>
      </c>
    </row>
    <row r="8878">
      <c r="A8878" t="inlineStr">
        <is>
          <t>ED209057</t>
        </is>
      </c>
      <c r="B8878" s="56" t="n">
        <v>45826.65069444444</v>
      </c>
      <c r="C8878" t="inlineStr">
        <is>
          <t>Bluestone Memorial Hospital</t>
        </is>
      </c>
      <c r="D8878" t="n">
        <v>76</v>
      </c>
    </row>
    <row r="8879">
      <c r="A8879" t="inlineStr">
        <is>
          <t>ED209058</t>
        </is>
      </c>
      <c r="B8879" s="56" t="n">
        <v>45826.66527777778</v>
      </c>
      <c r="C8879" t="inlineStr">
        <is>
          <t>Bluestone Memorial Hospital</t>
        </is>
      </c>
      <c r="D8879" t="n">
        <v>25</v>
      </c>
    </row>
    <row r="8880">
      <c r="A8880" t="inlineStr">
        <is>
          <t>ED209059</t>
        </is>
      </c>
      <c r="B8880" s="56" t="n">
        <v>45826.73402777778</v>
      </c>
      <c r="C8880" t="inlineStr">
        <is>
          <t>Bluestone Memorial Hospital</t>
        </is>
      </c>
      <c r="D8880" t="n">
        <v>56</v>
      </c>
    </row>
    <row r="8881">
      <c r="A8881" t="inlineStr">
        <is>
          <t>ED209060</t>
        </is>
      </c>
      <c r="B8881" s="56" t="n">
        <v>45826.76736111111</v>
      </c>
      <c r="C8881" t="inlineStr">
        <is>
          <t>Cedar Ridge Medical Center</t>
        </is>
      </c>
      <c r="D8881" t="n">
        <v>13</v>
      </c>
    </row>
    <row r="8882">
      <c r="A8882" t="inlineStr">
        <is>
          <t>ED209061</t>
        </is>
      </c>
      <c r="B8882" s="56" t="n">
        <v>45826.76944444444</v>
      </c>
      <c r="C8882" t="inlineStr">
        <is>
          <t>Bluestone Memorial Hospital</t>
        </is>
      </c>
      <c r="D8882" t="n">
        <v>146</v>
      </c>
    </row>
    <row r="8883">
      <c r="A8883" t="inlineStr">
        <is>
          <t>ED209062</t>
        </is>
      </c>
      <c r="B8883" s="56" t="n">
        <v>45826.82916666667</v>
      </c>
      <c r="C8883" t="inlineStr">
        <is>
          <t>Bluestone Memorial Hospital</t>
        </is>
      </c>
      <c r="D8883" t="n">
        <v>32</v>
      </c>
    </row>
    <row r="8884">
      <c r="A8884" t="inlineStr">
        <is>
          <t>ED209063</t>
        </is>
      </c>
      <c r="B8884" s="56" t="n">
        <v>45827.33611111111</v>
      </c>
      <c r="C8884" t="inlineStr">
        <is>
          <t>Bluestone Memorial Hospital</t>
        </is>
      </c>
      <c r="D8884" t="n">
        <v>33</v>
      </c>
    </row>
    <row r="8885">
      <c r="A8885" t="inlineStr">
        <is>
          <t>ED209064</t>
        </is>
      </c>
      <c r="B8885" s="56" t="n">
        <v>45827.37291666667</v>
      </c>
      <c r="C8885" t="inlineStr">
        <is>
          <t>Bluestone Memorial Hospital</t>
        </is>
      </c>
      <c r="D8885" t="n">
        <v>20</v>
      </c>
    </row>
    <row r="8886">
      <c r="A8886" t="inlineStr">
        <is>
          <t>ED209065</t>
        </is>
      </c>
      <c r="B8886" s="56" t="n">
        <v>45827.41736111111</v>
      </c>
      <c r="C8886" t="inlineStr">
        <is>
          <t>Ashby Falls Community Hospital</t>
        </is>
      </c>
      <c r="D8886" t="n">
        <v>62</v>
      </c>
    </row>
    <row r="8887">
      <c r="A8887" t="inlineStr">
        <is>
          <t>ED209066</t>
        </is>
      </c>
      <c r="B8887" s="56" t="n">
        <v>45827.45</v>
      </c>
      <c r="C8887" t="inlineStr">
        <is>
          <t>Bluestone Memorial Hospital</t>
        </is>
      </c>
      <c r="D8887" t="n">
        <v>63</v>
      </c>
    </row>
    <row r="8888">
      <c r="A8888" t="inlineStr">
        <is>
          <t>ED209067</t>
        </is>
      </c>
      <c r="B8888" s="56" t="n">
        <v>45827.4875</v>
      </c>
      <c r="C8888" t="inlineStr">
        <is>
          <t>Bluestone Memorial Hospital</t>
        </is>
      </c>
      <c r="D8888" t="n">
        <v>99</v>
      </c>
    </row>
    <row r="8889">
      <c r="A8889" t="inlineStr">
        <is>
          <t>ED209068</t>
        </is>
      </c>
      <c r="B8889" s="56" t="n">
        <v>45827.51458333333</v>
      </c>
      <c r="C8889" t="inlineStr">
        <is>
          <t>Cedar Ridge Medical Center</t>
        </is>
      </c>
      <c r="D8889" t="n">
        <v>44</v>
      </c>
    </row>
    <row r="8890">
      <c r="A8890" t="inlineStr">
        <is>
          <t>ED209069</t>
        </is>
      </c>
      <c r="B8890" s="56" t="n">
        <v>45827.51458333333</v>
      </c>
      <c r="C8890" t="inlineStr">
        <is>
          <t>Bluestone Memorial Hospital</t>
        </is>
      </c>
      <c r="D8890" t="n">
        <v>41</v>
      </c>
    </row>
    <row r="8891">
      <c r="A8891" t="inlineStr">
        <is>
          <t>ED209070</t>
        </is>
      </c>
      <c r="B8891" s="56" t="n">
        <v>45827.53194444445</v>
      </c>
      <c r="C8891" t="inlineStr">
        <is>
          <t>Cedar Ridge Medical Center</t>
        </is>
      </c>
      <c r="D8891" t="n">
        <v>80</v>
      </c>
    </row>
    <row r="8892">
      <c r="A8892" t="inlineStr">
        <is>
          <t>ED209071</t>
        </is>
      </c>
      <c r="B8892" s="56" t="n">
        <v>45827.57222222222</v>
      </c>
      <c r="C8892" t="inlineStr">
        <is>
          <t>Bluestone Memorial Hospital</t>
        </is>
      </c>
      <c r="D8892" t="n">
        <v>9</v>
      </c>
    </row>
    <row r="8893">
      <c r="A8893" t="inlineStr">
        <is>
          <t>ED209072</t>
        </is>
      </c>
      <c r="B8893" s="56" t="n">
        <v>45827.59305555555</v>
      </c>
      <c r="C8893" t="inlineStr">
        <is>
          <t>Bluestone Memorial Hospital</t>
        </is>
      </c>
      <c r="D8893" t="n">
        <v>45</v>
      </c>
    </row>
    <row r="8894">
      <c r="A8894" t="inlineStr">
        <is>
          <t>ED209073</t>
        </is>
      </c>
      <c r="B8894" s="56" t="n">
        <v>45827.60138888889</v>
      </c>
      <c r="C8894" t="inlineStr">
        <is>
          <t>Bluestone Memorial Hospital</t>
        </is>
      </c>
      <c r="D8894" t="n">
        <v>22</v>
      </c>
    </row>
    <row r="8895">
      <c r="A8895" t="inlineStr">
        <is>
          <t>ED209075</t>
        </is>
      </c>
      <c r="B8895" s="56" t="n">
        <v>45827.67569444444</v>
      </c>
      <c r="C8895" t="inlineStr">
        <is>
          <t>Ashby Falls Community Hospital</t>
        </is>
      </c>
      <c r="D8895" t="n">
        <v>126</v>
      </c>
    </row>
    <row r="8896">
      <c r="A8896" t="inlineStr">
        <is>
          <t>ED209076</t>
        </is>
      </c>
      <c r="B8896" s="56" t="n">
        <v>45827.69166666667</v>
      </c>
      <c r="C8896" t="inlineStr">
        <is>
          <t>Ashby Falls Community Hospital</t>
        </is>
      </c>
      <c r="D8896" t="n">
        <v>121</v>
      </c>
    </row>
    <row r="8897">
      <c r="A8897" t="inlineStr">
        <is>
          <t>ED209077</t>
        </is>
      </c>
      <c r="B8897" s="56" t="n">
        <v>45827.69791666666</v>
      </c>
      <c r="C8897" t="inlineStr">
        <is>
          <t>Bluestone Memorial Hospital</t>
        </is>
      </c>
      <c r="D8897" t="n">
        <v>22</v>
      </c>
    </row>
    <row r="8898">
      <c r="A8898" t="inlineStr">
        <is>
          <t>ED209078</t>
        </is>
      </c>
      <c r="B8898" s="56" t="n">
        <v>45827.76736111111</v>
      </c>
      <c r="C8898" t="inlineStr">
        <is>
          <t>Bluestone Memorial Hospital</t>
        </is>
      </c>
      <c r="D8898" t="n">
        <v>48</v>
      </c>
    </row>
    <row r="8899">
      <c r="A8899" t="inlineStr">
        <is>
          <t>ED209079</t>
        </is>
      </c>
      <c r="B8899" s="56" t="n">
        <v>45827.82847222222</v>
      </c>
      <c r="C8899" t="inlineStr">
        <is>
          <t>Bluestone Memorial Hospital</t>
        </is>
      </c>
      <c r="D8899" t="n">
        <v>3</v>
      </c>
    </row>
    <row r="8900">
      <c r="A8900" t="inlineStr">
        <is>
          <t>ED209080</t>
        </is>
      </c>
      <c r="B8900" s="56" t="n">
        <v>45827.8375</v>
      </c>
      <c r="C8900" t="inlineStr">
        <is>
          <t>Ashby Falls Community Hospital</t>
        </is>
      </c>
      <c r="D8900" t="n">
        <v>32</v>
      </c>
    </row>
    <row r="8901">
      <c r="A8901" t="inlineStr">
        <is>
          <t>ED209081</t>
        </is>
      </c>
      <c r="B8901" s="56" t="n">
        <v>45827.88680555556</v>
      </c>
      <c r="C8901" t="inlineStr">
        <is>
          <t>Bluestone Memorial Hospital</t>
        </is>
      </c>
      <c r="D8901" t="n">
        <v>48</v>
      </c>
    </row>
    <row r="8902">
      <c r="A8902" t="inlineStr">
        <is>
          <t>ED209082</t>
        </is>
      </c>
      <c r="B8902" s="56" t="n">
        <v>45827.90763888889</v>
      </c>
      <c r="C8902" t="inlineStr">
        <is>
          <t>Bluestone Memorial Hospital</t>
        </is>
      </c>
      <c r="D8902" t="n">
        <v>62</v>
      </c>
    </row>
    <row r="8903">
      <c r="A8903" t="inlineStr">
        <is>
          <t>ED209083</t>
        </is>
      </c>
      <c r="B8903" s="56" t="n">
        <v>45827.93263888889</v>
      </c>
      <c r="C8903" t="inlineStr">
        <is>
          <t>Cedar Ridge Medical Center</t>
        </is>
      </c>
      <c r="D8903" t="n">
        <v>43</v>
      </c>
    </row>
    <row r="8904">
      <c r="A8904" t="inlineStr">
        <is>
          <t>ED209084</t>
        </is>
      </c>
      <c r="B8904" s="56" t="n">
        <v>45827.96180555555</v>
      </c>
      <c r="C8904" t="inlineStr">
        <is>
          <t>Ashby Falls Community Hospital</t>
        </is>
      </c>
      <c r="D8904" t="n">
        <v>21</v>
      </c>
    </row>
    <row r="8905">
      <c r="A8905" t="inlineStr">
        <is>
          <t>ED209085</t>
        </is>
      </c>
      <c r="B8905" s="56" t="n">
        <v>45827.98472222222</v>
      </c>
      <c r="C8905" t="inlineStr">
        <is>
          <t>Bluestone Memorial Hospital</t>
        </is>
      </c>
      <c r="D8905" t="n">
        <v>22</v>
      </c>
    </row>
    <row r="8906">
      <c r="A8906" t="inlineStr">
        <is>
          <t>ED209086</t>
        </is>
      </c>
      <c r="B8906" s="56" t="n">
        <v>45827.99513888889</v>
      </c>
      <c r="C8906" t="inlineStr">
        <is>
          <t>Cedar Ridge Medical Center</t>
        </is>
      </c>
      <c r="D8906" t="n">
        <v>54</v>
      </c>
    </row>
    <row r="8907">
      <c r="A8907" t="inlineStr">
        <is>
          <t>ED209087</t>
        </is>
      </c>
      <c r="B8907" s="56" t="n">
        <v>45827.99930555555</v>
      </c>
      <c r="C8907" t="inlineStr">
        <is>
          <t>Bluestone Memorial Hospital</t>
        </is>
      </c>
      <c r="D8907" t="n">
        <v>1</v>
      </c>
    </row>
    <row r="8908">
      <c r="A8908" t="inlineStr">
        <is>
          <t>ED209088</t>
        </is>
      </c>
      <c r="B8908" s="56" t="n">
        <v>45828.02777777778</v>
      </c>
      <c r="C8908" t="inlineStr">
        <is>
          <t>Bluestone Memorial Hospital</t>
        </is>
      </c>
      <c r="D8908" t="n">
        <v>32</v>
      </c>
    </row>
    <row r="8909">
      <c r="A8909" t="inlineStr">
        <is>
          <t>ED209089</t>
        </is>
      </c>
      <c r="B8909" s="56" t="n">
        <v>45828.28958333333</v>
      </c>
      <c r="C8909" t="inlineStr">
        <is>
          <t>Bluestone Memorial Hospital</t>
        </is>
      </c>
      <c r="D8909" t="n">
        <v>31</v>
      </c>
    </row>
    <row r="8910">
      <c r="A8910" t="inlineStr">
        <is>
          <t>ED209090</t>
        </is>
      </c>
      <c r="B8910" s="56" t="n">
        <v>45828.30416666667</v>
      </c>
      <c r="C8910" t="inlineStr">
        <is>
          <t>Ashby Falls Community Hospital</t>
        </is>
      </c>
      <c r="D8910" t="n">
        <v>41</v>
      </c>
    </row>
    <row r="8911">
      <c r="A8911" t="inlineStr">
        <is>
          <t>ED209091</t>
        </is>
      </c>
      <c r="B8911" s="56" t="n">
        <v>45828.35416666666</v>
      </c>
      <c r="C8911" t="inlineStr">
        <is>
          <t>Ashby Falls Community Hospital</t>
        </is>
      </c>
      <c r="D8911" t="n">
        <v>56</v>
      </c>
    </row>
    <row r="8912">
      <c r="A8912" t="inlineStr">
        <is>
          <t>ED209092</t>
        </is>
      </c>
      <c r="B8912" s="56" t="n">
        <v>45828.35486111111</v>
      </c>
      <c r="C8912" t="inlineStr">
        <is>
          <t>Bluestone Memorial Hospital</t>
        </is>
      </c>
      <c r="D8912" t="n">
        <v>23</v>
      </c>
    </row>
    <row r="8913">
      <c r="A8913" t="inlineStr">
        <is>
          <t>ED209093</t>
        </is>
      </c>
      <c r="B8913" s="56" t="n">
        <v>45828.36111111111</v>
      </c>
      <c r="C8913" t="inlineStr">
        <is>
          <t>Bluestone Memorial Hospital</t>
        </is>
      </c>
      <c r="D8913" t="n">
        <v>18</v>
      </c>
    </row>
    <row r="8914">
      <c r="A8914" t="inlineStr">
        <is>
          <t>ED209094</t>
        </is>
      </c>
      <c r="B8914" s="56" t="n">
        <v>45828.43958333333</v>
      </c>
      <c r="C8914" t="inlineStr">
        <is>
          <t>Bluestone Memorial Hospital</t>
        </is>
      </c>
      <c r="D8914" t="n">
        <v>13</v>
      </c>
    </row>
    <row r="8915">
      <c r="A8915" t="inlineStr">
        <is>
          <t>ED209095</t>
        </is>
      </c>
      <c r="B8915" s="56" t="n">
        <v>45828.50138888889</v>
      </c>
      <c r="C8915" t="inlineStr">
        <is>
          <t>Bluestone Memorial Hospital</t>
        </is>
      </c>
      <c r="D8915" t="n">
        <v>23</v>
      </c>
    </row>
    <row r="8916">
      <c r="A8916" t="inlineStr">
        <is>
          <t>ED209096</t>
        </is>
      </c>
      <c r="B8916" s="56" t="n">
        <v>45828.52291666667</v>
      </c>
      <c r="C8916" t="inlineStr">
        <is>
          <t>Cedar Ridge Medical Center</t>
        </is>
      </c>
      <c r="D8916" t="n">
        <v>103</v>
      </c>
    </row>
    <row r="8917">
      <c r="A8917" t="inlineStr">
        <is>
          <t>ED209097</t>
        </is>
      </c>
      <c r="B8917" s="56" t="n">
        <v>45828.58680555555</v>
      </c>
      <c r="C8917" t="inlineStr">
        <is>
          <t>Bluestone Memorial Hospital</t>
        </is>
      </c>
      <c r="D8917" t="n">
        <v>12</v>
      </c>
    </row>
    <row r="8918">
      <c r="A8918" t="inlineStr">
        <is>
          <t>ED209099</t>
        </is>
      </c>
      <c r="B8918" s="56" t="n">
        <v>45828.67916666667</v>
      </c>
      <c r="C8918" t="inlineStr">
        <is>
          <t>Bluestone Memorial Hospital</t>
        </is>
      </c>
      <c r="D8918" t="n">
        <v>31</v>
      </c>
    </row>
    <row r="8919">
      <c r="A8919" t="inlineStr">
        <is>
          <t>ED209100</t>
        </is>
      </c>
      <c r="B8919" s="56" t="n">
        <v>45828.74305555555</v>
      </c>
      <c r="C8919" t="inlineStr">
        <is>
          <t>Bluestone Memorial Hospital</t>
        </is>
      </c>
      <c r="D8919" t="n">
        <v>62</v>
      </c>
    </row>
    <row r="8920">
      <c r="A8920" t="inlineStr">
        <is>
          <t>ED209101</t>
        </is>
      </c>
      <c r="B8920" s="56" t="n">
        <v>45828.75555555556</v>
      </c>
      <c r="C8920" t="inlineStr">
        <is>
          <t>Bluestone Memorial Hospital</t>
        </is>
      </c>
      <c r="D8920" t="n">
        <v>38</v>
      </c>
    </row>
    <row r="8921">
      <c r="A8921" t="inlineStr">
        <is>
          <t>ED209102</t>
        </is>
      </c>
      <c r="B8921" s="56" t="n">
        <v>45828.76111111111</v>
      </c>
      <c r="C8921" t="inlineStr">
        <is>
          <t>Bluestone Memorial Hospital</t>
        </is>
      </c>
      <c r="D8921" t="n">
        <v>29</v>
      </c>
    </row>
    <row r="8922">
      <c r="A8922" t="inlineStr">
        <is>
          <t>ED209103</t>
        </is>
      </c>
      <c r="B8922" s="56" t="n">
        <v>45828.86666666667</v>
      </c>
      <c r="C8922" t="inlineStr">
        <is>
          <t>Ashby Falls Community Hospital</t>
        </is>
      </c>
      <c r="D8922" t="n">
        <v>62</v>
      </c>
    </row>
    <row r="8923">
      <c r="A8923" t="inlineStr">
        <is>
          <t>ED209104</t>
        </is>
      </c>
      <c r="B8923" s="56" t="n">
        <v>45829.08402777778</v>
      </c>
      <c r="C8923" t="inlineStr">
        <is>
          <t>Bluestone Memorial Hospital</t>
        </is>
      </c>
      <c r="D8923" t="n">
        <v>8</v>
      </c>
    </row>
    <row r="8924">
      <c r="A8924" t="inlineStr">
        <is>
          <t>ED209105</t>
        </is>
      </c>
      <c r="B8924" s="56" t="n">
        <v>45829.1</v>
      </c>
      <c r="C8924" t="inlineStr">
        <is>
          <t>Bluestone Memorial Hospital</t>
        </is>
      </c>
      <c r="D8924" t="n">
        <v>42</v>
      </c>
    </row>
    <row r="8925">
      <c r="A8925" t="inlineStr">
        <is>
          <t>ED209106</t>
        </is>
      </c>
      <c r="B8925" s="56" t="n">
        <v>45829.10972222222</v>
      </c>
      <c r="C8925" t="inlineStr">
        <is>
          <t>Cedar Ridge Medical Center</t>
        </is>
      </c>
      <c r="D8925" t="n">
        <v>42</v>
      </c>
    </row>
    <row r="8926">
      <c r="A8926" t="inlineStr">
        <is>
          <t>ED209107</t>
        </is>
      </c>
      <c r="B8926" s="56" t="n">
        <v>45829.37291666667</v>
      </c>
      <c r="C8926" t="inlineStr">
        <is>
          <t>Ashby Falls Community Hospital</t>
        </is>
      </c>
      <c r="D8926" t="n">
        <v>52</v>
      </c>
    </row>
    <row r="8927">
      <c r="A8927" t="inlineStr">
        <is>
          <t>ED209108</t>
        </is>
      </c>
      <c r="B8927" s="56" t="n">
        <v>45829.45277777778</v>
      </c>
      <c r="C8927" t="inlineStr">
        <is>
          <t>Bluestone Memorial Hospital</t>
        </is>
      </c>
      <c r="D8927" t="n">
        <v>44</v>
      </c>
    </row>
    <row r="8928">
      <c r="A8928" t="inlineStr">
        <is>
          <t>ED209109</t>
        </is>
      </c>
      <c r="B8928" s="56" t="n">
        <v>45829.47708333333</v>
      </c>
      <c r="C8928" t="inlineStr">
        <is>
          <t>Bluestone Memorial Hospital</t>
        </is>
      </c>
      <c r="D8928" t="n">
        <v>87</v>
      </c>
    </row>
    <row r="8929">
      <c r="A8929" t="inlineStr">
        <is>
          <t>ED209110</t>
        </is>
      </c>
      <c r="B8929" s="56" t="n">
        <v>45829.52013888889</v>
      </c>
      <c r="C8929" t="inlineStr">
        <is>
          <t>Cedar Ridge Medical Center</t>
        </is>
      </c>
      <c r="D8929" t="n">
        <v>59</v>
      </c>
    </row>
    <row r="8930">
      <c r="A8930" t="inlineStr">
        <is>
          <t>ED209111</t>
        </is>
      </c>
      <c r="B8930" s="56" t="n">
        <v>45829.69444444445</v>
      </c>
      <c r="C8930" t="inlineStr">
        <is>
          <t>Ashby Falls Community Hospital</t>
        </is>
      </c>
      <c r="D8930" t="n">
        <v>70</v>
      </c>
    </row>
    <row r="8931">
      <c r="A8931" t="inlineStr">
        <is>
          <t>ED209112</t>
        </is>
      </c>
      <c r="B8931" s="56" t="n">
        <v>45829.73263888889</v>
      </c>
      <c r="C8931" t="inlineStr">
        <is>
          <t>Bluestone Memorial Hospital</t>
        </is>
      </c>
      <c r="D8931" t="n">
        <v>102</v>
      </c>
    </row>
    <row r="8932">
      <c r="A8932" t="inlineStr">
        <is>
          <t>ED209113</t>
        </is>
      </c>
      <c r="B8932" s="56" t="n">
        <v>45829.76875</v>
      </c>
      <c r="C8932" t="inlineStr">
        <is>
          <t>Bluestone Memorial Hospital</t>
        </is>
      </c>
      <c r="D8932" t="n">
        <v>84</v>
      </c>
    </row>
    <row r="8933">
      <c r="A8933" t="inlineStr">
        <is>
          <t>ED209114</t>
        </is>
      </c>
      <c r="B8933" s="56" t="n">
        <v>45829.79513888889</v>
      </c>
      <c r="C8933" t="inlineStr">
        <is>
          <t>Bluestone Memorial Hospital</t>
        </is>
      </c>
      <c r="D8933" t="n">
        <v>13</v>
      </c>
    </row>
    <row r="8934">
      <c r="A8934" t="inlineStr">
        <is>
          <t>ED209115</t>
        </is>
      </c>
      <c r="B8934" s="56" t="n">
        <v>45829.81666666667</v>
      </c>
      <c r="C8934" t="inlineStr">
        <is>
          <t>Bluestone Memorial Hospital</t>
        </is>
      </c>
      <c r="D8934" t="n">
        <v>21</v>
      </c>
    </row>
    <row r="8935">
      <c r="A8935" t="inlineStr">
        <is>
          <t>ED209116</t>
        </is>
      </c>
      <c r="B8935" s="56" t="n">
        <v>45829.87361111111</v>
      </c>
      <c r="C8935" t="inlineStr">
        <is>
          <t>Bluestone Memorial Hospital</t>
        </is>
      </c>
      <c r="D8935" t="n">
        <v>30</v>
      </c>
    </row>
    <row r="8936">
      <c r="A8936" t="inlineStr">
        <is>
          <t>ED209117</t>
        </is>
      </c>
      <c r="B8936" s="56" t="n">
        <v>45829.95208333333</v>
      </c>
      <c r="C8936" t="inlineStr">
        <is>
          <t>Bluestone Memorial Hospital</t>
        </is>
      </c>
      <c r="D8936" t="n">
        <v>45</v>
      </c>
    </row>
    <row r="8937">
      <c r="A8937" t="inlineStr">
        <is>
          <t>ED209118</t>
        </is>
      </c>
      <c r="B8937" s="56" t="n">
        <v>45830.28472222222</v>
      </c>
      <c r="C8937" t="inlineStr">
        <is>
          <t>Bluestone Memorial Hospital</t>
        </is>
      </c>
      <c r="D8937" t="n">
        <v>82</v>
      </c>
    </row>
    <row r="8938">
      <c r="A8938" t="inlineStr">
        <is>
          <t>ED209119</t>
        </is>
      </c>
      <c r="B8938" s="56" t="n">
        <v>45830.3125</v>
      </c>
      <c r="C8938" t="inlineStr">
        <is>
          <t>Cedar Ridge Medical Center</t>
        </is>
      </c>
      <c r="D8938" t="n">
        <v>17</v>
      </c>
    </row>
    <row r="8939">
      <c r="A8939" t="inlineStr">
        <is>
          <t>ED209120</t>
        </is>
      </c>
      <c r="B8939" s="56" t="n">
        <v>45830.38611111111</v>
      </c>
      <c r="C8939" t="inlineStr">
        <is>
          <t>Bluestone Memorial Hospital</t>
        </is>
      </c>
      <c r="D8939" t="n">
        <v>42</v>
      </c>
    </row>
    <row r="8940">
      <c r="A8940" t="inlineStr">
        <is>
          <t>ED209121</t>
        </is>
      </c>
      <c r="B8940" s="56" t="n">
        <v>45830.39583333334</v>
      </c>
      <c r="C8940" t="inlineStr">
        <is>
          <t>Bluestone Memorial Hospital</t>
        </is>
      </c>
      <c r="D8940" t="n">
        <v>22</v>
      </c>
    </row>
    <row r="8941">
      <c r="A8941" t="inlineStr">
        <is>
          <t>ED209122</t>
        </is>
      </c>
      <c r="B8941" s="56" t="n">
        <v>45830.44236111111</v>
      </c>
      <c r="C8941" t="inlineStr">
        <is>
          <t>Bluestone Memorial Hospital</t>
        </is>
      </c>
      <c r="D8941" t="n">
        <v>38</v>
      </c>
    </row>
    <row r="8942">
      <c r="A8942" t="inlineStr">
        <is>
          <t>ED209123</t>
        </is>
      </c>
      <c r="B8942" s="56" t="n">
        <v>45830.47152777778</v>
      </c>
      <c r="C8942" t="inlineStr">
        <is>
          <t>Ashby Falls Community Hospital</t>
        </is>
      </c>
      <c r="D8942" t="n">
        <v>51</v>
      </c>
    </row>
    <row r="8943">
      <c r="A8943" t="inlineStr">
        <is>
          <t>ED209124</t>
        </is>
      </c>
      <c r="B8943" s="56" t="n">
        <v>45830.49305555555</v>
      </c>
      <c r="C8943" t="inlineStr">
        <is>
          <t>Cedar Ridge Medical Center</t>
        </is>
      </c>
      <c r="D8943" t="n">
        <v>16</v>
      </c>
    </row>
    <row r="8944">
      <c r="A8944" t="inlineStr">
        <is>
          <t>ED209125</t>
        </is>
      </c>
      <c r="B8944" s="56" t="n">
        <v>45830.52569444444</v>
      </c>
      <c r="C8944" t="inlineStr">
        <is>
          <t>Bluestone Memorial Hospital</t>
        </is>
      </c>
      <c r="D8944" t="n">
        <v>57</v>
      </c>
    </row>
    <row r="8945">
      <c r="A8945" t="inlineStr">
        <is>
          <t>ED209126</t>
        </is>
      </c>
      <c r="B8945" s="56" t="n">
        <v>45830.60486111111</v>
      </c>
      <c r="C8945" t="inlineStr">
        <is>
          <t>Bluestone Memorial Hospital</t>
        </is>
      </c>
      <c r="D8945" t="n">
        <v>33</v>
      </c>
    </row>
    <row r="8946">
      <c r="A8946" t="inlineStr">
        <is>
          <t>ED209127</t>
        </is>
      </c>
      <c r="B8946" s="56" t="n">
        <v>45830.63611111111</v>
      </c>
      <c r="C8946" t="inlineStr">
        <is>
          <t>Bluestone Memorial Hospital</t>
        </is>
      </c>
      <c r="D8946" t="n">
        <v>95</v>
      </c>
    </row>
    <row r="8947">
      <c r="A8947" t="inlineStr">
        <is>
          <t>ED209128</t>
        </is>
      </c>
      <c r="B8947" s="56" t="n">
        <v>45830.66666666666</v>
      </c>
      <c r="C8947" t="inlineStr">
        <is>
          <t>Ashby Falls Community Hospital</t>
        </is>
      </c>
      <c r="D8947" t="n">
        <v>61</v>
      </c>
    </row>
    <row r="8948">
      <c r="A8948" t="inlineStr">
        <is>
          <t>ED209129</t>
        </is>
      </c>
      <c r="B8948" s="56" t="n">
        <v>45830.6875</v>
      </c>
      <c r="C8948" t="inlineStr">
        <is>
          <t>Ashby Falls Community Hospital</t>
        </is>
      </c>
      <c r="D8948" t="n">
        <v>47</v>
      </c>
    </row>
    <row r="8949">
      <c r="A8949" t="inlineStr">
        <is>
          <t>ED209130</t>
        </is>
      </c>
      <c r="B8949" s="56" t="n">
        <v>45830.75277777778</v>
      </c>
      <c r="C8949" t="inlineStr">
        <is>
          <t>Ashby Falls Community Hospital</t>
        </is>
      </c>
      <c r="D8949" t="n">
        <v>66</v>
      </c>
    </row>
    <row r="8950">
      <c r="A8950" t="inlineStr">
        <is>
          <t>ED209131</t>
        </is>
      </c>
      <c r="B8950" s="56" t="n">
        <v>45830.78472222222</v>
      </c>
      <c r="C8950" t="inlineStr">
        <is>
          <t>Ashby Falls Community Hospital</t>
        </is>
      </c>
      <c r="D8950" t="n">
        <v>35</v>
      </c>
    </row>
    <row r="8951">
      <c r="A8951" t="inlineStr">
        <is>
          <t>ED209132</t>
        </is>
      </c>
      <c r="B8951" s="56" t="n">
        <v>45830.8125</v>
      </c>
      <c r="C8951" t="inlineStr">
        <is>
          <t>Bluestone Memorial Hospital</t>
        </is>
      </c>
      <c r="D8951" t="n">
        <v>34</v>
      </c>
    </row>
    <row r="8952">
      <c r="A8952" t="inlineStr">
        <is>
          <t>ED209133</t>
        </is>
      </c>
      <c r="B8952" s="56" t="n">
        <v>45830.87152777778</v>
      </c>
      <c r="C8952" t="inlineStr">
        <is>
          <t>Bluestone Memorial Hospital</t>
        </is>
      </c>
      <c r="D8952" t="n">
        <v>18</v>
      </c>
    </row>
    <row r="8953">
      <c r="A8953" t="inlineStr">
        <is>
          <t>ED209134</t>
        </is>
      </c>
      <c r="B8953" s="56" t="n">
        <v>45830.96944444445</v>
      </c>
      <c r="C8953" t="inlineStr">
        <is>
          <t>Bluestone Memorial Hospital</t>
        </is>
      </c>
      <c r="D8953" t="n">
        <v>23</v>
      </c>
    </row>
    <row r="8954">
      <c r="A8954" t="inlineStr">
        <is>
          <t>ED209135</t>
        </is>
      </c>
      <c r="B8954" s="56" t="n">
        <v>45830.97291666667</v>
      </c>
      <c r="C8954" t="inlineStr">
        <is>
          <t>Bluestone Memorial Hospital</t>
        </is>
      </c>
      <c r="D8954" t="n">
        <v>9</v>
      </c>
    </row>
    <row r="8955">
      <c r="A8955" t="inlineStr">
        <is>
          <t>ED209136</t>
        </is>
      </c>
      <c r="B8955" s="56" t="n">
        <v>45831.02430555555</v>
      </c>
      <c r="C8955" t="inlineStr">
        <is>
          <t>Bluestone Memorial Hospital</t>
        </is>
      </c>
      <c r="D8955" t="n">
        <v>17</v>
      </c>
    </row>
    <row r="8956">
      <c r="A8956" t="inlineStr">
        <is>
          <t>ED209137</t>
        </is>
      </c>
      <c r="B8956" s="56" t="n">
        <v>45831.10069444445</v>
      </c>
      <c r="C8956" t="inlineStr">
        <is>
          <t>Bluestone Memorial Hospital</t>
        </is>
      </c>
      <c r="D8956" t="n">
        <v>60</v>
      </c>
    </row>
    <row r="8957">
      <c r="A8957" t="inlineStr">
        <is>
          <t>ED209138</t>
        </is>
      </c>
      <c r="B8957" s="56" t="n">
        <v>45831.29305555556</v>
      </c>
      <c r="C8957" t="inlineStr">
        <is>
          <t>Bluestone Memorial Hospital</t>
        </is>
      </c>
      <c r="D8957" t="n">
        <v>40</v>
      </c>
    </row>
    <row r="8958">
      <c r="A8958" t="inlineStr">
        <is>
          <t>ED209139</t>
        </is>
      </c>
      <c r="B8958" s="56" t="n">
        <v>45831.29722222222</v>
      </c>
      <c r="C8958" t="inlineStr">
        <is>
          <t>Ashby Falls Community Hospital</t>
        </is>
      </c>
      <c r="D8958" t="n">
        <v>49</v>
      </c>
    </row>
    <row r="8959">
      <c r="A8959" t="inlineStr">
        <is>
          <t>ED209140</t>
        </is>
      </c>
      <c r="B8959" s="56" t="n">
        <v>45831.31319444445</v>
      </c>
      <c r="C8959" t="inlineStr">
        <is>
          <t>Bluestone Memorial Hospital</t>
        </is>
      </c>
      <c r="D8959" t="n">
        <v>82</v>
      </c>
    </row>
    <row r="8960">
      <c r="A8960" t="inlineStr">
        <is>
          <t>ED209141</t>
        </is>
      </c>
      <c r="B8960" s="56" t="n">
        <v>45831.37430555555</v>
      </c>
      <c r="C8960" t="inlineStr">
        <is>
          <t>Bluestone Memorial Hospital</t>
        </is>
      </c>
      <c r="D8960" t="n">
        <v>30</v>
      </c>
    </row>
    <row r="8961">
      <c r="A8961" t="inlineStr">
        <is>
          <t>ED209142</t>
        </is>
      </c>
      <c r="B8961" s="56" t="n">
        <v>45831.37777777778</v>
      </c>
      <c r="C8961" t="inlineStr">
        <is>
          <t>Bluestone Memorial Hospital</t>
        </is>
      </c>
      <c r="D8961" t="n">
        <v>128</v>
      </c>
    </row>
    <row r="8962">
      <c r="A8962" t="inlineStr">
        <is>
          <t>ED209143</t>
        </is>
      </c>
      <c r="B8962" s="56" t="n">
        <v>45831.39305555556</v>
      </c>
      <c r="C8962" t="inlineStr">
        <is>
          <t>Bluestone Memorial Hospital</t>
        </is>
      </c>
      <c r="D8962" t="n">
        <v>40</v>
      </c>
    </row>
    <row r="8963">
      <c r="A8963" t="inlineStr">
        <is>
          <t>ED209144</t>
        </is>
      </c>
      <c r="B8963" s="56" t="n">
        <v>45831.45902777778</v>
      </c>
      <c r="C8963" t="inlineStr">
        <is>
          <t>Bluestone Memorial Hospital</t>
        </is>
      </c>
      <c r="D8963" t="n">
        <v>63</v>
      </c>
    </row>
    <row r="8964">
      <c r="A8964" t="inlineStr">
        <is>
          <t>ED209145</t>
        </is>
      </c>
      <c r="B8964" s="56" t="n">
        <v>45831.49722222222</v>
      </c>
      <c r="C8964" t="inlineStr">
        <is>
          <t>Bluestone Memorial Hospital</t>
        </is>
      </c>
      <c r="D8964" t="n">
        <v>27</v>
      </c>
    </row>
    <row r="8965">
      <c r="A8965" t="inlineStr">
        <is>
          <t>ED209146</t>
        </is>
      </c>
      <c r="B8965" s="56" t="n">
        <v>45831.50972222222</v>
      </c>
      <c r="C8965" t="inlineStr">
        <is>
          <t>Bluestone Memorial Hospital</t>
        </is>
      </c>
      <c r="D8965" t="n">
        <v>50</v>
      </c>
    </row>
    <row r="8966">
      <c r="A8966" t="inlineStr">
        <is>
          <t>ED209147</t>
        </is>
      </c>
      <c r="B8966" s="56" t="n">
        <v>45831.53055555555</v>
      </c>
      <c r="C8966" t="inlineStr">
        <is>
          <t>Bluestone Memorial Hospital</t>
        </is>
      </c>
      <c r="D8966" t="n">
        <v>54</v>
      </c>
    </row>
    <row r="8967">
      <c r="A8967" t="inlineStr">
        <is>
          <t>ED209148</t>
        </is>
      </c>
      <c r="B8967" s="56" t="n">
        <v>45831.55347222222</v>
      </c>
      <c r="C8967" t="inlineStr">
        <is>
          <t>Bluestone Memorial Hospital</t>
        </is>
      </c>
      <c r="D8967" t="n">
        <v>41</v>
      </c>
    </row>
    <row r="8968">
      <c r="A8968" t="inlineStr">
        <is>
          <t>ED209149</t>
        </is>
      </c>
      <c r="B8968" s="56" t="n">
        <v>45831.57291666666</v>
      </c>
      <c r="C8968" t="inlineStr">
        <is>
          <t>Bluestone Memorial Hospital</t>
        </is>
      </c>
      <c r="D8968" t="n">
        <v>69</v>
      </c>
    </row>
    <row r="8969">
      <c r="A8969" t="inlineStr">
        <is>
          <t>ED209150</t>
        </is>
      </c>
      <c r="B8969" s="56" t="n">
        <v>45831.62916666667</v>
      </c>
      <c r="C8969" t="inlineStr">
        <is>
          <t>Cedar Ridge Medical Center</t>
        </is>
      </c>
      <c r="D8969" t="n">
        <v>42</v>
      </c>
    </row>
    <row r="8970">
      <c r="A8970" t="inlineStr">
        <is>
          <t>ED209151</t>
        </is>
      </c>
      <c r="B8970" s="56" t="n">
        <v>45831.63958333333</v>
      </c>
      <c r="C8970" t="inlineStr">
        <is>
          <t>Cedar Ridge Medical Center</t>
        </is>
      </c>
      <c r="D8970" t="n">
        <v>35</v>
      </c>
    </row>
    <row r="8971">
      <c r="A8971" t="inlineStr">
        <is>
          <t>ED209152</t>
        </is>
      </c>
      <c r="B8971" s="56" t="n">
        <v>45831.66527777778</v>
      </c>
      <c r="C8971" t="inlineStr">
        <is>
          <t>Ashby Falls Community Hospital</t>
        </is>
      </c>
      <c r="D8971" t="n">
        <v>90</v>
      </c>
    </row>
    <row r="8972">
      <c r="A8972" t="inlineStr">
        <is>
          <t>ED209153</t>
        </is>
      </c>
      <c r="B8972" s="56" t="n">
        <v>45831.66666666666</v>
      </c>
      <c r="C8972" t="inlineStr">
        <is>
          <t>Cedar Ridge Medical Center</t>
        </is>
      </c>
      <c r="D8972" t="n">
        <v>90</v>
      </c>
    </row>
    <row r="8973">
      <c r="A8973" t="inlineStr">
        <is>
          <t>ED209154</t>
        </is>
      </c>
      <c r="B8973" s="56" t="n">
        <v>45831.71944444445</v>
      </c>
      <c r="C8973" t="inlineStr">
        <is>
          <t>Bluestone Memorial Hospital</t>
        </is>
      </c>
      <c r="D8973" t="n">
        <v>60</v>
      </c>
    </row>
    <row r="8974">
      <c r="A8974" t="inlineStr">
        <is>
          <t>ED209155</t>
        </is>
      </c>
      <c r="B8974" s="56" t="n">
        <v>45831.77291666667</v>
      </c>
      <c r="C8974" t="inlineStr">
        <is>
          <t>Bluestone Memorial Hospital</t>
        </is>
      </c>
      <c r="D8974" t="n">
        <v>59</v>
      </c>
    </row>
    <row r="8975">
      <c r="A8975" t="inlineStr">
        <is>
          <t>ED209156</t>
        </is>
      </c>
      <c r="B8975" s="56" t="n">
        <v>45831.83194444444</v>
      </c>
      <c r="C8975" t="inlineStr">
        <is>
          <t>Cedar Ridge Medical Center</t>
        </is>
      </c>
      <c r="D8975" t="n">
        <v>8</v>
      </c>
    </row>
    <row r="8976">
      <c r="A8976" t="inlineStr">
        <is>
          <t>ED209157</t>
        </is>
      </c>
      <c r="B8976" s="56" t="n">
        <v>45831.85138888889</v>
      </c>
      <c r="C8976" t="inlineStr">
        <is>
          <t>Bluestone Memorial Hospital</t>
        </is>
      </c>
      <c r="D8976" t="n">
        <v>58</v>
      </c>
    </row>
    <row r="8977">
      <c r="A8977" t="inlineStr">
        <is>
          <t>ED209158</t>
        </is>
      </c>
      <c r="B8977" s="56" t="n">
        <v>45831.86388888889</v>
      </c>
      <c r="C8977" t="inlineStr">
        <is>
          <t>Bluestone Memorial Hospital</t>
        </is>
      </c>
      <c r="D8977" t="n">
        <v>125</v>
      </c>
    </row>
    <row r="8978">
      <c r="A8978" t="inlineStr">
        <is>
          <t>ED209159</t>
        </is>
      </c>
      <c r="B8978" s="56" t="n">
        <v>45832.15833333333</v>
      </c>
      <c r="C8978" t="inlineStr">
        <is>
          <t>Bluestone Memorial Hospital</t>
        </is>
      </c>
      <c r="D8978" t="n">
        <v>6</v>
      </c>
    </row>
    <row r="8979">
      <c r="A8979" t="inlineStr">
        <is>
          <t>ED209160</t>
        </is>
      </c>
      <c r="B8979" s="56" t="n">
        <v>45832.40833333333</v>
      </c>
      <c r="C8979" t="inlineStr">
        <is>
          <t>Bluestone Memorial Hospital</t>
        </is>
      </c>
      <c r="D8979" t="n">
        <v>41</v>
      </c>
    </row>
    <row r="8980">
      <c r="A8980" t="inlineStr">
        <is>
          <t>ED209161</t>
        </is>
      </c>
      <c r="B8980" s="56" t="n">
        <v>45832.44861111111</v>
      </c>
      <c r="C8980" t="inlineStr">
        <is>
          <t>Cedar Ridge Medical Center</t>
        </is>
      </c>
      <c r="D8980" t="n">
        <v>61</v>
      </c>
    </row>
    <row r="8981">
      <c r="A8981" t="inlineStr">
        <is>
          <t>ED209162</t>
        </is>
      </c>
      <c r="B8981" s="56" t="n">
        <v>45832.45625</v>
      </c>
      <c r="C8981" t="inlineStr">
        <is>
          <t>Cedar Ridge Medical Center</t>
        </is>
      </c>
      <c r="D8981" t="n">
        <v>66</v>
      </c>
    </row>
    <row r="8982">
      <c r="A8982" t="inlineStr">
        <is>
          <t>ED209163</t>
        </is>
      </c>
      <c r="B8982" s="56" t="n">
        <v>45832.47708333333</v>
      </c>
      <c r="C8982" t="inlineStr">
        <is>
          <t>Cedar Ridge Medical Center</t>
        </is>
      </c>
      <c r="D8982" t="n">
        <v>100</v>
      </c>
    </row>
    <row r="8983">
      <c r="A8983" t="inlineStr">
        <is>
          <t>ED209164</t>
        </is>
      </c>
      <c r="B8983" s="56" t="n">
        <v>45832.48125</v>
      </c>
      <c r="C8983" t="inlineStr">
        <is>
          <t>Bluestone Memorial Hospital</t>
        </is>
      </c>
      <c r="D8983" t="n">
        <v>68</v>
      </c>
    </row>
    <row r="8984">
      <c r="A8984" t="inlineStr">
        <is>
          <t>ED209165</t>
        </is>
      </c>
      <c r="B8984" s="56" t="n">
        <v>45832.54166666666</v>
      </c>
      <c r="C8984" t="inlineStr">
        <is>
          <t>Ashby Falls Community Hospital</t>
        </is>
      </c>
      <c r="D8984" t="n">
        <v>90</v>
      </c>
    </row>
    <row r="8985">
      <c r="A8985" t="inlineStr">
        <is>
          <t>ED209166</t>
        </is>
      </c>
      <c r="B8985" s="56" t="n">
        <v>45832.58611111111</v>
      </c>
      <c r="C8985" t="inlineStr">
        <is>
          <t>Bluestone Memorial Hospital</t>
        </is>
      </c>
      <c r="D8985" t="n">
        <v>28</v>
      </c>
    </row>
    <row r="8986">
      <c r="A8986" t="inlineStr">
        <is>
          <t>ED209167</t>
        </is>
      </c>
      <c r="B8986" s="56" t="n">
        <v>45832.62013888889</v>
      </c>
      <c r="C8986" t="inlineStr">
        <is>
          <t>Ashby Falls Community Hospital</t>
        </is>
      </c>
      <c r="D8986" t="n">
        <v>94</v>
      </c>
    </row>
    <row r="8987">
      <c r="A8987" t="inlineStr">
        <is>
          <t>ED209168</t>
        </is>
      </c>
      <c r="B8987" s="56" t="n">
        <v>45832.66666666666</v>
      </c>
      <c r="C8987" t="inlineStr">
        <is>
          <t>Bluestone Memorial Hospital</t>
        </is>
      </c>
      <c r="D8987" t="n">
        <v>45</v>
      </c>
    </row>
    <row r="8988">
      <c r="A8988" t="inlineStr">
        <is>
          <t>ED209169</t>
        </is>
      </c>
      <c r="B8988" s="56" t="n">
        <v>45832.68888888889</v>
      </c>
      <c r="C8988" t="inlineStr">
        <is>
          <t>Ashby Falls Community Hospital</t>
        </is>
      </c>
      <c r="D8988" t="n">
        <v>19</v>
      </c>
    </row>
    <row r="8989">
      <c r="A8989" t="inlineStr">
        <is>
          <t>ED209170</t>
        </is>
      </c>
      <c r="B8989" s="56" t="n">
        <v>45832.72013888889</v>
      </c>
      <c r="C8989" t="inlineStr">
        <is>
          <t>Ashby Falls Community Hospital</t>
        </is>
      </c>
      <c r="D8989" t="n">
        <v>124</v>
      </c>
    </row>
    <row r="8990">
      <c r="A8990" t="inlineStr">
        <is>
          <t>ED209171</t>
        </is>
      </c>
      <c r="B8990" s="56" t="n">
        <v>45832.73333333333</v>
      </c>
      <c r="C8990" t="inlineStr">
        <is>
          <t>Cedar Ridge Medical Center</t>
        </is>
      </c>
      <c r="D8990" t="n">
        <v>15</v>
      </c>
    </row>
    <row r="8991">
      <c r="A8991" t="inlineStr">
        <is>
          <t>ED209172</t>
        </is>
      </c>
      <c r="B8991" s="56" t="n">
        <v>45832.87777777778</v>
      </c>
      <c r="C8991" t="inlineStr">
        <is>
          <t>Ashby Falls Community Hospital</t>
        </is>
      </c>
      <c r="D8991" t="n">
        <v>36</v>
      </c>
    </row>
    <row r="8992">
      <c r="A8992" t="inlineStr">
        <is>
          <t>ED209173</t>
        </is>
      </c>
      <c r="B8992" s="56" t="n">
        <v>45832.92638888889</v>
      </c>
      <c r="C8992" t="inlineStr">
        <is>
          <t>Bluestone Memorial Hospital</t>
        </is>
      </c>
      <c r="D8992" t="n">
        <v>17</v>
      </c>
    </row>
    <row r="8993">
      <c r="A8993" t="inlineStr">
        <is>
          <t>ED209174</t>
        </is>
      </c>
      <c r="B8993" s="56" t="n">
        <v>45833.37152777778</v>
      </c>
      <c r="C8993" t="inlineStr">
        <is>
          <t>Bluestone Memorial Hospital</t>
        </is>
      </c>
      <c r="D8993" t="n">
        <v>53</v>
      </c>
    </row>
    <row r="8994">
      <c r="A8994" t="inlineStr">
        <is>
          <t>ED209175</t>
        </is>
      </c>
      <c r="B8994" s="56" t="n">
        <v>45833.62638888889</v>
      </c>
      <c r="C8994" t="inlineStr">
        <is>
          <t>Bluestone Memorial Hospital</t>
        </is>
      </c>
      <c r="D8994" t="n">
        <v>50</v>
      </c>
    </row>
    <row r="8995">
      <c r="A8995" t="inlineStr">
        <is>
          <t>ED209176</t>
        </is>
      </c>
      <c r="B8995" s="56" t="n">
        <v>45833.62708333333</v>
      </c>
      <c r="C8995" t="inlineStr">
        <is>
          <t>Bluestone Memorial Hospital</t>
        </is>
      </c>
      <c r="D8995" t="n">
        <v>50</v>
      </c>
    </row>
    <row r="8996">
      <c r="A8996" t="inlineStr">
        <is>
          <t>ED209177</t>
        </is>
      </c>
      <c r="B8996" s="56" t="n">
        <v>45833.67013888889</v>
      </c>
      <c r="C8996" t="inlineStr">
        <is>
          <t>Bluestone Memorial Hospital</t>
        </is>
      </c>
      <c r="D8996" t="n">
        <v>27</v>
      </c>
    </row>
    <row r="8997">
      <c r="A8997" t="inlineStr">
        <is>
          <t>ED209178</t>
        </is>
      </c>
      <c r="B8997" s="56" t="n">
        <v>45833.68263888889</v>
      </c>
      <c r="C8997" t="inlineStr">
        <is>
          <t>Ashby Falls Community Hospital</t>
        </is>
      </c>
      <c r="D8997" t="n">
        <v>23</v>
      </c>
    </row>
    <row r="8998">
      <c r="A8998" t="inlineStr">
        <is>
          <t>ED209179</t>
        </is>
      </c>
      <c r="B8998" s="56" t="n">
        <v>45833.70902777778</v>
      </c>
      <c r="C8998" t="inlineStr">
        <is>
          <t>Bluestone Memorial Hospital</t>
        </is>
      </c>
      <c r="D8998" t="n">
        <v>40</v>
      </c>
    </row>
    <row r="8999">
      <c r="A8999" t="inlineStr">
        <is>
          <t>ED209180</t>
        </is>
      </c>
      <c r="B8999" s="56" t="n">
        <v>45833.84722222222</v>
      </c>
      <c r="C8999" t="inlineStr">
        <is>
          <t>Bluestone Memorial Hospital</t>
        </is>
      </c>
      <c r="D8999" t="n">
        <v>18</v>
      </c>
    </row>
    <row r="9000">
      <c r="A9000" t="inlineStr">
        <is>
          <t>ED209181</t>
        </is>
      </c>
      <c r="B9000" s="56" t="n">
        <v>45833.86388888889</v>
      </c>
      <c r="C9000" t="inlineStr">
        <is>
          <t>Bluestone Memorial Hospital</t>
        </is>
      </c>
      <c r="D9000" t="n">
        <v>42</v>
      </c>
    </row>
    <row r="9001">
      <c r="A9001" t="inlineStr">
        <is>
          <t>ED209182</t>
        </is>
      </c>
      <c r="B9001" s="56" t="n">
        <v>45833.86666666667</v>
      </c>
      <c r="C9001" t="inlineStr">
        <is>
          <t>Bluestone Memorial Hospital</t>
        </is>
      </c>
      <c r="D9001" t="n">
        <v>25</v>
      </c>
    </row>
    <row r="9002">
      <c r="A9002" t="inlineStr">
        <is>
          <t>ED209183</t>
        </is>
      </c>
      <c r="B9002" s="56" t="n">
        <v>45833.90972222222</v>
      </c>
      <c r="C9002" t="inlineStr">
        <is>
          <t>Bluestone Memorial Hospital</t>
        </is>
      </c>
      <c r="D9002" t="n">
        <v>25</v>
      </c>
    </row>
    <row r="9003">
      <c r="A9003" t="inlineStr">
        <is>
          <t>ED209184</t>
        </is>
      </c>
      <c r="B9003" s="56" t="n">
        <v>45833.95694444444</v>
      </c>
      <c r="C9003" t="inlineStr">
        <is>
          <t>Bluestone Memorial Hospital</t>
        </is>
      </c>
      <c r="D9003" t="n">
        <v>29</v>
      </c>
    </row>
    <row r="9004">
      <c r="A9004" t="inlineStr">
        <is>
          <t>ED209185</t>
        </is>
      </c>
      <c r="B9004" s="56" t="n">
        <v>45834.24652777778</v>
      </c>
      <c r="C9004" t="inlineStr">
        <is>
          <t>Cedar Ridge Medical Center</t>
        </is>
      </c>
      <c r="D9004" t="n">
        <v>31</v>
      </c>
    </row>
    <row r="9005">
      <c r="A9005" t="inlineStr">
        <is>
          <t>ED209186</t>
        </is>
      </c>
      <c r="B9005" s="56" t="n">
        <v>45834.42361111111</v>
      </c>
      <c r="C9005" t="inlineStr">
        <is>
          <t>Cedar Ridge Medical Center</t>
        </is>
      </c>
      <c r="D9005" t="n">
        <v>23</v>
      </c>
    </row>
    <row r="9006">
      <c r="A9006" t="inlineStr">
        <is>
          <t>ED209187</t>
        </is>
      </c>
      <c r="B9006" s="56" t="n">
        <v>45834.475</v>
      </c>
      <c r="C9006" t="inlineStr">
        <is>
          <t>Bluestone Memorial Hospital</t>
        </is>
      </c>
      <c r="D9006" t="n">
        <v>99</v>
      </c>
    </row>
    <row r="9007">
      <c r="A9007" t="inlineStr">
        <is>
          <t>ED209188</t>
        </is>
      </c>
      <c r="B9007" s="56" t="n">
        <v>45834.47916666666</v>
      </c>
      <c r="C9007" t="inlineStr">
        <is>
          <t>Bluestone Memorial Hospital</t>
        </is>
      </c>
      <c r="D9007" t="n">
        <v>17</v>
      </c>
    </row>
    <row r="9008">
      <c r="A9008" t="inlineStr">
        <is>
          <t>ED209189</t>
        </is>
      </c>
      <c r="B9008" s="56" t="n">
        <v>45834.59930555556</v>
      </c>
      <c r="C9008" t="inlineStr">
        <is>
          <t>Bluestone Memorial Hospital</t>
        </is>
      </c>
      <c r="D9008" t="n">
        <v>224</v>
      </c>
    </row>
    <row r="9009">
      <c r="A9009" t="inlineStr">
        <is>
          <t>ED209190</t>
        </is>
      </c>
      <c r="B9009" s="56" t="n">
        <v>45834.62777777778</v>
      </c>
      <c r="C9009" t="inlineStr">
        <is>
          <t>Bluestone Memorial Hospital</t>
        </is>
      </c>
      <c r="D9009" t="n">
        <v>83</v>
      </c>
    </row>
    <row r="9010">
      <c r="A9010" t="inlineStr">
        <is>
          <t>ED209191</t>
        </is>
      </c>
      <c r="B9010" s="56" t="n">
        <v>45834.68680555555</v>
      </c>
      <c r="C9010" t="inlineStr">
        <is>
          <t>Bluestone Memorial Hospital</t>
        </is>
      </c>
      <c r="D9010" t="n">
        <v>99</v>
      </c>
    </row>
    <row r="9011">
      <c r="A9011" t="inlineStr">
        <is>
          <t>ED209192</t>
        </is>
      </c>
      <c r="B9011" s="56" t="n">
        <v>45834.78611111111</v>
      </c>
      <c r="C9011" t="inlineStr">
        <is>
          <t>Bluestone Memorial Hospital</t>
        </is>
      </c>
      <c r="D9011" t="n">
        <v>28</v>
      </c>
    </row>
    <row r="9012">
      <c r="A9012" t="inlineStr">
        <is>
          <t>ED209193</t>
        </is>
      </c>
      <c r="B9012" s="56" t="n">
        <v>45834.82916666667</v>
      </c>
      <c r="C9012" t="inlineStr">
        <is>
          <t>Bluestone Memorial Hospital</t>
        </is>
      </c>
      <c r="D9012" t="n">
        <v>32</v>
      </c>
    </row>
    <row r="9013">
      <c r="A9013" t="inlineStr">
        <is>
          <t>ED209194</t>
        </is>
      </c>
      <c r="B9013" s="56" t="n">
        <v>45834.84513888889</v>
      </c>
      <c r="C9013" t="inlineStr">
        <is>
          <t>Bluestone Memorial Hospital</t>
        </is>
      </c>
      <c r="D9013" t="n">
        <v>5</v>
      </c>
    </row>
    <row r="9014">
      <c r="A9014" t="inlineStr">
        <is>
          <t>ED209195</t>
        </is>
      </c>
      <c r="B9014" s="56" t="n">
        <v>45834.86805555555</v>
      </c>
      <c r="C9014" t="inlineStr">
        <is>
          <t>Bluestone Memorial Hospital</t>
        </is>
      </c>
      <c r="D9014" t="n">
        <v>16</v>
      </c>
    </row>
    <row r="9015">
      <c r="A9015" t="inlineStr">
        <is>
          <t>ED209196</t>
        </is>
      </c>
      <c r="B9015" s="56" t="n">
        <v>45834.86875</v>
      </c>
      <c r="C9015" t="inlineStr">
        <is>
          <t>Ashby Falls Community Hospital</t>
        </is>
      </c>
      <c r="D9015" t="n">
        <v>114</v>
      </c>
    </row>
    <row r="9016">
      <c r="A9016" t="inlineStr">
        <is>
          <t>ED209197</t>
        </is>
      </c>
      <c r="B9016" s="56" t="n">
        <v>45834.87638888889</v>
      </c>
      <c r="C9016" t="inlineStr">
        <is>
          <t>Bluestone Memorial Hospital</t>
        </is>
      </c>
      <c r="D9016" t="n">
        <v>5</v>
      </c>
    </row>
    <row r="9017">
      <c r="A9017" t="inlineStr">
        <is>
          <t>ED209198</t>
        </is>
      </c>
      <c r="B9017" s="56" t="n">
        <v>45834.92430555556</v>
      </c>
      <c r="C9017" t="inlineStr">
        <is>
          <t>Cedar Ridge Medical Center</t>
        </is>
      </c>
      <c r="D9017" t="n">
        <v>66</v>
      </c>
    </row>
    <row r="9018">
      <c r="A9018" t="inlineStr">
        <is>
          <t>ED209199</t>
        </is>
      </c>
      <c r="B9018" s="56" t="n">
        <v>45834.92569444444</v>
      </c>
      <c r="C9018" t="inlineStr">
        <is>
          <t>Bluestone Memorial Hospital</t>
        </is>
      </c>
      <c r="D9018" t="n">
        <v>29</v>
      </c>
    </row>
    <row r="9019">
      <c r="A9019" t="inlineStr">
        <is>
          <t>ED209200</t>
        </is>
      </c>
      <c r="B9019" s="56" t="n">
        <v>45834.95347222222</v>
      </c>
      <c r="C9019" t="inlineStr">
        <is>
          <t>Bluestone Memorial Hospital</t>
        </is>
      </c>
      <c r="D9019" t="n">
        <v>35</v>
      </c>
    </row>
    <row r="9020">
      <c r="A9020" t="inlineStr">
        <is>
          <t>ED209201</t>
        </is>
      </c>
      <c r="B9020" s="56" t="n">
        <v>45834.98958333334</v>
      </c>
      <c r="C9020" t="inlineStr">
        <is>
          <t>Bluestone Memorial Hospital</t>
        </is>
      </c>
      <c r="D9020" t="n">
        <v>20</v>
      </c>
    </row>
    <row r="9021">
      <c r="A9021" t="inlineStr">
        <is>
          <t>ED209202</t>
        </is>
      </c>
      <c r="B9021" s="56" t="n">
        <v>45835.03819444445</v>
      </c>
      <c r="C9021" t="inlineStr">
        <is>
          <t>Bluestone Memorial Hospital</t>
        </is>
      </c>
      <c r="D9021" t="n">
        <v>77</v>
      </c>
    </row>
    <row r="9022">
      <c r="A9022" t="inlineStr">
        <is>
          <t>ED209203</t>
        </is>
      </c>
      <c r="B9022" s="56" t="n">
        <v>45835.03958333333</v>
      </c>
      <c r="C9022" t="inlineStr">
        <is>
          <t>Bluestone Memorial Hospital</t>
        </is>
      </c>
      <c r="D9022" t="n">
        <v>18</v>
      </c>
    </row>
    <row r="9023">
      <c r="A9023" t="inlineStr">
        <is>
          <t>ED209204</t>
        </is>
      </c>
      <c r="B9023" s="56" t="n">
        <v>45835.04166666666</v>
      </c>
      <c r="C9023" t="inlineStr">
        <is>
          <t>Cedar Ridge Medical Center</t>
        </is>
      </c>
      <c r="D9023" t="n">
        <v>37</v>
      </c>
    </row>
    <row r="9024">
      <c r="A9024" t="inlineStr">
        <is>
          <t>ED209205</t>
        </is>
      </c>
      <c r="B9024" s="56" t="n">
        <v>45835.33541666667</v>
      </c>
      <c r="C9024" t="inlineStr">
        <is>
          <t>Bluestone Memorial Hospital</t>
        </is>
      </c>
      <c r="D9024" t="n">
        <v>15</v>
      </c>
    </row>
    <row r="9025">
      <c r="A9025" t="inlineStr">
        <is>
          <t>ED209206</t>
        </is>
      </c>
      <c r="B9025" s="56" t="n">
        <v>45835.44236111111</v>
      </c>
      <c r="C9025" t="inlineStr">
        <is>
          <t>Cedar Ridge Medical Center</t>
        </is>
      </c>
      <c r="D9025" t="n">
        <v>44</v>
      </c>
    </row>
    <row r="9026">
      <c r="A9026" t="inlineStr">
        <is>
          <t>ED209207</t>
        </is>
      </c>
      <c r="B9026" s="56" t="n">
        <v>45835.49583333333</v>
      </c>
      <c r="C9026" t="inlineStr">
        <is>
          <t>Bluestone Memorial Hospital</t>
        </is>
      </c>
      <c r="D9026" t="n">
        <v>108</v>
      </c>
    </row>
    <row r="9027">
      <c r="A9027" t="inlineStr">
        <is>
          <t>ED209208</t>
        </is>
      </c>
      <c r="B9027" s="56" t="n">
        <v>45835.66805555556</v>
      </c>
      <c r="C9027" t="inlineStr">
        <is>
          <t>Cedar Ridge Medical Center</t>
        </is>
      </c>
      <c r="D9027" t="n">
        <v>4</v>
      </c>
    </row>
    <row r="9028">
      <c r="A9028" t="inlineStr">
        <is>
          <t>ED209209</t>
        </is>
      </c>
      <c r="B9028" s="56" t="n">
        <v>45835.67986111111</v>
      </c>
      <c r="C9028" t="inlineStr">
        <is>
          <t>Bluestone Memorial Hospital</t>
        </is>
      </c>
      <c r="D9028" t="n">
        <v>21</v>
      </c>
    </row>
    <row r="9029">
      <c r="A9029" t="inlineStr">
        <is>
          <t>ED209210</t>
        </is>
      </c>
      <c r="B9029" s="56" t="n">
        <v>45835.68055555555</v>
      </c>
      <c r="C9029" t="inlineStr">
        <is>
          <t>Bluestone Memorial Hospital</t>
        </is>
      </c>
      <c r="D9029" t="n">
        <v>99</v>
      </c>
    </row>
    <row r="9030">
      <c r="A9030" t="inlineStr">
        <is>
          <t>ED209211</t>
        </is>
      </c>
      <c r="B9030" s="56" t="n">
        <v>45835.72152777778</v>
      </c>
      <c r="C9030" t="inlineStr">
        <is>
          <t>Bluestone Memorial Hospital</t>
        </is>
      </c>
      <c r="D9030" t="n">
        <v>49</v>
      </c>
    </row>
    <row r="9031">
      <c r="A9031" t="inlineStr">
        <is>
          <t>ED209212</t>
        </is>
      </c>
      <c r="B9031" s="56" t="n">
        <v>45835.72291666667</v>
      </c>
      <c r="C9031" t="inlineStr">
        <is>
          <t>Bluestone Memorial Hospital</t>
        </is>
      </c>
      <c r="D9031" t="n">
        <v>66</v>
      </c>
    </row>
    <row r="9032">
      <c r="A9032" t="inlineStr">
        <is>
          <t>ED209213</t>
        </is>
      </c>
      <c r="B9032" s="56" t="n">
        <v>45835.76319444444</v>
      </c>
      <c r="C9032" t="inlineStr">
        <is>
          <t>Bluestone Memorial Hospital</t>
        </is>
      </c>
      <c r="D9032" t="n">
        <v>67</v>
      </c>
    </row>
    <row r="9033">
      <c r="A9033" t="inlineStr">
        <is>
          <t>ED209214</t>
        </is>
      </c>
      <c r="B9033" s="56" t="n">
        <v>45835.77013888889</v>
      </c>
      <c r="C9033" t="inlineStr">
        <is>
          <t>Ashby Falls Community Hospital</t>
        </is>
      </c>
      <c r="D9033" t="n">
        <v>86</v>
      </c>
    </row>
    <row r="9034">
      <c r="A9034" t="inlineStr">
        <is>
          <t>ED209215</t>
        </is>
      </c>
      <c r="B9034" s="56" t="n">
        <v>45835.77569444444</v>
      </c>
      <c r="C9034" t="inlineStr">
        <is>
          <t>Bluestone Memorial Hospital</t>
        </is>
      </c>
      <c r="D9034" t="n">
        <v>7</v>
      </c>
    </row>
    <row r="9035">
      <c r="A9035" t="inlineStr">
        <is>
          <t>ED209216</t>
        </is>
      </c>
      <c r="B9035" s="56" t="n">
        <v>45835.79722222222</v>
      </c>
      <c r="C9035" t="inlineStr">
        <is>
          <t>Bluestone Memorial Hospital</t>
        </is>
      </c>
      <c r="D9035" t="n">
        <v>12</v>
      </c>
    </row>
    <row r="9036">
      <c r="A9036" t="inlineStr">
        <is>
          <t>ED209217</t>
        </is>
      </c>
      <c r="B9036" s="56" t="n">
        <v>45835.84583333333</v>
      </c>
      <c r="C9036" t="inlineStr">
        <is>
          <t>Bluestone Memorial Hospital</t>
        </is>
      </c>
      <c r="D9036" t="n">
        <v>70</v>
      </c>
    </row>
    <row r="9037">
      <c r="A9037" t="inlineStr">
        <is>
          <t>ED209218</t>
        </is>
      </c>
      <c r="B9037" s="56" t="n">
        <v>45835.86041666667</v>
      </c>
      <c r="C9037" t="inlineStr">
        <is>
          <t>Bluestone Memorial Hospital</t>
        </is>
      </c>
      <c r="D9037" t="n">
        <v>44</v>
      </c>
    </row>
    <row r="9038">
      <c r="A9038" t="inlineStr">
        <is>
          <t>ED209219</t>
        </is>
      </c>
      <c r="B9038" s="56" t="n">
        <v>45835.94027777778</v>
      </c>
      <c r="C9038" t="inlineStr">
        <is>
          <t>Bluestone Memorial Hospital</t>
        </is>
      </c>
      <c r="D9038" t="n">
        <v>44</v>
      </c>
    </row>
    <row r="9039">
      <c r="A9039" t="inlineStr">
        <is>
          <t>ED209220</t>
        </is>
      </c>
      <c r="B9039" s="56" t="n">
        <v>45835.94097222222</v>
      </c>
      <c r="C9039" t="inlineStr">
        <is>
          <t>Bluestone Memorial Hospital</t>
        </is>
      </c>
      <c r="D9039" t="n">
        <v>19</v>
      </c>
    </row>
    <row r="9040">
      <c r="A9040" t="inlineStr">
        <is>
          <t>ED209221</t>
        </is>
      </c>
      <c r="B9040" s="56" t="n">
        <v>45836.00763888889</v>
      </c>
      <c r="C9040" t="inlineStr">
        <is>
          <t>Bluestone Memorial Hospital</t>
        </is>
      </c>
      <c r="D9040" t="n">
        <v>50</v>
      </c>
    </row>
    <row r="9041">
      <c r="A9041" t="inlineStr">
        <is>
          <t>ED209222</t>
        </is>
      </c>
      <c r="B9041" s="56" t="n">
        <v>45836.05833333333</v>
      </c>
      <c r="C9041" t="inlineStr">
        <is>
          <t>Bluestone Memorial Hospital</t>
        </is>
      </c>
      <c r="D9041" t="n">
        <v>24</v>
      </c>
    </row>
    <row r="9042">
      <c r="A9042" t="inlineStr">
        <is>
          <t>ED209223</t>
        </is>
      </c>
      <c r="B9042" s="56" t="n">
        <v>45836.14305555556</v>
      </c>
      <c r="C9042" t="inlineStr">
        <is>
          <t>Ashby Falls Community Hospital</t>
        </is>
      </c>
      <c r="D9042" t="n">
        <v>12</v>
      </c>
    </row>
    <row r="9043">
      <c r="A9043" t="inlineStr">
        <is>
          <t>ED209224</t>
        </is>
      </c>
      <c r="B9043" s="56" t="n">
        <v>45836.19861111111</v>
      </c>
      <c r="C9043" t="inlineStr">
        <is>
          <t>Bluestone Memorial Hospital</t>
        </is>
      </c>
      <c r="D9043" t="n">
        <v>25</v>
      </c>
    </row>
    <row r="9044">
      <c r="A9044" t="inlineStr">
        <is>
          <t>ED209225</t>
        </is>
      </c>
      <c r="B9044" s="56" t="n">
        <v>45836.20208333333</v>
      </c>
      <c r="C9044" t="inlineStr">
        <is>
          <t>Bluestone Memorial Hospital</t>
        </is>
      </c>
      <c r="D9044" t="n">
        <v>23</v>
      </c>
    </row>
    <row r="9045">
      <c r="A9045" t="inlineStr">
        <is>
          <t>ED209226</t>
        </is>
      </c>
      <c r="B9045" s="56" t="n">
        <v>45836.20347222222</v>
      </c>
      <c r="C9045" t="inlineStr">
        <is>
          <t>Bluestone Memorial Hospital</t>
        </is>
      </c>
      <c r="D9045" t="n">
        <v>29</v>
      </c>
    </row>
    <row r="9046">
      <c r="A9046" t="inlineStr">
        <is>
          <t>ED209227</t>
        </is>
      </c>
      <c r="B9046" s="56" t="n">
        <v>45836.31805555556</v>
      </c>
      <c r="C9046" t="inlineStr">
        <is>
          <t>Cedar Ridge Medical Center</t>
        </is>
      </c>
      <c r="D9046" t="n">
        <v>18</v>
      </c>
    </row>
    <row r="9047">
      <c r="A9047" t="inlineStr">
        <is>
          <t>ED209228</t>
        </is>
      </c>
      <c r="B9047" s="56" t="n">
        <v>45836.35138888889</v>
      </c>
      <c r="C9047" t="inlineStr">
        <is>
          <t>Bluestone Memorial Hospital</t>
        </is>
      </c>
      <c r="D9047" t="n">
        <v>39</v>
      </c>
    </row>
    <row r="9048">
      <c r="A9048" t="inlineStr">
        <is>
          <t>ED209229</t>
        </is>
      </c>
      <c r="B9048" s="56" t="n">
        <v>45836.35833333333</v>
      </c>
      <c r="C9048" t="inlineStr">
        <is>
          <t>Bluestone Memorial Hospital</t>
        </is>
      </c>
      <c r="D9048" t="n">
        <v>15</v>
      </c>
    </row>
    <row r="9049">
      <c r="A9049" t="inlineStr">
        <is>
          <t>ED209230</t>
        </is>
      </c>
      <c r="B9049" s="56" t="n">
        <v>45836.41527777778</v>
      </c>
      <c r="C9049" t="inlineStr">
        <is>
          <t>Bluestone Memorial Hospital</t>
        </is>
      </c>
      <c r="D9049" t="n">
        <v>8</v>
      </c>
    </row>
    <row r="9050">
      <c r="A9050" t="inlineStr">
        <is>
          <t>ED209231</t>
        </is>
      </c>
      <c r="B9050" s="56" t="n">
        <v>45836.46388888889</v>
      </c>
      <c r="C9050" t="inlineStr">
        <is>
          <t>Ashby Falls Community Hospital</t>
        </is>
      </c>
      <c r="D9050" t="n">
        <v>70</v>
      </c>
    </row>
    <row r="9051">
      <c r="A9051" t="inlineStr">
        <is>
          <t>ED209232</t>
        </is>
      </c>
      <c r="B9051" s="56" t="n">
        <v>45836.46805555555</v>
      </c>
      <c r="C9051" t="inlineStr">
        <is>
          <t>Bluestone Memorial Hospital</t>
        </is>
      </c>
      <c r="D9051" t="n">
        <v>57</v>
      </c>
    </row>
    <row r="9052">
      <c r="A9052" t="inlineStr">
        <is>
          <t>ED209233</t>
        </is>
      </c>
      <c r="B9052" s="56" t="n">
        <v>45836.63680555556</v>
      </c>
      <c r="C9052" t="inlineStr">
        <is>
          <t>Ashby Falls Community Hospital</t>
        </is>
      </c>
      <c r="D9052" t="n">
        <v>39</v>
      </c>
    </row>
    <row r="9053">
      <c r="A9053" t="inlineStr">
        <is>
          <t>ED209234</t>
        </is>
      </c>
      <c r="B9053" s="56" t="n">
        <v>45836.69305555556</v>
      </c>
      <c r="C9053" t="inlineStr">
        <is>
          <t>Bluestone Memorial Hospital</t>
        </is>
      </c>
      <c r="D9053" t="n">
        <v>82</v>
      </c>
    </row>
    <row r="9054">
      <c r="A9054" t="inlineStr">
        <is>
          <t>ED209235</t>
        </is>
      </c>
      <c r="B9054" s="56" t="n">
        <v>45836.69722222222</v>
      </c>
      <c r="C9054" t="inlineStr">
        <is>
          <t>Cedar Ridge Medical Center</t>
        </is>
      </c>
      <c r="D9054" t="n">
        <v>85</v>
      </c>
    </row>
    <row r="9055">
      <c r="A9055" t="inlineStr">
        <is>
          <t>ED209236</t>
        </is>
      </c>
      <c r="B9055" s="56" t="n">
        <v>45836.70972222222</v>
      </c>
      <c r="C9055" t="inlineStr">
        <is>
          <t>Bluestone Memorial Hospital</t>
        </is>
      </c>
      <c r="D9055" t="n">
        <v>21</v>
      </c>
    </row>
    <row r="9056">
      <c r="A9056" t="inlineStr">
        <is>
          <t>ED209237</t>
        </is>
      </c>
      <c r="B9056" s="56" t="n">
        <v>45836.71388888889</v>
      </c>
      <c r="C9056" t="inlineStr">
        <is>
          <t>Bluestone Memorial Hospital</t>
        </is>
      </c>
      <c r="D9056" t="n">
        <v>40</v>
      </c>
    </row>
    <row r="9057">
      <c r="A9057" t="inlineStr">
        <is>
          <t>ED209238</t>
        </is>
      </c>
      <c r="B9057" s="56" t="n">
        <v>45836.73541666667</v>
      </c>
      <c r="C9057" t="inlineStr">
        <is>
          <t>Bluestone Memorial Hospital</t>
        </is>
      </c>
      <c r="D9057" t="n">
        <v>69</v>
      </c>
    </row>
    <row r="9058">
      <c r="A9058" t="inlineStr">
        <is>
          <t>ED209239</t>
        </is>
      </c>
      <c r="B9058" s="56" t="n">
        <v>45836.73888888889</v>
      </c>
      <c r="C9058" t="inlineStr">
        <is>
          <t>Ashby Falls Community Hospital</t>
        </is>
      </c>
      <c r="D9058" t="n">
        <v>116</v>
      </c>
    </row>
    <row r="9059">
      <c r="A9059" t="inlineStr">
        <is>
          <t>ED209240</t>
        </is>
      </c>
      <c r="B9059" s="56" t="n">
        <v>45836.77708333333</v>
      </c>
      <c r="C9059" t="inlineStr">
        <is>
          <t>Cedar Ridge Medical Center</t>
        </is>
      </c>
      <c r="D9059" t="n">
        <v>69</v>
      </c>
    </row>
    <row r="9060">
      <c r="A9060" t="inlineStr">
        <is>
          <t>ED209241</t>
        </is>
      </c>
      <c r="B9060" s="56" t="n">
        <v>45836.77986111111</v>
      </c>
      <c r="C9060" t="inlineStr">
        <is>
          <t>Cedar Ridge Medical Center</t>
        </is>
      </c>
      <c r="D9060" t="n">
        <v>46</v>
      </c>
    </row>
    <row r="9061">
      <c r="A9061" t="inlineStr">
        <is>
          <t>ED209242</t>
        </is>
      </c>
      <c r="B9061" s="56" t="n">
        <v>45836.82222222222</v>
      </c>
      <c r="C9061" t="inlineStr">
        <is>
          <t>Bluestone Memorial Hospital</t>
        </is>
      </c>
      <c r="D9061" t="n">
        <v>100</v>
      </c>
    </row>
    <row r="9062">
      <c r="A9062" t="inlineStr">
        <is>
          <t>ED209243</t>
        </is>
      </c>
      <c r="B9062" s="56" t="n">
        <v>45836.91180555556</v>
      </c>
      <c r="C9062" t="inlineStr">
        <is>
          <t>Bluestone Memorial Hospital</t>
        </is>
      </c>
      <c r="D9062" t="n">
        <v>87</v>
      </c>
    </row>
    <row r="9063">
      <c r="A9063" t="inlineStr">
        <is>
          <t>ED209244</t>
        </is>
      </c>
      <c r="B9063" s="56" t="n">
        <v>45836.95486111111</v>
      </c>
      <c r="C9063" t="inlineStr">
        <is>
          <t>Bluestone Memorial Hospital</t>
        </is>
      </c>
      <c r="D9063" t="n">
        <v>48</v>
      </c>
    </row>
    <row r="9064">
      <c r="A9064" t="inlineStr">
        <is>
          <t>ED209245</t>
        </is>
      </c>
      <c r="B9064" s="56" t="n">
        <v>45836.97847222222</v>
      </c>
      <c r="C9064" t="inlineStr">
        <is>
          <t>Cedar Ridge Medical Center</t>
        </is>
      </c>
      <c r="D9064" t="n">
        <v>41</v>
      </c>
    </row>
    <row r="9065">
      <c r="A9065" t="inlineStr">
        <is>
          <t>ED209246</t>
        </is>
      </c>
      <c r="B9065" s="56" t="n">
        <v>45837.26111111111</v>
      </c>
      <c r="C9065" t="inlineStr">
        <is>
          <t>Bluestone Memorial Hospital</t>
        </is>
      </c>
      <c r="D9065" t="n">
        <v>67</v>
      </c>
    </row>
    <row r="9066">
      <c r="A9066" t="inlineStr">
        <is>
          <t>ED209247</t>
        </is>
      </c>
      <c r="B9066" s="56" t="n">
        <v>45837.29583333333</v>
      </c>
      <c r="C9066" t="inlineStr">
        <is>
          <t>Ashby Falls Community Hospital</t>
        </is>
      </c>
      <c r="D9066" t="n">
        <v>44</v>
      </c>
    </row>
    <row r="9067">
      <c r="A9067" t="inlineStr">
        <is>
          <t>ED209248</t>
        </is>
      </c>
      <c r="B9067" s="56" t="n">
        <v>45837.33333333334</v>
      </c>
      <c r="C9067" t="inlineStr">
        <is>
          <t>Bluestone Memorial Hospital</t>
        </is>
      </c>
      <c r="D9067" t="n">
        <v>32</v>
      </c>
    </row>
    <row r="9068">
      <c r="A9068" t="inlineStr">
        <is>
          <t>ED209249</t>
        </is>
      </c>
      <c r="B9068" s="56" t="n">
        <v>45837.43541666667</v>
      </c>
      <c r="C9068" t="inlineStr">
        <is>
          <t>Ashby Falls Community Hospital</t>
        </is>
      </c>
      <c r="D9068" t="n">
        <v>30</v>
      </c>
    </row>
    <row r="9069">
      <c r="A9069" t="inlineStr">
        <is>
          <t>ED209250</t>
        </is>
      </c>
      <c r="B9069" s="56" t="n">
        <v>45837.45763888889</v>
      </c>
      <c r="C9069" t="inlineStr">
        <is>
          <t>Bluestone Memorial Hospital</t>
        </is>
      </c>
      <c r="D9069" t="n">
        <v>33</v>
      </c>
    </row>
    <row r="9070">
      <c r="A9070" t="inlineStr">
        <is>
          <t>ED209251</t>
        </is>
      </c>
      <c r="B9070" s="56" t="n">
        <v>45837.45763888889</v>
      </c>
      <c r="C9070" t="inlineStr">
        <is>
          <t>Bluestone Memorial Hospital</t>
        </is>
      </c>
      <c r="D9070" t="n">
        <v>37</v>
      </c>
    </row>
    <row r="9071">
      <c r="A9071" t="inlineStr">
        <is>
          <t>ED209252</t>
        </is>
      </c>
      <c r="B9071" s="56" t="n">
        <v>45837.47361111111</v>
      </c>
      <c r="C9071" t="inlineStr">
        <is>
          <t>Cedar Ridge Medical Center</t>
        </is>
      </c>
      <c r="D9071" t="n">
        <v>24</v>
      </c>
    </row>
    <row r="9072">
      <c r="A9072" t="inlineStr">
        <is>
          <t>ED209253</t>
        </is>
      </c>
      <c r="B9072" s="56" t="n">
        <v>45837.70694444444</v>
      </c>
      <c r="C9072" t="inlineStr">
        <is>
          <t>Cedar Ridge Medical Center</t>
        </is>
      </c>
      <c r="D9072" t="n">
        <v>28</v>
      </c>
    </row>
    <row r="9073">
      <c r="A9073" t="inlineStr">
        <is>
          <t>ED209254</t>
        </is>
      </c>
      <c r="B9073" s="56" t="n">
        <v>45837.80416666667</v>
      </c>
      <c r="C9073" t="inlineStr">
        <is>
          <t>Bluestone Memorial Hospital</t>
        </is>
      </c>
      <c r="D9073" t="n">
        <v>45</v>
      </c>
    </row>
    <row r="9074">
      <c r="A9074" t="inlineStr">
        <is>
          <t>ED209255</t>
        </is>
      </c>
      <c r="B9074" s="56" t="n">
        <v>45837.87222222222</v>
      </c>
      <c r="C9074" t="inlineStr">
        <is>
          <t>Bluestone Memorial Hospital</t>
        </is>
      </c>
      <c r="D9074" t="n">
        <v>44</v>
      </c>
    </row>
    <row r="9075">
      <c r="A9075" t="inlineStr">
        <is>
          <t>ED209256</t>
        </is>
      </c>
      <c r="B9075" s="56" t="n">
        <v>45838.17083333333</v>
      </c>
      <c r="C9075" t="inlineStr">
        <is>
          <t>Bluestone Memorial Hospital</t>
        </is>
      </c>
      <c r="D9075" t="n">
        <v>24</v>
      </c>
    </row>
    <row r="9076">
      <c r="A9076" t="inlineStr">
        <is>
          <t>ED209257</t>
        </is>
      </c>
      <c r="B9076" s="56" t="n">
        <v>45838.25694444445</v>
      </c>
      <c r="C9076" t="inlineStr">
        <is>
          <t>Bluestone Memorial Hospital</t>
        </is>
      </c>
      <c r="D9076" t="n">
        <v>8</v>
      </c>
    </row>
    <row r="9077">
      <c r="A9077" t="inlineStr">
        <is>
          <t>ED209258</t>
        </is>
      </c>
      <c r="B9077" s="56" t="n">
        <v>45838.27986111111</v>
      </c>
      <c r="C9077" t="inlineStr">
        <is>
          <t>Bluestone Memorial Hospital</t>
        </is>
      </c>
      <c r="D9077" t="n">
        <v>12</v>
      </c>
    </row>
    <row r="9078">
      <c r="A9078" t="inlineStr">
        <is>
          <t>ED209259</t>
        </is>
      </c>
      <c r="B9078" s="56" t="n">
        <v>45838.42152777778</v>
      </c>
      <c r="C9078" t="inlineStr">
        <is>
          <t>Ashby Falls Community Hospital</t>
        </is>
      </c>
      <c r="D9078" t="n">
        <v>44</v>
      </c>
    </row>
    <row r="9079">
      <c r="A9079" t="inlineStr">
        <is>
          <t>ED209260</t>
        </is>
      </c>
      <c r="B9079" s="56" t="n">
        <v>45838.43402777778</v>
      </c>
      <c r="C9079" t="inlineStr">
        <is>
          <t>Bluestone Memorial Hospital</t>
        </is>
      </c>
      <c r="D9079" t="n">
        <v>20</v>
      </c>
    </row>
    <row r="9080">
      <c r="A9080" t="inlineStr">
        <is>
          <t>ED209261</t>
        </is>
      </c>
      <c r="B9080" s="56" t="n">
        <v>45838.43402777778</v>
      </c>
      <c r="C9080" t="inlineStr">
        <is>
          <t>Bluestone Memorial Hospital</t>
        </is>
      </c>
      <c r="D9080" t="n">
        <v>28</v>
      </c>
    </row>
    <row r="9081">
      <c r="A9081" t="inlineStr">
        <is>
          <t>ED209262</t>
        </is>
      </c>
      <c r="B9081" s="56" t="n">
        <v>45838.44513888889</v>
      </c>
      <c r="C9081" t="inlineStr">
        <is>
          <t>Ashby Falls Community Hospital</t>
        </is>
      </c>
      <c r="D9081" t="n">
        <v>20</v>
      </c>
    </row>
    <row r="9082">
      <c r="A9082" t="inlineStr">
        <is>
          <t>ED209263</t>
        </is>
      </c>
      <c r="B9082" s="56" t="n">
        <v>45838.50763888889</v>
      </c>
      <c r="C9082" t="inlineStr">
        <is>
          <t>Bluestone Memorial Hospital</t>
        </is>
      </c>
      <c r="D9082" t="n">
        <v>83</v>
      </c>
    </row>
    <row r="9083">
      <c r="A9083" t="inlineStr">
        <is>
          <t>ED209264</t>
        </is>
      </c>
      <c r="B9083" s="56" t="n">
        <v>45838.59861111111</v>
      </c>
      <c r="C9083" t="inlineStr">
        <is>
          <t>Cedar Ridge Medical Center</t>
        </is>
      </c>
      <c r="D9083" t="n">
        <v>36</v>
      </c>
    </row>
    <row r="9084">
      <c r="A9084" t="inlineStr">
        <is>
          <t>ED209265</t>
        </is>
      </c>
      <c r="B9084" s="56" t="n">
        <v>45838.64375</v>
      </c>
      <c r="C9084" t="inlineStr">
        <is>
          <t>Bluestone Memorial Hospital</t>
        </is>
      </c>
      <c r="D9084" t="n">
        <v>14</v>
      </c>
    </row>
    <row r="9085">
      <c r="A9085" t="inlineStr">
        <is>
          <t>ED209266</t>
        </is>
      </c>
      <c r="B9085" s="56" t="n">
        <v>45838.70277777778</v>
      </c>
      <c r="C9085" t="inlineStr">
        <is>
          <t>Bluestone Memorial Hospital</t>
        </is>
      </c>
      <c r="D9085" t="n">
        <v>123</v>
      </c>
    </row>
    <row r="9086">
      <c r="A9086" t="inlineStr">
        <is>
          <t>ED209267</t>
        </is>
      </c>
      <c r="B9086" s="56" t="n">
        <v>45838.73402777778</v>
      </c>
      <c r="C9086" t="inlineStr">
        <is>
          <t>Bluestone Memorial Hospital</t>
        </is>
      </c>
      <c r="D9086" t="n">
        <v>131</v>
      </c>
    </row>
    <row r="9087">
      <c r="A9087" t="inlineStr">
        <is>
          <t>ED209268</t>
        </is>
      </c>
      <c r="B9087" s="56" t="n">
        <v>45838.74097222222</v>
      </c>
      <c r="C9087" t="inlineStr">
        <is>
          <t>Bluestone Memorial Hospital</t>
        </is>
      </c>
      <c r="D9087" t="n">
        <v>12</v>
      </c>
    </row>
    <row r="9088">
      <c r="A9088" t="inlineStr">
        <is>
          <t>ED209269</t>
        </is>
      </c>
      <c r="B9088" s="56" t="n">
        <v>45838.83958333333</v>
      </c>
      <c r="C9088" t="inlineStr">
        <is>
          <t>Ashby Falls Community Hospital</t>
        </is>
      </c>
      <c r="D9088" t="n">
        <v>65</v>
      </c>
    </row>
    <row r="9089">
      <c r="A9089" t="inlineStr">
        <is>
          <t>ED209270</t>
        </is>
      </c>
      <c r="B9089" s="56" t="n">
        <v>45838.87013888889</v>
      </c>
      <c r="C9089" t="inlineStr">
        <is>
          <t>Bluestone Memorial Hospital</t>
        </is>
      </c>
      <c r="D9089" t="n">
        <v>44</v>
      </c>
    </row>
    <row r="9090">
      <c r="A9090" t="inlineStr">
        <is>
          <t>ED209271</t>
        </is>
      </c>
      <c r="B9090" s="56" t="n">
        <v>45838.89305555556</v>
      </c>
      <c r="C9090" t="inlineStr">
        <is>
          <t>Bluestone Memorial Hospital</t>
        </is>
      </c>
      <c r="D9090" t="n">
        <v>41</v>
      </c>
    </row>
    <row r="9091">
      <c r="A9091" t="inlineStr">
        <is>
          <t>ED209272</t>
        </is>
      </c>
      <c r="B9091" s="56" t="n">
        <v>45838.91527777778</v>
      </c>
      <c r="C9091" t="inlineStr">
        <is>
          <t>Bluestone Memorial Hospital</t>
        </is>
      </c>
      <c r="D9091" t="n">
        <v>18</v>
      </c>
    </row>
    <row r="9092">
      <c r="A9092" t="inlineStr">
        <is>
          <t>ED209273</t>
        </is>
      </c>
      <c r="B9092" s="56" t="n">
        <v>45839.3875</v>
      </c>
      <c r="C9092" t="inlineStr">
        <is>
          <t>Cedar Ridge Medical Center</t>
        </is>
      </c>
      <c r="D9092" t="n">
        <v>17</v>
      </c>
    </row>
    <row r="9093">
      <c r="A9093" t="inlineStr">
        <is>
          <t>ED209274</t>
        </is>
      </c>
      <c r="B9093" s="56" t="n">
        <v>45839.40833333333</v>
      </c>
      <c r="C9093" t="inlineStr">
        <is>
          <t>Bluestone Memorial Hospital</t>
        </is>
      </c>
      <c r="D9093" t="n">
        <v>34</v>
      </c>
    </row>
    <row r="9094">
      <c r="A9094" t="inlineStr">
        <is>
          <t>ED209275</t>
        </is>
      </c>
      <c r="B9094" s="56" t="n">
        <v>45839.47222222222</v>
      </c>
      <c r="C9094" t="inlineStr">
        <is>
          <t>Bluestone Memorial Hospital</t>
        </is>
      </c>
      <c r="D9094" t="n">
        <v>90</v>
      </c>
    </row>
    <row r="9095">
      <c r="A9095" t="inlineStr">
        <is>
          <t>ED209276</t>
        </is>
      </c>
      <c r="B9095" s="56" t="n">
        <v>45839.48402777778</v>
      </c>
      <c r="C9095" t="inlineStr">
        <is>
          <t>Bluestone Memorial Hospital</t>
        </is>
      </c>
      <c r="D9095" t="n">
        <v>61</v>
      </c>
    </row>
    <row r="9096">
      <c r="A9096" t="inlineStr">
        <is>
          <t>ED209277</t>
        </is>
      </c>
      <c r="B9096" s="56" t="n">
        <v>45839.52430555555</v>
      </c>
      <c r="C9096" t="inlineStr">
        <is>
          <t>Bluestone Memorial Hospital</t>
        </is>
      </c>
      <c r="D9096" t="n">
        <v>51</v>
      </c>
    </row>
    <row r="9097">
      <c r="A9097" t="inlineStr">
        <is>
          <t>ED209278</t>
        </is>
      </c>
      <c r="B9097" s="56" t="n">
        <v>45839.53055555555</v>
      </c>
      <c r="C9097" t="inlineStr">
        <is>
          <t>Bluestone Memorial Hospital</t>
        </is>
      </c>
      <c r="D9097" t="n">
        <v>44</v>
      </c>
    </row>
    <row r="9098">
      <c r="A9098" t="inlineStr">
        <is>
          <t>ED209279</t>
        </is>
      </c>
      <c r="B9098" s="56" t="n">
        <v>45839.54375</v>
      </c>
      <c r="C9098" t="inlineStr">
        <is>
          <t>Cedar Ridge Medical Center</t>
        </is>
      </c>
      <c r="D9098" t="n">
        <v>19</v>
      </c>
    </row>
    <row r="9099">
      <c r="A9099" t="inlineStr">
        <is>
          <t>ED209280</t>
        </is>
      </c>
      <c r="B9099" s="56" t="n">
        <v>45839.55208333334</v>
      </c>
      <c r="C9099" t="inlineStr">
        <is>
          <t>Bluestone Memorial Hospital</t>
        </is>
      </c>
      <c r="D9099" t="n">
        <v>18</v>
      </c>
    </row>
    <row r="9100">
      <c r="A9100" t="inlineStr">
        <is>
          <t>ED209281</t>
        </is>
      </c>
      <c r="B9100" s="56" t="n">
        <v>45839.60625</v>
      </c>
      <c r="C9100" t="inlineStr">
        <is>
          <t>Bluestone Memorial Hospital</t>
        </is>
      </c>
      <c r="D9100" t="n">
        <v>62</v>
      </c>
    </row>
    <row r="9101">
      <c r="A9101" t="inlineStr">
        <is>
          <t>ED209282</t>
        </is>
      </c>
      <c r="B9101" s="56" t="n">
        <v>45839.69652777778</v>
      </c>
      <c r="C9101" t="inlineStr">
        <is>
          <t>Cedar Ridge Medical Center</t>
        </is>
      </c>
      <c r="D9101" t="n">
        <v>37</v>
      </c>
    </row>
    <row r="9102">
      <c r="A9102" t="inlineStr">
        <is>
          <t>ED209283</t>
        </is>
      </c>
      <c r="B9102" s="56" t="n">
        <v>45839.77708333333</v>
      </c>
      <c r="C9102" t="inlineStr">
        <is>
          <t>Bluestone Memorial Hospital</t>
        </is>
      </c>
      <c r="D9102" t="n">
        <v>44</v>
      </c>
    </row>
    <row r="9103">
      <c r="A9103" t="inlineStr">
        <is>
          <t>ED209284</t>
        </is>
      </c>
      <c r="B9103" s="56" t="n">
        <v>45839.80972222222</v>
      </c>
      <c r="C9103" t="inlineStr">
        <is>
          <t>Bluestone Memorial Hospital</t>
        </is>
      </c>
      <c r="D9103" t="n">
        <v>55</v>
      </c>
    </row>
    <row r="9104">
      <c r="A9104" t="inlineStr">
        <is>
          <t>ED209285</t>
        </is>
      </c>
      <c r="B9104" s="56" t="n">
        <v>45839.82916666667</v>
      </c>
      <c r="C9104" t="inlineStr">
        <is>
          <t>Bluestone Memorial Hospital</t>
        </is>
      </c>
      <c r="D9104" t="n">
        <v>46</v>
      </c>
    </row>
    <row r="9105">
      <c r="A9105" t="inlineStr">
        <is>
          <t>ED209286</t>
        </is>
      </c>
      <c r="B9105" s="56" t="n">
        <v>45839.85347222222</v>
      </c>
      <c r="C9105" t="inlineStr">
        <is>
          <t>Bluestone Memorial Hospital</t>
        </is>
      </c>
      <c r="D9105" t="n">
        <v>21</v>
      </c>
    </row>
    <row r="9106">
      <c r="A9106" t="inlineStr">
        <is>
          <t>ED209287</t>
        </is>
      </c>
      <c r="B9106" s="56" t="n">
        <v>45839.89444444444</v>
      </c>
      <c r="C9106" t="inlineStr">
        <is>
          <t>Cedar Ridge Medical Center</t>
        </is>
      </c>
      <c r="D9106" t="n">
        <v>59</v>
      </c>
    </row>
    <row r="9107">
      <c r="A9107" t="inlineStr">
        <is>
          <t>ED209288</t>
        </is>
      </c>
      <c r="B9107" s="56" t="n">
        <v>45839.92430555556</v>
      </c>
      <c r="C9107" t="inlineStr">
        <is>
          <t>Cedar Ridge Medical Center</t>
        </is>
      </c>
      <c r="D9107" t="n">
        <v>4</v>
      </c>
    </row>
    <row r="9108">
      <c r="A9108" t="inlineStr">
        <is>
          <t>ED209289</t>
        </is>
      </c>
      <c r="B9108" s="56" t="n">
        <v>45839.99375</v>
      </c>
      <c r="C9108" t="inlineStr">
        <is>
          <t>Cedar Ridge Medical Center</t>
        </is>
      </c>
      <c r="D9108" t="n">
        <v>12</v>
      </c>
    </row>
    <row r="9109">
      <c r="A9109" t="inlineStr">
        <is>
          <t>ED209290</t>
        </is>
      </c>
      <c r="B9109" s="56" t="n">
        <v>45840.1875</v>
      </c>
      <c r="C9109" t="inlineStr">
        <is>
          <t>Bluestone Memorial Hospital</t>
        </is>
      </c>
      <c r="D9109" t="n">
        <v>33</v>
      </c>
    </row>
    <row r="9110">
      <c r="A9110" t="inlineStr">
        <is>
          <t>ED209291</t>
        </is>
      </c>
      <c r="B9110" s="56" t="n">
        <v>45840.31041666667</v>
      </c>
      <c r="C9110" t="inlineStr">
        <is>
          <t>Bluestone Memorial Hospital</t>
        </is>
      </c>
      <c r="D9110" t="n">
        <v>11</v>
      </c>
    </row>
    <row r="9111">
      <c r="A9111" t="inlineStr">
        <is>
          <t>ED209292</t>
        </is>
      </c>
      <c r="B9111" s="56" t="n">
        <v>45840.38819444444</v>
      </c>
      <c r="C9111" t="inlineStr">
        <is>
          <t>Cedar Ridge Medical Center</t>
        </is>
      </c>
      <c r="D9111" t="n">
        <v>18</v>
      </c>
    </row>
    <row r="9112">
      <c r="A9112" t="inlineStr">
        <is>
          <t>ED209293</t>
        </is>
      </c>
      <c r="B9112" s="56" t="n">
        <v>45840.39236111111</v>
      </c>
      <c r="C9112" t="inlineStr">
        <is>
          <t>Cedar Ridge Medical Center</t>
        </is>
      </c>
      <c r="D9112" t="n">
        <v>25</v>
      </c>
    </row>
    <row r="9113">
      <c r="A9113" t="inlineStr">
        <is>
          <t>ED209294</t>
        </is>
      </c>
      <c r="B9113" s="56" t="n">
        <v>45840.425</v>
      </c>
      <c r="C9113" t="inlineStr">
        <is>
          <t>Bluestone Memorial Hospital</t>
        </is>
      </c>
      <c r="D9113" t="n">
        <v>108</v>
      </c>
    </row>
    <row r="9114">
      <c r="A9114" t="inlineStr">
        <is>
          <t>ED209295</t>
        </is>
      </c>
      <c r="B9114" s="56" t="n">
        <v>45840.43194444444</v>
      </c>
      <c r="C9114" t="inlineStr">
        <is>
          <t>Ashby Falls Community Hospital</t>
        </is>
      </c>
      <c r="D9114" t="n">
        <v>59</v>
      </c>
    </row>
    <row r="9115">
      <c r="A9115" t="inlineStr">
        <is>
          <t>ED209296</t>
        </is>
      </c>
      <c r="B9115" s="56" t="n">
        <v>45840.60625</v>
      </c>
      <c r="C9115" t="inlineStr">
        <is>
          <t>Cedar Ridge Medical Center</t>
        </is>
      </c>
      <c r="D9115" t="n">
        <v>4</v>
      </c>
    </row>
    <row r="9116">
      <c r="A9116" t="inlineStr">
        <is>
          <t>ED209297</t>
        </is>
      </c>
      <c r="B9116" s="56" t="n">
        <v>45840.73055555556</v>
      </c>
      <c r="C9116" t="inlineStr">
        <is>
          <t>Bluestone Memorial Hospital</t>
        </is>
      </c>
      <c r="D9116" t="n">
        <v>51</v>
      </c>
    </row>
    <row r="9117">
      <c r="A9117" t="inlineStr">
        <is>
          <t>ED209298</t>
        </is>
      </c>
      <c r="B9117" s="56" t="n">
        <v>45840.73611111111</v>
      </c>
      <c r="C9117" t="inlineStr">
        <is>
          <t>Bluestone Memorial Hospital</t>
        </is>
      </c>
      <c r="D9117" t="n">
        <v>150</v>
      </c>
    </row>
    <row r="9118">
      <c r="A9118" t="inlineStr">
        <is>
          <t>ED209299</t>
        </is>
      </c>
      <c r="B9118" s="56" t="n">
        <v>45840.82222222222</v>
      </c>
      <c r="C9118" t="inlineStr">
        <is>
          <t>Bluestone Memorial Hospital</t>
        </is>
      </c>
      <c r="D9118" t="n">
        <v>15</v>
      </c>
    </row>
    <row r="9119">
      <c r="A9119" t="inlineStr">
        <is>
          <t>ED209300</t>
        </is>
      </c>
      <c r="B9119" s="56" t="n">
        <v>45840.82291666666</v>
      </c>
      <c r="C9119" t="inlineStr">
        <is>
          <t>Bluestone Memorial Hospital</t>
        </is>
      </c>
      <c r="D9119" t="n">
        <v>30</v>
      </c>
    </row>
    <row r="9120">
      <c r="A9120" t="inlineStr">
        <is>
          <t>ED209301</t>
        </is>
      </c>
      <c r="B9120" s="56" t="n">
        <v>45840.92708333334</v>
      </c>
      <c r="C9120" t="inlineStr">
        <is>
          <t>Bluestone Memorial Hospital</t>
        </is>
      </c>
      <c r="D9120" t="n">
        <v>11</v>
      </c>
    </row>
    <row r="9121">
      <c r="A9121" t="inlineStr">
        <is>
          <t>ED209302</t>
        </is>
      </c>
      <c r="B9121" s="56" t="n">
        <v>45840.94305555556</v>
      </c>
      <c r="C9121" t="inlineStr">
        <is>
          <t>Bluestone Memorial Hospital</t>
        </is>
      </c>
      <c r="D9121" t="n">
        <v>29</v>
      </c>
    </row>
    <row r="9122">
      <c r="A9122" t="inlineStr">
        <is>
          <t>ED209303</t>
        </is>
      </c>
      <c r="B9122" s="56" t="n">
        <v>45840.96180555555</v>
      </c>
      <c r="C9122" t="inlineStr">
        <is>
          <t>Bluestone Memorial Hospital</t>
        </is>
      </c>
      <c r="D9122" t="n">
        <v>57</v>
      </c>
    </row>
    <row r="9123">
      <c r="A9123" t="inlineStr">
        <is>
          <t>ED209304</t>
        </is>
      </c>
      <c r="B9123" s="56" t="n">
        <v>45840.96458333333</v>
      </c>
      <c r="C9123" t="inlineStr">
        <is>
          <t>Cedar Ridge Medical Center</t>
        </is>
      </c>
      <c r="D9123" t="n">
        <v>19</v>
      </c>
    </row>
    <row r="9124">
      <c r="A9124" t="inlineStr">
        <is>
          <t>ED209305</t>
        </is>
      </c>
      <c r="B9124" s="56" t="n">
        <v>45841.33958333333</v>
      </c>
      <c r="C9124" t="inlineStr">
        <is>
          <t>Cedar Ridge Medical Center</t>
        </is>
      </c>
      <c r="D9124" t="n">
        <v>23</v>
      </c>
    </row>
    <row r="9125">
      <c r="A9125" t="inlineStr">
        <is>
          <t>ED209306</t>
        </is>
      </c>
      <c r="B9125" s="56" t="n">
        <v>45841.38611111111</v>
      </c>
      <c r="C9125" t="inlineStr">
        <is>
          <t>Ashby Falls Community Hospital</t>
        </is>
      </c>
      <c r="D9125" t="n">
        <v>78</v>
      </c>
    </row>
    <row r="9126">
      <c r="A9126" t="inlineStr">
        <is>
          <t>ED209307</t>
        </is>
      </c>
      <c r="B9126" s="56" t="n">
        <v>45841.39027777778</v>
      </c>
      <c r="C9126" t="inlineStr">
        <is>
          <t>Ashby Falls Community Hospital</t>
        </is>
      </c>
      <c r="D9126" t="n">
        <v>107</v>
      </c>
    </row>
    <row r="9127">
      <c r="A9127" t="inlineStr">
        <is>
          <t>ED209308</t>
        </is>
      </c>
      <c r="B9127" s="56" t="n">
        <v>45841.41736111111</v>
      </c>
      <c r="C9127" t="inlineStr">
        <is>
          <t>Bluestone Memorial Hospital</t>
        </is>
      </c>
      <c r="D9127" t="n">
        <v>38</v>
      </c>
    </row>
    <row r="9128">
      <c r="A9128" t="inlineStr">
        <is>
          <t>ED209309</t>
        </is>
      </c>
      <c r="B9128" s="56" t="n">
        <v>45841.43819444445</v>
      </c>
      <c r="C9128" t="inlineStr">
        <is>
          <t>Bluestone Memorial Hospital</t>
        </is>
      </c>
      <c r="D9128" t="n">
        <v>79</v>
      </c>
    </row>
    <row r="9129">
      <c r="A9129" t="inlineStr">
        <is>
          <t>ED209310</t>
        </is>
      </c>
      <c r="B9129" s="56" t="n">
        <v>45841.44861111111</v>
      </c>
      <c r="C9129" t="inlineStr">
        <is>
          <t>Bluestone Memorial Hospital</t>
        </is>
      </c>
      <c r="D9129" t="n">
        <v>49</v>
      </c>
    </row>
    <row r="9130">
      <c r="A9130" t="inlineStr">
        <is>
          <t>ED209311</t>
        </is>
      </c>
      <c r="B9130" s="56" t="n">
        <v>45841.53263888889</v>
      </c>
      <c r="C9130" t="inlineStr">
        <is>
          <t>Cedar Ridge Medical Center</t>
        </is>
      </c>
      <c r="D9130" t="n">
        <v>41</v>
      </c>
    </row>
    <row r="9131">
      <c r="A9131" t="inlineStr">
        <is>
          <t>ED209312</t>
        </is>
      </c>
      <c r="B9131" s="56" t="n">
        <v>45841.55555555555</v>
      </c>
      <c r="C9131" t="inlineStr">
        <is>
          <t>Bluestone Memorial Hospital</t>
        </is>
      </c>
      <c r="D9131" t="n">
        <v>25</v>
      </c>
    </row>
    <row r="9132">
      <c r="A9132" t="inlineStr">
        <is>
          <t>ED209313</t>
        </is>
      </c>
      <c r="B9132" s="56" t="n">
        <v>45841.60833333333</v>
      </c>
      <c r="C9132" t="inlineStr">
        <is>
          <t>Bluestone Memorial Hospital</t>
        </is>
      </c>
      <c r="D9132" t="n">
        <v>12</v>
      </c>
    </row>
    <row r="9133">
      <c r="A9133" t="inlineStr">
        <is>
          <t>ED209314</t>
        </is>
      </c>
      <c r="B9133" s="56" t="n">
        <v>45841.69722222222</v>
      </c>
      <c r="C9133" t="inlineStr">
        <is>
          <t>Bluestone Memorial Hospital</t>
        </is>
      </c>
      <c r="D9133" t="n">
        <v>65</v>
      </c>
    </row>
    <row r="9134">
      <c r="A9134" t="inlineStr">
        <is>
          <t>ED209315</t>
        </is>
      </c>
      <c r="B9134" s="56" t="n">
        <v>45841.70277777778</v>
      </c>
      <c r="C9134" t="inlineStr">
        <is>
          <t>Bluestone Memorial Hospital</t>
        </is>
      </c>
      <c r="D9134" t="n">
        <v>73</v>
      </c>
    </row>
    <row r="9135">
      <c r="A9135" t="inlineStr">
        <is>
          <t>ED209316</t>
        </is>
      </c>
      <c r="B9135" s="56" t="n">
        <v>45841.92361111111</v>
      </c>
      <c r="C9135" t="inlineStr">
        <is>
          <t>Bluestone Memorial Hospital</t>
        </is>
      </c>
      <c r="D9135" t="n">
        <v>28</v>
      </c>
    </row>
    <row r="9136">
      <c r="A9136" t="inlineStr">
        <is>
          <t>ED209317</t>
        </is>
      </c>
      <c r="B9136" s="56" t="n">
        <v>45841.95</v>
      </c>
      <c r="C9136" t="inlineStr">
        <is>
          <t>Bluestone Memorial Hospital</t>
        </is>
      </c>
      <c r="D9136" t="n">
        <v>20</v>
      </c>
    </row>
    <row r="9137">
      <c r="A9137" t="inlineStr">
        <is>
          <t>ED209318</t>
        </is>
      </c>
      <c r="B9137" s="56" t="n">
        <v>45842.01597222222</v>
      </c>
      <c r="C9137" t="inlineStr">
        <is>
          <t>Bluestone Memorial Hospital</t>
        </is>
      </c>
      <c r="D9137" t="n">
        <v>11</v>
      </c>
    </row>
    <row r="9138">
      <c r="A9138" t="inlineStr">
        <is>
          <t>ED209319</t>
        </is>
      </c>
      <c r="B9138" s="56" t="n">
        <v>45842.13333333333</v>
      </c>
      <c r="C9138" t="inlineStr">
        <is>
          <t>Ashby Falls Community Hospital</t>
        </is>
      </c>
      <c r="D9138" t="n">
        <v>31</v>
      </c>
    </row>
    <row r="9139">
      <c r="A9139" t="inlineStr">
        <is>
          <t>ED209320</t>
        </is>
      </c>
      <c r="B9139" s="56" t="n">
        <v>45842.31180555555</v>
      </c>
      <c r="C9139" t="inlineStr">
        <is>
          <t>Bluestone Memorial Hospital</t>
        </is>
      </c>
      <c r="D9139" t="n">
        <v>33</v>
      </c>
    </row>
    <row r="9140">
      <c r="A9140" t="inlineStr">
        <is>
          <t>ED209321</t>
        </is>
      </c>
      <c r="B9140" s="56" t="n">
        <v>45842.39305555556</v>
      </c>
      <c r="C9140" t="inlineStr">
        <is>
          <t>Bluestone Memorial Hospital</t>
        </is>
      </c>
      <c r="D9140" t="n">
        <v>36</v>
      </c>
    </row>
    <row r="9141">
      <c r="A9141" t="inlineStr">
        <is>
          <t>ED209322</t>
        </is>
      </c>
      <c r="B9141" s="56" t="n">
        <v>45842.45486111111</v>
      </c>
      <c r="C9141" t="inlineStr">
        <is>
          <t>Cedar Ridge Medical Center</t>
        </is>
      </c>
      <c r="D9141" t="n">
        <v>61</v>
      </c>
    </row>
    <row r="9142">
      <c r="A9142" t="inlineStr">
        <is>
          <t>ED209323</t>
        </is>
      </c>
      <c r="B9142" s="56" t="n">
        <v>45842.47638888889</v>
      </c>
      <c r="C9142" t="inlineStr">
        <is>
          <t>Bluestone Memorial Hospital</t>
        </is>
      </c>
      <c r="D9142" t="n">
        <v>22</v>
      </c>
    </row>
    <row r="9143">
      <c r="A9143" t="inlineStr">
        <is>
          <t>ED209324</t>
        </is>
      </c>
      <c r="B9143" s="56" t="n">
        <v>45842.51805555556</v>
      </c>
      <c r="C9143" t="inlineStr">
        <is>
          <t>Bluestone Memorial Hospital</t>
        </is>
      </c>
      <c r="D9143" t="n">
        <v>59</v>
      </c>
    </row>
    <row r="9144">
      <c r="A9144" t="inlineStr">
        <is>
          <t>ED209325</t>
        </is>
      </c>
      <c r="B9144" s="56" t="n">
        <v>45842.57569444444</v>
      </c>
      <c r="C9144" t="inlineStr">
        <is>
          <t>Bluestone Memorial Hospital</t>
        </is>
      </c>
      <c r="D9144" t="n">
        <v>145</v>
      </c>
    </row>
    <row r="9145">
      <c r="A9145" t="inlineStr">
        <is>
          <t>ED209326</t>
        </is>
      </c>
      <c r="B9145" s="56" t="n">
        <v>45842.60347222222</v>
      </c>
      <c r="C9145" t="inlineStr">
        <is>
          <t>Bluestone Memorial Hospital</t>
        </is>
      </c>
      <c r="D9145" t="n">
        <v>53</v>
      </c>
    </row>
    <row r="9146">
      <c r="A9146" t="inlineStr">
        <is>
          <t>ED209327</t>
        </is>
      </c>
      <c r="B9146" s="56" t="n">
        <v>45842.64791666667</v>
      </c>
      <c r="C9146" t="inlineStr">
        <is>
          <t>Ashby Falls Community Hospital</t>
        </is>
      </c>
      <c r="D9146" t="n">
        <v>34</v>
      </c>
    </row>
    <row r="9147">
      <c r="A9147" t="inlineStr">
        <is>
          <t>ED209328</t>
        </is>
      </c>
      <c r="B9147" s="56" t="n">
        <v>45842.80625</v>
      </c>
      <c r="C9147" t="inlineStr">
        <is>
          <t>Ashby Falls Community Hospital</t>
        </is>
      </c>
      <c r="D9147" t="n">
        <v>6</v>
      </c>
    </row>
    <row r="9148">
      <c r="A9148" t="inlineStr">
        <is>
          <t>ED209329</t>
        </is>
      </c>
      <c r="B9148" s="56" t="n">
        <v>45842.90069444444</v>
      </c>
      <c r="C9148" t="inlineStr">
        <is>
          <t>Cedar Ridge Medical Center</t>
        </is>
      </c>
      <c r="D9148" t="n">
        <v>16</v>
      </c>
    </row>
    <row r="9149">
      <c r="A9149" t="inlineStr">
        <is>
          <t>ED209330</t>
        </is>
      </c>
      <c r="B9149" s="56" t="n">
        <v>45842.95416666667</v>
      </c>
      <c r="C9149" t="inlineStr">
        <is>
          <t>Bluestone Memorial Hospital</t>
        </is>
      </c>
      <c r="D9149" t="n">
        <v>57</v>
      </c>
    </row>
    <row r="9150">
      <c r="A9150" t="inlineStr">
        <is>
          <t>ED209331</t>
        </is>
      </c>
      <c r="B9150" s="56" t="n">
        <v>45843.00902777778</v>
      </c>
      <c r="C9150" t="inlineStr">
        <is>
          <t>Bluestone Memorial Hospital</t>
        </is>
      </c>
      <c r="D9150" t="n">
        <v>67</v>
      </c>
    </row>
    <row r="9151">
      <c r="A9151" t="inlineStr">
        <is>
          <t>ED209332</t>
        </is>
      </c>
      <c r="B9151" s="56" t="n">
        <v>45843.01875</v>
      </c>
      <c r="C9151" t="inlineStr">
        <is>
          <t>Ashby Falls Community Hospital</t>
        </is>
      </c>
      <c r="D9151" t="n">
        <v>29</v>
      </c>
    </row>
    <row r="9152">
      <c r="A9152" t="inlineStr">
        <is>
          <t>ED209333</t>
        </is>
      </c>
      <c r="B9152" s="56" t="n">
        <v>45843.025</v>
      </c>
      <c r="C9152" t="inlineStr">
        <is>
          <t>Cedar Ridge Medical Center</t>
        </is>
      </c>
      <c r="D9152" t="n">
        <v>34</v>
      </c>
    </row>
    <row r="9153">
      <c r="A9153" t="inlineStr">
        <is>
          <t>ED209334</t>
        </is>
      </c>
      <c r="B9153" s="56" t="n">
        <v>45843.15277777778</v>
      </c>
      <c r="C9153" t="inlineStr">
        <is>
          <t>Bluestone Memorial Hospital</t>
        </is>
      </c>
      <c r="D9153" t="n">
        <v>65</v>
      </c>
    </row>
    <row r="9154">
      <c r="A9154" t="inlineStr">
        <is>
          <t>ED209335</t>
        </is>
      </c>
      <c r="B9154" s="56" t="n">
        <v>45843.40972222222</v>
      </c>
      <c r="C9154" t="inlineStr">
        <is>
          <t>Ashby Falls Community Hospital</t>
        </is>
      </c>
      <c r="D9154" t="n">
        <v>26</v>
      </c>
    </row>
    <row r="9155">
      <c r="A9155" t="inlineStr">
        <is>
          <t>ED209336</t>
        </is>
      </c>
      <c r="B9155" s="56" t="n">
        <v>45843.43888888889</v>
      </c>
      <c r="C9155" t="inlineStr">
        <is>
          <t>Bluestone Memorial Hospital</t>
        </is>
      </c>
      <c r="D9155" t="n">
        <v>32</v>
      </c>
    </row>
    <row r="9156">
      <c r="A9156" t="inlineStr">
        <is>
          <t>ED209337</t>
        </is>
      </c>
      <c r="B9156" s="56" t="n">
        <v>45843.58333333334</v>
      </c>
      <c r="C9156" t="inlineStr">
        <is>
          <t>Bluestone Memorial Hospital</t>
        </is>
      </c>
      <c r="D9156" t="n">
        <v>70</v>
      </c>
    </row>
    <row r="9157">
      <c r="A9157" t="inlineStr">
        <is>
          <t>ED209338</t>
        </is>
      </c>
      <c r="B9157" s="56" t="n">
        <v>45843.63819444444</v>
      </c>
      <c r="C9157" t="inlineStr">
        <is>
          <t>Ashby Falls Community Hospital</t>
        </is>
      </c>
      <c r="D9157" t="n">
        <v>51</v>
      </c>
    </row>
    <row r="9158">
      <c r="A9158" t="inlineStr">
        <is>
          <t>ED209339</t>
        </is>
      </c>
      <c r="B9158" s="56" t="n">
        <v>45843.70138888889</v>
      </c>
      <c r="C9158" t="inlineStr">
        <is>
          <t>Bluestone Memorial Hospital</t>
        </is>
      </c>
      <c r="D9158" t="n">
        <v>74</v>
      </c>
    </row>
    <row r="9159">
      <c r="A9159" t="inlineStr">
        <is>
          <t>ED209340</t>
        </is>
      </c>
      <c r="B9159" s="56" t="n">
        <v>45843.74791666667</v>
      </c>
      <c r="C9159" t="inlineStr">
        <is>
          <t>Bluestone Memorial Hospital</t>
        </is>
      </c>
      <c r="D9159" t="n">
        <v>24</v>
      </c>
    </row>
    <row r="9160">
      <c r="A9160" t="inlineStr">
        <is>
          <t>ED209341</t>
        </is>
      </c>
      <c r="B9160" s="56" t="n">
        <v>45843.74861111111</v>
      </c>
      <c r="C9160" t="inlineStr">
        <is>
          <t>Cedar Ridge Medical Center</t>
        </is>
      </c>
      <c r="D9160" t="n">
        <v>7</v>
      </c>
    </row>
    <row r="9161">
      <c r="A9161" t="inlineStr">
        <is>
          <t>ED209342</t>
        </is>
      </c>
      <c r="B9161" s="56" t="n">
        <v>45843.80069444444</v>
      </c>
      <c r="C9161" t="inlineStr">
        <is>
          <t>Bluestone Memorial Hospital</t>
        </is>
      </c>
      <c r="D9161" t="n">
        <v>10</v>
      </c>
    </row>
    <row r="9162">
      <c r="A9162" t="inlineStr">
        <is>
          <t>ED209343</t>
        </is>
      </c>
      <c r="B9162" s="56" t="n">
        <v>45843.89236111111</v>
      </c>
      <c r="C9162" t="inlineStr">
        <is>
          <t>Ashby Falls Community Hospital</t>
        </is>
      </c>
      <c r="D9162" t="n">
        <v>51</v>
      </c>
    </row>
    <row r="9163">
      <c r="A9163" t="inlineStr">
        <is>
          <t>ED209344</t>
        </is>
      </c>
      <c r="B9163" s="56" t="n">
        <v>45844.13333333333</v>
      </c>
      <c r="C9163" t="inlineStr">
        <is>
          <t>Cedar Ridge Medical Center</t>
        </is>
      </c>
      <c r="D9163" t="n">
        <v>10</v>
      </c>
    </row>
    <row r="9164">
      <c r="A9164" t="inlineStr">
        <is>
          <t>ED209345</t>
        </is>
      </c>
      <c r="B9164" s="56" t="n">
        <v>45844.38541666666</v>
      </c>
      <c r="C9164" t="inlineStr">
        <is>
          <t>Cedar Ridge Medical Center</t>
        </is>
      </c>
      <c r="D9164" t="n">
        <v>21</v>
      </c>
    </row>
    <row r="9165">
      <c r="A9165" t="inlineStr">
        <is>
          <t>ED209346</t>
        </is>
      </c>
      <c r="B9165" s="56" t="n">
        <v>45844.48888888889</v>
      </c>
      <c r="C9165" t="inlineStr">
        <is>
          <t>Cedar Ridge Medical Center</t>
        </is>
      </c>
      <c r="D9165" t="n">
        <v>45</v>
      </c>
    </row>
    <row r="9166">
      <c r="A9166" t="inlineStr">
        <is>
          <t>ED209347</t>
        </is>
      </c>
      <c r="B9166" s="56" t="n">
        <v>45844.48888888889</v>
      </c>
      <c r="C9166" t="inlineStr">
        <is>
          <t>Bluestone Memorial Hospital</t>
        </is>
      </c>
      <c r="D9166" t="n">
        <v>19</v>
      </c>
    </row>
    <row r="9167">
      <c r="A9167" t="inlineStr">
        <is>
          <t>ED209348</t>
        </is>
      </c>
      <c r="B9167" s="56" t="n">
        <v>45844.51597222222</v>
      </c>
      <c r="C9167" t="inlineStr">
        <is>
          <t>Bluestone Memorial Hospital</t>
        </is>
      </c>
      <c r="D9167" t="n">
        <v>58</v>
      </c>
    </row>
    <row r="9168">
      <c r="A9168" t="inlineStr">
        <is>
          <t>ED209349</t>
        </is>
      </c>
      <c r="B9168" s="56" t="n">
        <v>45844.62291666667</v>
      </c>
      <c r="C9168" t="inlineStr">
        <is>
          <t>Ashby Falls Community Hospital</t>
        </is>
      </c>
      <c r="D9168" t="n">
        <v>55</v>
      </c>
    </row>
    <row r="9169">
      <c r="A9169" t="inlineStr">
        <is>
          <t>ED209350</t>
        </is>
      </c>
      <c r="B9169" s="56" t="n">
        <v>45844.64930555555</v>
      </c>
      <c r="C9169" t="inlineStr">
        <is>
          <t>Bluestone Memorial Hospital</t>
        </is>
      </c>
      <c r="D9169" t="n">
        <v>89</v>
      </c>
    </row>
    <row r="9170">
      <c r="A9170" t="inlineStr">
        <is>
          <t>ED209351</t>
        </is>
      </c>
      <c r="B9170" s="56" t="n">
        <v>45844.64930555555</v>
      </c>
      <c r="C9170" t="inlineStr">
        <is>
          <t>Bluestone Memorial Hospital</t>
        </is>
      </c>
      <c r="D9170" t="n">
        <v>32</v>
      </c>
    </row>
    <row r="9171">
      <c r="A9171" t="inlineStr">
        <is>
          <t>ED209352</t>
        </is>
      </c>
      <c r="B9171" s="56" t="n">
        <v>45844.73263888889</v>
      </c>
      <c r="C9171" t="inlineStr">
        <is>
          <t>Bluestone Memorial Hospital</t>
        </is>
      </c>
      <c r="D9171" t="n">
        <v>15</v>
      </c>
    </row>
    <row r="9172">
      <c r="A9172" t="inlineStr">
        <is>
          <t>ED209353</t>
        </is>
      </c>
      <c r="B9172" s="56" t="n">
        <v>45844.79375</v>
      </c>
      <c r="C9172" t="inlineStr">
        <is>
          <t>Bluestone Memorial Hospital</t>
        </is>
      </c>
      <c r="D9172" t="n">
        <v>43</v>
      </c>
    </row>
    <row r="9173">
      <c r="A9173" t="inlineStr">
        <is>
          <t>ED209354</t>
        </is>
      </c>
      <c r="B9173" s="56" t="n">
        <v>45844.79652777778</v>
      </c>
      <c r="C9173" t="inlineStr">
        <is>
          <t>Bluestone Memorial Hospital</t>
        </is>
      </c>
      <c r="D9173" t="n">
        <v>50</v>
      </c>
    </row>
    <row r="9174">
      <c r="A9174" t="inlineStr">
        <is>
          <t>ED209355</t>
        </is>
      </c>
      <c r="B9174" s="56" t="n">
        <v>45844.82847222222</v>
      </c>
      <c r="C9174" t="inlineStr">
        <is>
          <t>Bluestone Memorial Hospital</t>
        </is>
      </c>
      <c r="D9174" t="n">
        <v>146</v>
      </c>
    </row>
    <row r="9175">
      <c r="A9175" t="inlineStr">
        <is>
          <t>ED209356</t>
        </is>
      </c>
      <c r="B9175" s="56" t="n">
        <v>45844.86319444444</v>
      </c>
      <c r="C9175" t="inlineStr">
        <is>
          <t>Bluestone Memorial Hospital</t>
        </is>
      </c>
      <c r="D9175" t="n">
        <v>10</v>
      </c>
    </row>
    <row r="9176">
      <c r="A9176" t="inlineStr">
        <is>
          <t>ED209357</t>
        </is>
      </c>
      <c r="B9176" s="56" t="n">
        <v>45844.87083333333</v>
      </c>
      <c r="C9176" t="inlineStr">
        <is>
          <t>Bluestone Memorial Hospital</t>
        </is>
      </c>
      <c r="D9176" t="n">
        <v>9</v>
      </c>
    </row>
    <row r="9177">
      <c r="A9177" t="inlineStr">
        <is>
          <t>ED209358</t>
        </is>
      </c>
      <c r="B9177" s="56" t="n">
        <v>45844.95833333334</v>
      </c>
      <c r="C9177" t="inlineStr">
        <is>
          <t>Bluestone Memorial Hospital</t>
        </is>
      </c>
      <c r="D9177" t="n">
        <v>27</v>
      </c>
    </row>
    <row r="9178">
      <c r="A9178" t="inlineStr">
        <is>
          <t>ED209359</t>
        </is>
      </c>
      <c r="B9178" s="56" t="n">
        <v>45845.09444444445</v>
      </c>
      <c r="C9178" t="inlineStr">
        <is>
          <t>Bluestone Memorial Hospital</t>
        </is>
      </c>
      <c r="D9178" t="n">
        <v>21</v>
      </c>
    </row>
    <row r="9179">
      <c r="A9179" t="inlineStr">
        <is>
          <t>ED209360</t>
        </is>
      </c>
      <c r="B9179" s="56" t="n">
        <v>45845.18958333333</v>
      </c>
      <c r="C9179" t="inlineStr">
        <is>
          <t>Bluestone Memorial Hospital</t>
        </is>
      </c>
      <c r="D9179" t="n">
        <v>7</v>
      </c>
    </row>
    <row r="9180">
      <c r="A9180" t="inlineStr">
        <is>
          <t>ED209361</t>
        </is>
      </c>
      <c r="B9180" s="56" t="n">
        <v>45845.32361111111</v>
      </c>
      <c r="C9180" t="inlineStr">
        <is>
          <t>Bluestone Memorial Hospital</t>
        </is>
      </c>
      <c r="D9180" t="n">
        <v>10</v>
      </c>
    </row>
    <row r="9181">
      <c r="A9181" t="inlineStr">
        <is>
          <t>ED209362</t>
        </is>
      </c>
      <c r="B9181" s="56" t="n">
        <v>45845.36458333334</v>
      </c>
      <c r="C9181" t="inlineStr">
        <is>
          <t>Bluestone Memorial Hospital</t>
        </is>
      </c>
      <c r="D9181" t="n">
        <v>58</v>
      </c>
    </row>
    <row r="9182">
      <c r="A9182" t="inlineStr">
        <is>
          <t>ED209363</t>
        </is>
      </c>
      <c r="B9182" s="56" t="n">
        <v>45845.37152777778</v>
      </c>
      <c r="C9182" t="inlineStr">
        <is>
          <t>Bluestone Memorial Hospital</t>
        </is>
      </c>
      <c r="D9182" t="n">
        <v>16</v>
      </c>
    </row>
    <row r="9183">
      <c r="A9183" t="inlineStr">
        <is>
          <t>ED209364</t>
        </is>
      </c>
      <c r="B9183" s="56" t="n">
        <v>45845.38263888889</v>
      </c>
      <c r="C9183" t="inlineStr">
        <is>
          <t>Bluestone Memorial Hospital</t>
        </is>
      </c>
      <c r="D9183" t="n">
        <v>147</v>
      </c>
    </row>
    <row r="9184">
      <c r="A9184" t="inlineStr">
        <is>
          <t>ED209365</t>
        </is>
      </c>
      <c r="B9184" s="56" t="n">
        <v>45845.43402777778</v>
      </c>
      <c r="C9184" t="inlineStr">
        <is>
          <t>Bluestone Memorial Hospital</t>
        </is>
      </c>
      <c r="D9184" t="n">
        <v>54</v>
      </c>
    </row>
    <row r="9185">
      <c r="A9185" t="inlineStr">
        <is>
          <t>ED209366</t>
        </is>
      </c>
      <c r="B9185" s="56" t="n">
        <v>45845.51388888889</v>
      </c>
      <c r="C9185" t="inlineStr">
        <is>
          <t>Bluestone Memorial Hospital</t>
        </is>
      </c>
      <c r="D9185" t="n">
        <v>4</v>
      </c>
    </row>
    <row r="9186">
      <c r="A9186" t="inlineStr">
        <is>
          <t>ED209367</t>
        </is>
      </c>
      <c r="B9186" s="56" t="n">
        <v>45845.52013888889</v>
      </c>
      <c r="C9186" t="inlineStr">
        <is>
          <t>Bluestone Memorial Hospital</t>
        </is>
      </c>
      <c r="D9186" t="n">
        <v>104</v>
      </c>
    </row>
    <row r="9187">
      <c r="A9187" t="inlineStr">
        <is>
          <t>ED209368</t>
        </is>
      </c>
      <c r="B9187" s="56" t="n">
        <v>45845.52777777778</v>
      </c>
      <c r="C9187" t="inlineStr">
        <is>
          <t>Bluestone Memorial Hospital</t>
        </is>
      </c>
      <c r="D9187" t="n">
        <v>70</v>
      </c>
    </row>
    <row r="9188">
      <c r="A9188" t="inlineStr">
        <is>
          <t>ED209369</t>
        </is>
      </c>
      <c r="B9188" s="56" t="n">
        <v>45845.54861111111</v>
      </c>
      <c r="C9188" t="inlineStr">
        <is>
          <t>Bluestone Memorial Hospital</t>
        </is>
      </c>
      <c r="D9188" t="n">
        <v>89</v>
      </c>
    </row>
    <row r="9189">
      <c r="A9189" t="inlineStr">
        <is>
          <t>ED209370</t>
        </is>
      </c>
      <c r="B9189" s="56" t="n">
        <v>45845.66527777778</v>
      </c>
      <c r="C9189" t="inlineStr">
        <is>
          <t>Bluestone Memorial Hospital</t>
        </is>
      </c>
      <c r="D9189" t="n">
        <v>60</v>
      </c>
    </row>
    <row r="9190">
      <c r="A9190" t="inlineStr">
        <is>
          <t>ED209371</t>
        </is>
      </c>
      <c r="B9190" s="56" t="n">
        <v>45845.68541666667</v>
      </c>
      <c r="C9190" t="inlineStr">
        <is>
          <t>Bluestone Memorial Hospital</t>
        </is>
      </c>
      <c r="D9190" t="n">
        <v>29</v>
      </c>
    </row>
    <row r="9191">
      <c r="A9191" t="inlineStr">
        <is>
          <t>ED209373</t>
        </is>
      </c>
      <c r="B9191" s="56" t="n">
        <v>45845.73819444444</v>
      </c>
      <c r="C9191" t="inlineStr">
        <is>
          <t>Bluestone Memorial Hospital</t>
        </is>
      </c>
      <c r="D9191" t="n">
        <v>120</v>
      </c>
    </row>
    <row r="9192">
      <c r="A9192" t="inlineStr">
        <is>
          <t>ED209374</t>
        </is>
      </c>
      <c r="B9192" s="56" t="n">
        <v>45845.79583333333</v>
      </c>
      <c r="C9192" t="inlineStr">
        <is>
          <t>Cedar Ridge Medical Center</t>
        </is>
      </c>
      <c r="D9192" t="n">
        <v>26</v>
      </c>
    </row>
    <row r="9193">
      <c r="A9193" t="inlineStr">
        <is>
          <t>ED209375</t>
        </is>
      </c>
      <c r="B9193" s="56" t="n">
        <v>45845.88472222222</v>
      </c>
      <c r="C9193" t="inlineStr">
        <is>
          <t>Ashby Falls Community Hospital</t>
        </is>
      </c>
      <c r="D9193" t="n">
        <v>16</v>
      </c>
    </row>
    <row r="9194">
      <c r="A9194" t="inlineStr">
        <is>
          <t>ED209376</t>
        </is>
      </c>
      <c r="B9194" s="56" t="n">
        <v>45845.89444444444</v>
      </c>
      <c r="C9194" t="inlineStr">
        <is>
          <t>Bluestone Memorial Hospital</t>
        </is>
      </c>
      <c r="D9194" t="n">
        <v>11</v>
      </c>
    </row>
    <row r="9195">
      <c r="A9195" t="inlineStr">
        <is>
          <t>ED209377</t>
        </is>
      </c>
      <c r="B9195" s="56" t="n">
        <v>45845.90972222222</v>
      </c>
      <c r="C9195" t="inlineStr">
        <is>
          <t>Bluestone Memorial Hospital</t>
        </is>
      </c>
      <c r="D9195" t="n">
        <v>43</v>
      </c>
    </row>
    <row r="9196">
      <c r="A9196" t="inlineStr">
        <is>
          <t>ED209378</t>
        </is>
      </c>
      <c r="B9196" s="56" t="n">
        <v>45845.92916666667</v>
      </c>
      <c r="C9196" t="inlineStr">
        <is>
          <t>Bluestone Memorial Hospital</t>
        </is>
      </c>
      <c r="D9196" t="n">
        <v>41</v>
      </c>
    </row>
    <row r="9197">
      <c r="A9197" t="inlineStr">
        <is>
          <t>ED209379</t>
        </is>
      </c>
      <c r="B9197" s="56" t="n">
        <v>45845.93125</v>
      </c>
      <c r="C9197" t="inlineStr">
        <is>
          <t>Bluestone Memorial Hospital</t>
        </is>
      </c>
      <c r="D9197" t="n">
        <v>55</v>
      </c>
    </row>
    <row r="9198">
      <c r="A9198" t="inlineStr">
        <is>
          <t>ED209380</t>
        </is>
      </c>
      <c r="B9198" s="56" t="n">
        <v>45846.00069444445</v>
      </c>
      <c r="C9198" t="inlineStr">
        <is>
          <t>Cedar Ridge Medical Center</t>
        </is>
      </c>
      <c r="D9198" t="n">
        <v>74</v>
      </c>
    </row>
    <row r="9199">
      <c r="A9199" t="inlineStr">
        <is>
          <t>ED209381</t>
        </is>
      </c>
      <c r="B9199" s="56" t="n">
        <v>45846.21805555555</v>
      </c>
      <c r="C9199" t="inlineStr">
        <is>
          <t>Bluestone Memorial Hospital</t>
        </is>
      </c>
      <c r="D9199" t="n">
        <v>12</v>
      </c>
    </row>
    <row r="9200">
      <c r="A9200" t="inlineStr">
        <is>
          <t>ED209382</t>
        </is>
      </c>
      <c r="B9200" s="56" t="n">
        <v>45846.36458333334</v>
      </c>
      <c r="C9200" t="inlineStr">
        <is>
          <t>Bluestone Memorial Hospital</t>
        </is>
      </c>
      <c r="D9200" t="n">
        <v>85</v>
      </c>
    </row>
    <row r="9201">
      <c r="A9201" t="inlineStr">
        <is>
          <t>ED209383</t>
        </is>
      </c>
      <c r="B9201" s="56" t="n">
        <v>45846.36736111111</v>
      </c>
      <c r="C9201" t="inlineStr">
        <is>
          <t>Bluestone Memorial Hospital</t>
        </is>
      </c>
      <c r="D9201" t="n">
        <v>24</v>
      </c>
    </row>
    <row r="9202">
      <c r="A9202" t="inlineStr">
        <is>
          <t>ED209384</t>
        </is>
      </c>
      <c r="B9202" s="56" t="n">
        <v>45846.37569444445</v>
      </c>
      <c r="C9202" t="inlineStr">
        <is>
          <t>Bluestone Memorial Hospital</t>
        </is>
      </c>
      <c r="D9202" t="n">
        <v>43</v>
      </c>
    </row>
    <row r="9203">
      <c r="A9203" t="inlineStr">
        <is>
          <t>ED209385</t>
        </is>
      </c>
      <c r="B9203" s="56" t="n">
        <v>45846.48263888889</v>
      </c>
      <c r="C9203" t="inlineStr">
        <is>
          <t>Ashby Falls Community Hospital</t>
        </is>
      </c>
      <c r="D9203" t="n">
        <v>57</v>
      </c>
    </row>
    <row r="9204">
      <c r="A9204" t="inlineStr">
        <is>
          <t>ED209386</t>
        </is>
      </c>
      <c r="B9204" s="56" t="n">
        <v>45846.51180555556</v>
      </c>
      <c r="C9204" t="inlineStr">
        <is>
          <t>Ashby Falls Community Hospital</t>
        </is>
      </c>
      <c r="D9204" t="n">
        <v>39</v>
      </c>
    </row>
    <row r="9205">
      <c r="A9205" t="inlineStr">
        <is>
          <t>ED209387</t>
        </is>
      </c>
      <c r="B9205" s="56" t="n">
        <v>45846.51527777778</v>
      </c>
      <c r="C9205" t="inlineStr">
        <is>
          <t>Bluestone Memorial Hospital</t>
        </is>
      </c>
      <c r="D9205" t="n">
        <v>27</v>
      </c>
    </row>
    <row r="9206">
      <c r="A9206" t="inlineStr">
        <is>
          <t>ED209388</t>
        </is>
      </c>
      <c r="B9206" s="56" t="n">
        <v>45846.51527777778</v>
      </c>
      <c r="C9206" t="inlineStr">
        <is>
          <t>Bluestone Memorial Hospital</t>
        </is>
      </c>
      <c r="D9206" t="n">
        <v>7</v>
      </c>
    </row>
    <row r="9207">
      <c r="A9207" t="inlineStr">
        <is>
          <t>ED209389</t>
        </is>
      </c>
      <c r="B9207" s="56" t="n">
        <v>45846.53055555555</v>
      </c>
      <c r="C9207" t="inlineStr">
        <is>
          <t>Bluestone Memorial Hospital</t>
        </is>
      </c>
      <c r="D9207" t="n">
        <v>38</v>
      </c>
    </row>
    <row r="9208">
      <c r="A9208" t="inlineStr">
        <is>
          <t>ED209390</t>
        </is>
      </c>
      <c r="B9208" s="56" t="n">
        <v>45846.54027777778</v>
      </c>
      <c r="C9208" t="inlineStr">
        <is>
          <t>Bluestone Memorial Hospital</t>
        </is>
      </c>
      <c r="D9208" t="n">
        <v>6</v>
      </c>
    </row>
    <row r="9209">
      <c r="A9209" t="inlineStr">
        <is>
          <t>ED209391</t>
        </is>
      </c>
      <c r="B9209" s="56" t="n">
        <v>45846.58888888889</v>
      </c>
      <c r="C9209" t="inlineStr">
        <is>
          <t>Bluestone Memorial Hospital</t>
        </is>
      </c>
      <c r="D9209" t="n">
        <v>100</v>
      </c>
    </row>
    <row r="9210">
      <c r="A9210" t="inlineStr">
        <is>
          <t>ED209392</t>
        </is>
      </c>
      <c r="B9210" s="56" t="n">
        <v>45846.62638888889</v>
      </c>
      <c r="C9210" t="inlineStr">
        <is>
          <t>Bluestone Memorial Hospital</t>
        </is>
      </c>
      <c r="D9210" t="n">
        <v>50</v>
      </c>
    </row>
    <row r="9211">
      <c r="A9211" t="inlineStr">
        <is>
          <t>ED209393</t>
        </is>
      </c>
      <c r="B9211" s="56" t="n">
        <v>45846.67013888889</v>
      </c>
      <c r="C9211" t="inlineStr">
        <is>
          <t>Bluestone Memorial Hospital</t>
        </is>
      </c>
      <c r="D9211" t="n">
        <v>64</v>
      </c>
    </row>
    <row r="9212">
      <c r="A9212" t="inlineStr">
        <is>
          <t>ED209394</t>
        </is>
      </c>
      <c r="B9212" s="56" t="n">
        <v>45846.77152777778</v>
      </c>
      <c r="C9212" t="inlineStr">
        <is>
          <t>Bluestone Memorial Hospital</t>
        </is>
      </c>
      <c r="D9212" t="n">
        <v>42</v>
      </c>
    </row>
    <row r="9213">
      <c r="A9213" t="inlineStr">
        <is>
          <t>ED209395</t>
        </is>
      </c>
      <c r="B9213" s="56" t="n">
        <v>45846.81875</v>
      </c>
      <c r="C9213" t="inlineStr">
        <is>
          <t>Bluestone Memorial Hospital</t>
        </is>
      </c>
      <c r="D9213" t="n">
        <v>21</v>
      </c>
    </row>
    <row r="9214">
      <c r="A9214" t="inlineStr">
        <is>
          <t>ED209396</t>
        </is>
      </c>
      <c r="B9214" s="56" t="n">
        <v>45846.85694444444</v>
      </c>
      <c r="C9214" t="inlineStr">
        <is>
          <t>Bluestone Memorial Hospital</t>
        </is>
      </c>
      <c r="D9214" t="n">
        <v>22</v>
      </c>
    </row>
    <row r="9215">
      <c r="A9215" t="inlineStr">
        <is>
          <t>ED209397</t>
        </is>
      </c>
      <c r="B9215" s="56" t="n">
        <v>45846.95833333334</v>
      </c>
      <c r="C9215" t="inlineStr">
        <is>
          <t>Bluestone Memorial Hospital</t>
        </is>
      </c>
      <c r="D9215" t="n">
        <v>31</v>
      </c>
    </row>
    <row r="9216">
      <c r="A9216" t="inlineStr">
        <is>
          <t>ED209398</t>
        </is>
      </c>
      <c r="B9216" s="56" t="n">
        <v>45846.97916666666</v>
      </c>
      <c r="C9216" t="inlineStr">
        <is>
          <t>Bluestone Memorial Hospital</t>
        </is>
      </c>
      <c r="D9216" t="n">
        <v>70</v>
      </c>
    </row>
    <row r="9217">
      <c r="A9217" t="inlineStr">
        <is>
          <t>ED209399</t>
        </is>
      </c>
      <c r="B9217" s="56" t="n">
        <v>45847.35069444445</v>
      </c>
      <c r="C9217" t="inlineStr">
        <is>
          <t>Ashby Falls Community Hospital</t>
        </is>
      </c>
      <c r="D9217" t="n">
        <v>30</v>
      </c>
    </row>
    <row r="9218">
      <c r="A9218" t="inlineStr">
        <is>
          <t>ED209400</t>
        </is>
      </c>
      <c r="B9218" s="56" t="n">
        <v>45847.41041666667</v>
      </c>
      <c r="C9218" t="inlineStr">
        <is>
          <t>Bluestone Memorial Hospital</t>
        </is>
      </c>
      <c r="D9218" t="n">
        <v>10</v>
      </c>
    </row>
    <row r="9219">
      <c r="A9219" t="inlineStr">
        <is>
          <t>ED209401</t>
        </is>
      </c>
      <c r="B9219" s="56" t="n">
        <v>45847.41736111111</v>
      </c>
      <c r="C9219" t="inlineStr">
        <is>
          <t>Bluestone Memorial Hospital</t>
        </is>
      </c>
      <c r="D9219" t="n">
        <v>31</v>
      </c>
    </row>
    <row r="9220">
      <c r="A9220" t="inlineStr">
        <is>
          <t>ED209402</t>
        </is>
      </c>
      <c r="B9220" s="56" t="n">
        <v>45847.44791666666</v>
      </c>
      <c r="C9220" t="inlineStr">
        <is>
          <t>Bluestone Memorial Hospital</t>
        </is>
      </c>
      <c r="D9220" t="n">
        <v>32</v>
      </c>
    </row>
    <row r="9221">
      <c r="A9221" t="inlineStr">
        <is>
          <t>ED209403</t>
        </is>
      </c>
      <c r="B9221" s="56" t="n">
        <v>45847.45486111111</v>
      </c>
      <c r="C9221" t="inlineStr">
        <is>
          <t>Bluestone Memorial Hospital</t>
        </is>
      </c>
      <c r="D9221" t="n">
        <v>3</v>
      </c>
    </row>
    <row r="9222">
      <c r="A9222" t="inlineStr">
        <is>
          <t>ED209404</t>
        </is>
      </c>
      <c r="B9222" s="56" t="n">
        <v>45847.46736111111</v>
      </c>
      <c r="C9222" t="inlineStr">
        <is>
          <t>Bluestone Memorial Hospital</t>
        </is>
      </c>
      <c r="D9222" t="n">
        <v>40</v>
      </c>
    </row>
    <row r="9223">
      <c r="A9223" t="inlineStr">
        <is>
          <t>ED209405</t>
        </is>
      </c>
      <c r="B9223" s="56" t="n">
        <v>45847.51180555556</v>
      </c>
      <c r="C9223" t="inlineStr">
        <is>
          <t>Bluestone Memorial Hospital</t>
        </is>
      </c>
      <c r="D9223" t="n">
        <v>22</v>
      </c>
    </row>
    <row r="9224">
      <c r="A9224" t="inlineStr">
        <is>
          <t>ED209406</t>
        </is>
      </c>
      <c r="B9224" s="56" t="n">
        <v>45847.51944444444</v>
      </c>
      <c r="C9224" t="inlineStr">
        <is>
          <t>Bluestone Memorial Hospital</t>
        </is>
      </c>
      <c r="D9224" t="n">
        <v>18</v>
      </c>
    </row>
    <row r="9225">
      <c r="A9225" t="inlineStr">
        <is>
          <t>ED209407</t>
        </is>
      </c>
      <c r="B9225" s="56" t="n">
        <v>45847.52708333333</v>
      </c>
      <c r="C9225" t="inlineStr">
        <is>
          <t>Bluestone Memorial Hospital</t>
        </is>
      </c>
      <c r="D9225" t="n">
        <v>30</v>
      </c>
    </row>
    <row r="9226">
      <c r="A9226" t="inlineStr">
        <is>
          <t>ED209408</t>
        </is>
      </c>
      <c r="B9226" s="56" t="n">
        <v>45847.58541666667</v>
      </c>
      <c r="C9226" t="inlineStr">
        <is>
          <t>Bluestone Memorial Hospital</t>
        </is>
      </c>
      <c r="D9226" t="n">
        <v>31</v>
      </c>
    </row>
    <row r="9227">
      <c r="A9227" t="inlineStr">
        <is>
          <t>ED209409</t>
        </is>
      </c>
      <c r="B9227" s="56" t="n">
        <v>45847.64236111111</v>
      </c>
      <c r="C9227" t="inlineStr">
        <is>
          <t>Bluestone Memorial Hospital</t>
        </is>
      </c>
      <c r="D9227" t="n">
        <v>15</v>
      </c>
    </row>
    <row r="9228">
      <c r="A9228" t="inlineStr">
        <is>
          <t>ED209410</t>
        </is>
      </c>
      <c r="B9228" s="56" t="n">
        <v>45847.68194444444</v>
      </c>
      <c r="C9228" t="inlineStr">
        <is>
          <t>Cedar Ridge Medical Center</t>
        </is>
      </c>
      <c r="D9228" t="n">
        <v>39</v>
      </c>
    </row>
    <row r="9229">
      <c r="A9229" t="inlineStr">
        <is>
          <t>ED209411</t>
        </is>
      </c>
      <c r="B9229" s="56" t="n">
        <v>45847.68333333333</v>
      </c>
      <c r="C9229" t="inlineStr">
        <is>
          <t>Bluestone Memorial Hospital</t>
        </is>
      </c>
      <c r="D9229" t="n">
        <v>99</v>
      </c>
    </row>
    <row r="9230">
      <c r="A9230" t="inlineStr">
        <is>
          <t>ED209412</t>
        </is>
      </c>
      <c r="B9230" s="56" t="n">
        <v>45847.73055555556</v>
      </c>
      <c r="C9230" t="inlineStr">
        <is>
          <t>Bluestone Memorial Hospital</t>
        </is>
      </c>
      <c r="D9230" t="n">
        <v>44</v>
      </c>
    </row>
    <row r="9231">
      <c r="A9231" t="inlineStr">
        <is>
          <t>ED209413</t>
        </is>
      </c>
      <c r="B9231" s="56" t="n">
        <v>45847.76527777778</v>
      </c>
      <c r="C9231" t="inlineStr">
        <is>
          <t>Bluestone Memorial Hospital</t>
        </is>
      </c>
      <c r="D9231" t="n">
        <v>22</v>
      </c>
    </row>
    <row r="9232">
      <c r="A9232" t="inlineStr">
        <is>
          <t>ED209414</t>
        </is>
      </c>
      <c r="B9232" s="56" t="n">
        <v>45847.76736111111</v>
      </c>
      <c r="C9232" t="inlineStr">
        <is>
          <t>Bluestone Memorial Hospital</t>
        </is>
      </c>
      <c r="D9232" t="n">
        <v>109</v>
      </c>
    </row>
    <row r="9233">
      <c r="A9233" t="inlineStr">
        <is>
          <t>ED209415</t>
        </is>
      </c>
      <c r="B9233" s="56" t="n">
        <v>45847.78958333333</v>
      </c>
      <c r="C9233" t="inlineStr">
        <is>
          <t>Bluestone Memorial Hospital</t>
        </is>
      </c>
      <c r="D9233" t="n">
        <v>91</v>
      </c>
    </row>
    <row r="9234">
      <c r="A9234" t="inlineStr">
        <is>
          <t>ED209416</t>
        </is>
      </c>
      <c r="B9234" s="56" t="n">
        <v>45847.8</v>
      </c>
      <c r="C9234" t="inlineStr">
        <is>
          <t>Ashby Falls Community Hospital</t>
        </is>
      </c>
      <c r="D9234" t="n">
        <v>77</v>
      </c>
    </row>
    <row r="9235">
      <c r="A9235" t="inlineStr">
        <is>
          <t>ED209417</t>
        </is>
      </c>
      <c r="B9235" s="56" t="n">
        <v>45847.82638888889</v>
      </c>
      <c r="C9235" t="inlineStr">
        <is>
          <t>Bluestone Memorial Hospital</t>
        </is>
      </c>
      <c r="D9235" t="n">
        <v>15</v>
      </c>
    </row>
    <row r="9236">
      <c r="A9236" t="inlineStr">
        <is>
          <t>ED209418</t>
        </is>
      </c>
      <c r="B9236" s="56" t="n">
        <v>45847.84652777778</v>
      </c>
      <c r="C9236" t="inlineStr">
        <is>
          <t>Bluestone Memorial Hospital</t>
        </is>
      </c>
      <c r="D9236" t="n">
        <v>34</v>
      </c>
    </row>
    <row r="9237">
      <c r="A9237" t="inlineStr">
        <is>
          <t>ED209419</t>
        </is>
      </c>
      <c r="B9237" s="56" t="n">
        <v>45847.87430555555</v>
      </c>
      <c r="C9237" t="inlineStr">
        <is>
          <t>Cedar Ridge Medical Center</t>
        </is>
      </c>
      <c r="D9237" t="n">
        <v>24</v>
      </c>
    </row>
    <row r="9238">
      <c r="A9238" t="inlineStr">
        <is>
          <t>ED209420</t>
        </is>
      </c>
      <c r="B9238" s="56" t="n">
        <v>45848.07916666667</v>
      </c>
      <c r="C9238" t="inlineStr">
        <is>
          <t>Cedar Ridge Medical Center</t>
        </is>
      </c>
      <c r="D9238" t="n">
        <v>3</v>
      </c>
    </row>
    <row r="9239">
      <c r="A9239" t="inlineStr">
        <is>
          <t>ED209421</t>
        </is>
      </c>
      <c r="B9239" s="56" t="n">
        <v>45848.29305555556</v>
      </c>
      <c r="C9239" t="inlineStr">
        <is>
          <t>Bluestone Memorial Hospital</t>
        </is>
      </c>
      <c r="D9239" t="n">
        <v>33</v>
      </c>
    </row>
    <row r="9240">
      <c r="A9240" t="inlineStr">
        <is>
          <t>ED209422</t>
        </is>
      </c>
      <c r="B9240" s="56" t="n">
        <v>45848.29375</v>
      </c>
      <c r="C9240" t="inlineStr">
        <is>
          <t>Bluestone Memorial Hospital</t>
        </is>
      </c>
      <c r="D9240" t="n">
        <v>18</v>
      </c>
    </row>
    <row r="9241">
      <c r="A9241" t="inlineStr">
        <is>
          <t>ED209423</t>
        </is>
      </c>
      <c r="B9241" s="56" t="n">
        <v>45848.36736111111</v>
      </c>
      <c r="C9241" t="inlineStr">
        <is>
          <t>Bluestone Memorial Hospital</t>
        </is>
      </c>
      <c r="D9241" t="n">
        <v>44</v>
      </c>
    </row>
    <row r="9242">
      <c r="A9242" t="inlineStr">
        <is>
          <t>ED209424</t>
        </is>
      </c>
      <c r="B9242" s="56" t="n">
        <v>45848.40555555555</v>
      </c>
      <c r="C9242" t="inlineStr">
        <is>
          <t>Bluestone Memorial Hospital</t>
        </is>
      </c>
      <c r="D9242" t="n">
        <v>23</v>
      </c>
    </row>
    <row r="9243">
      <c r="A9243" t="inlineStr">
        <is>
          <t>ED209425</t>
        </is>
      </c>
      <c r="B9243" s="56" t="n">
        <v>45848.42291666667</v>
      </c>
      <c r="C9243" t="inlineStr">
        <is>
          <t>Bluestone Memorial Hospital</t>
        </is>
      </c>
      <c r="D9243" t="n">
        <v>13</v>
      </c>
    </row>
    <row r="9244">
      <c r="A9244" t="inlineStr">
        <is>
          <t>ED209426</t>
        </is>
      </c>
      <c r="B9244" s="56" t="n">
        <v>45848.53958333333</v>
      </c>
      <c r="C9244" t="inlineStr">
        <is>
          <t>Bluestone Memorial Hospital</t>
        </is>
      </c>
      <c r="D9244" t="n">
        <v>192</v>
      </c>
    </row>
    <row r="9245">
      <c r="A9245" t="inlineStr">
        <is>
          <t>ED209427</t>
        </is>
      </c>
      <c r="B9245" s="56" t="n">
        <v>45848.54097222222</v>
      </c>
      <c r="C9245" t="inlineStr">
        <is>
          <t>Bluestone Memorial Hospital</t>
        </is>
      </c>
      <c r="D9245" t="n">
        <v>24</v>
      </c>
    </row>
    <row r="9246">
      <c r="A9246" t="inlineStr">
        <is>
          <t>ED209428</t>
        </is>
      </c>
      <c r="B9246" s="56" t="n">
        <v>45848.54652777778</v>
      </c>
      <c r="C9246" t="inlineStr">
        <is>
          <t>Bluestone Memorial Hospital</t>
        </is>
      </c>
      <c r="D9246" t="n">
        <v>145</v>
      </c>
    </row>
    <row r="9247">
      <c r="A9247" t="inlineStr">
        <is>
          <t>ED209429</t>
        </is>
      </c>
      <c r="B9247" s="56" t="n">
        <v>45848.57222222222</v>
      </c>
      <c r="C9247" t="inlineStr">
        <is>
          <t>Cedar Ridge Medical Center</t>
        </is>
      </c>
      <c r="D9247" t="n">
        <v>32</v>
      </c>
    </row>
    <row r="9248">
      <c r="A9248" t="inlineStr">
        <is>
          <t>ED209430</t>
        </is>
      </c>
      <c r="B9248" s="56" t="n">
        <v>45848.58125</v>
      </c>
      <c r="C9248" t="inlineStr">
        <is>
          <t>Bluestone Memorial Hospital</t>
        </is>
      </c>
      <c r="D9248" t="n">
        <v>33</v>
      </c>
    </row>
    <row r="9249">
      <c r="A9249" t="inlineStr">
        <is>
          <t>ED209432</t>
        </is>
      </c>
      <c r="B9249" s="56" t="n">
        <v>45848.63333333333</v>
      </c>
      <c r="C9249" t="inlineStr">
        <is>
          <t>Bluestone Memorial Hospital</t>
        </is>
      </c>
      <c r="D9249" t="n">
        <v>28</v>
      </c>
    </row>
    <row r="9250">
      <c r="A9250" t="inlineStr">
        <is>
          <t>ED209433</t>
        </is>
      </c>
      <c r="B9250" s="56" t="n">
        <v>45848.68055555555</v>
      </c>
      <c r="C9250" t="inlineStr">
        <is>
          <t>Cedar Ridge Medical Center</t>
        </is>
      </c>
      <c r="D9250" t="n">
        <v>63</v>
      </c>
    </row>
    <row r="9251">
      <c r="A9251" t="inlineStr">
        <is>
          <t>ED209434</t>
        </is>
      </c>
      <c r="B9251" s="56" t="n">
        <v>45848.76597222222</v>
      </c>
      <c r="C9251" t="inlineStr">
        <is>
          <t>Bluestone Memorial Hospital</t>
        </is>
      </c>
      <c r="D9251" t="n">
        <v>10</v>
      </c>
    </row>
    <row r="9252">
      <c r="A9252" t="inlineStr">
        <is>
          <t>ED209435</t>
        </is>
      </c>
      <c r="B9252" s="56" t="n">
        <v>45848.88194444445</v>
      </c>
      <c r="C9252" t="inlineStr">
        <is>
          <t>Bluestone Memorial Hospital</t>
        </is>
      </c>
      <c r="D9252" t="n">
        <v>20</v>
      </c>
    </row>
    <row r="9253">
      <c r="A9253" t="inlineStr">
        <is>
          <t>ED209436</t>
        </is>
      </c>
      <c r="B9253" s="56" t="n">
        <v>45848.88680555556</v>
      </c>
      <c r="C9253" t="inlineStr">
        <is>
          <t>Bluestone Memorial Hospital</t>
        </is>
      </c>
      <c r="D9253" t="n">
        <v>91</v>
      </c>
    </row>
    <row r="9254">
      <c r="A9254" t="inlineStr">
        <is>
          <t>ED209437</t>
        </is>
      </c>
      <c r="B9254" s="56" t="n">
        <v>45848.91736111111</v>
      </c>
      <c r="C9254" t="inlineStr">
        <is>
          <t>Bluestone Memorial Hospital</t>
        </is>
      </c>
      <c r="D9254" t="n">
        <v>9</v>
      </c>
    </row>
    <row r="9255">
      <c r="A9255" t="inlineStr">
        <is>
          <t>ED209438</t>
        </is>
      </c>
      <c r="B9255" s="56" t="n">
        <v>45848.95555555556</v>
      </c>
      <c r="C9255" t="inlineStr">
        <is>
          <t>Cedar Ridge Medical Center</t>
        </is>
      </c>
      <c r="D9255" t="n">
        <v>24</v>
      </c>
    </row>
    <row r="9256">
      <c r="A9256" t="inlineStr">
        <is>
          <t>ED209439</t>
        </is>
      </c>
      <c r="B9256" s="56" t="n">
        <v>45849.04930555556</v>
      </c>
      <c r="C9256" t="inlineStr">
        <is>
          <t>Ashby Falls Community Hospital</t>
        </is>
      </c>
      <c r="D9256" t="n">
        <v>14</v>
      </c>
    </row>
    <row r="9257">
      <c r="A9257" t="inlineStr">
        <is>
          <t>ED209440</t>
        </is>
      </c>
      <c r="B9257" s="56" t="n">
        <v>45849.12013888889</v>
      </c>
      <c r="C9257" t="inlineStr">
        <is>
          <t>Ashby Falls Community Hospital</t>
        </is>
      </c>
      <c r="D9257" t="n">
        <v>10</v>
      </c>
    </row>
    <row r="9258">
      <c r="A9258" t="inlineStr">
        <is>
          <t>ED209441</t>
        </is>
      </c>
      <c r="B9258" s="56" t="n">
        <v>45849.20833333334</v>
      </c>
      <c r="C9258" t="inlineStr">
        <is>
          <t>Cedar Ridge Medical Center</t>
        </is>
      </c>
      <c r="D9258" t="n">
        <v>30</v>
      </c>
    </row>
    <row r="9259">
      <c r="A9259" t="inlineStr">
        <is>
          <t>ED209442</t>
        </is>
      </c>
      <c r="B9259" s="56" t="n">
        <v>45849.59097222222</v>
      </c>
      <c r="C9259" t="inlineStr">
        <is>
          <t>Bluestone Memorial Hospital</t>
        </is>
      </c>
      <c r="D9259" t="n">
        <v>22</v>
      </c>
    </row>
    <row r="9260">
      <c r="A9260" t="inlineStr">
        <is>
          <t>ED209443</t>
        </is>
      </c>
      <c r="B9260" s="56" t="n">
        <v>45849.61527777778</v>
      </c>
      <c r="C9260" t="inlineStr">
        <is>
          <t>Bluestone Memorial Hospital</t>
        </is>
      </c>
      <c r="D9260" t="n">
        <v>10</v>
      </c>
    </row>
    <row r="9261">
      <c r="A9261" t="inlineStr">
        <is>
          <t>ED209444</t>
        </is>
      </c>
      <c r="B9261" s="56" t="n">
        <v>45849.62847222222</v>
      </c>
      <c r="C9261" t="inlineStr">
        <is>
          <t>Bluestone Memorial Hospital</t>
        </is>
      </c>
      <c r="D9261" t="n">
        <v>34</v>
      </c>
    </row>
    <row r="9262">
      <c r="A9262" t="inlineStr">
        <is>
          <t>ED209445</t>
        </is>
      </c>
      <c r="B9262" s="56" t="n">
        <v>45849.62916666667</v>
      </c>
      <c r="C9262" t="inlineStr">
        <is>
          <t>Bluestone Memorial Hospital</t>
        </is>
      </c>
      <c r="D9262" t="n">
        <v>58</v>
      </c>
    </row>
    <row r="9263">
      <c r="A9263" t="inlineStr">
        <is>
          <t>ED209446</t>
        </is>
      </c>
      <c r="B9263" s="56" t="n">
        <v>45849.65763888889</v>
      </c>
      <c r="C9263" t="inlineStr">
        <is>
          <t>Cedar Ridge Medical Center</t>
        </is>
      </c>
      <c r="D9263" t="n">
        <v>56</v>
      </c>
    </row>
    <row r="9264">
      <c r="A9264" t="inlineStr">
        <is>
          <t>ED209447</t>
        </is>
      </c>
      <c r="B9264" s="56" t="n">
        <v>45849.67291666667</v>
      </c>
      <c r="C9264" t="inlineStr">
        <is>
          <t>Cedar Ridge Medical Center</t>
        </is>
      </c>
      <c r="D9264" t="n">
        <v>21</v>
      </c>
    </row>
    <row r="9265">
      <c r="A9265" t="inlineStr">
        <is>
          <t>ED209448</t>
        </is>
      </c>
      <c r="B9265" s="56" t="n">
        <v>45849.70347222222</v>
      </c>
      <c r="C9265" t="inlineStr">
        <is>
          <t>Bluestone Memorial Hospital</t>
        </is>
      </c>
      <c r="D9265" t="n">
        <v>68</v>
      </c>
    </row>
    <row r="9266">
      <c r="A9266" t="inlineStr">
        <is>
          <t>ED209449</t>
        </is>
      </c>
      <c r="B9266" s="56" t="n">
        <v>45849.70763888889</v>
      </c>
      <c r="C9266" t="inlineStr">
        <is>
          <t>Bluestone Memorial Hospital</t>
        </is>
      </c>
      <c r="D9266" t="n">
        <v>153</v>
      </c>
    </row>
    <row r="9267">
      <c r="A9267" t="inlineStr">
        <is>
          <t>ED209450</t>
        </is>
      </c>
      <c r="B9267" s="56" t="n">
        <v>45849.81527777778</v>
      </c>
      <c r="C9267" t="inlineStr">
        <is>
          <t>Cedar Ridge Medical Center</t>
        </is>
      </c>
      <c r="D9267" t="n">
        <v>33</v>
      </c>
    </row>
    <row r="9268">
      <c r="A9268" t="inlineStr">
        <is>
          <t>ED209451</t>
        </is>
      </c>
      <c r="B9268" s="56" t="n">
        <v>45849.89305555556</v>
      </c>
      <c r="C9268" t="inlineStr">
        <is>
          <t>Ashby Falls Community Hospital</t>
        </is>
      </c>
      <c r="D9268" t="n">
        <v>51</v>
      </c>
    </row>
    <row r="9269">
      <c r="A9269" t="inlineStr">
        <is>
          <t>ED209452</t>
        </is>
      </c>
      <c r="B9269" s="56" t="n">
        <v>45849.89652777778</v>
      </c>
      <c r="C9269" t="inlineStr">
        <is>
          <t>Bluestone Memorial Hospital</t>
        </is>
      </c>
      <c r="D9269" t="n">
        <v>19</v>
      </c>
    </row>
    <row r="9270">
      <c r="A9270" t="inlineStr">
        <is>
          <t>ED209453</t>
        </is>
      </c>
      <c r="B9270" s="56" t="n">
        <v>45849.92569444444</v>
      </c>
      <c r="C9270" t="inlineStr">
        <is>
          <t>Bluestone Memorial Hospital</t>
        </is>
      </c>
      <c r="D9270" t="n">
        <v>14</v>
      </c>
    </row>
    <row r="9271">
      <c r="A9271" t="inlineStr">
        <is>
          <t>ED209454</t>
        </is>
      </c>
      <c r="B9271" s="56" t="n">
        <v>45850.08333333334</v>
      </c>
      <c r="C9271" t="inlineStr">
        <is>
          <t>Bluestone Memorial Hospital</t>
        </is>
      </c>
      <c r="D9271" t="n">
        <v>26</v>
      </c>
    </row>
    <row r="9272">
      <c r="A9272" t="inlineStr">
        <is>
          <t>ED209455</t>
        </is>
      </c>
      <c r="B9272" s="56" t="n">
        <v>45850.12847222222</v>
      </c>
      <c r="C9272" t="inlineStr">
        <is>
          <t>Ashby Falls Community Hospital</t>
        </is>
      </c>
      <c r="D9272" t="n">
        <v>38</v>
      </c>
    </row>
    <row r="9273">
      <c r="A9273" t="inlineStr">
        <is>
          <t>ED209456</t>
        </is>
      </c>
      <c r="B9273" s="56" t="n">
        <v>45850.29097222222</v>
      </c>
      <c r="C9273" t="inlineStr">
        <is>
          <t>Bluestone Memorial Hospital</t>
        </is>
      </c>
      <c r="D9273" t="n">
        <v>29</v>
      </c>
    </row>
    <row r="9274">
      <c r="A9274" t="inlineStr">
        <is>
          <t>ED209457</t>
        </is>
      </c>
      <c r="B9274" s="56" t="n">
        <v>45850.34652777778</v>
      </c>
      <c r="C9274" t="inlineStr">
        <is>
          <t>Bluestone Memorial Hospital</t>
        </is>
      </c>
      <c r="D9274" t="n">
        <v>18</v>
      </c>
    </row>
    <row r="9275">
      <c r="A9275" t="inlineStr">
        <is>
          <t>ED209458</t>
        </is>
      </c>
      <c r="B9275" s="56" t="n">
        <v>45850.45763888889</v>
      </c>
      <c r="C9275" t="inlineStr">
        <is>
          <t>Bluestone Memorial Hospital</t>
        </is>
      </c>
      <c r="D9275" t="n">
        <v>66</v>
      </c>
    </row>
    <row r="9276">
      <c r="A9276" t="inlineStr">
        <is>
          <t>ED209459</t>
        </is>
      </c>
      <c r="B9276" s="56" t="n">
        <v>45850.52986111111</v>
      </c>
      <c r="C9276" t="inlineStr">
        <is>
          <t>Bluestone Memorial Hospital</t>
        </is>
      </c>
      <c r="D9276" t="n">
        <v>127</v>
      </c>
    </row>
    <row r="9277">
      <c r="A9277" t="inlineStr">
        <is>
          <t>ED209460</t>
        </is>
      </c>
      <c r="B9277" s="56" t="n">
        <v>45850.56458333333</v>
      </c>
      <c r="C9277" t="inlineStr">
        <is>
          <t>Bluestone Memorial Hospital</t>
        </is>
      </c>
      <c r="D9277" t="n">
        <v>74</v>
      </c>
    </row>
    <row r="9278">
      <c r="A9278" t="inlineStr">
        <is>
          <t>ED209461</t>
        </is>
      </c>
      <c r="B9278" s="56" t="n">
        <v>45850.60486111111</v>
      </c>
      <c r="C9278" t="inlineStr">
        <is>
          <t>Bluestone Memorial Hospital</t>
        </is>
      </c>
      <c r="D9278" t="n">
        <v>1</v>
      </c>
    </row>
    <row r="9279">
      <c r="A9279" t="inlineStr">
        <is>
          <t>ED209462</t>
        </is>
      </c>
      <c r="B9279" s="56" t="n">
        <v>45850.64583333334</v>
      </c>
      <c r="C9279" t="inlineStr">
        <is>
          <t>Ashby Falls Community Hospital</t>
        </is>
      </c>
      <c r="D9279" t="n">
        <v>20</v>
      </c>
    </row>
    <row r="9280">
      <c r="A9280" t="inlineStr">
        <is>
          <t>ED209463</t>
        </is>
      </c>
      <c r="B9280" s="56" t="n">
        <v>45850.69444444445</v>
      </c>
      <c r="C9280" t="inlineStr">
        <is>
          <t>Bluestone Memorial Hospital</t>
        </is>
      </c>
      <c r="D9280" t="n">
        <v>36</v>
      </c>
    </row>
    <row r="9281">
      <c r="A9281" t="inlineStr">
        <is>
          <t>ED209464</t>
        </is>
      </c>
      <c r="B9281" s="56" t="n">
        <v>45850.7125</v>
      </c>
      <c r="C9281" t="inlineStr">
        <is>
          <t>Cedar Ridge Medical Center</t>
        </is>
      </c>
      <c r="D9281" t="n">
        <v>51</v>
      </c>
    </row>
    <row r="9282">
      <c r="A9282" t="inlineStr">
        <is>
          <t>ED209465</t>
        </is>
      </c>
      <c r="B9282" s="56" t="n">
        <v>45850.73055555556</v>
      </c>
      <c r="C9282" t="inlineStr">
        <is>
          <t>Bluestone Memorial Hospital</t>
        </is>
      </c>
      <c r="D9282" t="n">
        <v>18</v>
      </c>
    </row>
    <row r="9283">
      <c r="A9283" t="inlineStr">
        <is>
          <t>ED209466</t>
        </is>
      </c>
      <c r="B9283" s="56" t="n">
        <v>45850.73680555556</v>
      </c>
      <c r="C9283" t="inlineStr">
        <is>
          <t>Bluestone Memorial Hospital</t>
        </is>
      </c>
      <c r="D9283" t="n">
        <v>97</v>
      </c>
    </row>
    <row r="9284">
      <c r="A9284" t="inlineStr">
        <is>
          <t>ED209467</t>
        </is>
      </c>
      <c r="B9284" s="56" t="n">
        <v>45850.77916666667</v>
      </c>
      <c r="C9284" t="inlineStr">
        <is>
          <t>Ashby Falls Community Hospital</t>
        </is>
      </c>
      <c r="D9284" t="n">
        <v>47</v>
      </c>
    </row>
    <row r="9285">
      <c r="A9285" t="inlineStr">
        <is>
          <t>ED209468</t>
        </is>
      </c>
      <c r="B9285" s="56" t="n">
        <v>45850.80138888889</v>
      </c>
      <c r="C9285" t="inlineStr">
        <is>
          <t>Bluestone Memorial Hospital</t>
        </is>
      </c>
      <c r="D9285" t="n">
        <v>62</v>
      </c>
    </row>
    <row r="9286">
      <c r="A9286" t="inlineStr">
        <is>
          <t>ED209469</t>
        </is>
      </c>
      <c r="B9286" s="56" t="n">
        <v>45850.86111111111</v>
      </c>
      <c r="C9286" t="inlineStr">
        <is>
          <t>Ashby Falls Community Hospital</t>
        </is>
      </c>
      <c r="D9286" t="n">
        <v>71</v>
      </c>
    </row>
    <row r="9287">
      <c r="A9287" t="inlineStr">
        <is>
          <t>ED209470</t>
        </is>
      </c>
      <c r="B9287" s="56" t="n">
        <v>45850.94375</v>
      </c>
      <c r="C9287" t="inlineStr">
        <is>
          <t>Bluestone Memorial Hospital</t>
        </is>
      </c>
      <c r="D9287" t="n">
        <v>13</v>
      </c>
    </row>
    <row r="9288">
      <c r="A9288" t="inlineStr">
        <is>
          <t>ED209471</t>
        </is>
      </c>
      <c r="B9288" s="56" t="n">
        <v>45850.96527777778</v>
      </c>
      <c r="C9288" t="inlineStr">
        <is>
          <t>Bluestone Memorial Hospital</t>
        </is>
      </c>
      <c r="D9288" t="n">
        <v>34</v>
      </c>
    </row>
    <row r="9289">
      <c r="A9289" t="inlineStr">
        <is>
          <t>ED209472</t>
        </is>
      </c>
      <c r="B9289" s="56" t="n">
        <v>45851.0375</v>
      </c>
      <c r="C9289" t="inlineStr">
        <is>
          <t>Bluestone Memorial Hospital</t>
        </is>
      </c>
      <c r="D9289" t="n">
        <v>32</v>
      </c>
    </row>
    <row r="9290">
      <c r="A9290" t="inlineStr">
        <is>
          <t>ED209473</t>
        </is>
      </c>
      <c r="B9290" s="56" t="n">
        <v>45851.09791666667</v>
      </c>
      <c r="C9290" t="inlineStr">
        <is>
          <t>Cedar Ridge Medical Center</t>
        </is>
      </c>
      <c r="D9290" t="n">
        <v>78</v>
      </c>
    </row>
    <row r="9291">
      <c r="A9291" t="inlineStr">
        <is>
          <t>ED209474</t>
        </is>
      </c>
      <c r="B9291" s="56" t="n">
        <v>45851.13680555556</v>
      </c>
      <c r="C9291" t="inlineStr">
        <is>
          <t>Ashby Falls Community Hospital</t>
        </is>
      </c>
      <c r="D9291" t="n">
        <v>37</v>
      </c>
    </row>
    <row r="9292">
      <c r="A9292" t="inlineStr">
        <is>
          <t>ED209475</t>
        </is>
      </c>
      <c r="B9292" s="56" t="n">
        <v>45851.40347222222</v>
      </c>
      <c r="C9292" t="inlineStr">
        <is>
          <t>Bluestone Memorial Hospital</t>
        </is>
      </c>
      <c r="D9292" t="n">
        <v>63</v>
      </c>
    </row>
    <row r="9293">
      <c r="A9293" t="inlineStr">
        <is>
          <t>ED209476</t>
        </is>
      </c>
      <c r="B9293" s="56" t="n">
        <v>45851.50902777778</v>
      </c>
      <c r="C9293" t="inlineStr">
        <is>
          <t>Bluestone Memorial Hospital</t>
        </is>
      </c>
      <c r="D9293" t="n">
        <v>119</v>
      </c>
    </row>
    <row r="9294">
      <c r="A9294" t="inlineStr">
        <is>
          <t>ED209477</t>
        </is>
      </c>
      <c r="B9294" s="56" t="n">
        <v>45851.66111111111</v>
      </c>
      <c r="C9294" t="inlineStr">
        <is>
          <t>Bluestone Memorial Hospital</t>
        </is>
      </c>
      <c r="D9294" t="n">
        <v>23</v>
      </c>
    </row>
    <row r="9295">
      <c r="A9295" t="inlineStr">
        <is>
          <t>ED209478</t>
        </is>
      </c>
      <c r="B9295" s="56" t="n">
        <v>45851.675</v>
      </c>
      <c r="C9295" t="inlineStr">
        <is>
          <t>Bluestone Memorial Hospital</t>
        </is>
      </c>
      <c r="D9295" t="n">
        <v>61</v>
      </c>
    </row>
    <row r="9296">
      <c r="A9296" t="inlineStr">
        <is>
          <t>ED209479</t>
        </is>
      </c>
      <c r="B9296" s="56" t="n">
        <v>45851.72083333333</v>
      </c>
      <c r="C9296" t="inlineStr">
        <is>
          <t>Bluestone Memorial Hospital</t>
        </is>
      </c>
      <c r="D9296" t="n">
        <v>60</v>
      </c>
    </row>
    <row r="9297">
      <c r="A9297" t="inlineStr">
        <is>
          <t>ED209480</t>
        </is>
      </c>
      <c r="B9297" s="56" t="n">
        <v>45851.76527777778</v>
      </c>
      <c r="C9297" t="inlineStr">
        <is>
          <t>Bluestone Memorial Hospital</t>
        </is>
      </c>
      <c r="D9297" t="n">
        <v>67</v>
      </c>
    </row>
    <row r="9298">
      <c r="A9298" t="inlineStr">
        <is>
          <t>ED209481</t>
        </is>
      </c>
      <c r="B9298" s="56" t="n">
        <v>45851.77013888889</v>
      </c>
      <c r="C9298" t="inlineStr">
        <is>
          <t>Bluestone Memorial Hospital</t>
        </is>
      </c>
      <c r="D9298" t="n">
        <v>87</v>
      </c>
    </row>
    <row r="9299">
      <c r="A9299" t="inlineStr">
        <is>
          <t>ED209482</t>
        </is>
      </c>
      <c r="B9299" s="56" t="n">
        <v>45851.80625</v>
      </c>
      <c r="C9299" t="inlineStr">
        <is>
          <t>Bluestone Memorial Hospital</t>
        </is>
      </c>
      <c r="D9299" t="n">
        <v>49</v>
      </c>
    </row>
    <row r="9300">
      <c r="A9300" t="inlineStr">
        <is>
          <t>ED209483</t>
        </is>
      </c>
      <c r="B9300" s="56" t="n">
        <v>45851.87569444445</v>
      </c>
      <c r="C9300" t="inlineStr">
        <is>
          <t>Bluestone Memorial Hospital</t>
        </is>
      </c>
      <c r="D9300" t="n">
        <v>5</v>
      </c>
    </row>
    <row r="9301">
      <c r="A9301" t="inlineStr">
        <is>
          <t>ED209484</t>
        </is>
      </c>
      <c r="B9301" s="56" t="n">
        <v>45851.99375</v>
      </c>
      <c r="C9301" t="inlineStr">
        <is>
          <t>Ashby Falls Community Hospital</t>
        </is>
      </c>
      <c r="D9301" t="n">
        <v>14</v>
      </c>
    </row>
    <row r="9302">
      <c r="A9302" t="inlineStr">
        <is>
          <t>ED209485</t>
        </is>
      </c>
      <c r="B9302" s="56" t="n">
        <v>45852.02708333333</v>
      </c>
      <c r="C9302" t="inlineStr">
        <is>
          <t>Bluestone Memorial Hospital</t>
        </is>
      </c>
      <c r="D9302" t="n">
        <v>43</v>
      </c>
    </row>
    <row r="9303">
      <c r="A9303" t="inlineStr">
        <is>
          <t>ED209486</t>
        </is>
      </c>
      <c r="B9303" s="56" t="n">
        <v>45852.21736111111</v>
      </c>
      <c r="C9303" t="inlineStr">
        <is>
          <t>Bluestone Memorial Hospital</t>
        </is>
      </c>
      <c r="D9303" t="n">
        <v>33</v>
      </c>
    </row>
    <row r="9304">
      <c r="A9304" t="inlineStr">
        <is>
          <t>ED209487</t>
        </is>
      </c>
      <c r="B9304" s="56" t="n">
        <v>45852.34722222222</v>
      </c>
      <c r="C9304" t="inlineStr">
        <is>
          <t>Bluestone Memorial Hospital</t>
        </is>
      </c>
      <c r="D9304" t="n">
        <v>22</v>
      </c>
    </row>
    <row r="9305">
      <c r="A9305" t="inlineStr">
        <is>
          <t>ED209488</t>
        </is>
      </c>
      <c r="B9305" s="56" t="n">
        <v>45852.41666666666</v>
      </c>
      <c r="C9305" t="inlineStr">
        <is>
          <t>Bluestone Memorial Hospital</t>
        </is>
      </c>
      <c r="D9305" t="n">
        <v>38</v>
      </c>
    </row>
    <row r="9306">
      <c r="A9306" t="inlineStr">
        <is>
          <t>ED209489</t>
        </is>
      </c>
      <c r="B9306" s="56" t="n">
        <v>45852.48958333334</v>
      </c>
      <c r="C9306" t="inlineStr">
        <is>
          <t>Bluestone Memorial Hospital</t>
        </is>
      </c>
      <c r="D9306" t="n">
        <v>33</v>
      </c>
    </row>
    <row r="9307">
      <c r="A9307" t="inlineStr">
        <is>
          <t>ED209490</t>
        </is>
      </c>
      <c r="B9307" s="56" t="n">
        <v>45852.60416666666</v>
      </c>
      <c r="C9307" t="inlineStr">
        <is>
          <t>Bluestone Memorial Hospital</t>
        </is>
      </c>
      <c r="D9307" t="n">
        <v>26</v>
      </c>
    </row>
    <row r="9308">
      <c r="A9308" t="inlineStr">
        <is>
          <t>ED209491</t>
        </is>
      </c>
      <c r="B9308" s="56" t="n">
        <v>45852.64236111111</v>
      </c>
      <c r="C9308" t="inlineStr">
        <is>
          <t>Bluestone Memorial Hospital</t>
        </is>
      </c>
      <c r="D9308" t="n">
        <v>50</v>
      </c>
    </row>
    <row r="9309">
      <c r="A9309" t="inlineStr">
        <is>
          <t>ED209492</t>
        </is>
      </c>
      <c r="B9309" s="56" t="n">
        <v>45852.71458333333</v>
      </c>
      <c r="C9309" t="inlineStr">
        <is>
          <t>Bluestone Memorial Hospital</t>
        </is>
      </c>
      <c r="D9309" t="n">
        <v>69</v>
      </c>
    </row>
    <row r="9310">
      <c r="A9310" t="inlineStr">
        <is>
          <t>ED209493</t>
        </is>
      </c>
      <c r="B9310" s="56" t="n">
        <v>45852.73263888889</v>
      </c>
      <c r="C9310" t="inlineStr">
        <is>
          <t>Bluestone Memorial Hospital</t>
        </is>
      </c>
      <c r="D9310" t="n">
        <v>176</v>
      </c>
    </row>
    <row r="9311">
      <c r="A9311" t="inlineStr">
        <is>
          <t>ED209494</t>
        </is>
      </c>
      <c r="B9311" s="56" t="n">
        <v>45852.74097222222</v>
      </c>
      <c r="C9311" t="inlineStr">
        <is>
          <t>Ashby Falls Community Hospital</t>
        </is>
      </c>
      <c r="D9311" t="n">
        <v>10</v>
      </c>
    </row>
    <row r="9312">
      <c r="A9312" t="inlineStr">
        <is>
          <t>ED209495</t>
        </is>
      </c>
      <c r="B9312" s="56" t="n">
        <v>45852.74444444444</v>
      </c>
      <c r="C9312" t="inlineStr">
        <is>
          <t>Bluestone Memorial Hospital</t>
        </is>
      </c>
      <c r="D9312" t="n">
        <v>63</v>
      </c>
    </row>
    <row r="9313">
      <c r="A9313" t="inlineStr">
        <is>
          <t>ED209496</t>
        </is>
      </c>
      <c r="B9313" s="56" t="n">
        <v>45852.79236111111</v>
      </c>
      <c r="C9313" t="inlineStr">
        <is>
          <t>Bluestone Memorial Hospital</t>
        </is>
      </c>
      <c r="D9313" t="n">
        <v>66</v>
      </c>
    </row>
    <row r="9314">
      <c r="A9314" t="inlineStr">
        <is>
          <t>ED209497</t>
        </is>
      </c>
      <c r="B9314" s="56" t="n">
        <v>45852.89375</v>
      </c>
      <c r="C9314" t="inlineStr">
        <is>
          <t>Bluestone Memorial Hospital</t>
        </is>
      </c>
      <c r="D9314" t="n">
        <v>72</v>
      </c>
    </row>
    <row r="9315">
      <c r="A9315" t="inlineStr">
        <is>
          <t>ED209498</t>
        </is>
      </c>
      <c r="B9315" s="56" t="n">
        <v>45852.97083333333</v>
      </c>
      <c r="C9315" t="inlineStr">
        <is>
          <t>Bluestone Memorial Hospital</t>
        </is>
      </c>
      <c r="D9315" t="n">
        <v>47</v>
      </c>
    </row>
    <row r="9316">
      <c r="A9316" t="inlineStr">
        <is>
          <t>ED209499</t>
        </is>
      </c>
      <c r="B9316" s="56" t="n">
        <v>45852.98958333334</v>
      </c>
      <c r="C9316" t="inlineStr">
        <is>
          <t>Bluestone Memorial Hospital</t>
        </is>
      </c>
      <c r="D9316" t="n">
        <v>65</v>
      </c>
    </row>
    <row r="9317">
      <c r="A9317" t="inlineStr">
        <is>
          <t>ED209500</t>
        </is>
      </c>
      <c r="B9317" s="56" t="n">
        <v>45853.04444444444</v>
      </c>
      <c r="C9317" t="inlineStr">
        <is>
          <t>Bluestone Memorial Hospital</t>
        </is>
      </c>
      <c r="D9317" t="n">
        <v>12</v>
      </c>
    </row>
    <row r="9318">
      <c r="A9318" t="inlineStr">
        <is>
          <t>ED209501</t>
        </is>
      </c>
      <c r="B9318" s="56" t="n">
        <v>45853.17361111111</v>
      </c>
      <c r="C9318" t="inlineStr">
        <is>
          <t>Cedar Ridge Medical Center</t>
        </is>
      </c>
      <c r="D9318" t="n">
        <v>28</v>
      </c>
    </row>
    <row r="9319">
      <c r="A9319" t="inlineStr">
        <is>
          <t>ED209502</t>
        </is>
      </c>
      <c r="B9319" s="56" t="n">
        <v>45853.22569444445</v>
      </c>
      <c r="C9319" t="inlineStr">
        <is>
          <t>Bluestone Memorial Hospital</t>
        </is>
      </c>
      <c r="D9319" t="n">
        <v>30</v>
      </c>
    </row>
    <row r="9320">
      <c r="A9320" t="inlineStr">
        <is>
          <t>ED209503</t>
        </is>
      </c>
      <c r="B9320" s="56" t="n">
        <v>45853.39513888889</v>
      </c>
      <c r="C9320" t="inlineStr">
        <is>
          <t>Bluestone Memorial Hospital</t>
        </is>
      </c>
      <c r="D9320" t="n">
        <v>48</v>
      </c>
    </row>
    <row r="9321">
      <c r="A9321" t="inlineStr">
        <is>
          <t>ED209504</t>
        </is>
      </c>
      <c r="B9321" s="56" t="n">
        <v>45853.53055555555</v>
      </c>
      <c r="C9321" t="inlineStr">
        <is>
          <t>Bluestone Memorial Hospital</t>
        </is>
      </c>
      <c r="D9321" t="n">
        <v>38</v>
      </c>
    </row>
    <row r="9322">
      <c r="A9322" t="inlineStr">
        <is>
          <t>ED209505</t>
        </is>
      </c>
      <c r="B9322" s="56" t="n">
        <v>45853.64652777778</v>
      </c>
      <c r="C9322" t="inlineStr">
        <is>
          <t>Bluestone Memorial Hospital</t>
        </is>
      </c>
      <c r="D9322" t="n">
        <v>17</v>
      </c>
    </row>
    <row r="9323">
      <c r="A9323" t="inlineStr">
        <is>
          <t>ED209506</t>
        </is>
      </c>
      <c r="B9323" s="56" t="n">
        <v>45853.72638888889</v>
      </c>
      <c r="C9323" t="inlineStr">
        <is>
          <t>Bluestone Memorial Hospital</t>
        </is>
      </c>
      <c r="D9323" t="n">
        <v>23</v>
      </c>
    </row>
    <row r="9324">
      <c r="A9324" t="inlineStr">
        <is>
          <t>ED209507</t>
        </is>
      </c>
      <c r="B9324" s="56" t="n">
        <v>45853.80555555555</v>
      </c>
      <c r="C9324" t="inlineStr">
        <is>
          <t>Ashby Falls Community Hospital</t>
        </is>
      </c>
      <c r="D9324" t="n">
        <v>100</v>
      </c>
    </row>
    <row r="9325">
      <c r="A9325" t="inlineStr">
        <is>
          <t>ED209508</t>
        </is>
      </c>
      <c r="B9325" s="56" t="n">
        <v>45853.85763888889</v>
      </c>
      <c r="C9325" t="inlineStr">
        <is>
          <t>Ashby Falls Community Hospital</t>
        </is>
      </c>
      <c r="D9325" t="n">
        <v>74</v>
      </c>
    </row>
    <row r="9326">
      <c r="A9326" t="inlineStr">
        <is>
          <t>ED209509</t>
        </is>
      </c>
      <c r="B9326" s="56" t="n">
        <v>45853.86180555556</v>
      </c>
      <c r="C9326" t="inlineStr">
        <is>
          <t>Bluestone Memorial Hospital</t>
        </is>
      </c>
      <c r="D9326" t="n">
        <v>14</v>
      </c>
    </row>
    <row r="9327">
      <c r="A9327" t="inlineStr">
        <is>
          <t>ED209510</t>
        </is>
      </c>
      <c r="B9327" s="56" t="n">
        <v>45853.87986111111</v>
      </c>
      <c r="C9327" t="inlineStr">
        <is>
          <t>Bluestone Memorial Hospital</t>
        </is>
      </c>
      <c r="D9327" t="n">
        <v>9</v>
      </c>
    </row>
    <row r="9328">
      <c r="A9328" t="inlineStr">
        <is>
          <t>ED209511</t>
        </is>
      </c>
      <c r="B9328" s="56" t="n">
        <v>45853.89652777778</v>
      </c>
      <c r="C9328" t="inlineStr">
        <is>
          <t>Bluestone Memorial Hospital</t>
        </is>
      </c>
      <c r="D9328" t="n">
        <v>8</v>
      </c>
    </row>
    <row r="9329">
      <c r="A9329" t="inlineStr">
        <is>
          <t>ED209512</t>
        </is>
      </c>
      <c r="B9329" s="56" t="n">
        <v>45853.89861111111</v>
      </c>
      <c r="C9329" t="inlineStr">
        <is>
          <t>Bluestone Memorial Hospital</t>
        </is>
      </c>
      <c r="D9329" t="n">
        <v>23</v>
      </c>
    </row>
    <row r="9330">
      <c r="A9330" t="inlineStr">
        <is>
          <t>ED209513</t>
        </is>
      </c>
      <c r="B9330" s="56" t="n">
        <v>45853.90277777778</v>
      </c>
      <c r="C9330" t="inlineStr">
        <is>
          <t>Ashby Falls Community Hospital</t>
        </is>
      </c>
      <c r="D9330" t="n">
        <v>111</v>
      </c>
    </row>
    <row r="9331">
      <c r="A9331" t="inlineStr">
        <is>
          <t>ED209514</t>
        </is>
      </c>
      <c r="B9331" s="56" t="n">
        <v>45853.95208333333</v>
      </c>
      <c r="C9331" t="inlineStr">
        <is>
          <t>Bluestone Memorial Hospital</t>
        </is>
      </c>
      <c r="D9331" t="n">
        <v>56</v>
      </c>
    </row>
    <row r="9332">
      <c r="A9332" t="inlineStr">
        <is>
          <t>ED209515</t>
        </is>
      </c>
      <c r="B9332" s="56" t="n">
        <v>45854.22638888889</v>
      </c>
      <c r="C9332" t="inlineStr">
        <is>
          <t>Bluestone Memorial Hospital</t>
        </is>
      </c>
      <c r="D9332" t="n">
        <v>35</v>
      </c>
    </row>
    <row r="9333">
      <c r="A9333" t="inlineStr">
        <is>
          <t>ED209516</t>
        </is>
      </c>
      <c r="B9333" s="56" t="n">
        <v>45854.32430555556</v>
      </c>
      <c r="C9333" t="inlineStr">
        <is>
          <t>Bluestone Memorial Hospital</t>
        </is>
      </c>
      <c r="D9333" t="n">
        <v>29</v>
      </c>
    </row>
    <row r="9334">
      <c r="A9334" t="inlineStr">
        <is>
          <t>ED209517</t>
        </is>
      </c>
      <c r="B9334" s="56" t="n">
        <v>45854.42222222222</v>
      </c>
      <c r="C9334" t="inlineStr">
        <is>
          <t>Bluestone Memorial Hospital</t>
        </is>
      </c>
      <c r="D9334" t="n">
        <v>52</v>
      </c>
    </row>
    <row r="9335">
      <c r="A9335" t="inlineStr">
        <is>
          <t>ED209518</t>
        </is>
      </c>
      <c r="B9335" s="56" t="n">
        <v>45854.44375</v>
      </c>
      <c r="C9335" t="inlineStr">
        <is>
          <t>Bluestone Memorial Hospital</t>
        </is>
      </c>
      <c r="D9335" t="n">
        <v>97</v>
      </c>
    </row>
    <row r="9336">
      <c r="A9336" t="inlineStr">
        <is>
          <t>ED209519</t>
        </is>
      </c>
      <c r="B9336" s="56" t="n">
        <v>45854.47916666666</v>
      </c>
      <c r="C9336" t="inlineStr">
        <is>
          <t>Bluestone Memorial Hospital</t>
        </is>
      </c>
      <c r="D9336" t="n">
        <v>82</v>
      </c>
    </row>
    <row r="9337">
      <c r="A9337" t="inlineStr">
        <is>
          <t>ED209520</t>
        </is>
      </c>
      <c r="B9337" s="56" t="n">
        <v>45854.5</v>
      </c>
      <c r="C9337" t="inlineStr">
        <is>
          <t>Bluestone Memorial Hospital</t>
        </is>
      </c>
      <c r="D9337" t="n">
        <v>30</v>
      </c>
    </row>
    <row r="9338">
      <c r="A9338" t="inlineStr">
        <is>
          <t>ED209521</t>
        </is>
      </c>
      <c r="B9338" s="56" t="n">
        <v>45854.58263888889</v>
      </c>
      <c r="C9338" t="inlineStr">
        <is>
          <t>Ashby Falls Community Hospital</t>
        </is>
      </c>
      <c r="D9338" t="n">
        <v>78</v>
      </c>
    </row>
    <row r="9339">
      <c r="A9339" t="inlineStr">
        <is>
          <t>ED209522</t>
        </is>
      </c>
      <c r="B9339" s="56" t="n">
        <v>45854.58333333334</v>
      </c>
      <c r="C9339" t="inlineStr">
        <is>
          <t>Bluestone Memorial Hospital</t>
        </is>
      </c>
      <c r="D9339" t="n">
        <v>13</v>
      </c>
    </row>
    <row r="9340">
      <c r="A9340" t="inlineStr">
        <is>
          <t>ED209523</t>
        </is>
      </c>
      <c r="B9340" s="56" t="n">
        <v>45854.7125</v>
      </c>
      <c r="C9340" t="inlineStr">
        <is>
          <t>Bluestone Memorial Hospital</t>
        </is>
      </c>
      <c r="D9340" t="n">
        <v>15</v>
      </c>
    </row>
    <row r="9341">
      <c r="A9341" t="inlineStr">
        <is>
          <t>ED209524</t>
        </is>
      </c>
      <c r="B9341" s="56" t="n">
        <v>45854.73472222222</v>
      </c>
      <c r="C9341" t="inlineStr">
        <is>
          <t>Bluestone Memorial Hospital</t>
        </is>
      </c>
      <c r="D9341" t="n">
        <v>11</v>
      </c>
    </row>
    <row r="9342">
      <c r="A9342" t="inlineStr">
        <is>
          <t>ED209525</t>
        </is>
      </c>
      <c r="B9342" s="56" t="n">
        <v>45854.78611111111</v>
      </c>
      <c r="C9342" t="inlineStr">
        <is>
          <t>Bluestone Memorial Hospital</t>
        </is>
      </c>
      <c r="D9342" t="n">
        <v>33</v>
      </c>
    </row>
    <row r="9343">
      <c r="A9343" t="inlineStr">
        <is>
          <t>ED209526</t>
        </is>
      </c>
      <c r="B9343" s="56" t="n">
        <v>45854.81111111111</v>
      </c>
      <c r="C9343" t="inlineStr">
        <is>
          <t>Cedar Ridge Medical Center</t>
        </is>
      </c>
      <c r="D9343" t="n">
        <v>31</v>
      </c>
    </row>
    <row r="9344">
      <c r="A9344" t="inlineStr">
        <is>
          <t>ED209527</t>
        </is>
      </c>
      <c r="B9344" s="56" t="n">
        <v>45854.82986111111</v>
      </c>
      <c r="C9344" t="inlineStr">
        <is>
          <t>Bluestone Memorial Hospital</t>
        </is>
      </c>
      <c r="D9344" t="n">
        <v>58</v>
      </c>
    </row>
    <row r="9345">
      <c r="A9345" t="inlineStr">
        <is>
          <t>ED209528</t>
        </is>
      </c>
      <c r="B9345" s="56" t="n">
        <v>45854.83888888889</v>
      </c>
      <c r="C9345" t="inlineStr">
        <is>
          <t>Cedar Ridge Medical Center</t>
        </is>
      </c>
      <c r="D9345" t="n">
        <v>39</v>
      </c>
    </row>
    <row r="9346">
      <c r="A9346" t="inlineStr">
        <is>
          <t>ED209529</t>
        </is>
      </c>
      <c r="B9346" s="56" t="n">
        <v>45855.15486111111</v>
      </c>
      <c r="C9346" t="inlineStr">
        <is>
          <t>Cedar Ridge Medical Center</t>
        </is>
      </c>
      <c r="D9346" t="n">
        <v>10</v>
      </c>
    </row>
    <row r="9347">
      <c r="A9347" t="inlineStr">
        <is>
          <t>ED209530</t>
        </is>
      </c>
      <c r="B9347" s="56" t="n">
        <v>45855.24305555555</v>
      </c>
      <c r="C9347" t="inlineStr">
        <is>
          <t>Bluestone Memorial Hospital</t>
        </is>
      </c>
      <c r="D9347" t="n">
        <v>10</v>
      </c>
    </row>
    <row r="9348">
      <c r="A9348" t="inlineStr">
        <is>
          <t>ED209531</t>
        </is>
      </c>
      <c r="B9348" s="56" t="n">
        <v>45855.26666666667</v>
      </c>
      <c r="C9348" t="inlineStr">
        <is>
          <t>Cedar Ridge Medical Center</t>
        </is>
      </c>
      <c r="D9348" t="n">
        <v>60</v>
      </c>
    </row>
    <row r="9349">
      <c r="A9349" t="inlineStr">
        <is>
          <t>ED209532</t>
        </is>
      </c>
      <c r="B9349" s="56" t="n">
        <v>45855.31597222222</v>
      </c>
      <c r="C9349" t="inlineStr">
        <is>
          <t>Bluestone Memorial Hospital</t>
        </is>
      </c>
      <c r="D9349" t="n">
        <v>78</v>
      </c>
    </row>
    <row r="9350">
      <c r="A9350" t="inlineStr">
        <is>
          <t>ED209533</t>
        </is>
      </c>
      <c r="B9350" s="56" t="n">
        <v>45855.47847222222</v>
      </c>
      <c r="C9350" t="inlineStr">
        <is>
          <t>Bluestone Memorial Hospital</t>
        </is>
      </c>
      <c r="D9350" t="n">
        <v>74</v>
      </c>
    </row>
    <row r="9351">
      <c r="A9351" t="inlineStr">
        <is>
          <t>ED209534</t>
        </is>
      </c>
      <c r="B9351" s="56" t="n">
        <v>45855.49652777778</v>
      </c>
      <c r="C9351" t="inlineStr">
        <is>
          <t>Bluestone Memorial Hospital</t>
        </is>
      </c>
      <c r="D9351" t="n">
        <v>68</v>
      </c>
    </row>
    <row r="9352">
      <c r="A9352" t="inlineStr">
        <is>
          <t>ED209535</t>
        </is>
      </c>
      <c r="B9352" s="56" t="n">
        <v>45855.51875</v>
      </c>
      <c r="C9352" t="inlineStr">
        <is>
          <t>Ashby Falls Community Hospital</t>
        </is>
      </c>
      <c r="D9352" t="n">
        <v>38</v>
      </c>
    </row>
    <row r="9353">
      <c r="A9353" t="inlineStr">
        <is>
          <t>ED209536</t>
        </is>
      </c>
      <c r="B9353" s="56" t="n">
        <v>45855.62222222222</v>
      </c>
      <c r="C9353" t="inlineStr">
        <is>
          <t>Ashby Falls Community Hospital</t>
        </is>
      </c>
      <c r="D9353" t="n">
        <v>75</v>
      </c>
    </row>
    <row r="9354">
      <c r="A9354" t="inlineStr">
        <is>
          <t>ED209537</t>
        </is>
      </c>
      <c r="B9354" s="56" t="n">
        <v>45855.63055555556</v>
      </c>
      <c r="C9354" t="inlineStr">
        <is>
          <t>Bluestone Memorial Hospital</t>
        </is>
      </c>
      <c r="D9354" t="n">
        <v>54</v>
      </c>
    </row>
    <row r="9355">
      <c r="A9355" t="inlineStr">
        <is>
          <t>ED209538</t>
        </is>
      </c>
      <c r="B9355" s="56" t="n">
        <v>45855.72361111111</v>
      </c>
      <c r="C9355" t="inlineStr">
        <is>
          <t>Bluestone Memorial Hospital</t>
        </is>
      </c>
      <c r="D9355" t="n">
        <v>21</v>
      </c>
    </row>
    <row r="9356">
      <c r="A9356" t="inlineStr">
        <is>
          <t>ED209539</t>
        </is>
      </c>
      <c r="B9356" s="56" t="n">
        <v>45855.90138888889</v>
      </c>
      <c r="C9356" t="inlineStr">
        <is>
          <t>Bluestone Memorial Hospital</t>
        </is>
      </c>
      <c r="D9356" t="n">
        <v>45</v>
      </c>
    </row>
    <row r="9357">
      <c r="A9357" t="inlineStr">
        <is>
          <t>ED209540</t>
        </is>
      </c>
      <c r="B9357" s="56" t="n">
        <v>45855.91319444445</v>
      </c>
      <c r="C9357" t="inlineStr">
        <is>
          <t>Bluestone Memorial Hospital</t>
        </is>
      </c>
      <c r="D9357" t="n">
        <v>32</v>
      </c>
    </row>
    <row r="9358">
      <c r="A9358" t="inlineStr">
        <is>
          <t>ED209541</t>
        </is>
      </c>
      <c r="B9358" s="56" t="n">
        <v>45856.00555555556</v>
      </c>
      <c r="C9358" t="inlineStr">
        <is>
          <t>Bluestone Memorial Hospital</t>
        </is>
      </c>
      <c r="D9358" t="n">
        <v>32</v>
      </c>
    </row>
    <row r="9359">
      <c r="A9359" t="inlineStr">
        <is>
          <t>ED209542</t>
        </is>
      </c>
      <c r="B9359" s="56" t="n">
        <v>45856.03958333333</v>
      </c>
      <c r="C9359" t="inlineStr">
        <is>
          <t>Bluestone Memorial Hospital</t>
        </is>
      </c>
      <c r="D9359" t="n">
        <v>49</v>
      </c>
    </row>
    <row r="9360">
      <c r="A9360" t="inlineStr">
        <is>
          <t>ED209543</t>
        </is>
      </c>
      <c r="B9360" s="56" t="n">
        <v>45856.04652777778</v>
      </c>
      <c r="C9360" t="inlineStr">
        <is>
          <t>Bluestone Memorial Hospital</t>
        </is>
      </c>
      <c r="D9360" t="n">
        <v>31</v>
      </c>
    </row>
    <row r="9361">
      <c r="A9361" t="inlineStr">
        <is>
          <t>ED209544</t>
        </is>
      </c>
      <c r="B9361" s="56" t="n">
        <v>45856.13472222222</v>
      </c>
      <c r="C9361" t="inlineStr">
        <is>
          <t>Bluestone Memorial Hospital</t>
        </is>
      </c>
      <c r="D9361" t="n">
        <v>27</v>
      </c>
    </row>
    <row r="9362">
      <c r="A9362" t="inlineStr">
        <is>
          <t>ED209545</t>
        </is>
      </c>
      <c r="B9362" s="56" t="n">
        <v>45856.35833333333</v>
      </c>
      <c r="C9362" t="inlineStr">
        <is>
          <t>Bluestone Memorial Hospital</t>
        </is>
      </c>
      <c r="D9362" t="n">
        <v>46</v>
      </c>
    </row>
    <row r="9363">
      <c r="A9363" t="inlineStr">
        <is>
          <t>ED209546</t>
        </is>
      </c>
      <c r="B9363" s="56" t="n">
        <v>45856.41875</v>
      </c>
      <c r="C9363" t="inlineStr">
        <is>
          <t>Bluestone Memorial Hospital</t>
        </is>
      </c>
      <c r="D9363" t="n">
        <v>68</v>
      </c>
    </row>
    <row r="9364">
      <c r="A9364" t="inlineStr">
        <is>
          <t>ED209547</t>
        </is>
      </c>
      <c r="B9364" s="56" t="n">
        <v>45856.42222222222</v>
      </c>
      <c r="C9364" t="inlineStr">
        <is>
          <t>Cedar Ridge Medical Center</t>
        </is>
      </c>
      <c r="D9364" t="n">
        <v>169</v>
      </c>
    </row>
    <row r="9365">
      <c r="A9365" t="inlineStr">
        <is>
          <t>ED209548</t>
        </is>
      </c>
      <c r="B9365" s="56" t="n">
        <v>45856.54583333333</v>
      </c>
      <c r="C9365" t="inlineStr">
        <is>
          <t>Bluestone Memorial Hospital</t>
        </is>
      </c>
      <c r="D9365" t="n">
        <v>32</v>
      </c>
    </row>
    <row r="9366">
      <c r="A9366" t="inlineStr">
        <is>
          <t>ED209549</t>
        </is>
      </c>
      <c r="B9366" s="56" t="n">
        <v>45856.55069444444</v>
      </c>
      <c r="C9366" t="inlineStr">
        <is>
          <t>Bluestone Memorial Hospital</t>
        </is>
      </c>
      <c r="D9366" t="n">
        <v>17</v>
      </c>
    </row>
    <row r="9367">
      <c r="A9367" t="inlineStr">
        <is>
          <t>ED209550</t>
        </is>
      </c>
      <c r="B9367" s="56" t="n">
        <v>45856.65</v>
      </c>
      <c r="C9367" t="inlineStr">
        <is>
          <t>Bluestone Memorial Hospital</t>
        </is>
      </c>
      <c r="D9367" t="n">
        <v>84</v>
      </c>
    </row>
    <row r="9368">
      <c r="A9368" t="inlineStr">
        <is>
          <t>ED209551</t>
        </is>
      </c>
      <c r="B9368" s="56" t="n">
        <v>45856.7125</v>
      </c>
      <c r="C9368" t="inlineStr">
        <is>
          <t>Cedar Ridge Medical Center</t>
        </is>
      </c>
      <c r="D9368" t="n">
        <v>69</v>
      </c>
    </row>
    <row r="9369">
      <c r="A9369" t="inlineStr">
        <is>
          <t>ED209552</t>
        </is>
      </c>
      <c r="B9369" s="56" t="n">
        <v>45856.75069444445</v>
      </c>
      <c r="C9369" t="inlineStr">
        <is>
          <t>Cedar Ridge Medical Center</t>
        </is>
      </c>
      <c r="D9369" t="n">
        <v>4</v>
      </c>
    </row>
    <row r="9370">
      <c r="A9370" t="inlineStr">
        <is>
          <t>ED209553</t>
        </is>
      </c>
      <c r="B9370" s="56" t="n">
        <v>45856.80625</v>
      </c>
      <c r="C9370" t="inlineStr">
        <is>
          <t>Bluestone Memorial Hospital</t>
        </is>
      </c>
      <c r="D9370" t="n">
        <v>9</v>
      </c>
    </row>
    <row r="9371">
      <c r="A9371" t="inlineStr">
        <is>
          <t>ED209554</t>
        </is>
      </c>
      <c r="B9371" s="56" t="n">
        <v>45856.81180555555</v>
      </c>
      <c r="C9371" t="inlineStr">
        <is>
          <t>Bluestone Memorial Hospital</t>
        </is>
      </c>
      <c r="D9371" t="n">
        <v>41</v>
      </c>
    </row>
    <row r="9372">
      <c r="A9372" t="inlineStr">
        <is>
          <t>ED209555</t>
        </is>
      </c>
      <c r="B9372" s="56" t="n">
        <v>45856.83055555556</v>
      </c>
      <c r="C9372" t="inlineStr">
        <is>
          <t>Bluestone Memorial Hospital</t>
        </is>
      </c>
      <c r="D9372" t="n">
        <v>186</v>
      </c>
    </row>
    <row r="9373">
      <c r="A9373" t="inlineStr">
        <is>
          <t>ED209556</t>
        </is>
      </c>
      <c r="B9373" s="56" t="n">
        <v>45856.86180555556</v>
      </c>
      <c r="C9373" t="inlineStr">
        <is>
          <t>Cedar Ridge Medical Center</t>
        </is>
      </c>
      <c r="D9373" t="n">
        <v>94</v>
      </c>
    </row>
    <row r="9374">
      <c r="A9374" t="inlineStr">
        <is>
          <t>ED209557</t>
        </is>
      </c>
      <c r="B9374" s="56" t="n">
        <v>45856.99027777778</v>
      </c>
      <c r="C9374" t="inlineStr">
        <is>
          <t>Bluestone Memorial Hospital</t>
        </is>
      </c>
      <c r="D9374" t="n">
        <v>43</v>
      </c>
    </row>
    <row r="9375">
      <c r="A9375" t="inlineStr">
        <is>
          <t>ED209558</t>
        </is>
      </c>
      <c r="B9375" s="56" t="n">
        <v>45857.03194444445</v>
      </c>
      <c r="C9375" t="inlineStr">
        <is>
          <t>Bluestone Memorial Hospital</t>
        </is>
      </c>
      <c r="D9375" t="n">
        <v>29</v>
      </c>
    </row>
    <row r="9376">
      <c r="A9376" t="inlineStr">
        <is>
          <t>ED209559</t>
        </is>
      </c>
      <c r="B9376" s="56" t="n">
        <v>45857.26875</v>
      </c>
      <c r="C9376" t="inlineStr">
        <is>
          <t>Bluestone Memorial Hospital</t>
        </is>
      </c>
      <c r="D9376" t="n">
        <v>17</v>
      </c>
    </row>
    <row r="9377">
      <c r="A9377" t="inlineStr">
        <is>
          <t>ED209560</t>
        </is>
      </c>
      <c r="B9377" s="56" t="n">
        <v>45857.3</v>
      </c>
      <c r="C9377" t="inlineStr">
        <is>
          <t>Bluestone Memorial Hospital</t>
        </is>
      </c>
      <c r="D9377" t="n">
        <v>10</v>
      </c>
    </row>
    <row r="9378">
      <c r="A9378" t="inlineStr">
        <is>
          <t>ED209561</t>
        </is>
      </c>
      <c r="B9378" s="56" t="n">
        <v>45857.36388888889</v>
      </c>
      <c r="C9378" t="inlineStr">
        <is>
          <t>Bluestone Memorial Hospital</t>
        </is>
      </c>
      <c r="D9378" t="n">
        <v>25</v>
      </c>
    </row>
    <row r="9379">
      <c r="A9379" t="inlineStr">
        <is>
          <t>ED209562</t>
        </is>
      </c>
      <c r="B9379" s="56" t="n">
        <v>45857.55555555555</v>
      </c>
      <c r="C9379" t="inlineStr">
        <is>
          <t>Bluestone Memorial Hospital</t>
        </is>
      </c>
      <c r="D9379" t="n">
        <v>43</v>
      </c>
    </row>
    <row r="9380">
      <c r="A9380" t="inlineStr">
        <is>
          <t>ED209563</t>
        </is>
      </c>
      <c r="B9380" s="56" t="n">
        <v>45857.55902777778</v>
      </c>
      <c r="C9380" t="inlineStr">
        <is>
          <t>Bluestone Memorial Hospital</t>
        </is>
      </c>
      <c r="D9380" t="n">
        <v>62</v>
      </c>
    </row>
    <row r="9381">
      <c r="A9381" t="inlineStr">
        <is>
          <t>ED209564</t>
        </is>
      </c>
      <c r="B9381" s="56" t="n">
        <v>45857.58541666667</v>
      </c>
      <c r="C9381" t="inlineStr">
        <is>
          <t>Bluestone Memorial Hospital</t>
        </is>
      </c>
      <c r="D9381" t="n">
        <v>83</v>
      </c>
    </row>
    <row r="9382">
      <c r="A9382" t="inlineStr">
        <is>
          <t>ED209566</t>
        </is>
      </c>
      <c r="B9382" s="56" t="n">
        <v>45857.675</v>
      </c>
      <c r="C9382" t="inlineStr">
        <is>
          <t>Ashby Falls Community Hospital</t>
        </is>
      </c>
      <c r="D9382" t="n">
        <v>45</v>
      </c>
    </row>
    <row r="9383">
      <c r="A9383" t="inlineStr">
        <is>
          <t>ED209567</t>
        </is>
      </c>
      <c r="B9383" s="56" t="n">
        <v>45857.75</v>
      </c>
      <c r="C9383" t="inlineStr">
        <is>
          <t>Ashby Falls Community Hospital</t>
        </is>
      </c>
      <c r="D9383" t="n">
        <v>10</v>
      </c>
    </row>
    <row r="9384">
      <c r="A9384" t="inlineStr">
        <is>
          <t>ED209568</t>
        </is>
      </c>
      <c r="B9384" s="56" t="n">
        <v>45857.78958333333</v>
      </c>
      <c r="C9384" t="inlineStr">
        <is>
          <t>Bluestone Memorial Hospital</t>
        </is>
      </c>
      <c r="D9384" t="n">
        <v>175</v>
      </c>
    </row>
    <row r="9385">
      <c r="A9385" t="inlineStr">
        <is>
          <t>ED209569</t>
        </is>
      </c>
      <c r="B9385" s="56" t="n">
        <v>45857.80138888889</v>
      </c>
      <c r="C9385" t="inlineStr">
        <is>
          <t>Bluestone Memorial Hospital</t>
        </is>
      </c>
      <c r="D9385" t="n">
        <v>15</v>
      </c>
    </row>
    <row r="9386">
      <c r="A9386" t="inlineStr">
        <is>
          <t>ED209570</t>
        </is>
      </c>
      <c r="B9386" s="56" t="n">
        <v>45857.80138888889</v>
      </c>
      <c r="C9386" t="inlineStr">
        <is>
          <t>Ashby Falls Community Hospital</t>
        </is>
      </c>
      <c r="D9386" t="n">
        <v>26</v>
      </c>
    </row>
    <row r="9387">
      <c r="A9387" t="inlineStr">
        <is>
          <t>ED209571</t>
        </is>
      </c>
      <c r="B9387" s="56" t="n">
        <v>45857.83819444444</v>
      </c>
      <c r="C9387" t="inlineStr">
        <is>
          <t>Bluestone Memorial Hospital</t>
        </is>
      </c>
      <c r="D9387" t="n">
        <v>20</v>
      </c>
    </row>
    <row r="9388">
      <c r="A9388" t="inlineStr">
        <is>
          <t>ED209572</t>
        </is>
      </c>
      <c r="B9388" s="56" t="n">
        <v>45857.88472222222</v>
      </c>
      <c r="C9388" t="inlineStr">
        <is>
          <t>Bluestone Memorial Hospital</t>
        </is>
      </c>
      <c r="D9388" t="n">
        <v>108</v>
      </c>
    </row>
    <row r="9389">
      <c r="A9389" t="inlineStr">
        <is>
          <t>ED209573</t>
        </is>
      </c>
      <c r="B9389" s="56" t="n">
        <v>45857.88958333333</v>
      </c>
      <c r="C9389" t="inlineStr">
        <is>
          <t>Bluestone Memorial Hospital</t>
        </is>
      </c>
      <c r="D9389" t="n">
        <v>115</v>
      </c>
    </row>
    <row r="9390">
      <c r="A9390" t="inlineStr">
        <is>
          <t>ED209574</t>
        </is>
      </c>
      <c r="B9390" s="56" t="n">
        <v>45857.90138888889</v>
      </c>
      <c r="C9390" t="inlineStr">
        <is>
          <t>Bluestone Memorial Hospital</t>
        </is>
      </c>
      <c r="D9390" t="n">
        <v>19</v>
      </c>
    </row>
    <row r="9391">
      <c r="A9391" t="inlineStr">
        <is>
          <t>ED209575</t>
        </is>
      </c>
      <c r="B9391" s="56" t="n">
        <v>45857.98819444444</v>
      </c>
      <c r="C9391" t="inlineStr">
        <is>
          <t>Bluestone Memorial Hospital</t>
        </is>
      </c>
      <c r="D9391" t="n">
        <v>20</v>
      </c>
    </row>
    <row r="9392">
      <c r="A9392" t="inlineStr">
        <is>
          <t>ED209576</t>
        </is>
      </c>
      <c r="B9392" s="56" t="n">
        <v>45857.98958333334</v>
      </c>
      <c r="C9392" t="inlineStr">
        <is>
          <t>Bluestone Memorial Hospital</t>
        </is>
      </c>
      <c r="D9392" t="n">
        <v>26</v>
      </c>
    </row>
    <row r="9393">
      <c r="A9393" t="inlineStr">
        <is>
          <t>ED209577</t>
        </is>
      </c>
      <c r="B9393" s="56" t="n">
        <v>45858.08541666667</v>
      </c>
      <c r="C9393" t="inlineStr">
        <is>
          <t>Bluestone Memorial Hospital</t>
        </is>
      </c>
      <c r="D9393" t="n">
        <v>10</v>
      </c>
    </row>
    <row r="9394">
      <c r="A9394" t="inlineStr">
        <is>
          <t>ED209578</t>
        </is>
      </c>
      <c r="B9394" s="56" t="n">
        <v>45858.13611111111</v>
      </c>
      <c r="C9394" t="inlineStr">
        <is>
          <t>Bluestone Memorial Hospital</t>
        </is>
      </c>
      <c r="D9394" t="n">
        <v>26</v>
      </c>
    </row>
    <row r="9395">
      <c r="A9395" t="inlineStr">
        <is>
          <t>ED209579</t>
        </is>
      </c>
      <c r="B9395" s="56" t="n">
        <v>45858.2625</v>
      </c>
      <c r="C9395" t="inlineStr">
        <is>
          <t>Bluestone Memorial Hospital</t>
        </is>
      </c>
      <c r="D9395" t="n">
        <v>36</v>
      </c>
    </row>
    <row r="9396">
      <c r="A9396" t="inlineStr">
        <is>
          <t>ED209580</t>
        </is>
      </c>
      <c r="B9396" s="56" t="n">
        <v>45858.39861111111</v>
      </c>
      <c r="C9396" t="inlineStr">
        <is>
          <t>Bluestone Memorial Hospital</t>
        </is>
      </c>
      <c r="D9396" t="n">
        <v>8</v>
      </c>
    </row>
    <row r="9397">
      <c r="A9397" t="inlineStr">
        <is>
          <t>ED209581</t>
        </is>
      </c>
      <c r="B9397" s="56" t="n">
        <v>45858.47638888889</v>
      </c>
      <c r="C9397" t="inlineStr">
        <is>
          <t>Bluestone Memorial Hospital</t>
        </is>
      </c>
      <c r="D9397" t="n">
        <v>14</v>
      </c>
    </row>
    <row r="9398">
      <c r="A9398" t="inlineStr">
        <is>
          <t>ED209582</t>
        </is>
      </c>
      <c r="B9398" s="56" t="n">
        <v>45858.51597222222</v>
      </c>
      <c r="C9398" t="inlineStr">
        <is>
          <t>Cedar Ridge Medical Center</t>
        </is>
      </c>
      <c r="D9398" t="n">
        <v>19</v>
      </c>
    </row>
    <row r="9399">
      <c r="A9399" t="inlineStr">
        <is>
          <t>ED209583</t>
        </is>
      </c>
      <c r="B9399" s="56" t="n">
        <v>45858.52013888889</v>
      </c>
      <c r="C9399" t="inlineStr">
        <is>
          <t>Ashby Falls Community Hospital</t>
        </is>
      </c>
      <c r="D9399" t="n">
        <v>52</v>
      </c>
    </row>
    <row r="9400">
      <c r="A9400" t="inlineStr">
        <is>
          <t>ED209584</t>
        </is>
      </c>
      <c r="B9400" s="56" t="n">
        <v>45858.54375</v>
      </c>
      <c r="C9400" t="inlineStr">
        <is>
          <t>Bluestone Memorial Hospital</t>
        </is>
      </c>
      <c r="D9400" t="n">
        <v>56</v>
      </c>
    </row>
    <row r="9401">
      <c r="A9401" t="inlineStr">
        <is>
          <t>ED209585</t>
        </is>
      </c>
      <c r="B9401" s="56" t="n">
        <v>45858.60833333333</v>
      </c>
      <c r="C9401" t="inlineStr">
        <is>
          <t>Bluestone Memorial Hospital</t>
        </is>
      </c>
      <c r="D9401" t="n">
        <v>111</v>
      </c>
    </row>
    <row r="9402">
      <c r="A9402" t="inlineStr">
        <is>
          <t>ED209586</t>
        </is>
      </c>
      <c r="B9402" s="56" t="n">
        <v>45858.62638888889</v>
      </c>
      <c r="C9402" t="inlineStr">
        <is>
          <t>Bluestone Memorial Hospital</t>
        </is>
      </c>
      <c r="D9402" t="n">
        <v>21</v>
      </c>
    </row>
    <row r="9403">
      <c r="A9403" t="inlineStr">
        <is>
          <t>ED209587</t>
        </is>
      </c>
      <c r="B9403" s="56" t="n">
        <v>45858.64166666667</v>
      </c>
      <c r="C9403" t="inlineStr">
        <is>
          <t>Ashby Falls Community Hospital</t>
        </is>
      </c>
      <c r="D9403" t="n">
        <v>4</v>
      </c>
    </row>
    <row r="9404">
      <c r="A9404" t="inlineStr">
        <is>
          <t>ED209588</t>
        </is>
      </c>
      <c r="B9404" s="56" t="n">
        <v>45858.65763888889</v>
      </c>
      <c r="C9404" t="inlineStr">
        <is>
          <t>Bluestone Memorial Hospital</t>
        </is>
      </c>
      <c r="D9404" t="n">
        <v>58</v>
      </c>
    </row>
    <row r="9405">
      <c r="A9405" t="inlineStr">
        <is>
          <t>ED209589</t>
        </is>
      </c>
      <c r="B9405" s="56" t="n">
        <v>45858.70972222222</v>
      </c>
      <c r="C9405" t="inlineStr">
        <is>
          <t>Cedar Ridge Medical Center</t>
        </is>
      </c>
      <c r="D9405" t="n">
        <v>29</v>
      </c>
    </row>
    <row r="9406">
      <c r="A9406" t="inlineStr">
        <is>
          <t>ED209590</t>
        </is>
      </c>
      <c r="B9406" s="56" t="n">
        <v>45858.74236111111</v>
      </c>
      <c r="C9406" t="inlineStr">
        <is>
          <t>Bluestone Memorial Hospital</t>
        </is>
      </c>
      <c r="D9406" t="n">
        <v>8</v>
      </c>
    </row>
    <row r="9407">
      <c r="A9407" t="inlineStr">
        <is>
          <t>ED209591</t>
        </is>
      </c>
      <c r="B9407" s="56" t="n">
        <v>45858.76666666667</v>
      </c>
      <c r="C9407" t="inlineStr">
        <is>
          <t>Bluestone Memorial Hospital</t>
        </is>
      </c>
      <c r="D9407" t="n">
        <v>39</v>
      </c>
    </row>
    <row r="9408">
      <c r="A9408" t="inlineStr">
        <is>
          <t>ED209592</t>
        </is>
      </c>
      <c r="B9408" s="56" t="n">
        <v>45858.83541666667</v>
      </c>
      <c r="C9408" t="inlineStr">
        <is>
          <t>Cedar Ridge Medical Center</t>
        </is>
      </c>
      <c r="D9408" t="n">
        <v>40</v>
      </c>
    </row>
    <row r="9409">
      <c r="A9409" t="inlineStr">
        <is>
          <t>ED209593</t>
        </is>
      </c>
      <c r="B9409" s="56" t="n">
        <v>45858.84791666667</v>
      </c>
      <c r="C9409" t="inlineStr">
        <is>
          <t>Bluestone Memorial Hospital</t>
        </is>
      </c>
      <c r="D9409" t="n">
        <v>54</v>
      </c>
    </row>
    <row r="9410">
      <c r="A9410" t="inlineStr">
        <is>
          <t>ED209594</t>
        </is>
      </c>
      <c r="B9410" s="56" t="n">
        <v>45858.95069444444</v>
      </c>
      <c r="C9410" t="inlineStr">
        <is>
          <t>Bluestone Memorial Hospital</t>
        </is>
      </c>
      <c r="D9410" t="n">
        <v>23</v>
      </c>
    </row>
    <row r="9411">
      <c r="A9411" t="inlineStr">
        <is>
          <t>ED209595</t>
        </is>
      </c>
      <c r="B9411" s="56" t="n">
        <v>45859.30763888889</v>
      </c>
      <c r="C9411" t="inlineStr">
        <is>
          <t>Bluestone Memorial Hospital</t>
        </is>
      </c>
      <c r="D9411" t="n">
        <v>65</v>
      </c>
    </row>
    <row r="9412">
      <c r="A9412" t="inlineStr">
        <is>
          <t>ED209596</t>
        </is>
      </c>
      <c r="B9412" s="56" t="n">
        <v>45859.47361111111</v>
      </c>
      <c r="C9412" t="inlineStr">
        <is>
          <t>Cedar Ridge Medical Center</t>
        </is>
      </c>
      <c r="D9412" t="n">
        <v>64</v>
      </c>
    </row>
    <row r="9413">
      <c r="A9413" t="inlineStr">
        <is>
          <t>ED209597</t>
        </is>
      </c>
      <c r="B9413" s="56" t="n">
        <v>45859.48333333333</v>
      </c>
      <c r="C9413" t="inlineStr">
        <is>
          <t>Ashby Falls Community Hospital</t>
        </is>
      </c>
      <c r="D9413" t="n">
        <v>20</v>
      </c>
    </row>
    <row r="9414">
      <c r="A9414" t="inlineStr">
        <is>
          <t>ED209598</t>
        </is>
      </c>
      <c r="B9414" s="56" t="n">
        <v>45859.48333333333</v>
      </c>
      <c r="C9414" t="inlineStr">
        <is>
          <t>Bluestone Memorial Hospital</t>
        </is>
      </c>
      <c r="D9414" t="n">
        <v>45</v>
      </c>
    </row>
    <row r="9415">
      <c r="A9415" t="inlineStr">
        <is>
          <t>ED209599</t>
        </is>
      </c>
      <c r="B9415" s="56" t="n">
        <v>45859.51458333333</v>
      </c>
      <c r="C9415" t="inlineStr">
        <is>
          <t>Bluestone Memorial Hospital</t>
        </is>
      </c>
      <c r="D9415" t="n">
        <v>31</v>
      </c>
    </row>
    <row r="9416">
      <c r="A9416" t="inlineStr">
        <is>
          <t>ED209600</t>
        </is>
      </c>
      <c r="B9416" s="56" t="n">
        <v>45859.54583333333</v>
      </c>
      <c r="C9416" t="inlineStr">
        <is>
          <t>Ashby Falls Community Hospital</t>
        </is>
      </c>
      <c r="D9416" t="n">
        <v>99</v>
      </c>
    </row>
    <row r="9417">
      <c r="A9417" t="inlineStr">
        <is>
          <t>ED209601</t>
        </is>
      </c>
      <c r="B9417" s="56" t="n">
        <v>45859.58958333333</v>
      </c>
      <c r="C9417" t="inlineStr">
        <is>
          <t>Bluestone Memorial Hospital</t>
        </is>
      </c>
      <c r="D9417" t="n">
        <v>24</v>
      </c>
    </row>
    <row r="9418">
      <c r="A9418" t="inlineStr">
        <is>
          <t>ED209602</t>
        </is>
      </c>
      <c r="B9418" s="56" t="n">
        <v>45859.61527777778</v>
      </c>
      <c r="C9418" t="inlineStr">
        <is>
          <t>Bluestone Memorial Hospital</t>
        </is>
      </c>
      <c r="D9418" t="n">
        <v>77</v>
      </c>
    </row>
    <row r="9419">
      <c r="A9419" t="inlineStr">
        <is>
          <t>ED209603</t>
        </is>
      </c>
      <c r="B9419" s="56" t="n">
        <v>45859.71180555555</v>
      </c>
      <c r="C9419" t="inlineStr">
        <is>
          <t>Bluestone Memorial Hospital</t>
        </is>
      </c>
      <c r="D9419" t="n">
        <v>30</v>
      </c>
    </row>
    <row r="9420">
      <c r="A9420" t="inlineStr">
        <is>
          <t>ED209604</t>
        </is>
      </c>
      <c r="B9420" s="56" t="n">
        <v>45859.75763888889</v>
      </c>
      <c r="C9420" t="inlineStr">
        <is>
          <t>Bluestone Memorial Hospital</t>
        </is>
      </c>
      <c r="D9420" t="n">
        <v>23</v>
      </c>
    </row>
    <row r="9421">
      <c r="A9421" t="inlineStr">
        <is>
          <t>ED209605</t>
        </is>
      </c>
      <c r="B9421" s="56" t="n">
        <v>45859.77152777778</v>
      </c>
      <c r="C9421" t="inlineStr">
        <is>
          <t>Bluestone Memorial Hospital</t>
        </is>
      </c>
      <c r="D9421" t="n">
        <v>41</v>
      </c>
    </row>
    <row r="9422">
      <c r="A9422" t="inlineStr">
        <is>
          <t>ED209606</t>
        </is>
      </c>
      <c r="B9422" s="56" t="n">
        <v>45859.79375</v>
      </c>
      <c r="C9422" t="inlineStr">
        <is>
          <t>Ashby Falls Community Hospital</t>
        </is>
      </c>
      <c r="D9422" t="n">
        <v>52</v>
      </c>
    </row>
    <row r="9423">
      <c r="A9423" t="inlineStr">
        <is>
          <t>ED209608</t>
        </is>
      </c>
      <c r="B9423" s="56" t="n">
        <v>45859.82152777778</v>
      </c>
      <c r="C9423" t="inlineStr">
        <is>
          <t>Bluestone Memorial Hospital</t>
        </is>
      </c>
      <c r="D9423" t="n">
        <v>106</v>
      </c>
    </row>
    <row r="9424">
      <c r="A9424" t="inlineStr">
        <is>
          <t>ED209609</t>
        </is>
      </c>
      <c r="B9424" s="56" t="n">
        <v>45859.83263888889</v>
      </c>
      <c r="C9424" t="inlineStr">
        <is>
          <t>Ashby Falls Community Hospital</t>
        </is>
      </c>
      <c r="D9424" t="n">
        <v>48</v>
      </c>
    </row>
    <row r="9425">
      <c r="A9425" t="inlineStr">
        <is>
          <t>ED209610</t>
        </is>
      </c>
      <c r="B9425" s="56" t="n">
        <v>45859.83402777778</v>
      </c>
      <c r="C9425" t="inlineStr">
        <is>
          <t>Cedar Ridge Medical Center</t>
        </is>
      </c>
      <c r="D9425" t="n">
        <v>105</v>
      </c>
    </row>
    <row r="9426">
      <c r="A9426" t="inlineStr">
        <is>
          <t>ED209611</t>
        </is>
      </c>
      <c r="B9426" s="56" t="n">
        <v>45859.87291666667</v>
      </c>
      <c r="C9426" t="inlineStr">
        <is>
          <t>Ashby Falls Community Hospital</t>
        </is>
      </c>
      <c r="D9426" t="n">
        <v>24</v>
      </c>
    </row>
    <row r="9427">
      <c r="A9427" t="inlineStr">
        <is>
          <t>ED209612</t>
        </is>
      </c>
      <c r="B9427" s="56" t="n">
        <v>45859.88472222222</v>
      </c>
      <c r="C9427" t="inlineStr">
        <is>
          <t>Ashby Falls Community Hospital</t>
        </is>
      </c>
      <c r="D9427" t="n">
        <v>67</v>
      </c>
    </row>
    <row r="9428">
      <c r="A9428" t="inlineStr">
        <is>
          <t>ED209613</t>
        </is>
      </c>
      <c r="B9428" s="56" t="n">
        <v>45860.19097222222</v>
      </c>
      <c r="C9428" t="inlineStr">
        <is>
          <t>Bluestone Memorial Hospital</t>
        </is>
      </c>
      <c r="D9428" t="n">
        <v>34</v>
      </c>
    </row>
    <row r="9429">
      <c r="A9429" t="inlineStr">
        <is>
          <t>ED209614</t>
        </is>
      </c>
      <c r="B9429" s="56" t="n">
        <v>45860.28958333333</v>
      </c>
      <c r="C9429" t="inlineStr">
        <is>
          <t>Bluestone Memorial Hospital</t>
        </is>
      </c>
      <c r="D9429" t="n">
        <v>135</v>
      </c>
    </row>
    <row r="9430">
      <c r="A9430" t="inlineStr">
        <is>
          <t>ED209615</t>
        </is>
      </c>
      <c r="B9430" s="56" t="n">
        <v>45860.30555555555</v>
      </c>
      <c r="C9430" t="inlineStr">
        <is>
          <t>Bluestone Memorial Hospital</t>
        </is>
      </c>
      <c r="D9430" t="n">
        <v>76</v>
      </c>
    </row>
    <row r="9431">
      <c r="A9431" t="inlineStr">
        <is>
          <t>ED209616</t>
        </is>
      </c>
      <c r="B9431" s="56" t="n">
        <v>45860.36180555556</v>
      </c>
      <c r="C9431" t="inlineStr">
        <is>
          <t>Ashby Falls Community Hospital</t>
        </is>
      </c>
      <c r="D9431" t="n">
        <v>28</v>
      </c>
    </row>
    <row r="9432">
      <c r="A9432" t="inlineStr">
        <is>
          <t>ED209617</t>
        </is>
      </c>
      <c r="B9432" s="56" t="n">
        <v>45860.41111111111</v>
      </c>
      <c r="C9432" t="inlineStr">
        <is>
          <t>Bluestone Memorial Hospital</t>
        </is>
      </c>
      <c r="D9432" t="n">
        <v>41</v>
      </c>
    </row>
    <row r="9433">
      <c r="A9433" t="inlineStr">
        <is>
          <t>ED209618</t>
        </is>
      </c>
      <c r="B9433" s="56" t="n">
        <v>45860.44791666666</v>
      </c>
      <c r="C9433" t="inlineStr">
        <is>
          <t>Ashby Falls Community Hospital</t>
        </is>
      </c>
      <c r="D9433" t="n">
        <v>42</v>
      </c>
    </row>
    <row r="9434">
      <c r="A9434" t="inlineStr">
        <is>
          <t>ED209619</t>
        </is>
      </c>
      <c r="B9434" s="56" t="n">
        <v>45860.50208333333</v>
      </c>
      <c r="C9434" t="inlineStr">
        <is>
          <t>Bluestone Memorial Hospital</t>
        </is>
      </c>
      <c r="D9434" t="n">
        <v>43</v>
      </c>
    </row>
    <row r="9435">
      <c r="A9435" t="inlineStr">
        <is>
          <t>ED209620</t>
        </is>
      </c>
      <c r="B9435" s="56" t="n">
        <v>45860.50763888889</v>
      </c>
      <c r="C9435" t="inlineStr">
        <is>
          <t>Bluestone Memorial Hospital</t>
        </is>
      </c>
      <c r="D9435" t="n">
        <v>70</v>
      </c>
    </row>
    <row r="9436">
      <c r="A9436" t="inlineStr">
        <is>
          <t>ED209621</t>
        </is>
      </c>
      <c r="B9436" s="56" t="n">
        <v>45860.53263888889</v>
      </c>
      <c r="C9436" t="inlineStr">
        <is>
          <t>Bluestone Memorial Hospital</t>
        </is>
      </c>
      <c r="D9436" t="n">
        <v>88</v>
      </c>
    </row>
    <row r="9437">
      <c r="A9437" t="inlineStr">
        <is>
          <t>ED209622</t>
        </is>
      </c>
      <c r="B9437" s="56" t="n">
        <v>45860.57291666666</v>
      </c>
      <c r="C9437" t="inlineStr">
        <is>
          <t>Bluestone Memorial Hospital</t>
        </is>
      </c>
      <c r="D9437" t="n">
        <v>73</v>
      </c>
    </row>
    <row r="9438">
      <c r="A9438" t="inlineStr">
        <is>
          <t>ED209623</t>
        </is>
      </c>
      <c r="B9438" s="56" t="n">
        <v>45860.59027777778</v>
      </c>
      <c r="C9438" t="inlineStr">
        <is>
          <t>Bluestone Memorial Hospital</t>
        </is>
      </c>
      <c r="D9438" t="n">
        <v>24</v>
      </c>
    </row>
    <row r="9439">
      <c r="A9439" t="inlineStr">
        <is>
          <t>ED209624</t>
        </is>
      </c>
      <c r="B9439" s="56" t="n">
        <v>45860.59583333333</v>
      </c>
      <c r="C9439" t="inlineStr">
        <is>
          <t>Bluestone Memorial Hospital</t>
        </is>
      </c>
      <c r="D9439" t="n">
        <v>25</v>
      </c>
    </row>
    <row r="9440">
      <c r="A9440" t="inlineStr">
        <is>
          <t>ED209625</t>
        </is>
      </c>
      <c r="B9440" s="56" t="n">
        <v>45860.62777777778</v>
      </c>
      <c r="C9440" t="inlineStr">
        <is>
          <t>Ashby Falls Community Hospital</t>
        </is>
      </c>
      <c r="D9440" t="n">
        <v>36</v>
      </c>
    </row>
    <row r="9441">
      <c r="A9441" t="inlineStr">
        <is>
          <t>ED209626</t>
        </is>
      </c>
      <c r="B9441" s="56" t="n">
        <v>45860.65347222222</v>
      </c>
      <c r="C9441" t="inlineStr">
        <is>
          <t>Cedar Ridge Medical Center</t>
        </is>
      </c>
      <c r="D9441" t="n">
        <v>56</v>
      </c>
    </row>
    <row r="9442">
      <c r="A9442" t="inlineStr">
        <is>
          <t>ED209627</t>
        </is>
      </c>
      <c r="B9442" s="56" t="n">
        <v>45860.68402777778</v>
      </c>
      <c r="C9442" t="inlineStr">
        <is>
          <t>Bluestone Memorial Hospital</t>
        </is>
      </c>
      <c r="D9442" t="n">
        <v>55</v>
      </c>
    </row>
    <row r="9443">
      <c r="A9443" t="inlineStr">
        <is>
          <t>ED209628</t>
        </is>
      </c>
      <c r="B9443" s="56" t="n">
        <v>45860.68472222222</v>
      </c>
      <c r="C9443" t="inlineStr">
        <is>
          <t>Bluestone Memorial Hospital</t>
        </is>
      </c>
      <c r="D9443" t="n">
        <v>77</v>
      </c>
    </row>
    <row r="9444">
      <c r="A9444" t="inlineStr">
        <is>
          <t>ED209629</t>
        </is>
      </c>
      <c r="B9444" s="56" t="n">
        <v>45860.71388888889</v>
      </c>
      <c r="C9444" t="inlineStr">
        <is>
          <t>Bluestone Memorial Hospital</t>
        </is>
      </c>
      <c r="D9444" t="n">
        <v>40</v>
      </c>
    </row>
    <row r="9445">
      <c r="A9445" t="inlineStr">
        <is>
          <t>ED209630</t>
        </is>
      </c>
      <c r="B9445" s="56" t="n">
        <v>45860.75</v>
      </c>
      <c r="C9445" t="inlineStr">
        <is>
          <t>Ashby Falls Community Hospital</t>
        </is>
      </c>
      <c r="D9445" t="n">
        <v>79</v>
      </c>
    </row>
    <row r="9446">
      <c r="A9446" t="inlineStr">
        <is>
          <t>ED209631</t>
        </is>
      </c>
      <c r="B9446" s="56" t="n">
        <v>45860.7875</v>
      </c>
      <c r="C9446" t="inlineStr">
        <is>
          <t>Bluestone Memorial Hospital</t>
        </is>
      </c>
      <c r="D9446" t="n">
        <v>114</v>
      </c>
    </row>
    <row r="9447">
      <c r="A9447" t="inlineStr">
        <is>
          <t>ED209632</t>
        </is>
      </c>
      <c r="B9447" s="56" t="n">
        <v>45860.8125</v>
      </c>
      <c r="C9447" t="inlineStr">
        <is>
          <t>Cedar Ridge Medical Center</t>
        </is>
      </c>
      <c r="D9447" t="n">
        <v>82</v>
      </c>
    </row>
    <row r="9448">
      <c r="A9448" t="inlineStr">
        <is>
          <t>ED209633</t>
        </is>
      </c>
      <c r="B9448" s="56" t="n">
        <v>45860.82777777778</v>
      </c>
      <c r="C9448" t="inlineStr">
        <is>
          <t>Bluestone Memorial Hospital</t>
        </is>
      </c>
      <c r="D9448" t="n">
        <v>20</v>
      </c>
    </row>
    <row r="9449">
      <c r="A9449" t="inlineStr">
        <is>
          <t>ED209634</t>
        </is>
      </c>
      <c r="B9449" s="56" t="n">
        <v>45860.83194444444</v>
      </c>
      <c r="C9449" t="inlineStr">
        <is>
          <t>Ashby Falls Community Hospital</t>
        </is>
      </c>
      <c r="D9449" t="n">
        <v>7</v>
      </c>
    </row>
    <row r="9450">
      <c r="A9450" t="inlineStr">
        <is>
          <t>ED209635</t>
        </is>
      </c>
      <c r="B9450" s="56" t="n">
        <v>45861.16111111111</v>
      </c>
      <c r="C9450" t="inlineStr">
        <is>
          <t>Cedar Ridge Medical Center</t>
        </is>
      </c>
      <c r="D9450" t="n">
        <v>11</v>
      </c>
    </row>
    <row r="9451">
      <c r="A9451" t="inlineStr">
        <is>
          <t>ED209636</t>
        </is>
      </c>
      <c r="B9451" s="56" t="n">
        <v>45861.35</v>
      </c>
      <c r="C9451" t="inlineStr">
        <is>
          <t>Bluestone Memorial Hospital</t>
        </is>
      </c>
      <c r="D9451" t="n">
        <v>38</v>
      </c>
    </row>
    <row r="9452">
      <c r="A9452" t="inlineStr">
        <is>
          <t>ED209637</t>
        </is>
      </c>
      <c r="B9452" s="56" t="n">
        <v>45861.35138888889</v>
      </c>
      <c r="C9452" t="inlineStr">
        <is>
          <t>Bluestone Memorial Hospital</t>
        </is>
      </c>
      <c r="D9452" t="n">
        <v>10</v>
      </c>
    </row>
    <row r="9453">
      <c r="A9453" t="inlineStr">
        <is>
          <t>ED209638</t>
        </is>
      </c>
      <c r="B9453" s="56" t="n">
        <v>45861.38611111111</v>
      </c>
      <c r="C9453" t="inlineStr">
        <is>
          <t>Bluestone Memorial Hospital</t>
        </is>
      </c>
      <c r="D9453" t="n">
        <v>21</v>
      </c>
    </row>
    <row r="9454">
      <c r="A9454" t="inlineStr">
        <is>
          <t>ED209639</t>
        </is>
      </c>
      <c r="B9454" s="56" t="n">
        <v>45861.38680555556</v>
      </c>
      <c r="C9454" t="inlineStr">
        <is>
          <t>Ashby Falls Community Hospital</t>
        </is>
      </c>
      <c r="D9454" t="n">
        <v>109</v>
      </c>
    </row>
    <row r="9455">
      <c r="A9455" t="inlineStr">
        <is>
          <t>ED209640</t>
        </is>
      </c>
      <c r="B9455" s="56" t="n">
        <v>45861.39513888889</v>
      </c>
      <c r="C9455" t="inlineStr">
        <is>
          <t>Bluestone Memorial Hospital</t>
        </is>
      </c>
      <c r="D9455" t="n">
        <v>41</v>
      </c>
    </row>
    <row r="9456">
      <c r="A9456" t="inlineStr">
        <is>
          <t>ED209642</t>
        </is>
      </c>
      <c r="B9456" s="56" t="n">
        <v>45861.45347222222</v>
      </c>
      <c r="C9456" t="inlineStr">
        <is>
          <t>Bluestone Memorial Hospital</t>
        </is>
      </c>
      <c r="D9456" t="n">
        <v>69</v>
      </c>
    </row>
    <row r="9457">
      <c r="A9457" t="inlineStr">
        <is>
          <t>ED209643</t>
        </is>
      </c>
      <c r="B9457" s="56" t="n">
        <v>45861.4625</v>
      </c>
      <c r="C9457" t="inlineStr">
        <is>
          <t>Cedar Ridge Medical Center</t>
        </is>
      </c>
      <c r="D9457" t="n">
        <v>99</v>
      </c>
    </row>
    <row r="9458">
      <c r="A9458" t="inlineStr">
        <is>
          <t>ED209644</t>
        </is>
      </c>
      <c r="B9458" s="56" t="n">
        <v>45861.63472222222</v>
      </c>
      <c r="C9458" t="inlineStr">
        <is>
          <t>Ashby Falls Community Hospital</t>
        </is>
      </c>
      <c r="D9458" t="n">
        <v>101</v>
      </c>
    </row>
    <row r="9459">
      <c r="A9459" t="inlineStr">
        <is>
          <t>ED209645</t>
        </is>
      </c>
      <c r="B9459" s="56" t="n">
        <v>45861.65763888889</v>
      </c>
      <c r="C9459" t="inlineStr">
        <is>
          <t>Cedar Ridge Medical Center</t>
        </is>
      </c>
      <c r="D9459" t="n">
        <v>76</v>
      </c>
    </row>
    <row r="9460">
      <c r="A9460" t="inlineStr">
        <is>
          <t>ED209646</t>
        </is>
      </c>
      <c r="B9460" s="56" t="n">
        <v>45861.79791666667</v>
      </c>
      <c r="C9460" t="inlineStr">
        <is>
          <t>Bluestone Memorial Hospital</t>
        </is>
      </c>
      <c r="D9460" t="n">
        <v>115</v>
      </c>
    </row>
    <row r="9461">
      <c r="A9461" t="inlineStr">
        <is>
          <t>ED209647</t>
        </is>
      </c>
      <c r="B9461" s="56" t="n">
        <v>45861.80069444444</v>
      </c>
      <c r="C9461" t="inlineStr">
        <is>
          <t>Bluestone Memorial Hospital</t>
        </is>
      </c>
      <c r="D9461" t="n">
        <v>44</v>
      </c>
    </row>
    <row r="9462">
      <c r="A9462" t="inlineStr">
        <is>
          <t>ED209648</t>
        </is>
      </c>
      <c r="B9462" s="56" t="n">
        <v>45861.81597222222</v>
      </c>
      <c r="C9462" t="inlineStr">
        <is>
          <t>Bluestone Memorial Hospital</t>
        </is>
      </c>
      <c r="D9462" t="n">
        <v>100</v>
      </c>
    </row>
    <row r="9463">
      <c r="A9463" t="inlineStr">
        <is>
          <t>ED209650</t>
        </is>
      </c>
      <c r="B9463" s="56" t="n">
        <v>45862.30416666667</v>
      </c>
      <c r="C9463" t="inlineStr">
        <is>
          <t>Ashby Falls Community Hospital</t>
        </is>
      </c>
      <c r="D9463" t="n">
        <v>12</v>
      </c>
    </row>
    <row r="9464">
      <c r="A9464" t="inlineStr">
        <is>
          <t>ED209651</t>
        </is>
      </c>
      <c r="B9464" s="56" t="n">
        <v>45862.48333333333</v>
      </c>
      <c r="C9464" t="inlineStr">
        <is>
          <t>Cedar Ridge Medical Center</t>
        </is>
      </c>
      <c r="D9464" t="n">
        <v>20</v>
      </c>
    </row>
    <row r="9465">
      <c r="A9465" t="inlineStr">
        <is>
          <t>ED209652</t>
        </is>
      </c>
      <c r="B9465" s="56" t="n">
        <v>45862.52847222222</v>
      </c>
      <c r="C9465" t="inlineStr">
        <is>
          <t>Bluestone Memorial Hospital</t>
        </is>
      </c>
      <c r="D9465" t="n">
        <v>3</v>
      </c>
    </row>
    <row r="9466">
      <c r="A9466" t="inlineStr">
        <is>
          <t>ED209653</t>
        </is>
      </c>
      <c r="B9466" s="56" t="n">
        <v>45862.52986111111</v>
      </c>
      <c r="C9466" t="inlineStr">
        <is>
          <t>Bluestone Memorial Hospital</t>
        </is>
      </c>
      <c r="D9466" t="n">
        <v>27</v>
      </c>
    </row>
    <row r="9467">
      <c r="A9467" t="inlineStr">
        <is>
          <t>ED209654</t>
        </is>
      </c>
      <c r="B9467" s="56" t="n">
        <v>45862.63958333333</v>
      </c>
      <c r="C9467" t="inlineStr">
        <is>
          <t>Bluestone Memorial Hospital</t>
        </is>
      </c>
      <c r="D9467" t="n">
        <v>66</v>
      </c>
    </row>
    <row r="9468">
      <c r="A9468" t="inlineStr">
        <is>
          <t>ED209655</t>
        </is>
      </c>
      <c r="B9468" s="56" t="n">
        <v>45862.65763888889</v>
      </c>
      <c r="C9468" t="inlineStr">
        <is>
          <t>Bluestone Memorial Hospital</t>
        </is>
      </c>
      <c r="D9468" t="n">
        <v>65</v>
      </c>
    </row>
    <row r="9469">
      <c r="A9469" t="inlineStr">
        <is>
          <t>ED209656</t>
        </is>
      </c>
      <c r="B9469" s="56" t="n">
        <v>45862.70208333333</v>
      </c>
      <c r="C9469" t="inlineStr">
        <is>
          <t>Bluestone Memorial Hospital</t>
        </is>
      </c>
      <c r="D9469" t="n">
        <v>68</v>
      </c>
    </row>
    <row r="9470">
      <c r="A9470" t="inlineStr">
        <is>
          <t>ED209657</t>
        </is>
      </c>
      <c r="B9470" s="56" t="n">
        <v>45862.74652777778</v>
      </c>
      <c r="C9470" t="inlineStr">
        <is>
          <t>Bluestone Memorial Hospital</t>
        </is>
      </c>
      <c r="D9470" t="n">
        <v>5</v>
      </c>
    </row>
    <row r="9471">
      <c r="A9471" t="inlineStr">
        <is>
          <t>ED209658</t>
        </is>
      </c>
      <c r="B9471" s="56" t="n">
        <v>45862.77083333334</v>
      </c>
      <c r="C9471" t="inlineStr">
        <is>
          <t>Bluestone Memorial Hospital</t>
        </is>
      </c>
      <c r="D9471" t="n">
        <v>157</v>
      </c>
    </row>
    <row r="9472">
      <c r="A9472" t="inlineStr">
        <is>
          <t>ED209659</t>
        </is>
      </c>
      <c r="B9472" s="56" t="n">
        <v>45862.775</v>
      </c>
      <c r="C9472" t="inlineStr">
        <is>
          <t>Cedar Ridge Medical Center</t>
        </is>
      </c>
      <c r="D9472" t="n">
        <v>1</v>
      </c>
    </row>
    <row r="9473">
      <c r="A9473" t="inlineStr">
        <is>
          <t>ED209660</t>
        </is>
      </c>
      <c r="B9473" s="56" t="n">
        <v>45862.79722222222</v>
      </c>
      <c r="C9473" t="inlineStr">
        <is>
          <t>Ashby Falls Community Hospital</t>
        </is>
      </c>
      <c r="D9473" t="n">
        <v>40</v>
      </c>
    </row>
    <row r="9474">
      <c r="A9474" t="inlineStr">
        <is>
          <t>ED209661</t>
        </is>
      </c>
      <c r="B9474" s="56" t="n">
        <v>45862.84236111111</v>
      </c>
      <c r="C9474" t="inlineStr">
        <is>
          <t>Bluestone Memorial Hospital</t>
        </is>
      </c>
      <c r="D9474" t="n">
        <v>11</v>
      </c>
    </row>
    <row r="9475">
      <c r="A9475" t="inlineStr">
        <is>
          <t>ED209662</t>
        </is>
      </c>
      <c r="B9475" s="56" t="n">
        <v>45862.92986111111</v>
      </c>
      <c r="C9475" t="inlineStr">
        <is>
          <t>Ashby Falls Community Hospital</t>
        </is>
      </c>
      <c r="D9475" t="n">
        <v>11</v>
      </c>
    </row>
    <row r="9476">
      <c r="A9476" t="inlineStr">
        <is>
          <t>ED209663</t>
        </is>
      </c>
      <c r="B9476" s="56" t="n">
        <v>45862.93472222222</v>
      </c>
      <c r="C9476" t="inlineStr">
        <is>
          <t>Bluestone Memorial Hospital</t>
        </is>
      </c>
      <c r="D9476" t="n">
        <v>29</v>
      </c>
    </row>
    <row r="9477">
      <c r="A9477" t="inlineStr">
        <is>
          <t>ED209664</t>
        </is>
      </c>
      <c r="B9477" s="56" t="n">
        <v>45863.05833333333</v>
      </c>
      <c r="C9477" t="inlineStr">
        <is>
          <t>Bluestone Memorial Hospital</t>
        </is>
      </c>
      <c r="D9477" t="n">
        <v>23</v>
      </c>
    </row>
    <row r="9478">
      <c r="A9478" t="inlineStr">
        <is>
          <t>ED209665</t>
        </is>
      </c>
      <c r="B9478" s="56" t="n">
        <v>45863.32222222222</v>
      </c>
      <c r="C9478" t="inlineStr">
        <is>
          <t>Bluestone Memorial Hospital</t>
        </is>
      </c>
      <c r="D9478" t="n">
        <v>57</v>
      </c>
    </row>
    <row r="9479">
      <c r="A9479" t="inlineStr">
        <is>
          <t>ED209666</t>
        </is>
      </c>
      <c r="B9479" s="56" t="n">
        <v>45863.41736111111</v>
      </c>
      <c r="C9479" t="inlineStr">
        <is>
          <t>Bluestone Memorial Hospital</t>
        </is>
      </c>
      <c r="D9479" t="n">
        <v>59</v>
      </c>
    </row>
    <row r="9480">
      <c r="A9480" t="inlineStr">
        <is>
          <t>ED209667</t>
        </is>
      </c>
      <c r="B9480" s="56" t="n">
        <v>45863.46944444445</v>
      </c>
      <c r="C9480" t="inlineStr">
        <is>
          <t>Bluestone Memorial Hospital</t>
        </is>
      </c>
      <c r="D9480" t="n">
        <v>40</v>
      </c>
    </row>
    <row r="9481">
      <c r="A9481" t="inlineStr">
        <is>
          <t>ED209668</t>
        </is>
      </c>
      <c r="B9481" s="56" t="n">
        <v>45863.50069444445</v>
      </c>
      <c r="C9481" t="inlineStr">
        <is>
          <t>Cedar Ridge Medical Center</t>
        </is>
      </c>
      <c r="D9481" t="n">
        <v>77</v>
      </c>
    </row>
    <row r="9482">
      <c r="A9482" t="inlineStr">
        <is>
          <t>ED209669</t>
        </is>
      </c>
      <c r="B9482" s="56" t="n">
        <v>45863.52013888889</v>
      </c>
      <c r="C9482" t="inlineStr">
        <is>
          <t>Bluestone Memorial Hospital</t>
        </is>
      </c>
      <c r="D9482" t="n">
        <v>19</v>
      </c>
    </row>
    <row r="9483">
      <c r="A9483" t="inlineStr">
        <is>
          <t>ED209670</t>
        </is>
      </c>
      <c r="B9483" s="56" t="n">
        <v>45863.60416666666</v>
      </c>
      <c r="C9483" t="inlineStr">
        <is>
          <t>Bluestone Memorial Hospital</t>
        </is>
      </c>
      <c r="D9483" t="n">
        <v>44</v>
      </c>
    </row>
    <row r="9484">
      <c r="A9484" t="inlineStr">
        <is>
          <t>ED209671</t>
        </is>
      </c>
      <c r="B9484" s="56" t="n">
        <v>45863.66666666666</v>
      </c>
      <c r="C9484" t="inlineStr">
        <is>
          <t>Cedar Ridge Medical Center</t>
        </is>
      </c>
      <c r="D9484" t="n">
        <v>32</v>
      </c>
    </row>
    <row r="9485">
      <c r="A9485" t="inlineStr">
        <is>
          <t>ED209672</t>
        </is>
      </c>
      <c r="B9485" s="56" t="n">
        <v>45863.66944444444</v>
      </c>
      <c r="C9485" t="inlineStr">
        <is>
          <t>Bluestone Memorial Hospital</t>
        </is>
      </c>
      <c r="D9485" t="n">
        <v>8</v>
      </c>
    </row>
    <row r="9486">
      <c r="A9486" t="inlineStr">
        <is>
          <t>ED209673</t>
        </is>
      </c>
      <c r="B9486" s="56" t="n">
        <v>45863.69027777778</v>
      </c>
      <c r="C9486" t="inlineStr">
        <is>
          <t>Bluestone Memorial Hospital</t>
        </is>
      </c>
      <c r="D9486" t="n">
        <v>32</v>
      </c>
    </row>
    <row r="9487">
      <c r="A9487" t="inlineStr">
        <is>
          <t>ED209674</t>
        </is>
      </c>
      <c r="B9487" s="56" t="n">
        <v>45863.74305555555</v>
      </c>
      <c r="C9487" t="inlineStr">
        <is>
          <t>Bluestone Memorial Hospital</t>
        </is>
      </c>
      <c r="D9487" t="n">
        <v>45</v>
      </c>
    </row>
    <row r="9488">
      <c r="A9488" t="inlineStr">
        <is>
          <t>ED209675</t>
        </is>
      </c>
      <c r="B9488" s="56" t="n">
        <v>45863.77013888889</v>
      </c>
      <c r="C9488" t="inlineStr">
        <is>
          <t>Ashby Falls Community Hospital</t>
        </is>
      </c>
      <c r="D9488" t="n">
        <v>63</v>
      </c>
    </row>
    <row r="9489">
      <c r="A9489" t="inlineStr">
        <is>
          <t>ED209676</t>
        </is>
      </c>
      <c r="B9489" s="56" t="n">
        <v>45863.77152777778</v>
      </c>
      <c r="C9489" t="inlineStr">
        <is>
          <t>Bluestone Memorial Hospital</t>
        </is>
      </c>
      <c r="D9489" t="n">
        <v>50</v>
      </c>
    </row>
    <row r="9490">
      <c r="A9490" t="inlineStr">
        <is>
          <t>ED209677</t>
        </is>
      </c>
      <c r="B9490" s="56" t="n">
        <v>45863.85486111111</v>
      </c>
      <c r="C9490" t="inlineStr">
        <is>
          <t>Cedar Ridge Medical Center</t>
        </is>
      </c>
      <c r="D9490" t="n">
        <v>76</v>
      </c>
    </row>
    <row r="9491">
      <c r="A9491" t="inlineStr">
        <is>
          <t>ED209678</t>
        </is>
      </c>
      <c r="B9491" s="56" t="n">
        <v>45864.20347222222</v>
      </c>
      <c r="C9491" t="inlineStr">
        <is>
          <t>Bluestone Memorial Hospital</t>
        </is>
      </c>
      <c r="D9491" t="n">
        <v>22</v>
      </c>
    </row>
    <row r="9492">
      <c r="A9492" t="inlineStr">
        <is>
          <t>ED209679</t>
        </is>
      </c>
      <c r="B9492" s="56" t="n">
        <v>45864.24027777778</v>
      </c>
      <c r="C9492" t="inlineStr">
        <is>
          <t>Bluestone Memorial Hospital</t>
        </is>
      </c>
      <c r="D9492" t="n">
        <v>20</v>
      </c>
    </row>
    <row r="9493">
      <c r="A9493" t="inlineStr">
        <is>
          <t>ED209680</t>
        </is>
      </c>
      <c r="B9493" s="56" t="n">
        <v>45864.35555555556</v>
      </c>
      <c r="C9493" t="inlineStr">
        <is>
          <t>Cedar Ridge Medical Center</t>
        </is>
      </c>
      <c r="D9493" t="n">
        <v>51</v>
      </c>
    </row>
    <row r="9494">
      <c r="A9494" t="inlineStr">
        <is>
          <t>ED209681</t>
        </is>
      </c>
      <c r="B9494" s="56" t="n">
        <v>45864.43055555555</v>
      </c>
      <c r="C9494" t="inlineStr">
        <is>
          <t>Bluestone Memorial Hospital</t>
        </is>
      </c>
      <c r="D9494" t="n">
        <v>44</v>
      </c>
    </row>
    <row r="9495">
      <c r="A9495" t="inlineStr">
        <is>
          <t>ED209682</t>
        </is>
      </c>
      <c r="B9495" s="56" t="n">
        <v>45864.46319444444</v>
      </c>
      <c r="C9495" t="inlineStr">
        <is>
          <t>Bluestone Memorial Hospital</t>
        </is>
      </c>
      <c r="D9495" t="n">
        <v>18</v>
      </c>
    </row>
    <row r="9496">
      <c r="A9496" t="inlineStr">
        <is>
          <t>ED209683</t>
        </is>
      </c>
      <c r="B9496" s="56" t="n">
        <v>45864.52152777778</v>
      </c>
      <c r="C9496" t="inlineStr">
        <is>
          <t>Bluestone Memorial Hospital</t>
        </is>
      </c>
      <c r="D9496" t="n">
        <v>101</v>
      </c>
    </row>
    <row r="9497">
      <c r="A9497" t="inlineStr">
        <is>
          <t>ED209684</t>
        </is>
      </c>
      <c r="B9497" s="56" t="n">
        <v>45864.54861111111</v>
      </c>
      <c r="C9497" t="inlineStr">
        <is>
          <t>Bluestone Memorial Hospital</t>
        </is>
      </c>
      <c r="D9497" t="n">
        <v>44</v>
      </c>
    </row>
    <row r="9498">
      <c r="A9498" t="inlineStr">
        <is>
          <t>ED209685</t>
        </is>
      </c>
      <c r="B9498" s="56" t="n">
        <v>45864.57013888889</v>
      </c>
      <c r="C9498" t="inlineStr">
        <is>
          <t>Bluestone Memorial Hospital</t>
        </is>
      </c>
      <c r="D9498" t="n">
        <v>32</v>
      </c>
    </row>
    <row r="9499">
      <c r="A9499" t="inlineStr">
        <is>
          <t>ED209686</t>
        </is>
      </c>
      <c r="B9499" s="56" t="n">
        <v>45864.62986111111</v>
      </c>
      <c r="C9499" t="inlineStr">
        <is>
          <t>Bluestone Memorial Hospital</t>
        </is>
      </c>
      <c r="D9499" t="n">
        <v>12</v>
      </c>
    </row>
    <row r="9500">
      <c r="A9500" t="inlineStr">
        <is>
          <t>ED209687</t>
        </is>
      </c>
      <c r="B9500" s="56" t="n">
        <v>45864.67430555556</v>
      </c>
      <c r="C9500" t="inlineStr">
        <is>
          <t>Cedar Ridge Medical Center</t>
        </is>
      </c>
      <c r="D9500" t="n">
        <v>62</v>
      </c>
    </row>
    <row r="9501">
      <c r="A9501" t="inlineStr">
        <is>
          <t>ED209688</t>
        </is>
      </c>
      <c r="B9501" s="56" t="n">
        <v>45864.73958333334</v>
      </c>
      <c r="C9501" t="inlineStr">
        <is>
          <t>Bluestone Memorial Hospital</t>
        </is>
      </c>
      <c r="D9501" t="n">
        <v>95</v>
      </c>
    </row>
    <row r="9502">
      <c r="A9502" t="inlineStr">
        <is>
          <t>ED209689</t>
        </is>
      </c>
      <c r="B9502" s="56" t="n">
        <v>45864.77916666667</v>
      </c>
      <c r="C9502" t="inlineStr">
        <is>
          <t>Bluestone Memorial Hospital</t>
        </is>
      </c>
      <c r="D9502" t="n">
        <v>23</v>
      </c>
    </row>
    <row r="9503">
      <c r="A9503" t="inlineStr">
        <is>
          <t>ED209690</t>
        </is>
      </c>
      <c r="B9503" s="56" t="n">
        <v>45864.82986111111</v>
      </c>
      <c r="C9503" t="inlineStr">
        <is>
          <t>Bluestone Memorial Hospital</t>
        </is>
      </c>
      <c r="D9503" t="n">
        <v>11</v>
      </c>
    </row>
    <row r="9504">
      <c r="A9504" t="inlineStr">
        <is>
          <t>ED209691</t>
        </is>
      </c>
      <c r="B9504" s="56" t="n">
        <v>45865.29375</v>
      </c>
      <c r="C9504" t="inlineStr">
        <is>
          <t>Bluestone Memorial Hospital</t>
        </is>
      </c>
      <c r="D9504" t="n">
        <v>59</v>
      </c>
    </row>
    <row r="9505">
      <c r="A9505" t="inlineStr">
        <is>
          <t>ED209692</t>
        </is>
      </c>
      <c r="B9505" s="56" t="n">
        <v>45865.34027777778</v>
      </c>
      <c r="C9505" t="inlineStr">
        <is>
          <t>Bluestone Memorial Hospital</t>
        </is>
      </c>
      <c r="D9505" t="n">
        <v>39</v>
      </c>
    </row>
    <row r="9506">
      <c r="A9506" t="inlineStr">
        <is>
          <t>ED209693</t>
        </is>
      </c>
      <c r="B9506" s="56" t="n">
        <v>45865.34930555556</v>
      </c>
      <c r="C9506" t="inlineStr">
        <is>
          <t>Cedar Ridge Medical Center</t>
        </is>
      </c>
      <c r="D9506" t="n">
        <v>21</v>
      </c>
    </row>
    <row r="9507">
      <c r="A9507" t="inlineStr">
        <is>
          <t>ED209694</t>
        </is>
      </c>
      <c r="B9507" s="56" t="n">
        <v>45865.42777777778</v>
      </c>
      <c r="C9507" t="inlineStr">
        <is>
          <t>Bluestone Memorial Hospital</t>
        </is>
      </c>
      <c r="D9507" t="n">
        <v>39</v>
      </c>
    </row>
    <row r="9508">
      <c r="A9508" t="inlineStr">
        <is>
          <t>ED209695</t>
        </is>
      </c>
      <c r="B9508" s="56" t="n">
        <v>45865.46458333333</v>
      </c>
      <c r="C9508" t="inlineStr">
        <is>
          <t>Bluestone Memorial Hospital</t>
        </is>
      </c>
      <c r="D9508" t="n">
        <v>23</v>
      </c>
    </row>
    <row r="9509">
      <c r="A9509" t="inlineStr">
        <is>
          <t>ED209696</t>
        </is>
      </c>
      <c r="B9509" s="56" t="n">
        <v>45865.53125</v>
      </c>
      <c r="C9509" t="inlineStr">
        <is>
          <t>Bluestone Memorial Hospital</t>
        </is>
      </c>
      <c r="D9509" t="n">
        <v>12</v>
      </c>
    </row>
    <row r="9510">
      <c r="A9510" t="inlineStr">
        <is>
          <t>ED209697</t>
        </is>
      </c>
      <c r="B9510" s="56" t="n">
        <v>45865.53194444445</v>
      </c>
      <c r="C9510" t="inlineStr">
        <is>
          <t>Bluestone Memorial Hospital</t>
        </is>
      </c>
      <c r="D9510" t="n">
        <v>25</v>
      </c>
    </row>
    <row r="9511">
      <c r="A9511" t="inlineStr">
        <is>
          <t>ED209698</t>
        </is>
      </c>
      <c r="B9511" s="56" t="n">
        <v>45865.5375</v>
      </c>
      <c r="C9511" t="inlineStr">
        <is>
          <t>Bluestone Memorial Hospital</t>
        </is>
      </c>
      <c r="D9511" t="n">
        <v>133</v>
      </c>
    </row>
    <row r="9512">
      <c r="A9512" t="inlineStr">
        <is>
          <t>ED209699</t>
        </is>
      </c>
      <c r="B9512" s="56" t="n">
        <v>45865.55138888889</v>
      </c>
      <c r="C9512" t="inlineStr">
        <is>
          <t>Bluestone Memorial Hospital</t>
        </is>
      </c>
      <c r="D9512" t="n">
        <v>46</v>
      </c>
    </row>
    <row r="9513">
      <c r="A9513" t="inlineStr">
        <is>
          <t>ED209700</t>
        </is>
      </c>
      <c r="B9513" s="56" t="n">
        <v>45865.60208333333</v>
      </c>
      <c r="C9513" t="inlineStr">
        <is>
          <t>Ashby Falls Community Hospital</t>
        </is>
      </c>
      <c r="D9513" t="n">
        <v>75</v>
      </c>
    </row>
    <row r="9514">
      <c r="A9514" t="inlineStr">
        <is>
          <t>ED209701</t>
        </is>
      </c>
      <c r="B9514" s="56" t="n">
        <v>45865.64097222222</v>
      </c>
      <c r="C9514" t="inlineStr">
        <is>
          <t>Bluestone Memorial Hospital</t>
        </is>
      </c>
      <c r="D9514" t="n">
        <v>5</v>
      </c>
    </row>
    <row r="9515">
      <c r="A9515" t="inlineStr">
        <is>
          <t>ED209702</t>
        </is>
      </c>
      <c r="B9515" s="56" t="n">
        <v>45865.65694444445</v>
      </c>
      <c r="C9515" t="inlineStr">
        <is>
          <t>Ashby Falls Community Hospital</t>
        </is>
      </c>
      <c r="D9515" t="n">
        <v>95</v>
      </c>
    </row>
    <row r="9516">
      <c r="A9516" t="inlineStr">
        <is>
          <t>ED209703</t>
        </is>
      </c>
      <c r="B9516" s="56" t="n">
        <v>45865.79236111111</v>
      </c>
      <c r="C9516" t="inlineStr">
        <is>
          <t>Bluestone Memorial Hospital</t>
        </is>
      </c>
      <c r="D9516" t="n">
        <v>17</v>
      </c>
    </row>
    <row r="9517">
      <c r="A9517" t="inlineStr">
        <is>
          <t>ED209704</t>
        </is>
      </c>
      <c r="B9517" s="56" t="n">
        <v>45865.95277777778</v>
      </c>
      <c r="C9517" t="inlineStr">
        <is>
          <t>Bluestone Memorial Hospital</t>
        </is>
      </c>
      <c r="D9517" t="n">
        <v>9</v>
      </c>
    </row>
    <row r="9518">
      <c r="A9518" t="inlineStr">
        <is>
          <t>ED209705</t>
        </is>
      </c>
      <c r="B9518" s="56" t="n">
        <v>45866.07708333333</v>
      </c>
      <c r="C9518" t="inlineStr">
        <is>
          <t>Bluestone Memorial Hospital</t>
        </is>
      </c>
      <c r="D9518" t="n">
        <v>15</v>
      </c>
    </row>
    <row r="9519">
      <c r="A9519" t="inlineStr">
        <is>
          <t>ED209706</t>
        </is>
      </c>
      <c r="B9519" s="56" t="n">
        <v>45866.08263888889</v>
      </c>
      <c r="C9519" t="inlineStr">
        <is>
          <t>Bluestone Memorial Hospital</t>
        </is>
      </c>
      <c r="D9519" t="n">
        <v>56</v>
      </c>
    </row>
    <row r="9520">
      <c r="A9520" t="inlineStr">
        <is>
          <t>ED209707</t>
        </is>
      </c>
      <c r="B9520" s="56" t="n">
        <v>45866.31111111111</v>
      </c>
      <c r="C9520" t="inlineStr">
        <is>
          <t>Ashby Falls Community Hospital</t>
        </is>
      </c>
      <c r="D9520" t="n">
        <v>42</v>
      </c>
    </row>
    <row r="9521">
      <c r="A9521" t="inlineStr">
        <is>
          <t>ED209708</t>
        </is>
      </c>
      <c r="B9521" s="56" t="n">
        <v>45866.34791666667</v>
      </c>
      <c r="C9521" t="inlineStr">
        <is>
          <t>Bluestone Memorial Hospital</t>
        </is>
      </c>
      <c r="D9521" t="n">
        <v>25</v>
      </c>
    </row>
    <row r="9522">
      <c r="A9522" t="inlineStr">
        <is>
          <t>ED209709</t>
        </is>
      </c>
      <c r="B9522" s="56" t="n">
        <v>45866.38541666666</v>
      </c>
      <c r="C9522" t="inlineStr">
        <is>
          <t>Bluestone Memorial Hospital</t>
        </is>
      </c>
      <c r="D9522" t="n">
        <v>19</v>
      </c>
    </row>
    <row r="9523">
      <c r="A9523" t="inlineStr">
        <is>
          <t>ED209710</t>
        </is>
      </c>
      <c r="B9523" s="56" t="n">
        <v>45866.41458333333</v>
      </c>
      <c r="C9523" t="inlineStr">
        <is>
          <t>Bluestone Memorial Hospital</t>
        </is>
      </c>
      <c r="D9523" t="n">
        <v>19</v>
      </c>
    </row>
    <row r="9524">
      <c r="A9524" t="inlineStr">
        <is>
          <t>ED209711</t>
        </is>
      </c>
      <c r="B9524" s="56" t="n">
        <v>45866.43611111111</v>
      </c>
      <c r="C9524" t="inlineStr">
        <is>
          <t>Bluestone Memorial Hospital</t>
        </is>
      </c>
      <c r="D9524" t="n">
        <v>6</v>
      </c>
    </row>
    <row r="9525">
      <c r="A9525" t="inlineStr">
        <is>
          <t>ED209712</t>
        </is>
      </c>
      <c r="B9525" s="56" t="n">
        <v>45866.50555555556</v>
      </c>
      <c r="C9525" t="inlineStr">
        <is>
          <t>Ashby Falls Community Hospital</t>
        </is>
      </c>
      <c r="D9525" t="n">
        <v>54</v>
      </c>
    </row>
    <row r="9526">
      <c r="A9526" t="inlineStr">
        <is>
          <t>ED209713</t>
        </is>
      </c>
      <c r="B9526" s="56" t="n">
        <v>45866.51388888889</v>
      </c>
      <c r="C9526" t="inlineStr">
        <is>
          <t>Bluestone Memorial Hospital</t>
        </is>
      </c>
      <c r="D9526" t="n">
        <v>52</v>
      </c>
    </row>
    <row r="9527">
      <c r="A9527" t="inlineStr">
        <is>
          <t>ED209714</t>
        </is>
      </c>
      <c r="B9527" s="56" t="n">
        <v>45866.53125</v>
      </c>
      <c r="C9527" t="inlineStr">
        <is>
          <t>Cedar Ridge Medical Center</t>
        </is>
      </c>
      <c r="D9527" t="n">
        <v>45</v>
      </c>
    </row>
    <row r="9528">
      <c r="A9528" t="inlineStr">
        <is>
          <t>ED209715</t>
        </is>
      </c>
      <c r="B9528" s="56" t="n">
        <v>45866.55625</v>
      </c>
      <c r="C9528" t="inlineStr">
        <is>
          <t>Bluestone Memorial Hospital</t>
        </is>
      </c>
      <c r="D9528" t="n">
        <v>67</v>
      </c>
    </row>
    <row r="9529">
      <c r="A9529" t="inlineStr">
        <is>
          <t>ED209716</t>
        </is>
      </c>
      <c r="B9529" s="56" t="n">
        <v>45866.58194444444</v>
      </c>
      <c r="C9529" t="inlineStr">
        <is>
          <t>Bluestone Memorial Hospital</t>
        </is>
      </c>
      <c r="D9529" t="n">
        <v>85</v>
      </c>
    </row>
    <row r="9530">
      <c r="A9530" t="inlineStr">
        <is>
          <t>ED209717</t>
        </is>
      </c>
      <c r="B9530" s="56" t="n">
        <v>45866.59166666667</v>
      </c>
      <c r="C9530" t="inlineStr">
        <is>
          <t>Cedar Ridge Medical Center</t>
        </is>
      </c>
      <c r="D9530" t="n">
        <v>42</v>
      </c>
    </row>
    <row r="9531">
      <c r="A9531" t="inlineStr">
        <is>
          <t>ED209718</t>
        </is>
      </c>
      <c r="B9531" s="56" t="n">
        <v>45866.62083333333</v>
      </c>
      <c r="C9531" t="inlineStr">
        <is>
          <t>Bluestone Memorial Hospital</t>
        </is>
      </c>
      <c r="D9531" t="n">
        <v>3</v>
      </c>
    </row>
    <row r="9532">
      <c r="A9532" t="inlineStr">
        <is>
          <t>ED209719</t>
        </is>
      </c>
      <c r="B9532" s="56" t="n">
        <v>45866.63125</v>
      </c>
      <c r="C9532" t="inlineStr">
        <is>
          <t>Bluestone Memorial Hospital</t>
        </is>
      </c>
      <c r="D9532" t="n">
        <v>23</v>
      </c>
    </row>
    <row r="9533">
      <c r="A9533" t="inlineStr">
        <is>
          <t>ED209720</t>
        </is>
      </c>
      <c r="B9533" s="56" t="n">
        <v>45866.67916666667</v>
      </c>
      <c r="C9533" t="inlineStr">
        <is>
          <t>Bluestone Memorial Hospital</t>
        </is>
      </c>
      <c r="D9533" t="n">
        <v>22</v>
      </c>
    </row>
    <row r="9534">
      <c r="A9534" t="inlineStr">
        <is>
          <t>ED209721</t>
        </is>
      </c>
      <c r="B9534" s="56" t="n">
        <v>45866.69791666666</v>
      </c>
      <c r="C9534" t="inlineStr">
        <is>
          <t>Cedar Ridge Medical Center</t>
        </is>
      </c>
      <c r="D9534" t="n">
        <v>38</v>
      </c>
    </row>
    <row r="9535">
      <c r="A9535" t="inlineStr">
        <is>
          <t>ED209722</t>
        </is>
      </c>
      <c r="B9535" s="56" t="n">
        <v>45866.77083333334</v>
      </c>
      <c r="C9535" t="inlineStr">
        <is>
          <t>Ashby Falls Community Hospital</t>
        </is>
      </c>
      <c r="D9535" t="n">
        <v>48</v>
      </c>
    </row>
    <row r="9536">
      <c r="A9536" t="inlineStr">
        <is>
          <t>ED209724</t>
        </is>
      </c>
      <c r="B9536" s="56" t="n">
        <v>45866.80486111111</v>
      </c>
      <c r="C9536" t="inlineStr">
        <is>
          <t>Bluestone Memorial Hospital</t>
        </is>
      </c>
      <c r="D9536" t="n">
        <v>23</v>
      </c>
    </row>
    <row r="9537">
      <c r="A9537" t="inlineStr">
        <is>
          <t>ED209725</t>
        </is>
      </c>
      <c r="B9537" s="56" t="n">
        <v>45866.82222222222</v>
      </c>
      <c r="C9537" t="inlineStr">
        <is>
          <t>Bluestone Memorial Hospital</t>
        </is>
      </c>
      <c r="D9537" t="n">
        <v>33</v>
      </c>
    </row>
    <row r="9538">
      <c r="A9538" t="inlineStr">
        <is>
          <t>ED209726</t>
        </is>
      </c>
      <c r="B9538" s="56" t="n">
        <v>45866.82222222222</v>
      </c>
      <c r="C9538" t="inlineStr">
        <is>
          <t>Ashby Falls Community Hospital</t>
        </is>
      </c>
      <c r="D9538" t="n">
        <v>26</v>
      </c>
    </row>
    <row r="9539">
      <c r="A9539" t="inlineStr">
        <is>
          <t>ED209727</t>
        </is>
      </c>
      <c r="B9539" s="56" t="n">
        <v>45866.83333333334</v>
      </c>
      <c r="C9539" t="inlineStr">
        <is>
          <t>Cedar Ridge Medical Center</t>
        </is>
      </c>
      <c r="D9539" t="n">
        <v>32</v>
      </c>
    </row>
    <row r="9540">
      <c r="A9540" t="inlineStr">
        <is>
          <t>ED209728</t>
        </is>
      </c>
      <c r="B9540" s="56" t="n">
        <v>45866.91527777778</v>
      </c>
      <c r="C9540" t="inlineStr">
        <is>
          <t>Bluestone Memorial Hospital</t>
        </is>
      </c>
      <c r="D9540" t="n">
        <v>60</v>
      </c>
    </row>
    <row r="9541">
      <c r="A9541" t="inlineStr">
        <is>
          <t>ED209729</t>
        </is>
      </c>
      <c r="B9541" s="56" t="n">
        <v>45866.97291666667</v>
      </c>
      <c r="C9541" t="inlineStr">
        <is>
          <t>Bluestone Memorial Hospital</t>
        </is>
      </c>
      <c r="D9541" t="n">
        <v>14</v>
      </c>
    </row>
    <row r="9542">
      <c r="A9542" t="inlineStr">
        <is>
          <t>ED209730</t>
        </is>
      </c>
      <c r="B9542" s="56" t="n">
        <v>45867.33125</v>
      </c>
      <c r="C9542" t="inlineStr">
        <is>
          <t>Bluestone Memorial Hospital</t>
        </is>
      </c>
      <c r="D9542" t="n">
        <v>15</v>
      </c>
    </row>
    <row r="9543">
      <c r="A9543" t="inlineStr">
        <is>
          <t>ED209731</t>
        </is>
      </c>
      <c r="B9543" s="56" t="n">
        <v>45867.35</v>
      </c>
      <c r="C9543" t="inlineStr">
        <is>
          <t>Ashby Falls Community Hospital</t>
        </is>
      </c>
      <c r="D9543" t="n">
        <v>40</v>
      </c>
    </row>
    <row r="9544">
      <c r="A9544" t="inlineStr">
        <is>
          <t>ED209732</t>
        </is>
      </c>
      <c r="B9544" s="56" t="n">
        <v>45867.36597222222</v>
      </c>
      <c r="C9544" t="inlineStr">
        <is>
          <t>Cedar Ridge Medical Center</t>
        </is>
      </c>
      <c r="D9544" t="n">
        <v>124</v>
      </c>
    </row>
    <row r="9545">
      <c r="A9545" t="inlineStr">
        <is>
          <t>ED209733</t>
        </is>
      </c>
      <c r="B9545" s="56" t="n">
        <v>45867.37291666667</v>
      </c>
      <c r="C9545" t="inlineStr">
        <is>
          <t>Bluestone Memorial Hospital</t>
        </is>
      </c>
      <c r="D9545" t="n">
        <v>43</v>
      </c>
    </row>
    <row r="9546">
      <c r="A9546" t="inlineStr">
        <is>
          <t>ED209734</t>
        </is>
      </c>
      <c r="B9546" s="56" t="n">
        <v>45867.38263888889</v>
      </c>
      <c r="C9546" t="inlineStr">
        <is>
          <t>Bluestone Memorial Hospital</t>
        </is>
      </c>
      <c r="D9546" t="n">
        <v>47</v>
      </c>
    </row>
    <row r="9547">
      <c r="A9547" t="inlineStr">
        <is>
          <t>ED209735</t>
        </is>
      </c>
      <c r="B9547" s="56" t="n">
        <v>45867.46319444444</v>
      </c>
      <c r="C9547" t="inlineStr">
        <is>
          <t>Bluestone Memorial Hospital</t>
        </is>
      </c>
      <c r="D9547" t="n">
        <v>102</v>
      </c>
    </row>
    <row r="9548">
      <c r="A9548" t="inlineStr">
        <is>
          <t>ED209736</t>
        </is>
      </c>
      <c r="B9548" s="56" t="n">
        <v>45867.50069444445</v>
      </c>
      <c r="C9548" t="inlineStr">
        <is>
          <t>Bluestone Memorial Hospital</t>
        </is>
      </c>
      <c r="D9548" t="n">
        <v>9</v>
      </c>
    </row>
    <row r="9549">
      <c r="A9549" t="inlineStr">
        <is>
          <t>ED209737</t>
        </is>
      </c>
      <c r="B9549" s="56" t="n">
        <v>45867.54097222222</v>
      </c>
      <c r="C9549" t="inlineStr">
        <is>
          <t>Bluestone Memorial Hospital</t>
        </is>
      </c>
      <c r="D9549" t="n">
        <v>36</v>
      </c>
    </row>
    <row r="9550">
      <c r="A9550" t="inlineStr">
        <is>
          <t>ED209738</t>
        </is>
      </c>
      <c r="B9550" s="56" t="n">
        <v>45867.60208333333</v>
      </c>
      <c r="C9550" t="inlineStr">
        <is>
          <t>Bluestone Memorial Hospital</t>
        </is>
      </c>
      <c r="D9550" t="n">
        <v>39</v>
      </c>
    </row>
    <row r="9551">
      <c r="A9551" t="inlineStr">
        <is>
          <t>ED209739</t>
        </is>
      </c>
      <c r="B9551" s="56" t="n">
        <v>45867.61875</v>
      </c>
      <c r="C9551" t="inlineStr">
        <is>
          <t>Bluestone Memorial Hospital</t>
        </is>
      </c>
      <c r="D9551" t="n">
        <v>36</v>
      </c>
    </row>
    <row r="9552">
      <c r="A9552" t="inlineStr">
        <is>
          <t>ED209740</t>
        </is>
      </c>
      <c r="B9552" s="56" t="n">
        <v>45867.62222222222</v>
      </c>
      <c r="C9552" t="inlineStr">
        <is>
          <t>Bluestone Memorial Hospital</t>
        </is>
      </c>
      <c r="D9552" t="n">
        <v>24</v>
      </c>
    </row>
    <row r="9553">
      <c r="A9553" t="inlineStr">
        <is>
          <t>ED209741</t>
        </is>
      </c>
      <c r="B9553" s="56" t="n">
        <v>45867.70902777778</v>
      </c>
      <c r="C9553" t="inlineStr">
        <is>
          <t>Bluestone Memorial Hospital</t>
        </is>
      </c>
      <c r="D9553" t="n">
        <v>70</v>
      </c>
    </row>
    <row r="9554">
      <c r="A9554" t="inlineStr">
        <is>
          <t>ED209742</t>
        </is>
      </c>
      <c r="B9554" s="56" t="n">
        <v>45867.71666666667</v>
      </c>
      <c r="C9554" t="inlineStr">
        <is>
          <t>Ashby Falls Community Hospital</t>
        </is>
      </c>
      <c r="D9554" t="n">
        <v>74</v>
      </c>
    </row>
    <row r="9555">
      <c r="A9555" t="inlineStr">
        <is>
          <t>ED209743</t>
        </is>
      </c>
      <c r="B9555" s="56" t="n">
        <v>45867.74791666667</v>
      </c>
      <c r="C9555" t="inlineStr">
        <is>
          <t>Bluestone Memorial Hospital</t>
        </is>
      </c>
      <c r="D9555" t="n">
        <v>64</v>
      </c>
    </row>
    <row r="9556">
      <c r="A9556" t="inlineStr">
        <is>
          <t>ED209744</t>
        </is>
      </c>
      <c r="B9556" s="56" t="n">
        <v>45867.7875</v>
      </c>
      <c r="C9556" t="inlineStr">
        <is>
          <t>Bluestone Memorial Hospital</t>
        </is>
      </c>
      <c r="D9556" t="n">
        <v>31</v>
      </c>
    </row>
    <row r="9557">
      <c r="A9557" t="inlineStr">
        <is>
          <t>ED209745</t>
        </is>
      </c>
      <c r="B9557" s="56" t="n">
        <v>45867.79305555556</v>
      </c>
      <c r="C9557" t="inlineStr">
        <is>
          <t>Bluestone Memorial Hospital</t>
        </is>
      </c>
      <c r="D9557" t="n">
        <v>44</v>
      </c>
    </row>
    <row r="9558">
      <c r="A9558" t="inlineStr">
        <is>
          <t>ED209746</t>
        </is>
      </c>
      <c r="B9558" s="56" t="n">
        <v>45867.80486111111</v>
      </c>
      <c r="C9558" t="inlineStr">
        <is>
          <t>Bluestone Memorial Hospital</t>
        </is>
      </c>
      <c r="D9558" t="n">
        <v>19</v>
      </c>
    </row>
    <row r="9559">
      <c r="A9559" t="inlineStr">
        <is>
          <t>ED209747</t>
        </is>
      </c>
      <c r="B9559" s="56" t="n">
        <v>45867.81875</v>
      </c>
      <c r="C9559" t="inlineStr">
        <is>
          <t>Ashby Falls Community Hospital</t>
        </is>
      </c>
      <c r="D9559" t="n">
        <v>82</v>
      </c>
    </row>
    <row r="9560">
      <c r="A9560" t="inlineStr">
        <is>
          <t>ED209748</t>
        </is>
      </c>
      <c r="B9560" s="56" t="n">
        <v>45867.83194444444</v>
      </c>
      <c r="C9560" t="inlineStr">
        <is>
          <t>Bluestone Memorial Hospital</t>
        </is>
      </c>
      <c r="D9560" t="n">
        <v>30</v>
      </c>
    </row>
    <row r="9561">
      <c r="A9561" t="inlineStr">
        <is>
          <t>ED209749</t>
        </is>
      </c>
      <c r="B9561" s="56" t="n">
        <v>45867.90694444445</v>
      </c>
      <c r="C9561" t="inlineStr">
        <is>
          <t>Cedar Ridge Medical Center</t>
        </is>
      </c>
      <c r="D9561" t="n">
        <v>11</v>
      </c>
    </row>
    <row r="9562">
      <c r="A9562" t="inlineStr">
        <is>
          <t>ED209750</t>
        </is>
      </c>
      <c r="B9562" s="56" t="n">
        <v>45868.32708333333</v>
      </c>
      <c r="C9562" t="inlineStr">
        <is>
          <t>Bluestone Memorial Hospital</t>
        </is>
      </c>
      <c r="D9562" t="n">
        <v>51</v>
      </c>
    </row>
    <row r="9563">
      <c r="A9563" t="inlineStr">
        <is>
          <t>ED209751</t>
        </is>
      </c>
      <c r="B9563" s="56" t="n">
        <v>45868.34861111111</v>
      </c>
      <c r="C9563" t="inlineStr">
        <is>
          <t>Ashby Falls Community Hospital</t>
        </is>
      </c>
      <c r="D9563" t="n">
        <v>19</v>
      </c>
    </row>
    <row r="9564">
      <c r="A9564" t="inlineStr">
        <is>
          <t>ED209752</t>
        </is>
      </c>
      <c r="B9564" s="56" t="n">
        <v>45868.40902777778</v>
      </c>
      <c r="C9564" t="inlineStr">
        <is>
          <t>Ashby Falls Community Hospital</t>
        </is>
      </c>
      <c r="D9564" t="n">
        <v>12</v>
      </c>
    </row>
    <row r="9565">
      <c r="A9565" t="inlineStr">
        <is>
          <t>ED209753</t>
        </is>
      </c>
      <c r="B9565" s="56" t="n">
        <v>45868.47361111111</v>
      </c>
      <c r="C9565" t="inlineStr">
        <is>
          <t>Bluestone Memorial Hospital</t>
        </is>
      </c>
      <c r="D9565" t="n">
        <v>23</v>
      </c>
    </row>
    <row r="9566">
      <c r="A9566" t="inlineStr">
        <is>
          <t>ED209754</t>
        </is>
      </c>
      <c r="B9566" s="56" t="n">
        <v>45868.55138888889</v>
      </c>
      <c r="C9566" t="inlineStr">
        <is>
          <t>Bluestone Memorial Hospital</t>
        </is>
      </c>
      <c r="D9566" t="n">
        <v>66</v>
      </c>
    </row>
    <row r="9567">
      <c r="A9567" t="inlineStr">
        <is>
          <t>ED209755</t>
        </is>
      </c>
      <c r="B9567" s="56" t="n">
        <v>45868.62430555555</v>
      </c>
      <c r="C9567" t="inlineStr">
        <is>
          <t>Cedar Ridge Medical Center</t>
        </is>
      </c>
      <c r="D9567" t="n">
        <v>62</v>
      </c>
    </row>
    <row r="9568">
      <c r="A9568" t="inlineStr">
        <is>
          <t>ED209756</t>
        </is>
      </c>
      <c r="B9568" s="56" t="n">
        <v>45868.71111111111</v>
      </c>
      <c r="C9568" t="inlineStr">
        <is>
          <t>Bluestone Memorial Hospital</t>
        </is>
      </c>
      <c r="D9568" t="n">
        <v>86</v>
      </c>
    </row>
    <row r="9569">
      <c r="A9569" t="inlineStr">
        <is>
          <t>ED209757</t>
        </is>
      </c>
      <c r="B9569" s="56" t="n">
        <v>45868.86736111111</v>
      </c>
      <c r="C9569" t="inlineStr">
        <is>
          <t>Bluestone Memorial Hospital</t>
        </is>
      </c>
      <c r="D9569" t="n">
        <v>25</v>
      </c>
    </row>
    <row r="9570">
      <c r="A9570" t="inlineStr">
        <is>
          <t>ED209758</t>
        </is>
      </c>
      <c r="B9570" s="56" t="n">
        <v>45869.26319444444</v>
      </c>
      <c r="C9570" t="inlineStr">
        <is>
          <t>Bluestone Memorial Hospital</t>
        </is>
      </c>
      <c r="D9570" t="n">
        <v>9</v>
      </c>
    </row>
    <row r="9571">
      <c r="A9571" t="inlineStr">
        <is>
          <t>ED209759</t>
        </is>
      </c>
      <c r="B9571" s="56" t="n">
        <v>45869.31666666667</v>
      </c>
      <c r="C9571" t="inlineStr">
        <is>
          <t>Cedar Ridge Medical Center</t>
        </is>
      </c>
      <c r="D9571" t="n">
        <v>5</v>
      </c>
    </row>
    <row r="9572">
      <c r="A9572" t="inlineStr">
        <is>
          <t>ED209760</t>
        </is>
      </c>
      <c r="B9572" s="56" t="n">
        <v>45869.40277777778</v>
      </c>
      <c r="C9572" t="inlineStr">
        <is>
          <t>Bluestone Memorial Hospital</t>
        </is>
      </c>
      <c r="D9572" t="n">
        <v>23</v>
      </c>
    </row>
    <row r="9573">
      <c r="A9573" t="inlineStr">
        <is>
          <t>ED209761</t>
        </is>
      </c>
      <c r="B9573" s="56" t="n">
        <v>45869.49583333333</v>
      </c>
      <c r="C9573" t="inlineStr">
        <is>
          <t>Bluestone Memorial Hospital</t>
        </is>
      </c>
      <c r="D9573" t="n">
        <v>17</v>
      </c>
    </row>
    <row r="9574">
      <c r="A9574" t="inlineStr">
        <is>
          <t>ED209762</t>
        </is>
      </c>
      <c r="B9574" s="56" t="n">
        <v>45869.55</v>
      </c>
      <c r="C9574" t="inlineStr">
        <is>
          <t>Ashby Falls Community Hospital</t>
        </is>
      </c>
      <c r="D9574" t="n">
        <v>77</v>
      </c>
    </row>
    <row r="9575">
      <c r="A9575" t="inlineStr">
        <is>
          <t>ED209763</t>
        </is>
      </c>
      <c r="B9575" s="56" t="n">
        <v>45869.56458333333</v>
      </c>
      <c r="C9575" t="inlineStr">
        <is>
          <t>Cedar Ridge Medical Center</t>
        </is>
      </c>
      <c r="D9575" t="n">
        <v>66</v>
      </c>
    </row>
    <row r="9576">
      <c r="A9576" t="inlineStr">
        <is>
          <t>ED209764</t>
        </is>
      </c>
      <c r="B9576" s="56" t="n">
        <v>45869.57986111111</v>
      </c>
      <c r="C9576" t="inlineStr">
        <is>
          <t>Bluestone Memorial Hospital</t>
        </is>
      </c>
      <c r="D9576" t="n">
        <v>36</v>
      </c>
    </row>
    <row r="9577">
      <c r="A9577" t="inlineStr">
        <is>
          <t>ED209765</t>
        </is>
      </c>
      <c r="B9577" s="56" t="n">
        <v>45869.64583333334</v>
      </c>
      <c r="C9577" t="inlineStr">
        <is>
          <t>Cedar Ridge Medical Center</t>
        </is>
      </c>
      <c r="D9577" t="n">
        <v>17</v>
      </c>
    </row>
    <row r="9578">
      <c r="A9578" t="inlineStr">
        <is>
          <t>ED209766</t>
        </is>
      </c>
      <c r="B9578" s="56" t="n">
        <v>45869.67986111111</v>
      </c>
      <c r="C9578" t="inlineStr">
        <is>
          <t>Bluestone Memorial Hospital</t>
        </is>
      </c>
      <c r="D9578" t="n">
        <v>12</v>
      </c>
    </row>
    <row r="9579">
      <c r="A9579" t="inlineStr">
        <is>
          <t>ED209767</t>
        </is>
      </c>
      <c r="B9579" s="56" t="n">
        <v>45869.68541666667</v>
      </c>
      <c r="C9579" t="inlineStr">
        <is>
          <t>Bluestone Memorial Hospital</t>
        </is>
      </c>
      <c r="D9579" t="n">
        <v>28</v>
      </c>
    </row>
    <row r="9580">
      <c r="A9580" t="inlineStr">
        <is>
          <t>ED209768</t>
        </is>
      </c>
      <c r="B9580" s="56" t="n">
        <v>45869.69027777778</v>
      </c>
      <c r="C9580" t="inlineStr">
        <is>
          <t>Ashby Falls Community Hospital</t>
        </is>
      </c>
      <c r="D9580" t="n">
        <v>114</v>
      </c>
    </row>
    <row r="9581">
      <c r="A9581" t="inlineStr">
        <is>
          <t>ED209769</t>
        </is>
      </c>
      <c r="B9581" s="56" t="n">
        <v>45869.77777777778</v>
      </c>
      <c r="C9581" t="inlineStr">
        <is>
          <t>Bluestone Memorial Hospital</t>
        </is>
      </c>
      <c r="D9581" t="n">
        <v>90</v>
      </c>
    </row>
    <row r="9582">
      <c r="A9582" t="inlineStr">
        <is>
          <t>ED209770</t>
        </is>
      </c>
      <c r="B9582" s="56" t="n">
        <v>45869.85902777778</v>
      </c>
      <c r="C9582" t="inlineStr">
        <is>
          <t>Bluestone Memorial Hospital</t>
        </is>
      </c>
      <c r="D9582" t="n">
        <v>36</v>
      </c>
    </row>
    <row r="9583">
      <c r="A9583" t="inlineStr">
        <is>
          <t>ED209771</t>
        </is>
      </c>
      <c r="B9583" s="56" t="n">
        <v>45869.88541666666</v>
      </c>
      <c r="C9583" t="inlineStr">
        <is>
          <t>Ashby Falls Community Hospital</t>
        </is>
      </c>
      <c r="D9583" t="n">
        <v>72</v>
      </c>
    </row>
    <row r="9584">
      <c r="A9584" t="inlineStr">
        <is>
          <t>ED209772</t>
        </is>
      </c>
      <c r="B9584" s="56" t="n">
        <v>45870.03472222222</v>
      </c>
      <c r="C9584" t="inlineStr">
        <is>
          <t>Bluestone Memorial Hospital</t>
        </is>
      </c>
      <c r="D9584" t="n">
        <v>41</v>
      </c>
    </row>
    <row r="9585">
      <c r="A9585" t="inlineStr">
        <is>
          <t>ED209773</t>
        </is>
      </c>
      <c r="B9585" s="56" t="n">
        <v>45870.19236111111</v>
      </c>
      <c r="C9585" t="inlineStr">
        <is>
          <t>Bluestone Memorial Hospital</t>
        </is>
      </c>
      <c r="D9585" t="n">
        <v>14</v>
      </c>
    </row>
    <row r="9586">
      <c r="A9586" t="inlineStr">
        <is>
          <t>ED209774</t>
        </is>
      </c>
      <c r="B9586" s="56" t="n">
        <v>45870.27847222222</v>
      </c>
      <c r="C9586" t="inlineStr">
        <is>
          <t>Bluestone Memorial Hospital</t>
        </is>
      </c>
      <c r="D9586" t="n">
        <v>34</v>
      </c>
    </row>
    <row r="9587">
      <c r="A9587" t="inlineStr">
        <is>
          <t>ED209775</t>
        </is>
      </c>
      <c r="B9587" s="56" t="n">
        <v>45870.34236111111</v>
      </c>
      <c r="C9587" t="inlineStr">
        <is>
          <t>Ashby Falls Community Hospital</t>
        </is>
      </c>
      <c r="D9587" t="n">
        <v>47</v>
      </c>
    </row>
    <row r="9588">
      <c r="A9588" t="inlineStr">
        <is>
          <t>ED209776</t>
        </is>
      </c>
      <c r="B9588" s="56" t="n">
        <v>45870.40277777778</v>
      </c>
      <c r="C9588" t="inlineStr">
        <is>
          <t>Bluestone Memorial Hospital</t>
        </is>
      </c>
      <c r="D9588" t="n">
        <v>23</v>
      </c>
    </row>
    <row r="9589">
      <c r="A9589" t="inlineStr">
        <is>
          <t>ED209777</t>
        </is>
      </c>
      <c r="B9589" s="56" t="n">
        <v>45870.49305555555</v>
      </c>
      <c r="C9589" t="inlineStr">
        <is>
          <t>Bluestone Memorial Hospital</t>
        </is>
      </c>
      <c r="D9589" t="n">
        <v>42</v>
      </c>
    </row>
    <row r="9590">
      <c r="A9590" t="inlineStr">
        <is>
          <t>ED209778</t>
        </is>
      </c>
      <c r="B9590" s="56" t="n">
        <v>45870.53680555556</v>
      </c>
      <c r="C9590" t="inlineStr">
        <is>
          <t>Ashby Falls Community Hospital</t>
        </is>
      </c>
      <c r="D9590" t="n">
        <v>79</v>
      </c>
    </row>
    <row r="9591">
      <c r="A9591" t="inlineStr">
        <is>
          <t>ED209779</t>
        </is>
      </c>
      <c r="B9591" s="56" t="n">
        <v>45870.61736111111</v>
      </c>
      <c r="C9591" t="inlineStr">
        <is>
          <t>Bluestone Memorial Hospital</t>
        </is>
      </c>
      <c r="D9591" t="n">
        <v>38</v>
      </c>
    </row>
    <row r="9592">
      <c r="A9592" t="inlineStr">
        <is>
          <t>ED209780</t>
        </is>
      </c>
      <c r="B9592" s="56" t="n">
        <v>45870.67083333333</v>
      </c>
      <c r="C9592" t="inlineStr">
        <is>
          <t>Bluestone Memorial Hospital</t>
        </is>
      </c>
      <c r="D9592" t="n">
        <v>29</v>
      </c>
    </row>
    <row r="9593">
      <c r="A9593" t="inlineStr">
        <is>
          <t>ED209781</t>
        </is>
      </c>
      <c r="B9593" s="56" t="n">
        <v>45870.77222222222</v>
      </c>
      <c r="C9593" t="inlineStr">
        <is>
          <t>Cedar Ridge Medical Center</t>
        </is>
      </c>
      <c r="D9593" t="n">
        <v>133</v>
      </c>
    </row>
    <row r="9594">
      <c r="A9594" t="inlineStr">
        <is>
          <t>ED209782</t>
        </is>
      </c>
      <c r="B9594" s="56" t="n">
        <v>45870.87916666667</v>
      </c>
      <c r="C9594" t="inlineStr">
        <is>
          <t>Cedar Ridge Medical Center</t>
        </is>
      </c>
      <c r="D9594" t="n">
        <v>92</v>
      </c>
    </row>
    <row r="9595">
      <c r="A9595" t="inlineStr">
        <is>
          <t>ED209783</t>
        </is>
      </c>
      <c r="B9595" s="56" t="n">
        <v>45870.88402777778</v>
      </c>
      <c r="C9595" t="inlineStr">
        <is>
          <t>Ashby Falls Community Hospital</t>
        </is>
      </c>
      <c r="D9595" t="n">
        <v>57</v>
      </c>
    </row>
    <row r="9596">
      <c r="A9596" t="inlineStr">
        <is>
          <t>ED209784</t>
        </is>
      </c>
      <c r="B9596" s="56" t="n">
        <v>45870.88958333333</v>
      </c>
      <c r="C9596" t="inlineStr">
        <is>
          <t>Bluestone Memorial Hospital</t>
        </is>
      </c>
      <c r="D9596" t="n">
        <v>28</v>
      </c>
    </row>
    <row r="9597">
      <c r="A9597" t="inlineStr">
        <is>
          <t>ED209785</t>
        </is>
      </c>
      <c r="B9597" s="56" t="n">
        <v>45871.00416666667</v>
      </c>
      <c r="C9597" t="inlineStr">
        <is>
          <t>Bluestone Memorial Hospital</t>
        </is>
      </c>
      <c r="D9597" t="n">
        <v>37</v>
      </c>
    </row>
    <row r="9598">
      <c r="A9598" t="inlineStr">
        <is>
          <t>ED209786</t>
        </is>
      </c>
      <c r="B9598" s="56" t="n">
        <v>45871.28333333333</v>
      </c>
      <c r="C9598" t="inlineStr">
        <is>
          <t>Bluestone Memorial Hospital</t>
        </is>
      </c>
      <c r="D9598" t="n">
        <v>33</v>
      </c>
    </row>
    <row r="9599">
      <c r="A9599" t="inlineStr">
        <is>
          <t>ED209787</t>
        </is>
      </c>
      <c r="B9599" s="56" t="n">
        <v>45871.4</v>
      </c>
      <c r="C9599" t="inlineStr">
        <is>
          <t>Ashby Falls Community Hospital</t>
        </is>
      </c>
      <c r="D9599" t="n">
        <v>30</v>
      </c>
    </row>
    <row r="9600">
      <c r="A9600" t="inlineStr">
        <is>
          <t>ED209788</t>
        </is>
      </c>
      <c r="B9600" s="56" t="n">
        <v>45871.40763888889</v>
      </c>
      <c r="C9600" t="inlineStr">
        <is>
          <t>Cedar Ridge Medical Center</t>
        </is>
      </c>
      <c r="D9600" t="n">
        <v>45</v>
      </c>
    </row>
    <row r="9601">
      <c r="A9601" t="inlineStr">
        <is>
          <t>ED209789</t>
        </is>
      </c>
      <c r="B9601" s="56" t="n">
        <v>45871.63888888889</v>
      </c>
      <c r="C9601" t="inlineStr">
        <is>
          <t>Bluestone Memorial Hospital</t>
        </is>
      </c>
      <c r="D9601" t="n">
        <v>39</v>
      </c>
    </row>
    <row r="9602">
      <c r="A9602" t="inlineStr">
        <is>
          <t>ED209790</t>
        </is>
      </c>
      <c r="B9602" s="56" t="n">
        <v>45871.64236111111</v>
      </c>
      <c r="C9602" t="inlineStr">
        <is>
          <t>Bluestone Memorial Hospital</t>
        </is>
      </c>
      <c r="D9602" t="n">
        <v>25</v>
      </c>
    </row>
    <row r="9603">
      <c r="A9603" t="inlineStr">
        <is>
          <t>ED209791</t>
        </is>
      </c>
      <c r="B9603" s="56" t="n">
        <v>45871.69513888889</v>
      </c>
      <c r="C9603" t="inlineStr">
        <is>
          <t>Bluestone Memorial Hospital</t>
        </is>
      </c>
      <c r="D9603" t="n">
        <v>15</v>
      </c>
    </row>
    <row r="9604">
      <c r="A9604" t="inlineStr">
        <is>
          <t>ED209792</t>
        </is>
      </c>
      <c r="B9604" s="56" t="n">
        <v>45871.84027777778</v>
      </c>
      <c r="C9604" t="inlineStr">
        <is>
          <t>Cedar Ridge Medical Center</t>
        </is>
      </c>
      <c r="D9604" t="n">
        <v>55</v>
      </c>
    </row>
    <row r="9605">
      <c r="A9605" t="inlineStr">
        <is>
          <t>ED209793</t>
        </is>
      </c>
      <c r="B9605" s="56" t="n">
        <v>45871.97291666667</v>
      </c>
      <c r="C9605" t="inlineStr">
        <is>
          <t>Bluestone Memorial Hospital</t>
        </is>
      </c>
      <c r="D9605" t="n">
        <v>107</v>
      </c>
    </row>
    <row r="9606">
      <c r="A9606" t="inlineStr">
        <is>
          <t>ED209794</t>
        </is>
      </c>
      <c r="B9606" s="56" t="n">
        <v>45872.25069444445</v>
      </c>
      <c r="C9606" t="inlineStr">
        <is>
          <t>Cedar Ridge Medical Center</t>
        </is>
      </c>
      <c r="D9606" t="n">
        <v>15</v>
      </c>
    </row>
    <row r="9607">
      <c r="A9607" t="inlineStr">
        <is>
          <t>ED209795</t>
        </is>
      </c>
      <c r="B9607" s="56" t="n">
        <v>45872.32847222222</v>
      </c>
      <c r="C9607" t="inlineStr">
        <is>
          <t>Cedar Ridge Medical Center</t>
        </is>
      </c>
      <c r="D9607" t="n">
        <v>41</v>
      </c>
    </row>
    <row r="9608">
      <c r="A9608" t="inlineStr">
        <is>
          <t>ED209796</t>
        </is>
      </c>
      <c r="B9608" s="56" t="n">
        <v>45872.37291666667</v>
      </c>
      <c r="C9608" t="inlineStr">
        <is>
          <t>Cedar Ridge Medical Center</t>
        </is>
      </c>
      <c r="D9608" t="n">
        <v>33</v>
      </c>
    </row>
    <row r="9609">
      <c r="A9609" t="inlineStr">
        <is>
          <t>ED209797</t>
        </is>
      </c>
      <c r="B9609" s="56" t="n">
        <v>45872.48402777778</v>
      </c>
      <c r="C9609" t="inlineStr">
        <is>
          <t>Bluestone Memorial Hospital</t>
        </is>
      </c>
      <c r="D9609" t="n">
        <v>71</v>
      </c>
    </row>
    <row r="9610">
      <c r="A9610" t="inlineStr">
        <is>
          <t>ED209798</t>
        </is>
      </c>
      <c r="B9610" s="56" t="n">
        <v>45872.50208333333</v>
      </c>
      <c r="C9610" t="inlineStr">
        <is>
          <t>Bluestone Memorial Hospital</t>
        </is>
      </c>
      <c r="D9610" t="n">
        <v>89</v>
      </c>
    </row>
    <row r="9611">
      <c r="A9611" t="inlineStr">
        <is>
          <t>ED209799</t>
        </is>
      </c>
      <c r="B9611" s="56" t="n">
        <v>45872.51805555556</v>
      </c>
      <c r="C9611" t="inlineStr">
        <is>
          <t>Bluestone Memorial Hospital</t>
        </is>
      </c>
      <c r="D9611" t="n">
        <v>78</v>
      </c>
    </row>
    <row r="9612">
      <c r="A9612" t="inlineStr">
        <is>
          <t>ED209800</t>
        </is>
      </c>
      <c r="B9612" s="56" t="n">
        <v>45872.52222222222</v>
      </c>
      <c r="C9612" t="inlineStr">
        <is>
          <t>Bluestone Memorial Hospital</t>
        </is>
      </c>
      <c r="D9612" t="n">
        <v>92</v>
      </c>
    </row>
    <row r="9613">
      <c r="A9613" t="inlineStr">
        <is>
          <t>ED209801</t>
        </is>
      </c>
      <c r="B9613" s="56" t="n">
        <v>45872.60347222222</v>
      </c>
      <c r="C9613" t="inlineStr">
        <is>
          <t>Bluestone Memorial Hospital</t>
        </is>
      </c>
      <c r="D9613" t="n">
        <v>68</v>
      </c>
    </row>
    <row r="9614">
      <c r="A9614" t="inlineStr">
        <is>
          <t>ED209802</t>
        </is>
      </c>
      <c r="B9614" s="56" t="n">
        <v>45872.65069444444</v>
      </c>
      <c r="C9614" t="inlineStr">
        <is>
          <t>Bluestone Memorial Hospital</t>
        </is>
      </c>
      <c r="D9614" t="n">
        <v>60</v>
      </c>
    </row>
    <row r="9615">
      <c r="A9615" t="inlineStr">
        <is>
          <t>ED209803</t>
        </is>
      </c>
      <c r="B9615" s="56" t="n">
        <v>45872.69583333333</v>
      </c>
      <c r="C9615" t="inlineStr">
        <is>
          <t>Cedar Ridge Medical Center</t>
        </is>
      </c>
      <c r="D9615" t="n">
        <v>77</v>
      </c>
    </row>
    <row r="9616">
      <c r="A9616" t="inlineStr">
        <is>
          <t>ED209804</t>
        </is>
      </c>
      <c r="B9616" s="56" t="n">
        <v>45872.71319444444</v>
      </c>
      <c r="C9616" t="inlineStr">
        <is>
          <t>Bluestone Memorial Hospital</t>
        </is>
      </c>
      <c r="D9616" t="n">
        <v>41</v>
      </c>
    </row>
    <row r="9617">
      <c r="A9617" t="inlineStr">
        <is>
          <t>ED209805</t>
        </is>
      </c>
      <c r="B9617" s="56" t="n">
        <v>45872.72083333333</v>
      </c>
      <c r="C9617" t="inlineStr">
        <is>
          <t>Bluestone Memorial Hospital</t>
        </is>
      </c>
      <c r="D9617" t="n">
        <v>74</v>
      </c>
    </row>
    <row r="9618">
      <c r="A9618" t="inlineStr">
        <is>
          <t>ED209806</t>
        </is>
      </c>
      <c r="B9618" s="56" t="n">
        <v>45872.76458333333</v>
      </c>
      <c r="C9618" t="inlineStr">
        <is>
          <t>Bluestone Memorial Hospital</t>
        </is>
      </c>
      <c r="D9618" t="n">
        <v>37</v>
      </c>
    </row>
    <row r="9619">
      <c r="A9619" t="inlineStr">
        <is>
          <t>ED209807</t>
        </is>
      </c>
      <c r="B9619" s="56" t="n">
        <v>45872.775</v>
      </c>
      <c r="C9619" t="inlineStr">
        <is>
          <t>Bluestone Memorial Hospital</t>
        </is>
      </c>
      <c r="D9619" t="n">
        <v>68</v>
      </c>
    </row>
    <row r="9620">
      <c r="A9620" t="inlineStr">
        <is>
          <t>ED209808</t>
        </is>
      </c>
      <c r="B9620" s="56" t="n">
        <v>45872.78472222222</v>
      </c>
      <c r="C9620" t="inlineStr">
        <is>
          <t>Bluestone Memorial Hospital</t>
        </is>
      </c>
      <c r="D9620" t="n">
        <v>13</v>
      </c>
    </row>
    <row r="9621">
      <c r="A9621" t="inlineStr">
        <is>
          <t>ED209809</t>
        </is>
      </c>
      <c r="B9621" s="56" t="n">
        <v>45872.85972222222</v>
      </c>
      <c r="C9621" t="inlineStr">
        <is>
          <t>Bluestone Memorial Hospital</t>
        </is>
      </c>
      <c r="D9621" t="n">
        <v>27</v>
      </c>
    </row>
    <row r="9622">
      <c r="A9622" t="inlineStr">
        <is>
          <t>ED209810</t>
        </is>
      </c>
      <c r="B9622" s="56" t="n">
        <v>45872.95347222222</v>
      </c>
      <c r="C9622" t="inlineStr">
        <is>
          <t>Bluestone Memorial Hospital</t>
        </is>
      </c>
      <c r="D9622" t="n">
        <v>80</v>
      </c>
    </row>
    <row r="9623">
      <c r="A9623" t="inlineStr">
        <is>
          <t>ED209811</t>
        </is>
      </c>
      <c r="B9623" s="56" t="n">
        <v>45873.04791666667</v>
      </c>
      <c r="C9623" t="inlineStr">
        <is>
          <t>Bluestone Memorial Hospital</t>
        </is>
      </c>
      <c r="D9623" t="n">
        <v>28</v>
      </c>
    </row>
    <row r="9624">
      <c r="A9624" t="inlineStr">
        <is>
          <t>ED209812</t>
        </is>
      </c>
      <c r="B9624" s="56" t="n">
        <v>45873.28125</v>
      </c>
      <c r="C9624" t="inlineStr">
        <is>
          <t>Bluestone Memorial Hospital</t>
        </is>
      </c>
      <c r="D9624" t="n">
        <v>18</v>
      </c>
    </row>
    <row r="9625">
      <c r="A9625" t="inlineStr">
        <is>
          <t>ED209813</t>
        </is>
      </c>
      <c r="B9625" s="56" t="n">
        <v>45873.49236111111</v>
      </c>
      <c r="C9625" t="inlineStr">
        <is>
          <t>Bluestone Memorial Hospital</t>
        </is>
      </c>
      <c r="D9625" t="n">
        <v>83</v>
      </c>
    </row>
    <row r="9626">
      <c r="A9626" t="inlineStr">
        <is>
          <t>ED209814</t>
        </is>
      </c>
      <c r="B9626" s="56" t="n">
        <v>45873.54375</v>
      </c>
      <c r="C9626" t="inlineStr">
        <is>
          <t>Bluestone Memorial Hospital</t>
        </is>
      </c>
      <c r="D9626" t="n">
        <v>5</v>
      </c>
    </row>
    <row r="9627">
      <c r="A9627" t="inlineStr">
        <is>
          <t>ED209815</t>
        </is>
      </c>
      <c r="B9627" s="56" t="n">
        <v>45873.55208333334</v>
      </c>
      <c r="C9627" t="inlineStr">
        <is>
          <t>Bluestone Memorial Hospital</t>
        </is>
      </c>
      <c r="D9627" t="n">
        <v>40</v>
      </c>
    </row>
    <row r="9628">
      <c r="A9628" t="inlineStr">
        <is>
          <t>ED209817</t>
        </is>
      </c>
      <c r="B9628" s="56" t="n">
        <v>45873.64513888889</v>
      </c>
      <c r="C9628" t="inlineStr">
        <is>
          <t>Ashby Falls Community Hospital</t>
        </is>
      </c>
      <c r="D9628" t="n">
        <v>16</v>
      </c>
    </row>
    <row r="9629">
      <c r="A9629" t="inlineStr">
        <is>
          <t>ED209818</t>
        </is>
      </c>
      <c r="B9629" s="56" t="n">
        <v>45873.69444444445</v>
      </c>
      <c r="C9629" t="inlineStr">
        <is>
          <t>Bluestone Memorial Hospital</t>
        </is>
      </c>
      <c r="D9629" t="n">
        <v>131</v>
      </c>
    </row>
    <row r="9630">
      <c r="A9630" t="inlineStr">
        <is>
          <t>ED209819</t>
        </is>
      </c>
      <c r="B9630" s="56" t="n">
        <v>45873.71527777778</v>
      </c>
      <c r="C9630" t="inlineStr">
        <is>
          <t>Bluestone Memorial Hospital</t>
        </is>
      </c>
      <c r="D9630" t="n">
        <v>54</v>
      </c>
    </row>
    <row r="9631">
      <c r="A9631" t="inlineStr">
        <is>
          <t>ED209820</t>
        </is>
      </c>
      <c r="B9631" s="56" t="n">
        <v>45873.75833333333</v>
      </c>
      <c r="C9631" t="inlineStr">
        <is>
          <t>Bluestone Memorial Hospital</t>
        </is>
      </c>
      <c r="D9631" t="n">
        <v>46</v>
      </c>
    </row>
    <row r="9632">
      <c r="A9632" t="inlineStr">
        <is>
          <t>ED209821</t>
        </is>
      </c>
      <c r="B9632" s="56" t="n">
        <v>45873.77222222222</v>
      </c>
      <c r="C9632" t="inlineStr">
        <is>
          <t>Ashby Falls Community Hospital</t>
        </is>
      </c>
      <c r="D9632" t="n">
        <v>15</v>
      </c>
    </row>
    <row r="9633">
      <c r="A9633" t="inlineStr">
        <is>
          <t>ED209822</t>
        </is>
      </c>
      <c r="B9633" s="56" t="n">
        <v>45873.86736111111</v>
      </c>
      <c r="C9633" t="inlineStr">
        <is>
          <t>Bluestone Memorial Hospital</t>
        </is>
      </c>
      <c r="D9633" t="n">
        <v>64</v>
      </c>
    </row>
    <row r="9634">
      <c r="A9634" t="inlineStr">
        <is>
          <t>ED209823</t>
        </is>
      </c>
      <c r="B9634" s="56" t="n">
        <v>45873.90347222222</v>
      </c>
      <c r="C9634" t="inlineStr">
        <is>
          <t>Bluestone Memorial Hospital</t>
        </is>
      </c>
      <c r="D9634" t="n">
        <v>53</v>
      </c>
    </row>
    <row r="9635">
      <c r="A9635" t="inlineStr">
        <is>
          <t>ED209824</t>
        </is>
      </c>
      <c r="B9635" s="56" t="n">
        <v>45873.94166666667</v>
      </c>
      <c r="C9635" t="inlineStr">
        <is>
          <t>Bluestone Memorial Hospital</t>
        </is>
      </c>
      <c r="D9635" t="n">
        <v>31</v>
      </c>
    </row>
    <row r="9636">
      <c r="A9636" t="inlineStr">
        <is>
          <t>ED209825</t>
        </is>
      </c>
      <c r="B9636" s="56" t="n">
        <v>45874.41736111111</v>
      </c>
      <c r="C9636" t="inlineStr">
        <is>
          <t>Cedar Ridge Medical Center</t>
        </is>
      </c>
      <c r="D9636" t="n">
        <v>71</v>
      </c>
    </row>
    <row r="9637">
      <c r="A9637" t="inlineStr">
        <is>
          <t>ED209826</t>
        </is>
      </c>
      <c r="B9637" s="56" t="n">
        <v>45874.43333333333</v>
      </c>
      <c r="C9637" t="inlineStr">
        <is>
          <t>Bluestone Memorial Hospital</t>
        </is>
      </c>
      <c r="D9637" t="n">
        <v>54</v>
      </c>
    </row>
    <row r="9638">
      <c r="A9638" t="inlineStr">
        <is>
          <t>ED209827</t>
        </is>
      </c>
      <c r="B9638" s="56" t="n">
        <v>45874.43472222222</v>
      </c>
      <c r="C9638" t="inlineStr">
        <is>
          <t>Bluestone Memorial Hospital</t>
        </is>
      </c>
      <c r="D9638" t="n">
        <v>48</v>
      </c>
    </row>
    <row r="9639">
      <c r="A9639" t="inlineStr">
        <is>
          <t>ED209828</t>
        </is>
      </c>
      <c r="B9639" s="56" t="n">
        <v>45874.43819444445</v>
      </c>
      <c r="C9639" t="inlineStr">
        <is>
          <t>Bluestone Memorial Hospital</t>
        </is>
      </c>
      <c r="D9639" t="n">
        <v>24</v>
      </c>
    </row>
    <row r="9640">
      <c r="A9640" t="inlineStr">
        <is>
          <t>ED209829</t>
        </is>
      </c>
      <c r="B9640" s="56" t="n">
        <v>45874.44097222222</v>
      </c>
      <c r="C9640" t="inlineStr">
        <is>
          <t>Bluestone Memorial Hospital</t>
        </is>
      </c>
      <c r="D9640" t="n">
        <v>60</v>
      </c>
    </row>
    <row r="9641">
      <c r="A9641" t="inlineStr">
        <is>
          <t>ED209830</t>
        </is>
      </c>
      <c r="B9641" s="56" t="n">
        <v>45874.44930555556</v>
      </c>
      <c r="C9641" t="inlineStr">
        <is>
          <t>Bluestone Memorial Hospital</t>
        </is>
      </c>
      <c r="D9641" t="n">
        <v>68</v>
      </c>
    </row>
    <row r="9642">
      <c r="A9642" t="inlineStr">
        <is>
          <t>ED209831</t>
        </is>
      </c>
      <c r="B9642" s="56" t="n">
        <v>45874.44930555556</v>
      </c>
      <c r="C9642" t="inlineStr">
        <is>
          <t>Bluestone Memorial Hospital</t>
        </is>
      </c>
      <c r="D9642" t="n">
        <v>22</v>
      </c>
    </row>
    <row r="9643">
      <c r="A9643" t="inlineStr">
        <is>
          <t>ED209832</t>
        </is>
      </c>
      <c r="B9643" s="56" t="n">
        <v>45874.475</v>
      </c>
      <c r="C9643" t="inlineStr">
        <is>
          <t>Bluestone Memorial Hospital</t>
        </is>
      </c>
      <c r="D9643" t="n">
        <v>12</v>
      </c>
    </row>
    <row r="9644">
      <c r="A9644" t="inlineStr">
        <is>
          <t>ED209833</t>
        </is>
      </c>
      <c r="B9644" s="56" t="n">
        <v>45874.50069444445</v>
      </c>
      <c r="C9644" t="inlineStr">
        <is>
          <t>Ashby Falls Community Hospital</t>
        </is>
      </c>
      <c r="D9644" t="n">
        <v>7</v>
      </c>
    </row>
    <row r="9645">
      <c r="A9645" t="inlineStr">
        <is>
          <t>ED209834</t>
        </is>
      </c>
      <c r="B9645" s="56" t="n">
        <v>45874.54444444444</v>
      </c>
      <c r="C9645" t="inlineStr">
        <is>
          <t>Cedar Ridge Medical Center</t>
        </is>
      </c>
      <c r="D9645" t="n">
        <v>35</v>
      </c>
    </row>
    <row r="9646">
      <c r="A9646" t="inlineStr">
        <is>
          <t>ED209835</t>
        </is>
      </c>
      <c r="B9646" s="56" t="n">
        <v>45874.55</v>
      </c>
      <c r="C9646" t="inlineStr">
        <is>
          <t>Bluestone Memorial Hospital</t>
        </is>
      </c>
      <c r="D9646" t="n">
        <v>45</v>
      </c>
    </row>
    <row r="9647">
      <c r="A9647" t="inlineStr">
        <is>
          <t>ED209836</t>
        </is>
      </c>
      <c r="B9647" s="56" t="n">
        <v>45874.61319444444</v>
      </c>
      <c r="C9647" t="inlineStr">
        <is>
          <t>Bluestone Memorial Hospital</t>
        </is>
      </c>
      <c r="D9647" t="n">
        <v>22</v>
      </c>
    </row>
    <row r="9648">
      <c r="A9648" t="inlineStr">
        <is>
          <t>ED209837</t>
        </is>
      </c>
      <c r="B9648" s="56" t="n">
        <v>45874.6875</v>
      </c>
      <c r="C9648" t="inlineStr">
        <is>
          <t>Bluestone Memorial Hospital</t>
        </is>
      </c>
      <c r="D9648" t="n">
        <v>7</v>
      </c>
    </row>
    <row r="9649">
      <c r="A9649" t="inlineStr">
        <is>
          <t>ED209838</t>
        </is>
      </c>
      <c r="B9649" s="56" t="n">
        <v>45874.70555555556</v>
      </c>
      <c r="C9649" t="inlineStr">
        <is>
          <t>Bluestone Memorial Hospital</t>
        </is>
      </c>
      <c r="D9649" t="n">
        <v>50</v>
      </c>
    </row>
    <row r="9650">
      <c r="A9650" t="inlineStr">
        <is>
          <t>ED209839</t>
        </is>
      </c>
      <c r="B9650" s="56" t="n">
        <v>45874.79375</v>
      </c>
      <c r="C9650" t="inlineStr">
        <is>
          <t>Bluestone Memorial Hospital</t>
        </is>
      </c>
      <c r="D9650" t="n">
        <v>41</v>
      </c>
    </row>
    <row r="9651">
      <c r="A9651" t="inlineStr">
        <is>
          <t>ED209840</t>
        </is>
      </c>
      <c r="B9651" s="56" t="n">
        <v>45874.82777777778</v>
      </c>
      <c r="C9651" t="inlineStr">
        <is>
          <t>Bluestone Memorial Hospital</t>
        </is>
      </c>
      <c r="D9651" t="n">
        <v>12</v>
      </c>
    </row>
    <row r="9652">
      <c r="A9652" t="inlineStr">
        <is>
          <t>ED209841</t>
        </is>
      </c>
      <c r="B9652" s="56" t="n">
        <v>45874.84375</v>
      </c>
      <c r="C9652" t="inlineStr">
        <is>
          <t>Ashby Falls Community Hospital</t>
        </is>
      </c>
      <c r="D9652" t="n">
        <v>16</v>
      </c>
    </row>
    <row r="9653">
      <c r="A9653" t="inlineStr">
        <is>
          <t>ED209842</t>
        </is>
      </c>
      <c r="B9653" s="56" t="n">
        <v>45874.90416666667</v>
      </c>
      <c r="C9653" t="inlineStr">
        <is>
          <t>Bluestone Memorial Hospital</t>
        </is>
      </c>
      <c r="D9653" t="n">
        <v>75</v>
      </c>
    </row>
    <row r="9654">
      <c r="A9654" t="inlineStr">
        <is>
          <t>ED209843</t>
        </is>
      </c>
      <c r="B9654" s="56" t="n">
        <v>45874.90972222222</v>
      </c>
      <c r="C9654" t="inlineStr">
        <is>
          <t>Cedar Ridge Medical Center</t>
        </is>
      </c>
      <c r="D9654" t="n">
        <v>36</v>
      </c>
    </row>
    <row r="9655">
      <c r="A9655" t="inlineStr">
        <is>
          <t>ED209844</t>
        </is>
      </c>
      <c r="B9655" s="56" t="n">
        <v>45875.02361111111</v>
      </c>
      <c r="C9655" t="inlineStr">
        <is>
          <t>Bluestone Memorial Hospital</t>
        </is>
      </c>
      <c r="D9655" t="n">
        <v>25</v>
      </c>
    </row>
    <row r="9656">
      <c r="A9656" t="inlineStr">
        <is>
          <t>ED209845</t>
        </is>
      </c>
      <c r="B9656" s="56" t="n">
        <v>45875.43333333333</v>
      </c>
      <c r="C9656" t="inlineStr">
        <is>
          <t>Ashby Falls Community Hospital</t>
        </is>
      </c>
      <c r="D9656" t="n">
        <v>70</v>
      </c>
    </row>
    <row r="9657">
      <c r="A9657" t="inlineStr">
        <is>
          <t>ED209846</t>
        </is>
      </c>
      <c r="B9657" s="56" t="n">
        <v>45875.45138888889</v>
      </c>
      <c r="C9657" t="inlineStr">
        <is>
          <t>Bluestone Memorial Hospital</t>
        </is>
      </c>
      <c r="D9657" t="n">
        <v>10</v>
      </c>
    </row>
    <row r="9658">
      <c r="A9658" t="inlineStr">
        <is>
          <t>ED209847</t>
        </is>
      </c>
      <c r="B9658" s="56" t="n">
        <v>45875.47013888889</v>
      </c>
      <c r="C9658" t="inlineStr">
        <is>
          <t>Bluestone Memorial Hospital</t>
        </is>
      </c>
      <c r="D9658" t="n">
        <v>26</v>
      </c>
    </row>
    <row r="9659">
      <c r="A9659" t="inlineStr">
        <is>
          <t>ED209848</t>
        </is>
      </c>
      <c r="B9659" s="56" t="n">
        <v>45875.58541666667</v>
      </c>
      <c r="C9659" t="inlineStr">
        <is>
          <t>Bluestone Memorial Hospital</t>
        </is>
      </c>
      <c r="D9659" t="n">
        <v>33</v>
      </c>
    </row>
    <row r="9660">
      <c r="A9660" t="inlineStr">
        <is>
          <t>ED209849</t>
        </is>
      </c>
      <c r="B9660" s="56" t="n">
        <v>45875.62847222222</v>
      </c>
      <c r="C9660" t="inlineStr">
        <is>
          <t>Bluestone Memorial Hospital</t>
        </is>
      </c>
      <c r="D9660" t="n">
        <v>61</v>
      </c>
    </row>
    <row r="9661">
      <c r="A9661" t="inlineStr">
        <is>
          <t>ED209850</t>
        </is>
      </c>
      <c r="B9661" s="56" t="n">
        <v>45875.65138888889</v>
      </c>
      <c r="C9661" t="inlineStr">
        <is>
          <t>Cedar Ridge Medical Center</t>
        </is>
      </c>
      <c r="D9661" t="n">
        <v>33</v>
      </c>
    </row>
    <row r="9662">
      <c r="A9662" t="inlineStr">
        <is>
          <t>ED209851</t>
        </is>
      </c>
      <c r="B9662" s="56" t="n">
        <v>45875.65277777778</v>
      </c>
      <c r="C9662" t="inlineStr">
        <is>
          <t>Bluestone Memorial Hospital</t>
        </is>
      </c>
      <c r="D9662" t="n">
        <v>56</v>
      </c>
    </row>
    <row r="9663">
      <c r="A9663" t="inlineStr">
        <is>
          <t>ED209852</t>
        </is>
      </c>
      <c r="B9663" s="56" t="n">
        <v>45875.71388888889</v>
      </c>
      <c r="C9663" t="inlineStr">
        <is>
          <t>Bluestone Memorial Hospital</t>
        </is>
      </c>
      <c r="D9663" t="n">
        <v>56</v>
      </c>
    </row>
    <row r="9664">
      <c r="A9664" t="inlineStr">
        <is>
          <t>ED209853</t>
        </is>
      </c>
      <c r="B9664" s="56" t="n">
        <v>45875.7625</v>
      </c>
      <c r="C9664" t="inlineStr">
        <is>
          <t>Cedar Ridge Medical Center</t>
        </is>
      </c>
      <c r="D9664" t="n">
        <v>64</v>
      </c>
    </row>
    <row r="9665">
      <c r="A9665" t="inlineStr">
        <is>
          <t>ED209854</t>
        </is>
      </c>
      <c r="B9665" s="56" t="n">
        <v>45875.88611111111</v>
      </c>
      <c r="C9665" t="inlineStr">
        <is>
          <t>Cedar Ridge Medical Center</t>
        </is>
      </c>
      <c r="D9665" t="n">
        <v>143</v>
      </c>
    </row>
    <row r="9666">
      <c r="A9666" t="inlineStr">
        <is>
          <t>ED209855</t>
        </is>
      </c>
      <c r="B9666" s="56" t="n">
        <v>45876.06180555555</v>
      </c>
      <c r="C9666" t="inlineStr">
        <is>
          <t>Ashby Falls Community Hospital</t>
        </is>
      </c>
      <c r="D9666" t="n">
        <v>32</v>
      </c>
    </row>
    <row r="9667">
      <c r="A9667" t="inlineStr">
        <is>
          <t>ED209856</t>
        </is>
      </c>
      <c r="B9667" s="56" t="n">
        <v>45876.16111111111</v>
      </c>
      <c r="C9667" t="inlineStr">
        <is>
          <t>Bluestone Memorial Hospital</t>
        </is>
      </c>
      <c r="D9667" t="n">
        <v>30</v>
      </c>
    </row>
    <row r="9668">
      <c r="A9668" t="inlineStr">
        <is>
          <t>ED209857</t>
        </is>
      </c>
      <c r="B9668" s="56" t="n">
        <v>45876.18819444445</v>
      </c>
      <c r="C9668" t="inlineStr">
        <is>
          <t>Bluestone Memorial Hospital</t>
        </is>
      </c>
      <c r="D9668" t="n">
        <v>39</v>
      </c>
    </row>
    <row r="9669">
      <c r="A9669" t="inlineStr">
        <is>
          <t>ED209858</t>
        </is>
      </c>
      <c r="B9669" s="56" t="n">
        <v>45876.29236111111</v>
      </c>
      <c r="C9669" t="inlineStr">
        <is>
          <t>Cedar Ridge Medical Center</t>
        </is>
      </c>
      <c r="D9669" t="n">
        <v>41</v>
      </c>
    </row>
    <row r="9670">
      <c r="A9670" t="inlineStr">
        <is>
          <t>ED209859</t>
        </is>
      </c>
      <c r="B9670" s="56" t="n">
        <v>45876.34861111111</v>
      </c>
      <c r="C9670" t="inlineStr">
        <is>
          <t>Ashby Falls Community Hospital</t>
        </is>
      </c>
      <c r="D9670" t="n">
        <v>32</v>
      </c>
    </row>
    <row r="9671">
      <c r="A9671" t="inlineStr">
        <is>
          <t>ED209860</t>
        </is>
      </c>
      <c r="B9671" s="56" t="n">
        <v>45876.50347222222</v>
      </c>
      <c r="C9671" t="inlineStr">
        <is>
          <t>Bluestone Memorial Hospital</t>
        </is>
      </c>
      <c r="D9671" t="n">
        <v>64</v>
      </c>
    </row>
    <row r="9672">
      <c r="A9672" t="inlineStr">
        <is>
          <t>ED209861</t>
        </is>
      </c>
      <c r="B9672" s="56" t="n">
        <v>45876.64236111111</v>
      </c>
      <c r="C9672" t="inlineStr">
        <is>
          <t>Bluestone Memorial Hospital</t>
        </is>
      </c>
      <c r="D9672" t="n">
        <v>6</v>
      </c>
    </row>
    <row r="9673">
      <c r="A9673" t="inlineStr">
        <is>
          <t>ED209862</t>
        </is>
      </c>
      <c r="B9673" s="56" t="n">
        <v>45876.69583333333</v>
      </c>
      <c r="C9673" t="inlineStr">
        <is>
          <t>Bluestone Memorial Hospital</t>
        </is>
      </c>
      <c r="D9673" t="n">
        <v>16</v>
      </c>
    </row>
    <row r="9674">
      <c r="A9674" t="inlineStr">
        <is>
          <t>ED209863</t>
        </is>
      </c>
      <c r="B9674" s="56" t="n">
        <v>45876.78888888889</v>
      </c>
      <c r="C9674" t="inlineStr">
        <is>
          <t>Bluestone Memorial Hospital</t>
        </is>
      </c>
      <c r="D9674" t="n">
        <v>84</v>
      </c>
    </row>
    <row r="9675">
      <c r="A9675" t="inlineStr">
        <is>
          <t>ED209864</t>
        </is>
      </c>
      <c r="B9675" s="56" t="n">
        <v>45876.81597222222</v>
      </c>
      <c r="C9675" t="inlineStr">
        <is>
          <t>Bluestone Memorial Hospital</t>
        </is>
      </c>
      <c r="D9675" t="n">
        <v>23</v>
      </c>
    </row>
    <row r="9676">
      <c r="A9676" t="inlineStr">
        <is>
          <t>ED209865</t>
        </is>
      </c>
      <c r="B9676" s="56" t="n">
        <v>45877.08263888889</v>
      </c>
      <c r="C9676" t="inlineStr">
        <is>
          <t>Cedar Ridge Medical Center</t>
        </is>
      </c>
      <c r="D9676" t="n">
        <v>15</v>
      </c>
    </row>
    <row r="9677">
      <c r="A9677" t="inlineStr">
        <is>
          <t>ED209866</t>
        </is>
      </c>
      <c r="B9677" s="56" t="n">
        <v>45877.26805555556</v>
      </c>
      <c r="C9677" t="inlineStr">
        <is>
          <t>Bluestone Memorial Hospital</t>
        </is>
      </c>
      <c r="D9677" t="n">
        <v>42</v>
      </c>
    </row>
    <row r="9678">
      <c r="A9678" t="inlineStr">
        <is>
          <t>ED209867</t>
        </is>
      </c>
      <c r="B9678" s="56" t="n">
        <v>45877.39930555555</v>
      </c>
      <c r="C9678" t="inlineStr">
        <is>
          <t>Ashby Falls Community Hospital</t>
        </is>
      </c>
      <c r="D9678" t="n">
        <v>16</v>
      </c>
    </row>
    <row r="9679">
      <c r="A9679" t="inlineStr">
        <is>
          <t>ED209868</t>
        </is>
      </c>
      <c r="B9679" s="56" t="n">
        <v>45877.45902777778</v>
      </c>
      <c r="C9679" t="inlineStr">
        <is>
          <t>Cedar Ridge Medical Center</t>
        </is>
      </c>
      <c r="D9679" t="n">
        <v>35</v>
      </c>
    </row>
    <row r="9680">
      <c r="A9680" t="inlineStr">
        <is>
          <t>ED209869</t>
        </is>
      </c>
      <c r="B9680" s="56" t="n">
        <v>45877.45972222222</v>
      </c>
      <c r="C9680" t="inlineStr">
        <is>
          <t>Bluestone Memorial Hospital</t>
        </is>
      </c>
      <c r="D9680" t="n">
        <v>51</v>
      </c>
    </row>
    <row r="9681">
      <c r="A9681" t="inlineStr">
        <is>
          <t>ED209870</t>
        </is>
      </c>
      <c r="B9681" s="56" t="n">
        <v>45877.52222222222</v>
      </c>
      <c r="C9681" t="inlineStr">
        <is>
          <t>Bluestone Memorial Hospital</t>
        </is>
      </c>
      <c r="D9681" t="n">
        <v>72</v>
      </c>
    </row>
    <row r="9682">
      <c r="A9682" t="inlineStr">
        <is>
          <t>ED209871</t>
        </is>
      </c>
      <c r="B9682" s="56" t="n">
        <v>45877.52222222222</v>
      </c>
      <c r="C9682" t="inlineStr">
        <is>
          <t>Ashby Falls Community Hospital</t>
        </is>
      </c>
      <c r="D9682" t="n">
        <v>28</v>
      </c>
    </row>
    <row r="9683">
      <c r="A9683" t="inlineStr">
        <is>
          <t>ED209872</t>
        </is>
      </c>
      <c r="B9683" s="56" t="n">
        <v>45877.53194444445</v>
      </c>
      <c r="C9683" t="inlineStr">
        <is>
          <t>Bluestone Memorial Hospital</t>
        </is>
      </c>
      <c r="D9683" t="n">
        <v>27</v>
      </c>
    </row>
    <row r="9684">
      <c r="A9684" t="inlineStr">
        <is>
          <t>ED209874</t>
        </is>
      </c>
      <c r="B9684" s="56" t="n">
        <v>45877.61319444444</v>
      </c>
      <c r="C9684" t="inlineStr">
        <is>
          <t>Cedar Ridge Medical Center</t>
        </is>
      </c>
      <c r="D9684" t="n">
        <v>60</v>
      </c>
    </row>
    <row r="9685">
      <c r="A9685" t="inlineStr">
        <is>
          <t>ED209875</t>
        </is>
      </c>
      <c r="B9685" s="56" t="n">
        <v>45877.63541666666</v>
      </c>
      <c r="C9685" t="inlineStr">
        <is>
          <t>Bluestone Memorial Hospital</t>
        </is>
      </c>
      <c r="D9685" t="n">
        <v>46</v>
      </c>
    </row>
    <row r="9686">
      <c r="A9686" t="inlineStr">
        <is>
          <t>ED209876</t>
        </is>
      </c>
      <c r="B9686" s="56" t="n">
        <v>45877.66736111111</v>
      </c>
      <c r="C9686" t="inlineStr">
        <is>
          <t>Bluestone Memorial Hospital</t>
        </is>
      </c>
      <c r="D9686" t="n">
        <v>30</v>
      </c>
    </row>
    <row r="9687">
      <c r="A9687" t="inlineStr">
        <is>
          <t>ED209878</t>
        </is>
      </c>
      <c r="B9687" s="56" t="n">
        <v>45877.75902777778</v>
      </c>
      <c r="C9687" t="inlineStr">
        <is>
          <t>Bluestone Memorial Hospital</t>
        </is>
      </c>
      <c r="D9687" t="n">
        <v>24</v>
      </c>
    </row>
    <row r="9688">
      <c r="A9688" t="inlineStr">
        <is>
          <t>ED209879</t>
        </is>
      </c>
      <c r="B9688" s="56" t="n">
        <v>45877.80277777778</v>
      </c>
      <c r="C9688" t="inlineStr">
        <is>
          <t>Bluestone Memorial Hospital</t>
        </is>
      </c>
      <c r="D9688" t="n">
        <v>22</v>
      </c>
    </row>
    <row r="9689">
      <c r="A9689" t="inlineStr">
        <is>
          <t>ED209880</t>
        </is>
      </c>
      <c r="B9689" s="56" t="n">
        <v>45877.81736111111</v>
      </c>
      <c r="C9689" t="inlineStr">
        <is>
          <t>Bluestone Memorial Hospital</t>
        </is>
      </c>
      <c r="D9689" t="n">
        <v>44</v>
      </c>
    </row>
    <row r="9690">
      <c r="A9690" t="inlineStr">
        <is>
          <t>ED209881</t>
        </is>
      </c>
      <c r="B9690" s="56" t="n">
        <v>45877.84722222222</v>
      </c>
      <c r="C9690" t="inlineStr">
        <is>
          <t>Cedar Ridge Medical Center</t>
        </is>
      </c>
      <c r="D9690" t="n">
        <v>13</v>
      </c>
    </row>
    <row r="9691">
      <c r="A9691" t="inlineStr">
        <is>
          <t>ED209882</t>
        </is>
      </c>
      <c r="B9691" s="56" t="n">
        <v>45878.00972222222</v>
      </c>
      <c r="C9691" t="inlineStr">
        <is>
          <t>Bluestone Memorial Hospital</t>
        </is>
      </c>
      <c r="D9691" t="n">
        <v>44</v>
      </c>
    </row>
    <row r="9692">
      <c r="A9692" t="inlineStr">
        <is>
          <t>ED209883</t>
        </is>
      </c>
      <c r="B9692" s="56" t="n">
        <v>45878.24652777778</v>
      </c>
      <c r="C9692" t="inlineStr">
        <is>
          <t>Bluestone Memorial Hospital</t>
        </is>
      </c>
      <c r="D9692" t="n">
        <v>38</v>
      </c>
    </row>
    <row r="9693">
      <c r="A9693" t="inlineStr">
        <is>
          <t>ED209884</t>
        </is>
      </c>
      <c r="B9693" s="56" t="n">
        <v>45878.30416666667</v>
      </c>
      <c r="C9693" t="inlineStr">
        <is>
          <t>Bluestone Memorial Hospital</t>
        </is>
      </c>
      <c r="D9693" t="n">
        <v>16</v>
      </c>
    </row>
    <row r="9694">
      <c r="A9694" t="inlineStr">
        <is>
          <t>ED209885</t>
        </is>
      </c>
      <c r="B9694" s="56" t="n">
        <v>45878.37083333333</v>
      </c>
      <c r="C9694" t="inlineStr">
        <is>
          <t>Bluestone Memorial Hospital</t>
        </is>
      </c>
      <c r="D9694" t="n">
        <v>7</v>
      </c>
    </row>
    <row r="9695">
      <c r="A9695" t="inlineStr">
        <is>
          <t>ED209886</t>
        </is>
      </c>
      <c r="B9695" s="56" t="n">
        <v>45878.42916666667</v>
      </c>
      <c r="C9695" t="inlineStr">
        <is>
          <t>Bluestone Memorial Hospital</t>
        </is>
      </c>
      <c r="D9695" t="n">
        <v>81</v>
      </c>
    </row>
    <row r="9696">
      <c r="A9696" t="inlineStr">
        <is>
          <t>ED209887</t>
        </is>
      </c>
      <c r="B9696" s="56" t="n">
        <v>45878.43888888889</v>
      </c>
      <c r="C9696" t="inlineStr">
        <is>
          <t>Bluestone Memorial Hospital</t>
        </is>
      </c>
      <c r="D9696" t="n">
        <v>20</v>
      </c>
    </row>
    <row r="9697">
      <c r="A9697" t="inlineStr">
        <is>
          <t>ED209888</t>
        </is>
      </c>
      <c r="B9697" s="56" t="n">
        <v>45878.48402777778</v>
      </c>
      <c r="C9697" t="inlineStr">
        <is>
          <t>Bluestone Memorial Hospital</t>
        </is>
      </c>
      <c r="D9697" t="n">
        <v>2</v>
      </c>
    </row>
    <row r="9698">
      <c r="A9698" t="inlineStr">
        <is>
          <t>ED209889</t>
        </is>
      </c>
      <c r="B9698" s="56" t="n">
        <v>45878.52847222222</v>
      </c>
      <c r="C9698" t="inlineStr">
        <is>
          <t>Bluestone Memorial Hospital</t>
        </is>
      </c>
      <c r="D9698" t="n">
        <v>35</v>
      </c>
    </row>
    <row r="9699">
      <c r="A9699" t="inlineStr">
        <is>
          <t>ED209890</t>
        </is>
      </c>
      <c r="B9699" s="56" t="n">
        <v>45878.65902777778</v>
      </c>
      <c r="C9699" t="inlineStr">
        <is>
          <t>Bluestone Memorial Hospital</t>
        </is>
      </c>
      <c r="D9699" t="n">
        <v>26</v>
      </c>
    </row>
    <row r="9700">
      <c r="A9700" t="inlineStr">
        <is>
          <t>ED209891</t>
        </is>
      </c>
      <c r="B9700" s="56" t="n">
        <v>45878.73055555556</v>
      </c>
      <c r="C9700" t="inlineStr">
        <is>
          <t>Bluestone Memorial Hospital</t>
        </is>
      </c>
      <c r="D9700" t="n">
        <v>60</v>
      </c>
    </row>
    <row r="9701">
      <c r="A9701" t="inlineStr">
        <is>
          <t>ED209892</t>
        </is>
      </c>
      <c r="B9701" s="56" t="n">
        <v>45878.74027777778</v>
      </c>
      <c r="C9701" t="inlineStr">
        <is>
          <t>Bluestone Memorial Hospital</t>
        </is>
      </c>
      <c r="D9701" t="n">
        <v>27</v>
      </c>
    </row>
    <row r="9702">
      <c r="A9702" t="inlineStr">
        <is>
          <t>ED209893</t>
        </is>
      </c>
      <c r="B9702" s="56" t="n">
        <v>45878.74305555555</v>
      </c>
      <c r="C9702" t="inlineStr">
        <is>
          <t>Bluestone Memorial Hospital</t>
        </is>
      </c>
      <c r="D9702" t="n">
        <v>39</v>
      </c>
    </row>
    <row r="9703">
      <c r="A9703" t="inlineStr">
        <is>
          <t>ED209894</t>
        </is>
      </c>
      <c r="B9703" s="56" t="n">
        <v>45878.76805555556</v>
      </c>
      <c r="C9703" t="inlineStr">
        <is>
          <t>Bluestone Memorial Hospital</t>
        </is>
      </c>
      <c r="D9703" t="n">
        <v>9</v>
      </c>
    </row>
    <row r="9704">
      <c r="A9704" t="inlineStr">
        <is>
          <t>ED209895</t>
        </is>
      </c>
      <c r="B9704" s="56" t="n">
        <v>45878.80555555555</v>
      </c>
      <c r="C9704" t="inlineStr">
        <is>
          <t>Ashby Falls Community Hospital</t>
        </is>
      </c>
      <c r="D9704" t="n">
        <v>61</v>
      </c>
    </row>
    <row r="9705">
      <c r="A9705" t="inlineStr">
        <is>
          <t>ED209896</t>
        </is>
      </c>
      <c r="B9705" s="56" t="n">
        <v>45878.88541666666</v>
      </c>
      <c r="C9705" t="inlineStr">
        <is>
          <t>Bluestone Memorial Hospital</t>
        </is>
      </c>
      <c r="D9705" t="n">
        <v>110</v>
      </c>
    </row>
    <row r="9706">
      <c r="A9706" t="inlineStr">
        <is>
          <t>ED209897</t>
        </is>
      </c>
      <c r="B9706" s="56" t="n">
        <v>45879</v>
      </c>
      <c r="C9706" t="inlineStr">
        <is>
          <t>Bluestone Memorial Hospital</t>
        </is>
      </c>
      <c r="D9706" t="n">
        <v>3</v>
      </c>
    </row>
    <row r="9707">
      <c r="A9707" t="inlineStr">
        <is>
          <t>ED209898</t>
        </is>
      </c>
      <c r="B9707" s="56" t="n">
        <v>45879.02430555555</v>
      </c>
      <c r="C9707" t="inlineStr">
        <is>
          <t>Cedar Ridge Medical Center</t>
        </is>
      </c>
      <c r="D9707" t="n">
        <v>46</v>
      </c>
    </row>
    <row r="9708">
      <c r="A9708" t="inlineStr">
        <is>
          <t>ED209899</t>
        </is>
      </c>
      <c r="B9708" s="56" t="n">
        <v>45879.22222222222</v>
      </c>
      <c r="C9708" t="inlineStr">
        <is>
          <t>Bluestone Memorial Hospital</t>
        </is>
      </c>
      <c r="D9708" t="n">
        <v>22</v>
      </c>
    </row>
    <row r="9709">
      <c r="A9709" t="inlineStr">
        <is>
          <t>ED209900</t>
        </is>
      </c>
      <c r="B9709" s="56" t="n">
        <v>45879.39513888889</v>
      </c>
      <c r="C9709" t="inlineStr">
        <is>
          <t>Bluestone Memorial Hospital</t>
        </is>
      </c>
      <c r="D9709" t="n">
        <v>50</v>
      </c>
    </row>
    <row r="9710">
      <c r="A9710" t="inlineStr">
        <is>
          <t>ED209901</t>
        </is>
      </c>
      <c r="B9710" s="56" t="n">
        <v>45879.40069444444</v>
      </c>
      <c r="C9710" t="inlineStr">
        <is>
          <t>Bluestone Memorial Hospital</t>
        </is>
      </c>
      <c r="D9710" t="n">
        <v>49</v>
      </c>
    </row>
    <row r="9711">
      <c r="A9711" t="inlineStr">
        <is>
          <t>ED209902</t>
        </is>
      </c>
      <c r="B9711" s="56" t="n">
        <v>45879.52638888889</v>
      </c>
      <c r="C9711" t="inlineStr">
        <is>
          <t>Bluestone Memorial Hospital</t>
        </is>
      </c>
      <c r="D9711" t="n">
        <v>61</v>
      </c>
    </row>
    <row r="9712">
      <c r="A9712" t="inlineStr">
        <is>
          <t>ED209903</t>
        </is>
      </c>
      <c r="B9712" s="56" t="n">
        <v>45879.54375</v>
      </c>
      <c r="C9712" t="inlineStr">
        <is>
          <t>Bluestone Memorial Hospital</t>
        </is>
      </c>
      <c r="D9712" t="n">
        <v>13</v>
      </c>
    </row>
    <row r="9713">
      <c r="A9713" t="inlineStr">
        <is>
          <t>ED209904</t>
        </is>
      </c>
      <c r="B9713" s="56" t="n">
        <v>45879.57361111111</v>
      </c>
      <c r="C9713" t="inlineStr">
        <is>
          <t>Bluestone Memorial Hospital</t>
        </is>
      </c>
      <c r="D9713" t="n">
        <v>140</v>
      </c>
    </row>
    <row r="9714">
      <c r="A9714" t="inlineStr">
        <is>
          <t>ED209905</t>
        </is>
      </c>
      <c r="B9714" s="56" t="n">
        <v>45879.61666666667</v>
      </c>
      <c r="C9714" t="inlineStr">
        <is>
          <t>Bluestone Memorial Hospital</t>
        </is>
      </c>
      <c r="D9714" t="n">
        <v>63</v>
      </c>
    </row>
    <row r="9715">
      <c r="A9715" t="inlineStr">
        <is>
          <t>ED209907</t>
        </is>
      </c>
      <c r="B9715" s="56" t="n">
        <v>45879.88402777778</v>
      </c>
      <c r="C9715" t="inlineStr">
        <is>
          <t>Cedar Ridge Medical Center</t>
        </is>
      </c>
      <c r="D9715" t="n">
        <v>17</v>
      </c>
    </row>
    <row r="9716">
      <c r="A9716" t="inlineStr">
        <is>
          <t>ED209908</t>
        </is>
      </c>
      <c r="B9716" s="56" t="n">
        <v>45879.96041666667</v>
      </c>
      <c r="C9716" t="inlineStr">
        <is>
          <t>Cedar Ridge Medical Center</t>
        </is>
      </c>
      <c r="D9716" t="n">
        <v>45</v>
      </c>
    </row>
    <row r="9717">
      <c r="A9717" t="inlineStr">
        <is>
          <t>ED209909</t>
        </is>
      </c>
      <c r="B9717" s="56" t="n">
        <v>45880.27430555555</v>
      </c>
      <c r="C9717" t="inlineStr">
        <is>
          <t>Cedar Ridge Medical Center</t>
        </is>
      </c>
      <c r="D9717" t="n">
        <v>72</v>
      </c>
    </row>
    <row r="9718">
      <c r="A9718" t="inlineStr">
        <is>
          <t>ED209910</t>
        </is>
      </c>
      <c r="B9718" s="56" t="n">
        <v>45880.36180555556</v>
      </c>
      <c r="C9718" t="inlineStr">
        <is>
          <t>Ashby Falls Community Hospital</t>
        </is>
      </c>
      <c r="D9718" t="n">
        <v>19</v>
      </c>
    </row>
    <row r="9719">
      <c r="A9719" t="inlineStr">
        <is>
          <t>ED209911</t>
        </is>
      </c>
      <c r="B9719" s="56" t="n">
        <v>45880.36944444444</v>
      </c>
      <c r="C9719" t="inlineStr">
        <is>
          <t>Bluestone Memorial Hospital</t>
        </is>
      </c>
      <c r="D9719" t="n">
        <v>42</v>
      </c>
    </row>
    <row r="9720">
      <c r="A9720" t="inlineStr">
        <is>
          <t>ED209912</t>
        </is>
      </c>
      <c r="B9720" s="56" t="n">
        <v>45880.425</v>
      </c>
      <c r="C9720" t="inlineStr">
        <is>
          <t>Ashby Falls Community Hospital</t>
        </is>
      </c>
      <c r="D9720" t="n">
        <v>9</v>
      </c>
    </row>
    <row r="9721">
      <c r="A9721" t="inlineStr">
        <is>
          <t>ED209913</t>
        </is>
      </c>
      <c r="B9721" s="56" t="n">
        <v>45880.44583333333</v>
      </c>
      <c r="C9721" t="inlineStr">
        <is>
          <t>Bluestone Memorial Hospital</t>
        </is>
      </c>
      <c r="D9721" t="n">
        <v>32</v>
      </c>
    </row>
    <row r="9722">
      <c r="A9722" t="inlineStr">
        <is>
          <t>ED209914</t>
        </is>
      </c>
      <c r="B9722" s="56" t="n">
        <v>45880.53333333333</v>
      </c>
      <c r="C9722" t="inlineStr">
        <is>
          <t>Ashby Falls Community Hospital</t>
        </is>
      </c>
      <c r="D9722" t="n">
        <v>30</v>
      </c>
    </row>
    <row r="9723">
      <c r="A9723" t="inlineStr">
        <is>
          <t>ED209915</t>
        </is>
      </c>
      <c r="B9723" s="56" t="n">
        <v>45880.54375</v>
      </c>
      <c r="C9723" t="inlineStr">
        <is>
          <t>Bluestone Memorial Hospital</t>
        </is>
      </c>
      <c r="D9723" t="n">
        <v>34</v>
      </c>
    </row>
    <row r="9724">
      <c r="A9724" t="inlineStr">
        <is>
          <t>ED209916</t>
        </is>
      </c>
      <c r="B9724" s="56" t="n">
        <v>45880.61944444444</v>
      </c>
      <c r="C9724" t="inlineStr">
        <is>
          <t>Cedar Ridge Medical Center</t>
        </is>
      </c>
      <c r="D9724" t="n">
        <v>25</v>
      </c>
    </row>
    <row r="9725">
      <c r="A9725" t="inlineStr">
        <is>
          <t>ED209917</t>
        </is>
      </c>
      <c r="B9725" s="56" t="n">
        <v>45880.62569444445</v>
      </c>
      <c r="C9725" t="inlineStr">
        <is>
          <t>Cedar Ridge Medical Center</t>
        </is>
      </c>
      <c r="D9725" t="n">
        <v>90</v>
      </c>
    </row>
    <row r="9726">
      <c r="A9726" t="inlineStr">
        <is>
          <t>ED209918</t>
        </is>
      </c>
      <c r="B9726" s="56" t="n">
        <v>45880.63888888889</v>
      </c>
      <c r="C9726" t="inlineStr">
        <is>
          <t>Bluestone Memorial Hospital</t>
        </is>
      </c>
      <c r="D9726" t="n">
        <v>16</v>
      </c>
    </row>
    <row r="9727">
      <c r="A9727" t="inlineStr">
        <is>
          <t>ED209919</t>
        </is>
      </c>
      <c r="B9727" s="56" t="n">
        <v>45880.70972222222</v>
      </c>
      <c r="C9727" t="inlineStr">
        <is>
          <t>Cedar Ridge Medical Center</t>
        </is>
      </c>
      <c r="D9727" t="n">
        <v>24</v>
      </c>
    </row>
    <row r="9728">
      <c r="A9728" t="inlineStr">
        <is>
          <t>ED209920</t>
        </is>
      </c>
      <c r="B9728" s="56" t="n">
        <v>45880.86875</v>
      </c>
      <c r="C9728" t="inlineStr">
        <is>
          <t>Cedar Ridge Medical Center</t>
        </is>
      </c>
      <c r="D9728" t="n">
        <v>52</v>
      </c>
    </row>
    <row r="9729">
      <c r="A9729" t="inlineStr">
        <is>
          <t>ED209921</t>
        </is>
      </c>
      <c r="B9729" s="56" t="n">
        <v>45880.98333333333</v>
      </c>
      <c r="C9729" t="inlineStr">
        <is>
          <t>Bluestone Memorial Hospital</t>
        </is>
      </c>
      <c r="D9729" t="n">
        <v>66</v>
      </c>
    </row>
    <row r="9730">
      <c r="A9730" t="inlineStr">
        <is>
          <t>ED209922</t>
        </is>
      </c>
      <c r="B9730" s="56" t="n">
        <v>45881.08402777778</v>
      </c>
      <c r="C9730" t="inlineStr">
        <is>
          <t>Cedar Ridge Medical Center</t>
        </is>
      </c>
      <c r="D9730" t="n">
        <v>28</v>
      </c>
    </row>
    <row r="9731">
      <c r="A9731" t="inlineStr">
        <is>
          <t>ED209923</t>
        </is>
      </c>
      <c r="B9731" s="56" t="n">
        <v>45881.18888888889</v>
      </c>
      <c r="C9731" t="inlineStr">
        <is>
          <t>Bluestone Memorial Hospital</t>
        </is>
      </c>
      <c r="D9731" t="n">
        <v>26</v>
      </c>
    </row>
    <row r="9732">
      <c r="A9732" t="inlineStr">
        <is>
          <t>ED209924</t>
        </is>
      </c>
      <c r="B9732" s="56" t="n">
        <v>45881.28055555555</v>
      </c>
      <c r="C9732" t="inlineStr">
        <is>
          <t>Bluestone Memorial Hospital</t>
        </is>
      </c>
      <c r="D9732" t="n">
        <v>8</v>
      </c>
    </row>
    <row r="9733">
      <c r="A9733" t="inlineStr">
        <is>
          <t>ED209925</t>
        </is>
      </c>
      <c r="B9733" s="56" t="n">
        <v>45881.37708333333</v>
      </c>
      <c r="C9733" t="inlineStr">
        <is>
          <t>Ashby Falls Community Hospital</t>
        </is>
      </c>
      <c r="D9733" t="n">
        <v>36</v>
      </c>
    </row>
    <row r="9734">
      <c r="A9734" t="inlineStr">
        <is>
          <t>ED209926</t>
        </is>
      </c>
      <c r="B9734" s="56" t="n">
        <v>45881.38333333333</v>
      </c>
      <c r="C9734" t="inlineStr">
        <is>
          <t>Bluestone Memorial Hospital</t>
        </is>
      </c>
      <c r="D9734" t="n">
        <v>11</v>
      </c>
    </row>
    <row r="9735">
      <c r="A9735" t="inlineStr">
        <is>
          <t>ED209927</t>
        </is>
      </c>
      <c r="B9735" s="56" t="n">
        <v>45881.40763888889</v>
      </c>
      <c r="C9735" t="inlineStr">
        <is>
          <t>Cedar Ridge Medical Center</t>
        </is>
      </c>
      <c r="D9735" t="n">
        <v>68</v>
      </c>
    </row>
    <row r="9736">
      <c r="A9736" t="inlineStr">
        <is>
          <t>ED209928</t>
        </is>
      </c>
      <c r="B9736" s="56" t="n">
        <v>45881.51319444444</v>
      </c>
      <c r="C9736" t="inlineStr">
        <is>
          <t>Bluestone Memorial Hospital</t>
        </is>
      </c>
      <c r="D9736" t="n">
        <v>61</v>
      </c>
    </row>
    <row r="9737">
      <c r="A9737" t="inlineStr">
        <is>
          <t>ED209929</t>
        </is>
      </c>
      <c r="B9737" s="56" t="n">
        <v>45881.55416666667</v>
      </c>
      <c r="C9737" t="inlineStr">
        <is>
          <t>Bluestone Memorial Hospital</t>
        </is>
      </c>
      <c r="D9737" t="n">
        <v>64</v>
      </c>
    </row>
    <row r="9738">
      <c r="A9738" t="inlineStr">
        <is>
          <t>ED209930</t>
        </is>
      </c>
      <c r="B9738" s="56" t="n">
        <v>45881.64861111111</v>
      </c>
      <c r="C9738" t="inlineStr">
        <is>
          <t>Bluestone Memorial Hospital</t>
        </is>
      </c>
      <c r="D9738" t="n">
        <v>45</v>
      </c>
    </row>
    <row r="9739">
      <c r="A9739" t="inlineStr">
        <is>
          <t>ED209931</t>
        </is>
      </c>
      <c r="B9739" s="56" t="n">
        <v>45881.73402777778</v>
      </c>
      <c r="C9739" t="inlineStr">
        <is>
          <t>Bluestone Memorial Hospital</t>
        </is>
      </c>
      <c r="D9739" t="n">
        <v>24</v>
      </c>
    </row>
    <row r="9740">
      <c r="A9740" t="inlineStr">
        <is>
          <t>ED209932</t>
        </is>
      </c>
      <c r="B9740" s="56" t="n">
        <v>45881.78888888889</v>
      </c>
      <c r="C9740" t="inlineStr">
        <is>
          <t>Cedar Ridge Medical Center</t>
        </is>
      </c>
      <c r="D9740" t="n">
        <v>31</v>
      </c>
    </row>
    <row r="9741">
      <c r="A9741" t="inlineStr">
        <is>
          <t>ED209933</t>
        </is>
      </c>
      <c r="B9741" s="56" t="n">
        <v>45881.79861111111</v>
      </c>
      <c r="C9741" t="inlineStr">
        <is>
          <t>Cedar Ridge Medical Center</t>
        </is>
      </c>
      <c r="D9741" t="n">
        <v>54</v>
      </c>
    </row>
    <row r="9742">
      <c r="A9742" t="inlineStr">
        <is>
          <t>ED209934</t>
        </is>
      </c>
      <c r="B9742" s="56" t="n">
        <v>45881.87013888889</v>
      </c>
      <c r="C9742" t="inlineStr">
        <is>
          <t>Bluestone Memorial Hospital</t>
        </is>
      </c>
      <c r="D9742" t="n">
        <v>39</v>
      </c>
    </row>
    <row r="9743">
      <c r="A9743" t="inlineStr">
        <is>
          <t>ED209935</t>
        </is>
      </c>
      <c r="B9743" s="56" t="n">
        <v>45881.87986111111</v>
      </c>
      <c r="C9743" t="inlineStr">
        <is>
          <t>Bluestone Memorial Hospital</t>
        </is>
      </c>
      <c r="D9743" t="n">
        <v>17</v>
      </c>
    </row>
    <row r="9744">
      <c r="A9744" t="inlineStr">
        <is>
          <t>ED209936</t>
        </is>
      </c>
      <c r="B9744" s="56" t="n">
        <v>45881.99375</v>
      </c>
      <c r="C9744" t="inlineStr">
        <is>
          <t>Bluestone Memorial Hospital</t>
        </is>
      </c>
      <c r="D9744" t="n">
        <v>24</v>
      </c>
    </row>
    <row r="9745">
      <c r="A9745" t="inlineStr">
        <is>
          <t>ED209937</t>
        </is>
      </c>
      <c r="B9745" s="56" t="n">
        <v>45882.27083333334</v>
      </c>
      <c r="C9745" t="inlineStr">
        <is>
          <t>Ashby Falls Community Hospital</t>
        </is>
      </c>
      <c r="D9745" t="n">
        <v>7</v>
      </c>
    </row>
    <row r="9746">
      <c r="A9746" t="inlineStr">
        <is>
          <t>ED209938</t>
        </is>
      </c>
      <c r="B9746" s="56" t="n">
        <v>45882.36736111111</v>
      </c>
      <c r="C9746" t="inlineStr">
        <is>
          <t>Cedar Ridge Medical Center</t>
        </is>
      </c>
      <c r="D9746" t="n">
        <v>6</v>
      </c>
    </row>
    <row r="9747">
      <c r="A9747" t="inlineStr">
        <is>
          <t>ED209939</t>
        </is>
      </c>
      <c r="B9747" s="56" t="n">
        <v>45882.40555555555</v>
      </c>
      <c r="C9747" t="inlineStr">
        <is>
          <t>Bluestone Memorial Hospital</t>
        </is>
      </c>
      <c r="D9747" t="n">
        <v>117</v>
      </c>
    </row>
    <row r="9748">
      <c r="A9748" t="inlineStr">
        <is>
          <t>ED209940</t>
        </is>
      </c>
      <c r="B9748" s="56" t="n">
        <v>45882.4375</v>
      </c>
      <c r="C9748" t="inlineStr">
        <is>
          <t>Bluestone Memorial Hospital</t>
        </is>
      </c>
      <c r="D9748" t="n">
        <v>40</v>
      </c>
    </row>
    <row r="9749">
      <c r="A9749" t="inlineStr">
        <is>
          <t>ED209941</t>
        </is>
      </c>
      <c r="B9749" s="56" t="n">
        <v>45882.46527777778</v>
      </c>
      <c r="C9749" t="inlineStr">
        <is>
          <t>Bluestone Memorial Hospital</t>
        </is>
      </c>
      <c r="D9749" t="n">
        <v>27</v>
      </c>
    </row>
    <row r="9750">
      <c r="A9750" t="inlineStr">
        <is>
          <t>ED209942</t>
        </is>
      </c>
      <c r="B9750" s="56" t="n">
        <v>45882.47152777778</v>
      </c>
      <c r="C9750" t="inlineStr">
        <is>
          <t>Bluestone Memorial Hospital</t>
        </is>
      </c>
      <c r="D9750" t="n">
        <v>11</v>
      </c>
    </row>
    <row r="9751">
      <c r="A9751" t="inlineStr">
        <is>
          <t>ED209943</t>
        </is>
      </c>
      <c r="B9751" s="56" t="n">
        <v>45882.49166666667</v>
      </c>
      <c r="C9751" t="inlineStr">
        <is>
          <t>Bluestone Memorial Hospital</t>
        </is>
      </c>
      <c r="D9751" t="n">
        <v>61</v>
      </c>
    </row>
    <row r="9752">
      <c r="A9752" t="inlineStr">
        <is>
          <t>ED209944</t>
        </is>
      </c>
      <c r="B9752" s="56" t="n">
        <v>45882.52916666667</v>
      </c>
      <c r="C9752" t="inlineStr">
        <is>
          <t>Ashby Falls Community Hospital</t>
        </is>
      </c>
      <c r="D9752" t="n">
        <v>56</v>
      </c>
    </row>
    <row r="9753">
      <c r="A9753" t="inlineStr">
        <is>
          <t>ED209945</t>
        </is>
      </c>
      <c r="B9753" s="56" t="n">
        <v>45882.54097222222</v>
      </c>
      <c r="C9753" t="inlineStr">
        <is>
          <t>Bluestone Memorial Hospital</t>
        </is>
      </c>
      <c r="D9753" t="n">
        <v>11</v>
      </c>
    </row>
    <row r="9754">
      <c r="A9754" t="inlineStr">
        <is>
          <t>ED209946</t>
        </is>
      </c>
      <c r="B9754" s="56" t="n">
        <v>45882.66666666666</v>
      </c>
      <c r="C9754" t="inlineStr">
        <is>
          <t>Cedar Ridge Medical Center</t>
        </is>
      </c>
      <c r="D9754" t="n">
        <v>34</v>
      </c>
    </row>
    <row r="9755">
      <c r="A9755" t="inlineStr">
        <is>
          <t>ED209947</t>
        </is>
      </c>
      <c r="B9755" s="56" t="n">
        <v>45882.76180555556</v>
      </c>
      <c r="C9755" t="inlineStr">
        <is>
          <t>Cedar Ridge Medical Center</t>
        </is>
      </c>
      <c r="D9755" t="n">
        <v>22</v>
      </c>
    </row>
    <row r="9756">
      <c r="A9756" t="inlineStr">
        <is>
          <t>ED209948</t>
        </is>
      </c>
      <c r="B9756" s="56" t="n">
        <v>45882.79027777778</v>
      </c>
      <c r="C9756" t="inlineStr">
        <is>
          <t>Ashby Falls Community Hospital</t>
        </is>
      </c>
      <c r="D9756" t="n">
        <v>13</v>
      </c>
    </row>
    <row r="9757">
      <c r="A9757" t="inlineStr">
        <is>
          <t>ED209949</t>
        </is>
      </c>
      <c r="B9757" s="56" t="n">
        <v>45882.81736111111</v>
      </c>
      <c r="C9757" t="inlineStr">
        <is>
          <t>Bluestone Memorial Hospital</t>
        </is>
      </c>
      <c r="D9757" t="n">
        <v>11</v>
      </c>
    </row>
    <row r="9758">
      <c r="A9758" t="inlineStr">
        <is>
          <t>ED209950</t>
        </is>
      </c>
      <c r="B9758" s="56" t="n">
        <v>45882.95763888889</v>
      </c>
      <c r="C9758" t="inlineStr">
        <is>
          <t>Ashby Falls Community Hospital</t>
        </is>
      </c>
      <c r="D9758" t="n">
        <v>53</v>
      </c>
    </row>
    <row r="9759">
      <c r="A9759" t="inlineStr">
        <is>
          <t>ED209951</t>
        </is>
      </c>
      <c r="B9759" s="56" t="n">
        <v>45883.18402777778</v>
      </c>
      <c r="C9759" t="inlineStr">
        <is>
          <t>Cedar Ridge Medical Center</t>
        </is>
      </c>
      <c r="D9759" t="n">
        <v>7</v>
      </c>
    </row>
    <row r="9760">
      <c r="A9760" t="inlineStr">
        <is>
          <t>ED209952</t>
        </is>
      </c>
      <c r="B9760" s="56" t="n">
        <v>45883.33541666667</v>
      </c>
      <c r="C9760" t="inlineStr">
        <is>
          <t>Bluestone Memorial Hospital</t>
        </is>
      </c>
      <c r="D9760" t="n">
        <v>73</v>
      </c>
    </row>
    <row r="9761">
      <c r="A9761" t="inlineStr">
        <is>
          <t>ED209953</t>
        </is>
      </c>
      <c r="B9761" s="56" t="n">
        <v>45883.34375</v>
      </c>
      <c r="C9761" t="inlineStr">
        <is>
          <t>Bluestone Memorial Hospital</t>
        </is>
      </c>
      <c r="D9761" t="n">
        <v>9</v>
      </c>
    </row>
    <row r="9762">
      <c r="A9762" t="inlineStr">
        <is>
          <t>ED209954</t>
        </is>
      </c>
      <c r="B9762" s="56" t="n">
        <v>45883.36319444444</v>
      </c>
      <c r="C9762" t="inlineStr">
        <is>
          <t>Bluestone Memorial Hospital</t>
        </is>
      </c>
      <c r="D9762" t="n">
        <v>30</v>
      </c>
    </row>
    <row r="9763">
      <c r="A9763" t="inlineStr">
        <is>
          <t>ED209955</t>
        </is>
      </c>
      <c r="B9763" s="56" t="n">
        <v>45883.41319444445</v>
      </c>
      <c r="C9763" t="inlineStr">
        <is>
          <t>Bluestone Memorial Hospital</t>
        </is>
      </c>
      <c r="D9763" t="n">
        <v>48</v>
      </c>
    </row>
    <row r="9764">
      <c r="A9764" t="inlineStr">
        <is>
          <t>ED209956</t>
        </is>
      </c>
      <c r="B9764" s="56" t="n">
        <v>45883.47708333333</v>
      </c>
      <c r="C9764" t="inlineStr">
        <is>
          <t>Cedar Ridge Medical Center</t>
        </is>
      </c>
      <c r="D9764" t="n">
        <v>123</v>
      </c>
    </row>
    <row r="9765">
      <c r="A9765" t="inlineStr">
        <is>
          <t>ED209957</t>
        </is>
      </c>
      <c r="B9765" s="56" t="n">
        <v>45883.53541666667</v>
      </c>
      <c r="C9765" t="inlineStr">
        <is>
          <t>Bluestone Memorial Hospital</t>
        </is>
      </c>
      <c r="D9765" t="n">
        <v>20</v>
      </c>
    </row>
    <row r="9766">
      <c r="A9766" t="inlineStr">
        <is>
          <t>ED209958</t>
        </is>
      </c>
      <c r="B9766" s="56" t="n">
        <v>45883.64930555555</v>
      </c>
      <c r="C9766" t="inlineStr">
        <is>
          <t>Bluestone Memorial Hospital</t>
        </is>
      </c>
      <c r="D9766" t="n">
        <v>17</v>
      </c>
    </row>
    <row r="9767">
      <c r="A9767" t="inlineStr">
        <is>
          <t>ED209959</t>
        </is>
      </c>
      <c r="B9767" s="56" t="n">
        <v>45883.69652777778</v>
      </c>
      <c r="C9767" t="inlineStr">
        <is>
          <t>Bluestone Memorial Hospital</t>
        </is>
      </c>
      <c r="D9767" t="n">
        <v>19</v>
      </c>
    </row>
    <row r="9768">
      <c r="A9768" t="inlineStr">
        <is>
          <t>ED209960</t>
        </is>
      </c>
      <c r="B9768" s="56" t="n">
        <v>45883.70902777778</v>
      </c>
      <c r="C9768" t="inlineStr">
        <is>
          <t>Bluestone Memorial Hospital</t>
        </is>
      </c>
      <c r="D9768" t="n">
        <v>46</v>
      </c>
    </row>
    <row r="9769">
      <c r="A9769" t="inlineStr">
        <is>
          <t>ED209961</t>
        </is>
      </c>
      <c r="B9769" s="56" t="n">
        <v>45883.76458333333</v>
      </c>
      <c r="C9769" t="inlineStr">
        <is>
          <t>Cedar Ridge Medical Center</t>
        </is>
      </c>
      <c r="D9769" t="n">
        <v>44</v>
      </c>
    </row>
    <row r="9770">
      <c r="A9770" t="inlineStr">
        <is>
          <t>ED209962</t>
        </is>
      </c>
      <c r="B9770" s="56" t="n">
        <v>45883.76597222222</v>
      </c>
      <c r="C9770" t="inlineStr">
        <is>
          <t>Bluestone Memorial Hospital</t>
        </is>
      </c>
      <c r="D9770" t="n">
        <v>56</v>
      </c>
    </row>
    <row r="9771">
      <c r="A9771" t="inlineStr">
        <is>
          <t>ED209963</t>
        </is>
      </c>
      <c r="B9771" s="56" t="n">
        <v>45883.77569444444</v>
      </c>
      <c r="C9771" t="inlineStr">
        <is>
          <t>Ashby Falls Community Hospital</t>
        </is>
      </c>
      <c r="D9771" t="n">
        <v>52</v>
      </c>
    </row>
    <row r="9772">
      <c r="A9772" t="inlineStr">
        <is>
          <t>ED209964</t>
        </is>
      </c>
      <c r="B9772" s="56" t="n">
        <v>45883.78819444445</v>
      </c>
      <c r="C9772" t="inlineStr">
        <is>
          <t>Bluestone Memorial Hospital</t>
        </is>
      </c>
      <c r="D9772" t="n">
        <v>17</v>
      </c>
    </row>
    <row r="9773">
      <c r="A9773" t="inlineStr">
        <is>
          <t>ED209965</t>
        </is>
      </c>
      <c r="B9773" s="56" t="n">
        <v>45883.80069444444</v>
      </c>
      <c r="C9773" t="inlineStr">
        <is>
          <t>Bluestone Memorial Hospital</t>
        </is>
      </c>
      <c r="D9773" t="n">
        <v>79</v>
      </c>
    </row>
    <row r="9774">
      <c r="A9774" t="inlineStr">
        <is>
          <t>ED209966</t>
        </is>
      </c>
      <c r="B9774" s="56" t="n">
        <v>45883.825</v>
      </c>
      <c r="C9774" t="inlineStr">
        <is>
          <t>Cedar Ridge Medical Center</t>
        </is>
      </c>
      <c r="D9774" t="n">
        <v>5</v>
      </c>
    </row>
    <row r="9775">
      <c r="A9775" t="inlineStr">
        <is>
          <t>ED209967</t>
        </is>
      </c>
      <c r="B9775" s="56" t="n">
        <v>45883.86388888889</v>
      </c>
      <c r="C9775" t="inlineStr">
        <is>
          <t>Ashby Falls Community Hospital</t>
        </is>
      </c>
      <c r="D9775" t="n">
        <v>48</v>
      </c>
    </row>
    <row r="9776">
      <c r="A9776" t="inlineStr">
        <is>
          <t>ED209968</t>
        </is>
      </c>
      <c r="B9776" s="56" t="n">
        <v>45884.07638888889</v>
      </c>
      <c r="C9776" t="inlineStr">
        <is>
          <t>Bluestone Memorial Hospital</t>
        </is>
      </c>
      <c r="D9776" t="n">
        <v>10</v>
      </c>
    </row>
    <row r="9777">
      <c r="A9777" t="inlineStr">
        <is>
          <t>ED209969</t>
        </is>
      </c>
      <c r="B9777" s="56" t="n">
        <v>45884.14236111111</v>
      </c>
      <c r="C9777" t="inlineStr">
        <is>
          <t>Cedar Ridge Medical Center</t>
        </is>
      </c>
      <c r="D9777" t="n">
        <v>60</v>
      </c>
    </row>
    <row r="9778">
      <c r="A9778" t="inlineStr">
        <is>
          <t>ED209970</t>
        </is>
      </c>
      <c r="B9778" s="56" t="n">
        <v>45884.19930555556</v>
      </c>
      <c r="C9778" t="inlineStr">
        <is>
          <t>Bluestone Memorial Hospital</t>
        </is>
      </c>
      <c r="D9778" t="n">
        <v>31</v>
      </c>
    </row>
    <row r="9779">
      <c r="A9779" t="inlineStr">
        <is>
          <t>ED209971</t>
        </is>
      </c>
      <c r="B9779" s="56" t="n">
        <v>45884.26527777778</v>
      </c>
      <c r="C9779" t="inlineStr">
        <is>
          <t>Bluestone Memorial Hospital</t>
        </is>
      </c>
      <c r="D9779" t="n">
        <v>3</v>
      </c>
    </row>
    <row r="9780">
      <c r="A9780" t="inlineStr">
        <is>
          <t>ED209972</t>
        </is>
      </c>
      <c r="B9780" s="56" t="n">
        <v>45884.31527777778</v>
      </c>
      <c r="C9780" t="inlineStr">
        <is>
          <t>Bluestone Memorial Hospital</t>
        </is>
      </c>
      <c r="D9780" t="n">
        <v>48</v>
      </c>
    </row>
    <row r="9781">
      <c r="A9781" t="inlineStr">
        <is>
          <t>ED209973</t>
        </is>
      </c>
      <c r="B9781" s="56" t="n">
        <v>45884.40347222222</v>
      </c>
      <c r="C9781" t="inlineStr">
        <is>
          <t>Bluestone Memorial Hospital</t>
        </is>
      </c>
      <c r="D9781" t="n">
        <v>45</v>
      </c>
    </row>
    <row r="9782">
      <c r="A9782" t="inlineStr">
        <is>
          <t>ED209974</t>
        </is>
      </c>
      <c r="B9782" s="56" t="n">
        <v>45884.59861111111</v>
      </c>
      <c r="C9782" t="inlineStr">
        <is>
          <t>Bluestone Memorial Hospital</t>
        </is>
      </c>
      <c r="D9782" t="n">
        <v>50</v>
      </c>
    </row>
    <row r="9783">
      <c r="A9783" t="inlineStr">
        <is>
          <t>ED209975</t>
        </is>
      </c>
      <c r="B9783" s="56" t="n">
        <v>45884.60763888889</v>
      </c>
      <c r="C9783" t="inlineStr">
        <is>
          <t>Bluestone Memorial Hospital</t>
        </is>
      </c>
      <c r="D9783" t="n">
        <v>50</v>
      </c>
    </row>
    <row r="9784">
      <c r="A9784" t="inlineStr">
        <is>
          <t>ED209976</t>
        </is>
      </c>
      <c r="B9784" s="56" t="n">
        <v>45884.67986111111</v>
      </c>
      <c r="C9784" t="inlineStr">
        <is>
          <t>Bluestone Memorial Hospital</t>
        </is>
      </c>
      <c r="D9784" t="n">
        <v>48</v>
      </c>
    </row>
    <row r="9785">
      <c r="A9785" t="inlineStr">
        <is>
          <t>ED209977</t>
        </is>
      </c>
      <c r="B9785" s="56" t="n">
        <v>45884.70486111111</v>
      </c>
      <c r="C9785" t="inlineStr">
        <is>
          <t>Cedar Ridge Medical Center</t>
        </is>
      </c>
      <c r="D9785" t="n">
        <v>74</v>
      </c>
    </row>
    <row r="9786">
      <c r="A9786" t="inlineStr">
        <is>
          <t>ED209978</t>
        </is>
      </c>
      <c r="B9786" s="56" t="n">
        <v>45884.73194444444</v>
      </c>
      <c r="C9786" t="inlineStr">
        <is>
          <t>Bluestone Memorial Hospital</t>
        </is>
      </c>
      <c r="D9786" t="n">
        <v>18</v>
      </c>
    </row>
    <row r="9787">
      <c r="A9787" t="inlineStr">
        <is>
          <t>ED209979</t>
        </is>
      </c>
      <c r="B9787" s="56" t="n">
        <v>45884.74097222222</v>
      </c>
      <c r="C9787" t="inlineStr">
        <is>
          <t>Bluestone Memorial Hospital</t>
        </is>
      </c>
      <c r="D9787" t="n">
        <v>16</v>
      </c>
    </row>
    <row r="9788">
      <c r="A9788" t="inlineStr">
        <is>
          <t>ED209980</t>
        </is>
      </c>
      <c r="B9788" s="56" t="n">
        <v>45884.78125</v>
      </c>
      <c r="C9788" t="inlineStr">
        <is>
          <t>Bluestone Memorial Hospital</t>
        </is>
      </c>
      <c r="D9788" t="n">
        <v>86</v>
      </c>
    </row>
    <row r="9789">
      <c r="A9789" t="inlineStr">
        <is>
          <t>ED209981</t>
        </is>
      </c>
      <c r="B9789" s="56" t="n">
        <v>45884.78819444445</v>
      </c>
      <c r="C9789" t="inlineStr">
        <is>
          <t>Cedar Ridge Medical Center</t>
        </is>
      </c>
      <c r="D9789" t="n">
        <v>24</v>
      </c>
    </row>
    <row r="9790">
      <c r="A9790" t="inlineStr">
        <is>
          <t>ED209982</t>
        </is>
      </c>
      <c r="B9790" s="56" t="n">
        <v>45884.81736111111</v>
      </c>
      <c r="C9790" t="inlineStr">
        <is>
          <t>Bluestone Memorial Hospital</t>
        </is>
      </c>
      <c r="D9790" t="n">
        <v>52</v>
      </c>
    </row>
    <row r="9791">
      <c r="A9791" t="inlineStr">
        <is>
          <t>ED209983</t>
        </is>
      </c>
      <c r="B9791" s="56" t="n">
        <v>45884.8375</v>
      </c>
      <c r="C9791" t="inlineStr">
        <is>
          <t>Bluestone Memorial Hospital</t>
        </is>
      </c>
      <c r="D9791" t="n">
        <v>4</v>
      </c>
    </row>
    <row r="9792">
      <c r="A9792" t="inlineStr">
        <is>
          <t>ED209984</t>
        </is>
      </c>
      <c r="B9792" s="56" t="n">
        <v>45884.91388888889</v>
      </c>
      <c r="C9792" t="inlineStr">
        <is>
          <t>Bluestone Memorial Hospital</t>
        </is>
      </c>
      <c r="D9792" t="n">
        <v>31</v>
      </c>
    </row>
    <row r="9793">
      <c r="A9793" t="inlineStr">
        <is>
          <t>ED209985</t>
        </is>
      </c>
      <c r="B9793" s="56" t="n">
        <v>45885.35347222222</v>
      </c>
      <c r="C9793" t="inlineStr">
        <is>
          <t>Bluestone Memorial Hospital</t>
        </is>
      </c>
      <c r="D9793" t="n">
        <v>10</v>
      </c>
    </row>
    <row r="9794">
      <c r="A9794" t="inlineStr">
        <is>
          <t>ED209987</t>
        </is>
      </c>
      <c r="B9794" s="56" t="n">
        <v>45885.47430555556</v>
      </c>
      <c r="C9794" t="inlineStr">
        <is>
          <t>Ashby Falls Community Hospital</t>
        </is>
      </c>
      <c r="D9794" t="n">
        <v>43</v>
      </c>
    </row>
    <row r="9795">
      <c r="A9795" t="inlineStr">
        <is>
          <t>ED209988</t>
        </is>
      </c>
      <c r="B9795" s="56" t="n">
        <v>45885.47569444445</v>
      </c>
      <c r="C9795" t="inlineStr">
        <is>
          <t>Cedar Ridge Medical Center</t>
        </is>
      </c>
      <c r="D9795" t="n">
        <v>60</v>
      </c>
    </row>
    <row r="9796">
      <c r="A9796" t="inlineStr">
        <is>
          <t>ED209989</t>
        </is>
      </c>
      <c r="B9796" s="56" t="n">
        <v>45885.49583333333</v>
      </c>
      <c r="C9796" t="inlineStr">
        <is>
          <t>Bluestone Memorial Hospital</t>
        </is>
      </c>
      <c r="D9796" t="n">
        <v>55</v>
      </c>
    </row>
    <row r="9797">
      <c r="A9797" t="inlineStr">
        <is>
          <t>ED209990</t>
        </is>
      </c>
      <c r="B9797" s="56" t="n">
        <v>45885.53263888889</v>
      </c>
      <c r="C9797" t="inlineStr">
        <is>
          <t>Bluestone Memorial Hospital</t>
        </is>
      </c>
      <c r="D9797" t="n">
        <v>59</v>
      </c>
    </row>
    <row r="9798">
      <c r="A9798" t="inlineStr">
        <is>
          <t>ED209991</t>
        </is>
      </c>
      <c r="B9798" s="56" t="n">
        <v>45885.57291666666</v>
      </c>
      <c r="C9798" t="inlineStr">
        <is>
          <t>Bluestone Memorial Hospital</t>
        </is>
      </c>
      <c r="D9798" t="n">
        <v>12</v>
      </c>
    </row>
    <row r="9799">
      <c r="A9799" t="inlineStr">
        <is>
          <t>ED209992</t>
        </is>
      </c>
      <c r="B9799" s="56" t="n">
        <v>45885.57986111111</v>
      </c>
      <c r="C9799" t="inlineStr">
        <is>
          <t>Ashby Falls Community Hospital</t>
        </is>
      </c>
      <c r="D9799" t="n">
        <v>109</v>
      </c>
    </row>
    <row r="9800">
      <c r="A9800" t="inlineStr">
        <is>
          <t>ED209993</t>
        </is>
      </c>
      <c r="B9800" s="56" t="n">
        <v>45885.59652777778</v>
      </c>
      <c r="C9800" t="inlineStr">
        <is>
          <t>Bluestone Memorial Hospital</t>
        </is>
      </c>
      <c r="D9800" t="n">
        <v>20</v>
      </c>
    </row>
    <row r="9801">
      <c r="A9801" t="inlineStr">
        <is>
          <t>ED209994</t>
        </is>
      </c>
      <c r="B9801" s="56" t="n">
        <v>45885.63541666666</v>
      </c>
      <c r="C9801" t="inlineStr">
        <is>
          <t>Cedar Ridge Medical Center</t>
        </is>
      </c>
      <c r="D9801" t="n">
        <v>64</v>
      </c>
    </row>
    <row r="9802">
      <c r="A9802" t="inlineStr">
        <is>
          <t>ED209995</t>
        </is>
      </c>
      <c r="B9802" s="56" t="n">
        <v>45885.77291666667</v>
      </c>
      <c r="C9802" t="inlineStr">
        <is>
          <t>Bluestone Memorial Hospital</t>
        </is>
      </c>
      <c r="D9802" t="n">
        <v>31</v>
      </c>
    </row>
    <row r="9803">
      <c r="A9803" t="inlineStr">
        <is>
          <t>ED209996</t>
        </is>
      </c>
      <c r="B9803" s="56" t="n">
        <v>45885.80347222222</v>
      </c>
      <c r="C9803" t="inlineStr">
        <is>
          <t>Bluestone Memorial Hospital</t>
        </is>
      </c>
      <c r="D9803" t="n">
        <v>11</v>
      </c>
    </row>
    <row r="9804">
      <c r="A9804" t="inlineStr">
        <is>
          <t>ED209997</t>
        </is>
      </c>
      <c r="B9804" s="56" t="n">
        <v>45885.82013888889</v>
      </c>
      <c r="C9804" t="inlineStr">
        <is>
          <t>Bluestone Memorial Hospital</t>
        </is>
      </c>
      <c r="D9804" t="n">
        <v>18</v>
      </c>
    </row>
    <row r="9805">
      <c r="A9805" t="inlineStr">
        <is>
          <t>ED209998</t>
        </is>
      </c>
      <c r="B9805" s="56" t="n">
        <v>45885.88472222222</v>
      </c>
      <c r="C9805" t="inlineStr">
        <is>
          <t>Bluestone Memorial Hospital</t>
        </is>
      </c>
      <c r="D9805" t="n">
        <v>131</v>
      </c>
    </row>
    <row r="9806">
      <c r="A9806" t="inlineStr">
        <is>
          <t>ED209999</t>
        </is>
      </c>
      <c r="B9806" s="56" t="n">
        <v>45885.9</v>
      </c>
      <c r="C9806" t="inlineStr">
        <is>
          <t>Ashby Falls Community Hospital</t>
        </is>
      </c>
      <c r="D9806" t="n">
        <v>27</v>
      </c>
    </row>
    <row r="9807">
      <c r="A9807" t="inlineStr">
        <is>
          <t>ED210000</t>
        </is>
      </c>
      <c r="B9807" s="56" t="n">
        <v>45885.92638888889</v>
      </c>
      <c r="C9807" t="inlineStr">
        <is>
          <t>Cedar Ridge Medical Center</t>
        </is>
      </c>
      <c r="D9807" t="n">
        <v>102</v>
      </c>
    </row>
    <row r="9808">
      <c r="A9808" t="inlineStr">
        <is>
          <t>ED210001</t>
        </is>
      </c>
      <c r="B9808" s="56" t="n">
        <v>45885.96041666667</v>
      </c>
      <c r="C9808" t="inlineStr">
        <is>
          <t>Bluestone Memorial Hospital</t>
        </is>
      </c>
      <c r="D9808" t="n">
        <v>44</v>
      </c>
    </row>
    <row r="9809">
      <c r="A9809" t="inlineStr">
        <is>
          <t>ED210002</t>
        </is>
      </c>
      <c r="B9809" s="56" t="n">
        <v>45886.02083333334</v>
      </c>
      <c r="C9809" t="inlineStr">
        <is>
          <t>Ashby Falls Community Hospital</t>
        </is>
      </c>
      <c r="D9809" t="n">
        <v>6</v>
      </c>
    </row>
    <row r="9810">
      <c r="A9810" t="inlineStr">
        <is>
          <t>ED210003</t>
        </is>
      </c>
      <c r="B9810" s="56" t="n">
        <v>45886.03888888889</v>
      </c>
      <c r="C9810" t="inlineStr">
        <is>
          <t>Bluestone Memorial Hospital</t>
        </is>
      </c>
      <c r="D9810" t="n">
        <v>27</v>
      </c>
    </row>
    <row r="9811">
      <c r="A9811" t="inlineStr">
        <is>
          <t>ED210004</t>
        </is>
      </c>
      <c r="B9811" s="56" t="n">
        <v>45886.07083333333</v>
      </c>
      <c r="C9811" t="inlineStr">
        <is>
          <t>Bluestone Memorial Hospital</t>
        </is>
      </c>
      <c r="D9811" t="n">
        <v>10</v>
      </c>
    </row>
    <row r="9812">
      <c r="A9812" t="inlineStr">
        <is>
          <t>ED210005</t>
        </is>
      </c>
      <c r="B9812" s="56" t="n">
        <v>45886.37569444445</v>
      </c>
      <c r="C9812" t="inlineStr">
        <is>
          <t>Bluestone Memorial Hospital</t>
        </is>
      </c>
      <c r="D9812" t="n">
        <v>8</v>
      </c>
    </row>
    <row r="9813">
      <c r="A9813" t="inlineStr">
        <is>
          <t>ED210006</t>
        </is>
      </c>
      <c r="B9813" s="56" t="n">
        <v>45886.39305555556</v>
      </c>
      <c r="C9813" t="inlineStr">
        <is>
          <t>Bluestone Memorial Hospital</t>
        </is>
      </c>
      <c r="D9813" t="n">
        <v>53</v>
      </c>
    </row>
    <row r="9814">
      <c r="A9814" t="inlineStr">
        <is>
          <t>ED210007</t>
        </is>
      </c>
      <c r="B9814" s="56" t="n">
        <v>45886.40347222222</v>
      </c>
      <c r="C9814" t="inlineStr">
        <is>
          <t>Bluestone Memorial Hospital</t>
        </is>
      </c>
      <c r="D9814" t="n">
        <v>19</v>
      </c>
    </row>
    <row r="9815">
      <c r="A9815" t="inlineStr">
        <is>
          <t>ED210008</t>
        </is>
      </c>
      <c r="B9815" s="56" t="n">
        <v>45886.45833333334</v>
      </c>
      <c r="C9815" t="inlineStr">
        <is>
          <t>Bluestone Memorial Hospital</t>
        </is>
      </c>
      <c r="D9815" t="n">
        <v>51</v>
      </c>
    </row>
    <row r="9816">
      <c r="A9816" t="inlineStr">
        <is>
          <t>ED210009</t>
        </is>
      </c>
      <c r="B9816" s="56" t="n">
        <v>45886.48055555556</v>
      </c>
      <c r="C9816" t="inlineStr">
        <is>
          <t>Bluestone Memorial Hospital</t>
        </is>
      </c>
      <c r="D9816" t="n">
        <v>48</v>
      </c>
    </row>
    <row r="9817">
      <c r="A9817" t="inlineStr">
        <is>
          <t>ED210010</t>
        </is>
      </c>
      <c r="B9817" s="56" t="n">
        <v>45886.4875</v>
      </c>
      <c r="C9817" t="inlineStr">
        <is>
          <t>Bluestone Memorial Hospital</t>
        </is>
      </c>
      <c r="D9817" t="n">
        <v>42</v>
      </c>
    </row>
    <row r="9818">
      <c r="A9818" t="inlineStr">
        <is>
          <t>ED210011</t>
        </is>
      </c>
      <c r="B9818" s="56" t="n">
        <v>45886.57986111111</v>
      </c>
      <c r="C9818" t="inlineStr">
        <is>
          <t>Bluestone Memorial Hospital</t>
        </is>
      </c>
      <c r="D9818" t="n">
        <v>83</v>
      </c>
    </row>
    <row r="9819">
      <c r="A9819" t="inlineStr">
        <is>
          <t>ED210012</t>
        </is>
      </c>
      <c r="B9819" s="56" t="n">
        <v>45886.71319444444</v>
      </c>
      <c r="C9819" t="inlineStr">
        <is>
          <t>Bluestone Memorial Hospital</t>
        </is>
      </c>
      <c r="D9819" t="n">
        <v>82</v>
      </c>
    </row>
    <row r="9820">
      <c r="A9820" t="inlineStr">
        <is>
          <t>ED210013</t>
        </is>
      </c>
      <c r="B9820" s="56" t="n">
        <v>45886.90694444445</v>
      </c>
      <c r="C9820" t="inlineStr">
        <is>
          <t>Bluestone Memorial Hospital</t>
        </is>
      </c>
      <c r="D9820" t="n">
        <v>3</v>
      </c>
    </row>
    <row r="9821">
      <c r="A9821" t="inlineStr">
        <is>
          <t>ED210014</t>
        </is>
      </c>
      <c r="B9821" s="56" t="n">
        <v>45887.33194444444</v>
      </c>
      <c r="C9821" t="inlineStr">
        <is>
          <t>Ashby Falls Community Hospital</t>
        </is>
      </c>
      <c r="D9821" t="n">
        <v>33</v>
      </c>
    </row>
    <row r="9822">
      <c r="A9822" t="inlineStr">
        <is>
          <t>ED210015</t>
        </is>
      </c>
      <c r="B9822" s="56" t="n">
        <v>45887.37291666667</v>
      </c>
      <c r="C9822" t="inlineStr">
        <is>
          <t>Cedar Ridge Medical Center</t>
        </is>
      </c>
      <c r="D9822" t="n">
        <v>97</v>
      </c>
    </row>
    <row r="9823">
      <c r="A9823" t="inlineStr">
        <is>
          <t>ED210016</t>
        </is>
      </c>
      <c r="B9823" s="56" t="n">
        <v>45887.52083333334</v>
      </c>
      <c r="C9823" t="inlineStr">
        <is>
          <t>Bluestone Memorial Hospital</t>
        </is>
      </c>
      <c r="D9823" t="n">
        <v>52</v>
      </c>
    </row>
    <row r="9824">
      <c r="A9824" t="inlineStr">
        <is>
          <t>ED210017</t>
        </is>
      </c>
      <c r="B9824" s="56" t="n">
        <v>45887.58194444444</v>
      </c>
      <c r="C9824" t="inlineStr">
        <is>
          <t>Ashby Falls Community Hospital</t>
        </is>
      </c>
      <c r="D9824" t="n">
        <v>39</v>
      </c>
    </row>
    <row r="9825">
      <c r="A9825" t="inlineStr">
        <is>
          <t>ED210018</t>
        </is>
      </c>
      <c r="B9825" s="56" t="n">
        <v>45887.64513888889</v>
      </c>
      <c r="C9825" t="inlineStr">
        <is>
          <t>Bluestone Memorial Hospital</t>
        </is>
      </c>
      <c r="D9825" t="n">
        <v>41</v>
      </c>
    </row>
    <row r="9826">
      <c r="A9826" t="inlineStr">
        <is>
          <t>ED210019</t>
        </is>
      </c>
      <c r="B9826" s="56" t="n">
        <v>45887.69027777778</v>
      </c>
      <c r="C9826" t="inlineStr">
        <is>
          <t>Bluestone Memorial Hospital</t>
        </is>
      </c>
      <c r="D9826" t="n">
        <v>18</v>
      </c>
    </row>
    <row r="9827">
      <c r="A9827" t="inlineStr">
        <is>
          <t>ED210020</t>
        </is>
      </c>
      <c r="B9827" s="56" t="n">
        <v>45887.76319444444</v>
      </c>
      <c r="C9827" t="inlineStr">
        <is>
          <t>Bluestone Memorial Hospital</t>
        </is>
      </c>
      <c r="D9827" t="n">
        <v>79</v>
      </c>
    </row>
    <row r="9828">
      <c r="A9828" t="inlineStr">
        <is>
          <t>ED210021</t>
        </is>
      </c>
      <c r="B9828" s="56" t="n">
        <v>45887.80694444444</v>
      </c>
      <c r="C9828" t="inlineStr">
        <is>
          <t>Bluestone Memorial Hospital</t>
        </is>
      </c>
      <c r="D9828" t="n">
        <v>65</v>
      </c>
    </row>
    <row r="9829">
      <c r="A9829" t="inlineStr">
        <is>
          <t>ED210022</t>
        </is>
      </c>
      <c r="B9829" s="56" t="n">
        <v>45887.84791666667</v>
      </c>
      <c r="C9829" t="inlineStr">
        <is>
          <t>Bluestone Memorial Hospital</t>
        </is>
      </c>
      <c r="D9829" t="n">
        <v>63</v>
      </c>
    </row>
    <row r="9830">
      <c r="A9830" t="inlineStr">
        <is>
          <t>ED210023</t>
        </is>
      </c>
      <c r="B9830" s="56" t="n">
        <v>45887.86319444444</v>
      </c>
      <c r="C9830" t="inlineStr">
        <is>
          <t>Cedar Ridge Medical Center</t>
        </is>
      </c>
      <c r="D9830" t="n">
        <v>42</v>
      </c>
    </row>
    <row r="9831">
      <c r="A9831" t="inlineStr">
        <is>
          <t>ED210024</t>
        </is>
      </c>
      <c r="B9831" s="56" t="n">
        <v>45887.89861111111</v>
      </c>
      <c r="C9831" t="inlineStr">
        <is>
          <t>Bluestone Memorial Hospital</t>
        </is>
      </c>
      <c r="D9831" t="n">
        <v>90</v>
      </c>
    </row>
    <row r="9832">
      <c r="A9832" t="inlineStr">
        <is>
          <t>ED210025</t>
        </is>
      </c>
      <c r="B9832" s="56" t="n">
        <v>45888.17638888889</v>
      </c>
      <c r="C9832" t="inlineStr">
        <is>
          <t>Bluestone Memorial Hospital</t>
        </is>
      </c>
      <c r="D9832" t="n">
        <v>17</v>
      </c>
    </row>
    <row r="9833">
      <c r="A9833" t="inlineStr">
        <is>
          <t>ED210026</t>
        </is>
      </c>
      <c r="B9833" s="56" t="n">
        <v>45888.22291666667</v>
      </c>
      <c r="C9833" t="inlineStr">
        <is>
          <t>Bluestone Memorial Hospital</t>
        </is>
      </c>
      <c r="D9833" t="n">
        <v>69</v>
      </c>
    </row>
    <row r="9834">
      <c r="A9834" t="inlineStr">
        <is>
          <t>ED210027</t>
        </is>
      </c>
      <c r="B9834" s="56" t="n">
        <v>45888.3125</v>
      </c>
      <c r="C9834" t="inlineStr">
        <is>
          <t>Bluestone Memorial Hospital</t>
        </is>
      </c>
      <c r="D9834" t="n">
        <v>21</v>
      </c>
    </row>
    <row r="9835">
      <c r="A9835" t="inlineStr">
        <is>
          <t>ED210028</t>
        </is>
      </c>
      <c r="B9835" s="56" t="n">
        <v>45888.35833333333</v>
      </c>
      <c r="C9835" t="inlineStr">
        <is>
          <t>Bluestone Memorial Hospital</t>
        </is>
      </c>
      <c r="D9835" t="n">
        <v>10</v>
      </c>
    </row>
    <row r="9836">
      <c r="A9836" t="inlineStr">
        <is>
          <t>ED210029</t>
        </is>
      </c>
      <c r="B9836" s="56" t="n">
        <v>45888.45763888889</v>
      </c>
      <c r="C9836" t="inlineStr">
        <is>
          <t>Bluestone Memorial Hospital</t>
        </is>
      </c>
      <c r="D9836" t="n">
        <v>46</v>
      </c>
    </row>
    <row r="9837">
      <c r="A9837" t="inlineStr">
        <is>
          <t>ED210030</t>
        </is>
      </c>
      <c r="B9837" s="56" t="n">
        <v>45888.48263888889</v>
      </c>
      <c r="C9837" t="inlineStr">
        <is>
          <t>Bluestone Memorial Hospital</t>
        </is>
      </c>
      <c r="D9837" t="n">
        <v>87</v>
      </c>
    </row>
    <row r="9838">
      <c r="A9838" t="inlineStr">
        <is>
          <t>ED210031</t>
        </is>
      </c>
      <c r="B9838" s="56" t="n">
        <v>45888.55</v>
      </c>
      <c r="C9838" t="inlineStr">
        <is>
          <t>Cedar Ridge Medical Center</t>
        </is>
      </c>
      <c r="D9838" t="n">
        <v>129</v>
      </c>
    </row>
    <row r="9839">
      <c r="A9839" t="inlineStr">
        <is>
          <t>ED210032</t>
        </is>
      </c>
      <c r="B9839" s="56" t="n">
        <v>45888.61597222222</v>
      </c>
      <c r="C9839" t="inlineStr">
        <is>
          <t>Bluestone Memorial Hospital</t>
        </is>
      </c>
      <c r="D9839" t="n">
        <v>58</v>
      </c>
    </row>
    <row r="9840">
      <c r="A9840" t="inlineStr">
        <is>
          <t>ED210033</t>
        </is>
      </c>
      <c r="B9840" s="56" t="n">
        <v>45888.68125</v>
      </c>
      <c r="C9840" t="inlineStr">
        <is>
          <t>Ashby Falls Community Hospital</t>
        </is>
      </c>
      <c r="D9840" t="n">
        <v>52</v>
      </c>
    </row>
    <row r="9841">
      <c r="A9841" t="inlineStr">
        <is>
          <t>ED210034</t>
        </is>
      </c>
      <c r="B9841" s="56" t="n">
        <v>45888.78402777778</v>
      </c>
      <c r="C9841" t="inlineStr">
        <is>
          <t>Bluestone Memorial Hospital</t>
        </is>
      </c>
      <c r="D9841" t="n">
        <v>87</v>
      </c>
    </row>
    <row r="9842">
      <c r="A9842" t="inlineStr">
        <is>
          <t>ED210035</t>
        </is>
      </c>
      <c r="B9842" s="56" t="n">
        <v>45888.86041666667</v>
      </c>
      <c r="C9842" t="inlineStr">
        <is>
          <t>Bluestone Memorial Hospital</t>
        </is>
      </c>
      <c r="D9842" t="n">
        <v>60</v>
      </c>
    </row>
    <row r="9843">
      <c r="A9843" t="inlineStr">
        <is>
          <t>ED210036</t>
        </is>
      </c>
      <c r="B9843" s="56" t="n">
        <v>45888.86875</v>
      </c>
      <c r="C9843" t="inlineStr">
        <is>
          <t>Bluestone Memorial Hospital</t>
        </is>
      </c>
      <c r="D9843" t="n">
        <v>66</v>
      </c>
    </row>
    <row r="9844">
      <c r="A9844" t="inlineStr">
        <is>
          <t>ED210037</t>
        </is>
      </c>
      <c r="B9844" s="56" t="n">
        <v>45888.88055555556</v>
      </c>
      <c r="C9844" t="inlineStr">
        <is>
          <t>Ashby Falls Community Hospital</t>
        </is>
      </c>
      <c r="D9844" t="n">
        <v>4</v>
      </c>
    </row>
    <row r="9845">
      <c r="A9845" t="inlineStr">
        <is>
          <t>ED210038</t>
        </is>
      </c>
      <c r="B9845" s="56" t="n">
        <v>45888.89513888889</v>
      </c>
      <c r="C9845" t="inlineStr">
        <is>
          <t>Bluestone Memorial Hospital</t>
        </is>
      </c>
      <c r="D9845" t="n">
        <v>1</v>
      </c>
    </row>
    <row r="9846">
      <c r="A9846" t="inlineStr">
        <is>
          <t>ED210039</t>
        </is>
      </c>
      <c r="B9846" s="56" t="n">
        <v>45888.91458333333</v>
      </c>
      <c r="C9846" t="inlineStr">
        <is>
          <t>Bluestone Memorial Hospital</t>
        </is>
      </c>
      <c r="D9846" t="n">
        <v>34</v>
      </c>
    </row>
    <row r="9847">
      <c r="A9847" t="inlineStr">
        <is>
          <t>ED210040</t>
        </is>
      </c>
      <c r="B9847" s="56" t="n">
        <v>45888.92013888889</v>
      </c>
      <c r="C9847" t="inlineStr">
        <is>
          <t>Bluestone Memorial Hospital</t>
        </is>
      </c>
      <c r="D9847" t="n">
        <v>54</v>
      </c>
    </row>
    <row r="9848">
      <c r="A9848" t="inlineStr">
        <is>
          <t>ED210041</t>
        </is>
      </c>
      <c r="B9848" s="56" t="n">
        <v>45888.95902777778</v>
      </c>
      <c r="C9848" t="inlineStr">
        <is>
          <t>Bluestone Memorial Hospital</t>
        </is>
      </c>
      <c r="D9848" t="n">
        <v>23</v>
      </c>
    </row>
    <row r="9849">
      <c r="A9849" t="inlineStr">
        <is>
          <t>ED210042</t>
        </is>
      </c>
      <c r="B9849" s="56" t="n">
        <v>45888.95972222222</v>
      </c>
      <c r="C9849" t="inlineStr">
        <is>
          <t>Bluestone Memorial Hospital</t>
        </is>
      </c>
      <c r="D9849" t="n">
        <v>16</v>
      </c>
    </row>
    <row r="9850">
      <c r="A9850" t="inlineStr">
        <is>
          <t>ED210043</t>
        </is>
      </c>
      <c r="B9850" s="56" t="n">
        <v>45889.04236111111</v>
      </c>
      <c r="C9850" t="inlineStr">
        <is>
          <t>Bluestone Memorial Hospital</t>
        </is>
      </c>
      <c r="D9850" t="n">
        <v>43</v>
      </c>
    </row>
    <row r="9851">
      <c r="A9851" t="inlineStr">
        <is>
          <t>ED210044</t>
        </is>
      </c>
      <c r="B9851" s="56" t="n">
        <v>45889.06875</v>
      </c>
      <c r="C9851" t="inlineStr">
        <is>
          <t>Cedar Ridge Medical Center</t>
        </is>
      </c>
      <c r="D9851" t="n">
        <v>63</v>
      </c>
    </row>
    <row r="9852">
      <c r="A9852" t="inlineStr">
        <is>
          <t>ED210045</t>
        </is>
      </c>
      <c r="B9852" s="56" t="n">
        <v>45889.16041666667</v>
      </c>
      <c r="C9852" t="inlineStr">
        <is>
          <t>Bluestone Memorial Hospital</t>
        </is>
      </c>
      <c r="D9852" t="n">
        <v>19</v>
      </c>
    </row>
    <row r="9853">
      <c r="A9853" t="inlineStr">
        <is>
          <t>ED210046</t>
        </is>
      </c>
      <c r="B9853" s="56" t="n">
        <v>45889.37708333333</v>
      </c>
      <c r="C9853" t="inlineStr">
        <is>
          <t>Bluestone Memorial Hospital</t>
        </is>
      </c>
      <c r="D9853" t="n">
        <v>12</v>
      </c>
    </row>
    <row r="9854">
      <c r="A9854" t="inlineStr">
        <is>
          <t>ED210047</t>
        </is>
      </c>
      <c r="B9854" s="56" t="n">
        <v>45889.43541666667</v>
      </c>
      <c r="C9854" t="inlineStr">
        <is>
          <t>Ashby Falls Community Hospital</t>
        </is>
      </c>
      <c r="D9854" t="n">
        <v>32</v>
      </c>
    </row>
    <row r="9855">
      <c r="A9855" t="inlineStr">
        <is>
          <t>ED210048</t>
        </is>
      </c>
      <c r="B9855" s="56" t="n">
        <v>45889.48472222222</v>
      </c>
      <c r="C9855" t="inlineStr">
        <is>
          <t>Cedar Ridge Medical Center</t>
        </is>
      </c>
      <c r="D9855" t="n">
        <v>51</v>
      </c>
    </row>
    <row r="9856">
      <c r="A9856" t="inlineStr">
        <is>
          <t>ED210049</t>
        </is>
      </c>
      <c r="B9856" s="56" t="n">
        <v>45889.53402777778</v>
      </c>
      <c r="C9856" t="inlineStr">
        <is>
          <t>Bluestone Memorial Hospital</t>
        </is>
      </c>
      <c r="D9856" t="n">
        <v>25</v>
      </c>
    </row>
    <row r="9857">
      <c r="A9857" t="inlineStr">
        <is>
          <t>ED210050</t>
        </is>
      </c>
      <c r="B9857" s="56" t="n">
        <v>45889.60416666666</v>
      </c>
      <c r="C9857" t="inlineStr">
        <is>
          <t>Cedar Ridge Medical Center</t>
        </is>
      </c>
      <c r="D9857" t="n">
        <v>32</v>
      </c>
    </row>
    <row r="9858">
      <c r="A9858" t="inlineStr">
        <is>
          <t>ED210051</t>
        </is>
      </c>
      <c r="B9858" s="56" t="n">
        <v>45889.65</v>
      </c>
      <c r="C9858" t="inlineStr">
        <is>
          <t>Bluestone Memorial Hospital</t>
        </is>
      </c>
      <c r="D9858" t="n">
        <v>16</v>
      </c>
    </row>
    <row r="9859">
      <c r="A9859" t="inlineStr">
        <is>
          <t>ED210052</t>
        </is>
      </c>
      <c r="B9859" s="56" t="n">
        <v>45889.65902777778</v>
      </c>
      <c r="C9859" t="inlineStr">
        <is>
          <t>Ashby Falls Community Hospital</t>
        </is>
      </c>
      <c r="D9859" t="n">
        <v>100</v>
      </c>
    </row>
    <row r="9860">
      <c r="A9860" t="inlineStr">
        <is>
          <t>ED210053</t>
        </is>
      </c>
      <c r="B9860" s="56" t="n">
        <v>45889.68194444444</v>
      </c>
      <c r="C9860" t="inlineStr">
        <is>
          <t>Bluestone Memorial Hospital</t>
        </is>
      </c>
      <c r="D9860" t="n">
        <v>63</v>
      </c>
    </row>
    <row r="9861">
      <c r="A9861" t="inlineStr">
        <is>
          <t>ED210054</t>
        </is>
      </c>
      <c r="B9861" s="56" t="n">
        <v>45889.69305555556</v>
      </c>
      <c r="C9861" t="inlineStr">
        <is>
          <t>Bluestone Memorial Hospital</t>
        </is>
      </c>
      <c r="D9861" t="n">
        <v>37</v>
      </c>
    </row>
    <row r="9862">
      <c r="A9862" t="inlineStr">
        <is>
          <t>ED210055</t>
        </is>
      </c>
      <c r="B9862" s="56" t="n">
        <v>45889.72083333333</v>
      </c>
      <c r="C9862" t="inlineStr">
        <is>
          <t>Bluestone Memorial Hospital</t>
        </is>
      </c>
      <c r="D9862" t="n">
        <v>49</v>
      </c>
    </row>
    <row r="9863">
      <c r="A9863" t="inlineStr">
        <is>
          <t>ED210056</t>
        </is>
      </c>
      <c r="B9863" s="56" t="n">
        <v>45889.76944444444</v>
      </c>
      <c r="C9863" t="inlineStr">
        <is>
          <t>Bluestone Memorial Hospital</t>
        </is>
      </c>
      <c r="D9863" t="n">
        <v>20</v>
      </c>
    </row>
    <row r="9864">
      <c r="A9864" t="inlineStr">
        <is>
          <t>ED210057</t>
        </is>
      </c>
      <c r="B9864" s="56" t="n">
        <v>45889.78125</v>
      </c>
      <c r="C9864" t="inlineStr">
        <is>
          <t>Cedar Ridge Medical Center</t>
        </is>
      </c>
      <c r="D9864" t="n">
        <v>32</v>
      </c>
    </row>
    <row r="9865">
      <c r="A9865" t="inlineStr">
        <is>
          <t>ED210058</t>
        </is>
      </c>
      <c r="B9865" s="56" t="n">
        <v>45889.78819444445</v>
      </c>
      <c r="C9865" t="inlineStr">
        <is>
          <t>Bluestone Memorial Hospital</t>
        </is>
      </c>
      <c r="D9865" t="n">
        <v>60</v>
      </c>
    </row>
    <row r="9866">
      <c r="A9866" t="inlineStr">
        <is>
          <t>ED210059</t>
        </is>
      </c>
      <c r="B9866" s="56" t="n">
        <v>45890.11527777778</v>
      </c>
      <c r="C9866" t="inlineStr">
        <is>
          <t>Bluestone Memorial Hospital</t>
        </is>
      </c>
      <c r="D9866" t="n">
        <v>37</v>
      </c>
    </row>
    <row r="9867">
      <c r="A9867" t="inlineStr">
        <is>
          <t>ED210060</t>
        </is>
      </c>
      <c r="B9867" s="56" t="n">
        <v>45890.31527777778</v>
      </c>
      <c r="C9867" t="inlineStr">
        <is>
          <t>Bluestone Memorial Hospital</t>
        </is>
      </c>
      <c r="D9867" t="n">
        <v>18</v>
      </c>
    </row>
    <row r="9868">
      <c r="A9868" t="inlineStr">
        <is>
          <t>ED210061</t>
        </is>
      </c>
      <c r="B9868" s="56" t="n">
        <v>45890.37638888889</v>
      </c>
      <c r="C9868" t="inlineStr">
        <is>
          <t>Bluestone Memorial Hospital</t>
        </is>
      </c>
      <c r="D9868" t="n">
        <v>13</v>
      </c>
    </row>
    <row r="9869">
      <c r="A9869" t="inlineStr">
        <is>
          <t>ED210062</t>
        </is>
      </c>
      <c r="B9869" s="56" t="n">
        <v>45890.4125</v>
      </c>
      <c r="C9869" t="inlineStr">
        <is>
          <t>Bluestone Memorial Hospital</t>
        </is>
      </c>
      <c r="D9869" t="n">
        <v>6</v>
      </c>
    </row>
    <row r="9870">
      <c r="A9870" t="inlineStr">
        <is>
          <t>ED210063</t>
        </is>
      </c>
      <c r="B9870" s="56" t="n">
        <v>45890.42291666667</v>
      </c>
      <c r="C9870" t="inlineStr">
        <is>
          <t>Bluestone Memorial Hospital</t>
        </is>
      </c>
      <c r="D9870" t="n">
        <v>63</v>
      </c>
    </row>
    <row r="9871">
      <c r="A9871" t="inlineStr">
        <is>
          <t>ED210064</t>
        </is>
      </c>
      <c r="B9871" s="56" t="n">
        <v>45890.46180555555</v>
      </c>
      <c r="C9871" t="inlineStr">
        <is>
          <t>Bluestone Memorial Hospital</t>
        </is>
      </c>
      <c r="D9871" t="n">
        <v>87</v>
      </c>
    </row>
    <row r="9872">
      <c r="A9872" t="inlineStr">
        <is>
          <t>ED210066</t>
        </is>
      </c>
      <c r="B9872" s="56" t="n">
        <v>45890.68819444445</v>
      </c>
      <c r="C9872" t="inlineStr">
        <is>
          <t>Bluestone Memorial Hospital</t>
        </is>
      </c>
      <c r="D9872" t="n">
        <v>76</v>
      </c>
    </row>
    <row r="9873">
      <c r="A9873" t="inlineStr">
        <is>
          <t>ED210067</t>
        </is>
      </c>
      <c r="B9873" s="56" t="n">
        <v>45890.68888888889</v>
      </c>
      <c r="C9873" t="inlineStr">
        <is>
          <t>Bluestone Memorial Hospital</t>
        </is>
      </c>
      <c r="D9873" t="n">
        <v>40</v>
      </c>
    </row>
    <row r="9874">
      <c r="A9874" t="inlineStr">
        <is>
          <t>ED210068</t>
        </is>
      </c>
      <c r="B9874" s="56" t="n">
        <v>45890.70763888889</v>
      </c>
      <c r="C9874" t="inlineStr">
        <is>
          <t>Ashby Falls Community Hospital</t>
        </is>
      </c>
      <c r="D9874" t="n">
        <v>22</v>
      </c>
    </row>
    <row r="9875">
      <c r="A9875" t="inlineStr">
        <is>
          <t>ED210069</t>
        </is>
      </c>
      <c r="B9875" s="56" t="n">
        <v>45890.74513888889</v>
      </c>
      <c r="C9875" t="inlineStr">
        <is>
          <t>Cedar Ridge Medical Center</t>
        </is>
      </c>
      <c r="D9875" t="n">
        <v>26</v>
      </c>
    </row>
    <row r="9876">
      <c r="A9876" t="inlineStr">
        <is>
          <t>ED210070</t>
        </is>
      </c>
      <c r="B9876" s="56" t="n">
        <v>45890.74513888889</v>
      </c>
      <c r="C9876" t="inlineStr">
        <is>
          <t>Bluestone Memorial Hospital</t>
        </is>
      </c>
      <c r="D9876" t="n">
        <v>53</v>
      </c>
    </row>
    <row r="9877">
      <c r="A9877" t="inlineStr">
        <is>
          <t>ED210071</t>
        </is>
      </c>
      <c r="B9877" s="56" t="n">
        <v>45890.76041666666</v>
      </c>
      <c r="C9877" t="inlineStr">
        <is>
          <t>Ashby Falls Community Hospital</t>
        </is>
      </c>
      <c r="D9877" t="n">
        <v>46</v>
      </c>
    </row>
    <row r="9878">
      <c r="A9878" t="inlineStr">
        <is>
          <t>ED210072</t>
        </is>
      </c>
      <c r="B9878" s="56" t="n">
        <v>45890.825</v>
      </c>
      <c r="C9878" t="inlineStr">
        <is>
          <t>Ashby Falls Community Hospital</t>
        </is>
      </c>
      <c r="D9878" t="n">
        <v>13</v>
      </c>
    </row>
    <row r="9879">
      <c r="A9879" t="inlineStr">
        <is>
          <t>ED210073</t>
        </is>
      </c>
      <c r="B9879" s="56" t="n">
        <v>45890.86944444444</v>
      </c>
      <c r="C9879" t="inlineStr">
        <is>
          <t>Bluestone Memorial Hospital</t>
        </is>
      </c>
      <c r="D9879" t="n">
        <v>69</v>
      </c>
    </row>
    <row r="9880">
      <c r="A9880" t="inlineStr">
        <is>
          <t>ED210074</t>
        </is>
      </c>
      <c r="B9880" s="56" t="n">
        <v>45890.90694444445</v>
      </c>
      <c r="C9880" t="inlineStr">
        <is>
          <t>Cedar Ridge Medical Center</t>
        </is>
      </c>
      <c r="D9880" t="n">
        <v>13</v>
      </c>
    </row>
    <row r="9881">
      <c r="A9881" t="inlineStr">
        <is>
          <t>ED210075</t>
        </is>
      </c>
      <c r="B9881" s="56" t="n">
        <v>45890.94236111111</v>
      </c>
      <c r="C9881" t="inlineStr">
        <is>
          <t>Bluestone Memorial Hospital</t>
        </is>
      </c>
      <c r="D9881" t="n">
        <v>44</v>
      </c>
    </row>
    <row r="9882">
      <c r="A9882" t="inlineStr">
        <is>
          <t>ED210076</t>
        </is>
      </c>
      <c r="B9882" s="56" t="n">
        <v>45891.06666666667</v>
      </c>
      <c r="C9882" t="inlineStr">
        <is>
          <t>Bluestone Memorial Hospital</t>
        </is>
      </c>
      <c r="D9882" t="n">
        <v>18</v>
      </c>
    </row>
    <row r="9883">
      <c r="A9883" t="inlineStr">
        <is>
          <t>ED210077</t>
        </is>
      </c>
      <c r="B9883" s="56" t="n">
        <v>45891.23611111111</v>
      </c>
      <c r="C9883" t="inlineStr">
        <is>
          <t>Bluestone Memorial Hospital</t>
        </is>
      </c>
      <c r="D9883" t="n">
        <v>11</v>
      </c>
    </row>
    <row r="9884">
      <c r="A9884" t="inlineStr">
        <is>
          <t>ED210078</t>
        </is>
      </c>
      <c r="B9884" s="56" t="n">
        <v>45891.34166666667</v>
      </c>
      <c r="C9884" t="inlineStr">
        <is>
          <t>Bluestone Memorial Hospital</t>
        </is>
      </c>
      <c r="D9884" t="n">
        <v>9</v>
      </c>
    </row>
    <row r="9885">
      <c r="A9885" t="inlineStr">
        <is>
          <t>ED210079</t>
        </is>
      </c>
      <c r="B9885" s="56" t="n">
        <v>45891.38611111111</v>
      </c>
      <c r="C9885" t="inlineStr">
        <is>
          <t>Ashby Falls Community Hospital</t>
        </is>
      </c>
      <c r="D9885" t="n">
        <v>40</v>
      </c>
    </row>
    <row r="9886">
      <c r="A9886" t="inlineStr">
        <is>
          <t>ED210080</t>
        </is>
      </c>
      <c r="B9886" s="56" t="n">
        <v>45891.41180555556</v>
      </c>
      <c r="C9886" t="inlineStr">
        <is>
          <t>Cedar Ridge Medical Center</t>
        </is>
      </c>
      <c r="D9886" t="n">
        <v>67</v>
      </c>
    </row>
    <row r="9887">
      <c r="A9887" t="inlineStr">
        <is>
          <t>ED210081</t>
        </is>
      </c>
      <c r="B9887" s="56" t="n">
        <v>45891.50833333333</v>
      </c>
      <c r="C9887" t="inlineStr">
        <is>
          <t>Cedar Ridge Medical Center</t>
        </is>
      </c>
      <c r="D9887" t="n">
        <v>26</v>
      </c>
    </row>
    <row r="9888">
      <c r="A9888" t="inlineStr">
        <is>
          <t>ED210082</t>
        </is>
      </c>
      <c r="B9888" s="56" t="n">
        <v>45891.51736111111</v>
      </c>
      <c r="C9888" t="inlineStr">
        <is>
          <t>Bluestone Memorial Hospital</t>
        </is>
      </c>
      <c r="D9888" t="n">
        <v>17</v>
      </c>
    </row>
    <row r="9889">
      <c r="A9889" t="inlineStr">
        <is>
          <t>ED210083</t>
        </is>
      </c>
      <c r="B9889" s="56" t="n">
        <v>45891.54722222222</v>
      </c>
      <c r="C9889" t="inlineStr">
        <is>
          <t>Bluestone Memorial Hospital</t>
        </is>
      </c>
      <c r="D9889" t="n">
        <v>26</v>
      </c>
    </row>
    <row r="9890">
      <c r="A9890" t="inlineStr">
        <is>
          <t>ED210084</t>
        </is>
      </c>
      <c r="B9890" s="56" t="n">
        <v>45891.59583333333</v>
      </c>
      <c r="C9890" t="inlineStr">
        <is>
          <t>Bluestone Memorial Hospital</t>
        </is>
      </c>
      <c r="D9890" t="n">
        <v>20</v>
      </c>
    </row>
    <row r="9891">
      <c r="A9891" t="inlineStr">
        <is>
          <t>ED210085</t>
        </is>
      </c>
      <c r="B9891" s="56" t="n">
        <v>45891.60555555556</v>
      </c>
      <c r="C9891" t="inlineStr">
        <is>
          <t>Bluestone Memorial Hospital</t>
        </is>
      </c>
      <c r="D9891" t="n">
        <v>34</v>
      </c>
    </row>
    <row r="9892">
      <c r="A9892" t="inlineStr">
        <is>
          <t>ED210086</t>
        </is>
      </c>
      <c r="B9892" s="56" t="n">
        <v>45891.60763888889</v>
      </c>
      <c r="C9892" t="inlineStr">
        <is>
          <t>Bluestone Memorial Hospital</t>
        </is>
      </c>
      <c r="D9892" t="n">
        <v>18</v>
      </c>
    </row>
    <row r="9893">
      <c r="A9893" t="inlineStr">
        <is>
          <t>ED210087</t>
        </is>
      </c>
      <c r="B9893" s="56" t="n">
        <v>45891.62361111111</v>
      </c>
      <c r="C9893" t="inlineStr">
        <is>
          <t>Ashby Falls Community Hospital</t>
        </is>
      </c>
      <c r="D9893" t="n">
        <v>43</v>
      </c>
    </row>
    <row r="9894">
      <c r="A9894" t="inlineStr">
        <is>
          <t>ED210088</t>
        </is>
      </c>
      <c r="B9894" s="56" t="n">
        <v>45891.62777777778</v>
      </c>
      <c r="C9894" t="inlineStr">
        <is>
          <t>Bluestone Memorial Hospital</t>
        </is>
      </c>
      <c r="D9894" t="n">
        <v>108</v>
      </c>
    </row>
    <row r="9895">
      <c r="A9895" t="inlineStr">
        <is>
          <t>ED210089</t>
        </is>
      </c>
      <c r="B9895" s="56" t="n">
        <v>45891.70902777778</v>
      </c>
      <c r="C9895" t="inlineStr">
        <is>
          <t>Bluestone Memorial Hospital</t>
        </is>
      </c>
      <c r="D9895" t="n">
        <v>97</v>
      </c>
    </row>
    <row r="9896">
      <c r="A9896" t="inlineStr">
        <is>
          <t>ED210090</t>
        </is>
      </c>
      <c r="B9896" s="56" t="n">
        <v>45891.75416666667</v>
      </c>
      <c r="C9896" t="inlineStr">
        <is>
          <t>Bluestone Memorial Hospital</t>
        </is>
      </c>
      <c r="D9896" t="n">
        <v>33</v>
      </c>
    </row>
    <row r="9897">
      <c r="A9897" t="inlineStr">
        <is>
          <t>ED210091</t>
        </is>
      </c>
      <c r="B9897" s="56" t="n">
        <v>45891.77152777778</v>
      </c>
      <c r="C9897" t="inlineStr">
        <is>
          <t>Ashby Falls Community Hospital</t>
        </is>
      </c>
      <c r="D9897" t="n">
        <v>73</v>
      </c>
    </row>
    <row r="9898">
      <c r="A9898" t="inlineStr">
        <is>
          <t>ED210092</t>
        </is>
      </c>
      <c r="B9898" s="56" t="n">
        <v>45891.82361111111</v>
      </c>
      <c r="C9898" t="inlineStr">
        <is>
          <t>Bluestone Memorial Hospital</t>
        </is>
      </c>
      <c r="D9898" t="n">
        <v>136</v>
      </c>
    </row>
    <row r="9899">
      <c r="A9899" t="inlineStr">
        <is>
          <t>ED210093</t>
        </is>
      </c>
      <c r="B9899" s="56" t="n">
        <v>45891.9</v>
      </c>
      <c r="C9899" t="inlineStr">
        <is>
          <t>Cedar Ridge Medical Center</t>
        </is>
      </c>
      <c r="D9899" t="n">
        <v>43</v>
      </c>
    </row>
    <row r="9900">
      <c r="A9900" t="inlineStr">
        <is>
          <t>ED210094</t>
        </is>
      </c>
      <c r="B9900" s="56" t="n">
        <v>45891.93055555555</v>
      </c>
      <c r="C9900" t="inlineStr">
        <is>
          <t>Bluestone Memorial Hospital</t>
        </is>
      </c>
      <c r="D9900" t="n">
        <v>38</v>
      </c>
    </row>
    <row r="9901">
      <c r="A9901" t="inlineStr">
        <is>
          <t>ED210095</t>
        </is>
      </c>
      <c r="B9901" s="56" t="n">
        <v>45891.93888888889</v>
      </c>
      <c r="C9901" t="inlineStr">
        <is>
          <t>Bluestone Memorial Hospital</t>
        </is>
      </c>
      <c r="D9901" t="n">
        <v>21</v>
      </c>
    </row>
    <row r="9902">
      <c r="A9902" t="inlineStr">
        <is>
          <t>ED210096</t>
        </is>
      </c>
      <c r="B9902" s="56" t="n">
        <v>45892.25763888889</v>
      </c>
      <c r="C9902" t="inlineStr">
        <is>
          <t>Bluestone Memorial Hospital</t>
        </is>
      </c>
      <c r="D9902" t="n">
        <v>16</v>
      </c>
    </row>
    <row r="9903">
      <c r="A9903" t="inlineStr">
        <is>
          <t>ED210097</t>
        </is>
      </c>
      <c r="B9903" s="56" t="n">
        <v>45892.30902777778</v>
      </c>
      <c r="C9903" t="inlineStr">
        <is>
          <t>Cedar Ridge Medical Center</t>
        </is>
      </c>
      <c r="D9903" t="n">
        <v>36</v>
      </c>
    </row>
    <row r="9904">
      <c r="A9904" t="inlineStr">
        <is>
          <t>ED210098</t>
        </is>
      </c>
      <c r="B9904" s="56" t="n">
        <v>45892.33472222222</v>
      </c>
      <c r="C9904" t="inlineStr">
        <is>
          <t>Bluestone Memorial Hospital</t>
        </is>
      </c>
      <c r="D9904" t="n">
        <v>29</v>
      </c>
    </row>
    <row r="9905">
      <c r="A9905" t="inlineStr">
        <is>
          <t>ED210099</t>
        </is>
      </c>
      <c r="B9905" s="56" t="n">
        <v>45892.42361111111</v>
      </c>
      <c r="C9905" t="inlineStr">
        <is>
          <t>Bluestone Memorial Hospital</t>
        </is>
      </c>
      <c r="D9905" t="n">
        <v>59</v>
      </c>
    </row>
    <row r="9906">
      <c r="A9906" t="inlineStr">
        <is>
          <t>ED210100</t>
        </is>
      </c>
      <c r="B9906" s="56" t="n">
        <v>45892.52222222222</v>
      </c>
      <c r="C9906" t="inlineStr">
        <is>
          <t>Ashby Falls Community Hospital</t>
        </is>
      </c>
      <c r="D9906" t="n">
        <v>85</v>
      </c>
    </row>
    <row r="9907">
      <c r="A9907" t="inlineStr">
        <is>
          <t>ED210101</t>
        </is>
      </c>
      <c r="B9907" s="56" t="n">
        <v>45892.5375</v>
      </c>
      <c r="C9907" t="inlineStr">
        <is>
          <t>Bluestone Memorial Hospital</t>
        </is>
      </c>
      <c r="D9907" t="n">
        <v>26</v>
      </c>
    </row>
    <row r="9908">
      <c r="A9908" t="inlineStr">
        <is>
          <t>ED210102</t>
        </is>
      </c>
      <c r="B9908" s="56" t="n">
        <v>45892.54166666666</v>
      </c>
      <c r="C9908" t="inlineStr">
        <is>
          <t>Ashby Falls Community Hospital</t>
        </is>
      </c>
      <c r="D9908" t="n">
        <v>41</v>
      </c>
    </row>
    <row r="9909">
      <c r="A9909" t="inlineStr">
        <is>
          <t>ED210103</t>
        </is>
      </c>
      <c r="B9909" s="56" t="n">
        <v>45892.60347222222</v>
      </c>
      <c r="C9909" t="inlineStr">
        <is>
          <t>Bluestone Memorial Hospital</t>
        </is>
      </c>
      <c r="D9909" t="n">
        <v>44</v>
      </c>
    </row>
    <row r="9910">
      <c r="A9910" t="inlineStr">
        <is>
          <t>ED210104</t>
        </is>
      </c>
      <c r="B9910" s="56" t="n">
        <v>45892.63680555556</v>
      </c>
      <c r="C9910" t="inlineStr">
        <is>
          <t>Bluestone Memorial Hospital</t>
        </is>
      </c>
      <c r="D9910" t="n">
        <v>19</v>
      </c>
    </row>
    <row r="9911">
      <c r="A9911" t="inlineStr">
        <is>
          <t>ED210105</t>
        </is>
      </c>
      <c r="B9911" s="56" t="n">
        <v>45892.70625</v>
      </c>
      <c r="C9911" t="inlineStr">
        <is>
          <t>Cedar Ridge Medical Center</t>
        </is>
      </c>
      <c r="D9911" t="n">
        <v>66</v>
      </c>
    </row>
    <row r="9912">
      <c r="A9912" t="inlineStr">
        <is>
          <t>ED210106</t>
        </is>
      </c>
      <c r="B9912" s="56" t="n">
        <v>45892.73194444444</v>
      </c>
      <c r="C9912" t="inlineStr">
        <is>
          <t>Bluestone Memorial Hospital</t>
        </is>
      </c>
      <c r="D9912" t="n">
        <v>12</v>
      </c>
    </row>
    <row r="9913">
      <c r="A9913" t="inlineStr">
        <is>
          <t>ED210107</t>
        </is>
      </c>
      <c r="B9913" s="56" t="n">
        <v>45892.73263888889</v>
      </c>
      <c r="C9913" t="inlineStr">
        <is>
          <t>Cedar Ridge Medical Center</t>
        </is>
      </c>
      <c r="D9913" t="n">
        <v>99</v>
      </c>
    </row>
    <row r="9914">
      <c r="A9914" t="inlineStr">
        <is>
          <t>ED210108</t>
        </is>
      </c>
      <c r="B9914" s="56" t="n">
        <v>45892.81527777778</v>
      </c>
      <c r="C9914" t="inlineStr">
        <is>
          <t>Bluestone Memorial Hospital</t>
        </is>
      </c>
      <c r="D9914" t="n">
        <v>36</v>
      </c>
    </row>
    <row r="9915">
      <c r="A9915" t="inlineStr">
        <is>
          <t>ED210109</t>
        </is>
      </c>
      <c r="B9915" s="56" t="n">
        <v>45892.89305555556</v>
      </c>
      <c r="C9915" t="inlineStr">
        <is>
          <t>Bluestone Memorial Hospital</t>
        </is>
      </c>
      <c r="D9915" t="n">
        <v>22</v>
      </c>
    </row>
    <row r="9916">
      <c r="A9916" t="inlineStr">
        <is>
          <t>ED210110</t>
        </is>
      </c>
      <c r="B9916" s="56" t="n">
        <v>45892.90069444444</v>
      </c>
      <c r="C9916" t="inlineStr">
        <is>
          <t>Bluestone Memorial Hospital</t>
        </is>
      </c>
      <c r="D9916" t="n">
        <v>20</v>
      </c>
    </row>
    <row r="9917">
      <c r="A9917" t="inlineStr">
        <is>
          <t>ED210111</t>
        </is>
      </c>
      <c r="B9917" s="56" t="n">
        <v>45893.21041666667</v>
      </c>
      <c r="C9917" t="inlineStr">
        <is>
          <t>Bluestone Memorial Hospital</t>
        </is>
      </c>
      <c r="D9917" t="n">
        <v>27</v>
      </c>
    </row>
    <row r="9918">
      <c r="A9918" t="inlineStr">
        <is>
          <t>ED210112</t>
        </is>
      </c>
      <c r="B9918" s="56" t="n">
        <v>45893.26319444444</v>
      </c>
      <c r="C9918" t="inlineStr">
        <is>
          <t>Bluestone Memorial Hospital</t>
        </is>
      </c>
      <c r="D9918" t="n">
        <v>82</v>
      </c>
    </row>
    <row r="9919">
      <c r="A9919" t="inlineStr">
        <is>
          <t>ED210113</t>
        </is>
      </c>
      <c r="B9919" s="56" t="n">
        <v>45893.33958333333</v>
      </c>
      <c r="C9919" t="inlineStr">
        <is>
          <t>Bluestone Memorial Hospital</t>
        </is>
      </c>
      <c r="D9919" t="n">
        <v>52</v>
      </c>
    </row>
    <row r="9920">
      <c r="A9920" t="inlineStr">
        <is>
          <t>ED210114</t>
        </is>
      </c>
      <c r="B9920" s="56" t="n">
        <v>45893.47013888889</v>
      </c>
      <c r="C9920" t="inlineStr">
        <is>
          <t>Bluestone Memorial Hospital</t>
        </is>
      </c>
      <c r="D9920" t="n">
        <v>48</v>
      </c>
    </row>
    <row r="9921">
      <c r="A9921" t="inlineStr">
        <is>
          <t>ED210115</t>
        </is>
      </c>
      <c r="B9921" s="56" t="n">
        <v>45893.47083333333</v>
      </c>
      <c r="C9921" t="inlineStr">
        <is>
          <t>Bluestone Memorial Hospital</t>
        </is>
      </c>
      <c r="D9921" t="n">
        <v>48</v>
      </c>
    </row>
    <row r="9922">
      <c r="A9922" t="inlineStr">
        <is>
          <t>ED210116</t>
        </is>
      </c>
      <c r="B9922" s="56" t="n">
        <v>45893.55625</v>
      </c>
      <c r="C9922" t="inlineStr">
        <is>
          <t>Bluestone Memorial Hospital</t>
        </is>
      </c>
      <c r="D9922" t="n">
        <v>53</v>
      </c>
    </row>
    <row r="9923">
      <c r="A9923" t="inlineStr">
        <is>
          <t>ED210118</t>
        </is>
      </c>
      <c r="B9923" s="56" t="n">
        <v>45893.62708333333</v>
      </c>
      <c r="C9923" t="inlineStr">
        <is>
          <t>Bluestone Memorial Hospital</t>
        </is>
      </c>
      <c r="D9923" t="n">
        <v>102</v>
      </c>
    </row>
    <row r="9924">
      <c r="A9924" t="inlineStr">
        <is>
          <t>ED210119</t>
        </is>
      </c>
      <c r="B9924" s="56" t="n">
        <v>45893.68402777778</v>
      </c>
      <c r="C9924" t="inlineStr">
        <is>
          <t>Bluestone Memorial Hospital</t>
        </is>
      </c>
      <c r="D9924" t="n">
        <v>115</v>
      </c>
    </row>
    <row r="9925">
      <c r="A9925" t="inlineStr">
        <is>
          <t>ED210120</t>
        </is>
      </c>
      <c r="B9925" s="56" t="n">
        <v>45893.73611111111</v>
      </c>
      <c r="C9925" t="inlineStr">
        <is>
          <t>Ashby Falls Community Hospital</t>
        </is>
      </c>
      <c r="D9925" t="n">
        <v>118</v>
      </c>
    </row>
    <row r="9926">
      <c r="A9926" t="inlineStr">
        <is>
          <t>ED210121</t>
        </is>
      </c>
      <c r="B9926" s="56" t="n">
        <v>45893.95277777778</v>
      </c>
      <c r="C9926" t="inlineStr">
        <is>
          <t>Bluestone Memorial Hospital</t>
        </is>
      </c>
      <c r="D9926" t="n">
        <v>40</v>
      </c>
    </row>
    <row r="9927">
      <c r="A9927" t="inlineStr">
        <is>
          <t>ED210122</t>
        </is>
      </c>
      <c r="B9927" s="56" t="n">
        <v>45894.10555555556</v>
      </c>
      <c r="C9927" t="inlineStr">
        <is>
          <t>Ashby Falls Community Hospital</t>
        </is>
      </c>
      <c r="D9927" t="n">
        <v>26</v>
      </c>
    </row>
    <row r="9928">
      <c r="A9928" t="inlineStr">
        <is>
          <t>ED210123</t>
        </is>
      </c>
      <c r="B9928" s="56" t="n">
        <v>45894.13611111111</v>
      </c>
      <c r="C9928" t="inlineStr">
        <is>
          <t>Bluestone Memorial Hospital</t>
        </is>
      </c>
      <c r="D9928" t="n">
        <v>63</v>
      </c>
    </row>
    <row r="9929">
      <c r="A9929" t="inlineStr">
        <is>
          <t>ED210124</t>
        </is>
      </c>
      <c r="B9929" s="56" t="n">
        <v>45894.21875</v>
      </c>
      <c r="C9929" t="inlineStr">
        <is>
          <t>Ashby Falls Community Hospital</t>
        </is>
      </c>
      <c r="D9929" t="n">
        <v>19</v>
      </c>
    </row>
    <row r="9930">
      <c r="A9930" t="inlineStr">
        <is>
          <t>ED210125</t>
        </is>
      </c>
      <c r="B9930" s="56" t="n">
        <v>45894.33611111111</v>
      </c>
      <c r="C9930" t="inlineStr">
        <is>
          <t>Ashby Falls Community Hospital</t>
        </is>
      </c>
      <c r="D9930" t="n">
        <v>20</v>
      </c>
    </row>
    <row r="9931">
      <c r="A9931" t="inlineStr">
        <is>
          <t>ED210126</t>
        </is>
      </c>
      <c r="B9931" s="56" t="n">
        <v>45894.36041666667</v>
      </c>
      <c r="C9931" t="inlineStr">
        <is>
          <t>Bluestone Memorial Hospital</t>
        </is>
      </c>
      <c r="D9931" t="n">
        <v>8</v>
      </c>
    </row>
    <row r="9932">
      <c r="A9932" t="inlineStr">
        <is>
          <t>ED210127</t>
        </is>
      </c>
      <c r="B9932" s="56" t="n">
        <v>45894.36944444444</v>
      </c>
      <c r="C9932" t="inlineStr">
        <is>
          <t>Cedar Ridge Medical Center</t>
        </is>
      </c>
      <c r="D9932" t="n">
        <v>122</v>
      </c>
    </row>
    <row r="9933">
      <c r="A9933" t="inlineStr">
        <is>
          <t>ED210128</t>
        </is>
      </c>
      <c r="B9933" s="56" t="n">
        <v>45894.37916666667</v>
      </c>
      <c r="C9933" t="inlineStr">
        <is>
          <t>Bluestone Memorial Hospital</t>
        </is>
      </c>
      <c r="D9933" t="n">
        <v>35</v>
      </c>
    </row>
    <row r="9934">
      <c r="A9934" t="inlineStr">
        <is>
          <t>ED210129</t>
        </is>
      </c>
      <c r="B9934" s="56" t="n">
        <v>45894.38194444445</v>
      </c>
      <c r="C9934" t="inlineStr">
        <is>
          <t>Bluestone Memorial Hospital</t>
        </is>
      </c>
      <c r="D9934" t="n">
        <v>14</v>
      </c>
    </row>
    <row r="9935">
      <c r="A9935" t="inlineStr">
        <is>
          <t>ED210130</t>
        </is>
      </c>
      <c r="B9935" s="56" t="n">
        <v>45894.41111111111</v>
      </c>
      <c r="C9935" t="inlineStr">
        <is>
          <t>Bluestone Memorial Hospital</t>
        </is>
      </c>
      <c r="D9935" t="n">
        <v>79</v>
      </c>
    </row>
    <row r="9936">
      <c r="A9936" t="inlineStr">
        <is>
          <t>ED210131</t>
        </is>
      </c>
      <c r="B9936" s="56" t="n">
        <v>45894.44097222222</v>
      </c>
      <c r="C9936" t="inlineStr">
        <is>
          <t>Ashby Falls Community Hospital</t>
        </is>
      </c>
      <c r="D9936" t="n">
        <v>59</v>
      </c>
    </row>
    <row r="9937">
      <c r="A9937" t="inlineStr">
        <is>
          <t>ED210132</t>
        </is>
      </c>
      <c r="B9937" s="56" t="n">
        <v>45894.47638888889</v>
      </c>
      <c r="C9937" t="inlineStr">
        <is>
          <t>Ashby Falls Community Hospital</t>
        </is>
      </c>
      <c r="D9937" t="n">
        <v>15</v>
      </c>
    </row>
    <row r="9938">
      <c r="A9938" t="inlineStr">
        <is>
          <t>ED210133</t>
        </is>
      </c>
      <c r="B9938" s="56" t="n">
        <v>45894.51041666666</v>
      </c>
      <c r="C9938" t="inlineStr">
        <is>
          <t>Bluestone Memorial Hospital</t>
        </is>
      </c>
      <c r="D9938" t="n">
        <v>87</v>
      </c>
    </row>
    <row r="9939">
      <c r="A9939" t="inlineStr">
        <is>
          <t>ED210134</t>
        </is>
      </c>
      <c r="B9939" s="56" t="n">
        <v>45894.58472222222</v>
      </c>
      <c r="C9939" t="inlineStr">
        <is>
          <t>Bluestone Memorial Hospital</t>
        </is>
      </c>
      <c r="D9939" t="n">
        <v>69</v>
      </c>
    </row>
    <row r="9940">
      <c r="A9940" t="inlineStr">
        <is>
          <t>ED210135</t>
        </is>
      </c>
      <c r="B9940" s="56" t="n">
        <v>45894.58958333333</v>
      </c>
      <c r="C9940" t="inlineStr">
        <is>
          <t>Bluestone Memorial Hospital</t>
        </is>
      </c>
      <c r="D9940" t="n">
        <v>165</v>
      </c>
    </row>
    <row r="9941">
      <c r="A9941" t="inlineStr">
        <is>
          <t>ED210137</t>
        </is>
      </c>
      <c r="B9941" s="56" t="n">
        <v>45894.65</v>
      </c>
      <c r="C9941" t="inlineStr">
        <is>
          <t>Bluestone Memorial Hospital</t>
        </is>
      </c>
      <c r="D9941" t="n">
        <v>100</v>
      </c>
    </row>
    <row r="9942">
      <c r="A9942" t="inlineStr">
        <is>
          <t>ED210138</t>
        </is>
      </c>
      <c r="B9942" s="56" t="n">
        <v>45894.65694444445</v>
      </c>
      <c r="C9942" t="inlineStr">
        <is>
          <t>Cedar Ridge Medical Center</t>
        </is>
      </c>
      <c r="D9942" t="n">
        <v>43</v>
      </c>
    </row>
    <row r="9943">
      <c r="A9943" t="inlineStr">
        <is>
          <t>ED210139</t>
        </is>
      </c>
      <c r="B9943" s="56" t="n">
        <v>45894.67847222222</v>
      </c>
      <c r="C9943" t="inlineStr">
        <is>
          <t>Ashby Falls Community Hospital</t>
        </is>
      </c>
      <c r="D9943" t="n">
        <v>181</v>
      </c>
    </row>
    <row r="9944">
      <c r="A9944" t="inlineStr">
        <is>
          <t>ED210140</t>
        </is>
      </c>
      <c r="B9944" s="56" t="n">
        <v>45894.69861111111</v>
      </c>
      <c r="C9944" t="inlineStr">
        <is>
          <t>Ashby Falls Community Hospital</t>
        </is>
      </c>
      <c r="D9944" t="n">
        <v>110</v>
      </c>
    </row>
    <row r="9945">
      <c r="A9945" t="inlineStr">
        <is>
          <t>ED210141</t>
        </is>
      </c>
      <c r="B9945" s="56" t="n">
        <v>45894.70208333333</v>
      </c>
      <c r="C9945" t="inlineStr">
        <is>
          <t>Ashby Falls Community Hospital</t>
        </is>
      </c>
      <c r="D9945" t="n">
        <v>29</v>
      </c>
    </row>
    <row r="9946">
      <c r="A9946" t="inlineStr">
        <is>
          <t>ED210142</t>
        </is>
      </c>
      <c r="B9946" s="56" t="n">
        <v>45894.73958333334</v>
      </c>
      <c r="C9946" t="inlineStr">
        <is>
          <t>Bluestone Memorial Hospital</t>
        </is>
      </c>
      <c r="D9946" t="n">
        <v>40</v>
      </c>
    </row>
    <row r="9947">
      <c r="A9947" t="inlineStr">
        <is>
          <t>ED210143</t>
        </is>
      </c>
      <c r="B9947" s="56" t="n">
        <v>45894.91388888889</v>
      </c>
      <c r="C9947" t="inlineStr">
        <is>
          <t>Bluestone Memorial Hospital</t>
        </is>
      </c>
      <c r="D9947" t="n">
        <v>16</v>
      </c>
    </row>
    <row r="9948">
      <c r="A9948" t="inlineStr">
        <is>
          <t>ED210144</t>
        </is>
      </c>
      <c r="B9948" s="56" t="n">
        <v>45894.92986111111</v>
      </c>
      <c r="C9948" t="inlineStr">
        <is>
          <t>Bluestone Memorial Hospital</t>
        </is>
      </c>
      <c r="D9948" t="n">
        <v>89</v>
      </c>
    </row>
    <row r="9949">
      <c r="A9949" t="inlineStr">
        <is>
          <t>ED210145</t>
        </is>
      </c>
      <c r="B9949" s="56" t="n">
        <v>45894.95347222222</v>
      </c>
      <c r="C9949" t="inlineStr">
        <is>
          <t>Cedar Ridge Medical Center</t>
        </is>
      </c>
      <c r="D9949" t="n">
        <v>14</v>
      </c>
    </row>
    <row r="9950">
      <c r="A9950" t="inlineStr">
        <is>
          <t>ED210146</t>
        </is>
      </c>
      <c r="B9950" s="56" t="n">
        <v>45894.99027777778</v>
      </c>
      <c r="C9950" t="inlineStr">
        <is>
          <t>Bluestone Memorial Hospital</t>
        </is>
      </c>
      <c r="D9950" t="n">
        <v>68</v>
      </c>
    </row>
    <row r="9951">
      <c r="A9951" t="inlineStr">
        <is>
          <t>ED210147</t>
        </is>
      </c>
      <c r="B9951" s="56" t="n">
        <v>45895.05625</v>
      </c>
      <c r="C9951" t="inlineStr">
        <is>
          <t>Bluestone Memorial Hospital</t>
        </is>
      </c>
      <c r="D9951" t="n">
        <v>29</v>
      </c>
    </row>
    <row r="9952">
      <c r="A9952" t="inlineStr">
        <is>
          <t>ED210148</t>
        </is>
      </c>
      <c r="B9952" s="56" t="n">
        <v>45895.43125</v>
      </c>
      <c r="C9952" t="inlineStr">
        <is>
          <t>Cedar Ridge Medical Center</t>
        </is>
      </c>
      <c r="D9952" t="n">
        <v>3</v>
      </c>
    </row>
    <row r="9953">
      <c r="A9953" t="inlineStr">
        <is>
          <t>ED210149</t>
        </is>
      </c>
      <c r="B9953" s="56" t="n">
        <v>45895.47222222222</v>
      </c>
      <c r="C9953" t="inlineStr">
        <is>
          <t>Bluestone Memorial Hospital</t>
        </is>
      </c>
      <c r="D9953" t="n">
        <v>20</v>
      </c>
    </row>
    <row r="9954">
      <c r="A9954" t="inlineStr">
        <is>
          <t>ED210150</t>
        </is>
      </c>
      <c r="B9954" s="56" t="n">
        <v>45895.48611111111</v>
      </c>
      <c r="C9954" t="inlineStr">
        <is>
          <t>Cedar Ridge Medical Center</t>
        </is>
      </c>
      <c r="D9954" t="n">
        <v>34</v>
      </c>
    </row>
    <row r="9955">
      <c r="A9955" t="inlineStr">
        <is>
          <t>ED210151</t>
        </is>
      </c>
      <c r="B9955" s="56" t="n">
        <v>45895.56597222222</v>
      </c>
      <c r="C9955" t="inlineStr">
        <is>
          <t>Ashby Falls Community Hospital</t>
        </is>
      </c>
      <c r="D9955" t="n">
        <v>94</v>
      </c>
    </row>
    <row r="9956">
      <c r="A9956" t="inlineStr">
        <is>
          <t>ED210152</t>
        </is>
      </c>
      <c r="B9956" s="56" t="n">
        <v>45895.6</v>
      </c>
      <c r="C9956" t="inlineStr">
        <is>
          <t>Ashby Falls Community Hospital</t>
        </is>
      </c>
      <c r="D9956" t="n">
        <v>52</v>
      </c>
    </row>
    <row r="9957">
      <c r="A9957" t="inlineStr">
        <is>
          <t>ED210153</t>
        </is>
      </c>
      <c r="B9957" s="56" t="n">
        <v>45895.68402777778</v>
      </c>
      <c r="C9957" t="inlineStr">
        <is>
          <t>Bluestone Memorial Hospital</t>
        </is>
      </c>
      <c r="D9957" t="n">
        <v>94</v>
      </c>
    </row>
    <row r="9958">
      <c r="A9958" t="inlineStr">
        <is>
          <t>ED210154</t>
        </is>
      </c>
      <c r="B9958" s="56" t="n">
        <v>45895.73680555556</v>
      </c>
      <c r="C9958" t="inlineStr">
        <is>
          <t>Bluestone Memorial Hospital</t>
        </is>
      </c>
      <c r="D9958" t="n">
        <v>13</v>
      </c>
    </row>
    <row r="9959">
      <c r="A9959" t="inlineStr">
        <is>
          <t>ED210155</t>
        </is>
      </c>
      <c r="B9959" s="56" t="n">
        <v>45895.74375</v>
      </c>
      <c r="C9959" t="inlineStr">
        <is>
          <t>Ashby Falls Community Hospital</t>
        </is>
      </c>
      <c r="D9959" t="n">
        <v>20</v>
      </c>
    </row>
    <row r="9960">
      <c r="A9960" t="inlineStr">
        <is>
          <t>ED210156</t>
        </is>
      </c>
      <c r="B9960" s="56" t="n">
        <v>45895.78263888889</v>
      </c>
      <c r="C9960" t="inlineStr">
        <is>
          <t>Ashby Falls Community Hospital</t>
        </is>
      </c>
      <c r="D9960" t="n">
        <v>45</v>
      </c>
    </row>
    <row r="9961">
      <c r="A9961" t="inlineStr">
        <is>
          <t>ED210157</t>
        </is>
      </c>
      <c r="B9961" s="56" t="n">
        <v>45895.80763888889</v>
      </c>
      <c r="C9961" t="inlineStr">
        <is>
          <t>Bluestone Memorial Hospital</t>
        </is>
      </c>
      <c r="D9961" t="n">
        <v>71</v>
      </c>
    </row>
    <row r="9962">
      <c r="A9962" t="inlineStr">
        <is>
          <t>ED210158</t>
        </is>
      </c>
      <c r="B9962" s="56" t="n">
        <v>45895.86875</v>
      </c>
      <c r="C9962" t="inlineStr">
        <is>
          <t>Bluestone Memorial Hospital</t>
        </is>
      </c>
      <c r="D9962" t="n">
        <v>70</v>
      </c>
    </row>
    <row r="9963">
      <c r="A9963" t="inlineStr">
        <is>
          <t>ED210159</t>
        </is>
      </c>
      <c r="B9963" s="56" t="n">
        <v>45896.02847222222</v>
      </c>
      <c r="C9963" t="inlineStr">
        <is>
          <t>Bluestone Memorial Hospital</t>
        </is>
      </c>
      <c r="D9963" t="n">
        <v>14</v>
      </c>
    </row>
    <row r="9964">
      <c r="A9964" t="inlineStr">
        <is>
          <t>ED210160</t>
        </is>
      </c>
      <c r="B9964" s="56" t="n">
        <v>45896.07152777778</v>
      </c>
      <c r="C9964" t="inlineStr">
        <is>
          <t>Bluestone Memorial Hospital</t>
        </is>
      </c>
      <c r="D9964" t="n">
        <v>15</v>
      </c>
    </row>
    <row r="9965">
      <c r="A9965" t="inlineStr">
        <is>
          <t>ED210161</t>
        </is>
      </c>
      <c r="B9965" s="56" t="n">
        <v>45896.20902777778</v>
      </c>
      <c r="C9965" t="inlineStr">
        <is>
          <t>Ashby Falls Community Hospital</t>
        </is>
      </c>
      <c r="D9965" t="n">
        <v>25</v>
      </c>
    </row>
    <row r="9966">
      <c r="A9966" t="inlineStr">
        <is>
          <t>ED210162</t>
        </is>
      </c>
      <c r="B9966" s="56" t="n">
        <v>45896.38680555556</v>
      </c>
      <c r="C9966" t="inlineStr">
        <is>
          <t>Bluestone Memorial Hospital</t>
        </is>
      </c>
      <c r="D9966" t="n">
        <v>93</v>
      </c>
    </row>
    <row r="9967">
      <c r="A9967" t="inlineStr">
        <is>
          <t>ED210163</t>
        </is>
      </c>
      <c r="B9967" s="56" t="n">
        <v>45896.50694444445</v>
      </c>
      <c r="C9967" t="inlineStr">
        <is>
          <t>Cedar Ridge Medical Center</t>
        </is>
      </c>
      <c r="D9967" t="n">
        <v>34</v>
      </c>
    </row>
    <row r="9968">
      <c r="A9968" t="inlineStr">
        <is>
          <t>ED210164</t>
        </is>
      </c>
      <c r="B9968" s="56" t="n">
        <v>45896.54444444444</v>
      </c>
      <c r="C9968" t="inlineStr">
        <is>
          <t>Bluestone Memorial Hospital</t>
        </is>
      </c>
      <c r="D9968" t="n">
        <v>18</v>
      </c>
    </row>
    <row r="9969">
      <c r="A9969" t="inlineStr">
        <is>
          <t>ED210165</t>
        </is>
      </c>
      <c r="B9969" s="56" t="n">
        <v>45896.57222222222</v>
      </c>
      <c r="C9969" t="inlineStr">
        <is>
          <t>Bluestone Memorial Hospital</t>
        </is>
      </c>
      <c r="D9969" t="n">
        <v>83</v>
      </c>
    </row>
    <row r="9970">
      <c r="A9970" t="inlineStr">
        <is>
          <t>ED210166</t>
        </is>
      </c>
      <c r="B9970" s="56" t="n">
        <v>45896.62569444445</v>
      </c>
      <c r="C9970" t="inlineStr">
        <is>
          <t>Cedar Ridge Medical Center</t>
        </is>
      </c>
      <c r="D9970" t="n">
        <v>38</v>
      </c>
    </row>
    <row r="9971">
      <c r="A9971" t="inlineStr">
        <is>
          <t>ED210167</t>
        </is>
      </c>
      <c r="B9971" s="56" t="n">
        <v>45896.62708333333</v>
      </c>
      <c r="C9971" t="inlineStr">
        <is>
          <t>Cedar Ridge Medical Center</t>
        </is>
      </c>
      <c r="D9971" t="n">
        <v>81</v>
      </c>
    </row>
    <row r="9972">
      <c r="A9972" t="inlineStr">
        <is>
          <t>ED210168</t>
        </is>
      </c>
      <c r="B9972" s="56" t="n">
        <v>45896.8125</v>
      </c>
      <c r="C9972" t="inlineStr">
        <is>
          <t>Bluestone Memorial Hospital</t>
        </is>
      </c>
      <c r="D9972" t="n">
        <v>43</v>
      </c>
    </row>
    <row r="9973">
      <c r="A9973" t="inlineStr">
        <is>
          <t>ED210169</t>
        </is>
      </c>
      <c r="B9973" s="56" t="n">
        <v>45897.01944444444</v>
      </c>
      <c r="C9973" t="inlineStr">
        <is>
          <t>Ashby Falls Community Hospital</t>
        </is>
      </c>
      <c r="D9973" t="n">
        <v>6</v>
      </c>
    </row>
    <row r="9974">
      <c r="A9974" t="inlineStr">
        <is>
          <t>ED210170</t>
        </is>
      </c>
      <c r="B9974" s="56" t="n">
        <v>45897.35208333333</v>
      </c>
      <c r="C9974" t="inlineStr">
        <is>
          <t>Cedar Ridge Medical Center</t>
        </is>
      </c>
      <c r="D9974" t="n">
        <v>33</v>
      </c>
    </row>
    <row r="9975">
      <c r="A9975" t="inlineStr">
        <is>
          <t>ED210171</t>
        </is>
      </c>
      <c r="B9975" s="56" t="n">
        <v>45897.39791666667</v>
      </c>
      <c r="C9975" t="inlineStr">
        <is>
          <t>Cedar Ridge Medical Center</t>
        </is>
      </c>
      <c r="D9975" t="n">
        <v>13</v>
      </c>
    </row>
    <row r="9976">
      <c r="A9976" t="inlineStr">
        <is>
          <t>ED210172</t>
        </is>
      </c>
      <c r="B9976" s="56" t="n">
        <v>45897.66111111111</v>
      </c>
      <c r="C9976" t="inlineStr">
        <is>
          <t>Bluestone Memorial Hospital</t>
        </is>
      </c>
      <c r="D9976" t="n">
        <v>201</v>
      </c>
    </row>
    <row r="9977">
      <c r="A9977" t="inlineStr">
        <is>
          <t>ED210173</t>
        </is>
      </c>
      <c r="B9977" s="56" t="n">
        <v>45897.76944444444</v>
      </c>
      <c r="C9977" t="inlineStr">
        <is>
          <t>Bluestone Memorial Hospital</t>
        </is>
      </c>
      <c r="D9977" t="n">
        <v>44</v>
      </c>
    </row>
    <row r="9978">
      <c r="A9978" t="inlineStr">
        <is>
          <t>ED210174</t>
        </is>
      </c>
      <c r="B9978" s="56" t="n">
        <v>45897.77361111111</v>
      </c>
      <c r="C9978" t="inlineStr">
        <is>
          <t>Bluestone Memorial Hospital</t>
        </is>
      </c>
      <c r="D9978" t="n">
        <v>29</v>
      </c>
    </row>
    <row r="9979">
      <c r="A9979" t="inlineStr">
        <is>
          <t>ED210175</t>
        </is>
      </c>
      <c r="B9979" s="56" t="n">
        <v>45897.77569444444</v>
      </c>
      <c r="C9979" t="inlineStr">
        <is>
          <t>Bluestone Memorial Hospital</t>
        </is>
      </c>
      <c r="D9979" t="n">
        <v>68</v>
      </c>
    </row>
    <row r="9980">
      <c r="A9980" t="inlineStr">
        <is>
          <t>ED210176</t>
        </is>
      </c>
      <c r="B9980" s="56" t="n">
        <v>45897.92013888889</v>
      </c>
      <c r="C9980" t="inlineStr">
        <is>
          <t>Cedar Ridge Medical Center</t>
        </is>
      </c>
      <c r="D9980" t="n">
        <v>20</v>
      </c>
    </row>
    <row r="9981">
      <c r="A9981" t="inlineStr">
        <is>
          <t>ED210177</t>
        </is>
      </c>
      <c r="B9981" s="56" t="n">
        <v>45897.98472222222</v>
      </c>
      <c r="C9981" t="inlineStr">
        <is>
          <t>Bluestone Memorial Hospital</t>
        </is>
      </c>
      <c r="D9981" t="n">
        <v>36</v>
      </c>
    </row>
    <row r="9982">
      <c r="A9982" t="inlineStr">
        <is>
          <t>ED210178</t>
        </is>
      </c>
      <c r="B9982" s="56" t="n">
        <v>45898.36597222222</v>
      </c>
      <c r="C9982" t="inlineStr">
        <is>
          <t>Ashby Falls Community Hospital</t>
        </is>
      </c>
      <c r="D9982" t="n">
        <v>8</v>
      </c>
    </row>
    <row r="9983">
      <c r="A9983" t="inlineStr">
        <is>
          <t>ED210179</t>
        </is>
      </c>
      <c r="B9983" s="56" t="n">
        <v>45898.44305555556</v>
      </c>
      <c r="C9983" t="inlineStr">
        <is>
          <t>Bluestone Memorial Hospital</t>
        </is>
      </c>
      <c r="D9983" t="n">
        <v>5</v>
      </c>
    </row>
    <row r="9984">
      <c r="A9984" t="inlineStr">
        <is>
          <t>ED210180</t>
        </is>
      </c>
      <c r="B9984" s="56" t="n">
        <v>45898.48958333334</v>
      </c>
      <c r="C9984" t="inlineStr">
        <is>
          <t>Cedar Ridge Medical Center</t>
        </is>
      </c>
      <c r="D9984" t="n">
        <v>46</v>
      </c>
    </row>
    <row r="9985">
      <c r="A9985" t="inlineStr">
        <is>
          <t>ED210181</t>
        </is>
      </c>
      <c r="B9985" s="56" t="n">
        <v>45898.50763888889</v>
      </c>
      <c r="C9985" t="inlineStr">
        <is>
          <t>Bluestone Memorial Hospital</t>
        </is>
      </c>
      <c r="D9985" t="n">
        <v>59</v>
      </c>
    </row>
    <row r="9986">
      <c r="A9986" t="inlineStr">
        <is>
          <t>ED210182</t>
        </is>
      </c>
      <c r="B9986" s="56" t="n">
        <v>45898.51041666666</v>
      </c>
      <c r="C9986" t="inlineStr">
        <is>
          <t>Bluestone Memorial Hospital</t>
        </is>
      </c>
      <c r="D9986" t="n">
        <v>20</v>
      </c>
    </row>
    <row r="9987">
      <c r="A9987" t="inlineStr">
        <is>
          <t>ED210183</t>
        </is>
      </c>
      <c r="B9987" s="56" t="n">
        <v>45898.59930555556</v>
      </c>
      <c r="C9987" t="inlineStr">
        <is>
          <t>Bluestone Memorial Hospital</t>
        </is>
      </c>
      <c r="D9987" t="n">
        <v>30</v>
      </c>
    </row>
    <row r="9988">
      <c r="A9988" t="inlineStr">
        <is>
          <t>ED210184</t>
        </is>
      </c>
      <c r="B9988" s="56" t="n">
        <v>45898.64722222222</v>
      </c>
      <c r="C9988" t="inlineStr">
        <is>
          <t>Cedar Ridge Medical Center</t>
        </is>
      </c>
      <c r="D9988" t="n">
        <v>36</v>
      </c>
    </row>
    <row r="9989">
      <c r="A9989" t="inlineStr">
        <is>
          <t>ED210185</t>
        </is>
      </c>
      <c r="B9989" s="56" t="n">
        <v>45898.65625</v>
      </c>
      <c r="C9989" t="inlineStr">
        <is>
          <t>Bluestone Memorial Hospital</t>
        </is>
      </c>
      <c r="D9989" t="n">
        <v>73</v>
      </c>
    </row>
    <row r="9990">
      <c r="A9990" t="inlineStr">
        <is>
          <t>ED210186</t>
        </is>
      </c>
      <c r="B9990" s="56" t="n">
        <v>45898.66111111111</v>
      </c>
      <c r="C9990" t="inlineStr">
        <is>
          <t>Ashby Falls Community Hospital</t>
        </is>
      </c>
      <c r="D9990" t="n">
        <v>22</v>
      </c>
    </row>
    <row r="9991">
      <c r="A9991" t="inlineStr">
        <is>
          <t>ED210187</t>
        </is>
      </c>
      <c r="B9991" s="56" t="n">
        <v>45898.81805555556</v>
      </c>
      <c r="C9991" t="inlineStr">
        <is>
          <t>Bluestone Memorial Hospital</t>
        </is>
      </c>
      <c r="D9991" t="n">
        <v>106</v>
      </c>
    </row>
    <row r="9992">
      <c r="A9992" t="inlineStr">
        <is>
          <t>ED210188</t>
        </is>
      </c>
      <c r="B9992" s="56" t="n">
        <v>45898.82152777778</v>
      </c>
      <c r="C9992" t="inlineStr">
        <is>
          <t>Bluestone Memorial Hospital</t>
        </is>
      </c>
      <c r="D9992" t="n">
        <v>15</v>
      </c>
    </row>
    <row r="9993">
      <c r="A9993" t="inlineStr">
        <is>
          <t>ED210189</t>
        </is>
      </c>
      <c r="B9993" s="56" t="n">
        <v>45899.32083333333</v>
      </c>
      <c r="C9993" t="inlineStr">
        <is>
          <t>Cedar Ridge Medical Center</t>
        </is>
      </c>
      <c r="D9993" t="n">
        <v>12</v>
      </c>
    </row>
    <row r="9994">
      <c r="A9994" t="inlineStr">
        <is>
          <t>ED210190</t>
        </is>
      </c>
      <c r="B9994" s="56" t="n">
        <v>45899.36944444444</v>
      </c>
      <c r="C9994" t="inlineStr">
        <is>
          <t>Cedar Ridge Medical Center</t>
        </is>
      </c>
      <c r="D9994" t="n">
        <v>16</v>
      </c>
    </row>
    <row r="9995">
      <c r="A9995" t="inlineStr">
        <is>
          <t>ED210191</t>
        </is>
      </c>
      <c r="B9995" s="56" t="n">
        <v>45899.43402777778</v>
      </c>
      <c r="C9995" t="inlineStr">
        <is>
          <t>Bluestone Memorial Hospital</t>
        </is>
      </c>
      <c r="D9995" t="n">
        <v>25</v>
      </c>
    </row>
    <row r="9996">
      <c r="A9996" t="inlineStr">
        <is>
          <t>ED210192</t>
        </is>
      </c>
      <c r="B9996" s="56" t="n">
        <v>45899.54305555556</v>
      </c>
      <c r="C9996" t="inlineStr">
        <is>
          <t>Bluestone Memorial Hospital</t>
        </is>
      </c>
      <c r="D9996" t="n">
        <v>49</v>
      </c>
    </row>
    <row r="9997">
      <c r="A9997" t="inlineStr">
        <is>
          <t>ED210193</t>
        </is>
      </c>
      <c r="B9997" s="56" t="n">
        <v>45899.64861111111</v>
      </c>
      <c r="C9997" t="inlineStr">
        <is>
          <t>Bluestone Memorial Hospital</t>
        </is>
      </c>
      <c r="D9997" t="n">
        <v>36</v>
      </c>
    </row>
    <row r="9998">
      <c r="A9998" t="inlineStr">
        <is>
          <t>ED210194</t>
        </is>
      </c>
      <c r="B9998" s="56" t="n">
        <v>45899.64861111111</v>
      </c>
      <c r="C9998" t="inlineStr">
        <is>
          <t>Bluestone Memorial Hospital</t>
        </is>
      </c>
      <c r="D9998" t="n">
        <v>61</v>
      </c>
    </row>
    <row r="9999">
      <c r="A9999" t="inlineStr">
        <is>
          <t>ED210195</t>
        </is>
      </c>
      <c r="B9999" s="56" t="n">
        <v>45899.72291666667</v>
      </c>
      <c r="C9999" t="inlineStr">
        <is>
          <t>Ashby Falls Community Hospital</t>
        </is>
      </c>
      <c r="D9999" t="n">
        <v>118</v>
      </c>
    </row>
    <row r="10000">
      <c r="A10000" t="inlineStr">
        <is>
          <t>ED210196</t>
        </is>
      </c>
      <c r="B10000" s="56" t="n">
        <v>45899.73055555556</v>
      </c>
      <c r="C10000" t="inlineStr">
        <is>
          <t>Bluestone Memorial Hospital</t>
        </is>
      </c>
      <c r="D10000" t="n">
        <v>9</v>
      </c>
    </row>
    <row r="10001">
      <c r="A10001" t="inlineStr">
        <is>
          <t>ED210197</t>
        </is>
      </c>
      <c r="B10001" s="56" t="n">
        <v>45899.74444444444</v>
      </c>
      <c r="C10001" t="inlineStr">
        <is>
          <t>Bluestone Memorial Hospital</t>
        </is>
      </c>
      <c r="D10001" t="n">
        <v>46</v>
      </c>
    </row>
    <row r="10002">
      <c r="A10002" t="inlineStr">
        <is>
          <t>ED210198</t>
        </is>
      </c>
      <c r="B10002" s="56" t="n">
        <v>45899.75763888889</v>
      </c>
      <c r="C10002" t="inlineStr">
        <is>
          <t>Bluestone Memorial Hospital</t>
        </is>
      </c>
      <c r="D10002" t="n">
        <v>37</v>
      </c>
    </row>
    <row r="10003">
      <c r="A10003" t="inlineStr">
        <is>
          <t>ED210199</t>
        </is>
      </c>
      <c r="B10003" s="56" t="n">
        <v>45899.76458333333</v>
      </c>
      <c r="C10003" t="inlineStr">
        <is>
          <t>Bluestone Memorial Hospital</t>
        </is>
      </c>
      <c r="D10003" t="n">
        <v>82</v>
      </c>
    </row>
    <row r="10004">
      <c r="A10004" t="inlineStr">
        <is>
          <t>ED210200</t>
        </is>
      </c>
      <c r="B10004" s="56" t="n">
        <v>45899.79236111111</v>
      </c>
      <c r="C10004" t="inlineStr">
        <is>
          <t>Bluestone Memorial Hospital</t>
        </is>
      </c>
      <c r="D10004" t="n">
        <v>39</v>
      </c>
    </row>
    <row r="10005">
      <c r="A10005" t="inlineStr">
        <is>
          <t>ED210201</t>
        </is>
      </c>
      <c r="B10005" s="56" t="n">
        <v>45899.87569444445</v>
      </c>
      <c r="C10005" t="inlineStr">
        <is>
          <t>Bluestone Memorial Hospital</t>
        </is>
      </c>
      <c r="D10005" t="n">
        <v>72</v>
      </c>
    </row>
    <row r="10006">
      <c r="A10006" t="inlineStr">
        <is>
          <t>ED210202</t>
        </is>
      </c>
      <c r="B10006" s="56" t="n">
        <v>45899.96875</v>
      </c>
      <c r="C10006" t="inlineStr">
        <is>
          <t>Bluestone Memorial Hospital</t>
        </is>
      </c>
      <c r="D10006" t="n">
        <v>29</v>
      </c>
    </row>
    <row r="10007">
      <c r="A10007" t="inlineStr">
        <is>
          <t>ED210203</t>
        </is>
      </c>
      <c r="B10007" s="56" t="n">
        <v>45899.98958333334</v>
      </c>
      <c r="C10007" t="inlineStr">
        <is>
          <t>Cedar Ridge Medical Center</t>
        </is>
      </c>
      <c r="D10007" t="n">
        <v>19</v>
      </c>
    </row>
    <row r="10008">
      <c r="A10008" t="inlineStr">
        <is>
          <t>ED210204</t>
        </is>
      </c>
      <c r="B10008" s="56" t="n">
        <v>45900.07013888889</v>
      </c>
      <c r="C10008" t="inlineStr">
        <is>
          <t>Bluestone Memorial Hospital</t>
        </is>
      </c>
      <c r="D10008" t="n">
        <v>15</v>
      </c>
    </row>
    <row r="10009">
      <c r="A10009" t="inlineStr">
        <is>
          <t>ED210205</t>
        </is>
      </c>
      <c r="B10009" s="56" t="n">
        <v>45900.35069444445</v>
      </c>
      <c r="C10009" t="inlineStr">
        <is>
          <t>Bluestone Memorial Hospital</t>
        </is>
      </c>
      <c r="D10009" t="n">
        <v>32</v>
      </c>
    </row>
    <row r="10010">
      <c r="A10010" t="inlineStr">
        <is>
          <t>ED210206</t>
        </is>
      </c>
      <c r="B10010" s="56" t="n">
        <v>45900.37708333333</v>
      </c>
      <c r="C10010" t="inlineStr">
        <is>
          <t>Bluestone Memorial Hospital</t>
        </is>
      </c>
      <c r="D10010" t="n">
        <v>15</v>
      </c>
    </row>
    <row r="10011">
      <c r="A10011" t="inlineStr">
        <is>
          <t>ED210207</t>
        </is>
      </c>
      <c r="B10011" s="56" t="n">
        <v>45900.40138888889</v>
      </c>
      <c r="C10011" t="inlineStr">
        <is>
          <t>Cedar Ridge Medical Center</t>
        </is>
      </c>
      <c r="D10011" t="n">
        <v>10</v>
      </c>
    </row>
    <row r="10012">
      <c r="A10012" t="inlineStr">
        <is>
          <t>ED210208</t>
        </is>
      </c>
      <c r="B10012" s="56" t="n">
        <v>45900.42361111111</v>
      </c>
      <c r="C10012" t="inlineStr">
        <is>
          <t>Cedar Ridge Medical Center</t>
        </is>
      </c>
      <c r="D10012" t="n">
        <v>67</v>
      </c>
    </row>
    <row r="10013">
      <c r="A10013" t="inlineStr">
        <is>
          <t>ED210209</t>
        </is>
      </c>
      <c r="B10013" s="56" t="n">
        <v>45900.65486111111</v>
      </c>
      <c r="C10013" t="inlineStr">
        <is>
          <t>Bluestone Memorial Hospital</t>
        </is>
      </c>
      <c r="D10013" t="n">
        <v>68</v>
      </c>
    </row>
    <row r="10014">
      <c r="A10014" t="inlineStr">
        <is>
          <t>ED210210</t>
        </is>
      </c>
      <c r="B10014" s="56" t="n">
        <v>45900.71458333333</v>
      </c>
      <c r="C10014" t="inlineStr">
        <is>
          <t>Bluestone Memorial Hospital</t>
        </is>
      </c>
      <c r="D10014" t="n">
        <v>47</v>
      </c>
    </row>
    <row r="10015">
      <c r="A10015" t="inlineStr">
        <is>
          <t>ED210211</t>
        </is>
      </c>
      <c r="B10015" s="56" t="n">
        <v>45900.76597222222</v>
      </c>
      <c r="C10015" t="inlineStr">
        <is>
          <t>Ashby Falls Community Hospital</t>
        </is>
      </c>
      <c r="D10015" t="n">
        <v>31</v>
      </c>
    </row>
    <row r="10016">
      <c r="A10016" t="inlineStr">
        <is>
          <t>ED210212</t>
        </is>
      </c>
      <c r="B10016" s="56" t="n">
        <v>45900.78819444445</v>
      </c>
      <c r="C10016" t="inlineStr">
        <is>
          <t>Bluestone Memorial Hospital</t>
        </is>
      </c>
      <c r="D10016" t="n">
        <v>56</v>
      </c>
    </row>
    <row r="10017">
      <c r="A10017" t="inlineStr">
        <is>
          <t>ED210213</t>
        </is>
      </c>
      <c r="B10017" s="56" t="n">
        <v>45900.83333333334</v>
      </c>
      <c r="C10017" t="inlineStr">
        <is>
          <t>Bluestone Memorial Hospital</t>
        </is>
      </c>
      <c r="D10017" t="n">
        <v>43</v>
      </c>
    </row>
    <row r="10018">
      <c r="A10018" t="inlineStr">
        <is>
          <t>ED210214</t>
        </is>
      </c>
      <c r="B10018" s="56" t="n">
        <v>45900.88055555556</v>
      </c>
      <c r="C10018" t="inlineStr">
        <is>
          <t>Bluestone Memorial Hospital</t>
        </is>
      </c>
      <c r="D10018" t="n">
        <v>111</v>
      </c>
    </row>
    <row r="10019">
      <c r="A10019" t="inlineStr">
        <is>
          <t>ED210215</t>
        </is>
      </c>
      <c r="B10019" s="56" t="n">
        <v>45901.02986111111</v>
      </c>
      <c r="C10019" t="inlineStr">
        <is>
          <t>Bluestone Memorial Hospital</t>
        </is>
      </c>
      <c r="D10019" t="n">
        <v>32</v>
      </c>
    </row>
    <row r="10020">
      <c r="A10020" t="inlineStr">
        <is>
          <t>ED210216</t>
        </is>
      </c>
      <c r="B10020" s="56" t="n">
        <v>45901.06736111111</v>
      </c>
      <c r="C10020" t="inlineStr">
        <is>
          <t>Bluestone Memorial Hospital</t>
        </is>
      </c>
      <c r="D10020" t="n">
        <v>13</v>
      </c>
    </row>
    <row r="10021">
      <c r="A10021" t="inlineStr">
        <is>
          <t>ED210217</t>
        </is>
      </c>
      <c r="B10021" s="56" t="n">
        <v>45901.08194444444</v>
      </c>
      <c r="C10021" t="inlineStr">
        <is>
          <t>Bluestone Memorial Hospital</t>
        </is>
      </c>
      <c r="D10021" t="n">
        <v>16</v>
      </c>
    </row>
    <row r="10022">
      <c r="A10022" t="inlineStr">
        <is>
          <t>ED210218</t>
        </is>
      </c>
      <c r="B10022" s="56" t="n">
        <v>45901.14861111111</v>
      </c>
      <c r="C10022" t="inlineStr">
        <is>
          <t>Cedar Ridge Medical Center</t>
        </is>
      </c>
      <c r="D10022" t="n">
        <v>22</v>
      </c>
    </row>
    <row r="10023">
      <c r="A10023" t="inlineStr">
        <is>
          <t>ED210219</t>
        </is>
      </c>
      <c r="B10023" s="56" t="n">
        <v>45901.375</v>
      </c>
      <c r="C10023" t="inlineStr">
        <is>
          <t>Bluestone Memorial Hospital</t>
        </is>
      </c>
      <c r="D10023" t="n">
        <v>40</v>
      </c>
    </row>
    <row r="10024">
      <c r="A10024" t="inlineStr">
        <is>
          <t>ED210220</t>
        </is>
      </c>
      <c r="B10024" s="56" t="n">
        <v>45901.37916666667</v>
      </c>
      <c r="C10024" t="inlineStr">
        <is>
          <t>Bluestone Memorial Hospital</t>
        </is>
      </c>
      <c r="D10024" t="n">
        <v>86</v>
      </c>
    </row>
    <row r="10025">
      <c r="A10025" t="inlineStr">
        <is>
          <t>ED210221</t>
        </is>
      </c>
      <c r="B10025" s="56" t="n">
        <v>45901.40555555555</v>
      </c>
      <c r="C10025" t="inlineStr">
        <is>
          <t>Bluestone Memorial Hospital</t>
        </is>
      </c>
      <c r="D10025" t="n">
        <v>50</v>
      </c>
    </row>
    <row r="10026">
      <c r="A10026" t="inlineStr">
        <is>
          <t>ED210222</t>
        </is>
      </c>
      <c r="B10026" s="56" t="n">
        <v>45901.41458333333</v>
      </c>
      <c r="C10026" t="inlineStr">
        <is>
          <t>Bluestone Memorial Hospital</t>
        </is>
      </c>
      <c r="D10026" t="n">
        <v>28</v>
      </c>
    </row>
    <row r="10027">
      <c r="A10027" t="inlineStr">
        <is>
          <t>ED210223</t>
        </is>
      </c>
      <c r="B10027" s="56" t="n">
        <v>45901.47638888889</v>
      </c>
      <c r="C10027" t="inlineStr">
        <is>
          <t>Bluestone Memorial Hospital</t>
        </is>
      </c>
      <c r="D10027" t="n">
        <v>50</v>
      </c>
    </row>
    <row r="10028">
      <c r="A10028" t="inlineStr">
        <is>
          <t>ED210224</t>
        </is>
      </c>
      <c r="B10028" s="56" t="n">
        <v>45901.50902777778</v>
      </c>
      <c r="C10028" t="inlineStr">
        <is>
          <t>Bluestone Memorial Hospital</t>
        </is>
      </c>
      <c r="D10028" t="n">
        <v>18</v>
      </c>
    </row>
    <row r="10029">
      <c r="A10029" t="inlineStr">
        <is>
          <t>ED210225</t>
        </is>
      </c>
      <c r="B10029" s="56" t="n">
        <v>45901.51319444444</v>
      </c>
      <c r="C10029" t="inlineStr">
        <is>
          <t>Bluestone Memorial Hospital</t>
        </is>
      </c>
      <c r="D10029" t="n">
        <v>108</v>
      </c>
    </row>
    <row r="10030">
      <c r="A10030" t="inlineStr">
        <is>
          <t>ED210226</t>
        </is>
      </c>
      <c r="B10030" s="56" t="n">
        <v>45901.56944444445</v>
      </c>
      <c r="C10030" t="inlineStr">
        <is>
          <t>Cedar Ridge Medical Center</t>
        </is>
      </c>
      <c r="D10030" t="n">
        <v>47</v>
      </c>
    </row>
    <row r="10031">
      <c r="A10031" t="inlineStr">
        <is>
          <t>ED210227</t>
        </is>
      </c>
      <c r="B10031" s="56" t="n">
        <v>45901.59722222222</v>
      </c>
      <c r="C10031" t="inlineStr">
        <is>
          <t>Cedar Ridge Medical Center</t>
        </is>
      </c>
      <c r="D10031" t="n">
        <v>65</v>
      </c>
    </row>
    <row r="10032">
      <c r="A10032" t="inlineStr">
        <is>
          <t>ED210228</t>
        </is>
      </c>
      <c r="B10032" s="56" t="n">
        <v>45901.62986111111</v>
      </c>
      <c r="C10032" t="inlineStr">
        <is>
          <t>Cedar Ridge Medical Center</t>
        </is>
      </c>
      <c r="D10032" t="n">
        <v>74</v>
      </c>
    </row>
    <row r="10033">
      <c r="A10033" t="inlineStr">
        <is>
          <t>ED210229</t>
        </is>
      </c>
      <c r="B10033" s="56" t="n">
        <v>45901.69444444445</v>
      </c>
      <c r="C10033" t="inlineStr">
        <is>
          <t>Bluestone Memorial Hospital</t>
        </is>
      </c>
      <c r="D10033" t="n">
        <v>69</v>
      </c>
    </row>
    <row r="10034">
      <c r="A10034" t="inlineStr">
        <is>
          <t>ED210230</t>
        </is>
      </c>
      <c r="B10034" s="56" t="n">
        <v>45901.77430555555</v>
      </c>
      <c r="C10034" t="inlineStr">
        <is>
          <t>Bluestone Memorial Hospital</t>
        </is>
      </c>
      <c r="D10034" t="n">
        <v>38</v>
      </c>
    </row>
    <row r="10035">
      <c r="A10035" t="inlineStr">
        <is>
          <t>ED210231</t>
        </is>
      </c>
      <c r="B10035" s="56" t="n">
        <v>45901.775</v>
      </c>
      <c r="C10035" t="inlineStr">
        <is>
          <t>Bluestone Memorial Hospital</t>
        </is>
      </c>
      <c r="D10035" t="n">
        <v>27</v>
      </c>
    </row>
    <row r="10036">
      <c r="A10036" t="inlineStr">
        <is>
          <t>ED210232</t>
        </is>
      </c>
      <c r="B10036" s="56" t="n">
        <v>45901.77708333333</v>
      </c>
      <c r="C10036" t="inlineStr">
        <is>
          <t>Cedar Ridge Medical Center</t>
        </is>
      </c>
      <c r="D10036" t="n">
        <v>41</v>
      </c>
    </row>
    <row r="10037">
      <c r="A10037" t="inlineStr">
        <is>
          <t>ED210233</t>
        </is>
      </c>
      <c r="B10037" s="56" t="n">
        <v>45901.82916666667</v>
      </c>
      <c r="C10037" t="inlineStr">
        <is>
          <t>Cedar Ridge Medical Center</t>
        </is>
      </c>
      <c r="D10037" t="n">
        <v>59</v>
      </c>
    </row>
    <row r="10038">
      <c r="A10038" t="inlineStr">
        <is>
          <t>ED210234</t>
        </is>
      </c>
      <c r="B10038" s="56" t="n">
        <v>45901.84652777778</v>
      </c>
      <c r="C10038" t="inlineStr">
        <is>
          <t>Bluestone Memorial Hospital</t>
        </is>
      </c>
      <c r="D10038" t="n">
        <v>108</v>
      </c>
    </row>
    <row r="10039">
      <c r="A10039" t="inlineStr">
        <is>
          <t>ED210235</t>
        </is>
      </c>
      <c r="B10039" s="56" t="n">
        <v>45901.88402777778</v>
      </c>
      <c r="C10039" t="inlineStr">
        <is>
          <t>Bluestone Memorial Hospital</t>
        </is>
      </c>
      <c r="D10039" t="n">
        <v>94</v>
      </c>
    </row>
    <row r="10040">
      <c r="A10040" t="inlineStr">
        <is>
          <t>ED210236</t>
        </is>
      </c>
      <c r="B10040" s="56" t="n">
        <v>45901.89513888889</v>
      </c>
      <c r="C10040" t="inlineStr">
        <is>
          <t>Cedar Ridge Medical Center</t>
        </is>
      </c>
      <c r="D10040" t="n">
        <v>129</v>
      </c>
    </row>
    <row r="10041">
      <c r="A10041" t="inlineStr">
        <is>
          <t>ED210237</t>
        </is>
      </c>
      <c r="B10041" s="56" t="n">
        <v>45901.91180555556</v>
      </c>
      <c r="C10041" t="inlineStr">
        <is>
          <t>Ashby Falls Community Hospital</t>
        </is>
      </c>
      <c r="D10041" t="n">
        <v>35</v>
      </c>
    </row>
    <row r="10042">
      <c r="A10042" t="inlineStr">
        <is>
          <t>ED210238</t>
        </is>
      </c>
      <c r="B10042" s="56" t="n">
        <v>45901.94930555556</v>
      </c>
      <c r="C10042" t="inlineStr">
        <is>
          <t>Bluestone Memorial Hospital</t>
        </is>
      </c>
      <c r="D10042" t="n">
        <v>13</v>
      </c>
    </row>
    <row r="10043">
      <c r="A10043" t="inlineStr">
        <is>
          <t>ED210239</t>
        </is>
      </c>
      <c r="B10043" s="56" t="n">
        <v>45902.01111111111</v>
      </c>
      <c r="C10043" t="inlineStr">
        <is>
          <t>Bluestone Memorial Hospital</t>
        </is>
      </c>
      <c r="D10043" t="n">
        <v>25</v>
      </c>
    </row>
    <row r="10044">
      <c r="A10044" t="inlineStr">
        <is>
          <t>ED210240</t>
        </is>
      </c>
      <c r="B10044" s="56" t="n">
        <v>45902.24097222222</v>
      </c>
      <c r="C10044" t="inlineStr">
        <is>
          <t>Ashby Falls Community Hospital</t>
        </is>
      </c>
      <c r="D10044" t="n">
        <v>21</v>
      </c>
    </row>
    <row r="10045">
      <c r="A10045" t="inlineStr">
        <is>
          <t>ED210241</t>
        </is>
      </c>
      <c r="B10045" s="56" t="n">
        <v>45902.25555555556</v>
      </c>
      <c r="C10045" t="inlineStr">
        <is>
          <t>Bluestone Memorial Hospital</t>
        </is>
      </c>
      <c r="D10045" t="n">
        <v>68</v>
      </c>
    </row>
    <row r="10046">
      <c r="A10046" t="inlineStr">
        <is>
          <t>ED210242</t>
        </is>
      </c>
      <c r="B10046" s="56" t="n">
        <v>45902.33263888889</v>
      </c>
      <c r="C10046" t="inlineStr">
        <is>
          <t>Bluestone Memorial Hospital</t>
        </is>
      </c>
      <c r="D10046" t="n">
        <v>13</v>
      </c>
    </row>
    <row r="10047">
      <c r="A10047" t="inlineStr">
        <is>
          <t>ED210243</t>
        </is>
      </c>
      <c r="B10047" s="56" t="n">
        <v>45902.40347222222</v>
      </c>
      <c r="C10047" t="inlineStr">
        <is>
          <t>Bluestone Memorial Hospital</t>
        </is>
      </c>
      <c r="D10047" t="n">
        <v>28</v>
      </c>
    </row>
    <row r="10048">
      <c r="A10048" t="inlineStr">
        <is>
          <t>ED210244</t>
        </is>
      </c>
      <c r="B10048" s="56" t="n">
        <v>45902.44305555556</v>
      </c>
      <c r="C10048" t="inlineStr">
        <is>
          <t>Bluestone Memorial Hospital</t>
        </is>
      </c>
      <c r="D10048" t="n">
        <v>17</v>
      </c>
    </row>
    <row r="10049">
      <c r="A10049" t="inlineStr">
        <is>
          <t>ED210245</t>
        </is>
      </c>
      <c r="B10049" s="56" t="n">
        <v>45902.49375</v>
      </c>
      <c r="C10049" t="inlineStr">
        <is>
          <t>Bluestone Memorial Hospital</t>
        </is>
      </c>
      <c r="D10049" t="n">
        <v>42</v>
      </c>
    </row>
    <row r="10050">
      <c r="A10050" t="inlineStr">
        <is>
          <t>ED210246</t>
        </is>
      </c>
      <c r="B10050" s="56" t="n">
        <v>45902.52361111111</v>
      </c>
      <c r="C10050" t="inlineStr">
        <is>
          <t>Bluestone Memorial Hospital</t>
        </is>
      </c>
      <c r="D10050" t="n">
        <v>113</v>
      </c>
    </row>
    <row r="10051">
      <c r="A10051" t="inlineStr">
        <is>
          <t>ED210247</t>
        </is>
      </c>
      <c r="B10051" s="56" t="n">
        <v>45902.58402777778</v>
      </c>
      <c r="C10051" t="inlineStr">
        <is>
          <t>Cedar Ridge Medical Center</t>
        </is>
      </c>
      <c r="D10051" t="n">
        <v>19</v>
      </c>
    </row>
    <row r="10052">
      <c r="A10052" t="inlineStr">
        <is>
          <t>ED210248</t>
        </is>
      </c>
      <c r="B10052" s="56" t="n">
        <v>45902.69236111111</v>
      </c>
      <c r="C10052" t="inlineStr">
        <is>
          <t>Bluestone Memorial Hospital</t>
        </is>
      </c>
      <c r="D10052" t="n">
        <v>20</v>
      </c>
    </row>
    <row r="10053">
      <c r="A10053" t="inlineStr">
        <is>
          <t>ED210249</t>
        </is>
      </c>
      <c r="B10053" s="56" t="n">
        <v>45902.72013888889</v>
      </c>
      <c r="C10053" t="inlineStr">
        <is>
          <t>Cedar Ridge Medical Center</t>
        </is>
      </c>
      <c r="D10053" t="n">
        <v>42</v>
      </c>
    </row>
    <row r="10054">
      <c r="A10054" t="inlineStr">
        <is>
          <t>ED210250</t>
        </is>
      </c>
      <c r="B10054" s="56" t="n">
        <v>45902.87152777778</v>
      </c>
      <c r="C10054" t="inlineStr">
        <is>
          <t>Bluestone Memorial Hospital</t>
        </is>
      </c>
      <c r="D10054" t="n">
        <v>9</v>
      </c>
    </row>
    <row r="10055">
      <c r="A10055" t="inlineStr">
        <is>
          <t>ED210251</t>
        </is>
      </c>
      <c r="B10055" s="56" t="n">
        <v>45902.93680555555</v>
      </c>
      <c r="C10055" t="inlineStr">
        <is>
          <t>Cedar Ridge Medical Center</t>
        </is>
      </c>
      <c r="D10055" t="n">
        <v>73</v>
      </c>
    </row>
    <row r="10056">
      <c r="A10056" t="inlineStr">
        <is>
          <t>ED210252</t>
        </is>
      </c>
      <c r="B10056" s="56" t="n">
        <v>45903.29305555556</v>
      </c>
      <c r="C10056" t="inlineStr">
        <is>
          <t>Bluestone Memorial Hospital</t>
        </is>
      </c>
      <c r="D10056" t="n">
        <v>12</v>
      </c>
    </row>
    <row r="10057">
      <c r="A10057" t="inlineStr">
        <is>
          <t>ED210253</t>
        </is>
      </c>
      <c r="B10057" s="56" t="n">
        <v>45903.32569444444</v>
      </c>
      <c r="C10057" t="inlineStr">
        <is>
          <t>Bluestone Memorial Hospital</t>
        </is>
      </c>
      <c r="D10057" t="n">
        <v>49</v>
      </c>
    </row>
    <row r="10058">
      <c r="A10058" t="inlineStr">
        <is>
          <t>ED210254</t>
        </is>
      </c>
      <c r="B10058" s="56" t="n">
        <v>45903.33055555556</v>
      </c>
      <c r="C10058" t="inlineStr">
        <is>
          <t>Bluestone Memorial Hospital</t>
        </is>
      </c>
      <c r="D10058" t="n">
        <v>14</v>
      </c>
    </row>
    <row r="10059">
      <c r="A10059" t="inlineStr">
        <is>
          <t>ED210255</t>
        </is>
      </c>
      <c r="B10059" s="56" t="n">
        <v>45903.37222222222</v>
      </c>
      <c r="C10059" t="inlineStr">
        <is>
          <t>Bluestone Memorial Hospital</t>
        </is>
      </c>
      <c r="D10059" t="n">
        <v>5</v>
      </c>
    </row>
    <row r="10060">
      <c r="A10060" t="inlineStr">
        <is>
          <t>ED210256</t>
        </is>
      </c>
      <c r="B10060" s="56" t="n">
        <v>45903.38819444444</v>
      </c>
      <c r="C10060" t="inlineStr">
        <is>
          <t>Cedar Ridge Medical Center</t>
        </is>
      </c>
      <c r="D10060" t="n">
        <v>65</v>
      </c>
    </row>
    <row r="10061">
      <c r="A10061" t="inlineStr">
        <is>
          <t>ED210257</t>
        </is>
      </c>
      <c r="B10061" s="56" t="n">
        <v>45903.49097222222</v>
      </c>
      <c r="C10061" t="inlineStr">
        <is>
          <t>Bluestone Memorial Hospital</t>
        </is>
      </c>
      <c r="D10061" t="n">
        <v>49</v>
      </c>
    </row>
    <row r="10062">
      <c r="A10062" t="inlineStr">
        <is>
          <t>ED210258</t>
        </is>
      </c>
      <c r="B10062" s="56" t="n">
        <v>45903.50763888889</v>
      </c>
      <c r="C10062" t="inlineStr">
        <is>
          <t>Bluestone Memorial Hospital</t>
        </is>
      </c>
      <c r="D10062" t="n">
        <v>9</v>
      </c>
    </row>
    <row r="10063">
      <c r="A10063" t="inlineStr">
        <is>
          <t>ED210259</t>
        </is>
      </c>
      <c r="B10063" s="56" t="n">
        <v>45903.51111111111</v>
      </c>
      <c r="C10063" t="inlineStr">
        <is>
          <t>Bluestone Memorial Hospital</t>
        </is>
      </c>
      <c r="D10063" t="n">
        <v>28</v>
      </c>
    </row>
    <row r="10064">
      <c r="A10064" t="inlineStr">
        <is>
          <t>ED210260</t>
        </is>
      </c>
      <c r="B10064" s="56" t="n">
        <v>45903.55138888889</v>
      </c>
      <c r="C10064" t="inlineStr">
        <is>
          <t>Bluestone Memorial Hospital</t>
        </is>
      </c>
      <c r="D10064" t="n">
        <v>2</v>
      </c>
    </row>
    <row r="10065">
      <c r="A10065" t="inlineStr">
        <is>
          <t>ED210261</t>
        </is>
      </c>
      <c r="B10065" s="56" t="n">
        <v>45903.56666666667</v>
      </c>
      <c r="C10065" t="inlineStr">
        <is>
          <t>Ashby Falls Community Hospital</t>
        </is>
      </c>
      <c r="D10065" t="n">
        <v>22</v>
      </c>
    </row>
    <row r="10066">
      <c r="A10066" t="inlineStr">
        <is>
          <t>ED210262</t>
        </is>
      </c>
      <c r="B10066" s="56" t="n">
        <v>45903.60625</v>
      </c>
      <c r="C10066" t="inlineStr">
        <is>
          <t>Bluestone Memorial Hospital</t>
        </is>
      </c>
      <c r="D10066" t="n">
        <v>45</v>
      </c>
    </row>
    <row r="10067">
      <c r="A10067" t="inlineStr">
        <is>
          <t>ED210263</t>
        </is>
      </c>
      <c r="B10067" s="56" t="n">
        <v>45903.61666666667</v>
      </c>
      <c r="C10067" t="inlineStr">
        <is>
          <t>Bluestone Memorial Hospital</t>
        </is>
      </c>
      <c r="D10067" t="n">
        <v>3</v>
      </c>
    </row>
    <row r="10068">
      <c r="A10068" t="inlineStr">
        <is>
          <t>ED210264</t>
        </is>
      </c>
      <c r="B10068" s="56" t="n">
        <v>45903.62083333333</v>
      </c>
      <c r="C10068" t="inlineStr">
        <is>
          <t>Bluestone Memorial Hospital</t>
        </is>
      </c>
      <c r="D10068" t="n">
        <v>41</v>
      </c>
    </row>
    <row r="10069">
      <c r="A10069" t="inlineStr">
        <is>
          <t>ED210265</t>
        </is>
      </c>
      <c r="B10069" s="56" t="n">
        <v>45903.63402777778</v>
      </c>
      <c r="C10069" t="inlineStr">
        <is>
          <t>Cedar Ridge Medical Center</t>
        </is>
      </c>
      <c r="D10069" t="n">
        <v>57</v>
      </c>
    </row>
    <row r="10070">
      <c r="A10070" t="inlineStr">
        <is>
          <t>ED210266</t>
        </is>
      </c>
      <c r="B10070" s="56" t="n">
        <v>45903.66944444444</v>
      </c>
      <c r="C10070" t="inlineStr">
        <is>
          <t>Bluestone Memorial Hospital</t>
        </is>
      </c>
      <c r="D10070" t="n">
        <v>54</v>
      </c>
    </row>
    <row r="10071">
      <c r="A10071" t="inlineStr">
        <is>
          <t>ED210267</t>
        </is>
      </c>
      <c r="B10071" s="56" t="n">
        <v>45903.67291666667</v>
      </c>
      <c r="C10071" t="inlineStr">
        <is>
          <t>Bluestone Memorial Hospital</t>
        </is>
      </c>
      <c r="D10071" t="n">
        <v>47</v>
      </c>
    </row>
    <row r="10072">
      <c r="A10072" t="inlineStr">
        <is>
          <t>ED210268</t>
        </is>
      </c>
      <c r="B10072" s="56" t="n">
        <v>45903.72916666666</v>
      </c>
      <c r="C10072" t="inlineStr">
        <is>
          <t>Bluestone Memorial Hospital</t>
        </is>
      </c>
      <c r="D10072" t="n">
        <v>120</v>
      </c>
    </row>
    <row r="10073">
      <c r="A10073" t="inlineStr">
        <is>
          <t>ED210269</t>
        </is>
      </c>
      <c r="B10073" s="56" t="n">
        <v>45903.74791666667</v>
      </c>
      <c r="C10073" t="inlineStr">
        <is>
          <t>Bluestone Memorial Hospital</t>
        </is>
      </c>
      <c r="D10073" t="n">
        <v>53</v>
      </c>
    </row>
    <row r="10074">
      <c r="A10074" t="inlineStr">
        <is>
          <t>ED210270</t>
        </is>
      </c>
      <c r="B10074" s="56" t="n">
        <v>45903.75486111111</v>
      </c>
      <c r="C10074" t="inlineStr">
        <is>
          <t>Bluestone Memorial Hospital</t>
        </is>
      </c>
      <c r="D10074" t="n">
        <v>39</v>
      </c>
    </row>
    <row r="10075">
      <c r="A10075" t="inlineStr">
        <is>
          <t>ED210271</t>
        </is>
      </c>
      <c r="B10075" s="56" t="n">
        <v>45903.84027777778</v>
      </c>
      <c r="C10075" t="inlineStr">
        <is>
          <t>Bluestone Memorial Hospital</t>
        </is>
      </c>
      <c r="D10075" t="n">
        <v>21</v>
      </c>
    </row>
    <row r="10076">
      <c r="A10076" t="inlineStr">
        <is>
          <t>ED210272</t>
        </is>
      </c>
      <c r="B10076" s="56" t="n">
        <v>45903.85555555556</v>
      </c>
      <c r="C10076" t="inlineStr">
        <is>
          <t>Bluestone Memorial Hospital</t>
        </is>
      </c>
      <c r="D10076" t="n">
        <v>40</v>
      </c>
    </row>
    <row r="10077">
      <c r="A10077" t="inlineStr">
        <is>
          <t>ED210273</t>
        </is>
      </c>
      <c r="B10077" s="56" t="n">
        <v>45904.02361111111</v>
      </c>
      <c r="C10077" t="inlineStr">
        <is>
          <t>Bluestone Memorial Hospital</t>
        </is>
      </c>
      <c r="D10077" t="n">
        <v>4</v>
      </c>
    </row>
    <row r="10078">
      <c r="A10078" t="inlineStr">
        <is>
          <t>ED210274</t>
        </is>
      </c>
      <c r="B10078" s="56" t="n">
        <v>45904.04652777778</v>
      </c>
      <c r="C10078" t="inlineStr">
        <is>
          <t>Bluestone Memorial Hospital</t>
        </is>
      </c>
      <c r="D10078" t="n">
        <v>20</v>
      </c>
    </row>
    <row r="10079">
      <c r="A10079" t="inlineStr">
        <is>
          <t>ED210275</t>
        </is>
      </c>
      <c r="B10079" s="56" t="n">
        <v>45904.15416666667</v>
      </c>
      <c r="C10079" t="inlineStr">
        <is>
          <t>Bluestone Memorial Hospital</t>
        </is>
      </c>
      <c r="D10079" t="n">
        <v>36</v>
      </c>
    </row>
    <row r="10080">
      <c r="A10080" t="inlineStr">
        <is>
          <t>ED210276</t>
        </is>
      </c>
      <c r="B10080" s="56" t="n">
        <v>45904.32152777778</v>
      </c>
      <c r="C10080" t="inlineStr">
        <is>
          <t>Ashby Falls Community Hospital</t>
        </is>
      </c>
      <c r="D10080" t="n">
        <v>42</v>
      </c>
    </row>
    <row r="10081">
      <c r="A10081" t="inlineStr">
        <is>
          <t>ED210277</t>
        </is>
      </c>
      <c r="B10081" s="56" t="n">
        <v>45904.35138888889</v>
      </c>
      <c r="C10081" t="inlineStr">
        <is>
          <t>Bluestone Memorial Hospital</t>
        </is>
      </c>
      <c r="D10081" t="n">
        <v>108</v>
      </c>
    </row>
    <row r="10082">
      <c r="A10082" t="inlineStr">
        <is>
          <t>ED210278</t>
        </is>
      </c>
      <c r="B10082" s="56" t="n">
        <v>45904.35208333333</v>
      </c>
      <c r="C10082" t="inlineStr">
        <is>
          <t>Cedar Ridge Medical Center</t>
        </is>
      </c>
      <c r="D10082" t="n">
        <v>31</v>
      </c>
    </row>
    <row r="10083">
      <c r="A10083" t="inlineStr">
        <is>
          <t>ED210279</t>
        </is>
      </c>
      <c r="B10083" s="56" t="n">
        <v>45904.4</v>
      </c>
      <c r="C10083" t="inlineStr">
        <is>
          <t>Bluestone Memorial Hospital</t>
        </is>
      </c>
      <c r="D10083" t="n">
        <v>3</v>
      </c>
    </row>
    <row r="10084">
      <c r="A10084" t="inlineStr">
        <is>
          <t>ED210280</t>
        </is>
      </c>
      <c r="B10084" s="56" t="n">
        <v>45904.43541666667</v>
      </c>
      <c r="C10084" t="inlineStr">
        <is>
          <t>Ashby Falls Community Hospital</t>
        </is>
      </c>
      <c r="D10084" t="n">
        <v>11</v>
      </c>
    </row>
    <row r="10085">
      <c r="A10085" t="inlineStr">
        <is>
          <t>ED210281</t>
        </is>
      </c>
      <c r="B10085" s="56" t="n">
        <v>45904.46388888889</v>
      </c>
      <c r="C10085" t="inlineStr">
        <is>
          <t>Bluestone Memorial Hospital</t>
        </is>
      </c>
      <c r="D10085" t="n">
        <v>12</v>
      </c>
    </row>
    <row r="10086">
      <c r="A10086" t="inlineStr">
        <is>
          <t>ED210282</t>
        </is>
      </c>
      <c r="B10086" s="56" t="n">
        <v>45904.48194444444</v>
      </c>
      <c r="C10086" t="inlineStr">
        <is>
          <t>Ashby Falls Community Hospital</t>
        </is>
      </c>
      <c r="D10086" t="n">
        <v>155</v>
      </c>
    </row>
    <row r="10087">
      <c r="A10087" t="inlineStr">
        <is>
          <t>ED210283</t>
        </is>
      </c>
      <c r="B10087" s="56" t="n">
        <v>45904.49930555555</v>
      </c>
      <c r="C10087" t="inlineStr">
        <is>
          <t>Bluestone Memorial Hospital</t>
        </is>
      </c>
      <c r="D10087" t="n">
        <v>12</v>
      </c>
    </row>
    <row r="10088">
      <c r="A10088" t="inlineStr">
        <is>
          <t>ED210284</t>
        </is>
      </c>
      <c r="B10088" s="56" t="n">
        <v>45904.5625</v>
      </c>
      <c r="C10088" t="inlineStr">
        <is>
          <t>Bluestone Memorial Hospital</t>
        </is>
      </c>
      <c r="D10088" t="n">
        <v>45</v>
      </c>
    </row>
    <row r="10089">
      <c r="A10089" t="inlineStr">
        <is>
          <t>ED210285</t>
        </is>
      </c>
      <c r="B10089" s="56" t="n">
        <v>45904.57569444444</v>
      </c>
      <c r="C10089" t="inlineStr">
        <is>
          <t>Cedar Ridge Medical Center</t>
        </is>
      </c>
      <c r="D10089" t="n">
        <v>28</v>
      </c>
    </row>
    <row r="10090">
      <c r="A10090" t="inlineStr">
        <is>
          <t>ED210286</t>
        </is>
      </c>
      <c r="B10090" s="56" t="n">
        <v>45904.60416666666</v>
      </c>
      <c r="C10090" t="inlineStr">
        <is>
          <t>Bluestone Memorial Hospital</t>
        </is>
      </c>
      <c r="D10090" t="n">
        <v>49</v>
      </c>
    </row>
    <row r="10091">
      <c r="A10091" t="inlineStr">
        <is>
          <t>ED210287</t>
        </is>
      </c>
      <c r="B10091" s="56" t="n">
        <v>45904.67708333334</v>
      </c>
      <c r="C10091" t="inlineStr">
        <is>
          <t>Bluestone Memorial Hospital</t>
        </is>
      </c>
      <c r="D10091" t="n">
        <v>98</v>
      </c>
    </row>
    <row r="10092">
      <c r="A10092" t="inlineStr">
        <is>
          <t>ED210288</t>
        </is>
      </c>
      <c r="B10092" s="56" t="n">
        <v>45904.71805555555</v>
      </c>
      <c r="C10092" t="inlineStr">
        <is>
          <t>Bluestone Memorial Hospital</t>
        </is>
      </c>
      <c r="D10092" t="n">
        <v>13</v>
      </c>
    </row>
    <row r="10093">
      <c r="A10093" t="inlineStr">
        <is>
          <t>ED210289</t>
        </is>
      </c>
      <c r="B10093" s="56" t="n">
        <v>45904.83472222222</v>
      </c>
      <c r="C10093" t="inlineStr">
        <is>
          <t>Bluestone Memorial Hospital</t>
        </is>
      </c>
      <c r="D10093" t="n">
        <v>129</v>
      </c>
    </row>
    <row r="10094">
      <c r="A10094" t="inlineStr">
        <is>
          <t>ED210290</t>
        </is>
      </c>
      <c r="B10094" s="56" t="n">
        <v>45904.85763888889</v>
      </c>
      <c r="C10094" t="inlineStr">
        <is>
          <t>Ashby Falls Community Hospital</t>
        </is>
      </c>
      <c r="D10094" t="n">
        <v>105</v>
      </c>
    </row>
    <row r="10095">
      <c r="A10095" t="inlineStr">
        <is>
          <t>ED210291</t>
        </is>
      </c>
      <c r="B10095" s="56" t="n">
        <v>45904.89097222222</v>
      </c>
      <c r="C10095" t="inlineStr">
        <is>
          <t>Bluestone Memorial Hospital</t>
        </is>
      </c>
      <c r="D10095" t="n">
        <v>12</v>
      </c>
    </row>
    <row r="10096">
      <c r="A10096" t="inlineStr">
        <is>
          <t>ED210292</t>
        </is>
      </c>
      <c r="B10096" s="56" t="n">
        <v>45905.20625</v>
      </c>
      <c r="C10096" t="inlineStr">
        <is>
          <t>Bluestone Memorial Hospital</t>
        </is>
      </c>
      <c r="D10096" t="n">
        <v>17</v>
      </c>
    </row>
    <row r="10097">
      <c r="A10097" t="inlineStr">
        <is>
          <t>ED210293</t>
        </is>
      </c>
      <c r="B10097" s="56" t="n">
        <v>45905.43055555555</v>
      </c>
      <c r="C10097" t="inlineStr">
        <is>
          <t>Bluestone Memorial Hospital</t>
        </is>
      </c>
      <c r="D10097" t="n">
        <v>155</v>
      </c>
    </row>
    <row r="10098">
      <c r="A10098" t="inlineStr">
        <is>
          <t>ED210294</t>
        </is>
      </c>
      <c r="B10098" s="56" t="n">
        <v>45905.4875</v>
      </c>
      <c r="C10098" t="inlineStr">
        <is>
          <t>Bluestone Memorial Hospital</t>
        </is>
      </c>
      <c r="D10098" t="n">
        <v>34</v>
      </c>
    </row>
    <row r="10099">
      <c r="A10099" t="inlineStr">
        <is>
          <t>ED210295</t>
        </is>
      </c>
      <c r="B10099" s="56" t="n">
        <v>45905.50555555556</v>
      </c>
      <c r="C10099" t="inlineStr">
        <is>
          <t>Bluestone Memorial Hospital</t>
        </is>
      </c>
      <c r="D10099" t="n">
        <v>27</v>
      </c>
    </row>
    <row r="10100">
      <c r="A10100" t="inlineStr">
        <is>
          <t>ED210296</t>
        </is>
      </c>
      <c r="B10100" s="56" t="n">
        <v>45905.72986111111</v>
      </c>
      <c r="C10100" t="inlineStr">
        <is>
          <t>Bluestone Memorial Hospital</t>
        </is>
      </c>
      <c r="D10100" t="n">
        <v>14</v>
      </c>
    </row>
    <row r="10101">
      <c r="A10101" t="inlineStr">
        <is>
          <t>ED210297</t>
        </is>
      </c>
      <c r="B10101" s="56" t="n">
        <v>45905.75486111111</v>
      </c>
      <c r="C10101" t="inlineStr">
        <is>
          <t>Bluestone Memorial Hospital</t>
        </is>
      </c>
      <c r="D10101" t="n">
        <v>46</v>
      </c>
    </row>
    <row r="10102">
      <c r="A10102" t="inlineStr">
        <is>
          <t>ED210298</t>
        </is>
      </c>
      <c r="B10102" s="56" t="n">
        <v>45905.77708333333</v>
      </c>
      <c r="C10102" t="inlineStr">
        <is>
          <t>Bluestone Memorial Hospital</t>
        </is>
      </c>
      <c r="D10102" t="n">
        <v>54</v>
      </c>
    </row>
    <row r="10103">
      <c r="A10103" t="inlineStr">
        <is>
          <t>ED210299</t>
        </is>
      </c>
      <c r="B10103" s="56" t="n">
        <v>45905.82777777778</v>
      </c>
      <c r="C10103" t="inlineStr">
        <is>
          <t>Bluestone Memorial Hospital</t>
        </is>
      </c>
      <c r="D10103" t="n">
        <v>91</v>
      </c>
    </row>
    <row r="10104">
      <c r="A10104" t="inlineStr">
        <is>
          <t>ED210300</t>
        </is>
      </c>
      <c r="B10104" s="56" t="n">
        <v>45905.83819444444</v>
      </c>
      <c r="C10104" t="inlineStr">
        <is>
          <t>Bluestone Memorial Hospital</t>
        </is>
      </c>
      <c r="D10104" t="n">
        <v>75</v>
      </c>
    </row>
    <row r="10105">
      <c r="A10105" t="inlineStr">
        <is>
          <t>ED210301</t>
        </is>
      </c>
      <c r="B10105" s="56" t="n">
        <v>45905.90763888889</v>
      </c>
      <c r="C10105" t="inlineStr">
        <is>
          <t>Bluestone Memorial Hospital</t>
        </is>
      </c>
      <c r="D10105" t="n">
        <v>1</v>
      </c>
    </row>
    <row r="10106">
      <c r="A10106" t="inlineStr">
        <is>
          <t>ED210302</t>
        </is>
      </c>
      <c r="B10106" s="56" t="n">
        <v>45905.93611111111</v>
      </c>
      <c r="C10106" t="inlineStr">
        <is>
          <t>Bluestone Memorial Hospital</t>
        </is>
      </c>
      <c r="D10106" t="n">
        <v>26</v>
      </c>
    </row>
    <row r="10107">
      <c r="A10107" t="inlineStr">
        <is>
          <t>ED210303</t>
        </is>
      </c>
      <c r="B10107" s="56" t="n">
        <v>45905.94861111111</v>
      </c>
      <c r="C10107" t="inlineStr">
        <is>
          <t>Ashby Falls Community Hospital</t>
        </is>
      </c>
      <c r="D10107" t="n">
        <v>96</v>
      </c>
    </row>
    <row r="10108">
      <c r="A10108" t="inlineStr">
        <is>
          <t>ED210304</t>
        </is>
      </c>
      <c r="B10108" s="56" t="n">
        <v>45906.01388888889</v>
      </c>
      <c r="C10108" t="inlineStr">
        <is>
          <t>Bluestone Memorial Hospital</t>
        </is>
      </c>
      <c r="D10108" t="n">
        <v>38</v>
      </c>
    </row>
    <row r="10109">
      <c r="A10109" t="inlineStr">
        <is>
          <t>ED210305</t>
        </is>
      </c>
      <c r="B10109" s="56" t="n">
        <v>45906.45347222222</v>
      </c>
      <c r="C10109" t="inlineStr">
        <is>
          <t>Ashby Falls Community Hospital</t>
        </is>
      </c>
      <c r="D10109" t="n">
        <v>97</v>
      </c>
    </row>
    <row r="10110">
      <c r="A10110" t="inlineStr">
        <is>
          <t>ED210306</t>
        </is>
      </c>
      <c r="B10110" s="56" t="n">
        <v>45906.51666666667</v>
      </c>
      <c r="C10110" t="inlineStr">
        <is>
          <t>Bluestone Memorial Hospital</t>
        </is>
      </c>
      <c r="D10110" t="n">
        <v>31</v>
      </c>
    </row>
    <row r="10111">
      <c r="A10111" t="inlineStr">
        <is>
          <t>ED210307</t>
        </is>
      </c>
      <c r="B10111" s="56" t="n">
        <v>45906.56875</v>
      </c>
      <c r="C10111" t="inlineStr">
        <is>
          <t>Bluestone Memorial Hospital</t>
        </is>
      </c>
      <c r="D10111" t="n">
        <v>50</v>
      </c>
    </row>
    <row r="10112">
      <c r="A10112" t="inlineStr">
        <is>
          <t>ED210309</t>
        </is>
      </c>
      <c r="B10112" s="56" t="n">
        <v>45906.80138888889</v>
      </c>
      <c r="C10112" t="inlineStr">
        <is>
          <t>Cedar Ridge Medical Center</t>
        </is>
      </c>
      <c r="D10112" t="n">
        <v>101</v>
      </c>
    </row>
    <row r="10113">
      <c r="A10113" t="inlineStr">
        <is>
          <t>ED210310</t>
        </is>
      </c>
      <c r="B10113" s="56" t="n">
        <v>45906.85138888889</v>
      </c>
      <c r="C10113" t="inlineStr">
        <is>
          <t>Bluestone Memorial Hospital</t>
        </is>
      </c>
      <c r="D10113" t="n">
        <v>31</v>
      </c>
    </row>
    <row r="10114">
      <c r="A10114" t="inlineStr">
        <is>
          <t>ED210311</t>
        </is>
      </c>
      <c r="B10114" s="56" t="n">
        <v>45906.88888888889</v>
      </c>
      <c r="C10114" t="inlineStr">
        <is>
          <t>Bluestone Memorial Hospital</t>
        </is>
      </c>
      <c r="D10114" t="n">
        <v>14</v>
      </c>
    </row>
    <row r="10115">
      <c r="A10115" t="inlineStr">
        <is>
          <t>ED210312</t>
        </is>
      </c>
      <c r="B10115" s="56" t="n">
        <v>45906.89930555555</v>
      </c>
      <c r="C10115" t="inlineStr">
        <is>
          <t>Bluestone Memorial Hospital</t>
        </is>
      </c>
      <c r="D10115" t="n">
        <v>11</v>
      </c>
    </row>
    <row r="10116">
      <c r="A10116" t="inlineStr">
        <is>
          <t>ED210313</t>
        </is>
      </c>
      <c r="B10116" s="56" t="n">
        <v>45906.93888888889</v>
      </c>
      <c r="C10116" t="inlineStr">
        <is>
          <t>Bluestone Memorial Hospital</t>
        </is>
      </c>
      <c r="D10116" t="n">
        <v>4</v>
      </c>
    </row>
    <row r="10117">
      <c r="A10117" t="inlineStr">
        <is>
          <t>ED210314</t>
        </is>
      </c>
      <c r="B10117" s="56" t="n">
        <v>45907.03125</v>
      </c>
      <c r="C10117" t="inlineStr">
        <is>
          <t>Cedar Ridge Medical Center</t>
        </is>
      </c>
      <c r="D10117" t="n">
        <v>10</v>
      </c>
    </row>
    <row r="10118">
      <c r="A10118" t="inlineStr">
        <is>
          <t>ED210315</t>
        </is>
      </c>
      <c r="B10118" s="56" t="n">
        <v>45907.11041666667</v>
      </c>
      <c r="C10118" t="inlineStr">
        <is>
          <t>Bluestone Memorial Hospital</t>
        </is>
      </c>
      <c r="D10118" t="n">
        <v>53</v>
      </c>
    </row>
    <row r="10119">
      <c r="A10119" t="inlineStr">
        <is>
          <t>ED210316</t>
        </is>
      </c>
      <c r="B10119" s="56" t="n">
        <v>45907.13958333333</v>
      </c>
      <c r="C10119" t="inlineStr">
        <is>
          <t>Ashby Falls Community Hospital</t>
        </is>
      </c>
      <c r="D10119" t="n">
        <v>32</v>
      </c>
    </row>
    <row r="10120">
      <c r="A10120" t="inlineStr">
        <is>
          <t>ED210317</t>
        </is>
      </c>
      <c r="B10120" s="56" t="n">
        <v>45907.31527777778</v>
      </c>
      <c r="C10120" t="inlineStr">
        <is>
          <t>Bluestone Memorial Hospital</t>
        </is>
      </c>
      <c r="D10120" t="n">
        <v>55</v>
      </c>
    </row>
    <row r="10121">
      <c r="A10121" t="inlineStr">
        <is>
          <t>ED210318</t>
        </is>
      </c>
      <c r="B10121" s="56" t="n">
        <v>45907.33402777778</v>
      </c>
      <c r="C10121" t="inlineStr">
        <is>
          <t>Bluestone Memorial Hospital</t>
        </is>
      </c>
      <c r="D10121" t="n">
        <v>65</v>
      </c>
    </row>
    <row r="10122">
      <c r="A10122" t="inlineStr">
        <is>
          <t>ED210319</t>
        </is>
      </c>
      <c r="B10122" s="56" t="n">
        <v>45907.35138888889</v>
      </c>
      <c r="C10122" t="inlineStr">
        <is>
          <t>Bluestone Memorial Hospital</t>
        </is>
      </c>
      <c r="D10122" t="n">
        <v>25</v>
      </c>
    </row>
    <row r="10123">
      <c r="A10123" t="inlineStr">
        <is>
          <t>ED210320</t>
        </is>
      </c>
      <c r="B10123" s="56" t="n">
        <v>45907.35902777778</v>
      </c>
      <c r="C10123" t="inlineStr">
        <is>
          <t>Ashby Falls Community Hospital</t>
        </is>
      </c>
      <c r="D10123" t="n">
        <v>46</v>
      </c>
    </row>
    <row r="10124">
      <c r="A10124" t="inlineStr">
        <is>
          <t>ED210321</t>
        </is>
      </c>
      <c r="B10124" s="56" t="n">
        <v>45907.36875</v>
      </c>
      <c r="C10124" t="inlineStr">
        <is>
          <t>Bluestone Memorial Hospital</t>
        </is>
      </c>
      <c r="D10124" t="n">
        <v>90</v>
      </c>
    </row>
    <row r="10125">
      <c r="A10125" t="inlineStr">
        <is>
          <t>ED210322</t>
        </is>
      </c>
      <c r="B10125" s="56" t="n">
        <v>45907.43402777778</v>
      </c>
      <c r="C10125" t="inlineStr">
        <is>
          <t>Ashby Falls Community Hospital</t>
        </is>
      </c>
      <c r="D10125" t="n">
        <v>12</v>
      </c>
    </row>
    <row r="10126">
      <c r="A10126" t="inlineStr">
        <is>
          <t>ED210323</t>
        </is>
      </c>
      <c r="B10126" s="56" t="n">
        <v>45907.46388888889</v>
      </c>
      <c r="C10126" t="inlineStr">
        <is>
          <t>Bluestone Memorial Hospital</t>
        </is>
      </c>
      <c r="D10126" t="n">
        <v>13</v>
      </c>
    </row>
    <row r="10127">
      <c r="A10127" t="inlineStr">
        <is>
          <t>ED210324</t>
        </is>
      </c>
      <c r="B10127" s="56" t="n">
        <v>45907.46388888889</v>
      </c>
      <c r="C10127" t="inlineStr">
        <is>
          <t>Bluestone Memorial Hospital</t>
        </is>
      </c>
      <c r="D10127" t="n">
        <v>95</v>
      </c>
    </row>
    <row r="10128">
      <c r="A10128" t="inlineStr">
        <is>
          <t>ED210325</t>
        </is>
      </c>
      <c r="B10128" s="56" t="n">
        <v>45907.47777777778</v>
      </c>
      <c r="C10128" t="inlineStr">
        <is>
          <t>Bluestone Memorial Hospital</t>
        </is>
      </c>
      <c r="D10128" t="n">
        <v>9</v>
      </c>
    </row>
    <row r="10129">
      <c r="A10129" t="inlineStr">
        <is>
          <t>ED210326</t>
        </is>
      </c>
      <c r="B10129" s="56" t="n">
        <v>45907.51944444444</v>
      </c>
      <c r="C10129" t="inlineStr">
        <is>
          <t>Cedar Ridge Medical Center</t>
        </is>
      </c>
      <c r="D10129" t="n">
        <v>58</v>
      </c>
    </row>
    <row r="10130">
      <c r="A10130" t="inlineStr">
        <is>
          <t>ED210327</t>
        </is>
      </c>
      <c r="B10130" s="56" t="n">
        <v>45907.61388888889</v>
      </c>
      <c r="C10130" t="inlineStr">
        <is>
          <t>Bluestone Memorial Hospital</t>
        </is>
      </c>
      <c r="D10130" t="n">
        <v>24</v>
      </c>
    </row>
    <row r="10131">
      <c r="A10131" t="inlineStr">
        <is>
          <t>ED210328</t>
        </is>
      </c>
      <c r="B10131" s="56" t="n">
        <v>45907.76458333333</v>
      </c>
      <c r="C10131" t="inlineStr">
        <is>
          <t>Bluestone Memorial Hospital</t>
        </is>
      </c>
      <c r="D10131" t="n">
        <v>56</v>
      </c>
    </row>
    <row r="10132">
      <c r="A10132" t="inlineStr">
        <is>
          <t>ED210329</t>
        </is>
      </c>
      <c r="B10132" s="56" t="n">
        <v>45907.77708333333</v>
      </c>
      <c r="C10132" t="inlineStr">
        <is>
          <t>Bluestone Memorial Hospital</t>
        </is>
      </c>
      <c r="D10132" t="n">
        <v>62</v>
      </c>
    </row>
    <row r="10133">
      <c r="A10133" t="inlineStr">
        <is>
          <t>ED210330</t>
        </is>
      </c>
      <c r="B10133" s="56" t="n">
        <v>45907.84791666667</v>
      </c>
      <c r="C10133" t="inlineStr">
        <is>
          <t>Bluestone Memorial Hospital</t>
        </is>
      </c>
      <c r="D10133" t="n">
        <v>8</v>
      </c>
    </row>
    <row r="10134">
      <c r="A10134" t="inlineStr">
        <is>
          <t>ED210331</t>
        </is>
      </c>
      <c r="B10134" s="56" t="n">
        <v>45908.05486111111</v>
      </c>
      <c r="C10134" t="inlineStr">
        <is>
          <t>Bluestone Memorial Hospital</t>
        </is>
      </c>
      <c r="D10134" t="n">
        <v>12</v>
      </c>
    </row>
    <row r="10135">
      <c r="A10135" t="inlineStr">
        <is>
          <t>ED210332</t>
        </is>
      </c>
      <c r="B10135" s="56" t="n">
        <v>45908.16944444444</v>
      </c>
      <c r="C10135" t="inlineStr">
        <is>
          <t>Bluestone Memorial Hospital</t>
        </is>
      </c>
      <c r="D10135" t="n">
        <v>15</v>
      </c>
    </row>
    <row r="10136">
      <c r="A10136" t="inlineStr">
        <is>
          <t>ED210333</t>
        </is>
      </c>
      <c r="B10136" s="56" t="n">
        <v>45908.25486111111</v>
      </c>
      <c r="C10136" t="inlineStr">
        <is>
          <t>Bluestone Memorial Hospital</t>
        </is>
      </c>
      <c r="D10136" t="n">
        <v>10</v>
      </c>
    </row>
    <row r="10137">
      <c r="A10137" t="inlineStr">
        <is>
          <t>ED210334</t>
        </is>
      </c>
      <c r="B10137" s="56" t="n">
        <v>45908.30277777778</v>
      </c>
      <c r="C10137" t="inlineStr">
        <is>
          <t>Bluestone Memorial Hospital</t>
        </is>
      </c>
      <c r="D10137" t="n">
        <v>18</v>
      </c>
    </row>
    <row r="10138">
      <c r="A10138" t="inlineStr">
        <is>
          <t>ED210335</t>
        </is>
      </c>
      <c r="B10138" s="56" t="n">
        <v>45908.36527777778</v>
      </c>
      <c r="C10138" t="inlineStr">
        <is>
          <t>Bluestone Memorial Hospital</t>
        </is>
      </c>
      <c r="D10138" t="n">
        <v>36</v>
      </c>
    </row>
    <row r="10139">
      <c r="A10139" t="inlineStr">
        <is>
          <t>ED210336</t>
        </is>
      </c>
      <c r="B10139" s="56" t="n">
        <v>45908.45138888889</v>
      </c>
      <c r="C10139" t="inlineStr">
        <is>
          <t>Bluestone Memorial Hospital</t>
        </is>
      </c>
      <c r="D10139" t="n">
        <v>12</v>
      </c>
    </row>
    <row r="10140">
      <c r="A10140" t="inlineStr">
        <is>
          <t>ED210337</t>
        </is>
      </c>
      <c r="B10140" s="56" t="n">
        <v>45908.48055555556</v>
      </c>
      <c r="C10140" t="inlineStr">
        <is>
          <t>Bluestone Memorial Hospital</t>
        </is>
      </c>
      <c r="D10140" t="n">
        <v>37</v>
      </c>
    </row>
    <row r="10141">
      <c r="A10141" t="inlineStr">
        <is>
          <t>ED210338</t>
        </is>
      </c>
      <c r="B10141" s="56" t="n">
        <v>45908.52777777778</v>
      </c>
      <c r="C10141" t="inlineStr">
        <is>
          <t>Bluestone Memorial Hospital</t>
        </is>
      </c>
      <c r="D10141" t="n">
        <v>109</v>
      </c>
    </row>
    <row r="10142">
      <c r="A10142" t="inlineStr">
        <is>
          <t>ED210339</t>
        </is>
      </c>
      <c r="B10142" s="56" t="n">
        <v>45908.64513888889</v>
      </c>
      <c r="C10142" t="inlineStr">
        <is>
          <t>Bluestone Memorial Hospital</t>
        </is>
      </c>
      <c r="D10142" t="n">
        <v>32</v>
      </c>
    </row>
    <row r="10143">
      <c r="A10143" t="inlineStr">
        <is>
          <t>ED210340</t>
        </is>
      </c>
      <c r="B10143" s="56" t="n">
        <v>45908.68194444444</v>
      </c>
      <c r="C10143" t="inlineStr">
        <is>
          <t>Bluestone Memorial Hospital</t>
        </is>
      </c>
      <c r="D10143" t="n">
        <v>88</v>
      </c>
    </row>
    <row r="10144">
      <c r="A10144" t="inlineStr">
        <is>
          <t>ED210342</t>
        </is>
      </c>
      <c r="B10144" s="56" t="n">
        <v>45908.84166666667</v>
      </c>
      <c r="C10144" t="inlineStr">
        <is>
          <t>Bluestone Memorial Hospital</t>
        </is>
      </c>
      <c r="D10144" t="n">
        <v>38</v>
      </c>
    </row>
    <row r="10145">
      <c r="A10145" t="inlineStr">
        <is>
          <t>ED210343</t>
        </is>
      </c>
      <c r="B10145" s="56" t="n">
        <v>45908.92916666667</v>
      </c>
      <c r="C10145" t="inlineStr">
        <is>
          <t>Bluestone Memorial Hospital</t>
        </is>
      </c>
      <c r="D10145" t="n">
        <v>101</v>
      </c>
    </row>
    <row r="10146">
      <c r="A10146" t="inlineStr">
        <is>
          <t>ED210344</t>
        </is>
      </c>
      <c r="B10146" s="56" t="n">
        <v>45908.95069444444</v>
      </c>
      <c r="C10146" t="inlineStr">
        <is>
          <t>Bluestone Memorial Hospital</t>
        </is>
      </c>
      <c r="D10146" t="n">
        <v>44</v>
      </c>
    </row>
    <row r="10147">
      <c r="A10147" t="inlineStr">
        <is>
          <t>ED210345</t>
        </is>
      </c>
      <c r="B10147" s="56" t="n">
        <v>45908.97430555556</v>
      </c>
      <c r="C10147" t="inlineStr">
        <is>
          <t>Bluestone Memorial Hospital</t>
        </is>
      </c>
      <c r="D10147" t="n">
        <v>71</v>
      </c>
    </row>
    <row r="10148">
      <c r="A10148" t="inlineStr">
        <is>
          <t>ED210346</t>
        </is>
      </c>
      <c r="B10148" s="56" t="n">
        <v>45909.00694444445</v>
      </c>
      <c r="C10148" t="inlineStr">
        <is>
          <t>Bluestone Memorial Hospital</t>
        </is>
      </c>
      <c r="D10148" t="n">
        <v>71</v>
      </c>
    </row>
    <row r="10149">
      <c r="A10149" t="inlineStr">
        <is>
          <t>ED210347</t>
        </is>
      </c>
      <c r="B10149" s="56" t="n">
        <v>45909.0625</v>
      </c>
      <c r="C10149" t="inlineStr">
        <is>
          <t>Cedar Ridge Medical Center</t>
        </is>
      </c>
      <c r="D10149" t="n">
        <v>10</v>
      </c>
    </row>
    <row r="10150">
      <c r="A10150" t="inlineStr">
        <is>
          <t>ED210348</t>
        </is>
      </c>
      <c r="B10150" s="56" t="n">
        <v>45909.27291666667</v>
      </c>
      <c r="C10150" t="inlineStr">
        <is>
          <t>Bluestone Memorial Hospital</t>
        </is>
      </c>
      <c r="D10150" t="n">
        <v>6</v>
      </c>
    </row>
    <row r="10151">
      <c r="A10151" t="inlineStr">
        <is>
          <t>ED210349</t>
        </is>
      </c>
      <c r="B10151" s="56" t="n">
        <v>45909.33819444444</v>
      </c>
      <c r="C10151" t="inlineStr">
        <is>
          <t>Bluestone Memorial Hospital</t>
        </is>
      </c>
      <c r="D10151" t="n">
        <v>23</v>
      </c>
    </row>
    <row r="10152">
      <c r="A10152" t="inlineStr">
        <is>
          <t>ED210350</t>
        </is>
      </c>
      <c r="B10152" s="56" t="n">
        <v>45909.34861111111</v>
      </c>
      <c r="C10152" t="inlineStr">
        <is>
          <t>Bluestone Memorial Hospital</t>
        </is>
      </c>
      <c r="D10152" t="n">
        <v>16</v>
      </c>
    </row>
    <row r="10153">
      <c r="A10153" t="inlineStr">
        <is>
          <t>ED210351</t>
        </is>
      </c>
      <c r="B10153" s="56" t="n">
        <v>45909.41944444444</v>
      </c>
      <c r="C10153" t="inlineStr">
        <is>
          <t>Bluestone Memorial Hospital</t>
        </is>
      </c>
      <c r="D10153" t="n">
        <v>130</v>
      </c>
    </row>
    <row r="10154">
      <c r="A10154" t="inlineStr">
        <is>
          <t>ED210352</t>
        </is>
      </c>
      <c r="B10154" s="56" t="n">
        <v>45909.46319444444</v>
      </c>
      <c r="C10154" t="inlineStr">
        <is>
          <t>Bluestone Memorial Hospital</t>
        </is>
      </c>
      <c r="D10154" t="n">
        <v>16</v>
      </c>
    </row>
    <row r="10155">
      <c r="A10155" t="inlineStr">
        <is>
          <t>ED210353</t>
        </is>
      </c>
      <c r="B10155" s="56" t="n">
        <v>45909.47569444445</v>
      </c>
      <c r="C10155" t="inlineStr">
        <is>
          <t>Bluestone Memorial Hospital</t>
        </is>
      </c>
      <c r="D10155" t="n">
        <v>76</v>
      </c>
    </row>
    <row r="10156">
      <c r="A10156" t="inlineStr">
        <is>
          <t>ED210354</t>
        </is>
      </c>
      <c r="B10156" s="56" t="n">
        <v>45909.52569444444</v>
      </c>
      <c r="C10156" t="inlineStr">
        <is>
          <t>Bluestone Memorial Hospital</t>
        </is>
      </c>
      <c r="D10156" t="n">
        <v>19</v>
      </c>
    </row>
    <row r="10157">
      <c r="A10157" t="inlineStr">
        <is>
          <t>ED210355</t>
        </is>
      </c>
      <c r="B10157" s="56" t="n">
        <v>45909.54513888889</v>
      </c>
      <c r="C10157" t="inlineStr">
        <is>
          <t>Ashby Falls Community Hospital</t>
        </is>
      </c>
      <c r="D10157" t="n">
        <v>76</v>
      </c>
    </row>
    <row r="10158">
      <c r="A10158" t="inlineStr">
        <is>
          <t>ED210356</t>
        </is>
      </c>
      <c r="B10158" s="56" t="n">
        <v>45909.68402777778</v>
      </c>
      <c r="C10158" t="inlineStr">
        <is>
          <t>Bluestone Memorial Hospital</t>
        </is>
      </c>
      <c r="D10158" t="n">
        <v>13</v>
      </c>
    </row>
    <row r="10159">
      <c r="A10159" t="inlineStr">
        <is>
          <t>ED210357</t>
        </is>
      </c>
      <c r="B10159" s="56" t="n">
        <v>45909.69583333333</v>
      </c>
      <c r="C10159" t="inlineStr">
        <is>
          <t>Cedar Ridge Medical Center</t>
        </is>
      </c>
      <c r="D10159" t="n">
        <v>126</v>
      </c>
    </row>
    <row r="10160">
      <c r="A10160" t="inlineStr">
        <is>
          <t>ED210358</t>
        </is>
      </c>
      <c r="B10160" s="56" t="n">
        <v>45909.75972222222</v>
      </c>
      <c r="C10160" t="inlineStr">
        <is>
          <t>Bluestone Memorial Hospital</t>
        </is>
      </c>
      <c r="D10160" t="n">
        <v>2</v>
      </c>
    </row>
    <row r="10161">
      <c r="A10161" t="inlineStr">
        <is>
          <t>ED210359</t>
        </is>
      </c>
      <c r="B10161" s="56" t="n">
        <v>45909.79097222222</v>
      </c>
      <c r="C10161" t="inlineStr">
        <is>
          <t>Bluestone Memorial Hospital</t>
        </is>
      </c>
      <c r="D10161" t="n">
        <v>48</v>
      </c>
    </row>
    <row r="10162">
      <c r="A10162" t="inlineStr">
        <is>
          <t>ED210360</t>
        </is>
      </c>
      <c r="B10162" s="56" t="n">
        <v>45909.81944444445</v>
      </c>
      <c r="C10162" t="inlineStr">
        <is>
          <t>Bluestone Memorial Hospital</t>
        </is>
      </c>
      <c r="D10162" t="n">
        <v>49</v>
      </c>
    </row>
    <row r="10163">
      <c r="A10163" t="inlineStr">
        <is>
          <t>ED210361</t>
        </is>
      </c>
      <c r="B10163" s="56" t="n">
        <v>45909.84166666667</v>
      </c>
      <c r="C10163" t="inlineStr">
        <is>
          <t>Ashby Falls Community Hospital</t>
        </is>
      </c>
      <c r="D10163" t="n">
        <v>16</v>
      </c>
    </row>
    <row r="10164">
      <c r="A10164" t="inlineStr">
        <is>
          <t>ED210362</t>
        </is>
      </c>
      <c r="B10164" s="56" t="n">
        <v>45909.95555555556</v>
      </c>
      <c r="C10164" t="inlineStr">
        <is>
          <t>Bluestone Memorial Hospital</t>
        </is>
      </c>
      <c r="D10164" t="n">
        <v>14</v>
      </c>
    </row>
    <row r="10165">
      <c r="A10165" t="inlineStr">
        <is>
          <t>ED210363</t>
        </is>
      </c>
      <c r="B10165" s="56" t="n">
        <v>45909.96180555555</v>
      </c>
      <c r="C10165" t="inlineStr">
        <is>
          <t>Bluestone Memorial Hospital</t>
        </is>
      </c>
      <c r="D10165" t="n">
        <v>17</v>
      </c>
    </row>
    <row r="10166">
      <c r="A10166" t="inlineStr">
        <is>
          <t>ED210364</t>
        </is>
      </c>
      <c r="B10166" s="56" t="n">
        <v>45909.98611111111</v>
      </c>
      <c r="C10166" t="inlineStr">
        <is>
          <t>Cedar Ridge Medical Center</t>
        </is>
      </c>
      <c r="D10166" t="n">
        <v>45</v>
      </c>
    </row>
    <row r="10167">
      <c r="A10167" t="inlineStr">
        <is>
          <t>ED210365</t>
        </is>
      </c>
      <c r="B10167" s="56" t="n">
        <v>45910.19652777778</v>
      </c>
      <c r="C10167" t="inlineStr">
        <is>
          <t>Bluestone Memorial Hospital</t>
        </is>
      </c>
      <c r="D10167" t="n">
        <v>72</v>
      </c>
    </row>
    <row r="10168">
      <c r="A10168" t="inlineStr">
        <is>
          <t>ED210366</t>
        </is>
      </c>
      <c r="B10168" s="56" t="n">
        <v>45910.4125</v>
      </c>
      <c r="C10168" t="inlineStr">
        <is>
          <t>Ashby Falls Community Hospital</t>
        </is>
      </c>
      <c r="D10168" t="n">
        <v>45</v>
      </c>
    </row>
    <row r="10169">
      <c r="A10169" t="inlineStr">
        <is>
          <t>ED210367</t>
        </is>
      </c>
      <c r="B10169" s="56" t="n">
        <v>45910.47430555556</v>
      </c>
      <c r="C10169" t="inlineStr">
        <is>
          <t>Ashby Falls Community Hospital</t>
        </is>
      </c>
      <c r="D10169" t="n">
        <v>97</v>
      </c>
    </row>
    <row r="10170">
      <c r="A10170" t="inlineStr">
        <is>
          <t>ED210368</t>
        </is>
      </c>
      <c r="B10170" s="56" t="n">
        <v>45910.48819444444</v>
      </c>
      <c r="C10170" t="inlineStr">
        <is>
          <t>Bluestone Memorial Hospital</t>
        </is>
      </c>
      <c r="D10170" t="n">
        <v>75</v>
      </c>
    </row>
    <row r="10171">
      <c r="A10171" t="inlineStr">
        <is>
          <t>ED210369</t>
        </is>
      </c>
      <c r="B10171" s="56" t="n">
        <v>45910.51041666666</v>
      </c>
      <c r="C10171" t="inlineStr">
        <is>
          <t>Bluestone Memorial Hospital</t>
        </is>
      </c>
      <c r="D10171" t="n">
        <v>29</v>
      </c>
    </row>
    <row r="10172">
      <c r="A10172" t="inlineStr">
        <is>
          <t>ED210370</t>
        </is>
      </c>
      <c r="B10172" s="56" t="n">
        <v>45910.66736111111</v>
      </c>
      <c r="C10172" t="inlineStr">
        <is>
          <t>Bluestone Memorial Hospital</t>
        </is>
      </c>
      <c r="D10172" t="n">
        <v>36</v>
      </c>
    </row>
    <row r="10173">
      <c r="A10173" t="inlineStr">
        <is>
          <t>ED210371</t>
        </is>
      </c>
      <c r="B10173" s="56" t="n">
        <v>45910.69236111111</v>
      </c>
      <c r="C10173" t="inlineStr">
        <is>
          <t>Bluestone Memorial Hospital</t>
        </is>
      </c>
      <c r="D10173" t="n">
        <v>46</v>
      </c>
    </row>
    <row r="10174">
      <c r="A10174" t="inlineStr">
        <is>
          <t>ED210372</t>
        </is>
      </c>
      <c r="B10174" s="56" t="n">
        <v>45910.76875</v>
      </c>
      <c r="C10174" t="inlineStr">
        <is>
          <t>Bluestone Memorial Hospital</t>
        </is>
      </c>
      <c r="D10174" t="n">
        <v>15</v>
      </c>
    </row>
    <row r="10175">
      <c r="A10175" t="inlineStr">
        <is>
          <t>ED210373</t>
        </is>
      </c>
      <c r="B10175" s="56" t="n">
        <v>45910.78125</v>
      </c>
      <c r="C10175" t="inlineStr">
        <is>
          <t>Bluestone Memorial Hospital</t>
        </is>
      </c>
      <c r="D10175" t="n">
        <v>22</v>
      </c>
    </row>
    <row r="10176">
      <c r="A10176" t="inlineStr">
        <is>
          <t>ED210374</t>
        </is>
      </c>
      <c r="B10176" s="56" t="n">
        <v>45910.88055555556</v>
      </c>
      <c r="C10176" t="inlineStr">
        <is>
          <t>Bluestone Memorial Hospital</t>
        </is>
      </c>
      <c r="D10176" t="n">
        <v>36</v>
      </c>
    </row>
    <row r="10177">
      <c r="A10177" t="inlineStr">
        <is>
          <t>ED210375</t>
        </is>
      </c>
      <c r="B10177" s="56" t="n">
        <v>45910.88888888889</v>
      </c>
      <c r="C10177" t="inlineStr">
        <is>
          <t>Ashby Falls Community Hospital</t>
        </is>
      </c>
      <c r="D10177" t="n">
        <v>16</v>
      </c>
    </row>
    <row r="10178">
      <c r="A10178" t="inlineStr">
        <is>
          <t>ED210376</t>
        </is>
      </c>
      <c r="B10178" s="56" t="n">
        <v>45911.06597222222</v>
      </c>
      <c r="C10178" t="inlineStr">
        <is>
          <t>Ashby Falls Community Hospital</t>
        </is>
      </c>
      <c r="D10178" t="n">
        <v>24</v>
      </c>
    </row>
    <row r="10179">
      <c r="A10179" t="inlineStr">
        <is>
          <t>ED210377</t>
        </is>
      </c>
      <c r="B10179" s="56" t="n">
        <v>45911.12916666667</v>
      </c>
      <c r="C10179" t="inlineStr">
        <is>
          <t>Bluestone Memorial Hospital</t>
        </is>
      </c>
      <c r="D10179" t="n">
        <v>16</v>
      </c>
    </row>
    <row r="10180">
      <c r="A10180" t="inlineStr">
        <is>
          <t>ED210378</t>
        </is>
      </c>
      <c r="B10180" s="56" t="n">
        <v>45911.24305555555</v>
      </c>
      <c r="C10180" t="inlineStr">
        <is>
          <t>Bluestone Memorial Hospital</t>
        </is>
      </c>
      <c r="D10180" t="n">
        <v>11</v>
      </c>
    </row>
    <row r="10181">
      <c r="A10181" t="inlineStr">
        <is>
          <t>ED210379</t>
        </is>
      </c>
      <c r="B10181" s="56" t="n">
        <v>45911.33055555556</v>
      </c>
      <c r="C10181" t="inlineStr">
        <is>
          <t>Bluestone Memorial Hospital</t>
        </is>
      </c>
      <c r="D10181" t="n">
        <v>87</v>
      </c>
    </row>
    <row r="10182">
      <c r="A10182" t="inlineStr">
        <is>
          <t>ED210380</t>
        </is>
      </c>
      <c r="B10182" s="56" t="n">
        <v>45911.52916666667</v>
      </c>
      <c r="C10182" t="inlineStr">
        <is>
          <t>Ashby Falls Community Hospital</t>
        </is>
      </c>
      <c r="D10182" t="n">
        <v>73</v>
      </c>
    </row>
    <row r="10183">
      <c r="A10183" t="inlineStr">
        <is>
          <t>ED210381</t>
        </is>
      </c>
      <c r="B10183" s="56" t="n">
        <v>45911.53263888889</v>
      </c>
      <c r="C10183" t="inlineStr">
        <is>
          <t>Bluestone Memorial Hospital</t>
        </is>
      </c>
      <c r="D10183" t="n">
        <v>70</v>
      </c>
    </row>
    <row r="10184">
      <c r="A10184" t="inlineStr">
        <is>
          <t>ED210382</t>
        </is>
      </c>
      <c r="B10184" s="56" t="n">
        <v>45911.55138888889</v>
      </c>
      <c r="C10184" t="inlineStr">
        <is>
          <t>Ashby Falls Community Hospital</t>
        </is>
      </c>
      <c r="D10184" t="n">
        <v>42</v>
      </c>
    </row>
    <row r="10185">
      <c r="A10185" t="inlineStr">
        <is>
          <t>ED210383</t>
        </is>
      </c>
      <c r="B10185" s="56" t="n">
        <v>45911.58680555555</v>
      </c>
      <c r="C10185" t="inlineStr">
        <is>
          <t>Bluestone Memorial Hospital</t>
        </is>
      </c>
      <c r="D10185" t="n">
        <v>35</v>
      </c>
    </row>
    <row r="10186">
      <c r="A10186" t="inlineStr">
        <is>
          <t>ED210384</t>
        </is>
      </c>
      <c r="B10186" s="56" t="n">
        <v>45911.62916666667</v>
      </c>
      <c r="C10186" t="inlineStr">
        <is>
          <t>Ashby Falls Community Hospital</t>
        </is>
      </c>
      <c r="D10186" t="n">
        <v>35</v>
      </c>
    </row>
    <row r="10187">
      <c r="A10187" t="inlineStr">
        <is>
          <t>ED210385</t>
        </is>
      </c>
      <c r="B10187" s="56" t="n">
        <v>45911.64513888889</v>
      </c>
      <c r="C10187" t="inlineStr">
        <is>
          <t>Ashby Falls Community Hospital</t>
        </is>
      </c>
      <c r="D10187" t="n">
        <v>102</v>
      </c>
    </row>
    <row r="10188">
      <c r="A10188" t="inlineStr">
        <is>
          <t>ED210386</t>
        </is>
      </c>
      <c r="B10188" s="56" t="n">
        <v>45911.68958333333</v>
      </c>
      <c r="C10188" t="inlineStr">
        <is>
          <t>Bluestone Memorial Hospital</t>
        </is>
      </c>
      <c r="D10188" t="n">
        <v>78</v>
      </c>
    </row>
    <row r="10189">
      <c r="A10189" t="inlineStr">
        <is>
          <t>ED210387</t>
        </is>
      </c>
      <c r="B10189" s="56" t="n">
        <v>45911.71111111111</v>
      </c>
      <c r="C10189" t="inlineStr">
        <is>
          <t>Bluestone Memorial Hospital</t>
        </is>
      </c>
      <c r="D10189" t="n">
        <v>28</v>
      </c>
    </row>
    <row r="10190">
      <c r="A10190" t="inlineStr">
        <is>
          <t>ED210388</t>
        </is>
      </c>
      <c r="B10190" s="56" t="n">
        <v>45911.77361111111</v>
      </c>
      <c r="C10190" t="inlineStr">
        <is>
          <t>Bluestone Memorial Hospital</t>
        </is>
      </c>
      <c r="D10190" t="n">
        <v>21</v>
      </c>
    </row>
    <row r="10191">
      <c r="A10191" t="inlineStr">
        <is>
          <t>ED210389</t>
        </is>
      </c>
      <c r="B10191" s="56" t="n">
        <v>45911.79305555556</v>
      </c>
      <c r="C10191" t="inlineStr">
        <is>
          <t>Bluestone Memorial Hospital</t>
        </is>
      </c>
      <c r="D10191" t="n">
        <v>14</v>
      </c>
    </row>
    <row r="10192">
      <c r="A10192" t="inlineStr">
        <is>
          <t>ED210390</t>
        </is>
      </c>
      <c r="B10192" s="56" t="n">
        <v>45911.80763888889</v>
      </c>
      <c r="C10192" t="inlineStr">
        <is>
          <t>Bluestone Memorial Hospital</t>
        </is>
      </c>
      <c r="D10192" t="n">
        <v>23</v>
      </c>
    </row>
    <row r="10193">
      <c r="A10193" t="inlineStr">
        <is>
          <t>ED210391</t>
        </is>
      </c>
      <c r="B10193" s="56" t="n">
        <v>45911.83402777778</v>
      </c>
      <c r="C10193" t="inlineStr">
        <is>
          <t>Ashby Falls Community Hospital</t>
        </is>
      </c>
      <c r="D10193" t="n">
        <v>3</v>
      </c>
    </row>
    <row r="10194">
      <c r="A10194" t="inlineStr">
        <is>
          <t>ED210392</t>
        </is>
      </c>
      <c r="B10194" s="56" t="n">
        <v>45911.86736111111</v>
      </c>
      <c r="C10194" t="inlineStr">
        <is>
          <t>Bluestone Memorial Hospital</t>
        </is>
      </c>
      <c r="D10194" t="n">
        <v>12</v>
      </c>
    </row>
    <row r="10195">
      <c r="A10195" t="inlineStr">
        <is>
          <t>ED210393</t>
        </is>
      </c>
      <c r="B10195" s="56" t="n">
        <v>45911.95069444444</v>
      </c>
      <c r="C10195" t="inlineStr">
        <is>
          <t>Ashby Falls Community Hospital</t>
        </is>
      </c>
      <c r="D10195" t="n">
        <v>83</v>
      </c>
    </row>
    <row r="10196">
      <c r="A10196" t="inlineStr">
        <is>
          <t>ED210394</t>
        </is>
      </c>
      <c r="B10196" s="56" t="n">
        <v>45912.15972222222</v>
      </c>
      <c r="C10196" t="inlineStr">
        <is>
          <t>Bluestone Memorial Hospital</t>
        </is>
      </c>
      <c r="D10196" t="n">
        <v>28</v>
      </c>
    </row>
    <row r="10197">
      <c r="A10197" t="inlineStr">
        <is>
          <t>ED210395</t>
        </is>
      </c>
      <c r="B10197" s="56" t="n">
        <v>45912.48125</v>
      </c>
      <c r="C10197" t="inlineStr">
        <is>
          <t>Cedar Ridge Medical Center</t>
        </is>
      </c>
      <c r="D10197" t="n">
        <v>49</v>
      </c>
    </row>
    <row r="10198">
      <c r="A10198" t="inlineStr">
        <is>
          <t>ED210396</t>
        </is>
      </c>
      <c r="B10198" s="56" t="n">
        <v>45912.48402777778</v>
      </c>
      <c r="C10198" t="inlineStr">
        <is>
          <t>Bluestone Memorial Hospital</t>
        </is>
      </c>
      <c r="D10198" t="n">
        <v>64</v>
      </c>
    </row>
    <row r="10199">
      <c r="A10199" t="inlineStr">
        <is>
          <t>ED210397</t>
        </is>
      </c>
      <c r="B10199" s="56" t="n">
        <v>45912.49097222222</v>
      </c>
      <c r="C10199" t="inlineStr">
        <is>
          <t>Bluestone Memorial Hospital</t>
        </is>
      </c>
      <c r="D10199" t="n">
        <v>65</v>
      </c>
    </row>
    <row r="10200">
      <c r="A10200" t="inlineStr">
        <is>
          <t>ED210398</t>
        </is>
      </c>
      <c r="B10200" s="56" t="n">
        <v>45912.57013888889</v>
      </c>
      <c r="C10200" t="inlineStr">
        <is>
          <t>Ashby Falls Community Hospital</t>
        </is>
      </c>
      <c r="D10200" t="n">
        <v>13</v>
      </c>
    </row>
    <row r="10201">
      <c r="A10201" t="inlineStr">
        <is>
          <t>ED210399</t>
        </is>
      </c>
      <c r="B10201" s="56" t="n">
        <v>45912.77013888889</v>
      </c>
      <c r="C10201" t="inlineStr">
        <is>
          <t>Bluestone Memorial Hospital</t>
        </is>
      </c>
      <c r="D10201" t="n">
        <v>43</v>
      </c>
    </row>
    <row r="10202">
      <c r="A10202" t="inlineStr">
        <is>
          <t>ED210400</t>
        </is>
      </c>
      <c r="B10202" s="56" t="n">
        <v>45912.77430555555</v>
      </c>
      <c r="C10202" t="inlineStr">
        <is>
          <t>Bluestone Memorial Hospital</t>
        </is>
      </c>
      <c r="D10202" t="n">
        <v>5</v>
      </c>
    </row>
    <row r="10203">
      <c r="A10203" t="inlineStr">
        <is>
          <t>ED210401</t>
        </is>
      </c>
      <c r="B10203" s="56" t="n">
        <v>45912.77847222222</v>
      </c>
      <c r="C10203" t="inlineStr">
        <is>
          <t>Bluestone Memorial Hospital</t>
        </is>
      </c>
      <c r="D10203" t="n">
        <v>66</v>
      </c>
    </row>
    <row r="10204">
      <c r="A10204" t="inlineStr">
        <is>
          <t>ED210402</t>
        </is>
      </c>
      <c r="B10204" s="56" t="n">
        <v>45912.80347222222</v>
      </c>
      <c r="C10204" t="inlineStr">
        <is>
          <t>Bluestone Memorial Hospital</t>
        </is>
      </c>
      <c r="D10204" t="n">
        <v>12</v>
      </c>
    </row>
    <row r="10205">
      <c r="A10205" t="inlineStr">
        <is>
          <t>ED210403</t>
        </is>
      </c>
      <c r="B10205" s="56" t="n">
        <v>45912.81180555555</v>
      </c>
      <c r="C10205" t="inlineStr">
        <is>
          <t>Ashby Falls Community Hospital</t>
        </is>
      </c>
      <c r="D10205" t="n">
        <v>22</v>
      </c>
    </row>
    <row r="10206">
      <c r="A10206" t="inlineStr">
        <is>
          <t>ED210404</t>
        </is>
      </c>
      <c r="B10206" s="56" t="n">
        <v>45912.84513888889</v>
      </c>
      <c r="C10206" t="inlineStr">
        <is>
          <t>Bluestone Memorial Hospital</t>
        </is>
      </c>
      <c r="D10206" t="n">
        <v>48</v>
      </c>
    </row>
    <row r="10207">
      <c r="A10207" t="inlineStr">
        <is>
          <t>ED210405</t>
        </is>
      </c>
      <c r="B10207" s="56" t="n">
        <v>45912.86319444444</v>
      </c>
      <c r="C10207" t="inlineStr">
        <is>
          <t>Cedar Ridge Medical Center</t>
        </is>
      </c>
      <c r="D10207" t="n">
        <v>25</v>
      </c>
    </row>
    <row r="10208">
      <c r="A10208" t="inlineStr">
        <is>
          <t>ED210406</t>
        </is>
      </c>
      <c r="B10208" s="56" t="n">
        <v>45912.96666666667</v>
      </c>
      <c r="C10208" t="inlineStr">
        <is>
          <t>Bluestone Memorial Hospital</t>
        </is>
      </c>
      <c r="D10208" t="n">
        <v>55</v>
      </c>
    </row>
    <row r="10209">
      <c r="A10209" t="inlineStr">
        <is>
          <t>ED210407</t>
        </is>
      </c>
      <c r="B10209" s="56" t="n">
        <v>45912.98402777778</v>
      </c>
      <c r="C10209" t="inlineStr">
        <is>
          <t>Bluestone Memorial Hospital</t>
        </is>
      </c>
      <c r="D10209" t="n">
        <v>29</v>
      </c>
    </row>
    <row r="10210">
      <c r="A10210" t="inlineStr">
        <is>
          <t>ED210408</t>
        </is>
      </c>
      <c r="B10210" s="56" t="n">
        <v>45912.98472222222</v>
      </c>
      <c r="C10210" t="inlineStr">
        <is>
          <t>Bluestone Memorial Hospital</t>
        </is>
      </c>
      <c r="D10210" t="n">
        <v>30</v>
      </c>
    </row>
    <row r="10211">
      <c r="A10211" t="inlineStr">
        <is>
          <t>ED210409</t>
        </is>
      </c>
      <c r="B10211" s="56" t="n">
        <v>45913.15763888889</v>
      </c>
      <c r="C10211" t="inlineStr">
        <is>
          <t>Bluestone Memorial Hospital</t>
        </is>
      </c>
      <c r="D10211" t="n">
        <v>24</v>
      </c>
    </row>
    <row r="10212">
      <c r="A10212" t="inlineStr">
        <is>
          <t>ED210410</t>
        </is>
      </c>
      <c r="B10212" s="56" t="n">
        <v>45913.47777777778</v>
      </c>
      <c r="C10212" t="inlineStr">
        <is>
          <t>Bluestone Memorial Hospital</t>
        </is>
      </c>
      <c r="D10212" t="n">
        <v>38</v>
      </c>
    </row>
    <row r="10213">
      <c r="A10213" t="inlineStr">
        <is>
          <t>ED210411</t>
        </is>
      </c>
      <c r="B10213" s="56" t="n">
        <v>45913.49652777778</v>
      </c>
      <c r="C10213" t="inlineStr">
        <is>
          <t>Ashby Falls Community Hospital</t>
        </is>
      </c>
      <c r="D10213" t="n">
        <v>13</v>
      </c>
    </row>
    <row r="10214">
      <c r="A10214" t="inlineStr">
        <is>
          <t>ED210412</t>
        </is>
      </c>
      <c r="B10214" s="56" t="n">
        <v>45913.51597222222</v>
      </c>
      <c r="C10214" t="inlineStr">
        <is>
          <t>Ashby Falls Community Hospital</t>
        </is>
      </c>
      <c r="D10214" t="n">
        <v>242</v>
      </c>
    </row>
    <row r="10215">
      <c r="A10215" t="inlineStr">
        <is>
          <t>ED210413</t>
        </is>
      </c>
      <c r="B10215" s="56" t="n">
        <v>45913.53263888889</v>
      </c>
      <c r="C10215" t="inlineStr">
        <is>
          <t>Bluestone Memorial Hospital</t>
        </is>
      </c>
      <c r="D10215" t="n">
        <v>19</v>
      </c>
    </row>
    <row r="10216">
      <c r="A10216" t="inlineStr">
        <is>
          <t>ED210414</t>
        </is>
      </c>
      <c r="B10216" s="56" t="n">
        <v>45913.63055555556</v>
      </c>
      <c r="C10216" t="inlineStr">
        <is>
          <t>Bluestone Memorial Hospital</t>
        </is>
      </c>
      <c r="D10216" t="n">
        <v>42</v>
      </c>
    </row>
    <row r="10217">
      <c r="A10217" t="inlineStr">
        <is>
          <t>ED210415</t>
        </is>
      </c>
      <c r="B10217" s="56" t="n">
        <v>45913.76319444444</v>
      </c>
      <c r="C10217" t="inlineStr">
        <is>
          <t>Bluestone Memorial Hospital</t>
        </is>
      </c>
      <c r="D10217" t="n">
        <v>170</v>
      </c>
    </row>
    <row r="10218">
      <c r="A10218" t="inlineStr">
        <is>
          <t>ED210416</t>
        </is>
      </c>
      <c r="B10218" s="56" t="n">
        <v>45914.05347222222</v>
      </c>
      <c r="C10218" t="inlineStr">
        <is>
          <t>Ashby Falls Community Hospital</t>
        </is>
      </c>
      <c r="D10218" t="n">
        <v>44</v>
      </c>
    </row>
    <row r="10219">
      <c r="A10219" t="inlineStr">
        <is>
          <t>ED210417</t>
        </is>
      </c>
      <c r="B10219" s="56" t="n">
        <v>45914.21180555555</v>
      </c>
      <c r="C10219" t="inlineStr">
        <is>
          <t>Bluestone Memorial Hospital</t>
        </is>
      </c>
      <c r="D10219" t="n">
        <v>16</v>
      </c>
    </row>
    <row r="10220">
      <c r="A10220" t="inlineStr">
        <is>
          <t>ED210418</t>
        </is>
      </c>
      <c r="B10220" s="56" t="n">
        <v>45914.3375</v>
      </c>
      <c r="C10220" t="inlineStr">
        <is>
          <t>Bluestone Memorial Hospital</t>
        </is>
      </c>
      <c r="D10220" t="n">
        <v>38</v>
      </c>
    </row>
    <row r="10221">
      <c r="A10221" t="inlineStr">
        <is>
          <t>ED210419</t>
        </is>
      </c>
      <c r="B10221" s="56" t="n">
        <v>45914.39930555555</v>
      </c>
      <c r="C10221" t="inlineStr">
        <is>
          <t>Bluestone Memorial Hospital</t>
        </is>
      </c>
      <c r="D10221" t="n">
        <v>29</v>
      </c>
    </row>
    <row r="10222">
      <c r="A10222" t="inlineStr">
        <is>
          <t>ED210420</t>
        </is>
      </c>
      <c r="B10222" s="56" t="n">
        <v>45914.44166666667</v>
      </c>
      <c r="C10222" t="inlineStr">
        <is>
          <t>Bluestone Memorial Hospital</t>
        </is>
      </c>
      <c r="D10222" t="n">
        <v>36</v>
      </c>
    </row>
    <row r="10223">
      <c r="A10223" t="inlineStr">
        <is>
          <t>ED210421</t>
        </is>
      </c>
      <c r="B10223" s="56" t="n">
        <v>45914.54722222222</v>
      </c>
      <c r="C10223" t="inlineStr">
        <is>
          <t>Bluestone Memorial Hospital</t>
        </is>
      </c>
      <c r="D10223" t="n">
        <v>80</v>
      </c>
    </row>
    <row r="10224">
      <c r="A10224" t="inlineStr">
        <is>
          <t>ED210422</t>
        </is>
      </c>
      <c r="B10224" s="56" t="n">
        <v>45914.55972222222</v>
      </c>
      <c r="C10224" t="inlineStr">
        <is>
          <t>Bluestone Memorial Hospital</t>
        </is>
      </c>
      <c r="D10224" t="n">
        <v>25</v>
      </c>
    </row>
    <row r="10225">
      <c r="A10225" t="inlineStr">
        <is>
          <t>ED210423</t>
        </is>
      </c>
      <c r="B10225" s="56" t="n">
        <v>45914.60625</v>
      </c>
      <c r="C10225" t="inlineStr">
        <is>
          <t>Cedar Ridge Medical Center</t>
        </is>
      </c>
      <c r="D10225" t="n">
        <v>152</v>
      </c>
    </row>
    <row r="10226">
      <c r="A10226" t="inlineStr">
        <is>
          <t>ED210424</t>
        </is>
      </c>
      <c r="B10226" s="56" t="n">
        <v>45914.62152777778</v>
      </c>
      <c r="C10226" t="inlineStr">
        <is>
          <t>Ashby Falls Community Hospital</t>
        </is>
      </c>
      <c r="D10226" t="n">
        <v>16</v>
      </c>
    </row>
    <row r="10227">
      <c r="A10227" t="inlineStr">
        <is>
          <t>ED210425</t>
        </is>
      </c>
      <c r="B10227" s="56" t="n">
        <v>45914.62986111111</v>
      </c>
      <c r="C10227" t="inlineStr">
        <is>
          <t>Bluestone Memorial Hospital</t>
        </is>
      </c>
      <c r="D10227" t="n">
        <v>136</v>
      </c>
    </row>
    <row r="10228">
      <c r="A10228" t="inlineStr">
        <is>
          <t>ED210426</t>
        </is>
      </c>
      <c r="B10228" s="56" t="n">
        <v>45914.80208333334</v>
      </c>
      <c r="C10228" t="inlineStr">
        <is>
          <t>Bluestone Memorial Hospital</t>
        </is>
      </c>
      <c r="D10228" t="n">
        <v>19</v>
      </c>
    </row>
    <row r="10229">
      <c r="A10229" t="inlineStr">
        <is>
          <t>ED210427</t>
        </is>
      </c>
      <c r="B10229" s="56" t="n">
        <v>45914.81666666667</v>
      </c>
      <c r="C10229" t="inlineStr">
        <is>
          <t>Cedar Ridge Medical Center</t>
        </is>
      </c>
      <c r="D10229" t="n">
        <v>50</v>
      </c>
    </row>
    <row r="10230">
      <c r="A10230" t="inlineStr">
        <is>
          <t>ED210428</t>
        </is>
      </c>
      <c r="B10230" s="56" t="n">
        <v>45914.83402777778</v>
      </c>
      <c r="C10230" t="inlineStr">
        <is>
          <t>Bluestone Memorial Hospital</t>
        </is>
      </c>
      <c r="D10230" t="n">
        <v>47</v>
      </c>
    </row>
    <row r="10231">
      <c r="A10231" t="inlineStr">
        <is>
          <t>ED210429</t>
        </is>
      </c>
      <c r="B10231" s="56" t="n">
        <v>45914.84236111111</v>
      </c>
      <c r="C10231" t="inlineStr">
        <is>
          <t>Bluestone Memorial Hospital</t>
        </is>
      </c>
      <c r="D10231" t="n">
        <v>105</v>
      </c>
    </row>
    <row r="10232">
      <c r="A10232" t="inlineStr">
        <is>
          <t>ED210430</t>
        </is>
      </c>
      <c r="B10232" s="56" t="n">
        <v>45914.94375</v>
      </c>
      <c r="C10232" t="inlineStr">
        <is>
          <t>Bluestone Memorial Hospital</t>
        </is>
      </c>
      <c r="D10232" t="n">
        <v>27</v>
      </c>
    </row>
    <row r="10233">
      <c r="A10233" t="inlineStr">
        <is>
          <t>ED210431</t>
        </is>
      </c>
      <c r="B10233" s="56" t="n">
        <v>45914.98888888889</v>
      </c>
      <c r="C10233" t="inlineStr">
        <is>
          <t>Ashby Falls Community Hospital</t>
        </is>
      </c>
      <c r="D10233" t="n">
        <v>15</v>
      </c>
    </row>
    <row r="10234">
      <c r="A10234" t="inlineStr">
        <is>
          <t>ED210432</t>
        </is>
      </c>
      <c r="B10234" s="56" t="n">
        <v>45915.10625</v>
      </c>
      <c r="C10234" t="inlineStr">
        <is>
          <t>Bluestone Memorial Hospital</t>
        </is>
      </c>
      <c r="D10234" t="n">
        <v>10</v>
      </c>
    </row>
    <row r="10235">
      <c r="A10235" t="inlineStr">
        <is>
          <t>ED210433</t>
        </is>
      </c>
      <c r="B10235" s="56" t="n">
        <v>45915.16180555556</v>
      </c>
      <c r="C10235" t="inlineStr">
        <is>
          <t>Bluestone Memorial Hospital</t>
        </is>
      </c>
      <c r="D10235" t="n">
        <v>60</v>
      </c>
    </row>
    <row r="10236">
      <c r="A10236" t="inlineStr">
        <is>
          <t>ED210434</t>
        </is>
      </c>
      <c r="B10236" s="56" t="n">
        <v>45915.30208333334</v>
      </c>
      <c r="C10236" t="inlineStr">
        <is>
          <t>Bluestone Memorial Hospital</t>
        </is>
      </c>
      <c r="D10236" t="n">
        <v>85</v>
      </c>
    </row>
    <row r="10237">
      <c r="A10237" t="inlineStr">
        <is>
          <t>ED210435</t>
        </is>
      </c>
      <c r="B10237" s="56" t="n">
        <v>45915.34791666667</v>
      </c>
      <c r="C10237" t="inlineStr">
        <is>
          <t>Bluestone Memorial Hospital</t>
        </is>
      </c>
      <c r="D10237" t="n">
        <v>45</v>
      </c>
    </row>
    <row r="10238">
      <c r="A10238" t="inlineStr">
        <is>
          <t>ED210436</t>
        </is>
      </c>
      <c r="B10238" s="56" t="n">
        <v>45915.37291666667</v>
      </c>
      <c r="C10238" t="inlineStr">
        <is>
          <t>Ashby Falls Community Hospital</t>
        </is>
      </c>
      <c r="D10238" t="n">
        <v>53</v>
      </c>
    </row>
    <row r="10239">
      <c r="A10239" t="inlineStr">
        <is>
          <t>ED210437</t>
        </is>
      </c>
      <c r="B10239" s="56" t="n">
        <v>45915.47986111111</v>
      </c>
      <c r="C10239" t="inlineStr">
        <is>
          <t>Cedar Ridge Medical Center</t>
        </is>
      </c>
      <c r="D10239" t="n">
        <v>106</v>
      </c>
    </row>
    <row r="10240">
      <c r="A10240" t="inlineStr">
        <is>
          <t>ED210438</t>
        </is>
      </c>
      <c r="B10240" s="56" t="n">
        <v>45915.50138888889</v>
      </c>
      <c r="C10240" t="inlineStr">
        <is>
          <t>Bluestone Memorial Hospital</t>
        </is>
      </c>
      <c r="D10240" t="n">
        <v>35</v>
      </c>
    </row>
    <row r="10241">
      <c r="A10241" t="inlineStr">
        <is>
          <t>ED210439</t>
        </is>
      </c>
      <c r="B10241" s="56" t="n">
        <v>45915.53541666667</v>
      </c>
      <c r="C10241" t="inlineStr">
        <is>
          <t>Bluestone Memorial Hospital</t>
        </is>
      </c>
      <c r="D10241" t="n">
        <v>19</v>
      </c>
    </row>
    <row r="10242">
      <c r="A10242" t="inlineStr">
        <is>
          <t>ED210440</t>
        </is>
      </c>
      <c r="B10242" s="56" t="n">
        <v>45915.54444444444</v>
      </c>
      <c r="C10242" t="inlineStr">
        <is>
          <t>Bluestone Memorial Hospital</t>
        </is>
      </c>
      <c r="D10242" t="n">
        <v>35</v>
      </c>
    </row>
    <row r="10243">
      <c r="A10243" t="inlineStr">
        <is>
          <t>ED210441</t>
        </is>
      </c>
      <c r="B10243" s="56" t="n">
        <v>45915.66805555556</v>
      </c>
      <c r="C10243" t="inlineStr">
        <is>
          <t>Bluestone Memorial Hospital</t>
        </is>
      </c>
      <c r="D10243" t="n">
        <v>14</v>
      </c>
    </row>
    <row r="10244">
      <c r="A10244" t="inlineStr">
        <is>
          <t>ED210442</t>
        </is>
      </c>
      <c r="B10244" s="56" t="n">
        <v>45915.71041666667</v>
      </c>
      <c r="C10244" t="inlineStr">
        <is>
          <t>Ashby Falls Community Hospital</t>
        </is>
      </c>
      <c r="D10244" t="n">
        <v>41</v>
      </c>
    </row>
    <row r="10245">
      <c r="A10245" t="inlineStr">
        <is>
          <t>ED210443</t>
        </is>
      </c>
      <c r="B10245" s="56" t="n">
        <v>45915.72152777778</v>
      </c>
      <c r="C10245" t="inlineStr">
        <is>
          <t>Cedar Ridge Medical Center</t>
        </is>
      </c>
      <c r="D10245" t="n">
        <v>113</v>
      </c>
    </row>
    <row r="10246">
      <c r="A10246" t="inlineStr">
        <is>
          <t>ED210444</t>
        </is>
      </c>
      <c r="B10246" s="56" t="n">
        <v>45915.77638888889</v>
      </c>
      <c r="C10246" t="inlineStr">
        <is>
          <t>Bluestone Memorial Hospital</t>
        </is>
      </c>
      <c r="D10246" t="n">
        <v>25</v>
      </c>
    </row>
    <row r="10247">
      <c r="A10247" t="inlineStr">
        <is>
          <t>ED210445</t>
        </is>
      </c>
      <c r="B10247" s="56" t="n">
        <v>45916.32083333333</v>
      </c>
      <c r="C10247" t="inlineStr">
        <is>
          <t>Ashby Falls Community Hospital</t>
        </is>
      </c>
      <c r="D10247" t="n">
        <v>22</v>
      </c>
    </row>
    <row r="10248">
      <c r="A10248" t="inlineStr">
        <is>
          <t>ED210446</t>
        </is>
      </c>
      <c r="B10248" s="56" t="n">
        <v>45916.44930555556</v>
      </c>
      <c r="C10248" t="inlineStr">
        <is>
          <t>Bluestone Memorial Hospital</t>
        </is>
      </c>
      <c r="D10248" t="n">
        <v>14</v>
      </c>
    </row>
    <row r="10249">
      <c r="A10249" t="inlineStr">
        <is>
          <t>ED210447</t>
        </is>
      </c>
      <c r="B10249" s="56" t="n">
        <v>45916.49861111111</v>
      </c>
      <c r="C10249" t="inlineStr">
        <is>
          <t>Cedar Ridge Medical Center</t>
        </is>
      </c>
      <c r="D10249" t="n">
        <v>5</v>
      </c>
    </row>
    <row r="10250">
      <c r="A10250" t="inlineStr">
        <is>
          <t>ED210448</t>
        </is>
      </c>
      <c r="B10250" s="56" t="n">
        <v>45916.53680555556</v>
      </c>
      <c r="C10250" t="inlineStr">
        <is>
          <t>Bluestone Memorial Hospital</t>
        </is>
      </c>
      <c r="D10250" t="n">
        <v>67</v>
      </c>
    </row>
    <row r="10251">
      <c r="A10251" t="inlineStr">
        <is>
          <t>ED210449</t>
        </is>
      </c>
      <c r="B10251" s="56" t="n">
        <v>45916.64166666667</v>
      </c>
      <c r="C10251" t="inlineStr">
        <is>
          <t>Bluestone Memorial Hospital</t>
        </is>
      </c>
      <c r="D10251" t="n">
        <v>25</v>
      </c>
    </row>
    <row r="10252">
      <c r="A10252" t="inlineStr">
        <is>
          <t>ED210450</t>
        </is>
      </c>
      <c r="B10252" s="56" t="n">
        <v>45916.67013888889</v>
      </c>
      <c r="C10252" t="inlineStr">
        <is>
          <t>Bluestone Memorial Hospital</t>
        </is>
      </c>
      <c r="D10252" t="n">
        <v>8</v>
      </c>
    </row>
    <row r="10253">
      <c r="A10253" t="inlineStr">
        <is>
          <t>ED210451</t>
        </is>
      </c>
      <c r="B10253" s="56" t="n">
        <v>45916.80972222222</v>
      </c>
      <c r="C10253" t="inlineStr">
        <is>
          <t>Bluestone Memorial Hospital</t>
        </is>
      </c>
      <c r="D10253" t="n">
        <v>2</v>
      </c>
    </row>
    <row r="10254">
      <c r="A10254" t="inlineStr">
        <is>
          <t>ED210452</t>
        </is>
      </c>
      <c r="B10254" s="56" t="n">
        <v>45916.81736111111</v>
      </c>
      <c r="C10254" t="inlineStr">
        <is>
          <t>Bluestone Memorial Hospital</t>
        </is>
      </c>
      <c r="D10254" t="n">
        <v>61</v>
      </c>
    </row>
    <row r="10255">
      <c r="A10255" t="inlineStr">
        <is>
          <t>ED210453</t>
        </is>
      </c>
      <c r="B10255" s="56" t="n">
        <v>45916.82361111111</v>
      </c>
      <c r="C10255" t="inlineStr">
        <is>
          <t>Bluestone Memorial Hospital</t>
        </is>
      </c>
      <c r="D10255" t="n">
        <v>4</v>
      </c>
    </row>
    <row r="10256">
      <c r="A10256" t="inlineStr">
        <is>
          <t>ED210454</t>
        </is>
      </c>
      <c r="B10256" s="56" t="n">
        <v>45916.84861111111</v>
      </c>
      <c r="C10256" t="inlineStr">
        <is>
          <t>Bluestone Memorial Hospital</t>
        </is>
      </c>
      <c r="D10256" t="n">
        <v>26</v>
      </c>
    </row>
    <row r="10257">
      <c r="A10257" t="inlineStr">
        <is>
          <t>ED210455</t>
        </is>
      </c>
      <c r="B10257" s="56" t="n">
        <v>45916.96319444444</v>
      </c>
      <c r="C10257" t="inlineStr">
        <is>
          <t>Bluestone Memorial Hospital</t>
        </is>
      </c>
      <c r="D10257" t="n">
        <v>24</v>
      </c>
    </row>
    <row r="10258">
      <c r="A10258" t="inlineStr">
        <is>
          <t>ED210456</t>
        </is>
      </c>
      <c r="B10258" s="56" t="n">
        <v>45917.03194444445</v>
      </c>
      <c r="C10258" t="inlineStr">
        <is>
          <t>Bluestone Memorial Hospital</t>
        </is>
      </c>
      <c r="D10258" t="n">
        <v>11</v>
      </c>
    </row>
    <row r="10259">
      <c r="A10259" t="inlineStr">
        <is>
          <t>ED210457</t>
        </is>
      </c>
      <c r="B10259" s="56" t="n">
        <v>45917.16875</v>
      </c>
      <c r="C10259" t="inlineStr">
        <is>
          <t>Cedar Ridge Medical Center</t>
        </is>
      </c>
      <c r="D10259" t="n">
        <v>10</v>
      </c>
    </row>
    <row r="10260">
      <c r="A10260" t="inlineStr">
        <is>
          <t>ED210458</t>
        </is>
      </c>
      <c r="B10260" s="56" t="n">
        <v>45917.31736111111</v>
      </c>
      <c r="C10260" t="inlineStr">
        <is>
          <t>Bluestone Memorial Hospital</t>
        </is>
      </c>
      <c r="D10260" t="n">
        <v>38</v>
      </c>
    </row>
    <row r="10261">
      <c r="A10261" t="inlineStr">
        <is>
          <t>ED210459</t>
        </is>
      </c>
      <c r="B10261" s="56" t="n">
        <v>45917.38194444445</v>
      </c>
      <c r="C10261" t="inlineStr">
        <is>
          <t>Bluestone Memorial Hospital</t>
        </is>
      </c>
      <c r="D10261" t="n">
        <v>81</v>
      </c>
    </row>
    <row r="10262">
      <c r="A10262" t="inlineStr">
        <is>
          <t>ED210460</t>
        </is>
      </c>
      <c r="B10262" s="56" t="n">
        <v>45917.42638888889</v>
      </c>
      <c r="C10262" t="inlineStr">
        <is>
          <t>Bluestone Memorial Hospital</t>
        </is>
      </c>
      <c r="D10262" t="n">
        <v>111</v>
      </c>
    </row>
    <row r="10263">
      <c r="A10263" t="inlineStr">
        <is>
          <t>ED210461</t>
        </is>
      </c>
      <c r="B10263" s="56" t="n">
        <v>45917.42916666667</v>
      </c>
      <c r="C10263" t="inlineStr">
        <is>
          <t>Bluestone Memorial Hospital</t>
        </is>
      </c>
      <c r="D10263" t="n">
        <v>76</v>
      </c>
    </row>
    <row r="10264">
      <c r="A10264" t="inlineStr">
        <is>
          <t>ED210462</t>
        </is>
      </c>
      <c r="B10264" s="56" t="n">
        <v>45917.45625</v>
      </c>
      <c r="C10264" t="inlineStr">
        <is>
          <t>Bluestone Memorial Hospital</t>
        </is>
      </c>
      <c r="D10264" t="n">
        <v>66</v>
      </c>
    </row>
    <row r="10265">
      <c r="A10265" t="inlineStr">
        <is>
          <t>ED210463</t>
        </is>
      </c>
      <c r="B10265" s="56" t="n">
        <v>45917.52430555555</v>
      </c>
      <c r="C10265" t="inlineStr">
        <is>
          <t>Cedar Ridge Medical Center</t>
        </is>
      </c>
      <c r="D10265" t="n">
        <v>52</v>
      </c>
    </row>
    <row r="10266">
      <c r="A10266" t="inlineStr">
        <is>
          <t>ED210464</t>
        </is>
      </c>
      <c r="B10266" s="56" t="n">
        <v>45917.52777777778</v>
      </c>
      <c r="C10266" t="inlineStr">
        <is>
          <t>Bluestone Memorial Hospital</t>
        </is>
      </c>
      <c r="D10266" t="n">
        <v>16</v>
      </c>
    </row>
    <row r="10267">
      <c r="A10267" t="inlineStr">
        <is>
          <t>ED210465</t>
        </is>
      </c>
      <c r="B10267" s="56" t="n">
        <v>45917.53263888889</v>
      </c>
      <c r="C10267" t="inlineStr">
        <is>
          <t>Bluestone Memorial Hospital</t>
        </is>
      </c>
      <c r="D10267" t="n">
        <v>100</v>
      </c>
    </row>
    <row r="10268">
      <c r="A10268" t="inlineStr">
        <is>
          <t>ED210466</t>
        </is>
      </c>
      <c r="B10268" s="56" t="n">
        <v>45917.71041666667</v>
      </c>
      <c r="C10268" t="inlineStr">
        <is>
          <t>Bluestone Memorial Hospital</t>
        </is>
      </c>
      <c r="D10268" t="n">
        <v>192</v>
      </c>
    </row>
    <row r="10269">
      <c r="A10269" t="inlineStr">
        <is>
          <t>ED210467</t>
        </is>
      </c>
      <c r="B10269" s="56" t="n">
        <v>45917.74166666667</v>
      </c>
      <c r="C10269" t="inlineStr">
        <is>
          <t>Bluestone Memorial Hospital</t>
        </is>
      </c>
      <c r="D10269" t="n">
        <v>29</v>
      </c>
    </row>
    <row r="10270">
      <c r="A10270" t="inlineStr">
        <is>
          <t>ED210468</t>
        </is>
      </c>
      <c r="B10270" s="56" t="n">
        <v>45917.75625</v>
      </c>
      <c r="C10270" t="inlineStr">
        <is>
          <t>Bluestone Memorial Hospital</t>
        </is>
      </c>
      <c r="D10270" t="n">
        <v>25</v>
      </c>
    </row>
    <row r="10271">
      <c r="A10271" t="inlineStr">
        <is>
          <t>ED210469</t>
        </is>
      </c>
      <c r="B10271" s="56" t="n">
        <v>45917.80347222222</v>
      </c>
      <c r="C10271" t="inlineStr">
        <is>
          <t>Bluestone Memorial Hospital</t>
        </is>
      </c>
      <c r="D10271" t="n">
        <v>137</v>
      </c>
    </row>
    <row r="10272">
      <c r="A10272" t="inlineStr">
        <is>
          <t>ED210470</t>
        </is>
      </c>
      <c r="B10272" s="56" t="n">
        <v>45917.83402777778</v>
      </c>
      <c r="C10272" t="inlineStr">
        <is>
          <t>Cedar Ridge Medical Center</t>
        </is>
      </c>
      <c r="D10272" t="n">
        <v>128</v>
      </c>
    </row>
    <row r="10273">
      <c r="A10273" t="inlineStr">
        <is>
          <t>ED210471</t>
        </is>
      </c>
      <c r="B10273" s="56" t="n">
        <v>45917.84097222222</v>
      </c>
      <c r="C10273" t="inlineStr">
        <is>
          <t>Bluestone Memorial Hospital</t>
        </is>
      </c>
      <c r="D10273" t="n">
        <v>22</v>
      </c>
    </row>
    <row r="10274">
      <c r="A10274" t="inlineStr">
        <is>
          <t>ED210472</t>
        </is>
      </c>
      <c r="B10274" s="56" t="n">
        <v>45917.87083333333</v>
      </c>
      <c r="C10274" t="inlineStr">
        <is>
          <t>Bluestone Memorial Hospital</t>
        </is>
      </c>
      <c r="D10274" t="n">
        <v>44</v>
      </c>
    </row>
    <row r="10275">
      <c r="A10275" t="inlineStr">
        <is>
          <t>ED210473</t>
        </is>
      </c>
      <c r="B10275" s="56" t="n">
        <v>45918.05902777778</v>
      </c>
      <c r="C10275" t="inlineStr">
        <is>
          <t>Bluestone Memorial Hospital</t>
        </is>
      </c>
      <c r="D10275" t="n">
        <v>8</v>
      </c>
    </row>
    <row r="10276">
      <c r="A10276" t="inlineStr">
        <is>
          <t>ED210474</t>
        </is>
      </c>
      <c r="B10276" s="56" t="n">
        <v>45918.22152777778</v>
      </c>
      <c r="C10276" t="inlineStr">
        <is>
          <t>Cedar Ridge Medical Center</t>
        </is>
      </c>
      <c r="D10276" t="n">
        <v>31</v>
      </c>
    </row>
    <row r="10277">
      <c r="A10277" t="inlineStr">
        <is>
          <t>ED210475</t>
        </is>
      </c>
      <c r="B10277" s="56" t="n">
        <v>45918.4625</v>
      </c>
      <c r="C10277" t="inlineStr">
        <is>
          <t>Bluestone Memorial Hospital</t>
        </is>
      </c>
      <c r="D10277" t="n">
        <v>27</v>
      </c>
    </row>
    <row r="10278">
      <c r="A10278" t="inlineStr">
        <is>
          <t>ED210476</t>
        </is>
      </c>
      <c r="B10278" s="56" t="n">
        <v>45918.46736111111</v>
      </c>
      <c r="C10278" t="inlineStr">
        <is>
          <t>Bluestone Memorial Hospital</t>
        </is>
      </c>
      <c r="D10278" t="n">
        <v>25</v>
      </c>
    </row>
    <row r="10279">
      <c r="A10279" t="inlineStr">
        <is>
          <t>ED210477</t>
        </is>
      </c>
      <c r="B10279" s="56" t="n">
        <v>45918.51180555556</v>
      </c>
      <c r="C10279" t="inlineStr">
        <is>
          <t>Bluestone Memorial Hospital</t>
        </is>
      </c>
      <c r="D10279" t="n">
        <v>16</v>
      </c>
    </row>
    <row r="10280">
      <c r="A10280" t="inlineStr">
        <is>
          <t>ED210478</t>
        </is>
      </c>
      <c r="B10280" s="56" t="n">
        <v>45918.62430555555</v>
      </c>
      <c r="C10280" t="inlineStr">
        <is>
          <t>Bluestone Memorial Hospital</t>
        </is>
      </c>
      <c r="D10280" t="n">
        <v>52</v>
      </c>
    </row>
    <row r="10281">
      <c r="A10281" t="inlineStr">
        <is>
          <t>ED210479</t>
        </is>
      </c>
      <c r="B10281" s="56" t="n">
        <v>45918.66597222222</v>
      </c>
      <c r="C10281" t="inlineStr">
        <is>
          <t>Ashby Falls Community Hospital</t>
        </is>
      </c>
      <c r="D10281" t="n">
        <v>45</v>
      </c>
    </row>
    <row r="10282">
      <c r="A10282" t="inlineStr">
        <is>
          <t>ED210480</t>
        </is>
      </c>
      <c r="B10282" s="56" t="n">
        <v>45918.73125</v>
      </c>
      <c r="C10282" t="inlineStr">
        <is>
          <t>Bluestone Memorial Hospital</t>
        </is>
      </c>
      <c r="D10282" t="n">
        <v>21</v>
      </c>
    </row>
    <row r="10283">
      <c r="A10283" t="inlineStr">
        <is>
          <t>ED210481</t>
        </is>
      </c>
      <c r="B10283" s="56" t="n">
        <v>45918.79513888889</v>
      </c>
      <c r="C10283" t="inlineStr">
        <is>
          <t>Bluestone Memorial Hospital</t>
        </is>
      </c>
      <c r="D10283" t="n">
        <v>14</v>
      </c>
    </row>
    <row r="10284">
      <c r="A10284" t="inlineStr">
        <is>
          <t>ED210482</t>
        </is>
      </c>
      <c r="B10284" s="56" t="n">
        <v>45918.81527777778</v>
      </c>
      <c r="C10284" t="inlineStr">
        <is>
          <t>Bluestone Memorial Hospital</t>
        </is>
      </c>
      <c r="D10284" t="n">
        <v>62</v>
      </c>
    </row>
    <row r="10285">
      <c r="A10285" t="inlineStr">
        <is>
          <t>ED210483</t>
        </is>
      </c>
      <c r="B10285" s="56" t="n">
        <v>45918.85208333333</v>
      </c>
      <c r="C10285" t="inlineStr">
        <is>
          <t>Cedar Ridge Medical Center</t>
        </is>
      </c>
      <c r="D10285" t="n">
        <v>51</v>
      </c>
    </row>
    <row r="10286">
      <c r="A10286" t="inlineStr">
        <is>
          <t>ED210484</t>
        </is>
      </c>
      <c r="B10286" s="56" t="n">
        <v>45918.95833333334</v>
      </c>
      <c r="C10286" t="inlineStr">
        <is>
          <t>Bluestone Memorial Hospital</t>
        </is>
      </c>
      <c r="D10286" t="n">
        <v>25</v>
      </c>
    </row>
    <row r="10287">
      <c r="A10287" t="inlineStr">
        <is>
          <t>ED210485</t>
        </is>
      </c>
      <c r="B10287" s="56" t="n">
        <v>45918.98611111111</v>
      </c>
      <c r="C10287" t="inlineStr">
        <is>
          <t>Bluestone Memorial Hospital</t>
        </is>
      </c>
      <c r="D10287" t="n">
        <v>17</v>
      </c>
    </row>
    <row r="10288">
      <c r="A10288" t="inlineStr">
        <is>
          <t>ED210486</t>
        </is>
      </c>
      <c r="B10288" s="56" t="n">
        <v>45919.16944444444</v>
      </c>
      <c r="C10288" t="inlineStr">
        <is>
          <t>Ashby Falls Community Hospital</t>
        </is>
      </c>
      <c r="D10288" t="n">
        <v>24</v>
      </c>
    </row>
    <row r="10289">
      <c r="A10289" t="inlineStr">
        <is>
          <t>ED210487</t>
        </is>
      </c>
      <c r="B10289" s="56" t="n">
        <v>45919.21111111111</v>
      </c>
      <c r="C10289" t="inlineStr">
        <is>
          <t>Bluestone Memorial Hospital</t>
        </is>
      </c>
      <c r="D10289" t="n">
        <v>21</v>
      </c>
    </row>
    <row r="10290">
      <c r="A10290" t="inlineStr">
        <is>
          <t>ED210488</t>
        </is>
      </c>
      <c r="B10290" s="56" t="n">
        <v>45919.21597222222</v>
      </c>
      <c r="C10290" t="inlineStr">
        <is>
          <t>Bluestone Memorial Hospital</t>
        </is>
      </c>
      <c r="D10290" t="n">
        <v>5</v>
      </c>
    </row>
    <row r="10291">
      <c r="A10291" t="inlineStr">
        <is>
          <t>ED210489</t>
        </is>
      </c>
      <c r="B10291" s="56" t="n">
        <v>45919.24791666667</v>
      </c>
      <c r="C10291" t="inlineStr">
        <is>
          <t>Bluestone Memorial Hospital</t>
        </is>
      </c>
      <c r="D10291" t="n">
        <v>10</v>
      </c>
    </row>
    <row r="10292">
      <c r="A10292" t="inlineStr">
        <is>
          <t>ED210490</t>
        </is>
      </c>
      <c r="B10292" s="56" t="n">
        <v>45919.37847222222</v>
      </c>
      <c r="C10292" t="inlineStr">
        <is>
          <t>Bluestone Memorial Hospital</t>
        </is>
      </c>
      <c r="D10292" t="n">
        <v>65</v>
      </c>
    </row>
    <row r="10293">
      <c r="A10293" t="inlineStr">
        <is>
          <t>ED210491</t>
        </is>
      </c>
      <c r="B10293" s="56" t="n">
        <v>45919.43472222222</v>
      </c>
      <c r="C10293" t="inlineStr">
        <is>
          <t>Bluestone Memorial Hospital</t>
        </is>
      </c>
      <c r="D10293" t="n">
        <v>132</v>
      </c>
    </row>
    <row r="10294">
      <c r="A10294" t="inlineStr">
        <is>
          <t>ED210492</t>
        </is>
      </c>
      <c r="B10294" s="56" t="n">
        <v>45919.45</v>
      </c>
      <c r="C10294" t="inlineStr">
        <is>
          <t>Bluestone Memorial Hospital</t>
        </is>
      </c>
      <c r="D10294" t="n">
        <v>50</v>
      </c>
    </row>
    <row r="10295">
      <c r="A10295" t="inlineStr">
        <is>
          <t>ED210493</t>
        </is>
      </c>
      <c r="B10295" s="56" t="n">
        <v>45919.51527777778</v>
      </c>
      <c r="C10295" t="inlineStr">
        <is>
          <t>Bluestone Memorial Hospital</t>
        </is>
      </c>
      <c r="D10295" t="n">
        <v>57</v>
      </c>
    </row>
    <row r="10296">
      <c r="A10296" t="inlineStr">
        <is>
          <t>ED210494</t>
        </is>
      </c>
      <c r="B10296" s="56" t="n">
        <v>45919.52361111111</v>
      </c>
      <c r="C10296" t="inlineStr">
        <is>
          <t>Bluestone Memorial Hospital</t>
        </is>
      </c>
      <c r="D10296" t="n">
        <v>40</v>
      </c>
    </row>
    <row r="10297">
      <c r="A10297" t="inlineStr">
        <is>
          <t>ED210495</t>
        </is>
      </c>
      <c r="B10297" s="56" t="n">
        <v>45919.55763888889</v>
      </c>
      <c r="C10297" t="inlineStr">
        <is>
          <t>Bluestone Memorial Hospital</t>
        </is>
      </c>
      <c r="D10297" t="n">
        <v>34</v>
      </c>
    </row>
    <row r="10298">
      <c r="A10298" t="inlineStr">
        <is>
          <t>ED210496</t>
        </is>
      </c>
      <c r="B10298" s="56" t="n">
        <v>45919.59861111111</v>
      </c>
      <c r="C10298" t="inlineStr">
        <is>
          <t>Bluestone Memorial Hospital</t>
        </is>
      </c>
      <c r="D10298" t="n">
        <v>180</v>
      </c>
    </row>
    <row r="10299">
      <c r="A10299" t="inlineStr">
        <is>
          <t>ED210497</t>
        </is>
      </c>
      <c r="B10299" s="56" t="n">
        <v>45919.61041666667</v>
      </c>
      <c r="C10299" t="inlineStr">
        <is>
          <t>Ashby Falls Community Hospital</t>
        </is>
      </c>
      <c r="D10299" t="n">
        <v>16</v>
      </c>
    </row>
    <row r="10300">
      <c r="A10300" t="inlineStr">
        <is>
          <t>ED210498</t>
        </is>
      </c>
      <c r="B10300" s="56" t="n">
        <v>45919.62013888889</v>
      </c>
      <c r="C10300" t="inlineStr">
        <is>
          <t>Ashby Falls Community Hospital</t>
        </is>
      </c>
      <c r="D10300" t="n">
        <v>21</v>
      </c>
    </row>
    <row r="10301">
      <c r="A10301" t="inlineStr">
        <is>
          <t>ED210499</t>
        </is>
      </c>
      <c r="B10301" s="56" t="n">
        <v>45919.71736111111</v>
      </c>
      <c r="C10301" t="inlineStr">
        <is>
          <t>Bluestone Memorial Hospital</t>
        </is>
      </c>
      <c r="D10301" t="n">
        <v>80</v>
      </c>
    </row>
    <row r="10302">
      <c r="A10302" t="inlineStr">
        <is>
          <t>ED210500</t>
        </is>
      </c>
      <c r="B10302" s="56" t="n">
        <v>45919.71944444445</v>
      </c>
      <c r="C10302" t="inlineStr">
        <is>
          <t>Bluestone Memorial Hospital</t>
        </is>
      </c>
      <c r="D10302" t="n">
        <v>40</v>
      </c>
    </row>
    <row r="10303">
      <c r="A10303" t="inlineStr">
        <is>
          <t>ED210501</t>
        </is>
      </c>
      <c r="B10303" s="56" t="n">
        <v>45919.85763888889</v>
      </c>
      <c r="C10303" t="inlineStr">
        <is>
          <t>Cedar Ridge Medical Center</t>
        </is>
      </c>
      <c r="D10303" t="n">
        <v>61</v>
      </c>
    </row>
    <row r="10304">
      <c r="A10304" t="inlineStr">
        <is>
          <t>ED210502</t>
        </is>
      </c>
      <c r="B10304" s="56" t="n">
        <v>45919.98125</v>
      </c>
      <c r="C10304" t="inlineStr">
        <is>
          <t>Bluestone Memorial Hospital</t>
        </is>
      </c>
      <c r="D10304" t="n">
        <v>20</v>
      </c>
    </row>
    <row r="10305">
      <c r="A10305" t="inlineStr">
        <is>
          <t>ED210503</t>
        </is>
      </c>
      <c r="B10305" s="56" t="n">
        <v>45919.99027777778</v>
      </c>
      <c r="C10305" t="inlineStr">
        <is>
          <t>Bluestone Memorial Hospital</t>
        </is>
      </c>
      <c r="D10305" t="n">
        <v>32</v>
      </c>
    </row>
    <row r="10306">
      <c r="A10306" t="inlineStr">
        <is>
          <t>ED210504</t>
        </is>
      </c>
      <c r="B10306" s="56" t="n">
        <v>45919.99583333333</v>
      </c>
      <c r="C10306" t="inlineStr">
        <is>
          <t>Bluestone Memorial Hospital</t>
        </is>
      </c>
      <c r="D10306" t="n">
        <v>17</v>
      </c>
    </row>
    <row r="10307">
      <c r="A10307" t="inlineStr">
        <is>
          <t>ED210505</t>
        </is>
      </c>
      <c r="B10307" s="56" t="n">
        <v>45920.22152777778</v>
      </c>
      <c r="C10307" t="inlineStr">
        <is>
          <t>Bluestone Memorial Hospital</t>
        </is>
      </c>
      <c r="D10307" t="n">
        <v>39</v>
      </c>
    </row>
    <row r="10308">
      <c r="A10308" t="inlineStr">
        <is>
          <t>ED210506</t>
        </is>
      </c>
      <c r="B10308" s="56" t="n">
        <v>45920.39305555556</v>
      </c>
      <c r="C10308" t="inlineStr">
        <is>
          <t>Bluestone Memorial Hospital</t>
        </is>
      </c>
      <c r="D10308" t="n">
        <v>71</v>
      </c>
    </row>
    <row r="10309">
      <c r="A10309" t="inlineStr">
        <is>
          <t>ED210507</t>
        </is>
      </c>
      <c r="B10309" s="56" t="n">
        <v>45920.39861111111</v>
      </c>
      <c r="C10309" t="inlineStr">
        <is>
          <t>Cedar Ridge Medical Center</t>
        </is>
      </c>
      <c r="D10309" t="n">
        <v>29</v>
      </c>
    </row>
    <row r="10310">
      <c r="A10310" t="inlineStr">
        <is>
          <t>ED210508</t>
        </is>
      </c>
      <c r="B10310" s="56" t="n">
        <v>45920.43402777778</v>
      </c>
      <c r="C10310" t="inlineStr">
        <is>
          <t>Cedar Ridge Medical Center</t>
        </is>
      </c>
      <c r="D10310" t="n">
        <v>22</v>
      </c>
    </row>
    <row r="10311">
      <c r="A10311" t="inlineStr">
        <is>
          <t>ED210509</t>
        </is>
      </c>
      <c r="B10311" s="56" t="n">
        <v>45920.53402777778</v>
      </c>
      <c r="C10311" t="inlineStr">
        <is>
          <t>Bluestone Memorial Hospital</t>
        </is>
      </c>
      <c r="D10311" t="n">
        <v>9</v>
      </c>
    </row>
    <row r="10312">
      <c r="A10312" t="inlineStr">
        <is>
          <t>ED210510</t>
        </is>
      </c>
      <c r="B10312" s="56" t="n">
        <v>45920.57430555556</v>
      </c>
      <c r="C10312" t="inlineStr">
        <is>
          <t>Cedar Ridge Medical Center</t>
        </is>
      </c>
      <c r="D10312" t="n">
        <v>56</v>
      </c>
    </row>
    <row r="10313">
      <c r="A10313" t="inlineStr">
        <is>
          <t>ED210511</t>
        </is>
      </c>
      <c r="B10313" s="56" t="n">
        <v>45920.59375</v>
      </c>
      <c r="C10313" t="inlineStr">
        <is>
          <t>Bluestone Memorial Hospital</t>
        </is>
      </c>
      <c r="D10313" t="n">
        <v>111</v>
      </c>
    </row>
    <row r="10314">
      <c r="A10314" t="inlineStr">
        <is>
          <t>ED210512</t>
        </is>
      </c>
      <c r="B10314" s="56" t="n">
        <v>45920.62847222222</v>
      </c>
      <c r="C10314" t="inlineStr">
        <is>
          <t>Bluestone Memorial Hospital</t>
        </is>
      </c>
      <c r="D10314" t="n">
        <v>93</v>
      </c>
    </row>
    <row r="10315">
      <c r="A10315" t="inlineStr">
        <is>
          <t>ED210513</t>
        </is>
      </c>
      <c r="B10315" s="56" t="n">
        <v>45920.63333333333</v>
      </c>
      <c r="C10315" t="inlineStr">
        <is>
          <t>Bluestone Memorial Hospital</t>
        </is>
      </c>
      <c r="D10315" t="n">
        <v>26</v>
      </c>
    </row>
    <row r="10316">
      <c r="A10316" t="inlineStr">
        <is>
          <t>ED210514</t>
        </is>
      </c>
      <c r="B10316" s="56" t="n">
        <v>45920.70069444444</v>
      </c>
      <c r="C10316" t="inlineStr">
        <is>
          <t>Bluestone Memorial Hospital</t>
        </is>
      </c>
      <c r="D10316" t="n">
        <v>9</v>
      </c>
    </row>
    <row r="10317">
      <c r="A10317" t="inlineStr">
        <is>
          <t>ED210515</t>
        </is>
      </c>
      <c r="B10317" s="56" t="n">
        <v>45920.73194444444</v>
      </c>
      <c r="C10317" t="inlineStr">
        <is>
          <t>Cedar Ridge Medical Center</t>
        </is>
      </c>
      <c r="D10317" t="n">
        <v>28</v>
      </c>
    </row>
    <row r="10318">
      <c r="A10318" t="inlineStr">
        <is>
          <t>ED210516</t>
        </is>
      </c>
      <c r="B10318" s="56" t="n">
        <v>45920.81180555555</v>
      </c>
      <c r="C10318" t="inlineStr">
        <is>
          <t>Cedar Ridge Medical Center</t>
        </is>
      </c>
      <c r="D10318" t="n">
        <v>28</v>
      </c>
    </row>
    <row r="10319">
      <c r="A10319" t="inlineStr">
        <is>
          <t>ED210517</t>
        </is>
      </c>
      <c r="B10319" s="56" t="n">
        <v>45920.86736111111</v>
      </c>
      <c r="C10319" t="inlineStr">
        <is>
          <t>Bluestone Memorial Hospital</t>
        </is>
      </c>
      <c r="D10319" t="n">
        <v>23</v>
      </c>
    </row>
    <row r="10320">
      <c r="A10320" t="inlineStr">
        <is>
          <t>ED210518</t>
        </is>
      </c>
      <c r="B10320" s="56" t="n">
        <v>45920.86805555555</v>
      </c>
      <c r="C10320" t="inlineStr">
        <is>
          <t>Bluestone Memorial Hospital</t>
        </is>
      </c>
      <c r="D10320" t="n">
        <v>51</v>
      </c>
    </row>
    <row r="10321">
      <c r="A10321" t="inlineStr">
        <is>
          <t>ED210519</t>
        </is>
      </c>
      <c r="B10321" s="56" t="n">
        <v>45920.88611111111</v>
      </c>
      <c r="C10321" t="inlineStr">
        <is>
          <t>Bluestone Memorial Hospital</t>
        </is>
      </c>
      <c r="D10321" t="n">
        <v>75</v>
      </c>
    </row>
    <row r="10322">
      <c r="A10322" t="inlineStr">
        <is>
          <t>ED210520</t>
        </is>
      </c>
      <c r="B10322" s="56" t="n">
        <v>45920.97222222222</v>
      </c>
      <c r="C10322" t="inlineStr">
        <is>
          <t>Bluestone Memorial Hospital</t>
        </is>
      </c>
      <c r="D10322" t="n">
        <v>19</v>
      </c>
    </row>
    <row r="10323">
      <c r="A10323" t="inlineStr">
        <is>
          <t>ED210521</t>
        </is>
      </c>
      <c r="B10323" s="56" t="n">
        <v>45921.23611111111</v>
      </c>
      <c r="C10323" t="inlineStr">
        <is>
          <t>Cedar Ridge Medical Center</t>
        </is>
      </c>
      <c r="D10323" t="n">
        <v>27</v>
      </c>
    </row>
    <row r="10324">
      <c r="A10324" t="inlineStr">
        <is>
          <t>ED210522</t>
        </is>
      </c>
      <c r="B10324" s="56" t="n">
        <v>45921.27777777778</v>
      </c>
      <c r="C10324" t="inlineStr">
        <is>
          <t>Bluestone Memorial Hospital</t>
        </is>
      </c>
      <c r="D10324" t="n">
        <v>46</v>
      </c>
    </row>
    <row r="10325">
      <c r="A10325" t="inlineStr">
        <is>
          <t>ED210523</t>
        </is>
      </c>
      <c r="B10325" s="56" t="n">
        <v>45921.48680555556</v>
      </c>
      <c r="C10325" t="inlineStr">
        <is>
          <t>Cedar Ridge Medical Center</t>
        </is>
      </c>
      <c r="D10325" t="n">
        <v>19</v>
      </c>
    </row>
    <row r="10326">
      <c r="A10326" t="inlineStr">
        <is>
          <t>ED210524</t>
        </is>
      </c>
      <c r="B10326" s="56" t="n">
        <v>45921.59722222222</v>
      </c>
      <c r="C10326" t="inlineStr">
        <is>
          <t>Bluestone Memorial Hospital</t>
        </is>
      </c>
      <c r="D10326" t="n">
        <v>32</v>
      </c>
    </row>
    <row r="10327">
      <c r="A10327" t="inlineStr">
        <is>
          <t>ED210525</t>
        </is>
      </c>
      <c r="B10327" s="56" t="n">
        <v>45921.68680555555</v>
      </c>
      <c r="C10327" t="inlineStr">
        <is>
          <t>Bluestone Memorial Hospital</t>
        </is>
      </c>
      <c r="D10327" t="n">
        <v>29</v>
      </c>
    </row>
    <row r="10328">
      <c r="A10328" t="inlineStr">
        <is>
          <t>ED210526</t>
        </is>
      </c>
      <c r="B10328" s="56" t="n">
        <v>45921.73472222222</v>
      </c>
      <c r="C10328" t="inlineStr">
        <is>
          <t>Bluestone Memorial Hospital</t>
        </is>
      </c>
      <c r="D10328" t="n">
        <v>57</v>
      </c>
    </row>
    <row r="10329">
      <c r="A10329" t="inlineStr">
        <is>
          <t>ED210527</t>
        </is>
      </c>
      <c r="B10329" s="56" t="n">
        <v>45921.89305555556</v>
      </c>
      <c r="C10329" t="inlineStr">
        <is>
          <t>Bluestone Memorial Hospital</t>
        </is>
      </c>
      <c r="D10329" t="n">
        <v>58</v>
      </c>
    </row>
    <row r="10330">
      <c r="A10330" t="inlineStr">
        <is>
          <t>ED210528</t>
        </is>
      </c>
      <c r="B10330" s="56" t="n">
        <v>45922.00555555556</v>
      </c>
      <c r="C10330" t="inlineStr">
        <is>
          <t>Bluestone Memorial Hospital</t>
        </is>
      </c>
      <c r="D10330" t="n">
        <v>10</v>
      </c>
    </row>
    <row r="10331">
      <c r="A10331" t="inlineStr">
        <is>
          <t>ED210529</t>
        </is>
      </c>
      <c r="B10331" s="56" t="n">
        <v>45922.29166666666</v>
      </c>
      <c r="C10331" t="inlineStr">
        <is>
          <t>Bluestone Memorial Hospital</t>
        </is>
      </c>
      <c r="D10331" t="n">
        <v>57</v>
      </c>
    </row>
    <row r="10332">
      <c r="A10332" t="inlineStr">
        <is>
          <t>ED210530</t>
        </is>
      </c>
      <c r="B10332" s="56" t="n">
        <v>45922.36458333334</v>
      </c>
      <c r="C10332" t="inlineStr">
        <is>
          <t>Bluestone Memorial Hospital</t>
        </is>
      </c>
      <c r="D10332" t="n">
        <v>24</v>
      </c>
    </row>
    <row r="10333">
      <c r="A10333" t="inlineStr">
        <is>
          <t>ED210531</t>
        </is>
      </c>
      <c r="B10333" s="56" t="n">
        <v>45922.37986111111</v>
      </c>
      <c r="C10333" t="inlineStr">
        <is>
          <t>Bluestone Memorial Hospital</t>
        </is>
      </c>
      <c r="D10333" t="n">
        <v>45</v>
      </c>
    </row>
    <row r="10334">
      <c r="A10334" t="inlineStr">
        <is>
          <t>ED210532</t>
        </is>
      </c>
      <c r="B10334" s="56" t="n">
        <v>45922.40138888889</v>
      </c>
      <c r="C10334" t="inlineStr">
        <is>
          <t>Cedar Ridge Medical Center</t>
        </is>
      </c>
      <c r="D10334" t="n">
        <v>7</v>
      </c>
    </row>
    <row r="10335">
      <c r="A10335" t="inlineStr">
        <is>
          <t>ED210533</t>
        </is>
      </c>
      <c r="B10335" s="56" t="n">
        <v>45922.41944444444</v>
      </c>
      <c r="C10335" t="inlineStr">
        <is>
          <t>Bluestone Memorial Hospital</t>
        </is>
      </c>
      <c r="D10335" t="n">
        <v>20</v>
      </c>
    </row>
    <row r="10336">
      <c r="A10336" t="inlineStr">
        <is>
          <t>ED210534</t>
        </is>
      </c>
      <c r="B10336" s="56" t="n">
        <v>45922.44722222222</v>
      </c>
      <c r="C10336" t="inlineStr">
        <is>
          <t>Bluestone Memorial Hospital</t>
        </is>
      </c>
      <c r="D10336" t="n">
        <v>13</v>
      </c>
    </row>
    <row r="10337">
      <c r="A10337" t="inlineStr">
        <is>
          <t>ED210535</t>
        </is>
      </c>
      <c r="B10337" s="56" t="n">
        <v>45922.47291666667</v>
      </c>
      <c r="C10337" t="inlineStr">
        <is>
          <t>Bluestone Memorial Hospital</t>
        </is>
      </c>
      <c r="D10337" t="n">
        <v>41</v>
      </c>
    </row>
    <row r="10338">
      <c r="A10338" t="inlineStr">
        <is>
          <t>ED210536</t>
        </is>
      </c>
      <c r="B10338" s="56" t="n">
        <v>45922.49930555555</v>
      </c>
      <c r="C10338" t="inlineStr">
        <is>
          <t>Cedar Ridge Medical Center</t>
        </is>
      </c>
      <c r="D10338" t="n">
        <v>28</v>
      </c>
    </row>
    <row r="10339">
      <c r="A10339" t="inlineStr">
        <is>
          <t>ED210537</t>
        </is>
      </c>
      <c r="B10339" s="56" t="n">
        <v>45922.6375</v>
      </c>
      <c r="C10339" t="inlineStr">
        <is>
          <t>Bluestone Memorial Hospital</t>
        </is>
      </c>
      <c r="D10339" t="n">
        <v>109</v>
      </c>
    </row>
    <row r="10340">
      <c r="A10340" t="inlineStr">
        <is>
          <t>ED210538</t>
        </is>
      </c>
      <c r="B10340" s="56" t="n">
        <v>45922.64513888889</v>
      </c>
      <c r="C10340" t="inlineStr">
        <is>
          <t>Bluestone Memorial Hospital</t>
        </is>
      </c>
      <c r="D10340" t="n">
        <v>39</v>
      </c>
    </row>
    <row r="10341">
      <c r="A10341" t="inlineStr">
        <is>
          <t>ED210539</t>
        </is>
      </c>
      <c r="B10341" s="56" t="n">
        <v>45922.64722222222</v>
      </c>
      <c r="C10341" t="inlineStr">
        <is>
          <t>Bluestone Memorial Hospital</t>
        </is>
      </c>
      <c r="D10341" t="n">
        <v>62</v>
      </c>
    </row>
    <row r="10342">
      <c r="A10342" t="inlineStr">
        <is>
          <t>ED210540</t>
        </is>
      </c>
      <c r="B10342" s="56" t="n">
        <v>45922.69930555556</v>
      </c>
      <c r="C10342" t="inlineStr">
        <is>
          <t>Bluestone Memorial Hospital</t>
        </is>
      </c>
      <c r="D10342" t="n">
        <v>44</v>
      </c>
    </row>
    <row r="10343">
      <c r="A10343" t="inlineStr">
        <is>
          <t>ED210541</t>
        </is>
      </c>
      <c r="B10343" s="56" t="n">
        <v>45922.71944444445</v>
      </c>
      <c r="C10343" t="inlineStr">
        <is>
          <t>Bluestone Memorial Hospital</t>
        </is>
      </c>
      <c r="D10343" t="n">
        <v>45</v>
      </c>
    </row>
    <row r="10344">
      <c r="A10344" t="inlineStr">
        <is>
          <t>ED210542</t>
        </is>
      </c>
      <c r="B10344" s="56" t="n">
        <v>45922.74305555555</v>
      </c>
      <c r="C10344" t="inlineStr">
        <is>
          <t>Bluestone Memorial Hospital</t>
        </is>
      </c>
      <c r="D10344" t="n">
        <v>47</v>
      </c>
    </row>
    <row r="10345">
      <c r="A10345" t="inlineStr">
        <is>
          <t>ED210543</t>
        </is>
      </c>
      <c r="B10345" s="56" t="n">
        <v>45922.78333333333</v>
      </c>
      <c r="C10345" t="inlineStr">
        <is>
          <t>Cedar Ridge Medical Center</t>
        </is>
      </c>
      <c r="D10345" t="n">
        <v>3</v>
      </c>
    </row>
    <row r="10346">
      <c r="A10346" t="inlineStr">
        <is>
          <t>ED210544</t>
        </is>
      </c>
      <c r="B10346" s="56" t="n">
        <v>45922.83055555556</v>
      </c>
      <c r="C10346" t="inlineStr">
        <is>
          <t>Bluestone Memorial Hospital</t>
        </is>
      </c>
      <c r="D10346" t="n">
        <v>93</v>
      </c>
    </row>
    <row r="10347">
      <c r="A10347" t="inlineStr">
        <is>
          <t>ED210545</t>
        </is>
      </c>
      <c r="B10347" s="56" t="n">
        <v>45922.85</v>
      </c>
      <c r="C10347" t="inlineStr">
        <is>
          <t>Bluestone Memorial Hospital</t>
        </is>
      </c>
      <c r="D10347" t="n">
        <v>33</v>
      </c>
    </row>
    <row r="10348">
      <c r="A10348" t="inlineStr">
        <is>
          <t>ED210546</t>
        </is>
      </c>
      <c r="B10348" s="56" t="n">
        <v>45923.00416666667</v>
      </c>
      <c r="C10348" t="inlineStr">
        <is>
          <t>Ashby Falls Community Hospital</t>
        </is>
      </c>
      <c r="D10348" t="n">
        <v>29</v>
      </c>
    </row>
    <row r="10349">
      <c r="A10349" t="inlineStr">
        <is>
          <t>ED210547</t>
        </is>
      </c>
      <c r="B10349" s="56" t="n">
        <v>45923.24652777778</v>
      </c>
      <c r="C10349" t="inlineStr">
        <is>
          <t>Ashby Falls Community Hospital</t>
        </is>
      </c>
      <c r="D10349" t="n">
        <v>67</v>
      </c>
    </row>
    <row r="10350">
      <c r="A10350" t="inlineStr">
        <is>
          <t>ED210548</t>
        </is>
      </c>
      <c r="B10350" s="56" t="n">
        <v>45923.27083333334</v>
      </c>
      <c r="C10350" t="inlineStr">
        <is>
          <t>Bluestone Memorial Hospital</t>
        </is>
      </c>
      <c r="D10350" t="n">
        <v>43</v>
      </c>
    </row>
    <row r="10351">
      <c r="A10351" t="inlineStr">
        <is>
          <t>ED210549</t>
        </is>
      </c>
      <c r="B10351" s="56" t="n">
        <v>45923.32361111111</v>
      </c>
      <c r="C10351" t="inlineStr">
        <is>
          <t>Bluestone Memorial Hospital</t>
        </is>
      </c>
      <c r="D10351" t="n">
        <v>24</v>
      </c>
    </row>
    <row r="10352">
      <c r="A10352" t="inlineStr">
        <is>
          <t>ED210550</t>
        </is>
      </c>
      <c r="B10352" s="56" t="n">
        <v>45923.35694444444</v>
      </c>
      <c r="C10352" t="inlineStr">
        <is>
          <t>Bluestone Memorial Hospital</t>
        </is>
      </c>
      <c r="D10352" t="n">
        <v>12</v>
      </c>
    </row>
    <row r="10353">
      <c r="A10353" t="inlineStr">
        <is>
          <t>ED210551</t>
        </is>
      </c>
      <c r="B10353" s="56" t="n">
        <v>45923.45208333333</v>
      </c>
      <c r="C10353" t="inlineStr">
        <is>
          <t>Cedar Ridge Medical Center</t>
        </is>
      </c>
      <c r="D10353" t="n">
        <v>53</v>
      </c>
    </row>
    <row r="10354">
      <c r="A10354" t="inlineStr">
        <is>
          <t>ED210552</t>
        </is>
      </c>
      <c r="B10354" s="56" t="n">
        <v>45923.50208333333</v>
      </c>
      <c r="C10354" t="inlineStr">
        <is>
          <t>Bluestone Memorial Hospital</t>
        </is>
      </c>
      <c r="D10354" t="n">
        <v>80</v>
      </c>
    </row>
    <row r="10355">
      <c r="A10355" t="inlineStr">
        <is>
          <t>ED210553</t>
        </is>
      </c>
      <c r="B10355" s="56" t="n">
        <v>45923.58541666667</v>
      </c>
      <c r="C10355" t="inlineStr">
        <is>
          <t>Bluestone Memorial Hospital</t>
        </is>
      </c>
      <c r="D10355" t="n">
        <v>29</v>
      </c>
    </row>
    <row r="10356">
      <c r="A10356" t="inlineStr">
        <is>
          <t>ED210554</t>
        </is>
      </c>
      <c r="B10356" s="56" t="n">
        <v>45923.64513888889</v>
      </c>
      <c r="C10356" t="inlineStr">
        <is>
          <t>Bluestone Memorial Hospital</t>
        </is>
      </c>
      <c r="D10356" t="n">
        <v>32</v>
      </c>
    </row>
    <row r="10357">
      <c r="A10357" t="inlineStr">
        <is>
          <t>ED210555</t>
        </is>
      </c>
      <c r="B10357" s="56" t="n">
        <v>45923.65138888889</v>
      </c>
      <c r="C10357" t="inlineStr">
        <is>
          <t>Bluestone Memorial Hospital</t>
        </is>
      </c>
      <c r="D10357" t="n">
        <v>1</v>
      </c>
    </row>
    <row r="10358">
      <c r="A10358" t="inlineStr">
        <is>
          <t>ED210556</t>
        </is>
      </c>
      <c r="B10358" s="56" t="n">
        <v>45923.65347222222</v>
      </c>
      <c r="C10358" t="inlineStr">
        <is>
          <t>Bluestone Memorial Hospital</t>
        </is>
      </c>
      <c r="D10358" t="n">
        <v>152</v>
      </c>
    </row>
    <row r="10359">
      <c r="A10359" t="inlineStr">
        <is>
          <t>ED210557</t>
        </is>
      </c>
      <c r="B10359" s="56" t="n">
        <v>45923.68263888889</v>
      </c>
      <c r="C10359" t="inlineStr">
        <is>
          <t>Bluestone Memorial Hospital</t>
        </is>
      </c>
      <c r="D10359" t="n">
        <v>237</v>
      </c>
    </row>
    <row r="10360">
      <c r="A10360" t="inlineStr">
        <is>
          <t>ED210558</t>
        </is>
      </c>
      <c r="B10360" s="56" t="n">
        <v>45923.68541666667</v>
      </c>
      <c r="C10360" t="inlineStr">
        <is>
          <t>Cedar Ridge Medical Center</t>
        </is>
      </c>
      <c r="D10360" t="n">
        <v>51</v>
      </c>
    </row>
    <row r="10361">
      <c r="A10361" t="inlineStr">
        <is>
          <t>ED210559</t>
        </is>
      </c>
      <c r="B10361" s="56" t="n">
        <v>45923.71875</v>
      </c>
      <c r="C10361" t="inlineStr">
        <is>
          <t>Bluestone Memorial Hospital</t>
        </is>
      </c>
      <c r="D10361" t="n">
        <v>48</v>
      </c>
    </row>
    <row r="10362">
      <c r="A10362" t="inlineStr">
        <is>
          <t>ED210560</t>
        </is>
      </c>
      <c r="B10362" s="56" t="n">
        <v>45923.73125</v>
      </c>
      <c r="C10362" t="inlineStr">
        <is>
          <t>Bluestone Memorial Hospital</t>
        </is>
      </c>
      <c r="D10362" t="n">
        <v>110</v>
      </c>
    </row>
    <row r="10363">
      <c r="A10363" t="inlineStr">
        <is>
          <t>ED210561</t>
        </is>
      </c>
      <c r="B10363" s="56" t="n">
        <v>45923.78125</v>
      </c>
      <c r="C10363" t="inlineStr">
        <is>
          <t>Cedar Ridge Medical Center</t>
        </is>
      </c>
      <c r="D10363" t="n">
        <v>14</v>
      </c>
    </row>
    <row r="10364">
      <c r="A10364" t="inlineStr">
        <is>
          <t>ED210562</t>
        </is>
      </c>
      <c r="B10364" s="56" t="n">
        <v>45923.79513888889</v>
      </c>
      <c r="C10364" t="inlineStr">
        <is>
          <t>Bluestone Memorial Hospital</t>
        </is>
      </c>
      <c r="D10364" t="n">
        <v>22</v>
      </c>
    </row>
    <row r="10365">
      <c r="A10365" t="inlineStr">
        <is>
          <t>ED210563</t>
        </is>
      </c>
      <c r="B10365" s="56" t="n">
        <v>45923.83194444444</v>
      </c>
      <c r="C10365" t="inlineStr">
        <is>
          <t>Ashby Falls Community Hospital</t>
        </is>
      </c>
      <c r="D10365" t="n">
        <v>20</v>
      </c>
    </row>
    <row r="10366">
      <c r="A10366" t="inlineStr">
        <is>
          <t>ED210564</t>
        </is>
      </c>
      <c r="B10366" s="56" t="n">
        <v>45923.83333333334</v>
      </c>
      <c r="C10366" t="inlineStr">
        <is>
          <t>Ashby Falls Community Hospital</t>
        </is>
      </c>
      <c r="D10366" t="n">
        <v>32</v>
      </c>
    </row>
    <row r="10367">
      <c r="A10367" t="inlineStr">
        <is>
          <t>ED210565</t>
        </is>
      </c>
      <c r="B10367" s="56" t="n">
        <v>45923.85763888889</v>
      </c>
      <c r="C10367" t="inlineStr">
        <is>
          <t>Bluestone Memorial Hospital</t>
        </is>
      </c>
      <c r="D10367" t="n">
        <v>33</v>
      </c>
    </row>
    <row r="10368">
      <c r="A10368" t="inlineStr">
        <is>
          <t>ED210566</t>
        </is>
      </c>
      <c r="B10368" s="56" t="n">
        <v>45923.87152777778</v>
      </c>
      <c r="C10368" t="inlineStr">
        <is>
          <t>Bluestone Memorial Hospital</t>
        </is>
      </c>
      <c r="D10368" t="n">
        <v>54</v>
      </c>
    </row>
    <row r="10369">
      <c r="A10369" t="inlineStr">
        <is>
          <t>ED210567</t>
        </is>
      </c>
      <c r="B10369" s="56" t="n">
        <v>45923.88819444444</v>
      </c>
      <c r="C10369" t="inlineStr">
        <is>
          <t>Cedar Ridge Medical Center</t>
        </is>
      </c>
      <c r="D10369" t="n">
        <v>56</v>
      </c>
    </row>
    <row r="10370">
      <c r="A10370" t="inlineStr">
        <is>
          <t>ED210568</t>
        </is>
      </c>
      <c r="B10370" s="56" t="n">
        <v>45923.90277777778</v>
      </c>
      <c r="C10370" t="inlineStr">
        <is>
          <t>Bluestone Memorial Hospital</t>
        </is>
      </c>
      <c r="D10370" t="n">
        <v>37</v>
      </c>
    </row>
    <row r="10371">
      <c r="A10371" t="inlineStr">
        <is>
          <t>ED210569</t>
        </is>
      </c>
      <c r="B10371" s="56" t="n">
        <v>45923.94027777778</v>
      </c>
      <c r="C10371" t="inlineStr">
        <is>
          <t>Cedar Ridge Medical Center</t>
        </is>
      </c>
      <c r="D10371" t="n">
        <v>34</v>
      </c>
    </row>
    <row r="10372">
      <c r="A10372" t="inlineStr">
        <is>
          <t>ED210570</t>
        </is>
      </c>
      <c r="B10372" s="56" t="n">
        <v>45923.94652777778</v>
      </c>
      <c r="C10372" t="inlineStr">
        <is>
          <t>Bluestone Memorial Hospital</t>
        </is>
      </c>
      <c r="D10372" t="n">
        <v>37</v>
      </c>
    </row>
    <row r="10373">
      <c r="A10373" t="inlineStr">
        <is>
          <t>ED210571</t>
        </is>
      </c>
      <c r="B10373" s="56" t="n">
        <v>45923.96319444444</v>
      </c>
      <c r="C10373" t="inlineStr">
        <is>
          <t>Bluestone Memorial Hospital</t>
        </is>
      </c>
      <c r="D10373" t="n">
        <v>34</v>
      </c>
    </row>
    <row r="10374">
      <c r="A10374" t="inlineStr">
        <is>
          <t>ED210572</t>
        </is>
      </c>
      <c r="B10374" s="56" t="n">
        <v>45924.0125</v>
      </c>
      <c r="C10374" t="inlineStr">
        <is>
          <t>Bluestone Memorial Hospital</t>
        </is>
      </c>
      <c r="D10374" t="n">
        <v>26</v>
      </c>
    </row>
    <row r="10375">
      <c r="A10375" t="inlineStr">
        <is>
          <t>ED210573</t>
        </is>
      </c>
      <c r="B10375" s="56" t="n">
        <v>45924.34513888889</v>
      </c>
      <c r="C10375" t="inlineStr">
        <is>
          <t>Cedar Ridge Medical Center</t>
        </is>
      </c>
      <c r="D10375" t="n">
        <v>82</v>
      </c>
    </row>
    <row r="10376">
      <c r="A10376" t="inlineStr">
        <is>
          <t>ED210574</t>
        </is>
      </c>
      <c r="B10376" s="56" t="n">
        <v>45924.44652777778</v>
      </c>
      <c r="C10376" t="inlineStr">
        <is>
          <t>Bluestone Memorial Hospital</t>
        </is>
      </c>
      <c r="D10376" t="n">
        <v>51</v>
      </c>
    </row>
    <row r="10377">
      <c r="A10377" t="inlineStr">
        <is>
          <t>ED210575</t>
        </is>
      </c>
      <c r="B10377" s="56" t="n">
        <v>45924.50555555556</v>
      </c>
      <c r="C10377" t="inlineStr">
        <is>
          <t>Bluestone Memorial Hospital</t>
        </is>
      </c>
      <c r="D10377" t="n">
        <v>17</v>
      </c>
    </row>
    <row r="10378">
      <c r="A10378" t="inlineStr">
        <is>
          <t>ED210576</t>
        </is>
      </c>
      <c r="B10378" s="56" t="n">
        <v>45924.51666666667</v>
      </c>
      <c r="C10378" t="inlineStr">
        <is>
          <t>Bluestone Memorial Hospital</t>
        </is>
      </c>
      <c r="D10378" t="n">
        <v>69</v>
      </c>
    </row>
    <row r="10379">
      <c r="A10379" t="inlineStr">
        <is>
          <t>ED210577</t>
        </is>
      </c>
      <c r="B10379" s="56" t="n">
        <v>45924.56597222222</v>
      </c>
      <c r="C10379" t="inlineStr">
        <is>
          <t>Cedar Ridge Medical Center</t>
        </is>
      </c>
      <c r="D10379" t="n">
        <v>39</v>
      </c>
    </row>
    <row r="10380">
      <c r="A10380" t="inlineStr">
        <is>
          <t>ED210578</t>
        </is>
      </c>
      <c r="B10380" s="56" t="n">
        <v>45924.61111111111</v>
      </c>
      <c r="C10380" t="inlineStr">
        <is>
          <t>Bluestone Memorial Hospital</t>
        </is>
      </c>
      <c r="D10380" t="n">
        <v>53</v>
      </c>
    </row>
    <row r="10381">
      <c r="A10381" t="inlineStr">
        <is>
          <t>ED210579</t>
        </is>
      </c>
      <c r="B10381" s="56" t="n">
        <v>45924.86736111111</v>
      </c>
      <c r="C10381" t="inlineStr">
        <is>
          <t>Bluestone Memorial Hospital</t>
        </is>
      </c>
      <c r="D10381" t="n">
        <v>63</v>
      </c>
    </row>
    <row r="10382">
      <c r="A10382" t="inlineStr">
        <is>
          <t>ED210580</t>
        </is>
      </c>
      <c r="B10382" s="56" t="n">
        <v>45924.97638888889</v>
      </c>
      <c r="C10382" t="inlineStr">
        <is>
          <t>Bluestone Memorial Hospital</t>
        </is>
      </c>
      <c r="D10382" t="n">
        <v>56</v>
      </c>
    </row>
    <row r="10383">
      <c r="A10383" t="inlineStr">
        <is>
          <t>ED210581</t>
        </is>
      </c>
      <c r="B10383" s="56" t="n">
        <v>45925.08402777778</v>
      </c>
      <c r="C10383" t="inlineStr">
        <is>
          <t>Bluestone Memorial Hospital</t>
        </is>
      </c>
      <c r="D10383" t="n">
        <v>21</v>
      </c>
    </row>
    <row r="10384">
      <c r="A10384" t="inlineStr">
        <is>
          <t>ED210582</t>
        </is>
      </c>
      <c r="B10384" s="56" t="n">
        <v>45925.22222222222</v>
      </c>
      <c r="C10384" t="inlineStr">
        <is>
          <t>Ashby Falls Community Hospital</t>
        </is>
      </c>
      <c r="D10384" t="n">
        <v>139</v>
      </c>
    </row>
    <row r="10385">
      <c r="A10385" t="inlineStr">
        <is>
          <t>ED210583</t>
        </is>
      </c>
      <c r="B10385" s="56" t="n">
        <v>45925.43541666667</v>
      </c>
      <c r="C10385" t="inlineStr">
        <is>
          <t>Bluestone Memorial Hospital</t>
        </is>
      </c>
      <c r="D10385" t="n">
        <v>87</v>
      </c>
    </row>
    <row r="10386">
      <c r="A10386" t="inlineStr">
        <is>
          <t>ED210584</t>
        </is>
      </c>
      <c r="B10386" s="56" t="n">
        <v>45925.47152777778</v>
      </c>
      <c r="C10386" t="inlineStr">
        <is>
          <t>Bluestone Memorial Hospital</t>
        </is>
      </c>
      <c r="D10386" t="n">
        <v>194</v>
      </c>
    </row>
    <row r="10387">
      <c r="A10387" t="inlineStr">
        <is>
          <t>ED210585</t>
        </is>
      </c>
      <c r="B10387" s="56" t="n">
        <v>45925.52638888889</v>
      </c>
      <c r="C10387" t="inlineStr">
        <is>
          <t>Cedar Ridge Medical Center</t>
        </is>
      </c>
      <c r="D10387" t="n">
        <v>31</v>
      </c>
    </row>
    <row r="10388">
      <c r="A10388" t="inlineStr">
        <is>
          <t>ED210586</t>
        </is>
      </c>
      <c r="B10388" s="56" t="n">
        <v>45925.56736111111</v>
      </c>
      <c r="C10388" t="inlineStr">
        <is>
          <t>Bluestone Memorial Hospital</t>
        </is>
      </c>
      <c r="D10388" t="n">
        <v>138</v>
      </c>
    </row>
    <row r="10389">
      <c r="A10389" t="inlineStr">
        <is>
          <t>ED210587</t>
        </is>
      </c>
      <c r="B10389" s="56" t="n">
        <v>45925.70347222222</v>
      </c>
      <c r="C10389" t="inlineStr">
        <is>
          <t>Cedar Ridge Medical Center</t>
        </is>
      </c>
      <c r="D10389" t="n">
        <v>52</v>
      </c>
    </row>
    <row r="10390">
      <c r="A10390" t="inlineStr">
        <is>
          <t>ED210588</t>
        </is>
      </c>
      <c r="B10390" s="56" t="n">
        <v>45925.73194444444</v>
      </c>
      <c r="C10390" t="inlineStr">
        <is>
          <t>Cedar Ridge Medical Center</t>
        </is>
      </c>
      <c r="D10390" t="n">
        <v>46</v>
      </c>
    </row>
    <row r="10391">
      <c r="A10391" t="inlineStr">
        <is>
          <t>ED210589</t>
        </is>
      </c>
      <c r="B10391" s="56" t="n">
        <v>45925.92708333334</v>
      </c>
      <c r="C10391" t="inlineStr">
        <is>
          <t>Ashby Falls Community Hospital</t>
        </is>
      </c>
      <c r="D10391" t="n">
        <v>70</v>
      </c>
    </row>
    <row r="10392">
      <c r="A10392" t="inlineStr">
        <is>
          <t>ED210590</t>
        </is>
      </c>
      <c r="B10392" s="56" t="n">
        <v>45926.35902777778</v>
      </c>
      <c r="C10392" t="inlineStr">
        <is>
          <t>Bluestone Memorial Hospital</t>
        </is>
      </c>
      <c r="D10392" t="n">
        <v>56</v>
      </c>
    </row>
    <row r="10393">
      <c r="A10393" t="inlineStr">
        <is>
          <t>ED210591</t>
        </is>
      </c>
      <c r="B10393" s="56" t="n">
        <v>45926.37569444445</v>
      </c>
      <c r="C10393" t="inlineStr">
        <is>
          <t>Bluestone Memorial Hospital</t>
        </is>
      </c>
      <c r="D10393" t="n">
        <v>32</v>
      </c>
    </row>
    <row r="10394">
      <c r="A10394" t="inlineStr">
        <is>
          <t>ED210592</t>
        </is>
      </c>
      <c r="B10394" s="56" t="n">
        <v>45926.42986111111</v>
      </c>
      <c r="C10394" t="inlineStr">
        <is>
          <t>Bluestone Memorial Hospital</t>
        </is>
      </c>
      <c r="D10394" t="n">
        <v>21</v>
      </c>
    </row>
    <row r="10395">
      <c r="A10395" t="inlineStr">
        <is>
          <t>ED210593</t>
        </is>
      </c>
      <c r="B10395" s="56" t="n">
        <v>45926.46319444444</v>
      </c>
      <c r="C10395" t="inlineStr">
        <is>
          <t>Ashby Falls Community Hospital</t>
        </is>
      </c>
      <c r="D10395" t="n">
        <v>28</v>
      </c>
    </row>
    <row r="10396">
      <c r="A10396" t="inlineStr">
        <is>
          <t>ED210595</t>
        </is>
      </c>
      <c r="B10396" s="56" t="n">
        <v>45926.55833333333</v>
      </c>
      <c r="C10396" t="inlineStr">
        <is>
          <t>Ashby Falls Community Hospital</t>
        </is>
      </c>
      <c r="D10396" t="n">
        <v>45</v>
      </c>
    </row>
    <row r="10397">
      <c r="A10397" t="inlineStr">
        <is>
          <t>ED210596</t>
        </is>
      </c>
      <c r="B10397" s="56" t="n">
        <v>45926.57916666667</v>
      </c>
      <c r="C10397" t="inlineStr">
        <is>
          <t>Bluestone Memorial Hospital</t>
        </is>
      </c>
      <c r="D10397" t="n">
        <v>57</v>
      </c>
    </row>
    <row r="10398">
      <c r="A10398" t="inlineStr">
        <is>
          <t>ED210597</t>
        </is>
      </c>
      <c r="B10398" s="56" t="n">
        <v>45926.60833333333</v>
      </c>
      <c r="C10398" t="inlineStr">
        <is>
          <t>Cedar Ridge Medical Center</t>
        </is>
      </c>
      <c r="D10398" t="n">
        <v>38</v>
      </c>
    </row>
    <row r="10399">
      <c r="A10399" t="inlineStr">
        <is>
          <t>ED210598</t>
        </is>
      </c>
      <c r="B10399" s="56" t="n">
        <v>45926.61944444444</v>
      </c>
      <c r="C10399" t="inlineStr">
        <is>
          <t>Bluestone Memorial Hospital</t>
        </is>
      </c>
      <c r="D10399" t="n">
        <v>84</v>
      </c>
    </row>
    <row r="10400">
      <c r="A10400" t="inlineStr">
        <is>
          <t>ED210599</t>
        </is>
      </c>
      <c r="B10400" s="56" t="n">
        <v>45926.62222222222</v>
      </c>
      <c r="C10400" t="inlineStr">
        <is>
          <t>Bluestone Memorial Hospital</t>
        </is>
      </c>
      <c r="D10400" t="n">
        <v>58</v>
      </c>
    </row>
    <row r="10401">
      <c r="A10401" t="inlineStr">
        <is>
          <t>ED210600</t>
        </is>
      </c>
      <c r="B10401" s="56" t="n">
        <v>45926.74236111111</v>
      </c>
      <c r="C10401" t="inlineStr">
        <is>
          <t>Bluestone Memorial Hospital</t>
        </is>
      </c>
      <c r="D10401" t="n">
        <v>43</v>
      </c>
    </row>
    <row r="10402">
      <c r="A10402" t="inlineStr">
        <is>
          <t>ED210601</t>
        </is>
      </c>
      <c r="B10402" s="56" t="n">
        <v>45926.75</v>
      </c>
      <c r="C10402" t="inlineStr">
        <is>
          <t>Cedar Ridge Medical Center</t>
        </is>
      </c>
      <c r="D10402" t="n">
        <v>16</v>
      </c>
    </row>
    <row r="10403">
      <c r="A10403" t="inlineStr">
        <is>
          <t>ED210602</t>
        </is>
      </c>
      <c r="B10403" s="56" t="n">
        <v>45926.77291666667</v>
      </c>
      <c r="C10403" t="inlineStr">
        <is>
          <t>Ashby Falls Community Hospital</t>
        </is>
      </c>
      <c r="D10403" t="n">
        <v>170</v>
      </c>
    </row>
    <row r="10404">
      <c r="A10404" t="inlineStr">
        <is>
          <t>ED210603</t>
        </is>
      </c>
      <c r="B10404" s="56" t="n">
        <v>45926.84652777778</v>
      </c>
      <c r="C10404" t="inlineStr">
        <is>
          <t>Bluestone Memorial Hospital</t>
        </is>
      </c>
      <c r="D10404" t="n">
        <v>21</v>
      </c>
    </row>
    <row r="10405">
      <c r="A10405" t="inlineStr">
        <is>
          <t>ED210604</t>
        </is>
      </c>
      <c r="B10405" s="56" t="n">
        <v>45926.87708333333</v>
      </c>
      <c r="C10405" t="inlineStr">
        <is>
          <t>Bluestone Memorial Hospital</t>
        </is>
      </c>
      <c r="D10405" t="n">
        <v>22</v>
      </c>
    </row>
    <row r="10406">
      <c r="A10406" t="inlineStr">
        <is>
          <t>ED210605</t>
        </is>
      </c>
      <c r="B10406" s="56" t="n">
        <v>45927.3</v>
      </c>
      <c r="C10406" t="inlineStr">
        <is>
          <t>Bluestone Memorial Hospital</t>
        </is>
      </c>
      <c r="D10406" t="n">
        <v>79</v>
      </c>
    </row>
    <row r="10407">
      <c r="A10407" t="inlineStr">
        <is>
          <t>ED210606</t>
        </is>
      </c>
      <c r="B10407" s="56" t="n">
        <v>45927.37708333333</v>
      </c>
      <c r="C10407" t="inlineStr">
        <is>
          <t>Ashby Falls Community Hospital</t>
        </is>
      </c>
      <c r="D10407" t="n">
        <v>61</v>
      </c>
    </row>
    <row r="10408">
      <c r="A10408" t="inlineStr">
        <is>
          <t>ED210607</t>
        </is>
      </c>
      <c r="B10408" s="56" t="n">
        <v>45927.40625</v>
      </c>
      <c r="C10408" t="inlineStr">
        <is>
          <t>Bluestone Memorial Hospital</t>
        </is>
      </c>
      <c r="D10408" t="n">
        <v>36</v>
      </c>
    </row>
    <row r="10409">
      <c r="A10409" t="inlineStr">
        <is>
          <t>ED210608</t>
        </is>
      </c>
      <c r="B10409" s="56" t="n">
        <v>45927.425</v>
      </c>
      <c r="C10409" t="inlineStr">
        <is>
          <t>Bluestone Memorial Hospital</t>
        </is>
      </c>
      <c r="D10409" t="n">
        <v>40</v>
      </c>
    </row>
    <row r="10410">
      <c r="A10410" t="inlineStr">
        <is>
          <t>ED210609</t>
        </is>
      </c>
      <c r="B10410" s="56" t="n">
        <v>45927.42986111111</v>
      </c>
      <c r="C10410" t="inlineStr">
        <is>
          <t>Bluestone Memorial Hospital</t>
        </is>
      </c>
      <c r="D10410" t="n">
        <v>33</v>
      </c>
    </row>
    <row r="10411">
      <c r="A10411" t="inlineStr">
        <is>
          <t>ED210610</t>
        </is>
      </c>
      <c r="B10411" s="56" t="n">
        <v>45927.49791666667</v>
      </c>
      <c r="C10411" t="inlineStr">
        <is>
          <t>Cedar Ridge Medical Center</t>
        </is>
      </c>
      <c r="D10411" t="n">
        <v>52</v>
      </c>
    </row>
    <row r="10412">
      <c r="A10412" t="inlineStr">
        <is>
          <t>ED210611</t>
        </is>
      </c>
      <c r="B10412" s="56" t="n">
        <v>45927.62916666667</v>
      </c>
      <c r="C10412" t="inlineStr">
        <is>
          <t>Bluestone Memorial Hospital</t>
        </is>
      </c>
      <c r="D10412" t="n">
        <v>26</v>
      </c>
    </row>
    <row r="10413">
      <c r="A10413" t="inlineStr">
        <is>
          <t>ED210612</t>
        </is>
      </c>
      <c r="B10413" s="56" t="n">
        <v>45927.65833333333</v>
      </c>
      <c r="C10413" t="inlineStr">
        <is>
          <t>Bluestone Memorial Hospital</t>
        </is>
      </c>
      <c r="D10413" t="n">
        <v>3</v>
      </c>
    </row>
    <row r="10414">
      <c r="A10414" t="inlineStr">
        <is>
          <t>ED210613</t>
        </is>
      </c>
      <c r="B10414" s="56" t="n">
        <v>45927.66597222222</v>
      </c>
      <c r="C10414" t="inlineStr">
        <is>
          <t>Bluestone Memorial Hospital</t>
        </is>
      </c>
      <c r="D10414" t="n">
        <v>31</v>
      </c>
    </row>
    <row r="10415">
      <c r="A10415" t="inlineStr">
        <is>
          <t>ED210614</t>
        </is>
      </c>
      <c r="B10415" s="56" t="n">
        <v>45927.78194444445</v>
      </c>
      <c r="C10415" t="inlineStr">
        <is>
          <t>Bluestone Memorial Hospital</t>
        </is>
      </c>
      <c r="D10415" t="n">
        <v>26</v>
      </c>
    </row>
    <row r="10416">
      <c r="A10416" t="inlineStr">
        <is>
          <t>ED210615</t>
        </is>
      </c>
      <c r="B10416" s="56" t="n">
        <v>45927.78819444445</v>
      </c>
      <c r="C10416" t="inlineStr">
        <is>
          <t>Bluestone Memorial Hospital</t>
        </is>
      </c>
      <c r="D10416" t="n">
        <v>53</v>
      </c>
    </row>
    <row r="10417">
      <c r="A10417" t="inlineStr">
        <is>
          <t>ED210616</t>
        </is>
      </c>
      <c r="B10417" s="56" t="n">
        <v>45927.92083333333</v>
      </c>
      <c r="C10417" t="inlineStr">
        <is>
          <t>Cedar Ridge Medical Center</t>
        </is>
      </c>
      <c r="D10417" t="n">
        <v>36</v>
      </c>
    </row>
    <row r="10418">
      <c r="A10418" t="inlineStr">
        <is>
          <t>ED210617</t>
        </is>
      </c>
      <c r="B10418" s="56" t="n">
        <v>45927.96458333333</v>
      </c>
      <c r="C10418" t="inlineStr">
        <is>
          <t>Cedar Ridge Medical Center</t>
        </is>
      </c>
      <c r="D10418" t="n">
        <v>13</v>
      </c>
    </row>
    <row r="10419">
      <c r="A10419" t="inlineStr">
        <is>
          <t>ED210618</t>
        </is>
      </c>
      <c r="B10419" s="56" t="n">
        <v>45927.97916666666</v>
      </c>
      <c r="C10419" t="inlineStr">
        <is>
          <t>Bluestone Memorial Hospital</t>
        </is>
      </c>
      <c r="D10419" t="n">
        <v>16</v>
      </c>
    </row>
    <row r="10420">
      <c r="A10420" t="inlineStr">
        <is>
          <t>ED210619</t>
        </is>
      </c>
      <c r="B10420" s="56" t="n">
        <v>45928.14305555556</v>
      </c>
      <c r="C10420" t="inlineStr">
        <is>
          <t>Bluestone Memorial Hospital</t>
        </is>
      </c>
      <c r="D10420" t="n">
        <v>53</v>
      </c>
    </row>
    <row r="10421">
      <c r="A10421" t="inlineStr">
        <is>
          <t>ED210620</t>
        </is>
      </c>
      <c r="B10421" s="56" t="n">
        <v>45928.1625</v>
      </c>
      <c r="C10421" t="inlineStr">
        <is>
          <t>Bluestone Memorial Hospital</t>
        </is>
      </c>
      <c r="D10421" t="n">
        <v>35</v>
      </c>
    </row>
    <row r="10422">
      <c r="A10422" t="inlineStr">
        <is>
          <t>ED210621</t>
        </is>
      </c>
      <c r="B10422" s="56" t="n">
        <v>45928.20208333333</v>
      </c>
      <c r="C10422" t="inlineStr">
        <is>
          <t>Bluestone Memorial Hospital</t>
        </is>
      </c>
      <c r="D10422" t="n">
        <v>59</v>
      </c>
    </row>
    <row r="10423">
      <c r="A10423" t="inlineStr">
        <is>
          <t>ED210622</t>
        </is>
      </c>
      <c r="B10423" s="56" t="n">
        <v>45928.43333333333</v>
      </c>
      <c r="C10423" t="inlineStr">
        <is>
          <t>Ashby Falls Community Hospital</t>
        </is>
      </c>
      <c r="D10423" t="n">
        <v>28</v>
      </c>
    </row>
    <row r="10424">
      <c r="A10424" t="inlineStr">
        <is>
          <t>ED210623</t>
        </is>
      </c>
      <c r="B10424" s="56" t="n">
        <v>45928.45902777778</v>
      </c>
      <c r="C10424" t="inlineStr">
        <is>
          <t>Bluestone Memorial Hospital</t>
        </is>
      </c>
      <c r="D10424" t="n">
        <v>34</v>
      </c>
    </row>
    <row r="10425">
      <c r="A10425" t="inlineStr">
        <is>
          <t>ED210624</t>
        </is>
      </c>
      <c r="B10425" s="56" t="n">
        <v>45928.45972222222</v>
      </c>
      <c r="C10425" t="inlineStr">
        <is>
          <t>Cedar Ridge Medical Center</t>
        </is>
      </c>
      <c r="D10425" t="n">
        <v>38</v>
      </c>
    </row>
    <row r="10426">
      <c r="A10426" t="inlineStr">
        <is>
          <t>ED210625</t>
        </is>
      </c>
      <c r="B10426" s="56" t="n">
        <v>45928.48263888889</v>
      </c>
      <c r="C10426" t="inlineStr">
        <is>
          <t>Bluestone Memorial Hospital</t>
        </is>
      </c>
      <c r="D10426" t="n">
        <v>105</v>
      </c>
    </row>
    <row r="10427">
      <c r="A10427" t="inlineStr">
        <is>
          <t>ED210626</t>
        </is>
      </c>
      <c r="B10427" s="56" t="n">
        <v>45928.52708333333</v>
      </c>
      <c r="C10427" t="inlineStr">
        <is>
          <t>Bluestone Memorial Hospital</t>
        </is>
      </c>
      <c r="D10427" t="n">
        <v>41</v>
      </c>
    </row>
    <row r="10428">
      <c r="A10428" t="inlineStr">
        <is>
          <t>ED210627</t>
        </is>
      </c>
      <c r="B10428" s="56" t="n">
        <v>45928.74236111111</v>
      </c>
      <c r="C10428" t="inlineStr">
        <is>
          <t>Bluestone Memorial Hospital</t>
        </is>
      </c>
      <c r="D10428" t="n">
        <v>44</v>
      </c>
    </row>
    <row r="10429">
      <c r="A10429" t="inlineStr">
        <is>
          <t>ED210628</t>
        </is>
      </c>
      <c r="B10429" s="56" t="n">
        <v>45928.77361111111</v>
      </c>
      <c r="C10429" t="inlineStr">
        <is>
          <t>Bluestone Memorial Hospital</t>
        </is>
      </c>
      <c r="D10429" t="n">
        <v>27</v>
      </c>
    </row>
    <row r="10430">
      <c r="A10430" t="inlineStr">
        <is>
          <t>ED210629</t>
        </is>
      </c>
      <c r="B10430" s="56" t="n">
        <v>45928.86736111111</v>
      </c>
      <c r="C10430" t="inlineStr">
        <is>
          <t>Cedar Ridge Medical Center</t>
        </is>
      </c>
      <c r="D10430" t="n">
        <v>91</v>
      </c>
    </row>
    <row r="10431">
      <c r="A10431" t="inlineStr">
        <is>
          <t>ED210630</t>
        </is>
      </c>
      <c r="B10431" s="56" t="n">
        <v>45928.92222222222</v>
      </c>
      <c r="C10431" t="inlineStr">
        <is>
          <t>Cedar Ridge Medical Center</t>
        </is>
      </c>
      <c r="D10431" t="n">
        <v>18</v>
      </c>
    </row>
    <row r="10432">
      <c r="A10432" t="inlineStr">
        <is>
          <t>ED210631</t>
        </is>
      </c>
      <c r="B10432" s="56" t="n">
        <v>45929.18402777778</v>
      </c>
      <c r="C10432" t="inlineStr">
        <is>
          <t>Bluestone Memorial Hospital</t>
        </is>
      </c>
      <c r="D10432" t="n">
        <v>26</v>
      </c>
    </row>
    <row r="10433">
      <c r="A10433" t="inlineStr">
        <is>
          <t>ED210632</t>
        </is>
      </c>
      <c r="B10433" s="56" t="n">
        <v>45929.31041666667</v>
      </c>
      <c r="C10433" t="inlineStr">
        <is>
          <t>Ashby Falls Community Hospital</t>
        </is>
      </c>
      <c r="D10433" t="n">
        <v>67</v>
      </c>
    </row>
    <row r="10434">
      <c r="A10434" t="inlineStr">
        <is>
          <t>ED210633</t>
        </is>
      </c>
      <c r="B10434" s="56" t="n">
        <v>45929.375</v>
      </c>
      <c r="C10434" t="inlineStr">
        <is>
          <t>Cedar Ridge Medical Center</t>
        </is>
      </c>
      <c r="D10434" t="n">
        <v>17</v>
      </c>
    </row>
    <row r="10435">
      <c r="A10435" t="inlineStr">
        <is>
          <t>ED210634</t>
        </is>
      </c>
      <c r="B10435" s="56" t="n">
        <v>45929.37986111111</v>
      </c>
      <c r="C10435" t="inlineStr">
        <is>
          <t>Bluestone Memorial Hospital</t>
        </is>
      </c>
      <c r="D10435" t="n">
        <v>30</v>
      </c>
    </row>
    <row r="10436">
      <c r="A10436" t="inlineStr">
        <is>
          <t>ED210635</t>
        </is>
      </c>
      <c r="B10436" s="56" t="n">
        <v>45929.39375</v>
      </c>
      <c r="C10436" t="inlineStr">
        <is>
          <t>Bluestone Memorial Hospital</t>
        </is>
      </c>
      <c r="D10436" t="n">
        <v>15</v>
      </c>
    </row>
    <row r="10437">
      <c r="A10437" t="inlineStr">
        <is>
          <t>ED210636</t>
        </is>
      </c>
      <c r="B10437" s="56" t="n">
        <v>45929.49166666667</v>
      </c>
      <c r="C10437" t="inlineStr">
        <is>
          <t>Bluestone Memorial Hospital</t>
        </is>
      </c>
      <c r="D10437" t="n">
        <v>40</v>
      </c>
    </row>
    <row r="10438">
      <c r="A10438" t="inlineStr">
        <is>
          <t>ED210637</t>
        </is>
      </c>
      <c r="B10438" s="56" t="n">
        <v>45929.49583333333</v>
      </c>
      <c r="C10438" t="inlineStr">
        <is>
          <t>Cedar Ridge Medical Center</t>
        </is>
      </c>
      <c r="D10438" t="n">
        <v>79</v>
      </c>
    </row>
    <row r="10439">
      <c r="A10439" t="inlineStr">
        <is>
          <t>ED210638</t>
        </is>
      </c>
      <c r="B10439" s="56" t="n">
        <v>45929.5375</v>
      </c>
      <c r="C10439" t="inlineStr">
        <is>
          <t>Bluestone Memorial Hospital</t>
        </is>
      </c>
      <c r="D10439" t="n">
        <v>86</v>
      </c>
    </row>
    <row r="10440">
      <c r="A10440" t="inlineStr">
        <is>
          <t>ED210639</t>
        </is>
      </c>
      <c r="B10440" s="56" t="n">
        <v>45929.55069444444</v>
      </c>
      <c r="C10440" t="inlineStr">
        <is>
          <t>Bluestone Memorial Hospital</t>
        </is>
      </c>
      <c r="D10440" t="n">
        <v>45</v>
      </c>
    </row>
    <row r="10441">
      <c r="A10441" t="inlineStr">
        <is>
          <t>ED210640</t>
        </is>
      </c>
      <c r="B10441" s="56" t="n">
        <v>45929.79166666666</v>
      </c>
      <c r="C10441" t="inlineStr">
        <is>
          <t>Cedar Ridge Medical Center</t>
        </is>
      </c>
      <c r="D10441" t="n">
        <v>45</v>
      </c>
    </row>
    <row r="10442">
      <c r="A10442" t="inlineStr">
        <is>
          <t>ED210641</t>
        </is>
      </c>
      <c r="B10442" s="56" t="n">
        <v>45929.79166666666</v>
      </c>
      <c r="C10442" t="inlineStr">
        <is>
          <t>Cedar Ridge Medical Center</t>
        </is>
      </c>
      <c r="D10442" t="n">
        <v>27</v>
      </c>
    </row>
    <row r="10443">
      <c r="A10443" t="inlineStr">
        <is>
          <t>ED210642</t>
        </is>
      </c>
      <c r="B10443" s="56" t="n">
        <v>45929.79444444444</v>
      </c>
      <c r="C10443" t="inlineStr">
        <is>
          <t>Bluestone Memorial Hospital</t>
        </is>
      </c>
      <c r="D10443" t="n">
        <v>27</v>
      </c>
    </row>
    <row r="10444">
      <c r="A10444" t="inlineStr">
        <is>
          <t>ED210643</t>
        </is>
      </c>
      <c r="B10444" s="56" t="n">
        <v>45929.86944444444</v>
      </c>
      <c r="C10444" t="inlineStr">
        <is>
          <t>Ashby Falls Community Hospital</t>
        </is>
      </c>
      <c r="D10444" t="n">
        <v>132</v>
      </c>
    </row>
    <row r="10445">
      <c r="A10445" t="inlineStr">
        <is>
          <t>ED210644</t>
        </is>
      </c>
      <c r="B10445" s="56" t="n">
        <v>45929.95416666667</v>
      </c>
      <c r="C10445" t="inlineStr">
        <is>
          <t>Ashby Falls Community Hospital</t>
        </is>
      </c>
      <c r="D10445" t="n">
        <v>65</v>
      </c>
    </row>
    <row r="10446">
      <c r="A10446" t="inlineStr">
        <is>
          <t>ED210645</t>
        </is>
      </c>
      <c r="B10446" s="56" t="n">
        <v>45929.95902777778</v>
      </c>
      <c r="C10446" t="inlineStr">
        <is>
          <t>Cedar Ridge Medical Center</t>
        </is>
      </c>
      <c r="D10446" t="n">
        <v>45</v>
      </c>
    </row>
    <row r="10447">
      <c r="A10447" t="inlineStr">
        <is>
          <t>ED210646</t>
        </is>
      </c>
      <c r="B10447" s="56" t="n">
        <v>45930.00555555556</v>
      </c>
      <c r="C10447" t="inlineStr">
        <is>
          <t>Cedar Ridge Medical Center</t>
        </is>
      </c>
      <c r="D10447" t="n">
        <v>96</v>
      </c>
    </row>
    <row r="10448">
      <c r="A10448" t="inlineStr">
        <is>
          <t>ED210647</t>
        </is>
      </c>
      <c r="B10448" s="56" t="n">
        <v>45930.01597222222</v>
      </c>
      <c r="C10448" t="inlineStr">
        <is>
          <t>Bluestone Memorial Hospital</t>
        </is>
      </c>
      <c r="D10448" t="n">
        <v>11</v>
      </c>
    </row>
    <row r="10449">
      <c r="A10449" t="inlineStr">
        <is>
          <t>ED210648</t>
        </is>
      </c>
      <c r="B10449" s="56" t="n">
        <v>45930.04583333333</v>
      </c>
      <c r="C10449" t="inlineStr">
        <is>
          <t>Bluestone Memorial Hospital</t>
        </is>
      </c>
      <c r="D10449" t="n">
        <v>36</v>
      </c>
    </row>
    <row r="10450">
      <c r="A10450" t="inlineStr">
        <is>
          <t>ED210649</t>
        </is>
      </c>
      <c r="B10450" s="56" t="n">
        <v>45930.375</v>
      </c>
      <c r="C10450" t="inlineStr">
        <is>
          <t>Bluestone Memorial Hospital</t>
        </is>
      </c>
      <c r="D10450" t="n">
        <v>62</v>
      </c>
    </row>
    <row r="10451">
      <c r="A10451" t="inlineStr">
        <is>
          <t>ED210650</t>
        </is>
      </c>
      <c r="B10451" s="56" t="n">
        <v>45930.45694444444</v>
      </c>
      <c r="C10451" t="inlineStr">
        <is>
          <t>Bluestone Memorial Hospital</t>
        </is>
      </c>
      <c r="D10451" t="n">
        <v>30</v>
      </c>
    </row>
    <row r="10452">
      <c r="A10452" t="inlineStr">
        <is>
          <t>ED210651</t>
        </is>
      </c>
      <c r="B10452" s="56" t="n">
        <v>45930.51944444444</v>
      </c>
      <c r="C10452" t="inlineStr">
        <is>
          <t>Bluestone Memorial Hospital</t>
        </is>
      </c>
      <c r="D10452" t="n">
        <v>64</v>
      </c>
    </row>
    <row r="10453">
      <c r="A10453" t="inlineStr">
        <is>
          <t>ED210652</t>
        </is>
      </c>
      <c r="B10453" s="56" t="n">
        <v>45930.53125</v>
      </c>
      <c r="C10453" t="inlineStr">
        <is>
          <t>Bluestone Memorial Hospital</t>
        </is>
      </c>
      <c r="D10453" t="n">
        <v>25</v>
      </c>
    </row>
    <row r="10454">
      <c r="A10454" t="inlineStr">
        <is>
          <t>ED210653</t>
        </is>
      </c>
      <c r="B10454" s="56" t="n">
        <v>45930.54166666666</v>
      </c>
      <c r="C10454" t="inlineStr">
        <is>
          <t>Bluestone Memorial Hospital</t>
        </is>
      </c>
      <c r="D10454" t="n">
        <v>38</v>
      </c>
    </row>
    <row r="10455">
      <c r="A10455" t="inlineStr">
        <is>
          <t>ED210654</t>
        </is>
      </c>
      <c r="B10455" s="56" t="n">
        <v>45930.61875</v>
      </c>
      <c r="C10455" t="inlineStr">
        <is>
          <t>Bluestone Memorial Hospital</t>
        </is>
      </c>
      <c r="D10455" t="n">
        <v>71</v>
      </c>
    </row>
    <row r="10456">
      <c r="A10456" t="inlineStr">
        <is>
          <t>ED210655</t>
        </is>
      </c>
      <c r="B10456" s="56" t="n">
        <v>45930.70555555556</v>
      </c>
      <c r="C10456" t="inlineStr">
        <is>
          <t>Bluestone Memorial Hospital</t>
        </is>
      </c>
      <c r="D10456" t="n">
        <v>46</v>
      </c>
    </row>
    <row r="10457">
      <c r="A10457" t="inlineStr">
        <is>
          <t>ED210656</t>
        </is>
      </c>
      <c r="B10457" s="56" t="n">
        <v>45930.76805555556</v>
      </c>
      <c r="C10457" t="inlineStr">
        <is>
          <t>Cedar Ridge Medical Center</t>
        </is>
      </c>
      <c r="D10457" t="n">
        <v>11</v>
      </c>
    </row>
    <row r="10458">
      <c r="A10458" t="inlineStr">
        <is>
          <t>ED210657</t>
        </is>
      </c>
      <c r="B10458" s="56" t="n">
        <v>45930.76875</v>
      </c>
      <c r="C10458" t="inlineStr">
        <is>
          <t>Bluestone Memorial Hospital</t>
        </is>
      </c>
      <c r="D10458" t="n">
        <v>15</v>
      </c>
    </row>
    <row r="10459">
      <c r="A10459" t="inlineStr">
        <is>
          <t>ED210658</t>
        </is>
      </c>
      <c r="B10459" s="56" t="n">
        <v>45930.7875</v>
      </c>
      <c r="C10459" t="inlineStr">
        <is>
          <t>Bluestone Memorial Hospital</t>
        </is>
      </c>
      <c r="D10459" t="n">
        <v>60</v>
      </c>
    </row>
    <row r="10460">
      <c r="A10460" t="inlineStr">
        <is>
          <t>ED210659</t>
        </is>
      </c>
      <c r="B10460" s="56" t="n">
        <v>45930.79930555556</v>
      </c>
      <c r="C10460" t="inlineStr">
        <is>
          <t>Bluestone Memorial Hospital</t>
        </is>
      </c>
      <c r="D10460" t="n">
        <v>53</v>
      </c>
    </row>
    <row r="10461">
      <c r="A10461" t="inlineStr">
        <is>
          <t>ED210660</t>
        </is>
      </c>
      <c r="B10461" s="56" t="n">
        <v>45930.80486111111</v>
      </c>
      <c r="C10461" t="inlineStr">
        <is>
          <t>Bluestone Memorial Hospital</t>
        </is>
      </c>
      <c r="D10461" t="n">
        <v>38</v>
      </c>
    </row>
    <row r="10462">
      <c r="A10462" t="inlineStr">
        <is>
          <t>ED210661</t>
        </is>
      </c>
      <c r="B10462" s="56" t="n">
        <v>45930.85625</v>
      </c>
      <c r="C10462" t="inlineStr">
        <is>
          <t>Bluestone Memorial Hospital</t>
        </is>
      </c>
      <c r="D10462" t="n">
        <v>53</v>
      </c>
    </row>
    <row r="10463">
      <c r="A10463" t="inlineStr">
        <is>
          <t>ED210662</t>
        </is>
      </c>
      <c r="B10463" s="56" t="n">
        <v>45930.90555555555</v>
      </c>
      <c r="C10463" t="inlineStr">
        <is>
          <t>Bluestone Memorial Hospital</t>
        </is>
      </c>
      <c r="D10463" t="n">
        <v>31</v>
      </c>
    </row>
    <row r="10464">
      <c r="A10464" t="inlineStr">
        <is>
          <t>ED210663</t>
        </is>
      </c>
      <c r="B10464" s="56" t="n">
        <v>45930.92638888889</v>
      </c>
      <c r="C10464" t="inlineStr">
        <is>
          <t>Bluestone Memorial Hospital</t>
        </is>
      </c>
      <c r="D10464" t="n">
        <v>34</v>
      </c>
    </row>
    <row r="10465">
      <c r="A10465" t="inlineStr">
        <is>
          <t>ED210664</t>
        </is>
      </c>
      <c r="B10465" s="56" t="n">
        <v>45930.98888888889</v>
      </c>
      <c r="C10465" t="inlineStr">
        <is>
          <t>Ashby Falls Community Hospital</t>
        </is>
      </c>
      <c r="D10465" t="n">
        <v>16</v>
      </c>
    </row>
    <row r="10466">
      <c r="A10466" t="inlineStr">
        <is>
          <t>ED210665</t>
        </is>
      </c>
      <c r="B10466" s="56" t="n">
        <v>45931.13402777778</v>
      </c>
      <c r="C10466" t="inlineStr">
        <is>
          <t>Bluestone Memorial Hospital</t>
        </is>
      </c>
      <c r="D10466" t="n">
        <v>52</v>
      </c>
    </row>
    <row r="10467">
      <c r="A10467" t="inlineStr">
        <is>
          <t>ED210666</t>
        </is>
      </c>
      <c r="B10467" s="56" t="n">
        <v>45931.36041666667</v>
      </c>
      <c r="C10467" t="inlineStr">
        <is>
          <t>Bluestone Memorial Hospital</t>
        </is>
      </c>
      <c r="D10467" t="n">
        <v>33</v>
      </c>
    </row>
    <row r="10468">
      <c r="A10468" t="inlineStr">
        <is>
          <t>ED210667</t>
        </is>
      </c>
      <c r="B10468" s="56" t="n">
        <v>45931.38125</v>
      </c>
      <c r="C10468" t="inlineStr">
        <is>
          <t>Bluestone Memorial Hospital</t>
        </is>
      </c>
      <c r="D10468" t="n">
        <v>52</v>
      </c>
    </row>
    <row r="10469">
      <c r="A10469" t="inlineStr">
        <is>
          <t>ED210668</t>
        </is>
      </c>
      <c r="B10469" s="56" t="n">
        <v>45931.41805555556</v>
      </c>
      <c r="C10469" t="inlineStr">
        <is>
          <t>Bluestone Memorial Hospital</t>
        </is>
      </c>
      <c r="D10469" t="n">
        <v>61</v>
      </c>
    </row>
    <row r="10470">
      <c r="A10470" t="inlineStr">
        <is>
          <t>ED210669</t>
        </is>
      </c>
      <c r="B10470" s="56" t="n">
        <v>45931.42777777778</v>
      </c>
      <c r="C10470" t="inlineStr">
        <is>
          <t>Cedar Ridge Medical Center</t>
        </is>
      </c>
      <c r="D10470" t="n">
        <v>48</v>
      </c>
    </row>
    <row r="10471">
      <c r="A10471" t="inlineStr">
        <is>
          <t>ED210670</t>
        </is>
      </c>
      <c r="B10471" s="56" t="n">
        <v>45931.43611111111</v>
      </c>
      <c r="C10471" t="inlineStr">
        <is>
          <t>Bluestone Memorial Hospital</t>
        </is>
      </c>
      <c r="D10471" t="n">
        <v>105</v>
      </c>
    </row>
    <row r="10472">
      <c r="A10472" t="inlineStr">
        <is>
          <t>ED210671</t>
        </is>
      </c>
      <c r="B10472" s="56" t="n">
        <v>45931.50694444445</v>
      </c>
      <c r="C10472" t="inlineStr">
        <is>
          <t>Bluestone Memorial Hospital</t>
        </is>
      </c>
      <c r="D10472" t="n">
        <v>74</v>
      </c>
    </row>
    <row r="10473">
      <c r="A10473" t="inlineStr">
        <is>
          <t>ED210672</t>
        </is>
      </c>
      <c r="B10473" s="56" t="n">
        <v>45931.53819444445</v>
      </c>
      <c r="C10473" t="inlineStr">
        <is>
          <t>Bluestone Memorial Hospital</t>
        </is>
      </c>
      <c r="D10473" t="n">
        <v>36</v>
      </c>
    </row>
    <row r="10474">
      <c r="A10474" t="inlineStr">
        <is>
          <t>ED210673</t>
        </is>
      </c>
      <c r="B10474" s="56" t="n">
        <v>45931.55694444444</v>
      </c>
      <c r="C10474" t="inlineStr">
        <is>
          <t>Bluestone Memorial Hospital</t>
        </is>
      </c>
      <c r="D10474" t="n">
        <v>38</v>
      </c>
    </row>
    <row r="10475">
      <c r="A10475" t="inlineStr">
        <is>
          <t>ED210674</t>
        </is>
      </c>
      <c r="B10475" s="56" t="n">
        <v>45931.59652777778</v>
      </c>
      <c r="C10475" t="inlineStr">
        <is>
          <t>Cedar Ridge Medical Center</t>
        </is>
      </c>
      <c r="D10475" t="n">
        <v>29</v>
      </c>
    </row>
    <row r="10476">
      <c r="A10476" t="inlineStr">
        <is>
          <t>ED210675</t>
        </is>
      </c>
      <c r="B10476" s="56" t="n">
        <v>45931.69583333333</v>
      </c>
      <c r="C10476" t="inlineStr">
        <is>
          <t>Bluestone Memorial Hospital</t>
        </is>
      </c>
      <c r="D10476" t="n">
        <v>25</v>
      </c>
    </row>
    <row r="10477">
      <c r="A10477" t="inlineStr">
        <is>
          <t>ED210676</t>
        </is>
      </c>
      <c r="B10477" s="56" t="n">
        <v>45931.76736111111</v>
      </c>
      <c r="C10477" t="inlineStr">
        <is>
          <t>Cedar Ridge Medical Center</t>
        </is>
      </c>
      <c r="D10477" t="n">
        <v>12</v>
      </c>
    </row>
    <row r="10478">
      <c r="A10478" t="inlineStr">
        <is>
          <t>ED210677</t>
        </is>
      </c>
      <c r="B10478" s="56" t="n">
        <v>45931.78611111111</v>
      </c>
      <c r="C10478" t="inlineStr">
        <is>
          <t>Ashby Falls Community Hospital</t>
        </is>
      </c>
      <c r="D10478" t="n">
        <v>36</v>
      </c>
    </row>
    <row r="10479">
      <c r="A10479" t="inlineStr">
        <is>
          <t>ED210678</t>
        </is>
      </c>
      <c r="B10479" s="56" t="n">
        <v>45931.81597222222</v>
      </c>
      <c r="C10479" t="inlineStr">
        <is>
          <t>Bluestone Memorial Hospital</t>
        </is>
      </c>
      <c r="D10479" t="n">
        <v>114</v>
      </c>
    </row>
    <row r="10480">
      <c r="A10480" t="inlineStr">
        <is>
          <t>ED210679</t>
        </is>
      </c>
      <c r="B10480" s="56" t="n">
        <v>45932.03680555556</v>
      </c>
      <c r="C10480" t="inlineStr">
        <is>
          <t>Bluestone Memorial Hospital</t>
        </is>
      </c>
      <c r="D10480" t="n">
        <v>51</v>
      </c>
    </row>
    <row r="10481">
      <c r="A10481" t="inlineStr">
        <is>
          <t>ED210680</t>
        </is>
      </c>
      <c r="B10481" s="56" t="n">
        <v>45932.29027777778</v>
      </c>
      <c r="C10481" t="inlineStr">
        <is>
          <t>Bluestone Memorial Hospital</t>
        </is>
      </c>
      <c r="D10481" t="n">
        <v>31</v>
      </c>
    </row>
    <row r="10482">
      <c r="A10482" t="inlineStr">
        <is>
          <t>ED210681</t>
        </is>
      </c>
      <c r="B10482" s="56" t="n">
        <v>45932.33819444444</v>
      </c>
      <c r="C10482" t="inlineStr">
        <is>
          <t>Ashby Falls Community Hospital</t>
        </is>
      </c>
      <c r="D10482" t="n">
        <v>34</v>
      </c>
    </row>
    <row r="10483">
      <c r="A10483" t="inlineStr">
        <is>
          <t>ED210682</t>
        </is>
      </c>
      <c r="B10483" s="56" t="n">
        <v>45932.34583333333</v>
      </c>
      <c r="C10483" t="inlineStr">
        <is>
          <t>Bluestone Memorial Hospital</t>
        </is>
      </c>
      <c r="D10483" t="n">
        <v>28</v>
      </c>
    </row>
    <row r="10484">
      <c r="A10484" t="inlineStr">
        <is>
          <t>ED210683</t>
        </is>
      </c>
      <c r="B10484" s="56" t="n">
        <v>45932.42222222222</v>
      </c>
      <c r="C10484" t="inlineStr">
        <is>
          <t>Bluestone Memorial Hospital</t>
        </is>
      </c>
      <c r="D10484" t="n">
        <v>18</v>
      </c>
    </row>
    <row r="10485">
      <c r="A10485" t="inlineStr">
        <is>
          <t>ED210684</t>
        </is>
      </c>
      <c r="B10485" s="56" t="n">
        <v>45932.45138888889</v>
      </c>
      <c r="C10485" t="inlineStr">
        <is>
          <t>Cedar Ridge Medical Center</t>
        </is>
      </c>
      <c r="D10485" t="n">
        <v>117</v>
      </c>
    </row>
    <row r="10486">
      <c r="A10486" t="inlineStr">
        <is>
          <t>ED210685</t>
        </is>
      </c>
      <c r="B10486" s="56" t="n">
        <v>45932.55972222222</v>
      </c>
      <c r="C10486" t="inlineStr">
        <is>
          <t>Bluestone Memorial Hospital</t>
        </is>
      </c>
      <c r="D10486" t="n">
        <v>86</v>
      </c>
    </row>
    <row r="10487">
      <c r="A10487" t="inlineStr">
        <is>
          <t>ED210686</t>
        </is>
      </c>
      <c r="B10487" s="56" t="n">
        <v>45932.56666666667</v>
      </c>
      <c r="C10487" t="inlineStr">
        <is>
          <t>Bluestone Memorial Hospital</t>
        </is>
      </c>
      <c r="D10487" t="n">
        <v>210</v>
      </c>
    </row>
    <row r="10488">
      <c r="A10488" t="inlineStr">
        <is>
          <t>ED210687</t>
        </is>
      </c>
      <c r="B10488" s="56" t="n">
        <v>45932.63125</v>
      </c>
      <c r="C10488" t="inlineStr">
        <is>
          <t>Cedar Ridge Medical Center</t>
        </is>
      </c>
      <c r="D10488" t="n">
        <v>37</v>
      </c>
    </row>
    <row r="10489">
      <c r="A10489" t="inlineStr">
        <is>
          <t>ED210688</t>
        </is>
      </c>
      <c r="B10489" s="56" t="n">
        <v>45932.69930555556</v>
      </c>
      <c r="C10489" t="inlineStr">
        <is>
          <t>Bluestone Memorial Hospital</t>
        </is>
      </c>
      <c r="D10489" t="n">
        <v>77</v>
      </c>
    </row>
    <row r="10490">
      <c r="A10490" t="inlineStr">
        <is>
          <t>ED210689</t>
        </is>
      </c>
      <c r="B10490" s="56" t="n">
        <v>45932.70138888889</v>
      </c>
      <c r="C10490" t="inlineStr">
        <is>
          <t>Bluestone Memorial Hospital</t>
        </is>
      </c>
      <c r="D10490" t="n">
        <v>44</v>
      </c>
    </row>
    <row r="10491">
      <c r="A10491" t="inlineStr">
        <is>
          <t>ED210690</t>
        </is>
      </c>
      <c r="B10491" s="56" t="n">
        <v>45932.78472222222</v>
      </c>
      <c r="C10491" t="inlineStr">
        <is>
          <t>Cedar Ridge Medical Center</t>
        </is>
      </c>
      <c r="D10491" t="n">
        <v>67</v>
      </c>
    </row>
    <row r="10492">
      <c r="A10492" t="inlineStr">
        <is>
          <t>ED210691</t>
        </is>
      </c>
      <c r="B10492" s="56" t="n">
        <v>45932.85277777778</v>
      </c>
      <c r="C10492" t="inlineStr">
        <is>
          <t>Ashby Falls Community Hospital</t>
        </is>
      </c>
      <c r="D10492" t="n">
        <v>38</v>
      </c>
    </row>
    <row r="10493">
      <c r="A10493" t="inlineStr">
        <is>
          <t>ED210692</t>
        </is>
      </c>
      <c r="B10493" s="56" t="n">
        <v>45932.93055555555</v>
      </c>
      <c r="C10493" t="inlineStr">
        <is>
          <t>Bluestone Memorial Hospital</t>
        </is>
      </c>
      <c r="D10493" t="n">
        <v>57</v>
      </c>
    </row>
    <row r="10494">
      <c r="A10494" t="inlineStr">
        <is>
          <t>ED210693</t>
        </is>
      </c>
      <c r="B10494" s="56" t="n">
        <v>45933.10347222222</v>
      </c>
      <c r="C10494" t="inlineStr">
        <is>
          <t>Bluestone Memorial Hospital</t>
        </is>
      </c>
      <c r="D10494" t="n">
        <v>18</v>
      </c>
    </row>
    <row r="10495">
      <c r="A10495" t="inlineStr">
        <is>
          <t>ED210694</t>
        </is>
      </c>
      <c r="B10495" s="56" t="n">
        <v>45933.11875</v>
      </c>
      <c r="C10495" t="inlineStr">
        <is>
          <t>Bluestone Memorial Hospital</t>
        </is>
      </c>
      <c r="D10495" t="n">
        <v>44</v>
      </c>
    </row>
    <row r="10496">
      <c r="A10496" t="inlineStr">
        <is>
          <t>ED210695</t>
        </is>
      </c>
      <c r="B10496" s="56" t="n">
        <v>45933.2125</v>
      </c>
      <c r="C10496" t="inlineStr">
        <is>
          <t>Bluestone Memorial Hospital</t>
        </is>
      </c>
      <c r="D10496" t="n">
        <v>36</v>
      </c>
    </row>
    <row r="10497">
      <c r="A10497" t="inlineStr">
        <is>
          <t>ED210696</t>
        </is>
      </c>
      <c r="B10497" s="56" t="n">
        <v>45933.24513888889</v>
      </c>
      <c r="C10497" t="inlineStr">
        <is>
          <t>Ashby Falls Community Hospital</t>
        </is>
      </c>
      <c r="D10497" t="n">
        <v>11</v>
      </c>
    </row>
    <row r="10498">
      <c r="A10498" t="inlineStr">
        <is>
          <t>ED210697</t>
        </is>
      </c>
      <c r="B10498" s="56" t="n">
        <v>45933.30763888889</v>
      </c>
      <c r="C10498" t="inlineStr">
        <is>
          <t>Cedar Ridge Medical Center</t>
        </is>
      </c>
      <c r="D10498" t="n">
        <v>67</v>
      </c>
    </row>
    <row r="10499">
      <c r="A10499" t="inlineStr">
        <is>
          <t>ED210698</t>
        </is>
      </c>
      <c r="B10499" s="56" t="n">
        <v>45933.36736111111</v>
      </c>
      <c r="C10499" t="inlineStr">
        <is>
          <t>Bluestone Memorial Hospital</t>
        </is>
      </c>
      <c r="D10499" t="n">
        <v>3</v>
      </c>
    </row>
    <row r="10500">
      <c r="A10500" t="inlineStr">
        <is>
          <t>ED210699</t>
        </is>
      </c>
      <c r="B10500" s="56" t="n">
        <v>45933.39236111111</v>
      </c>
      <c r="C10500" t="inlineStr">
        <is>
          <t>Cedar Ridge Medical Center</t>
        </is>
      </c>
      <c r="D10500" t="n">
        <v>23</v>
      </c>
    </row>
    <row r="10501">
      <c r="A10501" t="inlineStr">
        <is>
          <t>ED210700</t>
        </is>
      </c>
      <c r="B10501" s="56" t="n">
        <v>45933.42916666667</v>
      </c>
      <c r="C10501" t="inlineStr">
        <is>
          <t>Bluestone Memorial Hospital</t>
        </is>
      </c>
      <c r="D10501" t="n">
        <v>56</v>
      </c>
    </row>
    <row r="10502">
      <c r="A10502" t="inlineStr">
        <is>
          <t>ED210701</t>
        </is>
      </c>
      <c r="B10502" s="56" t="n">
        <v>45933.49236111111</v>
      </c>
      <c r="C10502" t="inlineStr">
        <is>
          <t>Cedar Ridge Medical Center</t>
        </is>
      </c>
      <c r="D10502" t="n">
        <v>47</v>
      </c>
    </row>
    <row r="10503">
      <c r="A10503" t="inlineStr">
        <is>
          <t>ED210702</t>
        </is>
      </c>
      <c r="B10503" s="56" t="n">
        <v>45933.50555555556</v>
      </c>
      <c r="C10503" t="inlineStr">
        <is>
          <t>Ashby Falls Community Hospital</t>
        </is>
      </c>
      <c r="D10503" t="n">
        <v>18</v>
      </c>
    </row>
    <row r="10504">
      <c r="A10504" t="inlineStr">
        <is>
          <t>ED210703</t>
        </is>
      </c>
      <c r="B10504" s="56" t="n">
        <v>45933.54444444444</v>
      </c>
      <c r="C10504" t="inlineStr">
        <is>
          <t>Bluestone Memorial Hospital</t>
        </is>
      </c>
      <c r="D10504" t="n">
        <v>36</v>
      </c>
    </row>
    <row r="10505">
      <c r="A10505" t="inlineStr">
        <is>
          <t>ED210704</t>
        </is>
      </c>
      <c r="B10505" s="56" t="n">
        <v>45933.575</v>
      </c>
      <c r="C10505" t="inlineStr">
        <is>
          <t>Bluestone Memorial Hospital</t>
        </is>
      </c>
      <c r="D10505" t="n">
        <v>95</v>
      </c>
    </row>
    <row r="10506">
      <c r="A10506" t="inlineStr">
        <is>
          <t>ED210705</t>
        </is>
      </c>
      <c r="B10506" s="56" t="n">
        <v>45933.59444444445</v>
      </c>
      <c r="C10506" t="inlineStr">
        <is>
          <t>Bluestone Memorial Hospital</t>
        </is>
      </c>
      <c r="D10506" t="n">
        <v>22</v>
      </c>
    </row>
    <row r="10507">
      <c r="A10507" t="inlineStr">
        <is>
          <t>ED210706</t>
        </is>
      </c>
      <c r="B10507" s="56" t="n">
        <v>45933.61388888889</v>
      </c>
      <c r="C10507" t="inlineStr">
        <is>
          <t>Ashby Falls Community Hospital</t>
        </is>
      </c>
      <c r="D10507" t="n">
        <v>35</v>
      </c>
    </row>
    <row r="10508">
      <c r="A10508" t="inlineStr">
        <is>
          <t>ED210707</t>
        </is>
      </c>
      <c r="B10508" s="56" t="n">
        <v>45933.69930555556</v>
      </c>
      <c r="C10508" t="inlineStr">
        <is>
          <t>Ashby Falls Community Hospital</t>
        </is>
      </c>
      <c r="D10508" t="n">
        <v>23</v>
      </c>
    </row>
    <row r="10509">
      <c r="A10509" t="inlineStr">
        <is>
          <t>ED210708</t>
        </is>
      </c>
      <c r="B10509" s="56" t="n">
        <v>45933.73402777778</v>
      </c>
      <c r="C10509" t="inlineStr">
        <is>
          <t>Bluestone Memorial Hospital</t>
        </is>
      </c>
      <c r="D10509" t="n">
        <v>22</v>
      </c>
    </row>
    <row r="10510">
      <c r="A10510" t="inlineStr">
        <is>
          <t>ED210709</t>
        </is>
      </c>
      <c r="B10510" s="56" t="n">
        <v>45933.86041666667</v>
      </c>
      <c r="C10510" t="inlineStr">
        <is>
          <t>Bluestone Memorial Hospital</t>
        </is>
      </c>
      <c r="D10510" t="n">
        <v>190</v>
      </c>
    </row>
    <row r="10511">
      <c r="A10511" t="inlineStr">
        <is>
          <t>ED210710</t>
        </is>
      </c>
      <c r="B10511" s="56" t="n">
        <v>45933.91597222222</v>
      </c>
      <c r="C10511" t="inlineStr">
        <is>
          <t>Bluestone Memorial Hospital</t>
        </is>
      </c>
      <c r="D10511" t="n">
        <v>88</v>
      </c>
    </row>
    <row r="10512">
      <c r="A10512" t="inlineStr">
        <is>
          <t>ED210711</t>
        </is>
      </c>
      <c r="B10512" s="56" t="n">
        <v>45933.98055555556</v>
      </c>
      <c r="C10512" t="inlineStr">
        <is>
          <t>Cedar Ridge Medical Center</t>
        </is>
      </c>
      <c r="D10512" t="n">
        <v>35</v>
      </c>
    </row>
    <row r="10513">
      <c r="A10513" t="inlineStr">
        <is>
          <t>ED210712</t>
        </is>
      </c>
      <c r="B10513" s="56" t="n">
        <v>45934.04930555556</v>
      </c>
      <c r="C10513" t="inlineStr">
        <is>
          <t>Bluestone Memorial Hospital</t>
        </is>
      </c>
      <c r="D10513" t="n">
        <v>3</v>
      </c>
    </row>
    <row r="10514">
      <c r="A10514" t="inlineStr">
        <is>
          <t>ED210713</t>
        </is>
      </c>
      <c r="B10514" s="56" t="n">
        <v>45934.12152777778</v>
      </c>
      <c r="C10514" t="inlineStr">
        <is>
          <t>Ashby Falls Community Hospital</t>
        </is>
      </c>
      <c r="D10514" t="n">
        <v>9</v>
      </c>
    </row>
    <row r="10515">
      <c r="A10515" t="inlineStr">
        <is>
          <t>ED210714</t>
        </is>
      </c>
      <c r="B10515" s="56" t="n">
        <v>45934.15277777778</v>
      </c>
      <c r="C10515" t="inlineStr">
        <is>
          <t>Bluestone Memorial Hospital</t>
        </is>
      </c>
      <c r="D10515" t="n">
        <v>17</v>
      </c>
    </row>
    <row r="10516">
      <c r="A10516" t="inlineStr">
        <is>
          <t>ED210715</t>
        </is>
      </c>
      <c r="B10516" s="56" t="n">
        <v>45934.20555555556</v>
      </c>
      <c r="C10516" t="inlineStr">
        <is>
          <t>Bluestone Memorial Hospital</t>
        </is>
      </c>
      <c r="D10516" t="n">
        <v>39</v>
      </c>
    </row>
    <row r="10517">
      <c r="A10517" t="inlineStr">
        <is>
          <t>ED210716</t>
        </is>
      </c>
      <c r="B10517" s="56" t="n">
        <v>45934.27847222222</v>
      </c>
      <c r="C10517" t="inlineStr">
        <is>
          <t>Bluestone Memorial Hospital</t>
        </is>
      </c>
      <c r="D10517" t="n">
        <v>30</v>
      </c>
    </row>
    <row r="10518">
      <c r="A10518" t="inlineStr">
        <is>
          <t>ED210718</t>
        </is>
      </c>
      <c r="B10518" s="56" t="n">
        <v>45934.41458333333</v>
      </c>
      <c r="C10518" t="inlineStr">
        <is>
          <t>Cedar Ridge Medical Center</t>
        </is>
      </c>
      <c r="D10518" t="n">
        <v>60</v>
      </c>
    </row>
    <row r="10519">
      <c r="A10519" t="inlineStr">
        <is>
          <t>ED210719</t>
        </is>
      </c>
      <c r="B10519" s="56" t="n">
        <v>45934.50694444445</v>
      </c>
      <c r="C10519" t="inlineStr">
        <is>
          <t>Bluestone Memorial Hospital</t>
        </is>
      </c>
      <c r="D10519" t="n">
        <v>65</v>
      </c>
    </row>
    <row r="10520">
      <c r="A10520" t="inlineStr">
        <is>
          <t>ED210720</t>
        </is>
      </c>
      <c r="B10520" s="56" t="n">
        <v>45934.59444444445</v>
      </c>
      <c r="C10520" t="inlineStr">
        <is>
          <t>Bluestone Memorial Hospital</t>
        </is>
      </c>
      <c r="D10520" t="n">
        <v>85</v>
      </c>
    </row>
    <row r="10521">
      <c r="A10521" t="inlineStr">
        <is>
          <t>ED210721</t>
        </is>
      </c>
      <c r="B10521" s="56" t="n">
        <v>45934.62708333333</v>
      </c>
      <c r="C10521" t="inlineStr">
        <is>
          <t>Bluestone Memorial Hospital</t>
        </is>
      </c>
      <c r="D10521" t="n">
        <v>42</v>
      </c>
    </row>
    <row r="10522">
      <c r="A10522" t="inlineStr">
        <is>
          <t>ED210722</t>
        </is>
      </c>
      <c r="B10522" s="56" t="n">
        <v>45934.68333333333</v>
      </c>
      <c r="C10522" t="inlineStr">
        <is>
          <t>Bluestone Memorial Hospital</t>
        </is>
      </c>
      <c r="D10522" t="n">
        <v>3</v>
      </c>
    </row>
    <row r="10523">
      <c r="A10523" t="inlineStr">
        <is>
          <t>ED210723</t>
        </is>
      </c>
      <c r="B10523" s="56" t="n">
        <v>45934.71944444445</v>
      </c>
      <c r="C10523" t="inlineStr">
        <is>
          <t>Bluestone Memorial Hospital</t>
        </is>
      </c>
      <c r="D10523" t="n">
        <v>136</v>
      </c>
    </row>
    <row r="10524">
      <c r="A10524" t="inlineStr">
        <is>
          <t>ED210724</t>
        </is>
      </c>
      <c r="B10524" s="56" t="n">
        <v>45934.72013888889</v>
      </c>
      <c r="C10524" t="inlineStr">
        <is>
          <t>Bluestone Memorial Hospital</t>
        </is>
      </c>
      <c r="D10524" t="n">
        <v>99</v>
      </c>
    </row>
    <row r="10525">
      <c r="A10525" t="inlineStr">
        <is>
          <t>ED210725</t>
        </is>
      </c>
      <c r="B10525" s="56" t="n">
        <v>45934.73819444444</v>
      </c>
      <c r="C10525" t="inlineStr">
        <is>
          <t>Bluestone Memorial Hospital</t>
        </is>
      </c>
      <c r="D10525" t="n">
        <v>40</v>
      </c>
    </row>
    <row r="10526">
      <c r="A10526" t="inlineStr">
        <is>
          <t>ED210726</t>
        </is>
      </c>
      <c r="B10526" s="56" t="n">
        <v>45934.77083333334</v>
      </c>
      <c r="C10526" t="inlineStr">
        <is>
          <t>Bluestone Memorial Hospital</t>
        </is>
      </c>
      <c r="D10526" t="n">
        <v>96</v>
      </c>
    </row>
    <row r="10527">
      <c r="A10527" t="inlineStr">
        <is>
          <t>ED210727</t>
        </is>
      </c>
      <c r="B10527" s="56" t="n">
        <v>45934.77708333333</v>
      </c>
      <c r="C10527" t="inlineStr">
        <is>
          <t>Bluestone Memorial Hospital</t>
        </is>
      </c>
      <c r="D10527" t="n">
        <v>88</v>
      </c>
    </row>
    <row r="10528">
      <c r="A10528" t="inlineStr">
        <is>
          <t>ED210728</t>
        </is>
      </c>
      <c r="B10528" s="56" t="n">
        <v>45934.79097222222</v>
      </c>
      <c r="C10528" t="inlineStr">
        <is>
          <t>Bluestone Memorial Hospital</t>
        </is>
      </c>
      <c r="D10528" t="n">
        <v>40</v>
      </c>
    </row>
    <row r="10529">
      <c r="A10529" t="inlineStr">
        <is>
          <t>ED210729</t>
        </is>
      </c>
      <c r="B10529" s="56" t="n">
        <v>45934.82916666667</v>
      </c>
      <c r="C10529" t="inlineStr">
        <is>
          <t>Cedar Ridge Medical Center</t>
        </is>
      </c>
      <c r="D10529" t="n">
        <v>18</v>
      </c>
    </row>
    <row r="10530">
      <c r="A10530" t="inlineStr">
        <is>
          <t>ED210730</t>
        </is>
      </c>
      <c r="B10530" s="56" t="n">
        <v>45934.86736111111</v>
      </c>
      <c r="C10530" t="inlineStr">
        <is>
          <t>Bluestone Memorial Hospital</t>
        </is>
      </c>
      <c r="D10530" t="n">
        <v>86</v>
      </c>
    </row>
    <row r="10531">
      <c r="A10531" t="inlineStr">
        <is>
          <t>ED210731</t>
        </is>
      </c>
      <c r="B10531" s="56" t="n">
        <v>45934.93263888889</v>
      </c>
      <c r="C10531" t="inlineStr">
        <is>
          <t>Bluestone Memorial Hospital</t>
        </is>
      </c>
      <c r="D10531" t="n">
        <v>87</v>
      </c>
    </row>
    <row r="10532">
      <c r="A10532" t="inlineStr">
        <is>
          <t>ED210732</t>
        </is>
      </c>
      <c r="B10532" s="56" t="n">
        <v>45935.41666666666</v>
      </c>
      <c r="C10532" t="inlineStr">
        <is>
          <t>Bluestone Memorial Hospital</t>
        </is>
      </c>
      <c r="D10532" t="n">
        <v>67</v>
      </c>
    </row>
    <row r="10533">
      <c r="A10533" t="inlineStr">
        <is>
          <t>ED210733</t>
        </is>
      </c>
      <c r="B10533" s="56" t="n">
        <v>45935.50833333333</v>
      </c>
      <c r="C10533" t="inlineStr">
        <is>
          <t>Bluestone Memorial Hospital</t>
        </is>
      </c>
      <c r="D10533" t="n">
        <v>14</v>
      </c>
    </row>
    <row r="10534">
      <c r="A10534" t="inlineStr">
        <is>
          <t>ED210734</t>
        </is>
      </c>
      <c r="B10534" s="56" t="n">
        <v>45935.525</v>
      </c>
      <c r="C10534" t="inlineStr">
        <is>
          <t>Bluestone Memorial Hospital</t>
        </is>
      </c>
      <c r="D10534" t="n">
        <v>38</v>
      </c>
    </row>
    <row r="10535">
      <c r="A10535" t="inlineStr">
        <is>
          <t>ED210735</t>
        </is>
      </c>
      <c r="B10535" s="56" t="n">
        <v>45935.52708333333</v>
      </c>
      <c r="C10535" t="inlineStr">
        <is>
          <t>Cedar Ridge Medical Center</t>
        </is>
      </c>
      <c r="D10535" t="n">
        <v>64</v>
      </c>
    </row>
    <row r="10536">
      <c r="A10536" t="inlineStr">
        <is>
          <t>ED210736</t>
        </is>
      </c>
      <c r="B10536" s="56" t="n">
        <v>45935.5875</v>
      </c>
      <c r="C10536" t="inlineStr">
        <is>
          <t>Bluestone Memorial Hospital</t>
        </is>
      </c>
      <c r="D10536" t="n">
        <v>10</v>
      </c>
    </row>
    <row r="10537">
      <c r="A10537" t="inlineStr">
        <is>
          <t>ED210737</t>
        </is>
      </c>
      <c r="B10537" s="56" t="n">
        <v>45935.60694444444</v>
      </c>
      <c r="C10537" t="inlineStr">
        <is>
          <t>Bluestone Memorial Hospital</t>
        </is>
      </c>
      <c r="D10537" t="n">
        <v>82</v>
      </c>
    </row>
    <row r="10538">
      <c r="A10538" t="inlineStr">
        <is>
          <t>ED210738</t>
        </is>
      </c>
      <c r="B10538" s="56" t="n">
        <v>45935.6625</v>
      </c>
      <c r="C10538" t="inlineStr">
        <is>
          <t>Bluestone Memorial Hospital</t>
        </is>
      </c>
      <c r="D10538" t="n">
        <v>48</v>
      </c>
    </row>
    <row r="10539">
      <c r="A10539" t="inlineStr">
        <is>
          <t>ED210739</t>
        </is>
      </c>
      <c r="B10539" s="56" t="n">
        <v>45935.69305555556</v>
      </c>
      <c r="C10539" t="inlineStr">
        <is>
          <t>Bluestone Memorial Hospital</t>
        </is>
      </c>
      <c r="D10539" t="n">
        <v>38</v>
      </c>
    </row>
    <row r="10540">
      <c r="A10540" t="inlineStr">
        <is>
          <t>ED210740</t>
        </is>
      </c>
      <c r="B10540" s="56" t="n">
        <v>45935.71180555555</v>
      </c>
      <c r="C10540" t="inlineStr">
        <is>
          <t>Cedar Ridge Medical Center</t>
        </is>
      </c>
      <c r="D10540" t="n">
        <v>68</v>
      </c>
    </row>
    <row r="10541">
      <c r="A10541" t="inlineStr">
        <is>
          <t>ED210741</t>
        </is>
      </c>
      <c r="B10541" s="56" t="n">
        <v>45935.74444444444</v>
      </c>
      <c r="C10541" t="inlineStr">
        <is>
          <t>Bluestone Memorial Hospital</t>
        </is>
      </c>
      <c r="D10541" t="n">
        <v>12</v>
      </c>
    </row>
    <row r="10542">
      <c r="A10542" t="inlineStr">
        <is>
          <t>ED210742</t>
        </is>
      </c>
      <c r="B10542" s="56" t="n">
        <v>45935.75972222222</v>
      </c>
      <c r="C10542" t="inlineStr">
        <is>
          <t>Cedar Ridge Medical Center</t>
        </is>
      </c>
      <c r="D10542" t="n">
        <v>18</v>
      </c>
    </row>
    <row r="10543">
      <c r="A10543" t="inlineStr">
        <is>
          <t>ED210743</t>
        </is>
      </c>
      <c r="B10543" s="56" t="n">
        <v>45935.78402777778</v>
      </c>
      <c r="C10543" t="inlineStr">
        <is>
          <t>Cedar Ridge Medical Center</t>
        </is>
      </c>
      <c r="D10543" t="n">
        <v>28</v>
      </c>
    </row>
    <row r="10544">
      <c r="A10544" t="inlineStr">
        <is>
          <t>ED210744</t>
        </is>
      </c>
      <c r="B10544" s="56" t="n">
        <v>45935.82013888889</v>
      </c>
      <c r="C10544" t="inlineStr">
        <is>
          <t>Bluestone Memorial Hospital</t>
        </is>
      </c>
      <c r="D10544" t="n">
        <v>87</v>
      </c>
    </row>
    <row r="10545">
      <c r="A10545" t="inlineStr">
        <is>
          <t>ED210745</t>
        </is>
      </c>
      <c r="B10545" s="56" t="n">
        <v>45936.16111111111</v>
      </c>
      <c r="C10545" t="inlineStr">
        <is>
          <t>Bluestone Memorial Hospital</t>
        </is>
      </c>
      <c r="D10545" t="n">
        <v>2</v>
      </c>
    </row>
    <row r="10546">
      <c r="A10546" t="inlineStr">
        <is>
          <t>ED210746</t>
        </is>
      </c>
      <c r="B10546" s="56" t="n">
        <v>45936.22847222222</v>
      </c>
      <c r="C10546" t="inlineStr">
        <is>
          <t>Ashby Falls Community Hospital</t>
        </is>
      </c>
      <c r="D10546" t="n">
        <v>16</v>
      </c>
    </row>
    <row r="10547">
      <c r="A10547" t="inlineStr">
        <is>
          <t>ED210747</t>
        </is>
      </c>
      <c r="B10547" s="56" t="n">
        <v>45936.36666666667</v>
      </c>
      <c r="C10547" t="inlineStr">
        <is>
          <t>Cedar Ridge Medical Center</t>
        </is>
      </c>
      <c r="D10547" t="n">
        <v>12</v>
      </c>
    </row>
    <row r="10548">
      <c r="A10548" t="inlineStr">
        <is>
          <t>ED210748</t>
        </is>
      </c>
      <c r="B10548" s="56" t="n">
        <v>45936.39722222222</v>
      </c>
      <c r="C10548" t="inlineStr">
        <is>
          <t>Bluestone Memorial Hospital</t>
        </is>
      </c>
      <c r="D10548" t="n">
        <v>3</v>
      </c>
    </row>
    <row r="10549">
      <c r="A10549" t="inlineStr">
        <is>
          <t>ED210749</t>
        </is>
      </c>
      <c r="B10549" s="56" t="n">
        <v>45936.44236111111</v>
      </c>
      <c r="C10549" t="inlineStr">
        <is>
          <t>Bluestone Memorial Hospital</t>
        </is>
      </c>
      <c r="D10549" t="n">
        <v>78</v>
      </c>
    </row>
    <row r="10550">
      <c r="A10550" t="inlineStr">
        <is>
          <t>ED210750</t>
        </is>
      </c>
      <c r="B10550" s="56" t="n">
        <v>45936.44652777778</v>
      </c>
      <c r="C10550" t="inlineStr">
        <is>
          <t>Bluestone Memorial Hospital</t>
        </is>
      </c>
      <c r="D10550" t="n">
        <v>59</v>
      </c>
    </row>
    <row r="10551">
      <c r="A10551" t="inlineStr">
        <is>
          <t>ED210751</t>
        </is>
      </c>
      <c r="B10551" s="56" t="n">
        <v>45936.47222222222</v>
      </c>
      <c r="C10551" t="inlineStr">
        <is>
          <t>Cedar Ridge Medical Center</t>
        </is>
      </c>
      <c r="D10551" t="n">
        <v>38</v>
      </c>
    </row>
    <row r="10552">
      <c r="A10552" t="inlineStr">
        <is>
          <t>ED210752</t>
        </is>
      </c>
      <c r="B10552" s="56" t="n">
        <v>45936.50833333333</v>
      </c>
      <c r="C10552" t="inlineStr">
        <is>
          <t>Bluestone Memorial Hospital</t>
        </is>
      </c>
      <c r="D10552" t="n">
        <v>108</v>
      </c>
    </row>
    <row r="10553">
      <c r="A10553" t="inlineStr">
        <is>
          <t>ED210753</t>
        </is>
      </c>
      <c r="B10553" s="56" t="n">
        <v>45936.51597222222</v>
      </c>
      <c r="C10553" t="inlineStr">
        <is>
          <t>Ashby Falls Community Hospital</t>
        </is>
      </c>
      <c r="D10553" t="n">
        <v>44</v>
      </c>
    </row>
    <row r="10554">
      <c r="A10554" t="inlineStr">
        <is>
          <t>ED210754</t>
        </is>
      </c>
      <c r="B10554" s="56" t="n">
        <v>45936.53402777778</v>
      </c>
      <c r="C10554" t="inlineStr">
        <is>
          <t>Bluestone Memorial Hospital</t>
        </is>
      </c>
      <c r="D10554" t="n">
        <v>20</v>
      </c>
    </row>
    <row r="10555">
      <c r="A10555" t="inlineStr">
        <is>
          <t>ED210755</t>
        </is>
      </c>
      <c r="B10555" s="56" t="n">
        <v>45936.53888888889</v>
      </c>
      <c r="C10555" t="inlineStr">
        <is>
          <t>Cedar Ridge Medical Center</t>
        </is>
      </c>
      <c r="D10555" t="n">
        <v>10</v>
      </c>
    </row>
    <row r="10556">
      <c r="A10556" t="inlineStr">
        <is>
          <t>ED210756</t>
        </is>
      </c>
      <c r="B10556" s="56" t="n">
        <v>45936.61319444444</v>
      </c>
      <c r="C10556" t="inlineStr">
        <is>
          <t>Bluestone Memorial Hospital</t>
        </is>
      </c>
      <c r="D10556" t="n">
        <v>29</v>
      </c>
    </row>
    <row r="10557">
      <c r="A10557" t="inlineStr">
        <is>
          <t>ED210757</t>
        </is>
      </c>
      <c r="B10557" s="56" t="n">
        <v>45936.61666666667</v>
      </c>
      <c r="C10557" t="inlineStr">
        <is>
          <t>Bluestone Memorial Hospital</t>
        </is>
      </c>
      <c r="D10557" t="n">
        <v>113</v>
      </c>
    </row>
    <row r="10558">
      <c r="A10558" t="inlineStr">
        <is>
          <t>ED210758</t>
        </is>
      </c>
      <c r="B10558" s="56" t="n">
        <v>45936.63125</v>
      </c>
      <c r="C10558" t="inlineStr">
        <is>
          <t>Bluestone Memorial Hospital</t>
        </is>
      </c>
      <c r="D10558" t="n">
        <v>38</v>
      </c>
    </row>
    <row r="10559">
      <c r="A10559" t="inlineStr">
        <is>
          <t>ED210759</t>
        </is>
      </c>
      <c r="B10559" s="56" t="n">
        <v>45936.63888888889</v>
      </c>
      <c r="C10559" t="inlineStr">
        <is>
          <t>Ashby Falls Community Hospital</t>
        </is>
      </c>
      <c r="D10559" t="n">
        <v>21</v>
      </c>
    </row>
    <row r="10560">
      <c r="A10560" t="inlineStr">
        <is>
          <t>ED210760</t>
        </is>
      </c>
      <c r="B10560" s="56" t="n">
        <v>45936.64444444444</v>
      </c>
      <c r="C10560" t="inlineStr">
        <is>
          <t>Bluestone Memorial Hospital</t>
        </is>
      </c>
      <c r="D10560" t="n">
        <v>88</v>
      </c>
    </row>
    <row r="10561">
      <c r="A10561" t="inlineStr">
        <is>
          <t>ED210761</t>
        </is>
      </c>
      <c r="B10561" s="56" t="n">
        <v>45936.66805555556</v>
      </c>
      <c r="C10561" t="inlineStr">
        <is>
          <t>Bluestone Memorial Hospital</t>
        </is>
      </c>
      <c r="D10561" t="n">
        <v>22</v>
      </c>
    </row>
    <row r="10562">
      <c r="A10562" t="inlineStr">
        <is>
          <t>ED210762</t>
        </is>
      </c>
      <c r="B10562" s="56" t="n">
        <v>45936.68611111111</v>
      </c>
      <c r="C10562" t="inlineStr">
        <is>
          <t>Bluestone Memorial Hospital</t>
        </is>
      </c>
      <c r="D10562" t="n">
        <v>34</v>
      </c>
    </row>
    <row r="10563">
      <c r="A10563" t="inlineStr">
        <is>
          <t>ED210763</t>
        </is>
      </c>
      <c r="B10563" s="56" t="n">
        <v>45936.72222222222</v>
      </c>
      <c r="C10563" t="inlineStr">
        <is>
          <t>Bluestone Memorial Hospital</t>
        </is>
      </c>
      <c r="D10563" t="n">
        <v>154</v>
      </c>
    </row>
    <row r="10564">
      <c r="A10564" t="inlineStr">
        <is>
          <t>ED210764</t>
        </is>
      </c>
      <c r="B10564" s="56" t="n">
        <v>45936.75763888889</v>
      </c>
      <c r="C10564" t="inlineStr">
        <is>
          <t>Bluestone Memorial Hospital</t>
        </is>
      </c>
      <c r="D10564" t="n">
        <v>31</v>
      </c>
    </row>
    <row r="10565">
      <c r="A10565" t="inlineStr">
        <is>
          <t>ED210766</t>
        </is>
      </c>
      <c r="B10565" s="56" t="n">
        <v>45936.90763888889</v>
      </c>
      <c r="C10565" t="inlineStr">
        <is>
          <t>Bluestone Memorial Hospital</t>
        </is>
      </c>
      <c r="D10565" t="n">
        <v>18</v>
      </c>
    </row>
    <row r="10566">
      <c r="A10566" t="inlineStr">
        <is>
          <t>ED210767</t>
        </is>
      </c>
      <c r="B10566" s="56" t="n">
        <v>45936.95138888889</v>
      </c>
      <c r="C10566" t="inlineStr">
        <is>
          <t>Bluestone Memorial Hospital</t>
        </is>
      </c>
      <c r="D10566" t="n">
        <v>41</v>
      </c>
    </row>
    <row r="10567">
      <c r="A10567" t="inlineStr">
        <is>
          <t>ED210768</t>
        </is>
      </c>
      <c r="B10567" s="56" t="n">
        <v>45937.02152777778</v>
      </c>
      <c r="C10567" t="inlineStr">
        <is>
          <t>Bluestone Memorial Hospital</t>
        </is>
      </c>
      <c r="D10567" t="n">
        <v>81</v>
      </c>
    </row>
    <row r="10568">
      <c r="A10568" t="inlineStr">
        <is>
          <t>ED210769</t>
        </is>
      </c>
      <c r="B10568" s="56" t="n">
        <v>45937.06388888889</v>
      </c>
      <c r="C10568" t="inlineStr">
        <is>
          <t>Bluestone Memorial Hospital</t>
        </is>
      </c>
      <c r="D10568" t="n">
        <v>21</v>
      </c>
    </row>
    <row r="10569">
      <c r="A10569" t="inlineStr">
        <is>
          <t>ED210770</t>
        </is>
      </c>
      <c r="B10569" s="56" t="n">
        <v>45937.21875</v>
      </c>
      <c r="C10569" t="inlineStr">
        <is>
          <t>Bluestone Memorial Hospital</t>
        </is>
      </c>
      <c r="D10569" t="n">
        <v>22</v>
      </c>
    </row>
    <row r="10570">
      <c r="A10570" t="inlineStr">
        <is>
          <t>ED210771</t>
        </is>
      </c>
      <c r="B10570" s="56" t="n">
        <v>45937.34722222222</v>
      </c>
      <c r="C10570" t="inlineStr">
        <is>
          <t>Bluestone Memorial Hospital</t>
        </is>
      </c>
      <c r="D10570" t="n">
        <v>45</v>
      </c>
    </row>
    <row r="10571">
      <c r="A10571" t="inlineStr">
        <is>
          <t>ED210772</t>
        </is>
      </c>
      <c r="B10571" s="56" t="n">
        <v>45937.47916666666</v>
      </c>
      <c r="C10571" t="inlineStr">
        <is>
          <t>Cedar Ridge Medical Center</t>
        </is>
      </c>
      <c r="D10571" t="n">
        <v>47</v>
      </c>
    </row>
    <row r="10572">
      <c r="A10572" t="inlineStr">
        <is>
          <t>ED210773</t>
        </is>
      </c>
      <c r="B10572" s="56" t="n">
        <v>45937.56319444445</v>
      </c>
      <c r="C10572" t="inlineStr">
        <is>
          <t>Cedar Ridge Medical Center</t>
        </is>
      </c>
      <c r="D10572" t="n">
        <v>59</v>
      </c>
    </row>
    <row r="10573">
      <c r="A10573" t="inlineStr">
        <is>
          <t>ED210774</t>
        </is>
      </c>
      <c r="B10573" s="56" t="n">
        <v>45937.59166666667</v>
      </c>
      <c r="C10573" t="inlineStr">
        <is>
          <t>Cedar Ridge Medical Center</t>
        </is>
      </c>
      <c r="D10573" t="n">
        <v>85</v>
      </c>
    </row>
    <row r="10574">
      <c r="A10574" t="inlineStr">
        <is>
          <t>ED210775</t>
        </is>
      </c>
      <c r="B10574" s="56" t="n">
        <v>45937.65486111111</v>
      </c>
      <c r="C10574" t="inlineStr">
        <is>
          <t>Ashby Falls Community Hospital</t>
        </is>
      </c>
      <c r="D10574" t="n">
        <v>18</v>
      </c>
    </row>
    <row r="10575">
      <c r="A10575" t="inlineStr">
        <is>
          <t>ED210776</t>
        </is>
      </c>
      <c r="B10575" s="56" t="n">
        <v>45937.68402777778</v>
      </c>
      <c r="C10575" t="inlineStr">
        <is>
          <t>Bluestone Memorial Hospital</t>
        </is>
      </c>
      <c r="D10575" t="n">
        <v>18</v>
      </c>
    </row>
    <row r="10576">
      <c r="A10576" t="inlineStr">
        <is>
          <t>ED210777</t>
        </is>
      </c>
      <c r="B10576" s="56" t="n">
        <v>45937.69305555556</v>
      </c>
      <c r="C10576" t="inlineStr">
        <is>
          <t>Bluestone Memorial Hospital</t>
        </is>
      </c>
      <c r="D10576" t="n">
        <v>67</v>
      </c>
    </row>
    <row r="10577">
      <c r="A10577" t="inlineStr">
        <is>
          <t>ED210778</t>
        </is>
      </c>
      <c r="B10577" s="56" t="n">
        <v>45937.69791666666</v>
      </c>
      <c r="C10577" t="inlineStr">
        <is>
          <t>Bluestone Memorial Hospital</t>
        </is>
      </c>
      <c r="D10577" t="n">
        <v>16</v>
      </c>
    </row>
    <row r="10578">
      <c r="A10578" t="inlineStr">
        <is>
          <t>ED210779</t>
        </is>
      </c>
      <c r="B10578" s="56" t="n">
        <v>45937.70416666667</v>
      </c>
      <c r="C10578" t="inlineStr">
        <is>
          <t>Bluestone Memorial Hospital</t>
        </is>
      </c>
      <c r="D10578" t="n">
        <v>29</v>
      </c>
    </row>
    <row r="10579">
      <c r="A10579" t="inlineStr">
        <is>
          <t>ED210780</t>
        </is>
      </c>
      <c r="B10579" s="56" t="n">
        <v>45937.86111111111</v>
      </c>
      <c r="C10579" t="inlineStr">
        <is>
          <t>Bluestone Memorial Hospital</t>
        </is>
      </c>
      <c r="D10579" t="n">
        <v>10</v>
      </c>
    </row>
    <row r="10580">
      <c r="A10580" t="inlineStr">
        <is>
          <t>ED210781</t>
        </is>
      </c>
      <c r="B10580" s="56" t="n">
        <v>45937.87291666667</v>
      </c>
      <c r="C10580" t="inlineStr">
        <is>
          <t>Bluestone Memorial Hospital</t>
        </is>
      </c>
      <c r="D10580" t="n">
        <v>61</v>
      </c>
    </row>
    <row r="10581">
      <c r="A10581" t="inlineStr">
        <is>
          <t>ED210782</t>
        </is>
      </c>
      <c r="B10581" s="56" t="n">
        <v>45938.125</v>
      </c>
      <c r="C10581" t="inlineStr">
        <is>
          <t>Bluestone Memorial Hospital</t>
        </is>
      </c>
      <c r="D10581" t="n">
        <v>49</v>
      </c>
    </row>
    <row r="10582">
      <c r="A10582" t="inlineStr">
        <is>
          <t>ED210783</t>
        </is>
      </c>
      <c r="B10582" s="56" t="n">
        <v>45938.15277777778</v>
      </c>
      <c r="C10582" t="inlineStr">
        <is>
          <t>Ashby Falls Community Hospital</t>
        </is>
      </c>
      <c r="D10582" t="n">
        <v>9</v>
      </c>
    </row>
    <row r="10583">
      <c r="A10583" t="inlineStr">
        <is>
          <t>ED210784</t>
        </is>
      </c>
      <c r="B10583" s="56" t="n">
        <v>45938.19583333333</v>
      </c>
      <c r="C10583" t="inlineStr">
        <is>
          <t>Ashby Falls Community Hospital</t>
        </is>
      </c>
      <c r="D10583" t="n">
        <v>60</v>
      </c>
    </row>
    <row r="10584">
      <c r="A10584" t="inlineStr">
        <is>
          <t>ED210785</t>
        </is>
      </c>
      <c r="B10584" s="56" t="n">
        <v>45938.29444444444</v>
      </c>
      <c r="C10584" t="inlineStr">
        <is>
          <t>Cedar Ridge Medical Center</t>
        </is>
      </c>
      <c r="D10584" t="n">
        <v>59</v>
      </c>
    </row>
    <row r="10585">
      <c r="A10585" t="inlineStr">
        <is>
          <t>ED210786</t>
        </is>
      </c>
      <c r="B10585" s="56" t="n">
        <v>45938.35277777778</v>
      </c>
      <c r="C10585" t="inlineStr">
        <is>
          <t>Bluestone Memorial Hospital</t>
        </is>
      </c>
      <c r="D10585" t="n">
        <v>21</v>
      </c>
    </row>
    <row r="10586">
      <c r="A10586" t="inlineStr">
        <is>
          <t>ED210787</t>
        </is>
      </c>
      <c r="B10586" s="56" t="n">
        <v>45938.425</v>
      </c>
      <c r="C10586" t="inlineStr">
        <is>
          <t>Bluestone Memorial Hospital</t>
        </is>
      </c>
      <c r="D10586" t="n">
        <v>17</v>
      </c>
    </row>
    <row r="10587">
      <c r="A10587" t="inlineStr">
        <is>
          <t>ED210788</t>
        </is>
      </c>
      <c r="B10587" s="56" t="n">
        <v>45938.45625</v>
      </c>
      <c r="C10587" t="inlineStr">
        <is>
          <t>Bluestone Memorial Hospital</t>
        </is>
      </c>
      <c r="D10587" t="n">
        <v>82</v>
      </c>
    </row>
    <row r="10588">
      <c r="A10588" t="inlineStr">
        <is>
          <t>ED210789</t>
        </is>
      </c>
      <c r="B10588" s="56" t="n">
        <v>45938.5625</v>
      </c>
      <c r="C10588" t="inlineStr">
        <is>
          <t>Bluestone Memorial Hospital</t>
        </is>
      </c>
      <c r="D10588" t="n">
        <v>49</v>
      </c>
    </row>
    <row r="10589">
      <c r="A10589" t="inlineStr">
        <is>
          <t>ED210790</t>
        </is>
      </c>
      <c r="B10589" s="56" t="n">
        <v>45938.57569444444</v>
      </c>
      <c r="C10589" t="inlineStr">
        <is>
          <t>Cedar Ridge Medical Center</t>
        </is>
      </c>
      <c r="D10589" t="n">
        <v>153</v>
      </c>
    </row>
    <row r="10590">
      <c r="A10590" t="inlineStr">
        <is>
          <t>ED210791</t>
        </is>
      </c>
      <c r="B10590" s="56" t="n">
        <v>45938.60277777778</v>
      </c>
      <c r="C10590" t="inlineStr">
        <is>
          <t>Bluestone Memorial Hospital</t>
        </is>
      </c>
      <c r="D10590" t="n">
        <v>118</v>
      </c>
    </row>
    <row r="10591">
      <c r="A10591" t="inlineStr">
        <is>
          <t>ED210792</t>
        </is>
      </c>
      <c r="B10591" s="56" t="n">
        <v>45938.63125</v>
      </c>
      <c r="C10591" t="inlineStr">
        <is>
          <t>Cedar Ridge Medical Center</t>
        </is>
      </c>
      <c r="D10591" t="n">
        <v>64</v>
      </c>
    </row>
    <row r="10592">
      <c r="A10592" t="inlineStr">
        <is>
          <t>ED210793</t>
        </is>
      </c>
      <c r="B10592" s="56" t="n">
        <v>45938.63472222222</v>
      </c>
      <c r="C10592" t="inlineStr">
        <is>
          <t>Bluestone Memorial Hospital</t>
        </is>
      </c>
      <c r="D10592" t="n">
        <v>4</v>
      </c>
    </row>
    <row r="10593">
      <c r="A10593" t="inlineStr">
        <is>
          <t>ED210794</t>
        </is>
      </c>
      <c r="B10593" s="56" t="n">
        <v>45938.64166666667</v>
      </c>
      <c r="C10593" t="inlineStr">
        <is>
          <t>Bluestone Memorial Hospital</t>
        </is>
      </c>
      <c r="D10593" t="n">
        <v>13</v>
      </c>
    </row>
    <row r="10594">
      <c r="A10594" t="inlineStr">
        <is>
          <t>ED210795</t>
        </is>
      </c>
      <c r="B10594" s="56" t="n">
        <v>45938.64930555555</v>
      </c>
      <c r="C10594" t="inlineStr">
        <is>
          <t>Ashby Falls Community Hospital</t>
        </is>
      </c>
      <c r="D10594" t="n">
        <v>69</v>
      </c>
    </row>
    <row r="10595">
      <c r="A10595" t="inlineStr">
        <is>
          <t>ED210796</t>
        </is>
      </c>
      <c r="B10595" s="56" t="n">
        <v>45938.65208333333</v>
      </c>
      <c r="C10595" t="inlineStr">
        <is>
          <t>Ashby Falls Community Hospital</t>
        </is>
      </c>
      <c r="D10595" t="n">
        <v>11</v>
      </c>
    </row>
    <row r="10596">
      <c r="A10596" t="inlineStr">
        <is>
          <t>ED210797</t>
        </is>
      </c>
      <c r="B10596" s="56" t="n">
        <v>45938.69236111111</v>
      </c>
      <c r="C10596" t="inlineStr">
        <is>
          <t>Bluestone Memorial Hospital</t>
        </is>
      </c>
      <c r="D10596" t="n">
        <v>32</v>
      </c>
    </row>
    <row r="10597">
      <c r="A10597" t="inlineStr">
        <is>
          <t>ED210798</t>
        </is>
      </c>
      <c r="B10597" s="56" t="n">
        <v>45938.70694444444</v>
      </c>
      <c r="C10597" t="inlineStr">
        <is>
          <t>Bluestone Memorial Hospital</t>
        </is>
      </c>
      <c r="D10597" t="n">
        <v>25</v>
      </c>
    </row>
    <row r="10598">
      <c r="A10598" t="inlineStr">
        <is>
          <t>ED210799</t>
        </is>
      </c>
      <c r="B10598" s="56" t="n">
        <v>45938.72430555556</v>
      </c>
      <c r="C10598" t="inlineStr">
        <is>
          <t>Ashby Falls Community Hospital</t>
        </is>
      </c>
      <c r="D10598" t="n">
        <v>45</v>
      </c>
    </row>
    <row r="10599">
      <c r="A10599" t="inlineStr">
        <is>
          <t>ED210800</t>
        </is>
      </c>
      <c r="B10599" s="56" t="n">
        <v>45938.83333333334</v>
      </c>
      <c r="C10599" t="inlineStr">
        <is>
          <t>Bluestone Memorial Hospital</t>
        </is>
      </c>
      <c r="D10599" t="n">
        <v>9</v>
      </c>
    </row>
    <row r="10600">
      <c r="A10600" t="inlineStr">
        <is>
          <t>ED210801</t>
        </is>
      </c>
      <c r="B10600" s="56" t="n">
        <v>45938.86111111111</v>
      </c>
      <c r="C10600" t="inlineStr">
        <is>
          <t>Ashby Falls Community Hospital</t>
        </is>
      </c>
      <c r="D10600" t="n">
        <v>27</v>
      </c>
    </row>
    <row r="10601">
      <c r="A10601" t="inlineStr">
        <is>
          <t>ED210802</t>
        </is>
      </c>
      <c r="B10601" s="56" t="n">
        <v>45938.93888888889</v>
      </c>
      <c r="C10601" t="inlineStr">
        <is>
          <t>Bluestone Memorial Hospital</t>
        </is>
      </c>
      <c r="D10601" t="n">
        <v>55</v>
      </c>
    </row>
    <row r="10602">
      <c r="A10602" t="inlineStr">
        <is>
          <t>ED210803</t>
        </is>
      </c>
      <c r="B10602" s="56" t="n">
        <v>45939.12708333333</v>
      </c>
      <c r="C10602" t="inlineStr">
        <is>
          <t>Cedar Ridge Medical Center</t>
        </is>
      </c>
      <c r="D10602" t="n">
        <v>7</v>
      </c>
    </row>
    <row r="10603">
      <c r="A10603" t="inlineStr">
        <is>
          <t>ED210804</t>
        </is>
      </c>
      <c r="B10603" s="56" t="n">
        <v>45939.21805555555</v>
      </c>
      <c r="C10603" t="inlineStr">
        <is>
          <t>Cedar Ridge Medical Center</t>
        </is>
      </c>
      <c r="D10603" t="n">
        <v>51</v>
      </c>
    </row>
    <row r="10604">
      <c r="A10604" t="inlineStr">
        <is>
          <t>ED210805</t>
        </is>
      </c>
      <c r="B10604" s="56" t="n">
        <v>45939.275</v>
      </c>
      <c r="C10604" t="inlineStr">
        <is>
          <t>Bluestone Memorial Hospital</t>
        </is>
      </c>
      <c r="D10604" t="n">
        <v>13</v>
      </c>
    </row>
    <row r="10605">
      <c r="A10605" t="inlineStr">
        <is>
          <t>ED210806</t>
        </is>
      </c>
      <c r="B10605" s="56" t="n">
        <v>45939.30972222222</v>
      </c>
      <c r="C10605" t="inlineStr">
        <is>
          <t>Ashby Falls Community Hospital</t>
        </is>
      </c>
      <c r="D10605" t="n">
        <v>81</v>
      </c>
    </row>
    <row r="10606">
      <c r="A10606" t="inlineStr">
        <is>
          <t>ED210807</t>
        </is>
      </c>
      <c r="B10606" s="56" t="n">
        <v>45939.37847222222</v>
      </c>
      <c r="C10606" t="inlineStr">
        <is>
          <t>Bluestone Memorial Hospital</t>
        </is>
      </c>
      <c r="D10606" t="n">
        <v>14</v>
      </c>
    </row>
    <row r="10607">
      <c r="A10607" t="inlineStr">
        <is>
          <t>ED210808</t>
        </is>
      </c>
      <c r="B10607" s="56" t="n">
        <v>45939.55625</v>
      </c>
      <c r="C10607" t="inlineStr">
        <is>
          <t>Ashby Falls Community Hospital</t>
        </is>
      </c>
      <c r="D10607" t="n">
        <v>14</v>
      </c>
    </row>
    <row r="10608">
      <c r="A10608" t="inlineStr">
        <is>
          <t>ED210809</t>
        </is>
      </c>
      <c r="B10608" s="56" t="n">
        <v>45939.61597222222</v>
      </c>
      <c r="C10608" t="inlineStr">
        <is>
          <t>Bluestone Memorial Hospital</t>
        </is>
      </c>
      <c r="D10608" t="n">
        <v>21</v>
      </c>
    </row>
    <row r="10609">
      <c r="A10609" t="inlineStr">
        <is>
          <t>ED210810</t>
        </is>
      </c>
      <c r="B10609" s="56" t="n">
        <v>45939.63333333333</v>
      </c>
      <c r="C10609" t="inlineStr">
        <is>
          <t>Ashby Falls Community Hospital</t>
        </is>
      </c>
      <c r="D10609" t="n">
        <v>14</v>
      </c>
    </row>
    <row r="10610">
      <c r="A10610" t="inlineStr">
        <is>
          <t>ED210811</t>
        </is>
      </c>
      <c r="B10610" s="56" t="n">
        <v>45939.65</v>
      </c>
      <c r="C10610" t="inlineStr">
        <is>
          <t>Bluestone Memorial Hospital</t>
        </is>
      </c>
      <c r="D10610" t="n">
        <v>35</v>
      </c>
    </row>
    <row r="10611">
      <c r="A10611" t="inlineStr">
        <is>
          <t>ED210812</t>
        </is>
      </c>
      <c r="B10611" s="56" t="n">
        <v>45939.70347222222</v>
      </c>
      <c r="C10611" t="inlineStr">
        <is>
          <t>Bluestone Memorial Hospital</t>
        </is>
      </c>
      <c r="D10611" t="n">
        <v>88</v>
      </c>
    </row>
    <row r="10612">
      <c r="A10612" t="inlineStr">
        <is>
          <t>ED210813</t>
        </is>
      </c>
      <c r="B10612" s="56" t="n">
        <v>45939.76944444444</v>
      </c>
      <c r="C10612" t="inlineStr">
        <is>
          <t>Bluestone Memorial Hospital</t>
        </is>
      </c>
      <c r="D10612" t="n">
        <v>104</v>
      </c>
    </row>
    <row r="10613">
      <c r="A10613" t="inlineStr">
        <is>
          <t>ED210814</t>
        </is>
      </c>
      <c r="B10613" s="56" t="n">
        <v>45939.97361111111</v>
      </c>
      <c r="C10613" t="inlineStr">
        <is>
          <t>Cedar Ridge Medical Center</t>
        </is>
      </c>
      <c r="D10613" t="n">
        <v>54</v>
      </c>
    </row>
    <row r="10614">
      <c r="A10614" t="inlineStr">
        <is>
          <t>ED210815</t>
        </is>
      </c>
      <c r="B10614" s="56" t="n">
        <v>45939.975</v>
      </c>
      <c r="C10614" t="inlineStr">
        <is>
          <t>Bluestone Memorial Hospital</t>
        </is>
      </c>
      <c r="D10614" t="n">
        <v>32</v>
      </c>
    </row>
    <row r="10615">
      <c r="A10615" t="inlineStr">
        <is>
          <t>ED210816</t>
        </is>
      </c>
      <c r="B10615" s="56" t="n">
        <v>45940.02013888889</v>
      </c>
      <c r="C10615" t="inlineStr">
        <is>
          <t>Bluestone Memorial Hospital</t>
        </is>
      </c>
      <c r="D10615" t="n">
        <v>30</v>
      </c>
    </row>
    <row r="10616">
      <c r="A10616" t="inlineStr">
        <is>
          <t>ED210817</t>
        </is>
      </c>
      <c r="B10616" s="56" t="n">
        <v>45940.03958333333</v>
      </c>
      <c r="C10616" t="inlineStr">
        <is>
          <t>Bluestone Memorial Hospital</t>
        </is>
      </c>
      <c r="D10616" t="n">
        <v>18</v>
      </c>
    </row>
    <row r="10617">
      <c r="A10617" t="inlineStr">
        <is>
          <t>ED210818</t>
        </is>
      </c>
      <c r="B10617" s="56" t="n">
        <v>45940.37916666667</v>
      </c>
      <c r="C10617" t="inlineStr">
        <is>
          <t>Bluestone Memorial Hospital</t>
        </is>
      </c>
      <c r="D10617" t="n">
        <v>51</v>
      </c>
    </row>
    <row r="10618">
      <c r="A10618" t="inlineStr">
        <is>
          <t>ED210819</t>
        </is>
      </c>
      <c r="B10618" s="56" t="n">
        <v>45940.43611111111</v>
      </c>
      <c r="C10618" t="inlineStr">
        <is>
          <t>Cedar Ridge Medical Center</t>
        </is>
      </c>
      <c r="D10618" t="n">
        <v>136</v>
      </c>
    </row>
    <row r="10619">
      <c r="A10619" t="inlineStr">
        <is>
          <t>ED210820</t>
        </is>
      </c>
      <c r="B10619" s="56" t="n">
        <v>45940.48333333333</v>
      </c>
      <c r="C10619" t="inlineStr">
        <is>
          <t>Bluestone Memorial Hospital</t>
        </is>
      </c>
      <c r="D10619" t="n">
        <v>50</v>
      </c>
    </row>
    <row r="10620">
      <c r="A10620" t="inlineStr">
        <is>
          <t>ED210821</t>
        </is>
      </c>
      <c r="B10620" s="56" t="n">
        <v>45940.58888888889</v>
      </c>
      <c r="C10620" t="inlineStr">
        <is>
          <t>Ashby Falls Community Hospital</t>
        </is>
      </c>
      <c r="D10620" t="n">
        <v>17</v>
      </c>
    </row>
    <row r="10621">
      <c r="A10621" t="inlineStr">
        <is>
          <t>ED210822</t>
        </is>
      </c>
      <c r="B10621" s="56" t="n">
        <v>45940.60069444445</v>
      </c>
      <c r="C10621" t="inlineStr">
        <is>
          <t>Bluestone Memorial Hospital</t>
        </is>
      </c>
      <c r="D10621" t="n">
        <v>84</v>
      </c>
    </row>
    <row r="10622">
      <c r="A10622" t="inlineStr">
        <is>
          <t>ED210823</t>
        </is>
      </c>
      <c r="B10622" s="56" t="n">
        <v>45940.62986111111</v>
      </c>
      <c r="C10622" t="inlineStr">
        <is>
          <t>Bluestone Memorial Hospital</t>
        </is>
      </c>
      <c r="D10622" t="n">
        <v>30</v>
      </c>
    </row>
    <row r="10623">
      <c r="A10623" t="inlineStr">
        <is>
          <t>ED210824</t>
        </is>
      </c>
      <c r="B10623" s="56" t="n">
        <v>45940.67291666667</v>
      </c>
      <c r="C10623" t="inlineStr">
        <is>
          <t>Bluestone Memorial Hospital</t>
        </is>
      </c>
      <c r="D10623" t="n">
        <v>60</v>
      </c>
    </row>
    <row r="10624">
      <c r="A10624" t="inlineStr">
        <is>
          <t>ED210825</t>
        </is>
      </c>
      <c r="B10624" s="56" t="n">
        <v>45940.6875</v>
      </c>
      <c r="C10624" t="inlineStr">
        <is>
          <t>Ashby Falls Community Hospital</t>
        </is>
      </c>
      <c r="D10624" t="n">
        <v>2</v>
      </c>
    </row>
    <row r="10625">
      <c r="A10625" t="inlineStr">
        <is>
          <t>ED210826</t>
        </is>
      </c>
      <c r="B10625" s="56" t="n">
        <v>45940.69791666666</v>
      </c>
      <c r="C10625" t="inlineStr">
        <is>
          <t>Cedar Ridge Medical Center</t>
        </is>
      </c>
      <c r="D10625" t="n">
        <v>122</v>
      </c>
    </row>
    <row r="10626">
      <c r="A10626" t="inlineStr">
        <is>
          <t>ED210827</t>
        </is>
      </c>
      <c r="B10626" s="56" t="n">
        <v>45940.69861111111</v>
      </c>
      <c r="C10626" t="inlineStr">
        <is>
          <t>Bluestone Memorial Hospital</t>
        </is>
      </c>
      <c r="D10626" t="n">
        <v>5</v>
      </c>
    </row>
    <row r="10627">
      <c r="A10627" t="inlineStr">
        <is>
          <t>ED210828</t>
        </is>
      </c>
      <c r="B10627" s="56" t="n">
        <v>45940.75763888889</v>
      </c>
      <c r="C10627" t="inlineStr">
        <is>
          <t>Bluestone Memorial Hospital</t>
        </is>
      </c>
      <c r="D10627" t="n">
        <v>78</v>
      </c>
    </row>
    <row r="10628">
      <c r="A10628" t="inlineStr">
        <is>
          <t>ED210829</t>
        </is>
      </c>
      <c r="B10628" s="56" t="n">
        <v>45940.76180555556</v>
      </c>
      <c r="C10628" t="inlineStr">
        <is>
          <t>Bluestone Memorial Hospital</t>
        </is>
      </c>
      <c r="D10628" t="n">
        <v>74</v>
      </c>
    </row>
    <row r="10629">
      <c r="A10629" t="inlineStr">
        <is>
          <t>ED210830</t>
        </is>
      </c>
      <c r="B10629" s="56" t="n">
        <v>45940.82638888889</v>
      </c>
      <c r="C10629" t="inlineStr">
        <is>
          <t>Bluestone Memorial Hospital</t>
        </is>
      </c>
      <c r="D10629" t="n">
        <v>112</v>
      </c>
    </row>
    <row r="10630">
      <c r="A10630" t="inlineStr">
        <is>
          <t>ED210831</t>
        </is>
      </c>
      <c r="B10630" s="56" t="n">
        <v>45940.86666666667</v>
      </c>
      <c r="C10630" t="inlineStr">
        <is>
          <t>Bluestone Memorial Hospital</t>
        </is>
      </c>
      <c r="D10630" t="n">
        <v>29</v>
      </c>
    </row>
    <row r="10631">
      <c r="A10631" t="inlineStr">
        <is>
          <t>ED210832</t>
        </is>
      </c>
      <c r="B10631" s="56" t="n">
        <v>45940.97569444445</v>
      </c>
      <c r="C10631" t="inlineStr">
        <is>
          <t>Bluestone Memorial Hospital</t>
        </is>
      </c>
      <c r="D10631" t="n">
        <v>59</v>
      </c>
    </row>
    <row r="10632">
      <c r="A10632" t="inlineStr">
        <is>
          <t>ED210833</t>
        </is>
      </c>
      <c r="B10632" s="56" t="n">
        <v>45941.05486111111</v>
      </c>
      <c r="C10632" t="inlineStr">
        <is>
          <t>Bluestone Memorial Hospital</t>
        </is>
      </c>
      <c r="D10632" t="n">
        <v>16</v>
      </c>
    </row>
    <row r="10633">
      <c r="A10633" t="inlineStr">
        <is>
          <t>ED210834</t>
        </is>
      </c>
      <c r="B10633" s="56" t="n">
        <v>45941.32152777778</v>
      </c>
      <c r="C10633" t="inlineStr">
        <is>
          <t>Bluestone Memorial Hospital</t>
        </is>
      </c>
      <c r="D10633" t="n">
        <v>52</v>
      </c>
    </row>
    <row r="10634">
      <c r="A10634" t="inlineStr">
        <is>
          <t>ED210835</t>
        </is>
      </c>
      <c r="B10634" s="56" t="n">
        <v>45941.49444444444</v>
      </c>
      <c r="C10634" t="inlineStr">
        <is>
          <t>Bluestone Memorial Hospital</t>
        </is>
      </c>
      <c r="D10634" t="n">
        <v>76</v>
      </c>
    </row>
    <row r="10635">
      <c r="A10635" t="inlineStr">
        <is>
          <t>ED210836</t>
        </is>
      </c>
      <c r="B10635" s="56" t="n">
        <v>45941.5</v>
      </c>
      <c r="C10635" t="inlineStr">
        <is>
          <t>Cedar Ridge Medical Center</t>
        </is>
      </c>
      <c r="D10635" t="n">
        <v>52</v>
      </c>
    </row>
    <row r="10636">
      <c r="A10636" t="inlineStr">
        <is>
          <t>ED210837</t>
        </is>
      </c>
      <c r="B10636" s="56" t="n">
        <v>45941.50902777778</v>
      </c>
      <c r="C10636" t="inlineStr">
        <is>
          <t>Bluestone Memorial Hospital</t>
        </is>
      </c>
      <c r="D10636" t="n">
        <v>46</v>
      </c>
    </row>
    <row r="10637">
      <c r="A10637" t="inlineStr">
        <is>
          <t>ED210838</t>
        </is>
      </c>
      <c r="B10637" s="56" t="n">
        <v>45941.54722222222</v>
      </c>
      <c r="C10637" t="inlineStr">
        <is>
          <t>Bluestone Memorial Hospital</t>
        </is>
      </c>
      <c r="D10637" t="n">
        <v>30</v>
      </c>
    </row>
    <row r="10638">
      <c r="A10638" t="inlineStr">
        <is>
          <t>ED210839</t>
        </is>
      </c>
      <c r="B10638" s="56" t="n">
        <v>45941.55416666667</v>
      </c>
      <c r="C10638" t="inlineStr">
        <is>
          <t>Bluestone Memorial Hospital</t>
        </is>
      </c>
      <c r="D10638" t="n">
        <v>28</v>
      </c>
    </row>
    <row r="10639">
      <c r="A10639" t="inlineStr">
        <is>
          <t>ED210840</t>
        </is>
      </c>
      <c r="B10639" s="56" t="n">
        <v>45941.56319444445</v>
      </c>
      <c r="C10639" t="inlineStr">
        <is>
          <t>Bluestone Memorial Hospital</t>
        </is>
      </c>
      <c r="D10639" t="n">
        <v>51</v>
      </c>
    </row>
    <row r="10640">
      <c r="A10640" t="inlineStr">
        <is>
          <t>ED210841</t>
        </is>
      </c>
      <c r="B10640" s="56" t="n">
        <v>45941.64861111111</v>
      </c>
      <c r="C10640" t="inlineStr">
        <is>
          <t>Cedar Ridge Medical Center</t>
        </is>
      </c>
      <c r="D10640" t="n">
        <v>110</v>
      </c>
    </row>
    <row r="10641">
      <c r="A10641" t="inlineStr">
        <is>
          <t>ED210842</t>
        </is>
      </c>
      <c r="B10641" s="56" t="n">
        <v>45941.65902777778</v>
      </c>
      <c r="C10641" t="inlineStr">
        <is>
          <t>Bluestone Memorial Hospital</t>
        </is>
      </c>
      <c r="D10641" t="n">
        <v>44</v>
      </c>
    </row>
    <row r="10642">
      <c r="A10642" t="inlineStr">
        <is>
          <t>ED210843</t>
        </is>
      </c>
      <c r="B10642" s="56" t="n">
        <v>45941.74236111111</v>
      </c>
      <c r="C10642" t="inlineStr">
        <is>
          <t>Bluestone Memorial Hospital</t>
        </is>
      </c>
      <c r="D10642" t="n">
        <v>42</v>
      </c>
    </row>
    <row r="10643">
      <c r="A10643" t="inlineStr">
        <is>
          <t>ED210844</t>
        </is>
      </c>
      <c r="B10643" s="56" t="n">
        <v>45941.75833333333</v>
      </c>
      <c r="C10643" t="inlineStr">
        <is>
          <t>Bluestone Memorial Hospital</t>
        </is>
      </c>
      <c r="D10643" t="n">
        <v>20</v>
      </c>
    </row>
    <row r="10644">
      <c r="A10644" t="inlineStr">
        <is>
          <t>ED210845</t>
        </is>
      </c>
      <c r="B10644" s="56" t="n">
        <v>45941.91041666667</v>
      </c>
      <c r="C10644" t="inlineStr">
        <is>
          <t>Cedar Ridge Medical Center</t>
        </is>
      </c>
      <c r="D10644" t="n">
        <v>49</v>
      </c>
    </row>
    <row r="10645">
      <c r="A10645" t="inlineStr">
        <is>
          <t>ED210846</t>
        </is>
      </c>
      <c r="B10645" s="56" t="n">
        <v>45942.00416666667</v>
      </c>
      <c r="C10645" t="inlineStr">
        <is>
          <t>Cedar Ridge Medical Center</t>
        </is>
      </c>
      <c r="D10645" t="n">
        <v>8</v>
      </c>
    </row>
    <row r="10646">
      <c r="A10646" t="inlineStr">
        <is>
          <t>ED210847</t>
        </is>
      </c>
      <c r="B10646" s="56" t="n">
        <v>45942.31666666667</v>
      </c>
      <c r="C10646" t="inlineStr">
        <is>
          <t>Cedar Ridge Medical Center</t>
        </is>
      </c>
      <c r="D10646" t="n">
        <v>14</v>
      </c>
    </row>
    <row r="10647">
      <c r="A10647" t="inlineStr">
        <is>
          <t>ED210848</t>
        </is>
      </c>
      <c r="B10647" s="56" t="n">
        <v>45942.36388888889</v>
      </c>
      <c r="C10647" t="inlineStr">
        <is>
          <t>Bluestone Memorial Hospital</t>
        </is>
      </c>
      <c r="D10647" t="n">
        <v>46</v>
      </c>
    </row>
    <row r="10648">
      <c r="A10648" t="inlineStr">
        <is>
          <t>ED210850</t>
        </is>
      </c>
      <c r="B10648" s="56" t="n">
        <v>45942.44791666666</v>
      </c>
      <c r="C10648" t="inlineStr">
        <is>
          <t>Bluestone Memorial Hospital</t>
        </is>
      </c>
      <c r="D10648" t="n">
        <v>13</v>
      </c>
    </row>
    <row r="10649">
      <c r="A10649" t="inlineStr">
        <is>
          <t>ED210851</t>
        </is>
      </c>
      <c r="B10649" s="56" t="n">
        <v>45942.52430555555</v>
      </c>
      <c r="C10649" t="inlineStr">
        <is>
          <t>Bluestone Memorial Hospital</t>
        </is>
      </c>
      <c r="D10649" t="n">
        <v>20</v>
      </c>
    </row>
    <row r="10650">
      <c r="A10650" t="inlineStr">
        <is>
          <t>ED210852</t>
        </is>
      </c>
      <c r="B10650" s="56" t="n">
        <v>45942.55625</v>
      </c>
      <c r="C10650" t="inlineStr">
        <is>
          <t>Bluestone Memorial Hospital</t>
        </is>
      </c>
      <c r="D10650" t="n">
        <v>66</v>
      </c>
    </row>
    <row r="10651">
      <c r="A10651" t="inlineStr">
        <is>
          <t>ED210853</t>
        </is>
      </c>
      <c r="B10651" s="56" t="n">
        <v>45942.56319444445</v>
      </c>
      <c r="C10651" t="inlineStr">
        <is>
          <t>Bluestone Memorial Hospital</t>
        </is>
      </c>
      <c r="D10651" t="n">
        <v>88</v>
      </c>
    </row>
    <row r="10652">
      <c r="A10652" t="inlineStr">
        <is>
          <t>ED210854</t>
        </is>
      </c>
      <c r="B10652" s="56" t="n">
        <v>45942.57847222222</v>
      </c>
      <c r="C10652" t="inlineStr">
        <is>
          <t>Bluestone Memorial Hospital</t>
        </is>
      </c>
      <c r="D10652" t="n">
        <v>55</v>
      </c>
    </row>
    <row r="10653">
      <c r="A10653" t="inlineStr">
        <is>
          <t>ED210855</t>
        </is>
      </c>
      <c r="B10653" s="56" t="n">
        <v>45942.62986111111</v>
      </c>
      <c r="C10653" t="inlineStr">
        <is>
          <t>Bluestone Memorial Hospital</t>
        </is>
      </c>
      <c r="D10653" t="n">
        <v>123</v>
      </c>
    </row>
    <row r="10654">
      <c r="A10654" t="inlineStr">
        <is>
          <t>ED210856</t>
        </is>
      </c>
      <c r="B10654" s="56" t="n">
        <v>45942.76875</v>
      </c>
      <c r="C10654" t="inlineStr">
        <is>
          <t>Bluestone Memorial Hospital</t>
        </is>
      </c>
      <c r="D10654" t="n">
        <v>16</v>
      </c>
    </row>
    <row r="10655">
      <c r="A10655" t="inlineStr">
        <is>
          <t>ED210857</t>
        </is>
      </c>
      <c r="B10655" s="56" t="n">
        <v>45942.97777777778</v>
      </c>
      <c r="C10655" t="inlineStr">
        <is>
          <t>Bluestone Memorial Hospital</t>
        </is>
      </c>
      <c r="D10655" t="n">
        <v>46</v>
      </c>
    </row>
    <row r="10656">
      <c r="A10656" t="inlineStr">
        <is>
          <t>ED210858</t>
        </is>
      </c>
      <c r="B10656" s="56" t="n">
        <v>45943.04791666667</v>
      </c>
      <c r="C10656" t="inlineStr">
        <is>
          <t>Bluestone Memorial Hospital</t>
        </is>
      </c>
      <c r="D10656" t="n">
        <v>30</v>
      </c>
    </row>
    <row r="10657">
      <c r="A10657" t="inlineStr">
        <is>
          <t>ED210859</t>
        </is>
      </c>
      <c r="B10657" s="56" t="n">
        <v>45943.10902777778</v>
      </c>
      <c r="C10657" t="inlineStr">
        <is>
          <t>Bluestone Memorial Hospital</t>
        </is>
      </c>
      <c r="D10657" t="n">
        <v>40</v>
      </c>
    </row>
    <row r="10658">
      <c r="A10658" t="inlineStr">
        <is>
          <t>ED210860</t>
        </is>
      </c>
      <c r="B10658" s="56" t="n">
        <v>45943.16875</v>
      </c>
      <c r="C10658" t="inlineStr">
        <is>
          <t>Bluestone Memorial Hospital</t>
        </is>
      </c>
      <c r="D10658" t="n">
        <v>41</v>
      </c>
    </row>
    <row r="10659">
      <c r="A10659" t="inlineStr">
        <is>
          <t>ED210861</t>
        </is>
      </c>
      <c r="B10659" s="56" t="n">
        <v>45943.30902777778</v>
      </c>
      <c r="C10659" t="inlineStr">
        <is>
          <t>Ashby Falls Community Hospital</t>
        </is>
      </c>
      <c r="D10659" t="n">
        <v>19</v>
      </c>
    </row>
    <row r="10660">
      <c r="A10660" t="inlineStr">
        <is>
          <t>ED210862</t>
        </is>
      </c>
      <c r="B10660" s="56" t="n">
        <v>45943.51597222222</v>
      </c>
      <c r="C10660" t="inlineStr">
        <is>
          <t>Ashby Falls Community Hospital</t>
        </is>
      </c>
      <c r="D10660" t="n">
        <v>50</v>
      </c>
    </row>
    <row r="10661">
      <c r="A10661" t="inlineStr">
        <is>
          <t>ED210863</t>
        </is>
      </c>
      <c r="B10661" s="56" t="n">
        <v>45943.54583333333</v>
      </c>
      <c r="C10661" t="inlineStr">
        <is>
          <t>Bluestone Memorial Hospital</t>
        </is>
      </c>
      <c r="D10661" t="n">
        <v>35</v>
      </c>
    </row>
    <row r="10662">
      <c r="A10662" t="inlineStr">
        <is>
          <t>ED210864</t>
        </is>
      </c>
      <c r="B10662" s="56" t="n">
        <v>45943.66458333333</v>
      </c>
      <c r="C10662" t="inlineStr">
        <is>
          <t>Bluestone Memorial Hospital</t>
        </is>
      </c>
      <c r="D10662" t="n">
        <v>10</v>
      </c>
    </row>
    <row r="10663">
      <c r="A10663" t="inlineStr">
        <is>
          <t>ED210865</t>
        </is>
      </c>
      <c r="B10663" s="56" t="n">
        <v>45943.67083333333</v>
      </c>
      <c r="C10663" t="inlineStr">
        <is>
          <t>Ashby Falls Community Hospital</t>
        </is>
      </c>
      <c r="D10663" t="n">
        <v>122</v>
      </c>
    </row>
    <row r="10664">
      <c r="A10664" t="inlineStr">
        <is>
          <t>ED210866</t>
        </is>
      </c>
      <c r="B10664" s="56" t="n">
        <v>45943.68680555555</v>
      </c>
      <c r="C10664" t="inlineStr">
        <is>
          <t>Bluestone Memorial Hospital</t>
        </is>
      </c>
      <c r="D10664" t="n">
        <v>40</v>
      </c>
    </row>
    <row r="10665">
      <c r="A10665" t="inlineStr">
        <is>
          <t>ED210867</t>
        </is>
      </c>
      <c r="B10665" s="56" t="n">
        <v>45943.73333333333</v>
      </c>
      <c r="C10665" t="inlineStr">
        <is>
          <t>Bluestone Memorial Hospital</t>
        </is>
      </c>
      <c r="D10665" t="n">
        <v>87</v>
      </c>
    </row>
    <row r="10666">
      <c r="A10666" t="inlineStr">
        <is>
          <t>ED210868</t>
        </is>
      </c>
      <c r="B10666" s="56" t="n">
        <v>45943.77916666667</v>
      </c>
      <c r="C10666" t="inlineStr">
        <is>
          <t>Bluestone Memorial Hospital</t>
        </is>
      </c>
      <c r="D10666" t="n">
        <v>89</v>
      </c>
    </row>
    <row r="10667">
      <c r="A10667" t="inlineStr">
        <is>
          <t>ED210869</t>
        </is>
      </c>
      <c r="B10667" s="56" t="n">
        <v>45943.80347222222</v>
      </c>
      <c r="C10667" t="inlineStr">
        <is>
          <t>Bluestone Memorial Hospital</t>
        </is>
      </c>
      <c r="D10667" t="n">
        <v>9</v>
      </c>
    </row>
    <row r="10668">
      <c r="A10668" t="inlineStr">
        <is>
          <t>ED210870</t>
        </is>
      </c>
      <c r="B10668" s="56" t="n">
        <v>45943.84305555555</v>
      </c>
      <c r="C10668" t="inlineStr">
        <is>
          <t>Bluestone Memorial Hospital</t>
        </is>
      </c>
      <c r="D10668" t="n">
        <v>44</v>
      </c>
    </row>
    <row r="10669">
      <c r="A10669" t="inlineStr">
        <is>
          <t>ED210871</t>
        </is>
      </c>
      <c r="B10669" s="56" t="n">
        <v>45943.88888888889</v>
      </c>
      <c r="C10669" t="inlineStr">
        <is>
          <t>Bluestone Memorial Hospital</t>
        </is>
      </c>
      <c r="D10669" t="n">
        <v>31</v>
      </c>
    </row>
    <row r="10670">
      <c r="A10670" t="inlineStr">
        <is>
          <t>ED210872</t>
        </is>
      </c>
      <c r="B10670" s="56" t="n">
        <v>45943.90347222222</v>
      </c>
      <c r="C10670" t="inlineStr">
        <is>
          <t>Bluestone Memorial Hospital</t>
        </is>
      </c>
      <c r="D10670" t="n">
        <v>42</v>
      </c>
    </row>
    <row r="10671">
      <c r="A10671" t="inlineStr">
        <is>
          <t>ED210873</t>
        </is>
      </c>
      <c r="B10671" s="56" t="n">
        <v>45943.90902777778</v>
      </c>
      <c r="C10671" t="inlineStr">
        <is>
          <t>Bluestone Memorial Hospital</t>
        </is>
      </c>
      <c r="D10671" t="n">
        <v>56</v>
      </c>
    </row>
    <row r="10672">
      <c r="A10672" t="inlineStr">
        <is>
          <t>ED210874</t>
        </is>
      </c>
      <c r="B10672" s="56" t="n">
        <v>45943.99027777778</v>
      </c>
      <c r="C10672" t="inlineStr">
        <is>
          <t>Bluestone Memorial Hospital</t>
        </is>
      </c>
      <c r="D10672" t="n">
        <v>20</v>
      </c>
    </row>
    <row r="10673">
      <c r="A10673" t="inlineStr">
        <is>
          <t>ED210875</t>
        </is>
      </c>
      <c r="B10673" s="56" t="n">
        <v>45944.0125</v>
      </c>
      <c r="C10673" t="inlineStr">
        <is>
          <t>Bluestone Memorial Hospital</t>
        </is>
      </c>
      <c r="D10673" t="n">
        <v>12</v>
      </c>
    </row>
    <row r="10674">
      <c r="A10674" t="inlineStr">
        <is>
          <t>ED210876</t>
        </is>
      </c>
      <c r="B10674" s="56" t="n">
        <v>45944.25972222222</v>
      </c>
      <c r="C10674" t="inlineStr">
        <is>
          <t>Ashby Falls Community Hospital</t>
        </is>
      </c>
      <c r="D10674" t="n">
        <v>25</v>
      </c>
    </row>
    <row r="10675">
      <c r="A10675" t="inlineStr">
        <is>
          <t>ED210877</t>
        </is>
      </c>
      <c r="B10675" s="56" t="n">
        <v>45944.37013888889</v>
      </c>
      <c r="C10675" t="inlineStr">
        <is>
          <t>Ashby Falls Community Hospital</t>
        </is>
      </c>
      <c r="D10675" t="n">
        <v>27</v>
      </c>
    </row>
    <row r="10676">
      <c r="A10676" t="inlineStr">
        <is>
          <t>ED210878</t>
        </is>
      </c>
      <c r="B10676" s="56" t="n">
        <v>45944.43541666667</v>
      </c>
      <c r="C10676" t="inlineStr">
        <is>
          <t>Bluestone Memorial Hospital</t>
        </is>
      </c>
      <c r="D10676" t="n">
        <v>63</v>
      </c>
    </row>
    <row r="10677">
      <c r="A10677" t="inlineStr">
        <is>
          <t>ED210880</t>
        </is>
      </c>
      <c r="B10677" s="56" t="n">
        <v>45944.55138888889</v>
      </c>
      <c r="C10677" t="inlineStr">
        <is>
          <t>Bluestone Memorial Hospital</t>
        </is>
      </c>
      <c r="D10677" t="n">
        <v>90</v>
      </c>
    </row>
    <row r="10678">
      <c r="A10678" t="inlineStr">
        <is>
          <t>ED210881</t>
        </is>
      </c>
      <c r="B10678" s="56" t="n">
        <v>45944.57430555556</v>
      </c>
      <c r="C10678" t="inlineStr">
        <is>
          <t>Bluestone Memorial Hospital</t>
        </is>
      </c>
      <c r="D10678" t="n">
        <v>30</v>
      </c>
    </row>
    <row r="10679">
      <c r="A10679" t="inlineStr">
        <is>
          <t>ED210882</t>
        </is>
      </c>
      <c r="B10679" s="56" t="n">
        <v>45944.60138888889</v>
      </c>
      <c r="C10679" t="inlineStr">
        <is>
          <t>Bluestone Memorial Hospital</t>
        </is>
      </c>
      <c r="D10679" t="n">
        <v>64</v>
      </c>
    </row>
    <row r="10680">
      <c r="A10680" t="inlineStr">
        <is>
          <t>ED210883</t>
        </is>
      </c>
      <c r="B10680" s="56" t="n">
        <v>45944.61527777778</v>
      </c>
      <c r="C10680" t="inlineStr">
        <is>
          <t>Bluestone Memorial Hospital</t>
        </is>
      </c>
      <c r="D10680" t="n">
        <v>75</v>
      </c>
    </row>
    <row r="10681">
      <c r="A10681" t="inlineStr">
        <is>
          <t>ED210884</t>
        </is>
      </c>
      <c r="B10681" s="56" t="n">
        <v>45944.66180555556</v>
      </c>
      <c r="C10681" t="inlineStr">
        <is>
          <t>Ashby Falls Community Hospital</t>
        </is>
      </c>
      <c r="D10681" t="n">
        <v>47</v>
      </c>
    </row>
    <row r="10682">
      <c r="A10682" t="inlineStr">
        <is>
          <t>ED210885</t>
        </is>
      </c>
      <c r="B10682" s="56" t="n">
        <v>45944.70277777778</v>
      </c>
      <c r="C10682" t="inlineStr">
        <is>
          <t>Bluestone Memorial Hospital</t>
        </is>
      </c>
      <c r="D10682" t="n">
        <v>24</v>
      </c>
    </row>
    <row r="10683">
      <c r="A10683" t="inlineStr">
        <is>
          <t>ED210886</t>
        </is>
      </c>
      <c r="B10683" s="56" t="n">
        <v>45944.78680555556</v>
      </c>
      <c r="C10683" t="inlineStr">
        <is>
          <t>Cedar Ridge Medical Center</t>
        </is>
      </c>
      <c r="D10683" t="n">
        <v>36</v>
      </c>
    </row>
    <row r="10684">
      <c r="A10684" t="inlineStr">
        <is>
          <t>ED210887</t>
        </is>
      </c>
      <c r="B10684" s="56" t="n">
        <v>45944.81319444445</v>
      </c>
      <c r="C10684" t="inlineStr">
        <is>
          <t>Cedar Ridge Medical Center</t>
        </is>
      </c>
      <c r="D10684" t="n">
        <v>30</v>
      </c>
    </row>
    <row r="10685">
      <c r="A10685" t="inlineStr">
        <is>
          <t>ED210888</t>
        </is>
      </c>
      <c r="B10685" s="56" t="n">
        <v>45944.85</v>
      </c>
      <c r="C10685" t="inlineStr">
        <is>
          <t>Bluestone Memorial Hospital</t>
        </is>
      </c>
      <c r="D10685" t="n">
        <v>13</v>
      </c>
    </row>
    <row r="10686">
      <c r="A10686" t="inlineStr">
        <is>
          <t>ED210889</t>
        </is>
      </c>
      <c r="B10686" s="56" t="n">
        <v>45944.85972222222</v>
      </c>
      <c r="C10686" t="inlineStr">
        <is>
          <t>Bluestone Memorial Hospital</t>
        </is>
      </c>
      <c r="D10686" t="n">
        <v>34</v>
      </c>
    </row>
    <row r="10687">
      <c r="A10687" t="inlineStr">
        <is>
          <t>ED210890</t>
        </is>
      </c>
      <c r="B10687" s="56" t="n">
        <v>45944.88888888889</v>
      </c>
      <c r="C10687" t="inlineStr">
        <is>
          <t>Bluestone Memorial Hospital</t>
        </is>
      </c>
      <c r="D10687" t="n">
        <v>15</v>
      </c>
    </row>
    <row r="10688">
      <c r="A10688" t="inlineStr">
        <is>
          <t>ED210891</t>
        </is>
      </c>
      <c r="B10688" s="56" t="n">
        <v>45944.90902777778</v>
      </c>
      <c r="C10688" t="inlineStr">
        <is>
          <t>Bluestone Memorial Hospital</t>
        </is>
      </c>
      <c r="D10688" t="n">
        <v>60</v>
      </c>
    </row>
    <row r="10689">
      <c r="A10689" t="inlineStr">
        <is>
          <t>ED210892</t>
        </is>
      </c>
      <c r="B10689" s="56" t="n">
        <v>45945.02708333333</v>
      </c>
      <c r="C10689" t="inlineStr">
        <is>
          <t>Bluestone Memorial Hospital</t>
        </is>
      </c>
      <c r="D10689" t="n">
        <v>29</v>
      </c>
    </row>
    <row r="10690">
      <c r="A10690" t="inlineStr">
        <is>
          <t>ED210893</t>
        </is>
      </c>
      <c r="B10690" s="56" t="n">
        <v>45945.06597222222</v>
      </c>
      <c r="C10690" t="inlineStr">
        <is>
          <t>Cedar Ridge Medical Center</t>
        </is>
      </c>
      <c r="D10690" t="n">
        <v>20</v>
      </c>
    </row>
    <row r="10691">
      <c r="A10691" t="inlineStr">
        <is>
          <t>ED210894</t>
        </is>
      </c>
      <c r="B10691" s="56" t="n">
        <v>45945.1</v>
      </c>
      <c r="C10691" t="inlineStr">
        <is>
          <t>Ashby Falls Community Hospital</t>
        </is>
      </c>
      <c r="D10691" t="n">
        <v>52</v>
      </c>
    </row>
    <row r="10692">
      <c r="A10692" t="inlineStr">
        <is>
          <t>ED210895</t>
        </is>
      </c>
      <c r="B10692" s="56" t="n">
        <v>45945.42847222222</v>
      </c>
      <c r="C10692" t="inlineStr">
        <is>
          <t>Bluestone Memorial Hospital</t>
        </is>
      </c>
      <c r="D10692" t="n">
        <v>37</v>
      </c>
    </row>
    <row r="10693">
      <c r="A10693" t="inlineStr">
        <is>
          <t>ED210896</t>
        </is>
      </c>
      <c r="B10693" s="56" t="n">
        <v>45945.45277777778</v>
      </c>
      <c r="C10693" t="inlineStr">
        <is>
          <t>Bluestone Memorial Hospital</t>
        </is>
      </c>
      <c r="D10693" t="n">
        <v>16</v>
      </c>
    </row>
    <row r="10694">
      <c r="A10694" t="inlineStr">
        <is>
          <t>ED210897</t>
        </is>
      </c>
      <c r="B10694" s="56" t="n">
        <v>45945.46041666667</v>
      </c>
      <c r="C10694" t="inlineStr">
        <is>
          <t>Bluestone Memorial Hospital</t>
        </is>
      </c>
      <c r="D10694" t="n">
        <v>24</v>
      </c>
    </row>
    <row r="10695">
      <c r="A10695" t="inlineStr">
        <is>
          <t>ED210898</t>
        </is>
      </c>
      <c r="B10695" s="56" t="n">
        <v>45945.55763888889</v>
      </c>
      <c r="C10695" t="inlineStr">
        <is>
          <t>Bluestone Memorial Hospital</t>
        </is>
      </c>
      <c r="D10695" t="n">
        <v>160</v>
      </c>
    </row>
    <row r="10696">
      <c r="A10696" t="inlineStr">
        <is>
          <t>ED210899</t>
        </is>
      </c>
      <c r="B10696" s="56" t="n">
        <v>45945.56388888889</v>
      </c>
      <c r="C10696" t="inlineStr">
        <is>
          <t>Bluestone Memorial Hospital</t>
        </is>
      </c>
      <c r="D10696" t="n">
        <v>88</v>
      </c>
    </row>
    <row r="10697">
      <c r="A10697" t="inlineStr">
        <is>
          <t>ED210900</t>
        </is>
      </c>
      <c r="B10697" s="56" t="n">
        <v>45945.6125</v>
      </c>
      <c r="C10697" t="inlineStr">
        <is>
          <t>Cedar Ridge Medical Center</t>
        </is>
      </c>
      <c r="D10697" t="n">
        <v>84</v>
      </c>
    </row>
    <row r="10698">
      <c r="A10698" t="inlineStr">
        <is>
          <t>ED210901</t>
        </is>
      </c>
      <c r="B10698" s="56" t="n">
        <v>45945.63055555556</v>
      </c>
      <c r="C10698" t="inlineStr">
        <is>
          <t>Bluestone Memorial Hospital</t>
        </is>
      </c>
      <c r="D10698" t="n">
        <v>91</v>
      </c>
    </row>
    <row r="10699">
      <c r="A10699" t="inlineStr">
        <is>
          <t>ED210902</t>
        </is>
      </c>
      <c r="B10699" s="56" t="n">
        <v>45945.74861111111</v>
      </c>
      <c r="C10699" t="inlineStr">
        <is>
          <t>Bluestone Memorial Hospital</t>
        </is>
      </c>
      <c r="D10699" t="n">
        <v>28</v>
      </c>
    </row>
    <row r="10700">
      <c r="A10700" t="inlineStr">
        <is>
          <t>ED210903</t>
        </is>
      </c>
      <c r="B10700" s="56" t="n">
        <v>45945.90833333333</v>
      </c>
      <c r="C10700" t="inlineStr">
        <is>
          <t>Bluestone Memorial Hospital</t>
        </is>
      </c>
      <c r="D10700" t="n">
        <v>62</v>
      </c>
    </row>
    <row r="10701">
      <c r="A10701" t="inlineStr">
        <is>
          <t>ED210904</t>
        </is>
      </c>
      <c r="B10701" s="56" t="n">
        <v>45945.94583333333</v>
      </c>
      <c r="C10701" t="inlineStr">
        <is>
          <t>Bluestone Memorial Hospital</t>
        </is>
      </c>
      <c r="D10701" t="n">
        <v>40</v>
      </c>
    </row>
    <row r="10702">
      <c r="A10702" t="inlineStr">
        <is>
          <t>ED210905</t>
        </is>
      </c>
      <c r="B10702" s="56" t="n">
        <v>45945.99583333333</v>
      </c>
      <c r="C10702" t="inlineStr">
        <is>
          <t>Bluestone Memorial Hospital</t>
        </is>
      </c>
      <c r="D10702" t="n">
        <v>34</v>
      </c>
    </row>
    <row r="10703">
      <c r="A10703" t="inlineStr">
        <is>
          <t>ED210906</t>
        </is>
      </c>
      <c r="B10703" s="56" t="n">
        <v>45946.02222222222</v>
      </c>
      <c r="C10703" t="inlineStr">
        <is>
          <t>Bluestone Memorial Hospital</t>
        </is>
      </c>
      <c r="D10703" t="n">
        <v>35</v>
      </c>
    </row>
    <row r="10704">
      <c r="A10704" t="inlineStr">
        <is>
          <t>ED210907</t>
        </is>
      </c>
      <c r="B10704" s="56" t="n">
        <v>45946.275</v>
      </c>
      <c r="C10704" t="inlineStr">
        <is>
          <t>Bluestone Memorial Hospital</t>
        </is>
      </c>
      <c r="D10704" t="n">
        <v>18</v>
      </c>
    </row>
    <row r="10705">
      <c r="A10705" t="inlineStr">
        <is>
          <t>ED210908</t>
        </is>
      </c>
      <c r="B10705" s="56" t="n">
        <v>45946.34722222222</v>
      </c>
      <c r="C10705" t="inlineStr">
        <is>
          <t>Bluestone Memorial Hospital</t>
        </is>
      </c>
      <c r="D10705" t="n">
        <v>23</v>
      </c>
    </row>
    <row r="10706">
      <c r="A10706" t="inlineStr">
        <is>
          <t>ED210909</t>
        </is>
      </c>
      <c r="B10706" s="56" t="n">
        <v>45946.46111111111</v>
      </c>
      <c r="C10706" t="inlineStr">
        <is>
          <t>Bluestone Memorial Hospital</t>
        </is>
      </c>
      <c r="D10706" t="n">
        <v>40</v>
      </c>
    </row>
    <row r="10707">
      <c r="A10707" t="inlineStr">
        <is>
          <t>ED210910</t>
        </is>
      </c>
      <c r="B10707" s="56" t="n">
        <v>45946.49722222222</v>
      </c>
      <c r="C10707" t="inlineStr">
        <is>
          <t>Bluestone Memorial Hospital</t>
        </is>
      </c>
      <c r="D10707" t="n">
        <v>88</v>
      </c>
    </row>
    <row r="10708">
      <c r="A10708" t="inlineStr">
        <is>
          <t>ED210911</t>
        </is>
      </c>
      <c r="B10708" s="56" t="n">
        <v>45946.50833333333</v>
      </c>
      <c r="C10708" t="inlineStr">
        <is>
          <t>Bluestone Memorial Hospital</t>
        </is>
      </c>
      <c r="D10708" t="n">
        <v>22</v>
      </c>
    </row>
    <row r="10709">
      <c r="A10709" t="inlineStr">
        <is>
          <t>ED210912</t>
        </is>
      </c>
      <c r="B10709" s="56" t="n">
        <v>45946.55694444444</v>
      </c>
      <c r="C10709" t="inlineStr">
        <is>
          <t>Bluestone Memorial Hospital</t>
        </is>
      </c>
      <c r="D10709" t="n">
        <v>32</v>
      </c>
    </row>
    <row r="10710">
      <c r="A10710" t="inlineStr">
        <is>
          <t>ED210913</t>
        </is>
      </c>
      <c r="B10710" s="56" t="n">
        <v>45946.58958333333</v>
      </c>
      <c r="C10710" t="inlineStr">
        <is>
          <t>Bluestone Memorial Hospital</t>
        </is>
      </c>
      <c r="D10710" t="n">
        <v>21</v>
      </c>
    </row>
    <row r="10711">
      <c r="A10711" t="inlineStr">
        <is>
          <t>ED210914</t>
        </is>
      </c>
      <c r="B10711" s="56" t="n">
        <v>45946.61527777778</v>
      </c>
      <c r="C10711" t="inlineStr">
        <is>
          <t>Bluestone Memorial Hospital</t>
        </is>
      </c>
      <c r="D10711" t="n">
        <v>11</v>
      </c>
    </row>
    <row r="10712">
      <c r="A10712" t="inlineStr">
        <is>
          <t>ED210915</t>
        </is>
      </c>
      <c r="B10712" s="56" t="n">
        <v>45946.68055555555</v>
      </c>
      <c r="C10712" t="inlineStr">
        <is>
          <t>Bluestone Memorial Hospital</t>
        </is>
      </c>
      <c r="D10712" t="n">
        <v>140</v>
      </c>
    </row>
    <row r="10713">
      <c r="A10713" t="inlineStr">
        <is>
          <t>ED210916</t>
        </is>
      </c>
      <c r="B10713" s="56" t="n">
        <v>45946.71180555555</v>
      </c>
      <c r="C10713" t="inlineStr">
        <is>
          <t>Bluestone Memorial Hospital</t>
        </is>
      </c>
      <c r="D10713" t="n">
        <v>66</v>
      </c>
    </row>
    <row r="10714">
      <c r="A10714" t="inlineStr">
        <is>
          <t>ED210917</t>
        </is>
      </c>
      <c r="B10714" s="56" t="n">
        <v>45946.77291666667</v>
      </c>
      <c r="C10714" t="inlineStr">
        <is>
          <t>Bluestone Memorial Hospital</t>
        </is>
      </c>
      <c r="D10714" t="n">
        <v>118</v>
      </c>
    </row>
    <row r="10715">
      <c r="A10715" t="inlineStr">
        <is>
          <t>ED210918</t>
        </is>
      </c>
      <c r="B10715" s="56" t="n">
        <v>45946.80833333333</v>
      </c>
      <c r="C10715" t="inlineStr">
        <is>
          <t>Bluestone Memorial Hospital</t>
        </is>
      </c>
      <c r="D10715" t="n">
        <v>87</v>
      </c>
    </row>
    <row r="10716">
      <c r="A10716" t="inlineStr">
        <is>
          <t>ED210919</t>
        </is>
      </c>
      <c r="B10716" s="56" t="n">
        <v>45946.88055555556</v>
      </c>
      <c r="C10716" t="inlineStr">
        <is>
          <t>Bluestone Memorial Hospital</t>
        </is>
      </c>
      <c r="D10716" t="n">
        <v>25</v>
      </c>
    </row>
    <row r="10717">
      <c r="A10717" t="inlineStr">
        <is>
          <t>ED210920</t>
        </is>
      </c>
      <c r="B10717" s="56" t="n">
        <v>45946.9</v>
      </c>
      <c r="C10717" t="inlineStr">
        <is>
          <t>Bluestone Memorial Hospital</t>
        </is>
      </c>
      <c r="D10717" t="n">
        <v>9</v>
      </c>
    </row>
    <row r="10718">
      <c r="A10718" t="inlineStr">
        <is>
          <t>ED210921</t>
        </is>
      </c>
      <c r="B10718" s="56" t="n">
        <v>45946.91041666667</v>
      </c>
      <c r="C10718" t="inlineStr">
        <is>
          <t>Bluestone Memorial Hospital</t>
        </is>
      </c>
      <c r="D10718" t="n">
        <v>32</v>
      </c>
    </row>
    <row r="10719">
      <c r="A10719" t="inlineStr">
        <is>
          <t>ED210922</t>
        </is>
      </c>
      <c r="B10719" s="56" t="n">
        <v>45946.99027777778</v>
      </c>
      <c r="C10719" t="inlineStr">
        <is>
          <t>Bluestone Memorial Hospital</t>
        </is>
      </c>
      <c r="D10719" t="n">
        <v>5</v>
      </c>
    </row>
    <row r="10720">
      <c r="A10720" t="inlineStr">
        <is>
          <t>ED210923</t>
        </is>
      </c>
      <c r="B10720" s="56" t="n">
        <v>45947.21597222222</v>
      </c>
      <c r="C10720" t="inlineStr">
        <is>
          <t>Bluestone Memorial Hospital</t>
        </is>
      </c>
      <c r="D10720" t="n">
        <v>57</v>
      </c>
    </row>
    <row r="10721">
      <c r="A10721" t="inlineStr">
        <is>
          <t>ED210924</t>
        </is>
      </c>
      <c r="B10721" s="56" t="n">
        <v>45947.23333333333</v>
      </c>
      <c r="C10721" t="inlineStr">
        <is>
          <t>Bluestone Memorial Hospital</t>
        </is>
      </c>
      <c r="D10721" t="n">
        <v>12</v>
      </c>
    </row>
    <row r="10722">
      <c r="A10722" t="inlineStr">
        <is>
          <t>ED210925</t>
        </is>
      </c>
      <c r="B10722" s="56" t="n">
        <v>45947.23333333333</v>
      </c>
      <c r="C10722" t="inlineStr">
        <is>
          <t>Bluestone Memorial Hospital</t>
        </is>
      </c>
      <c r="D10722" t="n">
        <v>52</v>
      </c>
    </row>
    <row r="10723">
      <c r="A10723" t="inlineStr">
        <is>
          <t>ED210926</t>
        </is>
      </c>
      <c r="B10723" s="56" t="n">
        <v>45947.30416666667</v>
      </c>
      <c r="C10723" t="inlineStr">
        <is>
          <t>Bluestone Memorial Hospital</t>
        </is>
      </c>
      <c r="D10723" t="n">
        <v>161</v>
      </c>
    </row>
    <row r="10724">
      <c r="A10724" t="inlineStr">
        <is>
          <t>ED210927</t>
        </is>
      </c>
      <c r="B10724" s="56" t="n">
        <v>45947.31041666667</v>
      </c>
      <c r="C10724" t="inlineStr">
        <is>
          <t>Bluestone Memorial Hospital</t>
        </is>
      </c>
      <c r="D10724" t="n">
        <v>35</v>
      </c>
    </row>
    <row r="10725">
      <c r="A10725" t="inlineStr">
        <is>
          <t>ED210928</t>
        </is>
      </c>
      <c r="B10725" s="56" t="n">
        <v>45947.35</v>
      </c>
      <c r="C10725" t="inlineStr">
        <is>
          <t>Bluestone Memorial Hospital</t>
        </is>
      </c>
      <c r="D10725" t="n">
        <v>30</v>
      </c>
    </row>
    <row r="10726">
      <c r="A10726" t="inlineStr">
        <is>
          <t>ED210930</t>
        </is>
      </c>
      <c r="B10726" s="56" t="n">
        <v>45947.57013888889</v>
      </c>
      <c r="C10726" t="inlineStr">
        <is>
          <t>Bluestone Memorial Hospital</t>
        </is>
      </c>
      <c r="D10726" t="n">
        <v>34</v>
      </c>
    </row>
    <row r="10727">
      <c r="A10727" t="inlineStr">
        <is>
          <t>ED210931</t>
        </is>
      </c>
      <c r="B10727" s="56" t="n">
        <v>45947.58333333334</v>
      </c>
      <c r="C10727" t="inlineStr">
        <is>
          <t>Bluestone Memorial Hospital</t>
        </is>
      </c>
      <c r="D10727" t="n">
        <v>25</v>
      </c>
    </row>
    <row r="10728">
      <c r="A10728" t="inlineStr">
        <is>
          <t>ED210932</t>
        </is>
      </c>
      <c r="B10728" s="56" t="n">
        <v>45947.60902777778</v>
      </c>
      <c r="C10728" t="inlineStr">
        <is>
          <t>Cedar Ridge Medical Center</t>
        </is>
      </c>
      <c r="D10728" t="n">
        <v>36</v>
      </c>
    </row>
    <row r="10729">
      <c r="A10729" t="inlineStr">
        <is>
          <t>ED210933</t>
        </is>
      </c>
      <c r="B10729" s="56" t="n">
        <v>45947.61597222222</v>
      </c>
      <c r="C10729" t="inlineStr">
        <is>
          <t>Ashby Falls Community Hospital</t>
        </is>
      </c>
      <c r="D10729" t="n">
        <v>50</v>
      </c>
    </row>
    <row r="10730">
      <c r="A10730" t="inlineStr">
        <is>
          <t>ED210934</t>
        </is>
      </c>
      <c r="B10730" s="56" t="n">
        <v>45947.74791666667</v>
      </c>
      <c r="C10730" t="inlineStr">
        <is>
          <t>Cedar Ridge Medical Center</t>
        </is>
      </c>
      <c r="D10730" t="n">
        <v>16</v>
      </c>
    </row>
    <row r="10731">
      <c r="A10731" t="inlineStr">
        <is>
          <t>ED210935</t>
        </is>
      </c>
      <c r="B10731" s="56" t="n">
        <v>45947.78680555556</v>
      </c>
      <c r="C10731" t="inlineStr">
        <is>
          <t>Bluestone Memorial Hospital</t>
        </is>
      </c>
      <c r="D10731" t="n">
        <v>82</v>
      </c>
    </row>
    <row r="10732">
      <c r="A10732" t="inlineStr">
        <is>
          <t>ED210936</t>
        </is>
      </c>
      <c r="B10732" s="56" t="n">
        <v>45947.79166666666</v>
      </c>
      <c r="C10732" t="inlineStr">
        <is>
          <t>Cedar Ridge Medical Center</t>
        </is>
      </c>
      <c r="D10732" t="n">
        <v>50</v>
      </c>
    </row>
    <row r="10733">
      <c r="A10733" t="inlineStr">
        <is>
          <t>ED210937</t>
        </is>
      </c>
      <c r="B10733" s="56" t="n">
        <v>45947.82777777778</v>
      </c>
      <c r="C10733" t="inlineStr">
        <is>
          <t>Bluestone Memorial Hospital</t>
        </is>
      </c>
      <c r="D10733" t="n">
        <v>18</v>
      </c>
    </row>
    <row r="10734">
      <c r="A10734" t="inlineStr">
        <is>
          <t>ED210938</t>
        </is>
      </c>
      <c r="B10734" s="56" t="n">
        <v>45947.83263888889</v>
      </c>
      <c r="C10734" t="inlineStr">
        <is>
          <t>Bluestone Memorial Hospital</t>
        </is>
      </c>
      <c r="D10734" t="n">
        <v>46</v>
      </c>
    </row>
    <row r="10735">
      <c r="A10735" t="inlineStr">
        <is>
          <t>ED210939</t>
        </is>
      </c>
      <c r="B10735" s="56" t="n">
        <v>45947.91527777778</v>
      </c>
      <c r="C10735" t="inlineStr">
        <is>
          <t>Cedar Ridge Medical Center</t>
        </is>
      </c>
      <c r="D10735" t="n">
        <v>69</v>
      </c>
    </row>
    <row r="10736">
      <c r="A10736" t="inlineStr">
        <is>
          <t>ED210940</t>
        </is>
      </c>
      <c r="B10736" s="56" t="n">
        <v>45947.94791666666</v>
      </c>
      <c r="C10736" t="inlineStr">
        <is>
          <t>Bluestone Memorial Hospital</t>
        </is>
      </c>
      <c r="D10736" t="n">
        <v>14</v>
      </c>
    </row>
    <row r="10737">
      <c r="A10737" t="inlineStr">
        <is>
          <t>ED210941</t>
        </is>
      </c>
      <c r="B10737" s="56" t="n">
        <v>45947.95416666667</v>
      </c>
      <c r="C10737" t="inlineStr">
        <is>
          <t>Cedar Ridge Medical Center</t>
        </is>
      </c>
      <c r="D10737" t="n">
        <v>19</v>
      </c>
    </row>
    <row r="10738">
      <c r="A10738" t="inlineStr">
        <is>
          <t>ED210942</t>
        </is>
      </c>
      <c r="B10738" s="56" t="n">
        <v>45947.96805555555</v>
      </c>
      <c r="C10738" t="inlineStr">
        <is>
          <t>Bluestone Memorial Hospital</t>
        </is>
      </c>
      <c r="D10738" t="n">
        <v>16</v>
      </c>
    </row>
    <row r="10739">
      <c r="A10739" t="inlineStr">
        <is>
          <t>ED210943</t>
        </is>
      </c>
      <c r="B10739" s="56" t="n">
        <v>45948.00277777778</v>
      </c>
      <c r="C10739" t="inlineStr">
        <is>
          <t>Ashby Falls Community Hospital</t>
        </is>
      </c>
      <c r="D10739" t="n">
        <v>12</v>
      </c>
    </row>
    <row r="10740">
      <c r="A10740" t="inlineStr">
        <is>
          <t>ED210944</t>
        </is>
      </c>
      <c r="B10740" s="56" t="n">
        <v>45948.07708333333</v>
      </c>
      <c r="C10740" t="inlineStr">
        <is>
          <t>Bluestone Memorial Hospital</t>
        </is>
      </c>
      <c r="D10740" t="n">
        <v>16</v>
      </c>
    </row>
    <row r="10741">
      <c r="A10741" t="inlineStr">
        <is>
          <t>ED210945</t>
        </is>
      </c>
      <c r="B10741" s="56" t="n">
        <v>45948.15277777778</v>
      </c>
      <c r="C10741" t="inlineStr">
        <is>
          <t>Bluestone Memorial Hospital</t>
        </is>
      </c>
      <c r="D10741" t="n">
        <v>7</v>
      </c>
    </row>
    <row r="10742">
      <c r="A10742" t="inlineStr">
        <is>
          <t>ED210946</t>
        </is>
      </c>
      <c r="B10742" s="56" t="n">
        <v>45948.30763888889</v>
      </c>
      <c r="C10742" t="inlineStr">
        <is>
          <t>Bluestone Memorial Hospital</t>
        </is>
      </c>
      <c r="D10742" t="n">
        <v>33</v>
      </c>
    </row>
    <row r="10743">
      <c r="A10743" t="inlineStr">
        <is>
          <t>ED210947</t>
        </is>
      </c>
      <c r="B10743" s="56" t="n">
        <v>45948.40833333333</v>
      </c>
      <c r="C10743" t="inlineStr">
        <is>
          <t>Bluestone Memorial Hospital</t>
        </is>
      </c>
      <c r="D10743" t="n">
        <v>53</v>
      </c>
    </row>
    <row r="10744">
      <c r="A10744" t="inlineStr">
        <is>
          <t>ED210948</t>
        </is>
      </c>
      <c r="B10744" s="56" t="n">
        <v>45948.55486111111</v>
      </c>
      <c r="C10744" t="inlineStr">
        <is>
          <t>Bluestone Memorial Hospital</t>
        </is>
      </c>
      <c r="D10744" t="n">
        <v>10</v>
      </c>
    </row>
    <row r="10745">
      <c r="A10745" t="inlineStr">
        <is>
          <t>ED210949</t>
        </is>
      </c>
      <c r="B10745" s="56" t="n">
        <v>45948.59583333333</v>
      </c>
      <c r="C10745" t="inlineStr">
        <is>
          <t>Bluestone Memorial Hospital</t>
        </is>
      </c>
      <c r="D10745" t="n">
        <v>37</v>
      </c>
    </row>
    <row r="10746">
      <c r="A10746" t="inlineStr">
        <is>
          <t>ED210950</t>
        </is>
      </c>
      <c r="B10746" s="56" t="n">
        <v>45948.69166666667</v>
      </c>
      <c r="C10746" t="inlineStr">
        <is>
          <t>Bluestone Memorial Hospital</t>
        </is>
      </c>
      <c r="D10746" t="n">
        <v>95</v>
      </c>
    </row>
    <row r="10747">
      <c r="A10747" t="inlineStr">
        <is>
          <t>ED210951</t>
        </is>
      </c>
      <c r="B10747" s="56" t="n">
        <v>45948.73472222222</v>
      </c>
      <c r="C10747" t="inlineStr">
        <is>
          <t>Bluestone Memorial Hospital</t>
        </is>
      </c>
      <c r="D10747" t="n">
        <v>19</v>
      </c>
    </row>
    <row r="10748">
      <c r="A10748" t="inlineStr">
        <is>
          <t>ED210952</t>
        </is>
      </c>
      <c r="B10748" s="56" t="n">
        <v>45948.81805555556</v>
      </c>
      <c r="C10748" t="inlineStr">
        <is>
          <t>Cedar Ridge Medical Center</t>
        </is>
      </c>
      <c r="D10748" t="n">
        <v>85</v>
      </c>
    </row>
    <row r="10749">
      <c r="A10749" t="inlineStr">
        <is>
          <t>ED210953</t>
        </is>
      </c>
      <c r="B10749" s="56" t="n">
        <v>45948.93333333333</v>
      </c>
      <c r="C10749" t="inlineStr">
        <is>
          <t>Bluestone Memorial Hospital</t>
        </is>
      </c>
      <c r="D10749" t="n">
        <v>71</v>
      </c>
    </row>
    <row r="10750">
      <c r="A10750" t="inlineStr">
        <is>
          <t>ED210954</t>
        </is>
      </c>
      <c r="B10750" s="56" t="n">
        <v>45949.0375</v>
      </c>
      <c r="C10750" t="inlineStr">
        <is>
          <t>Bluestone Memorial Hospital</t>
        </is>
      </c>
      <c r="D10750" t="n">
        <v>19</v>
      </c>
    </row>
    <row r="10751">
      <c r="A10751" t="inlineStr">
        <is>
          <t>ED210955</t>
        </is>
      </c>
      <c r="B10751" s="56" t="n">
        <v>45949.12430555555</v>
      </c>
      <c r="C10751" t="inlineStr">
        <is>
          <t>Bluestone Memorial Hospital</t>
        </is>
      </c>
      <c r="D10751" t="n">
        <v>5</v>
      </c>
    </row>
    <row r="10752">
      <c r="A10752" t="inlineStr">
        <is>
          <t>ED210956</t>
        </is>
      </c>
      <c r="B10752" s="56" t="n">
        <v>45949.22569444445</v>
      </c>
      <c r="C10752" t="inlineStr">
        <is>
          <t>Ashby Falls Community Hospital</t>
        </is>
      </c>
      <c r="D10752" t="n">
        <v>14</v>
      </c>
    </row>
    <row r="10753">
      <c r="A10753" t="inlineStr">
        <is>
          <t>ED210957</t>
        </is>
      </c>
      <c r="B10753" s="56" t="n">
        <v>45949.24513888889</v>
      </c>
      <c r="C10753" t="inlineStr">
        <is>
          <t>Ashby Falls Community Hospital</t>
        </is>
      </c>
      <c r="D10753" t="n">
        <v>25</v>
      </c>
    </row>
    <row r="10754">
      <c r="A10754" t="inlineStr">
        <is>
          <t>ED210958</t>
        </is>
      </c>
      <c r="B10754" s="56" t="n">
        <v>45949.29861111111</v>
      </c>
      <c r="C10754" t="inlineStr">
        <is>
          <t>Cedar Ridge Medical Center</t>
        </is>
      </c>
      <c r="D10754" t="n">
        <v>10</v>
      </c>
    </row>
    <row r="10755">
      <c r="A10755" t="inlineStr">
        <is>
          <t>ED210959</t>
        </is>
      </c>
      <c r="B10755" s="56" t="n">
        <v>45949.50972222222</v>
      </c>
      <c r="C10755" t="inlineStr">
        <is>
          <t>Ashby Falls Community Hospital</t>
        </is>
      </c>
      <c r="D10755" t="n">
        <v>105</v>
      </c>
    </row>
    <row r="10756">
      <c r="A10756" t="inlineStr">
        <is>
          <t>ED210961</t>
        </is>
      </c>
      <c r="B10756" s="56" t="n">
        <v>45949.73958333334</v>
      </c>
      <c r="C10756" t="inlineStr">
        <is>
          <t>Cedar Ridge Medical Center</t>
        </is>
      </c>
      <c r="D10756" t="n">
        <v>26</v>
      </c>
    </row>
    <row r="10757">
      <c r="A10757" t="inlineStr">
        <is>
          <t>ED210962</t>
        </is>
      </c>
      <c r="B10757" s="56" t="n">
        <v>45949.78194444445</v>
      </c>
      <c r="C10757" t="inlineStr">
        <is>
          <t>Bluestone Memorial Hospital</t>
        </is>
      </c>
      <c r="D10757" t="n">
        <v>190</v>
      </c>
    </row>
    <row r="10758">
      <c r="A10758" t="inlineStr">
        <is>
          <t>ED210963</t>
        </is>
      </c>
      <c r="B10758" s="56" t="n">
        <v>45949.84305555555</v>
      </c>
      <c r="C10758" t="inlineStr">
        <is>
          <t>Bluestone Memorial Hospital</t>
        </is>
      </c>
      <c r="D10758" t="n">
        <v>89</v>
      </c>
    </row>
    <row r="10759">
      <c r="A10759" t="inlineStr">
        <is>
          <t>ED210964</t>
        </is>
      </c>
      <c r="B10759" s="56" t="n">
        <v>45949.87916666667</v>
      </c>
      <c r="C10759" t="inlineStr">
        <is>
          <t>Bluestone Memorial Hospital</t>
        </is>
      </c>
      <c r="D10759" t="n">
        <v>64</v>
      </c>
    </row>
    <row r="10760">
      <c r="A10760" t="inlineStr">
        <is>
          <t>ED210965</t>
        </is>
      </c>
      <c r="B10760" s="56" t="n">
        <v>45949.93541666667</v>
      </c>
      <c r="C10760" t="inlineStr">
        <is>
          <t>Bluestone Memorial Hospital</t>
        </is>
      </c>
      <c r="D10760" t="n">
        <v>25</v>
      </c>
    </row>
    <row r="10761">
      <c r="A10761" t="inlineStr">
        <is>
          <t>ED210966</t>
        </is>
      </c>
      <c r="B10761" s="56" t="n">
        <v>45949.95069444444</v>
      </c>
      <c r="C10761" t="inlineStr">
        <is>
          <t>Bluestone Memorial Hospital</t>
        </is>
      </c>
      <c r="D10761" t="n">
        <v>47</v>
      </c>
    </row>
    <row r="10762">
      <c r="A10762" t="inlineStr">
        <is>
          <t>ED210967</t>
        </is>
      </c>
      <c r="B10762" s="56" t="n">
        <v>45949.9625</v>
      </c>
      <c r="C10762" t="inlineStr">
        <is>
          <t>Cedar Ridge Medical Center</t>
        </is>
      </c>
      <c r="D10762" t="n">
        <v>8</v>
      </c>
    </row>
    <row r="10763">
      <c r="A10763" t="inlineStr">
        <is>
          <t>ED210968</t>
        </is>
      </c>
      <c r="B10763" s="56" t="n">
        <v>45950.07152777778</v>
      </c>
      <c r="C10763" t="inlineStr">
        <is>
          <t>Bluestone Memorial Hospital</t>
        </is>
      </c>
      <c r="D10763" t="n">
        <v>56</v>
      </c>
    </row>
    <row r="10764">
      <c r="A10764" t="inlineStr">
        <is>
          <t>ED210969</t>
        </is>
      </c>
      <c r="B10764" s="56" t="n">
        <v>45950.08194444444</v>
      </c>
      <c r="C10764" t="inlineStr">
        <is>
          <t>Bluestone Memorial Hospital</t>
        </is>
      </c>
      <c r="D10764" t="n">
        <v>40</v>
      </c>
    </row>
    <row r="10765">
      <c r="A10765" t="inlineStr">
        <is>
          <t>ED210970</t>
        </is>
      </c>
      <c r="B10765" s="56" t="n">
        <v>45950.34444444445</v>
      </c>
      <c r="C10765" t="inlineStr">
        <is>
          <t>Bluestone Memorial Hospital</t>
        </is>
      </c>
      <c r="D10765" t="n">
        <v>11</v>
      </c>
    </row>
    <row r="10766">
      <c r="A10766" t="inlineStr">
        <is>
          <t>ED210971</t>
        </is>
      </c>
      <c r="B10766" s="56" t="n">
        <v>45950.41458333333</v>
      </c>
      <c r="C10766" t="inlineStr">
        <is>
          <t>Bluestone Memorial Hospital</t>
        </is>
      </c>
      <c r="D10766" t="n">
        <v>82</v>
      </c>
    </row>
    <row r="10767">
      <c r="A10767" t="inlineStr">
        <is>
          <t>ED210972</t>
        </is>
      </c>
      <c r="B10767" s="56" t="n">
        <v>45950.41597222222</v>
      </c>
      <c r="C10767" t="inlineStr">
        <is>
          <t>Bluestone Memorial Hospital</t>
        </is>
      </c>
      <c r="D10767" t="n">
        <v>16</v>
      </c>
    </row>
    <row r="10768">
      <c r="A10768" t="inlineStr">
        <is>
          <t>ED210973</t>
        </is>
      </c>
      <c r="B10768" s="56" t="n">
        <v>45950.49236111111</v>
      </c>
      <c r="C10768" t="inlineStr">
        <is>
          <t>Bluestone Memorial Hospital</t>
        </is>
      </c>
      <c r="D10768" t="n">
        <v>109</v>
      </c>
    </row>
    <row r="10769">
      <c r="A10769" t="inlineStr">
        <is>
          <t>ED210974</t>
        </is>
      </c>
      <c r="B10769" s="56" t="n">
        <v>45950.52638888889</v>
      </c>
      <c r="C10769" t="inlineStr">
        <is>
          <t>Ashby Falls Community Hospital</t>
        </is>
      </c>
      <c r="D10769" t="n">
        <v>97</v>
      </c>
    </row>
    <row r="10770">
      <c r="A10770" t="inlineStr">
        <is>
          <t>ED210975</t>
        </is>
      </c>
      <c r="B10770" s="56" t="n">
        <v>45950.56111111111</v>
      </c>
      <c r="C10770" t="inlineStr">
        <is>
          <t>Bluestone Memorial Hospital</t>
        </is>
      </c>
      <c r="D10770" t="n">
        <v>50</v>
      </c>
    </row>
    <row r="10771">
      <c r="A10771" t="inlineStr">
        <is>
          <t>ED210976</t>
        </is>
      </c>
      <c r="B10771" s="56" t="n">
        <v>45950.5625</v>
      </c>
      <c r="C10771" t="inlineStr">
        <is>
          <t>Bluestone Memorial Hospital</t>
        </is>
      </c>
      <c r="D10771" t="n">
        <v>11</v>
      </c>
    </row>
    <row r="10772">
      <c r="A10772" t="inlineStr">
        <is>
          <t>ED210977</t>
        </is>
      </c>
      <c r="B10772" s="56" t="n">
        <v>45950.60277777778</v>
      </c>
      <c r="C10772" t="inlineStr">
        <is>
          <t>Bluestone Memorial Hospital</t>
        </is>
      </c>
      <c r="D10772" t="n">
        <v>40</v>
      </c>
    </row>
    <row r="10773">
      <c r="A10773" t="inlineStr">
        <is>
          <t>ED210978</t>
        </is>
      </c>
      <c r="B10773" s="56" t="n">
        <v>45950.83680555555</v>
      </c>
      <c r="C10773" t="inlineStr">
        <is>
          <t>Bluestone Memorial Hospital</t>
        </is>
      </c>
      <c r="D10773" t="n">
        <v>19</v>
      </c>
    </row>
    <row r="10774">
      <c r="A10774" t="inlineStr">
        <is>
          <t>ED210979</t>
        </is>
      </c>
      <c r="B10774" s="56" t="n">
        <v>45950.99027777778</v>
      </c>
      <c r="C10774" t="inlineStr">
        <is>
          <t>Bluestone Memorial Hospital</t>
        </is>
      </c>
      <c r="D10774" t="n">
        <v>6</v>
      </c>
    </row>
    <row r="10775">
      <c r="A10775" t="inlineStr">
        <is>
          <t>ED210980</t>
        </is>
      </c>
      <c r="B10775" s="56" t="n">
        <v>45950.99652777778</v>
      </c>
      <c r="C10775" t="inlineStr">
        <is>
          <t>Cedar Ridge Medical Center</t>
        </is>
      </c>
      <c r="D10775" t="n">
        <v>46</v>
      </c>
    </row>
    <row r="10776">
      <c r="A10776" t="inlineStr">
        <is>
          <t>ED210981</t>
        </is>
      </c>
      <c r="B10776" s="56" t="n">
        <v>45951.0125</v>
      </c>
      <c r="C10776" t="inlineStr">
        <is>
          <t>Bluestone Memorial Hospital</t>
        </is>
      </c>
      <c r="D10776" t="n">
        <v>13</v>
      </c>
    </row>
    <row r="10777">
      <c r="A10777" t="inlineStr">
        <is>
          <t>ED210982</t>
        </is>
      </c>
      <c r="B10777" s="56" t="n">
        <v>45951.16458333333</v>
      </c>
      <c r="C10777" t="inlineStr">
        <is>
          <t>Bluestone Memorial Hospital</t>
        </is>
      </c>
      <c r="D10777" t="n">
        <v>18</v>
      </c>
    </row>
    <row r="10778">
      <c r="A10778" t="inlineStr">
        <is>
          <t>ED210983</t>
        </is>
      </c>
      <c r="B10778" s="56" t="n">
        <v>45951.34375</v>
      </c>
      <c r="C10778" t="inlineStr">
        <is>
          <t>Bluestone Memorial Hospital</t>
        </is>
      </c>
      <c r="D10778" t="n">
        <v>25</v>
      </c>
    </row>
    <row r="10779">
      <c r="A10779" t="inlineStr">
        <is>
          <t>ED210984</t>
        </is>
      </c>
      <c r="B10779" s="56" t="n">
        <v>45951.39513888889</v>
      </c>
      <c r="C10779" t="inlineStr">
        <is>
          <t>Bluestone Memorial Hospital</t>
        </is>
      </c>
      <c r="D10779" t="n">
        <v>41</v>
      </c>
    </row>
    <row r="10780">
      <c r="A10780" t="inlineStr">
        <is>
          <t>ED210985</t>
        </is>
      </c>
      <c r="B10780" s="56" t="n">
        <v>45951.40972222222</v>
      </c>
      <c r="C10780" t="inlineStr">
        <is>
          <t>Bluestone Memorial Hospital</t>
        </is>
      </c>
      <c r="D10780" t="n">
        <v>37</v>
      </c>
    </row>
    <row r="10781">
      <c r="A10781" t="inlineStr">
        <is>
          <t>ED210986</t>
        </is>
      </c>
      <c r="B10781" s="56" t="n">
        <v>45951.44375</v>
      </c>
      <c r="C10781" t="inlineStr">
        <is>
          <t>Bluestone Memorial Hospital</t>
        </is>
      </c>
      <c r="D10781" t="n">
        <v>19</v>
      </c>
    </row>
    <row r="10782">
      <c r="A10782" t="inlineStr">
        <is>
          <t>ED210987</t>
        </is>
      </c>
      <c r="B10782" s="56" t="n">
        <v>45951.47916666666</v>
      </c>
      <c r="C10782" t="inlineStr">
        <is>
          <t>Bluestone Memorial Hospital</t>
        </is>
      </c>
      <c r="D10782" t="n">
        <v>56</v>
      </c>
    </row>
    <row r="10783">
      <c r="A10783" t="inlineStr">
        <is>
          <t>ED210988</t>
        </is>
      </c>
      <c r="B10783" s="56" t="n">
        <v>45951.64722222222</v>
      </c>
      <c r="C10783" t="inlineStr">
        <is>
          <t>Bluestone Memorial Hospital</t>
        </is>
      </c>
      <c r="D10783" t="n">
        <v>92</v>
      </c>
    </row>
    <row r="10784">
      <c r="A10784" t="inlineStr">
        <is>
          <t>ED210989</t>
        </is>
      </c>
      <c r="B10784" s="56" t="n">
        <v>45951.64791666667</v>
      </c>
      <c r="C10784" t="inlineStr">
        <is>
          <t>Bluestone Memorial Hospital</t>
        </is>
      </c>
      <c r="D10784" t="n">
        <v>3</v>
      </c>
    </row>
    <row r="10785">
      <c r="A10785" t="inlineStr">
        <is>
          <t>ED210990</t>
        </is>
      </c>
      <c r="B10785" s="56" t="n">
        <v>45951.75555555556</v>
      </c>
      <c r="C10785" t="inlineStr">
        <is>
          <t>Bluestone Memorial Hospital</t>
        </is>
      </c>
      <c r="D10785" t="n">
        <v>37</v>
      </c>
    </row>
    <row r="10786">
      <c r="A10786" t="inlineStr">
        <is>
          <t>ED210991</t>
        </is>
      </c>
      <c r="B10786" s="56" t="n">
        <v>45951.82847222222</v>
      </c>
      <c r="C10786" t="inlineStr">
        <is>
          <t>Bluestone Memorial Hospital</t>
        </is>
      </c>
      <c r="D10786" t="n">
        <v>88</v>
      </c>
    </row>
    <row r="10787">
      <c r="A10787" t="inlineStr">
        <is>
          <t>ED210992</t>
        </is>
      </c>
      <c r="B10787" s="56" t="n">
        <v>45951.92152777778</v>
      </c>
      <c r="C10787" t="inlineStr">
        <is>
          <t>Bluestone Memorial Hospital</t>
        </is>
      </c>
      <c r="D10787" t="n">
        <v>55</v>
      </c>
    </row>
    <row r="10788">
      <c r="A10788" t="inlineStr">
        <is>
          <t>ED210993</t>
        </is>
      </c>
      <c r="B10788" s="56" t="n">
        <v>45951.93125</v>
      </c>
      <c r="C10788" t="inlineStr">
        <is>
          <t>Bluestone Memorial Hospital</t>
        </is>
      </c>
      <c r="D10788" t="n">
        <v>22</v>
      </c>
    </row>
    <row r="10789">
      <c r="A10789" t="inlineStr">
        <is>
          <t>ED210994</t>
        </is>
      </c>
      <c r="B10789" s="56" t="n">
        <v>45952.06736111111</v>
      </c>
      <c r="C10789" t="inlineStr">
        <is>
          <t>Bluestone Memorial Hospital</t>
        </is>
      </c>
      <c r="D10789" t="n">
        <v>10</v>
      </c>
    </row>
    <row r="10790">
      <c r="A10790" t="inlineStr">
        <is>
          <t>ED210995</t>
        </is>
      </c>
      <c r="B10790" s="56" t="n">
        <v>45952.09236111111</v>
      </c>
      <c r="C10790" t="inlineStr">
        <is>
          <t>Bluestone Memorial Hospital</t>
        </is>
      </c>
      <c r="D10790" t="n">
        <v>19</v>
      </c>
    </row>
    <row r="10791">
      <c r="A10791" t="inlineStr">
        <is>
          <t>ED210996</t>
        </is>
      </c>
      <c r="B10791" s="56" t="n">
        <v>45952.32430555556</v>
      </c>
      <c r="C10791" t="inlineStr">
        <is>
          <t>Bluestone Memorial Hospital</t>
        </is>
      </c>
      <c r="D10791" t="n">
        <v>46</v>
      </c>
    </row>
    <row r="10792">
      <c r="A10792" t="inlineStr">
        <is>
          <t>ED210997</t>
        </is>
      </c>
      <c r="B10792" s="56" t="n">
        <v>45952.3625</v>
      </c>
      <c r="C10792" t="inlineStr">
        <is>
          <t>Bluestone Memorial Hospital</t>
        </is>
      </c>
      <c r="D10792" t="n">
        <v>48</v>
      </c>
    </row>
    <row r="10793">
      <c r="A10793" t="inlineStr">
        <is>
          <t>ED210998</t>
        </is>
      </c>
      <c r="B10793" s="56" t="n">
        <v>45952.40069444444</v>
      </c>
      <c r="C10793" t="inlineStr">
        <is>
          <t>Bluestone Memorial Hospital</t>
        </is>
      </c>
      <c r="D10793" t="n">
        <v>17</v>
      </c>
    </row>
    <row r="10794">
      <c r="A10794" t="inlineStr">
        <is>
          <t>ED210999</t>
        </is>
      </c>
      <c r="B10794" s="56" t="n">
        <v>45952.43194444444</v>
      </c>
      <c r="C10794" t="inlineStr">
        <is>
          <t>Bluestone Memorial Hospital</t>
        </is>
      </c>
      <c r="D10794" t="n">
        <v>54</v>
      </c>
    </row>
    <row r="10795">
      <c r="A10795" t="inlineStr">
        <is>
          <t>ED211000</t>
        </is>
      </c>
      <c r="B10795" s="56" t="n">
        <v>45952.52430555555</v>
      </c>
      <c r="C10795" t="inlineStr">
        <is>
          <t>Bluestone Memorial Hospital</t>
        </is>
      </c>
      <c r="D10795" t="n">
        <v>60</v>
      </c>
    </row>
    <row r="10796">
      <c r="A10796" t="inlineStr">
        <is>
          <t>ED211001</t>
        </is>
      </c>
      <c r="B10796" s="56" t="n">
        <v>45952.5375</v>
      </c>
      <c r="C10796" t="inlineStr">
        <is>
          <t>Bluestone Memorial Hospital</t>
        </is>
      </c>
      <c r="D10796" t="n">
        <v>143</v>
      </c>
    </row>
    <row r="10797">
      <c r="A10797" t="inlineStr">
        <is>
          <t>ED211002</t>
        </is>
      </c>
      <c r="B10797" s="56" t="n">
        <v>45952.59583333333</v>
      </c>
      <c r="C10797" t="inlineStr">
        <is>
          <t>Bluestone Memorial Hospital</t>
        </is>
      </c>
      <c r="D10797" t="n">
        <v>24</v>
      </c>
    </row>
    <row r="10798">
      <c r="A10798" t="inlineStr">
        <is>
          <t>ED211003</t>
        </is>
      </c>
      <c r="B10798" s="56" t="n">
        <v>45952.63611111111</v>
      </c>
      <c r="C10798" t="inlineStr">
        <is>
          <t>Cedar Ridge Medical Center</t>
        </is>
      </c>
      <c r="D10798" t="n">
        <v>39</v>
      </c>
    </row>
    <row r="10799">
      <c r="A10799" t="inlineStr">
        <is>
          <t>ED211004</t>
        </is>
      </c>
      <c r="B10799" s="56" t="n">
        <v>45952.66666666666</v>
      </c>
      <c r="C10799" t="inlineStr">
        <is>
          <t>Bluestone Memorial Hospital</t>
        </is>
      </c>
      <c r="D10799" t="n">
        <v>38</v>
      </c>
    </row>
    <row r="10800">
      <c r="A10800" t="inlineStr">
        <is>
          <t>ED211005</t>
        </is>
      </c>
      <c r="B10800" s="56" t="n">
        <v>45952.70972222222</v>
      </c>
      <c r="C10800" t="inlineStr">
        <is>
          <t>Bluestone Memorial Hospital</t>
        </is>
      </c>
      <c r="D10800" t="n">
        <v>53</v>
      </c>
    </row>
    <row r="10801">
      <c r="A10801" t="inlineStr">
        <is>
          <t>ED211006</t>
        </is>
      </c>
      <c r="B10801" s="56" t="n">
        <v>45952.79236111111</v>
      </c>
      <c r="C10801" t="inlineStr">
        <is>
          <t>Ashby Falls Community Hospital</t>
        </is>
      </c>
      <c r="D10801" t="n">
        <v>12</v>
      </c>
    </row>
    <row r="10802">
      <c r="A10802" t="inlineStr">
        <is>
          <t>ED211007</t>
        </is>
      </c>
      <c r="B10802" s="56" t="n">
        <v>45952.83055555556</v>
      </c>
      <c r="C10802" t="inlineStr">
        <is>
          <t>Bluestone Memorial Hospital</t>
        </is>
      </c>
      <c r="D10802" t="n">
        <v>46</v>
      </c>
    </row>
    <row r="10803">
      <c r="A10803" t="inlineStr">
        <is>
          <t>ED211008</t>
        </is>
      </c>
      <c r="B10803" s="56" t="n">
        <v>45952.84861111111</v>
      </c>
      <c r="C10803" t="inlineStr">
        <is>
          <t>Bluestone Memorial Hospital</t>
        </is>
      </c>
      <c r="D10803" t="n">
        <v>3</v>
      </c>
    </row>
    <row r="10804">
      <c r="A10804" t="inlineStr">
        <is>
          <t>ED211009</t>
        </is>
      </c>
      <c r="B10804" s="56" t="n">
        <v>45952.93541666667</v>
      </c>
      <c r="C10804" t="inlineStr">
        <is>
          <t>Bluestone Memorial Hospital</t>
        </is>
      </c>
      <c r="D10804" t="n">
        <v>17</v>
      </c>
    </row>
    <row r="10805">
      <c r="A10805" t="inlineStr">
        <is>
          <t>ED211010</t>
        </is>
      </c>
      <c r="B10805" s="56" t="n">
        <v>45952.98541666667</v>
      </c>
      <c r="C10805" t="inlineStr">
        <is>
          <t>Cedar Ridge Medical Center</t>
        </is>
      </c>
      <c r="D10805" t="n">
        <v>39</v>
      </c>
    </row>
    <row r="10806">
      <c r="A10806" t="inlineStr">
        <is>
          <t>ED211011</t>
        </is>
      </c>
      <c r="B10806" s="56" t="n">
        <v>45953.01527777778</v>
      </c>
      <c r="C10806" t="inlineStr">
        <is>
          <t>Cedar Ridge Medical Center</t>
        </is>
      </c>
      <c r="D10806" t="n">
        <v>39</v>
      </c>
    </row>
    <row r="10807">
      <c r="A10807" t="inlineStr">
        <is>
          <t>ED211012</t>
        </is>
      </c>
      <c r="B10807" s="56" t="n">
        <v>45953.2</v>
      </c>
      <c r="C10807" t="inlineStr">
        <is>
          <t>Ashby Falls Community Hospital</t>
        </is>
      </c>
      <c r="D10807" t="n">
        <v>7</v>
      </c>
    </row>
    <row r="10808">
      <c r="A10808" t="inlineStr">
        <is>
          <t>ED211013</t>
        </is>
      </c>
      <c r="B10808" s="56" t="n">
        <v>45953.41527777778</v>
      </c>
      <c r="C10808" t="inlineStr">
        <is>
          <t>Ashby Falls Community Hospital</t>
        </is>
      </c>
      <c r="D10808" t="n">
        <v>13</v>
      </c>
    </row>
    <row r="10809">
      <c r="A10809" t="inlineStr">
        <is>
          <t>ED211014</t>
        </is>
      </c>
      <c r="B10809" s="56" t="n">
        <v>45953.41805555556</v>
      </c>
      <c r="C10809" t="inlineStr">
        <is>
          <t>Bluestone Memorial Hospital</t>
        </is>
      </c>
      <c r="D10809" t="n">
        <v>26</v>
      </c>
    </row>
    <row r="10810">
      <c r="A10810" t="inlineStr">
        <is>
          <t>ED211015</t>
        </is>
      </c>
      <c r="B10810" s="56" t="n">
        <v>45953.44861111111</v>
      </c>
      <c r="C10810" t="inlineStr">
        <is>
          <t>Bluestone Memorial Hospital</t>
        </is>
      </c>
      <c r="D10810" t="n">
        <v>49</v>
      </c>
    </row>
    <row r="10811">
      <c r="A10811" t="inlineStr">
        <is>
          <t>ED211016</t>
        </is>
      </c>
      <c r="B10811" s="56" t="n">
        <v>45953.45972222222</v>
      </c>
      <c r="C10811" t="inlineStr">
        <is>
          <t>Bluestone Memorial Hospital</t>
        </is>
      </c>
      <c r="D10811" t="n">
        <v>20</v>
      </c>
    </row>
    <row r="10812">
      <c r="A10812" t="inlineStr">
        <is>
          <t>ED211017</t>
        </is>
      </c>
      <c r="B10812" s="56" t="n">
        <v>45953.46736111111</v>
      </c>
      <c r="C10812" t="inlineStr">
        <is>
          <t>Bluestone Memorial Hospital</t>
        </is>
      </c>
      <c r="D10812" t="n">
        <v>20</v>
      </c>
    </row>
    <row r="10813">
      <c r="A10813" t="inlineStr">
        <is>
          <t>ED211018</t>
        </is>
      </c>
      <c r="B10813" s="56" t="n">
        <v>45953.58194444444</v>
      </c>
      <c r="C10813" t="inlineStr">
        <is>
          <t>Bluestone Memorial Hospital</t>
        </is>
      </c>
      <c r="D10813" t="n">
        <v>73</v>
      </c>
    </row>
    <row r="10814">
      <c r="A10814" t="inlineStr">
        <is>
          <t>ED211019</t>
        </is>
      </c>
      <c r="B10814" s="56" t="n">
        <v>45953.58819444444</v>
      </c>
      <c r="C10814" t="inlineStr">
        <is>
          <t>Bluestone Memorial Hospital</t>
        </is>
      </c>
      <c r="D10814" t="n">
        <v>63</v>
      </c>
    </row>
    <row r="10815">
      <c r="A10815" t="inlineStr">
        <is>
          <t>ED211020</t>
        </is>
      </c>
      <c r="B10815" s="56" t="n">
        <v>45953.62291666667</v>
      </c>
      <c r="C10815" t="inlineStr">
        <is>
          <t>Bluestone Memorial Hospital</t>
        </is>
      </c>
      <c r="D10815" t="n">
        <v>74</v>
      </c>
    </row>
    <row r="10816">
      <c r="A10816" t="inlineStr">
        <is>
          <t>ED211021</t>
        </is>
      </c>
      <c r="B10816" s="56" t="n">
        <v>45953.63125</v>
      </c>
      <c r="C10816" t="inlineStr">
        <is>
          <t>Cedar Ridge Medical Center</t>
        </is>
      </c>
      <c r="D10816" t="n">
        <v>64</v>
      </c>
    </row>
    <row r="10817">
      <c r="A10817" t="inlineStr">
        <is>
          <t>ED211022</t>
        </is>
      </c>
      <c r="B10817" s="56" t="n">
        <v>45953.67916666667</v>
      </c>
      <c r="C10817" t="inlineStr">
        <is>
          <t>Bluestone Memorial Hospital</t>
        </is>
      </c>
      <c r="D10817" t="n">
        <v>66</v>
      </c>
    </row>
    <row r="10818">
      <c r="A10818" t="inlineStr">
        <is>
          <t>ED211023</t>
        </is>
      </c>
      <c r="B10818" s="56" t="n">
        <v>45953.69861111111</v>
      </c>
      <c r="C10818" t="inlineStr">
        <is>
          <t>Bluestone Memorial Hospital</t>
        </is>
      </c>
      <c r="D10818" t="n">
        <v>43</v>
      </c>
    </row>
    <row r="10819">
      <c r="A10819" t="inlineStr">
        <is>
          <t>ED211024</t>
        </is>
      </c>
      <c r="B10819" s="56" t="n">
        <v>45953.80902777778</v>
      </c>
      <c r="C10819" t="inlineStr">
        <is>
          <t>Cedar Ridge Medical Center</t>
        </is>
      </c>
      <c r="D10819" t="n">
        <v>29</v>
      </c>
    </row>
    <row r="10820">
      <c r="A10820" t="inlineStr">
        <is>
          <t>ED211025</t>
        </is>
      </c>
      <c r="B10820" s="56" t="n">
        <v>45953.81527777778</v>
      </c>
      <c r="C10820" t="inlineStr">
        <is>
          <t>Bluestone Memorial Hospital</t>
        </is>
      </c>
      <c r="D10820" t="n">
        <v>49</v>
      </c>
    </row>
    <row r="10821">
      <c r="A10821" t="inlineStr">
        <is>
          <t>ED211026</t>
        </is>
      </c>
      <c r="B10821" s="56" t="n">
        <v>45953.83055555556</v>
      </c>
      <c r="C10821" t="inlineStr">
        <is>
          <t>Bluestone Memorial Hospital</t>
        </is>
      </c>
      <c r="D10821" t="n">
        <v>7</v>
      </c>
    </row>
    <row r="10822">
      <c r="A10822" t="inlineStr">
        <is>
          <t>ED211027</t>
        </is>
      </c>
      <c r="B10822" s="56" t="n">
        <v>45953.83402777778</v>
      </c>
      <c r="C10822" t="inlineStr">
        <is>
          <t>Bluestone Memorial Hospital</t>
        </is>
      </c>
      <c r="D10822" t="n">
        <v>23</v>
      </c>
    </row>
    <row r="10823">
      <c r="A10823" t="inlineStr">
        <is>
          <t>ED211028</t>
        </is>
      </c>
      <c r="B10823" s="56" t="n">
        <v>45953.875</v>
      </c>
      <c r="C10823" t="inlineStr">
        <is>
          <t>Bluestone Memorial Hospital</t>
        </is>
      </c>
      <c r="D10823" t="n">
        <v>72</v>
      </c>
    </row>
    <row r="10824">
      <c r="A10824" t="inlineStr">
        <is>
          <t>ED211029</t>
        </is>
      </c>
      <c r="B10824" s="56" t="n">
        <v>45953.89861111111</v>
      </c>
      <c r="C10824" t="inlineStr">
        <is>
          <t>Bluestone Memorial Hospital</t>
        </is>
      </c>
      <c r="D10824" t="n">
        <v>20</v>
      </c>
    </row>
    <row r="10825">
      <c r="A10825" t="inlineStr">
        <is>
          <t>ED211030</t>
        </is>
      </c>
      <c r="B10825" s="56" t="n">
        <v>45953.94722222222</v>
      </c>
      <c r="C10825" t="inlineStr">
        <is>
          <t>Bluestone Memorial Hospital</t>
        </is>
      </c>
      <c r="D10825" t="n">
        <v>46</v>
      </c>
    </row>
    <row r="10826">
      <c r="A10826" t="inlineStr">
        <is>
          <t>ED211031</t>
        </is>
      </c>
      <c r="B10826" s="56" t="n">
        <v>45953.95486111111</v>
      </c>
      <c r="C10826" t="inlineStr">
        <is>
          <t>Bluestone Memorial Hospital</t>
        </is>
      </c>
      <c r="D10826" t="n">
        <v>52</v>
      </c>
    </row>
    <row r="10827">
      <c r="A10827" t="inlineStr">
        <is>
          <t>ED211032</t>
        </is>
      </c>
      <c r="B10827" s="56" t="n">
        <v>45953.99097222222</v>
      </c>
      <c r="C10827" t="inlineStr">
        <is>
          <t>Bluestone Memorial Hospital</t>
        </is>
      </c>
      <c r="D10827" t="n">
        <v>35</v>
      </c>
    </row>
    <row r="10828">
      <c r="A10828" t="inlineStr">
        <is>
          <t>ED211033</t>
        </is>
      </c>
      <c r="B10828" s="56" t="n">
        <v>45954.47847222222</v>
      </c>
      <c r="C10828" t="inlineStr">
        <is>
          <t>Bluestone Memorial Hospital</t>
        </is>
      </c>
      <c r="D10828" t="n">
        <v>42</v>
      </c>
    </row>
    <row r="10829">
      <c r="A10829" t="inlineStr">
        <is>
          <t>ED211034</t>
        </is>
      </c>
      <c r="B10829" s="56" t="n">
        <v>45954.54305555556</v>
      </c>
      <c r="C10829" t="inlineStr">
        <is>
          <t>Cedar Ridge Medical Center</t>
        </is>
      </c>
      <c r="D10829" t="n">
        <v>55</v>
      </c>
    </row>
    <row r="10830">
      <c r="A10830" t="inlineStr">
        <is>
          <t>ED211035</t>
        </is>
      </c>
      <c r="B10830" s="56" t="n">
        <v>45954.55486111111</v>
      </c>
      <c r="C10830" t="inlineStr">
        <is>
          <t>Bluestone Memorial Hospital</t>
        </is>
      </c>
      <c r="D10830" t="n">
        <v>23</v>
      </c>
    </row>
    <row r="10831">
      <c r="A10831" t="inlineStr">
        <is>
          <t>ED211036</t>
        </is>
      </c>
      <c r="B10831" s="56" t="n">
        <v>45954.56736111111</v>
      </c>
      <c r="C10831" t="inlineStr">
        <is>
          <t>Bluestone Memorial Hospital</t>
        </is>
      </c>
      <c r="D10831" t="n">
        <v>255</v>
      </c>
    </row>
    <row r="10832">
      <c r="A10832" t="inlineStr">
        <is>
          <t>ED211037</t>
        </is>
      </c>
      <c r="B10832" s="56" t="n">
        <v>45954.57152777778</v>
      </c>
      <c r="C10832" t="inlineStr">
        <is>
          <t>Cedar Ridge Medical Center</t>
        </is>
      </c>
      <c r="D10832" t="n">
        <v>154</v>
      </c>
    </row>
    <row r="10833">
      <c r="A10833" t="inlineStr">
        <is>
          <t>ED211038</t>
        </is>
      </c>
      <c r="B10833" s="56" t="n">
        <v>45954.5875</v>
      </c>
      <c r="C10833" t="inlineStr">
        <is>
          <t>Ashby Falls Community Hospital</t>
        </is>
      </c>
      <c r="D10833" t="n">
        <v>18</v>
      </c>
    </row>
    <row r="10834">
      <c r="A10834" t="inlineStr">
        <is>
          <t>ED211039</t>
        </is>
      </c>
      <c r="B10834" s="56" t="n">
        <v>45954.59375</v>
      </c>
      <c r="C10834" t="inlineStr">
        <is>
          <t>Ashby Falls Community Hospital</t>
        </is>
      </c>
      <c r="D10834" t="n">
        <v>17</v>
      </c>
    </row>
    <row r="10835">
      <c r="A10835" t="inlineStr">
        <is>
          <t>ED211040</t>
        </is>
      </c>
      <c r="B10835" s="56" t="n">
        <v>45954.60347222222</v>
      </c>
      <c r="C10835" t="inlineStr">
        <is>
          <t>Bluestone Memorial Hospital</t>
        </is>
      </c>
      <c r="D10835" t="n">
        <v>96</v>
      </c>
    </row>
    <row r="10836">
      <c r="A10836" t="inlineStr">
        <is>
          <t>ED211041</t>
        </is>
      </c>
      <c r="B10836" s="56" t="n">
        <v>45954.69652777778</v>
      </c>
      <c r="C10836" t="inlineStr">
        <is>
          <t>Bluestone Memorial Hospital</t>
        </is>
      </c>
      <c r="D10836" t="n">
        <v>16</v>
      </c>
    </row>
    <row r="10837">
      <c r="A10837" t="inlineStr">
        <is>
          <t>ED211042</t>
        </is>
      </c>
      <c r="B10837" s="56" t="n">
        <v>45954.75486111111</v>
      </c>
      <c r="C10837" t="inlineStr">
        <is>
          <t>Bluestone Memorial Hospital</t>
        </is>
      </c>
      <c r="D10837" t="n">
        <v>43</v>
      </c>
    </row>
    <row r="10838">
      <c r="A10838" t="inlineStr">
        <is>
          <t>ED211043</t>
        </is>
      </c>
      <c r="B10838" s="56" t="n">
        <v>45954.81458333333</v>
      </c>
      <c r="C10838" t="inlineStr">
        <is>
          <t>Bluestone Memorial Hospital</t>
        </is>
      </c>
      <c r="D10838" t="n">
        <v>43</v>
      </c>
    </row>
    <row r="10839">
      <c r="A10839" t="inlineStr">
        <is>
          <t>ED211044</t>
        </is>
      </c>
      <c r="B10839" s="56" t="n">
        <v>45954.93819444445</v>
      </c>
      <c r="C10839" t="inlineStr">
        <is>
          <t>Bluestone Memorial Hospital</t>
        </is>
      </c>
      <c r="D10839" t="n">
        <v>20</v>
      </c>
    </row>
    <row r="10840">
      <c r="A10840" t="inlineStr">
        <is>
          <t>ED211045</t>
        </is>
      </c>
      <c r="B10840" s="56" t="n">
        <v>45954.97222222222</v>
      </c>
      <c r="C10840" t="inlineStr">
        <is>
          <t>Cedar Ridge Medical Center</t>
        </is>
      </c>
      <c r="D10840" t="n">
        <v>19</v>
      </c>
    </row>
    <row r="10841">
      <c r="A10841" t="inlineStr">
        <is>
          <t>ED211046</t>
        </is>
      </c>
      <c r="B10841" s="56" t="n">
        <v>45955.46527777778</v>
      </c>
      <c r="C10841" t="inlineStr">
        <is>
          <t>Ashby Falls Community Hospital</t>
        </is>
      </c>
      <c r="D10841" t="n">
        <v>16</v>
      </c>
    </row>
    <row r="10842">
      <c r="A10842" t="inlineStr">
        <is>
          <t>ED211047</t>
        </is>
      </c>
      <c r="B10842" s="56" t="n">
        <v>45955.48472222222</v>
      </c>
      <c r="C10842" t="inlineStr">
        <is>
          <t>Cedar Ridge Medical Center</t>
        </is>
      </c>
      <c r="D10842" t="n">
        <v>37</v>
      </c>
    </row>
    <row r="10843">
      <c r="A10843" t="inlineStr">
        <is>
          <t>ED211048</t>
        </is>
      </c>
      <c r="B10843" s="56" t="n">
        <v>45955.56666666667</v>
      </c>
      <c r="C10843" t="inlineStr">
        <is>
          <t>Ashby Falls Community Hospital</t>
        </is>
      </c>
      <c r="D10843" t="n">
        <v>42</v>
      </c>
    </row>
    <row r="10844">
      <c r="A10844" t="inlineStr">
        <is>
          <t>ED211049</t>
        </is>
      </c>
      <c r="B10844" s="56" t="n">
        <v>45955.67569444444</v>
      </c>
      <c r="C10844" t="inlineStr">
        <is>
          <t>Cedar Ridge Medical Center</t>
        </is>
      </c>
      <c r="D10844" t="n">
        <v>39</v>
      </c>
    </row>
    <row r="10845">
      <c r="A10845" t="inlineStr">
        <is>
          <t>ED211050</t>
        </is>
      </c>
      <c r="B10845" s="56" t="n">
        <v>45955.69375</v>
      </c>
      <c r="C10845" t="inlineStr">
        <is>
          <t>Bluestone Memorial Hospital</t>
        </is>
      </c>
      <c r="D10845" t="n">
        <v>4</v>
      </c>
    </row>
    <row r="10846">
      <c r="A10846" t="inlineStr">
        <is>
          <t>ED211051</t>
        </is>
      </c>
      <c r="B10846" s="56" t="n">
        <v>45955.85972222222</v>
      </c>
      <c r="C10846" t="inlineStr">
        <is>
          <t>Bluestone Memorial Hospital</t>
        </is>
      </c>
      <c r="D10846" t="n">
        <v>10</v>
      </c>
    </row>
    <row r="10847">
      <c r="A10847" t="inlineStr">
        <is>
          <t>ED211052</t>
        </is>
      </c>
      <c r="B10847" s="56" t="n">
        <v>45955.86666666667</v>
      </c>
      <c r="C10847" t="inlineStr">
        <is>
          <t>Bluestone Memorial Hospital</t>
        </is>
      </c>
      <c r="D10847" t="n">
        <v>96</v>
      </c>
    </row>
    <row r="10848">
      <c r="A10848" t="inlineStr">
        <is>
          <t>ED211053</t>
        </is>
      </c>
      <c r="B10848" s="56" t="n">
        <v>45956.04375</v>
      </c>
      <c r="C10848" t="inlineStr">
        <is>
          <t>Bluestone Memorial Hospital</t>
        </is>
      </c>
      <c r="D10848" t="n">
        <v>28</v>
      </c>
    </row>
    <row r="10849">
      <c r="A10849" t="inlineStr">
        <is>
          <t>ED211054</t>
        </is>
      </c>
      <c r="B10849" s="56" t="n">
        <v>45956.05833333333</v>
      </c>
      <c r="C10849" t="inlineStr">
        <is>
          <t>Bluestone Memorial Hospital</t>
        </is>
      </c>
      <c r="D10849" t="n">
        <v>56</v>
      </c>
    </row>
    <row r="10850">
      <c r="A10850" t="inlineStr">
        <is>
          <t>ED211055</t>
        </is>
      </c>
      <c r="B10850" s="56" t="n">
        <v>45956.09583333333</v>
      </c>
      <c r="C10850" t="inlineStr">
        <is>
          <t>Bluestone Memorial Hospital</t>
        </is>
      </c>
      <c r="D10850" t="n">
        <v>10</v>
      </c>
    </row>
    <row r="10851">
      <c r="A10851" t="inlineStr">
        <is>
          <t>ED211056</t>
        </is>
      </c>
      <c r="B10851" s="56" t="n">
        <v>45956.57430555556</v>
      </c>
      <c r="C10851" t="inlineStr">
        <is>
          <t>Ashby Falls Community Hospital</t>
        </is>
      </c>
      <c r="D10851" t="n">
        <v>23</v>
      </c>
    </row>
    <row r="10852">
      <c r="A10852" t="inlineStr">
        <is>
          <t>ED211057</t>
        </is>
      </c>
      <c r="B10852" s="56" t="n">
        <v>45956.60069444445</v>
      </c>
      <c r="C10852" t="inlineStr">
        <is>
          <t>Bluestone Memorial Hospital</t>
        </is>
      </c>
      <c r="D10852" t="n">
        <v>81</v>
      </c>
    </row>
    <row r="10853">
      <c r="A10853" t="inlineStr">
        <is>
          <t>ED211058</t>
        </is>
      </c>
      <c r="B10853" s="56" t="n">
        <v>45956.60277777778</v>
      </c>
      <c r="C10853" t="inlineStr">
        <is>
          <t>Bluestone Memorial Hospital</t>
        </is>
      </c>
      <c r="D10853" t="n">
        <v>9</v>
      </c>
    </row>
    <row r="10854">
      <c r="A10854" t="inlineStr">
        <is>
          <t>ED211059</t>
        </is>
      </c>
      <c r="B10854" s="56" t="n">
        <v>45956.61805555555</v>
      </c>
      <c r="C10854" t="inlineStr">
        <is>
          <t>Bluestone Memorial Hospital</t>
        </is>
      </c>
      <c r="D10854" t="n">
        <v>10</v>
      </c>
    </row>
    <row r="10855">
      <c r="A10855" t="inlineStr">
        <is>
          <t>ED211060</t>
        </is>
      </c>
      <c r="B10855" s="56" t="n">
        <v>45956.62291666667</v>
      </c>
      <c r="C10855" t="inlineStr">
        <is>
          <t>Cedar Ridge Medical Center</t>
        </is>
      </c>
      <c r="D10855" t="n">
        <v>31</v>
      </c>
    </row>
    <row r="10856">
      <c r="A10856" t="inlineStr">
        <is>
          <t>ED211061</t>
        </is>
      </c>
      <c r="B10856" s="56" t="n">
        <v>45956.62708333333</v>
      </c>
      <c r="C10856" t="inlineStr">
        <is>
          <t>Bluestone Memorial Hospital</t>
        </is>
      </c>
      <c r="D10856" t="n">
        <v>35</v>
      </c>
    </row>
    <row r="10857">
      <c r="A10857" t="inlineStr">
        <is>
          <t>ED211062</t>
        </is>
      </c>
      <c r="B10857" s="56" t="n">
        <v>45956.65</v>
      </c>
      <c r="C10857" t="inlineStr">
        <is>
          <t>Bluestone Memorial Hospital</t>
        </is>
      </c>
      <c r="D10857" t="n">
        <v>79</v>
      </c>
    </row>
    <row r="10858">
      <c r="A10858" t="inlineStr">
        <is>
          <t>ED211063</t>
        </is>
      </c>
      <c r="B10858" s="56" t="n">
        <v>45956.7375</v>
      </c>
      <c r="C10858" t="inlineStr">
        <is>
          <t>Bluestone Memorial Hospital</t>
        </is>
      </c>
      <c r="D10858" t="n">
        <v>22</v>
      </c>
    </row>
    <row r="10859">
      <c r="A10859" t="inlineStr">
        <is>
          <t>ED211064</t>
        </is>
      </c>
      <c r="B10859" s="56" t="n">
        <v>45956.80833333333</v>
      </c>
      <c r="C10859" t="inlineStr">
        <is>
          <t>Bluestone Memorial Hospital</t>
        </is>
      </c>
      <c r="D10859" t="n">
        <v>139</v>
      </c>
    </row>
    <row r="10860">
      <c r="A10860" t="inlineStr">
        <is>
          <t>ED211065</t>
        </is>
      </c>
      <c r="B10860" s="56" t="n">
        <v>45956.82569444444</v>
      </c>
      <c r="C10860" t="inlineStr">
        <is>
          <t>Bluestone Memorial Hospital</t>
        </is>
      </c>
      <c r="D10860" t="n">
        <v>43</v>
      </c>
    </row>
    <row r="10861">
      <c r="A10861" t="inlineStr">
        <is>
          <t>ED211066</t>
        </is>
      </c>
      <c r="B10861" s="56" t="n">
        <v>45956.85069444445</v>
      </c>
      <c r="C10861" t="inlineStr">
        <is>
          <t>Bluestone Memorial Hospital</t>
        </is>
      </c>
      <c r="D10861" t="n">
        <v>12</v>
      </c>
    </row>
    <row r="10862">
      <c r="A10862" t="inlineStr">
        <is>
          <t>ED211067</t>
        </is>
      </c>
      <c r="B10862" s="56" t="n">
        <v>45956.93888888889</v>
      </c>
      <c r="C10862" t="inlineStr">
        <is>
          <t>Cedar Ridge Medical Center</t>
        </is>
      </c>
      <c r="D10862" t="n">
        <v>9</v>
      </c>
    </row>
    <row r="10863">
      <c r="A10863" t="inlineStr">
        <is>
          <t>ED211068</t>
        </is>
      </c>
      <c r="B10863" s="56" t="n">
        <v>45956.94166666667</v>
      </c>
      <c r="C10863" t="inlineStr">
        <is>
          <t>Bluestone Memorial Hospital</t>
        </is>
      </c>
      <c r="D10863" t="n">
        <v>68</v>
      </c>
    </row>
    <row r="10864">
      <c r="A10864" t="inlineStr">
        <is>
          <t>ED211069</t>
        </is>
      </c>
      <c r="B10864" s="56" t="n">
        <v>45956.96180555555</v>
      </c>
      <c r="C10864" t="inlineStr">
        <is>
          <t>Bluestone Memorial Hospital</t>
        </is>
      </c>
      <c r="D10864" t="n">
        <v>22</v>
      </c>
    </row>
    <row r="10865">
      <c r="A10865" t="inlineStr">
        <is>
          <t>ED211070</t>
        </is>
      </c>
      <c r="B10865" s="56" t="n">
        <v>45956.96875</v>
      </c>
      <c r="C10865" t="inlineStr">
        <is>
          <t>Cedar Ridge Medical Center</t>
        </is>
      </c>
      <c r="D10865" t="n">
        <v>39</v>
      </c>
    </row>
    <row r="10866">
      <c r="A10866" t="inlineStr">
        <is>
          <t>ED211071</t>
        </is>
      </c>
      <c r="B10866" s="56" t="n">
        <v>45957.00138888889</v>
      </c>
      <c r="C10866" t="inlineStr">
        <is>
          <t>Bluestone Memorial Hospital</t>
        </is>
      </c>
      <c r="D10866" t="n">
        <v>95</v>
      </c>
    </row>
    <row r="10867">
      <c r="A10867" t="inlineStr">
        <is>
          <t>ED211072</t>
        </is>
      </c>
      <c r="B10867" s="56" t="n">
        <v>45957.30486111111</v>
      </c>
      <c r="C10867" t="inlineStr">
        <is>
          <t>Bluestone Memorial Hospital</t>
        </is>
      </c>
      <c r="D10867" t="n">
        <v>83</v>
      </c>
    </row>
    <row r="10868">
      <c r="A10868" t="inlineStr">
        <is>
          <t>ED211073</t>
        </is>
      </c>
      <c r="B10868" s="56" t="n">
        <v>45957.3375</v>
      </c>
      <c r="C10868" t="inlineStr">
        <is>
          <t>Bluestone Memorial Hospital</t>
        </is>
      </c>
      <c r="D10868" t="n">
        <v>10</v>
      </c>
    </row>
    <row r="10869">
      <c r="A10869" t="inlineStr">
        <is>
          <t>ED211074</t>
        </is>
      </c>
      <c r="B10869" s="56" t="n">
        <v>45957.39236111111</v>
      </c>
      <c r="C10869" t="inlineStr">
        <is>
          <t>Cedar Ridge Medical Center</t>
        </is>
      </c>
      <c r="D10869" t="n">
        <v>12</v>
      </c>
    </row>
    <row r="10870">
      <c r="A10870" t="inlineStr">
        <is>
          <t>ED211075</t>
        </is>
      </c>
      <c r="B10870" s="56" t="n">
        <v>45957.42569444444</v>
      </c>
      <c r="C10870" t="inlineStr">
        <is>
          <t>Bluestone Memorial Hospital</t>
        </is>
      </c>
      <c r="D10870" t="n">
        <v>22</v>
      </c>
    </row>
    <row r="10871">
      <c r="A10871" t="inlineStr">
        <is>
          <t>ED211076</t>
        </is>
      </c>
      <c r="B10871" s="56" t="n">
        <v>45957.43541666667</v>
      </c>
      <c r="C10871" t="inlineStr">
        <is>
          <t>Cedar Ridge Medical Center</t>
        </is>
      </c>
      <c r="D10871" t="n">
        <v>16</v>
      </c>
    </row>
    <row r="10872">
      <c r="A10872" t="inlineStr">
        <is>
          <t>ED211077</t>
        </is>
      </c>
      <c r="B10872" s="56" t="n">
        <v>45957.45069444444</v>
      </c>
      <c r="C10872" t="inlineStr">
        <is>
          <t>Bluestone Memorial Hospital</t>
        </is>
      </c>
      <c r="D10872" t="n">
        <v>16</v>
      </c>
    </row>
    <row r="10873">
      <c r="A10873" t="inlineStr">
        <is>
          <t>ED211078</t>
        </is>
      </c>
      <c r="B10873" s="56" t="n">
        <v>45957.45833333334</v>
      </c>
      <c r="C10873" t="inlineStr">
        <is>
          <t>Bluestone Memorial Hospital</t>
        </is>
      </c>
      <c r="D10873" t="n">
        <v>38</v>
      </c>
    </row>
    <row r="10874">
      <c r="A10874" t="inlineStr">
        <is>
          <t>ED211079</t>
        </is>
      </c>
      <c r="B10874" s="56" t="n">
        <v>45957.50208333333</v>
      </c>
      <c r="C10874" t="inlineStr">
        <is>
          <t>Bluestone Memorial Hospital</t>
        </is>
      </c>
      <c r="D10874" t="n">
        <v>32</v>
      </c>
    </row>
    <row r="10875">
      <c r="A10875" t="inlineStr">
        <is>
          <t>ED211080</t>
        </is>
      </c>
      <c r="B10875" s="56" t="n">
        <v>45957.50347222222</v>
      </c>
      <c r="C10875" t="inlineStr">
        <is>
          <t>Cedar Ridge Medical Center</t>
        </is>
      </c>
      <c r="D10875" t="n">
        <v>29</v>
      </c>
    </row>
    <row r="10876">
      <c r="A10876" t="inlineStr">
        <is>
          <t>ED211081</t>
        </is>
      </c>
      <c r="B10876" s="56" t="n">
        <v>45957.52361111111</v>
      </c>
      <c r="C10876" t="inlineStr">
        <is>
          <t>Bluestone Memorial Hospital</t>
        </is>
      </c>
      <c r="D10876" t="n">
        <v>16</v>
      </c>
    </row>
    <row r="10877">
      <c r="A10877" t="inlineStr">
        <is>
          <t>ED211082</t>
        </is>
      </c>
      <c r="B10877" s="56" t="n">
        <v>45957.53194444445</v>
      </c>
      <c r="C10877" t="inlineStr">
        <is>
          <t>Bluestone Memorial Hospital</t>
        </is>
      </c>
      <c r="D10877" t="n">
        <v>45</v>
      </c>
    </row>
    <row r="10878">
      <c r="A10878" t="inlineStr">
        <is>
          <t>ED211083</t>
        </is>
      </c>
      <c r="B10878" s="56" t="n">
        <v>45957.53472222222</v>
      </c>
      <c r="C10878" t="inlineStr">
        <is>
          <t>Bluestone Memorial Hospital</t>
        </is>
      </c>
      <c r="D10878" t="n">
        <v>119</v>
      </c>
    </row>
    <row r="10879">
      <c r="A10879" t="inlineStr">
        <is>
          <t>ED211084</t>
        </is>
      </c>
      <c r="B10879" s="56" t="n">
        <v>45957.72847222222</v>
      </c>
      <c r="C10879" t="inlineStr">
        <is>
          <t>Bluestone Memorial Hospital</t>
        </is>
      </c>
      <c r="D10879" t="n">
        <v>57</v>
      </c>
    </row>
    <row r="10880">
      <c r="A10880" t="inlineStr">
        <is>
          <t>ED211085</t>
        </is>
      </c>
      <c r="B10880" s="56" t="n">
        <v>45957.75416666667</v>
      </c>
      <c r="C10880" t="inlineStr">
        <is>
          <t>Bluestone Memorial Hospital</t>
        </is>
      </c>
      <c r="D10880" t="n">
        <v>27</v>
      </c>
    </row>
    <row r="10881">
      <c r="A10881" t="inlineStr">
        <is>
          <t>ED211086</t>
        </is>
      </c>
      <c r="B10881" s="56" t="n">
        <v>45957.80625</v>
      </c>
      <c r="C10881" t="inlineStr">
        <is>
          <t>Ashby Falls Community Hospital</t>
        </is>
      </c>
      <c r="D10881" t="n">
        <v>75</v>
      </c>
    </row>
    <row r="10882">
      <c r="A10882" t="inlineStr">
        <is>
          <t>ED211087</t>
        </is>
      </c>
      <c r="B10882" s="56" t="n">
        <v>45957.85208333333</v>
      </c>
      <c r="C10882" t="inlineStr">
        <is>
          <t>Bluestone Memorial Hospital</t>
        </is>
      </c>
      <c r="D10882" t="n">
        <v>82</v>
      </c>
    </row>
    <row r="10883">
      <c r="A10883" t="inlineStr">
        <is>
          <t>ED211088</t>
        </is>
      </c>
      <c r="B10883" s="56" t="n">
        <v>45957.90486111111</v>
      </c>
      <c r="C10883" t="inlineStr">
        <is>
          <t>Bluestone Memorial Hospital</t>
        </is>
      </c>
      <c r="D10883" t="n">
        <v>36</v>
      </c>
    </row>
    <row r="10884">
      <c r="A10884" t="inlineStr">
        <is>
          <t>ED211089</t>
        </is>
      </c>
      <c r="B10884" s="56" t="n">
        <v>45957.92847222222</v>
      </c>
      <c r="C10884" t="inlineStr">
        <is>
          <t>Ashby Falls Community Hospital</t>
        </is>
      </c>
      <c r="D10884" t="n">
        <v>31</v>
      </c>
    </row>
    <row r="10885">
      <c r="A10885" t="inlineStr">
        <is>
          <t>ED211090</t>
        </is>
      </c>
      <c r="B10885" s="56" t="n">
        <v>45958.15833333333</v>
      </c>
      <c r="C10885" t="inlineStr">
        <is>
          <t>Bluestone Memorial Hospital</t>
        </is>
      </c>
      <c r="D10885" t="n">
        <v>29</v>
      </c>
    </row>
    <row r="10886">
      <c r="A10886" t="inlineStr">
        <is>
          <t>ED211091</t>
        </is>
      </c>
      <c r="B10886" s="56" t="n">
        <v>45958.30347222222</v>
      </c>
      <c r="C10886" t="inlineStr">
        <is>
          <t>Bluestone Memorial Hospital</t>
        </is>
      </c>
      <c r="D10886" t="n">
        <v>45</v>
      </c>
    </row>
    <row r="10887">
      <c r="A10887" t="inlineStr">
        <is>
          <t>ED211092</t>
        </is>
      </c>
      <c r="B10887" s="56" t="n">
        <v>45958.36736111111</v>
      </c>
      <c r="C10887" t="inlineStr">
        <is>
          <t>Bluestone Memorial Hospital</t>
        </is>
      </c>
      <c r="D10887" t="n">
        <v>47</v>
      </c>
    </row>
    <row r="10888">
      <c r="A10888" t="inlineStr">
        <is>
          <t>ED211093</t>
        </is>
      </c>
      <c r="B10888" s="56" t="n">
        <v>45958.40486111111</v>
      </c>
      <c r="C10888" t="inlineStr">
        <is>
          <t>Ashby Falls Community Hospital</t>
        </is>
      </c>
      <c r="D10888" t="n">
        <v>10</v>
      </c>
    </row>
    <row r="10889">
      <c r="A10889" t="inlineStr">
        <is>
          <t>ED211094</t>
        </is>
      </c>
      <c r="B10889" s="56" t="n">
        <v>45958.41944444444</v>
      </c>
      <c r="C10889" t="inlineStr">
        <is>
          <t>Bluestone Memorial Hospital</t>
        </is>
      </c>
      <c r="D10889" t="n">
        <v>16</v>
      </c>
    </row>
    <row r="10890">
      <c r="A10890" t="inlineStr">
        <is>
          <t>ED211095</t>
        </is>
      </c>
      <c r="B10890" s="56" t="n">
        <v>45958.42291666667</v>
      </c>
      <c r="C10890" t="inlineStr">
        <is>
          <t>Ashby Falls Community Hospital</t>
        </is>
      </c>
      <c r="D10890" t="n">
        <v>17</v>
      </c>
    </row>
    <row r="10891">
      <c r="A10891" t="inlineStr">
        <is>
          <t>ED211096</t>
        </is>
      </c>
      <c r="B10891" s="56" t="n">
        <v>45958.46388888889</v>
      </c>
      <c r="C10891" t="inlineStr">
        <is>
          <t>Bluestone Memorial Hospital</t>
        </is>
      </c>
      <c r="D10891" t="n">
        <v>165</v>
      </c>
    </row>
    <row r="10892">
      <c r="A10892" t="inlineStr">
        <is>
          <t>ED211097</t>
        </is>
      </c>
      <c r="B10892" s="56" t="n">
        <v>45958.47083333333</v>
      </c>
      <c r="C10892" t="inlineStr">
        <is>
          <t>Bluestone Memorial Hospital</t>
        </is>
      </c>
      <c r="D10892" t="n">
        <v>80</v>
      </c>
    </row>
    <row r="10893">
      <c r="A10893" t="inlineStr">
        <is>
          <t>ED211098</t>
        </is>
      </c>
      <c r="B10893" s="56" t="n">
        <v>45958.55972222222</v>
      </c>
      <c r="C10893" t="inlineStr">
        <is>
          <t>Ashby Falls Community Hospital</t>
        </is>
      </c>
      <c r="D10893" t="n">
        <v>59</v>
      </c>
    </row>
    <row r="10894">
      <c r="A10894" t="inlineStr">
        <is>
          <t>ED211099</t>
        </is>
      </c>
      <c r="B10894" s="56" t="n">
        <v>45958.57361111111</v>
      </c>
      <c r="C10894" t="inlineStr">
        <is>
          <t>Ashby Falls Community Hospital</t>
        </is>
      </c>
      <c r="D10894" t="n">
        <v>52</v>
      </c>
    </row>
    <row r="10895">
      <c r="A10895" t="inlineStr">
        <is>
          <t>ED211100</t>
        </is>
      </c>
      <c r="B10895" s="56" t="n">
        <v>45958.66180555556</v>
      </c>
      <c r="C10895" t="inlineStr">
        <is>
          <t>Bluestone Memorial Hospital</t>
        </is>
      </c>
      <c r="D10895" t="n">
        <v>88</v>
      </c>
    </row>
    <row r="10896">
      <c r="A10896" t="inlineStr">
        <is>
          <t>ED211101</t>
        </is>
      </c>
      <c r="B10896" s="56" t="n">
        <v>45958.68958333333</v>
      </c>
      <c r="C10896" t="inlineStr">
        <is>
          <t>Bluestone Memorial Hospital</t>
        </is>
      </c>
      <c r="D10896" t="n">
        <v>58</v>
      </c>
    </row>
    <row r="10897">
      <c r="A10897" t="inlineStr">
        <is>
          <t>ED211102</t>
        </is>
      </c>
      <c r="B10897" s="56" t="n">
        <v>45958.69861111111</v>
      </c>
      <c r="C10897" t="inlineStr">
        <is>
          <t>Bluestone Memorial Hospital</t>
        </is>
      </c>
      <c r="D10897" t="n">
        <v>234</v>
      </c>
    </row>
    <row r="10898">
      <c r="A10898" t="inlineStr">
        <is>
          <t>ED211103</t>
        </is>
      </c>
      <c r="B10898" s="56" t="n">
        <v>45958.70625</v>
      </c>
      <c r="C10898" t="inlineStr">
        <is>
          <t>Ashby Falls Community Hospital</t>
        </is>
      </c>
      <c r="D10898" t="n">
        <v>86</v>
      </c>
    </row>
    <row r="10899">
      <c r="A10899" t="inlineStr">
        <is>
          <t>ED211104</t>
        </is>
      </c>
      <c r="B10899" s="56" t="n">
        <v>45958.70763888889</v>
      </c>
      <c r="C10899" t="inlineStr">
        <is>
          <t>Bluestone Memorial Hospital</t>
        </is>
      </c>
      <c r="D10899" t="n">
        <v>47</v>
      </c>
    </row>
    <row r="10900">
      <c r="A10900" t="inlineStr">
        <is>
          <t>ED211105</t>
        </is>
      </c>
      <c r="B10900" s="56" t="n">
        <v>45958.72152777778</v>
      </c>
      <c r="C10900" t="inlineStr">
        <is>
          <t>Bluestone Memorial Hospital</t>
        </is>
      </c>
      <c r="D10900" t="n">
        <v>33</v>
      </c>
    </row>
    <row r="10901">
      <c r="A10901" t="inlineStr">
        <is>
          <t>ED211106</t>
        </is>
      </c>
      <c r="B10901" s="56" t="n">
        <v>45958.73472222222</v>
      </c>
      <c r="C10901" t="inlineStr">
        <is>
          <t>Bluestone Memorial Hospital</t>
        </is>
      </c>
      <c r="D10901" t="n">
        <v>62</v>
      </c>
    </row>
    <row r="10902">
      <c r="A10902" t="inlineStr">
        <is>
          <t>ED211107</t>
        </is>
      </c>
      <c r="B10902" s="56" t="n">
        <v>45958.74583333333</v>
      </c>
      <c r="C10902" t="inlineStr">
        <is>
          <t>Ashby Falls Community Hospital</t>
        </is>
      </c>
      <c r="D10902" t="n">
        <v>42</v>
      </c>
    </row>
    <row r="10903">
      <c r="A10903" t="inlineStr">
        <is>
          <t>ED211108</t>
        </is>
      </c>
      <c r="B10903" s="56" t="n">
        <v>45958.75625</v>
      </c>
      <c r="C10903" t="inlineStr">
        <is>
          <t>Cedar Ridge Medical Center</t>
        </is>
      </c>
      <c r="D10903" t="n">
        <v>11</v>
      </c>
    </row>
    <row r="10904">
      <c r="A10904" t="inlineStr">
        <is>
          <t>ED211109</t>
        </is>
      </c>
      <c r="B10904" s="56" t="n">
        <v>45958.76041666666</v>
      </c>
      <c r="C10904" t="inlineStr">
        <is>
          <t>Bluestone Memorial Hospital</t>
        </is>
      </c>
      <c r="D10904" t="n">
        <v>10</v>
      </c>
    </row>
    <row r="10905">
      <c r="A10905" t="inlineStr">
        <is>
          <t>ED211110</t>
        </is>
      </c>
      <c r="B10905" s="56" t="n">
        <v>45958.83472222222</v>
      </c>
      <c r="C10905" t="inlineStr">
        <is>
          <t>Bluestone Memorial Hospital</t>
        </is>
      </c>
      <c r="D10905" t="n">
        <v>12</v>
      </c>
    </row>
    <row r="10906">
      <c r="A10906" t="inlineStr">
        <is>
          <t>ED211111</t>
        </is>
      </c>
      <c r="B10906" s="56" t="n">
        <v>45958.86805555555</v>
      </c>
      <c r="C10906" t="inlineStr">
        <is>
          <t>Ashby Falls Community Hospital</t>
        </is>
      </c>
      <c r="D10906" t="n">
        <v>40</v>
      </c>
    </row>
    <row r="10907">
      <c r="A10907" t="inlineStr">
        <is>
          <t>ED211112</t>
        </is>
      </c>
      <c r="B10907" s="56" t="n">
        <v>45958.88194444445</v>
      </c>
      <c r="C10907" t="inlineStr">
        <is>
          <t>Bluestone Memorial Hospital</t>
        </is>
      </c>
      <c r="D10907" t="n">
        <v>13</v>
      </c>
    </row>
    <row r="10908">
      <c r="A10908" t="inlineStr">
        <is>
          <t>ED211113</t>
        </is>
      </c>
      <c r="B10908" s="56" t="n">
        <v>45958.91111111111</v>
      </c>
      <c r="C10908" t="inlineStr">
        <is>
          <t>Bluestone Memorial Hospital</t>
        </is>
      </c>
      <c r="D10908" t="n">
        <v>26</v>
      </c>
    </row>
    <row r="10909">
      <c r="A10909" t="inlineStr">
        <is>
          <t>ED211114</t>
        </is>
      </c>
      <c r="B10909" s="56" t="n">
        <v>45958.92430555556</v>
      </c>
      <c r="C10909" t="inlineStr">
        <is>
          <t>Bluestone Memorial Hospital</t>
        </is>
      </c>
      <c r="D10909" t="n">
        <v>31</v>
      </c>
    </row>
    <row r="10910">
      <c r="A10910" t="inlineStr">
        <is>
          <t>ED211115</t>
        </is>
      </c>
      <c r="B10910" s="56" t="n">
        <v>45959.06458333333</v>
      </c>
      <c r="C10910" t="inlineStr">
        <is>
          <t>Ashby Falls Community Hospital</t>
        </is>
      </c>
      <c r="D10910" t="n">
        <v>6</v>
      </c>
    </row>
    <row r="10911">
      <c r="A10911" t="inlineStr">
        <is>
          <t>ED211116</t>
        </is>
      </c>
      <c r="B10911" s="56" t="n">
        <v>45959.11041666667</v>
      </c>
      <c r="C10911" t="inlineStr">
        <is>
          <t>Bluestone Memorial Hospital</t>
        </is>
      </c>
      <c r="D10911" t="n">
        <v>41</v>
      </c>
    </row>
    <row r="10912">
      <c r="A10912" t="inlineStr">
        <is>
          <t>ED211117</t>
        </is>
      </c>
      <c r="B10912" s="56" t="n">
        <v>45959.22083333333</v>
      </c>
      <c r="C10912" t="inlineStr">
        <is>
          <t>Bluestone Memorial Hospital</t>
        </is>
      </c>
      <c r="D10912" t="n">
        <v>14</v>
      </c>
    </row>
    <row r="10913">
      <c r="A10913" t="inlineStr">
        <is>
          <t>ED211118</t>
        </is>
      </c>
      <c r="B10913" s="56" t="n">
        <v>45959.43888888889</v>
      </c>
      <c r="C10913" t="inlineStr">
        <is>
          <t>Bluestone Memorial Hospital</t>
        </is>
      </c>
      <c r="D10913" t="n">
        <v>38</v>
      </c>
    </row>
    <row r="10914">
      <c r="A10914" t="inlineStr">
        <is>
          <t>ED211119</t>
        </is>
      </c>
      <c r="B10914" s="56" t="n">
        <v>45959.47777777778</v>
      </c>
      <c r="C10914" t="inlineStr">
        <is>
          <t>Cedar Ridge Medical Center</t>
        </is>
      </c>
      <c r="D10914" t="n">
        <v>30</v>
      </c>
    </row>
    <row r="10915">
      <c r="A10915" t="inlineStr">
        <is>
          <t>ED211120</t>
        </is>
      </c>
      <c r="B10915" s="56" t="n">
        <v>45959.48472222222</v>
      </c>
      <c r="C10915" t="inlineStr">
        <is>
          <t>Bluestone Memorial Hospital</t>
        </is>
      </c>
      <c r="D10915" t="n">
        <v>20</v>
      </c>
    </row>
    <row r="10916">
      <c r="A10916" t="inlineStr">
        <is>
          <t>ED211121</t>
        </is>
      </c>
      <c r="B10916" s="56" t="n">
        <v>45959.51527777778</v>
      </c>
      <c r="C10916" t="inlineStr">
        <is>
          <t>Cedar Ridge Medical Center</t>
        </is>
      </c>
      <c r="D10916" t="n">
        <v>2</v>
      </c>
    </row>
    <row r="10917">
      <c r="A10917" t="inlineStr">
        <is>
          <t>ED211122</t>
        </is>
      </c>
      <c r="B10917" s="56" t="n">
        <v>45959.52083333334</v>
      </c>
      <c r="C10917" t="inlineStr">
        <is>
          <t>Bluestone Memorial Hospital</t>
        </is>
      </c>
      <c r="D10917" t="n">
        <v>128</v>
      </c>
    </row>
    <row r="10918">
      <c r="A10918" t="inlineStr">
        <is>
          <t>ED211123</t>
        </is>
      </c>
      <c r="B10918" s="56" t="n">
        <v>45959.52708333333</v>
      </c>
      <c r="C10918" t="inlineStr">
        <is>
          <t>Bluestone Memorial Hospital</t>
        </is>
      </c>
      <c r="D10918" t="n">
        <v>94</v>
      </c>
    </row>
    <row r="10919">
      <c r="A10919" t="inlineStr">
        <is>
          <t>ED211124</t>
        </is>
      </c>
      <c r="B10919" s="56" t="n">
        <v>45959.5875</v>
      </c>
      <c r="C10919" t="inlineStr">
        <is>
          <t>Bluestone Memorial Hospital</t>
        </is>
      </c>
      <c r="D10919" t="n">
        <v>28</v>
      </c>
    </row>
    <row r="10920">
      <c r="A10920" t="inlineStr">
        <is>
          <t>ED211125</t>
        </is>
      </c>
      <c r="B10920" s="56" t="n">
        <v>45959.60138888889</v>
      </c>
      <c r="C10920" t="inlineStr">
        <is>
          <t>Ashby Falls Community Hospital</t>
        </is>
      </c>
      <c r="D10920" t="n">
        <v>2</v>
      </c>
    </row>
    <row r="10921">
      <c r="A10921" t="inlineStr">
        <is>
          <t>ED211126</t>
        </is>
      </c>
      <c r="B10921" s="56" t="n">
        <v>45959.73472222222</v>
      </c>
      <c r="C10921" t="inlineStr">
        <is>
          <t>Ashby Falls Community Hospital</t>
        </is>
      </c>
      <c r="D10921" t="n">
        <v>71</v>
      </c>
    </row>
    <row r="10922">
      <c r="A10922" t="inlineStr">
        <is>
          <t>ED211127</t>
        </is>
      </c>
      <c r="B10922" s="56" t="n">
        <v>45959.74166666667</v>
      </c>
      <c r="C10922" t="inlineStr">
        <is>
          <t>Bluestone Memorial Hospital</t>
        </is>
      </c>
      <c r="D10922" t="n">
        <v>27</v>
      </c>
    </row>
    <row r="10923">
      <c r="A10923" t="inlineStr">
        <is>
          <t>ED211128</t>
        </is>
      </c>
      <c r="B10923" s="56" t="n">
        <v>45959.75972222222</v>
      </c>
      <c r="C10923" t="inlineStr">
        <is>
          <t>Bluestone Memorial Hospital</t>
        </is>
      </c>
      <c r="D10923" t="n">
        <v>13</v>
      </c>
    </row>
    <row r="10924">
      <c r="A10924" t="inlineStr">
        <is>
          <t>ED211129</t>
        </is>
      </c>
      <c r="B10924" s="56" t="n">
        <v>45959.75972222222</v>
      </c>
      <c r="C10924" t="inlineStr">
        <is>
          <t>Cedar Ridge Medical Center</t>
        </is>
      </c>
      <c r="D10924" t="n">
        <v>91</v>
      </c>
    </row>
    <row r="10925">
      <c r="A10925" t="inlineStr">
        <is>
          <t>ED211130</t>
        </is>
      </c>
      <c r="B10925" s="56" t="n">
        <v>45959.77638888889</v>
      </c>
      <c r="C10925" t="inlineStr">
        <is>
          <t>Bluestone Memorial Hospital</t>
        </is>
      </c>
      <c r="D10925" t="n">
        <v>50</v>
      </c>
    </row>
    <row r="10926">
      <c r="A10926" t="inlineStr">
        <is>
          <t>ED211131</t>
        </is>
      </c>
      <c r="B10926" s="56" t="n">
        <v>45959.88472222222</v>
      </c>
      <c r="C10926" t="inlineStr">
        <is>
          <t>Bluestone Memorial Hospital</t>
        </is>
      </c>
      <c r="D10926" t="n">
        <v>16</v>
      </c>
    </row>
    <row r="10927">
      <c r="A10927" t="inlineStr">
        <is>
          <t>ED211132</t>
        </is>
      </c>
      <c r="B10927" s="56" t="n">
        <v>45959.94583333333</v>
      </c>
      <c r="C10927" t="inlineStr">
        <is>
          <t>Cedar Ridge Medical Center</t>
        </is>
      </c>
      <c r="D10927" t="n">
        <v>50</v>
      </c>
    </row>
    <row r="10928">
      <c r="A10928" t="inlineStr">
        <is>
          <t>ED211133</t>
        </is>
      </c>
      <c r="B10928" s="56" t="n">
        <v>45960.01041666666</v>
      </c>
      <c r="C10928" t="inlineStr">
        <is>
          <t>Bluestone Memorial Hospital</t>
        </is>
      </c>
      <c r="D10928" t="n">
        <v>7</v>
      </c>
    </row>
    <row r="10929">
      <c r="A10929" t="inlineStr">
        <is>
          <t>ED211134</t>
        </is>
      </c>
      <c r="B10929" s="56" t="n">
        <v>45960.36805555555</v>
      </c>
      <c r="C10929" t="inlineStr">
        <is>
          <t>Bluestone Memorial Hospital</t>
        </is>
      </c>
      <c r="D10929" t="n">
        <v>62</v>
      </c>
    </row>
    <row r="10930">
      <c r="A10930" t="inlineStr">
        <is>
          <t>ED211135</t>
        </is>
      </c>
      <c r="B10930" s="56" t="n">
        <v>45960.39305555556</v>
      </c>
      <c r="C10930" t="inlineStr">
        <is>
          <t>Bluestone Memorial Hospital</t>
        </is>
      </c>
      <c r="D10930" t="n">
        <v>53</v>
      </c>
    </row>
    <row r="10931">
      <c r="A10931" t="inlineStr">
        <is>
          <t>ED211136</t>
        </is>
      </c>
      <c r="B10931" s="56" t="n">
        <v>45960.39791666667</v>
      </c>
      <c r="C10931" t="inlineStr">
        <is>
          <t>Ashby Falls Community Hospital</t>
        </is>
      </c>
      <c r="D10931" t="n">
        <v>42</v>
      </c>
    </row>
    <row r="10932">
      <c r="A10932" t="inlineStr">
        <is>
          <t>ED211137</t>
        </is>
      </c>
      <c r="B10932" s="56" t="n">
        <v>45960.41944444444</v>
      </c>
      <c r="C10932" t="inlineStr">
        <is>
          <t>Bluestone Memorial Hospital</t>
        </is>
      </c>
      <c r="D10932" t="n">
        <v>18</v>
      </c>
    </row>
    <row r="10933">
      <c r="A10933" t="inlineStr">
        <is>
          <t>ED211138</t>
        </is>
      </c>
      <c r="B10933" s="56" t="n">
        <v>45960.44861111111</v>
      </c>
      <c r="C10933" t="inlineStr">
        <is>
          <t>Bluestone Memorial Hospital</t>
        </is>
      </c>
      <c r="D10933" t="n">
        <v>100</v>
      </c>
    </row>
    <row r="10934">
      <c r="A10934" t="inlineStr">
        <is>
          <t>ED211139</t>
        </is>
      </c>
      <c r="B10934" s="56" t="n">
        <v>45960.46875</v>
      </c>
      <c r="C10934" t="inlineStr">
        <is>
          <t>Bluestone Memorial Hospital</t>
        </is>
      </c>
      <c r="D10934" t="n">
        <v>46</v>
      </c>
    </row>
    <row r="10935">
      <c r="A10935" t="inlineStr">
        <is>
          <t>ED211140</t>
        </is>
      </c>
      <c r="B10935" s="56" t="n">
        <v>45960.49236111111</v>
      </c>
      <c r="C10935" t="inlineStr">
        <is>
          <t>Bluestone Memorial Hospital</t>
        </is>
      </c>
      <c r="D10935" t="n">
        <v>51</v>
      </c>
    </row>
    <row r="10936">
      <c r="A10936" t="inlineStr">
        <is>
          <t>ED211141</t>
        </is>
      </c>
      <c r="B10936" s="56" t="n">
        <v>45960.50277777778</v>
      </c>
      <c r="C10936" t="inlineStr">
        <is>
          <t>Bluestone Memorial Hospital</t>
        </is>
      </c>
      <c r="D10936" t="n">
        <v>17</v>
      </c>
    </row>
    <row r="10937">
      <c r="A10937" t="inlineStr">
        <is>
          <t>ED211142</t>
        </is>
      </c>
      <c r="B10937" s="56" t="n">
        <v>45960.52777777778</v>
      </c>
      <c r="C10937" t="inlineStr">
        <is>
          <t>Bluestone Memorial Hospital</t>
        </is>
      </c>
      <c r="D10937" t="n">
        <v>55</v>
      </c>
    </row>
    <row r="10938">
      <c r="A10938" t="inlineStr">
        <is>
          <t>ED211143</t>
        </is>
      </c>
      <c r="B10938" s="56" t="n">
        <v>45960.59722222222</v>
      </c>
      <c r="C10938" t="inlineStr">
        <is>
          <t>Bluestone Memorial Hospital</t>
        </is>
      </c>
      <c r="D10938" t="n">
        <v>60</v>
      </c>
    </row>
    <row r="10939">
      <c r="A10939" t="inlineStr">
        <is>
          <t>ED211144</t>
        </is>
      </c>
      <c r="B10939" s="56" t="n">
        <v>45960.61736111111</v>
      </c>
      <c r="C10939" t="inlineStr">
        <is>
          <t>Bluestone Memorial Hospital</t>
        </is>
      </c>
      <c r="D10939" t="n">
        <v>43</v>
      </c>
    </row>
    <row r="10940">
      <c r="A10940" t="inlineStr">
        <is>
          <t>ED211145</t>
        </is>
      </c>
      <c r="B10940" s="56" t="n">
        <v>45960.66388888889</v>
      </c>
      <c r="C10940" t="inlineStr">
        <is>
          <t>Bluestone Memorial Hospital</t>
        </is>
      </c>
      <c r="D10940" t="n">
        <v>94</v>
      </c>
    </row>
    <row r="10941">
      <c r="A10941" t="inlineStr">
        <is>
          <t>ED211146</t>
        </is>
      </c>
      <c r="B10941" s="56" t="n">
        <v>45960.66527777778</v>
      </c>
      <c r="C10941" t="inlineStr">
        <is>
          <t>Bluestone Memorial Hospital</t>
        </is>
      </c>
      <c r="D10941" t="n">
        <v>215</v>
      </c>
    </row>
    <row r="10942">
      <c r="A10942" t="inlineStr">
        <is>
          <t>ED211147</t>
        </is>
      </c>
      <c r="B10942" s="56" t="n">
        <v>45960.66666666666</v>
      </c>
      <c r="C10942" t="inlineStr">
        <is>
          <t>Ashby Falls Community Hospital</t>
        </is>
      </c>
      <c r="D10942" t="n">
        <v>19</v>
      </c>
    </row>
    <row r="10943">
      <c r="A10943" t="inlineStr">
        <is>
          <t>ED211148</t>
        </is>
      </c>
      <c r="B10943" s="56" t="n">
        <v>45960.66805555556</v>
      </c>
      <c r="C10943" t="inlineStr">
        <is>
          <t>Bluestone Memorial Hospital</t>
        </is>
      </c>
      <c r="D10943" t="n">
        <v>105</v>
      </c>
    </row>
    <row r="10944">
      <c r="A10944" t="inlineStr">
        <is>
          <t>ED211149</t>
        </is>
      </c>
      <c r="B10944" s="56" t="n">
        <v>45960.72986111111</v>
      </c>
      <c r="C10944" t="inlineStr">
        <is>
          <t>Bluestone Memorial Hospital</t>
        </is>
      </c>
      <c r="D10944" t="n">
        <v>76</v>
      </c>
    </row>
    <row r="10945">
      <c r="A10945" t="inlineStr">
        <is>
          <t>ED211150</t>
        </is>
      </c>
      <c r="B10945" s="56" t="n">
        <v>45960.87083333333</v>
      </c>
      <c r="C10945" t="inlineStr">
        <is>
          <t>Bluestone Memorial Hospital</t>
        </is>
      </c>
      <c r="D10945" t="n">
        <v>18</v>
      </c>
    </row>
    <row r="10946">
      <c r="A10946" t="inlineStr">
        <is>
          <t>ED211151</t>
        </is>
      </c>
      <c r="B10946" s="56" t="n">
        <v>45960.92083333333</v>
      </c>
      <c r="C10946" t="inlineStr">
        <is>
          <t>Bluestone Memorial Hospital</t>
        </is>
      </c>
      <c r="D10946" t="n">
        <v>25</v>
      </c>
    </row>
    <row r="10947">
      <c r="A10947" t="inlineStr">
        <is>
          <t>ED211152</t>
        </is>
      </c>
      <c r="B10947" s="56" t="n">
        <v>45961.10416666666</v>
      </c>
      <c r="C10947" t="inlineStr">
        <is>
          <t>Bluestone Memorial Hospital</t>
        </is>
      </c>
      <c r="D10947" t="n">
        <v>25</v>
      </c>
    </row>
    <row r="10948">
      <c r="A10948" t="inlineStr">
        <is>
          <t>ED211153</t>
        </is>
      </c>
      <c r="B10948" s="56" t="n">
        <v>45961.11805555555</v>
      </c>
      <c r="C10948" t="inlineStr">
        <is>
          <t>Bluestone Memorial Hospital</t>
        </is>
      </c>
      <c r="D10948" t="n">
        <v>75</v>
      </c>
    </row>
    <row r="10949">
      <c r="A10949" t="inlineStr">
        <is>
          <t>ED211154</t>
        </is>
      </c>
      <c r="B10949" s="56" t="n">
        <v>45961.24722222222</v>
      </c>
      <c r="C10949" t="inlineStr">
        <is>
          <t>Bluestone Memorial Hospital</t>
        </is>
      </c>
      <c r="D10949" t="n">
        <v>1</v>
      </c>
    </row>
    <row r="10950">
      <c r="A10950" t="inlineStr">
        <is>
          <t>ED211155</t>
        </is>
      </c>
      <c r="B10950" s="56" t="n">
        <v>45961.32638888889</v>
      </c>
      <c r="C10950" t="inlineStr">
        <is>
          <t>Ashby Falls Community Hospital</t>
        </is>
      </c>
      <c r="D10950" t="n">
        <v>26</v>
      </c>
    </row>
    <row r="10951">
      <c r="A10951" t="inlineStr">
        <is>
          <t>ED211156</t>
        </is>
      </c>
      <c r="B10951" s="56" t="n">
        <v>45961.35833333333</v>
      </c>
      <c r="C10951" t="inlineStr">
        <is>
          <t>Cedar Ridge Medical Center</t>
        </is>
      </c>
      <c r="D10951" t="n">
        <v>19</v>
      </c>
    </row>
    <row r="10952">
      <c r="A10952" t="inlineStr">
        <is>
          <t>ED211157</t>
        </is>
      </c>
      <c r="B10952" s="56" t="n">
        <v>45961.4</v>
      </c>
      <c r="C10952" t="inlineStr">
        <is>
          <t>Bluestone Memorial Hospital</t>
        </is>
      </c>
      <c r="D10952" t="n">
        <v>63</v>
      </c>
    </row>
    <row r="10953">
      <c r="A10953" t="inlineStr">
        <is>
          <t>ED211158</t>
        </is>
      </c>
      <c r="B10953" s="56" t="n">
        <v>45961.45416666667</v>
      </c>
      <c r="C10953" t="inlineStr">
        <is>
          <t>Ashby Falls Community Hospital</t>
        </is>
      </c>
      <c r="D10953" t="n">
        <v>129</v>
      </c>
    </row>
    <row r="10954">
      <c r="A10954" t="inlineStr">
        <is>
          <t>ED211159</t>
        </is>
      </c>
      <c r="B10954" s="56" t="n">
        <v>45961.55</v>
      </c>
      <c r="C10954" t="inlineStr">
        <is>
          <t>Bluestone Memorial Hospital</t>
        </is>
      </c>
      <c r="D10954" t="n">
        <v>47</v>
      </c>
    </row>
    <row r="10955">
      <c r="A10955" t="inlineStr">
        <is>
          <t>ED211160</t>
        </is>
      </c>
      <c r="B10955" s="56" t="n">
        <v>45961.55347222222</v>
      </c>
      <c r="C10955" t="inlineStr">
        <is>
          <t>Ashby Falls Community Hospital</t>
        </is>
      </c>
      <c r="D10955" t="n">
        <v>40</v>
      </c>
    </row>
    <row r="10956">
      <c r="A10956" t="inlineStr">
        <is>
          <t>ED211161</t>
        </is>
      </c>
      <c r="B10956" s="56" t="n">
        <v>45961.57013888889</v>
      </c>
      <c r="C10956" t="inlineStr">
        <is>
          <t>Ashby Falls Community Hospital</t>
        </is>
      </c>
      <c r="D10956" t="n">
        <v>12</v>
      </c>
    </row>
    <row r="10957">
      <c r="A10957" t="inlineStr">
        <is>
          <t>ED211162</t>
        </is>
      </c>
      <c r="B10957" s="56" t="n">
        <v>45961.59513888889</v>
      </c>
      <c r="C10957" t="inlineStr">
        <is>
          <t>Bluestone Memorial Hospital</t>
        </is>
      </c>
      <c r="D10957" t="n">
        <v>5</v>
      </c>
    </row>
    <row r="10958">
      <c r="A10958" t="inlineStr">
        <is>
          <t>ED211163</t>
        </is>
      </c>
      <c r="B10958" s="56" t="n">
        <v>45961.60208333333</v>
      </c>
      <c r="C10958" t="inlineStr">
        <is>
          <t>Cedar Ridge Medical Center</t>
        </is>
      </c>
      <c r="D10958" t="n">
        <v>112</v>
      </c>
    </row>
    <row r="10959">
      <c r="A10959" t="inlineStr">
        <is>
          <t>ED211164</t>
        </is>
      </c>
      <c r="B10959" s="56" t="n">
        <v>45961.63402777778</v>
      </c>
      <c r="C10959" t="inlineStr">
        <is>
          <t>Cedar Ridge Medical Center</t>
        </is>
      </c>
      <c r="D10959" t="n">
        <v>106</v>
      </c>
    </row>
    <row r="10960">
      <c r="A10960" t="inlineStr">
        <is>
          <t>ED211165</t>
        </is>
      </c>
      <c r="B10960" s="56" t="n">
        <v>45961.65486111111</v>
      </c>
      <c r="C10960" t="inlineStr">
        <is>
          <t>Bluestone Memorial Hospital</t>
        </is>
      </c>
      <c r="D10960" t="n">
        <v>32</v>
      </c>
    </row>
    <row r="10961">
      <c r="A10961" t="inlineStr">
        <is>
          <t>ED211166</t>
        </is>
      </c>
      <c r="B10961" s="56" t="n">
        <v>45961.66458333333</v>
      </c>
      <c r="C10961" t="inlineStr">
        <is>
          <t>Bluestone Memorial Hospital</t>
        </is>
      </c>
      <c r="D10961" t="n">
        <v>126</v>
      </c>
    </row>
    <row r="10962">
      <c r="A10962" t="inlineStr">
        <is>
          <t>ED211167</t>
        </is>
      </c>
      <c r="B10962" s="56" t="n">
        <v>45961.68958333333</v>
      </c>
      <c r="C10962" t="inlineStr">
        <is>
          <t>Bluestone Memorial Hospital</t>
        </is>
      </c>
      <c r="D10962" t="n">
        <v>35</v>
      </c>
    </row>
    <row r="10963">
      <c r="A10963" t="inlineStr">
        <is>
          <t>ED211168</t>
        </is>
      </c>
      <c r="B10963" s="56" t="n">
        <v>45961.71111111111</v>
      </c>
      <c r="C10963" t="inlineStr">
        <is>
          <t>Ashby Falls Community Hospital</t>
        </is>
      </c>
      <c r="D10963" t="n">
        <v>29</v>
      </c>
    </row>
    <row r="10964">
      <c r="A10964" t="inlineStr">
        <is>
          <t>ED211169</t>
        </is>
      </c>
      <c r="B10964" s="56" t="n">
        <v>45961.76388888889</v>
      </c>
      <c r="C10964" t="inlineStr">
        <is>
          <t>Bluestone Memorial Hospital</t>
        </is>
      </c>
      <c r="D10964" t="n">
        <v>15</v>
      </c>
    </row>
    <row r="10965">
      <c r="A10965" t="inlineStr">
        <is>
          <t>ED211171</t>
        </is>
      </c>
      <c r="B10965" s="56" t="n">
        <v>45961.78611111111</v>
      </c>
      <c r="C10965" t="inlineStr">
        <is>
          <t>Bluestone Memorial Hospital</t>
        </is>
      </c>
      <c r="D10965" t="n">
        <v>55</v>
      </c>
    </row>
    <row r="10966">
      <c r="A10966" t="inlineStr">
        <is>
          <t>ED211172</t>
        </is>
      </c>
      <c r="B10966" s="56" t="n">
        <v>45961.79930555556</v>
      </c>
      <c r="C10966" t="inlineStr">
        <is>
          <t>Bluestone Memorial Hospital</t>
        </is>
      </c>
      <c r="D10966" t="n">
        <v>46</v>
      </c>
    </row>
    <row r="10967">
      <c r="A10967" t="inlineStr">
        <is>
          <t>ED211173</t>
        </is>
      </c>
      <c r="B10967" s="56" t="n">
        <v>45961.82569444444</v>
      </c>
      <c r="C10967" t="inlineStr">
        <is>
          <t>Ashby Falls Community Hospital</t>
        </is>
      </c>
      <c r="D10967" t="n">
        <v>2</v>
      </c>
    </row>
    <row r="10968">
      <c r="A10968" t="inlineStr">
        <is>
          <t>ED211174</t>
        </is>
      </c>
      <c r="B10968" s="56" t="n">
        <v>45961.87361111111</v>
      </c>
      <c r="C10968" t="inlineStr">
        <is>
          <t>Ashby Falls Community Hospital</t>
        </is>
      </c>
      <c r="D10968" t="n">
        <v>9</v>
      </c>
    </row>
    <row r="10969">
      <c r="A10969" t="inlineStr">
        <is>
          <t>ED211175</t>
        </is>
      </c>
      <c r="B10969" s="56" t="n">
        <v>45961.94652777778</v>
      </c>
      <c r="C10969" t="inlineStr">
        <is>
          <t>Bluestone Memorial Hospital</t>
        </is>
      </c>
      <c r="D10969" t="n">
        <v>33</v>
      </c>
    </row>
    <row r="10970">
      <c r="A10970" t="inlineStr">
        <is>
          <t>ED211176</t>
        </is>
      </c>
      <c r="B10970" s="56" t="n">
        <v>45962.03680555556</v>
      </c>
      <c r="C10970" t="inlineStr">
        <is>
          <t>Bluestone Memorial Hospital</t>
        </is>
      </c>
      <c r="D10970" t="n">
        <v>23</v>
      </c>
    </row>
    <row r="10971">
      <c r="A10971" t="inlineStr">
        <is>
          <t>ED211177</t>
        </is>
      </c>
      <c r="B10971" s="56" t="n">
        <v>45962.22708333333</v>
      </c>
      <c r="C10971" t="inlineStr">
        <is>
          <t>Cedar Ridge Medical Center</t>
        </is>
      </c>
      <c r="D10971" t="n">
        <v>6</v>
      </c>
    </row>
    <row r="10972">
      <c r="A10972" t="inlineStr">
        <is>
          <t>ED211178</t>
        </is>
      </c>
      <c r="B10972" s="56" t="n">
        <v>45962.27847222222</v>
      </c>
      <c r="C10972" t="inlineStr">
        <is>
          <t>Bluestone Memorial Hospital</t>
        </is>
      </c>
      <c r="D10972" t="n">
        <v>28</v>
      </c>
    </row>
    <row r="10973">
      <c r="A10973" t="inlineStr">
        <is>
          <t>ED211179</t>
        </is>
      </c>
      <c r="B10973" s="56" t="n">
        <v>45962.35902777778</v>
      </c>
      <c r="C10973" t="inlineStr">
        <is>
          <t>Cedar Ridge Medical Center</t>
        </is>
      </c>
      <c r="D10973" t="n">
        <v>100</v>
      </c>
    </row>
    <row r="10974">
      <c r="A10974" t="inlineStr">
        <is>
          <t>ED211180</t>
        </is>
      </c>
      <c r="B10974" s="56" t="n">
        <v>45962.39722222222</v>
      </c>
      <c r="C10974" t="inlineStr">
        <is>
          <t>Bluestone Memorial Hospital</t>
        </is>
      </c>
      <c r="D10974" t="n">
        <v>35</v>
      </c>
    </row>
    <row r="10975">
      <c r="A10975" t="inlineStr">
        <is>
          <t>ED211181</t>
        </is>
      </c>
      <c r="B10975" s="56" t="n">
        <v>45962.42847222222</v>
      </c>
      <c r="C10975" t="inlineStr">
        <is>
          <t>Ashby Falls Community Hospital</t>
        </is>
      </c>
      <c r="D10975" t="n">
        <v>16</v>
      </c>
    </row>
    <row r="10976">
      <c r="A10976" t="inlineStr">
        <is>
          <t>ED211182</t>
        </is>
      </c>
      <c r="B10976" s="56" t="n">
        <v>45962.53125</v>
      </c>
      <c r="C10976" t="inlineStr">
        <is>
          <t>Bluestone Memorial Hospital</t>
        </is>
      </c>
      <c r="D10976" t="n">
        <v>109</v>
      </c>
    </row>
    <row r="10977">
      <c r="A10977" t="inlineStr">
        <is>
          <t>ED211183</t>
        </is>
      </c>
      <c r="B10977" s="56" t="n">
        <v>45962.53680555556</v>
      </c>
      <c r="C10977" t="inlineStr">
        <is>
          <t>Cedar Ridge Medical Center</t>
        </is>
      </c>
      <c r="D10977" t="n">
        <v>12</v>
      </c>
    </row>
    <row r="10978">
      <c r="A10978" t="inlineStr">
        <is>
          <t>ED211184</t>
        </is>
      </c>
      <c r="B10978" s="56" t="n">
        <v>45962.56180555555</v>
      </c>
      <c r="C10978" t="inlineStr">
        <is>
          <t>Bluestone Memorial Hospital</t>
        </is>
      </c>
      <c r="D10978" t="n">
        <v>20</v>
      </c>
    </row>
    <row r="10979">
      <c r="A10979" t="inlineStr">
        <is>
          <t>ED211185</t>
        </is>
      </c>
      <c r="B10979" s="56" t="n">
        <v>45962.58333333334</v>
      </c>
      <c r="C10979" t="inlineStr">
        <is>
          <t>Bluestone Memorial Hospital</t>
        </is>
      </c>
      <c r="D10979" t="n">
        <v>54</v>
      </c>
    </row>
    <row r="10980">
      <c r="A10980" t="inlineStr">
        <is>
          <t>ED211186</t>
        </is>
      </c>
      <c r="B10980" s="56" t="n">
        <v>45962.72083333333</v>
      </c>
      <c r="C10980" t="inlineStr">
        <is>
          <t>Ashby Falls Community Hospital</t>
        </is>
      </c>
      <c r="D10980" t="n">
        <v>25</v>
      </c>
    </row>
    <row r="10981">
      <c r="A10981" t="inlineStr">
        <is>
          <t>ED211187</t>
        </is>
      </c>
      <c r="B10981" s="56" t="n">
        <v>45962.76944444444</v>
      </c>
      <c r="C10981" t="inlineStr">
        <is>
          <t>Bluestone Memorial Hospital</t>
        </is>
      </c>
      <c r="D10981" t="n">
        <v>45</v>
      </c>
    </row>
    <row r="10982">
      <c r="A10982" t="inlineStr">
        <is>
          <t>ED211188</t>
        </is>
      </c>
      <c r="B10982" s="56" t="n">
        <v>45963.23472222222</v>
      </c>
      <c r="C10982" t="inlineStr">
        <is>
          <t>Bluestone Memorial Hospital</t>
        </is>
      </c>
      <c r="D10982" t="n">
        <v>23</v>
      </c>
    </row>
    <row r="10983">
      <c r="A10983" t="inlineStr">
        <is>
          <t>ED211189</t>
        </is>
      </c>
      <c r="B10983" s="56" t="n">
        <v>45963.37430555555</v>
      </c>
      <c r="C10983" t="inlineStr">
        <is>
          <t>Ashby Falls Community Hospital</t>
        </is>
      </c>
      <c r="D10983" t="n">
        <v>69</v>
      </c>
    </row>
    <row r="10984">
      <c r="A10984" t="inlineStr">
        <is>
          <t>ED211190</t>
        </is>
      </c>
      <c r="B10984" s="56" t="n">
        <v>45963.41458333333</v>
      </c>
      <c r="C10984" t="inlineStr">
        <is>
          <t>Bluestone Memorial Hospital</t>
        </is>
      </c>
      <c r="D10984" t="n">
        <v>21</v>
      </c>
    </row>
    <row r="10985">
      <c r="A10985" t="inlineStr">
        <is>
          <t>ED211191</t>
        </is>
      </c>
      <c r="B10985" s="56" t="n">
        <v>45963.43402777778</v>
      </c>
      <c r="C10985" t="inlineStr">
        <is>
          <t>Cedar Ridge Medical Center</t>
        </is>
      </c>
      <c r="D10985" t="n">
        <v>82</v>
      </c>
    </row>
    <row r="10986">
      <c r="A10986" t="inlineStr">
        <is>
          <t>ED211192</t>
        </is>
      </c>
      <c r="B10986" s="56" t="n">
        <v>45963.48194444444</v>
      </c>
      <c r="C10986" t="inlineStr">
        <is>
          <t>Bluestone Memorial Hospital</t>
        </is>
      </c>
      <c r="D10986" t="n">
        <v>115</v>
      </c>
    </row>
    <row r="10987">
      <c r="A10987" t="inlineStr">
        <is>
          <t>ED211193</t>
        </is>
      </c>
      <c r="B10987" s="56" t="n">
        <v>45963.57361111111</v>
      </c>
      <c r="C10987" t="inlineStr">
        <is>
          <t>Cedar Ridge Medical Center</t>
        </is>
      </c>
      <c r="D10987" t="n">
        <v>12</v>
      </c>
    </row>
    <row r="10988">
      <c r="A10988" t="inlineStr">
        <is>
          <t>ED211194</t>
        </is>
      </c>
      <c r="B10988" s="56" t="n">
        <v>45963.58194444444</v>
      </c>
      <c r="C10988" t="inlineStr">
        <is>
          <t>Cedar Ridge Medical Center</t>
        </is>
      </c>
      <c r="D10988" t="n">
        <v>24</v>
      </c>
    </row>
    <row r="10989">
      <c r="A10989" t="inlineStr">
        <is>
          <t>ED211195</t>
        </is>
      </c>
      <c r="B10989" s="56" t="n">
        <v>45963.59861111111</v>
      </c>
      <c r="C10989" t="inlineStr">
        <is>
          <t>Bluestone Memorial Hospital</t>
        </is>
      </c>
      <c r="D10989" t="n">
        <v>15</v>
      </c>
    </row>
    <row r="10990">
      <c r="A10990" t="inlineStr">
        <is>
          <t>ED211196</t>
        </is>
      </c>
      <c r="B10990" s="56" t="n">
        <v>45963.63541666666</v>
      </c>
      <c r="C10990" t="inlineStr">
        <is>
          <t>Bluestone Memorial Hospital</t>
        </is>
      </c>
      <c r="D10990" t="n">
        <v>130</v>
      </c>
    </row>
    <row r="10991">
      <c r="A10991" t="inlineStr">
        <is>
          <t>ED211197</t>
        </is>
      </c>
      <c r="B10991" s="56" t="n">
        <v>45963.65138888889</v>
      </c>
      <c r="C10991" t="inlineStr">
        <is>
          <t>Bluestone Memorial Hospital</t>
        </is>
      </c>
      <c r="D10991" t="n">
        <v>52</v>
      </c>
    </row>
    <row r="10992">
      <c r="A10992" t="inlineStr">
        <is>
          <t>ED211198</t>
        </is>
      </c>
      <c r="B10992" s="56" t="n">
        <v>45963.88263888889</v>
      </c>
      <c r="C10992" t="inlineStr">
        <is>
          <t>Cedar Ridge Medical Center</t>
        </is>
      </c>
      <c r="D10992" t="n">
        <v>23</v>
      </c>
    </row>
    <row r="10993">
      <c r="A10993" t="inlineStr">
        <is>
          <t>ED211199</t>
        </is>
      </c>
      <c r="B10993" s="56" t="n">
        <v>45963.95625</v>
      </c>
      <c r="C10993" t="inlineStr">
        <is>
          <t>Bluestone Memorial Hospital</t>
        </is>
      </c>
      <c r="D10993" t="n">
        <v>13</v>
      </c>
    </row>
    <row r="10994">
      <c r="A10994" t="inlineStr">
        <is>
          <t>ED211200</t>
        </is>
      </c>
      <c r="B10994" s="56" t="n">
        <v>45964.01388888889</v>
      </c>
      <c r="C10994" t="inlineStr">
        <is>
          <t>Bluestone Memorial Hospital</t>
        </is>
      </c>
      <c r="D10994" t="n">
        <v>37</v>
      </c>
    </row>
    <row r="10995">
      <c r="A10995" t="inlineStr">
        <is>
          <t>ED211201</t>
        </is>
      </c>
      <c r="B10995" s="56" t="n">
        <v>45964.02083333334</v>
      </c>
      <c r="C10995" t="inlineStr">
        <is>
          <t>Bluestone Memorial Hospital</t>
        </is>
      </c>
      <c r="D10995" t="n">
        <v>29</v>
      </c>
    </row>
    <row r="10996">
      <c r="A10996" t="inlineStr">
        <is>
          <t>ED211202</t>
        </is>
      </c>
      <c r="B10996" s="56" t="n">
        <v>45964.03680555556</v>
      </c>
      <c r="C10996" t="inlineStr">
        <is>
          <t>Ashby Falls Community Hospital</t>
        </is>
      </c>
      <c r="D10996" t="n">
        <v>21</v>
      </c>
    </row>
    <row r="10997">
      <c r="A10997" t="inlineStr">
        <is>
          <t>ED211203</t>
        </is>
      </c>
      <c r="B10997" s="56" t="n">
        <v>45964.10833333333</v>
      </c>
      <c r="C10997" t="inlineStr">
        <is>
          <t>Bluestone Memorial Hospital</t>
        </is>
      </c>
      <c r="D10997" t="n">
        <v>15</v>
      </c>
    </row>
    <row r="10998">
      <c r="A10998" t="inlineStr">
        <is>
          <t>ED211204</t>
        </is>
      </c>
      <c r="B10998" s="56" t="n">
        <v>45964.14166666667</v>
      </c>
      <c r="C10998" t="inlineStr">
        <is>
          <t>Bluestone Memorial Hospital</t>
        </is>
      </c>
      <c r="D10998" t="n">
        <v>26</v>
      </c>
    </row>
    <row r="10999">
      <c r="A10999" t="inlineStr">
        <is>
          <t>ED211205</t>
        </is>
      </c>
      <c r="B10999" s="56" t="n">
        <v>45964.15625</v>
      </c>
      <c r="C10999" t="inlineStr">
        <is>
          <t>Bluestone Memorial Hospital</t>
        </is>
      </c>
      <c r="D10999" t="n">
        <v>6</v>
      </c>
    </row>
    <row r="11000">
      <c r="A11000" t="inlineStr">
        <is>
          <t>ED211206</t>
        </is>
      </c>
      <c r="B11000" s="56" t="n">
        <v>45964.15833333333</v>
      </c>
      <c r="C11000" t="inlineStr">
        <is>
          <t>Bluestone Memorial Hospital</t>
        </is>
      </c>
      <c r="D11000" t="n">
        <v>22</v>
      </c>
    </row>
    <row r="11001">
      <c r="A11001" t="inlineStr">
        <is>
          <t>ED211207</t>
        </is>
      </c>
      <c r="B11001" s="56" t="n">
        <v>45964.29305555556</v>
      </c>
      <c r="C11001" t="inlineStr">
        <is>
          <t>Bluestone Memorial Hospital</t>
        </is>
      </c>
      <c r="D11001" t="n">
        <v>34</v>
      </c>
    </row>
    <row r="11002">
      <c r="A11002" t="inlineStr">
        <is>
          <t>ED211208</t>
        </is>
      </c>
      <c r="B11002" s="56" t="n">
        <v>45964.38611111111</v>
      </c>
      <c r="C11002" t="inlineStr">
        <is>
          <t>Bluestone Memorial Hospital</t>
        </is>
      </c>
      <c r="D11002" t="n">
        <v>47</v>
      </c>
    </row>
    <row r="11003">
      <c r="A11003" t="inlineStr">
        <is>
          <t>ED211209</t>
        </is>
      </c>
      <c r="B11003" s="56" t="n">
        <v>45964.39791666667</v>
      </c>
      <c r="C11003" t="inlineStr">
        <is>
          <t>Bluestone Memorial Hospital</t>
        </is>
      </c>
      <c r="D11003" t="n">
        <v>123</v>
      </c>
    </row>
    <row r="11004">
      <c r="A11004" t="inlineStr">
        <is>
          <t>ED211210</t>
        </is>
      </c>
      <c r="B11004" s="56" t="n">
        <v>45964.4</v>
      </c>
      <c r="C11004" t="inlineStr">
        <is>
          <t>Bluestone Memorial Hospital</t>
        </is>
      </c>
      <c r="D11004" t="n">
        <v>97</v>
      </c>
    </row>
    <row r="11005">
      <c r="A11005" t="inlineStr">
        <is>
          <t>ED211211</t>
        </is>
      </c>
      <c r="B11005" s="56" t="n">
        <v>45964.40277777778</v>
      </c>
      <c r="C11005" t="inlineStr">
        <is>
          <t>Bluestone Memorial Hospital</t>
        </is>
      </c>
      <c r="D11005" t="n">
        <v>33</v>
      </c>
    </row>
    <row r="11006">
      <c r="A11006" t="inlineStr">
        <is>
          <t>ED211212</t>
        </is>
      </c>
      <c r="B11006" s="56" t="n">
        <v>45964.40972222222</v>
      </c>
      <c r="C11006" t="inlineStr">
        <is>
          <t>Cedar Ridge Medical Center</t>
        </is>
      </c>
      <c r="D11006" t="n">
        <v>31</v>
      </c>
    </row>
    <row r="11007">
      <c r="A11007" t="inlineStr">
        <is>
          <t>ED211213</t>
        </is>
      </c>
      <c r="B11007" s="56" t="n">
        <v>45964.44791666666</v>
      </c>
      <c r="C11007" t="inlineStr">
        <is>
          <t>Bluestone Memorial Hospital</t>
        </is>
      </c>
      <c r="D11007" t="n">
        <v>77</v>
      </c>
    </row>
    <row r="11008">
      <c r="A11008" t="inlineStr">
        <is>
          <t>ED211214</t>
        </is>
      </c>
      <c r="B11008" s="56" t="n">
        <v>45964.46666666667</v>
      </c>
      <c r="C11008" t="inlineStr">
        <is>
          <t>Bluestone Memorial Hospital</t>
        </is>
      </c>
      <c r="D11008" t="n">
        <v>211</v>
      </c>
    </row>
    <row r="11009">
      <c r="A11009" t="inlineStr">
        <is>
          <t>ED211215</t>
        </is>
      </c>
      <c r="B11009" s="56" t="n">
        <v>45964.46666666667</v>
      </c>
      <c r="C11009" t="inlineStr">
        <is>
          <t>Ashby Falls Community Hospital</t>
        </is>
      </c>
      <c r="D11009" t="n">
        <v>25</v>
      </c>
    </row>
    <row r="11010">
      <c r="A11010" t="inlineStr">
        <is>
          <t>ED211216</t>
        </is>
      </c>
      <c r="B11010" s="56" t="n">
        <v>45964.5125</v>
      </c>
      <c r="C11010" t="inlineStr">
        <is>
          <t>Ashby Falls Community Hospital</t>
        </is>
      </c>
      <c r="D11010" t="n">
        <v>11</v>
      </c>
    </row>
    <row r="11011">
      <c r="A11011" t="inlineStr">
        <is>
          <t>ED211217</t>
        </is>
      </c>
      <c r="B11011" s="56" t="n">
        <v>45964.57361111111</v>
      </c>
      <c r="C11011" t="inlineStr">
        <is>
          <t>Bluestone Memorial Hospital</t>
        </is>
      </c>
      <c r="D11011" t="n">
        <v>142</v>
      </c>
    </row>
    <row r="11012">
      <c r="A11012" t="inlineStr">
        <is>
          <t>ED211219</t>
        </is>
      </c>
      <c r="B11012" s="56" t="n">
        <v>45964.63194444445</v>
      </c>
      <c r="C11012" t="inlineStr">
        <is>
          <t>Bluestone Memorial Hospital</t>
        </is>
      </c>
      <c r="D11012" t="n">
        <v>59</v>
      </c>
    </row>
    <row r="11013">
      <c r="A11013" t="inlineStr">
        <is>
          <t>ED211220</t>
        </is>
      </c>
      <c r="B11013" s="56" t="n">
        <v>45964.65555555555</v>
      </c>
      <c r="C11013" t="inlineStr">
        <is>
          <t>Bluestone Memorial Hospital</t>
        </is>
      </c>
      <c r="D11013" t="n">
        <v>13</v>
      </c>
    </row>
    <row r="11014">
      <c r="A11014" t="inlineStr">
        <is>
          <t>ED211221</t>
        </is>
      </c>
      <c r="B11014" s="56" t="n">
        <v>45964.65902777778</v>
      </c>
      <c r="C11014" t="inlineStr">
        <is>
          <t>Bluestone Memorial Hospital</t>
        </is>
      </c>
      <c r="D11014" t="n">
        <v>31</v>
      </c>
    </row>
    <row r="11015">
      <c r="A11015" t="inlineStr">
        <is>
          <t>ED211222</t>
        </is>
      </c>
      <c r="B11015" s="56" t="n">
        <v>45964.74652777778</v>
      </c>
      <c r="C11015" t="inlineStr">
        <is>
          <t>Cedar Ridge Medical Center</t>
        </is>
      </c>
      <c r="D11015" t="n">
        <v>43</v>
      </c>
    </row>
    <row r="11016">
      <c r="A11016" t="inlineStr">
        <is>
          <t>ED211223</t>
        </is>
      </c>
      <c r="B11016" s="56" t="n">
        <v>45964.76944444444</v>
      </c>
      <c r="C11016" t="inlineStr">
        <is>
          <t>Cedar Ridge Medical Center</t>
        </is>
      </c>
      <c r="D11016" t="n">
        <v>28</v>
      </c>
    </row>
    <row r="11017">
      <c r="A11017" t="inlineStr">
        <is>
          <t>ED211224</t>
        </is>
      </c>
      <c r="B11017" s="56" t="n">
        <v>45964.79791666667</v>
      </c>
      <c r="C11017" t="inlineStr">
        <is>
          <t>Bluestone Memorial Hospital</t>
        </is>
      </c>
      <c r="D11017" t="n">
        <v>36</v>
      </c>
    </row>
    <row r="11018">
      <c r="A11018" t="inlineStr">
        <is>
          <t>ED211225</t>
        </is>
      </c>
      <c r="B11018" s="56" t="n">
        <v>45964.86319444444</v>
      </c>
      <c r="C11018" t="inlineStr">
        <is>
          <t>Bluestone Memorial Hospital</t>
        </is>
      </c>
      <c r="D11018" t="n">
        <v>66</v>
      </c>
    </row>
    <row r="11019">
      <c r="A11019" t="inlineStr">
        <is>
          <t>ED211226</t>
        </is>
      </c>
      <c r="B11019" s="56" t="n">
        <v>45964.90972222222</v>
      </c>
      <c r="C11019" t="inlineStr">
        <is>
          <t>Bluestone Memorial Hospital</t>
        </is>
      </c>
      <c r="D11019" t="n">
        <v>23</v>
      </c>
    </row>
    <row r="11020">
      <c r="A11020" t="inlineStr">
        <is>
          <t>ED211227</t>
        </is>
      </c>
      <c r="B11020" s="56" t="n">
        <v>45964.93819444445</v>
      </c>
      <c r="C11020" t="inlineStr">
        <is>
          <t>Bluestone Memorial Hospital</t>
        </is>
      </c>
      <c r="D11020" t="n">
        <v>83</v>
      </c>
    </row>
    <row r="11021">
      <c r="A11021" t="inlineStr">
        <is>
          <t>ED211228</t>
        </is>
      </c>
      <c r="B11021" s="56" t="n">
        <v>45965.075</v>
      </c>
      <c r="C11021" t="inlineStr">
        <is>
          <t>Bluestone Memorial Hospital</t>
        </is>
      </c>
      <c r="D11021" t="n">
        <v>23</v>
      </c>
    </row>
    <row r="11022">
      <c r="A11022" t="inlineStr">
        <is>
          <t>ED211229</t>
        </is>
      </c>
      <c r="B11022" s="56" t="n">
        <v>45965.12013888889</v>
      </c>
      <c r="C11022" t="inlineStr">
        <is>
          <t>Bluestone Memorial Hospital</t>
        </is>
      </c>
      <c r="D11022" t="n">
        <v>28</v>
      </c>
    </row>
    <row r="11023">
      <c r="A11023" t="inlineStr">
        <is>
          <t>ED211230</t>
        </is>
      </c>
      <c r="B11023" s="56" t="n">
        <v>45965.29027777778</v>
      </c>
      <c r="C11023" t="inlineStr">
        <is>
          <t>Bluestone Memorial Hospital</t>
        </is>
      </c>
      <c r="D11023" t="n">
        <v>28</v>
      </c>
    </row>
    <row r="11024">
      <c r="A11024" t="inlineStr">
        <is>
          <t>ED211231</t>
        </is>
      </c>
      <c r="B11024" s="56" t="n">
        <v>45965.33333333334</v>
      </c>
      <c r="C11024" t="inlineStr">
        <is>
          <t>Bluestone Memorial Hospital</t>
        </is>
      </c>
      <c r="D11024" t="n">
        <v>13</v>
      </c>
    </row>
    <row r="11025">
      <c r="A11025" t="inlineStr">
        <is>
          <t>ED211232</t>
        </is>
      </c>
      <c r="B11025" s="56" t="n">
        <v>45965.34166666667</v>
      </c>
      <c r="C11025" t="inlineStr">
        <is>
          <t>Bluestone Memorial Hospital</t>
        </is>
      </c>
      <c r="D11025" t="n">
        <v>20</v>
      </c>
    </row>
    <row r="11026">
      <c r="A11026" t="inlineStr">
        <is>
          <t>ED211233</t>
        </is>
      </c>
      <c r="B11026" s="56" t="n">
        <v>45965.46180555555</v>
      </c>
      <c r="C11026" t="inlineStr">
        <is>
          <t>Ashby Falls Community Hospital</t>
        </is>
      </c>
      <c r="D11026" t="n">
        <v>14</v>
      </c>
    </row>
    <row r="11027">
      <c r="A11027" t="inlineStr">
        <is>
          <t>ED211234</t>
        </is>
      </c>
      <c r="B11027" s="56" t="n">
        <v>45965.49305555555</v>
      </c>
      <c r="C11027" t="inlineStr">
        <is>
          <t>Bluestone Memorial Hospital</t>
        </is>
      </c>
      <c r="D11027" t="n">
        <v>72</v>
      </c>
    </row>
    <row r="11028">
      <c r="A11028" t="inlineStr">
        <is>
          <t>ED211235</t>
        </is>
      </c>
      <c r="B11028" s="56" t="n">
        <v>45965.50763888889</v>
      </c>
      <c r="C11028" t="inlineStr">
        <is>
          <t>Ashby Falls Community Hospital</t>
        </is>
      </c>
      <c r="D11028" t="n">
        <v>15</v>
      </c>
    </row>
    <row r="11029">
      <c r="A11029" t="inlineStr">
        <is>
          <t>ED211236</t>
        </is>
      </c>
      <c r="B11029" s="56" t="n">
        <v>45965.52222222222</v>
      </c>
      <c r="C11029" t="inlineStr">
        <is>
          <t>Cedar Ridge Medical Center</t>
        </is>
      </c>
      <c r="D11029" t="n">
        <v>36</v>
      </c>
    </row>
    <row r="11030">
      <c r="A11030" t="inlineStr">
        <is>
          <t>ED211237</t>
        </is>
      </c>
      <c r="B11030" s="56" t="n">
        <v>45965.55416666667</v>
      </c>
      <c r="C11030" t="inlineStr">
        <is>
          <t>Bluestone Memorial Hospital</t>
        </is>
      </c>
      <c r="D11030" t="n">
        <v>64</v>
      </c>
    </row>
    <row r="11031">
      <c r="A11031" t="inlineStr">
        <is>
          <t>ED211238</t>
        </is>
      </c>
      <c r="B11031" s="56" t="n">
        <v>45965.56875</v>
      </c>
      <c r="C11031" t="inlineStr">
        <is>
          <t>Cedar Ridge Medical Center</t>
        </is>
      </c>
      <c r="D11031" t="n">
        <v>63</v>
      </c>
    </row>
    <row r="11032">
      <c r="A11032" t="inlineStr">
        <is>
          <t>ED211239</t>
        </is>
      </c>
      <c r="B11032" s="56" t="n">
        <v>45965.61111111111</v>
      </c>
      <c r="C11032" t="inlineStr">
        <is>
          <t>Bluestone Memorial Hospital</t>
        </is>
      </c>
      <c r="D11032" t="n">
        <v>12</v>
      </c>
    </row>
    <row r="11033">
      <c r="A11033" t="inlineStr">
        <is>
          <t>ED211240</t>
        </is>
      </c>
      <c r="B11033" s="56" t="n">
        <v>45965.62152777778</v>
      </c>
      <c r="C11033" t="inlineStr">
        <is>
          <t>Bluestone Memorial Hospital</t>
        </is>
      </c>
      <c r="D11033" t="n">
        <v>112</v>
      </c>
    </row>
    <row r="11034">
      <c r="A11034" t="inlineStr">
        <is>
          <t>ED211241</t>
        </is>
      </c>
      <c r="B11034" s="56" t="n">
        <v>45965.74305555555</v>
      </c>
      <c r="C11034" t="inlineStr">
        <is>
          <t>Ashby Falls Community Hospital</t>
        </is>
      </c>
      <c r="D11034" t="n">
        <v>44</v>
      </c>
    </row>
    <row r="11035">
      <c r="A11035" t="inlineStr">
        <is>
          <t>ED211242</t>
        </is>
      </c>
      <c r="B11035" s="56" t="n">
        <v>45965.76041666666</v>
      </c>
      <c r="C11035" t="inlineStr">
        <is>
          <t>Bluestone Memorial Hospital</t>
        </is>
      </c>
      <c r="D11035" t="n">
        <v>31</v>
      </c>
    </row>
    <row r="11036">
      <c r="A11036" t="inlineStr">
        <is>
          <t>ED211243</t>
        </is>
      </c>
      <c r="B11036" s="56" t="n">
        <v>45965.76527777778</v>
      </c>
      <c r="C11036" t="inlineStr">
        <is>
          <t>Ashby Falls Community Hospital</t>
        </is>
      </c>
      <c r="D11036" t="n">
        <v>40</v>
      </c>
    </row>
    <row r="11037">
      <c r="A11037" t="inlineStr">
        <is>
          <t>ED211244</t>
        </is>
      </c>
      <c r="B11037" s="56" t="n">
        <v>45965.90277777778</v>
      </c>
      <c r="C11037" t="inlineStr">
        <is>
          <t>Ashby Falls Community Hospital</t>
        </is>
      </c>
      <c r="D11037" t="n">
        <v>19</v>
      </c>
    </row>
    <row r="11038">
      <c r="A11038" t="inlineStr">
        <is>
          <t>ED211245</t>
        </is>
      </c>
      <c r="B11038" s="56" t="n">
        <v>45966.09583333333</v>
      </c>
      <c r="C11038" t="inlineStr">
        <is>
          <t>Bluestone Memorial Hospital</t>
        </is>
      </c>
      <c r="D11038" t="n">
        <v>24</v>
      </c>
    </row>
    <row r="11039">
      <c r="A11039" t="inlineStr">
        <is>
          <t>ED211246</t>
        </is>
      </c>
      <c r="B11039" s="56" t="n">
        <v>45966.10833333333</v>
      </c>
      <c r="C11039" t="inlineStr">
        <is>
          <t>Bluestone Memorial Hospital</t>
        </is>
      </c>
      <c r="D11039" t="n">
        <v>12</v>
      </c>
    </row>
    <row r="11040">
      <c r="A11040" t="inlineStr">
        <is>
          <t>ED211247</t>
        </is>
      </c>
      <c r="B11040" s="56" t="n">
        <v>45966.12013888889</v>
      </c>
      <c r="C11040" t="inlineStr">
        <is>
          <t>Bluestone Memorial Hospital</t>
        </is>
      </c>
      <c r="D11040" t="n">
        <v>26</v>
      </c>
    </row>
    <row r="11041">
      <c r="A11041" t="inlineStr">
        <is>
          <t>ED211248</t>
        </is>
      </c>
      <c r="B11041" s="56" t="n">
        <v>45966.25555555556</v>
      </c>
      <c r="C11041" t="inlineStr">
        <is>
          <t>Bluestone Memorial Hospital</t>
        </is>
      </c>
      <c r="D11041" t="n">
        <v>38</v>
      </c>
    </row>
    <row r="11042">
      <c r="A11042" t="inlineStr">
        <is>
          <t>ED211249</t>
        </is>
      </c>
      <c r="B11042" s="56" t="n">
        <v>45966.34513888889</v>
      </c>
      <c r="C11042" t="inlineStr">
        <is>
          <t>Bluestone Memorial Hospital</t>
        </is>
      </c>
      <c r="D11042" t="n">
        <v>31</v>
      </c>
    </row>
    <row r="11043">
      <c r="A11043" t="inlineStr">
        <is>
          <t>ED211251</t>
        </is>
      </c>
      <c r="B11043" s="56" t="n">
        <v>45966.425</v>
      </c>
      <c r="C11043" t="inlineStr">
        <is>
          <t>Ashby Falls Community Hospital</t>
        </is>
      </c>
      <c r="D11043" t="n">
        <v>40</v>
      </c>
    </row>
    <row r="11044">
      <c r="A11044" t="inlineStr">
        <is>
          <t>ED211252</t>
        </is>
      </c>
      <c r="B11044" s="56" t="n">
        <v>45966.42986111111</v>
      </c>
      <c r="C11044" t="inlineStr">
        <is>
          <t>Bluestone Memorial Hospital</t>
        </is>
      </c>
      <c r="D11044" t="n">
        <v>28</v>
      </c>
    </row>
    <row r="11045">
      <c r="A11045" t="inlineStr">
        <is>
          <t>ED211253</t>
        </is>
      </c>
      <c r="B11045" s="56" t="n">
        <v>45966.44305555556</v>
      </c>
      <c r="C11045" t="inlineStr">
        <is>
          <t>Bluestone Memorial Hospital</t>
        </is>
      </c>
      <c r="D11045" t="n">
        <v>59</v>
      </c>
    </row>
    <row r="11046">
      <c r="A11046" t="inlineStr">
        <is>
          <t>ED211254</t>
        </is>
      </c>
      <c r="B11046" s="56" t="n">
        <v>45966.46041666667</v>
      </c>
      <c r="C11046" t="inlineStr">
        <is>
          <t>Bluestone Memorial Hospital</t>
        </is>
      </c>
      <c r="D11046" t="n">
        <v>43</v>
      </c>
    </row>
    <row r="11047">
      <c r="A11047" t="inlineStr">
        <is>
          <t>ED211255</t>
        </is>
      </c>
      <c r="B11047" s="56" t="n">
        <v>45966.525</v>
      </c>
      <c r="C11047" t="inlineStr">
        <is>
          <t>Bluestone Memorial Hospital</t>
        </is>
      </c>
      <c r="D11047" t="n">
        <v>68</v>
      </c>
    </row>
    <row r="11048">
      <c r="A11048" t="inlineStr">
        <is>
          <t>ED211256</t>
        </is>
      </c>
      <c r="B11048" s="56" t="n">
        <v>45966.53472222222</v>
      </c>
      <c r="C11048" t="inlineStr">
        <is>
          <t>Bluestone Memorial Hospital</t>
        </is>
      </c>
      <c r="D11048" t="n">
        <v>75</v>
      </c>
    </row>
    <row r="11049">
      <c r="A11049" t="inlineStr">
        <is>
          <t>ED211257</t>
        </is>
      </c>
      <c r="B11049" s="56" t="n">
        <v>45966.63055555556</v>
      </c>
      <c r="C11049" t="inlineStr">
        <is>
          <t>Cedar Ridge Medical Center</t>
        </is>
      </c>
      <c r="D11049" t="n">
        <v>65</v>
      </c>
    </row>
    <row r="11050">
      <c r="A11050" t="inlineStr">
        <is>
          <t>ED211258</t>
        </is>
      </c>
      <c r="B11050" s="56" t="n">
        <v>45966.63402777778</v>
      </c>
      <c r="C11050" t="inlineStr">
        <is>
          <t>Ashby Falls Community Hospital</t>
        </is>
      </c>
      <c r="D11050" t="n">
        <v>112</v>
      </c>
    </row>
    <row r="11051">
      <c r="A11051" t="inlineStr">
        <is>
          <t>ED211259</t>
        </is>
      </c>
      <c r="B11051" s="56" t="n">
        <v>45966.72430555556</v>
      </c>
      <c r="C11051" t="inlineStr">
        <is>
          <t>Cedar Ridge Medical Center</t>
        </is>
      </c>
      <c r="D11051" t="n">
        <v>15</v>
      </c>
    </row>
    <row r="11052">
      <c r="A11052" t="inlineStr">
        <is>
          <t>ED211260</t>
        </is>
      </c>
      <c r="B11052" s="56" t="n">
        <v>45966.75902777778</v>
      </c>
      <c r="C11052" t="inlineStr">
        <is>
          <t>Bluestone Memorial Hospital</t>
        </is>
      </c>
      <c r="D11052" t="n">
        <v>27</v>
      </c>
    </row>
    <row r="11053">
      <c r="A11053" t="inlineStr">
        <is>
          <t>ED211261</t>
        </is>
      </c>
      <c r="B11053" s="56" t="n">
        <v>45966.78680555556</v>
      </c>
      <c r="C11053" t="inlineStr">
        <is>
          <t>Ashby Falls Community Hospital</t>
        </is>
      </c>
      <c r="D11053" t="n">
        <v>51</v>
      </c>
    </row>
    <row r="11054">
      <c r="A11054" t="inlineStr">
        <is>
          <t>ED211262</t>
        </is>
      </c>
      <c r="B11054" s="56" t="n">
        <v>45966.8375</v>
      </c>
      <c r="C11054" t="inlineStr">
        <is>
          <t>Bluestone Memorial Hospital</t>
        </is>
      </c>
      <c r="D11054" t="n">
        <v>4</v>
      </c>
    </row>
    <row r="11055">
      <c r="A11055" t="inlineStr">
        <is>
          <t>ED211263</t>
        </is>
      </c>
      <c r="B11055" s="56" t="n">
        <v>45966.85416666666</v>
      </c>
      <c r="C11055" t="inlineStr">
        <is>
          <t>Bluestone Memorial Hospital</t>
        </is>
      </c>
      <c r="D11055" t="n">
        <v>47</v>
      </c>
    </row>
    <row r="11056">
      <c r="A11056" t="inlineStr">
        <is>
          <t>ED211264</t>
        </is>
      </c>
      <c r="B11056" s="56" t="n">
        <v>45966.8875</v>
      </c>
      <c r="C11056" t="inlineStr">
        <is>
          <t>Cedar Ridge Medical Center</t>
        </is>
      </c>
      <c r="D11056" t="n">
        <v>67</v>
      </c>
    </row>
    <row r="11057">
      <c r="A11057" t="inlineStr">
        <is>
          <t>ED211265</t>
        </is>
      </c>
      <c r="B11057" s="56" t="n">
        <v>45967.08611111111</v>
      </c>
      <c r="C11057" t="inlineStr">
        <is>
          <t>Bluestone Memorial Hospital</t>
        </is>
      </c>
      <c r="D11057" t="n">
        <v>15</v>
      </c>
    </row>
    <row r="11058">
      <c r="A11058" t="inlineStr">
        <is>
          <t>ED211266</t>
        </is>
      </c>
      <c r="B11058" s="56" t="n">
        <v>45967.41458333333</v>
      </c>
      <c r="C11058" t="inlineStr">
        <is>
          <t>Cedar Ridge Medical Center</t>
        </is>
      </c>
      <c r="D11058" t="n">
        <v>27</v>
      </c>
    </row>
    <row r="11059">
      <c r="A11059" t="inlineStr">
        <is>
          <t>ED211267</t>
        </is>
      </c>
      <c r="B11059" s="56" t="n">
        <v>45967.42986111111</v>
      </c>
      <c r="C11059" t="inlineStr">
        <is>
          <t>Bluestone Memorial Hospital</t>
        </is>
      </c>
      <c r="D11059" t="n">
        <v>28</v>
      </c>
    </row>
    <row r="11060">
      <c r="A11060" t="inlineStr">
        <is>
          <t>ED211268</t>
        </is>
      </c>
      <c r="B11060" s="56" t="n">
        <v>45967.46736111111</v>
      </c>
      <c r="C11060" t="inlineStr">
        <is>
          <t>Bluestone Memorial Hospital</t>
        </is>
      </c>
      <c r="D11060" t="n">
        <v>40</v>
      </c>
    </row>
    <row r="11061">
      <c r="A11061" t="inlineStr">
        <is>
          <t>ED211269</t>
        </is>
      </c>
      <c r="B11061" s="56" t="n">
        <v>45967.47361111111</v>
      </c>
      <c r="C11061" t="inlineStr">
        <is>
          <t>Cedar Ridge Medical Center</t>
        </is>
      </c>
      <c r="D11061" t="n">
        <v>23</v>
      </c>
    </row>
    <row r="11062">
      <c r="A11062" t="inlineStr">
        <is>
          <t>ED211270</t>
        </is>
      </c>
      <c r="B11062" s="56" t="n">
        <v>45967.47777777778</v>
      </c>
      <c r="C11062" t="inlineStr">
        <is>
          <t>Bluestone Memorial Hospital</t>
        </is>
      </c>
      <c r="D11062" t="n">
        <v>10</v>
      </c>
    </row>
    <row r="11063">
      <c r="A11063" t="inlineStr">
        <is>
          <t>ED211271</t>
        </is>
      </c>
      <c r="B11063" s="56" t="n">
        <v>45967.57291666666</v>
      </c>
      <c r="C11063" t="inlineStr">
        <is>
          <t>Bluestone Memorial Hospital</t>
        </is>
      </c>
      <c r="D11063" t="n">
        <v>36</v>
      </c>
    </row>
    <row r="11064">
      <c r="A11064" t="inlineStr">
        <is>
          <t>ED211272</t>
        </is>
      </c>
      <c r="B11064" s="56" t="n">
        <v>45967.58402777778</v>
      </c>
      <c r="C11064" t="inlineStr">
        <is>
          <t>Bluestone Memorial Hospital</t>
        </is>
      </c>
      <c r="D11064" t="n">
        <v>82</v>
      </c>
    </row>
    <row r="11065">
      <c r="A11065" t="inlineStr">
        <is>
          <t>ED211273</t>
        </is>
      </c>
      <c r="B11065" s="56" t="n">
        <v>45967.6375</v>
      </c>
      <c r="C11065" t="inlineStr">
        <is>
          <t>Cedar Ridge Medical Center</t>
        </is>
      </c>
      <c r="D11065" t="n">
        <v>29</v>
      </c>
    </row>
    <row r="11066">
      <c r="A11066" t="inlineStr">
        <is>
          <t>ED211274</t>
        </is>
      </c>
      <c r="B11066" s="56" t="n">
        <v>45967.71111111111</v>
      </c>
      <c r="C11066" t="inlineStr">
        <is>
          <t>Cedar Ridge Medical Center</t>
        </is>
      </c>
      <c r="D11066" t="n">
        <v>60</v>
      </c>
    </row>
    <row r="11067">
      <c r="A11067" t="inlineStr">
        <is>
          <t>ED211275</t>
        </is>
      </c>
      <c r="B11067" s="56" t="n">
        <v>45967.72222222222</v>
      </c>
      <c r="C11067" t="inlineStr">
        <is>
          <t>Bluestone Memorial Hospital</t>
        </is>
      </c>
      <c r="D11067" t="n">
        <v>26</v>
      </c>
    </row>
    <row r="11068">
      <c r="A11068" t="inlineStr">
        <is>
          <t>ED211276</t>
        </is>
      </c>
      <c r="B11068" s="56" t="n">
        <v>45967.76805555556</v>
      </c>
      <c r="C11068" t="inlineStr">
        <is>
          <t>Bluestone Memorial Hospital</t>
        </is>
      </c>
      <c r="D11068" t="n">
        <v>10</v>
      </c>
    </row>
    <row r="11069">
      <c r="A11069" t="inlineStr">
        <is>
          <t>ED211277</t>
        </is>
      </c>
      <c r="B11069" s="56" t="n">
        <v>45967.825</v>
      </c>
      <c r="C11069" t="inlineStr">
        <is>
          <t>Bluestone Memorial Hospital</t>
        </is>
      </c>
      <c r="D11069" t="n">
        <v>33</v>
      </c>
    </row>
    <row r="11070">
      <c r="A11070" t="inlineStr">
        <is>
          <t>ED211278</t>
        </is>
      </c>
      <c r="B11070" s="56" t="n">
        <v>45967.85972222222</v>
      </c>
      <c r="C11070" t="inlineStr">
        <is>
          <t>Bluestone Memorial Hospital</t>
        </is>
      </c>
      <c r="D11070" t="n">
        <v>7</v>
      </c>
    </row>
    <row r="11071">
      <c r="A11071" t="inlineStr">
        <is>
          <t>ED211279</t>
        </is>
      </c>
      <c r="B11071" s="56" t="n">
        <v>45967.87986111111</v>
      </c>
      <c r="C11071" t="inlineStr">
        <is>
          <t>Bluestone Memorial Hospital</t>
        </is>
      </c>
      <c r="D11071" t="n">
        <v>61</v>
      </c>
    </row>
    <row r="11072">
      <c r="A11072" t="inlineStr">
        <is>
          <t>ED211280</t>
        </is>
      </c>
      <c r="B11072" s="56" t="n">
        <v>45967.91805555556</v>
      </c>
      <c r="C11072" t="inlineStr">
        <is>
          <t>Bluestone Memorial Hospital</t>
        </is>
      </c>
      <c r="D11072" t="n">
        <v>16</v>
      </c>
    </row>
    <row r="11073">
      <c r="A11073" t="inlineStr">
        <is>
          <t>ED211281</t>
        </is>
      </c>
      <c r="B11073" s="56" t="n">
        <v>45967.99375</v>
      </c>
      <c r="C11073" t="inlineStr">
        <is>
          <t>Ashby Falls Community Hospital</t>
        </is>
      </c>
      <c r="D11073" t="n">
        <v>12</v>
      </c>
    </row>
    <row r="11074">
      <c r="A11074" t="inlineStr">
        <is>
          <t>ED211282</t>
        </is>
      </c>
      <c r="B11074" s="56" t="n">
        <v>45968.23125</v>
      </c>
      <c r="C11074" t="inlineStr">
        <is>
          <t>Bluestone Memorial Hospital</t>
        </is>
      </c>
      <c r="D11074" t="n">
        <v>56</v>
      </c>
    </row>
    <row r="11075">
      <c r="A11075" t="inlineStr">
        <is>
          <t>ED211283</t>
        </is>
      </c>
      <c r="B11075" s="56" t="n">
        <v>45968.42222222222</v>
      </c>
      <c r="C11075" t="inlineStr">
        <is>
          <t>Bluestone Memorial Hospital</t>
        </is>
      </c>
      <c r="D11075" t="n">
        <v>41</v>
      </c>
    </row>
    <row r="11076">
      <c r="A11076" t="inlineStr">
        <is>
          <t>ED211284</t>
        </is>
      </c>
      <c r="B11076" s="56" t="n">
        <v>45968.43402777778</v>
      </c>
      <c r="C11076" t="inlineStr">
        <is>
          <t>Bluestone Memorial Hospital</t>
        </is>
      </c>
      <c r="D11076" t="n">
        <v>66</v>
      </c>
    </row>
    <row r="11077">
      <c r="A11077" t="inlineStr">
        <is>
          <t>ED211285</t>
        </is>
      </c>
      <c r="B11077" s="56" t="n">
        <v>45968.52916666667</v>
      </c>
      <c r="C11077" t="inlineStr">
        <is>
          <t>Bluestone Memorial Hospital</t>
        </is>
      </c>
      <c r="D11077" t="n">
        <v>9</v>
      </c>
    </row>
    <row r="11078">
      <c r="A11078" t="inlineStr">
        <is>
          <t>ED211286</t>
        </is>
      </c>
      <c r="B11078" s="56" t="n">
        <v>45968.53263888889</v>
      </c>
      <c r="C11078" t="inlineStr">
        <is>
          <t>Bluestone Memorial Hospital</t>
        </is>
      </c>
      <c r="D11078" t="n">
        <v>48</v>
      </c>
    </row>
    <row r="11079">
      <c r="A11079" t="inlineStr">
        <is>
          <t>ED211287</t>
        </is>
      </c>
      <c r="B11079" s="56" t="n">
        <v>45968.57847222222</v>
      </c>
      <c r="C11079" t="inlineStr">
        <is>
          <t>Bluestone Memorial Hospital</t>
        </is>
      </c>
      <c r="D11079" t="n">
        <v>146</v>
      </c>
    </row>
    <row r="11080">
      <c r="A11080" t="inlineStr">
        <is>
          <t>ED211288</t>
        </is>
      </c>
      <c r="B11080" s="56" t="n">
        <v>45968.61111111111</v>
      </c>
      <c r="C11080" t="inlineStr">
        <is>
          <t>Ashby Falls Community Hospital</t>
        </is>
      </c>
      <c r="D11080" t="n">
        <v>62</v>
      </c>
    </row>
    <row r="11081">
      <c r="A11081" t="inlineStr">
        <is>
          <t>ED211289</t>
        </is>
      </c>
      <c r="B11081" s="56" t="n">
        <v>45968.63888888889</v>
      </c>
      <c r="C11081" t="inlineStr">
        <is>
          <t>Bluestone Memorial Hospital</t>
        </is>
      </c>
      <c r="D11081" t="n">
        <v>54</v>
      </c>
    </row>
    <row r="11082">
      <c r="A11082" t="inlineStr">
        <is>
          <t>ED211290</t>
        </is>
      </c>
      <c r="B11082" s="56" t="n">
        <v>45968.65</v>
      </c>
      <c r="C11082" t="inlineStr">
        <is>
          <t>Cedar Ridge Medical Center</t>
        </is>
      </c>
      <c r="D11082" t="n">
        <v>65</v>
      </c>
    </row>
    <row r="11083">
      <c r="A11083" t="inlineStr">
        <is>
          <t>ED211291</t>
        </is>
      </c>
      <c r="B11083" s="56" t="n">
        <v>45968.68333333333</v>
      </c>
      <c r="C11083" t="inlineStr">
        <is>
          <t>Bluestone Memorial Hospital</t>
        </is>
      </c>
      <c r="D11083" t="n">
        <v>41</v>
      </c>
    </row>
    <row r="11084">
      <c r="A11084" t="inlineStr">
        <is>
          <t>ED211292</t>
        </is>
      </c>
      <c r="B11084" s="56" t="n">
        <v>45968.69236111111</v>
      </c>
      <c r="C11084" t="inlineStr">
        <is>
          <t>Bluestone Memorial Hospital</t>
        </is>
      </c>
      <c r="D11084" t="n">
        <v>49</v>
      </c>
    </row>
    <row r="11085">
      <c r="A11085" t="inlineStr">
        <is>
          <t>ED211293</t>
        </is>
      </c>
      <c r="B11085" s="56" t="n">
        <v>45968.76319444444</v>
      </c>
      <c r="C11085" t="inlineStr">
        <is>
          <t>Bluestone Memorial Hospital</t>
        </is>
      </c>
      <c r="D11085" t="n">
        <v>67</v>
      </c>
    </row>
    <row r="11086">
      <c r="A11086" t="inlineStr">
        <is>
          <t>ED211294</t>
        </is>
      </c>
      <c r="B11086" s="56" t="n">
        <v>45968.84861111111</v>
      </c>
      <c r="C11086" t="inlineStr">
        <is>
          <t>Cedar Ridge Medical Center</t>
        </is>
      </c>
      <c r="D11086" t="n">
        <v>54</v>
      </c>
    </row>
    <row r="11087">
      <c r="A11087" t="inlineStr">
        <is>
          <t>ED211295</t>
        </is>
      </c>
      <c r="B11087" s="56" t="n">
        <v>45968.87638888889</v>
      </c>
      <c r="C11087" t="inlineStr">
        <is>
          <t>Bluestone Memorial Hospital</t>
        </is>
      </c>
      <c r="D11087" t="n">
        <v>18</v>
      </c>
    </row>
    <row r="11088">
      <c r="A11088" t="inlineStr">
        <is>
          <t>ED211296</t>
        </is>
      </c>
      <c r="B11088" s="56" t="n">
        <v>45968.88263888889</v>
      </c>
      <c r="C11088" t="inlineStr">
        <is>
          <t>Bluestone Memorial Hospital</t>
        </is>
      </c>
      <c r="D11088" t="n">
        <v>6</v>
      </c>
    </row>
    <row r="11089">
      <c r="A11089" t="inlineStr">
        <is>
          <t>ED211297</t>
        </is>
      </c>
      <c r="B11089" s="56" t="n">
        <v>45968.93819444445</v>
      </c>
      <c r="C11089" t="inlineStr">
        <is>
          <t>Bluestone Memorial Hospital</t>
        </is>
      </c>
      <c r="D11089" t="n">
        <v>31</v>
      </c>
    </row>
    <row r="11090">
      <c r="A11090" t="inlineStr">
        <is>
          <t>ED211298</t>
        </is>
      </c>
      <c r="B11090" s="56" t="n">
        <v>45969.09236111111</v>
      </c>
      <c r="C11090" t="inlineStr">
        <is>
          <t>Ashby Falls Community Hospital</t>
        </is>
      </c>
      <c r="D11090" t="n">
        <v>65</v>
      </c>
    </row>
    <row r="11091">
      <c r="A11091" t="inlineStr">
        <is>
          <t>ED211299</t>
        </is>
      </c>
      <c r="B11091" s="56" t="n">
        <v>45969.20138888889</v>
      </c>
      <c r="C11091" t="inlineStr">
        <is>
          <t>Bluestone Memorial Hospital</t>
        </is>
      </c>
      <c r="D11091" t="n">
        <v>12</v>
      </c>
    </row>
    <row r="11092">
      <c r="A11092" t="inlineStr">
        <is>
          <t>ED211300</t>
        </is>
      </c>
      <c r="B11092" s="56" t="n">
        <v>45969.27291666667</v>
      </c>
      <c r="C11092" t="inlineStr">
        <is>
          <t>Bluestone Memorial Hospital</t>
        </is>
      </c>
      <c r="D11092" t="n">
        <v>88</v>
      </c>
    </row>
    <row r="11093">
      <c r="A11093" t="inlineStr">
        <is>
          <t>ED211301</t>
        </is>
      </c>
      <c r="B11093" s="56" t="n">
        <v>45969.28888888889</v>
      </c>
      <c r="C11093" t="inlineStr">
        <is>
          <t>Cedar Ridge Medical Center</t>
        </is>
      </c>
      <c r="D11093" t="n">
        <v>26</v>
      </c>
    </row>
    <row r="11094">
      <c r="A11094" t="inlineStr">
        <is>
          <t>ED211302</t>
        </is>
      </c>
      <c r="B11094" s="56" t="n">
        <v>45969.35833333333</v>
      </c>
      <c r="C11094" t="inlineStr">
        <is>
          <t>Bluestone Memorial Hospital</t>
        </is>
      </c>
      <c r="D11094" t="n">
        <v>21</v>
      </c>
    </row>
    <row r="11095">
      <c r="A11095" t="inlineStr">
        <is>
          <t>ED211303</t>
        </is>
      </c>
      <c r="B11095" s="56" t="n">
        <v>45969.41319444445</v>
      </c>
      <c r="C11095" t="inlineStr">
        <is>
          <t>Ashby Falls Community Hospital</t>
        </is>
      </c>
      <c r="D11095" t="n">
        <v>69</v>
      </c>
    </row>
    <row r="11096">
      <c r="A11096" t="inlineStr">
        <is>
          <t>ED211304</t>
        </is>
      </c>
      <c r="B11096" s="56" t="n">
        <v>45969.45555555556</v>
      </c>
      <c r="C11096" t="inlineStr">
        <is>
          <t>Bluestone Memorial Hospital</t>
        </is>
      </c>
      <c r="D11096" t="n">
        <v>37</v>
      </c>
    </row>
    <row r="11097">
      <c r="A11097" t="inlineStr">
        <is>
          <t>ED211305</t>
        </is>
      </c>
      <c r="B11097" s="56" t="n">
        <v>45969.48472222222</v>
      </c>
      <c r="C11097" t="inlineStr">
        <is>
          <t>Bluestone Memorial Hospital</t>
        </is>
      </c>
      <c r="D11097" t="n">
        <v>173</v>
      </c>
    </row>
    <row r="11098">
      <c r="A11098" t="inlineStr">
        <is>
          <t>ED211306</t>
        </is>
      </c>
      <c r="B11098" s="56" t="n">
        <v>45969.53402777778</v>
      </c>
      <c r="C11098" t="inlineStr">
        <is>
          <t>Bluestone Memorial Hospital</t>
        </is>
      </c>
      <c r="D11098" t="n">
        <v>21</v>
      </c>
    </row>
    <row r="11099">
      <c r="A11099" t="inlineStr">
        <is>
          <t>ED211307</t>
        </is>
      </c>
      <c r="B11099" s="56" t="n">
        <v>45969.57291666666</v>
      </c>
      <c r="C11099" t="inlineStr">
        <is>
          <t>Bluestone Memorial Hospital</t>
        </is>
      </c>
      <c r="D11099" t="n">
        <v>115</v>
      </c>
    </row>
    <row r="11100">
      <c r="A11100" t="inlineStr">
        <is>
          <t>ED211308</t>
        </is>
      </c>
      <c r="B11100" s="56" t="n">
        <v>45969.5875</v>
      </c>
      <c r="C11100" t="inlineStr">
        <is>
          <t>Bluestone Memorial Hospital</t>
        </is>
      </c>
      <c r="D11100" t="n">
        <v>12</v>
      </c>
    </row>
    <row r="11101">
      <c r="A11101" t="inlineStr">
        <is>
          <t>ED211309</t>
        </is>
      </c>
      <c r="B11101" s="56" t="n">
        <v>45969.65902777778</v>
      </c>
      <c r="C11101" t="inlineStr">
        <is>
          <t>Bluestone Memorial Hospital</t>
        </is>
      </c>
      <c r="D11101" t="n">
        <v>8</v>
      </c>
    </row>
    <row r="11102">
      <c r="A11102" t="inlineStr">
        <is>
          <t>ED211310</t>
        </is>
      </c>
      <c r="B11102" s="56" t="n">
        <v>45969.66875</v>
      </c>
      <c r="C11102" t="inlineStr">
        <is>
          <t>Cedar Ridge Medical Center</t>
        </is>
      </c>
      <c r="D11102" t="n">
        <v>29</v>
      </c>
    </row>
    <row r="11103">
      <c r="A11103" t="inlineStr">
        <is>
          <t>ED211311</t>
        </is>
      </c>
      <c r="B11103" s="56" t="n">
        <v>45969.7</v>
      </c>
      <c r="C11103" t="inlineStr">
        <is>
          <t>Bluestone Memorial Hospital</t>
        </is>
      </c>
      <c r="D11103" t="n">
        <v>91</v>
      </c>
    </row>
    <row r="11104">
      <c r="A11104" t="inlineStr">
        <is>
          <t>ED211312</t>
        </is>
      </c>
      <c r="B11104" s="56" t="n">
        <v>45969.71041666667</v>
      </c>
      <c r="C11104" t="inlineStr">
        <is>
          <t>Ashby Falls Community Hospital</t>
        </is>
      </c>
      <c r="D11104" t="n">
        <v>150</v>
      </c>
    </row>
    <row r="11105">
      <c r="A11105" t="inlineStr">
        <is>
          <t>ED211313</t>
        </is>
      </c>
      <c r="B11105" s="56" t="n">
        <v>45969.79722222222</v>
      </c>
      <c r="C11105" t="inlineStr">
        <is>
          <t>Bluestone Memorial Hospital</t>
        </is>
      </c>
      <c r="D11105" t="n">
        <v>32</v>
      </c>
    </row>
    <row r="11106">
      <c r="A11106" t="inlineStr">
        <is>
          <t>ED211314</t>
        </is>
      </c>
      <c r="B11106" s="56" t="n">
        <v>45969.84097222222</v>
      </c>
      <c r="C11106" t="inlineStr">
        <is>
          <t>Bluestone Memorial Hospital</t>
        </is>
      </c>
      <c r="D11106" t="n">
        <v>16</v>
      </c>
    </row>
    <row r="11107">
      <c r="A11107" t="inlineStr">
        <is>
          <t>ED211315</t>
        </is>
      </c>
      <c r="B11107" s="56" t="n">
        <v>45969.84652777778</v>
      </c>
      <c r="C11107" t="inlineStr">
        <is>
          <t>Bluestone Memorial Hospital</t>
        </is>
      </c>
      <c r="D11107" t="n">
        <v>25</v>
      </c>
    </row>
    <row r="11108">
      <c r="A11108" t="inlineStr">
        <is>
          <t>ED211316</t>
        </is>
      </c>
      <c r="B11108" s="56" t="n">
        <v>45969.90069444444</v>
      </c>
      <c r="C11108" t="inlineStr">
        <is>
          <t>Cedar Ridge Medical Center</t>
        </is>
      </c>
      <c r="D11108" t="n">
        <v>10</v>
      </c>
    </row>
    <row r="11109">
      <c r="A11109" t="inlineStr">
        <is>
          <t>ED211317</t>
        </is>
      </c>
      <c r="B11109" s="56" t="n">
        <v>45969.95972222222</v>
      </c>
      <c r="C11109" t="inlineStr">
        <is>
          <t>Bluestone Memorial Hospital</t>
        </is>
      </c>
      <c r="D11109" t="n">
        <v>17</v>
      </c>
    </row>
    <row r="11110">
      <c r="A11110" t="inlineStr">
        <is>
          <t>ED211318</t>
        </is>
      </c>
      <c r="B11110" s="56" t="n">
        <v>45970.00972222222</v>
      </c>
      <c r="C11110" t="inlineStr">
        <is>
          <t>Cedar Ridge Medical Center</t>
        </is>
      </c>
      <c r="D11110" t="n">
        <v>6</v>
      </c>
    </row>
    <row r="11111">
      <c r="A11111" t="inlineStr">
        <is>
          <t>ED211319</t>
        </is>
      </c>
      <c r="B11111" s="56" t="n">
        <v>45970.025</v>
      </c>
      <c r="C11111" t="inlineStr">
        <is>
          <t>Bluestone Memorial Hospital</t>
        </is>
      </c>
      <c r="D11111" t="n">
        <v>16</v>
      </c>
    </row>
    <row r="11112">
      <c r="A11112" t="inlineStr">
        <is>
          <t>ED211320</t>
        </is>
      </c>
      <c r="B11112" s="56" t="n">
        <v>45970.225</v>
      </c>
      <c r="C11112" t="inlineStr">
        <is>
          <t>Bluestone Memorial Hospital</t>
        </is>
      </c>
      <c r="D11112" t="n">
        <v>34</v>
      </c>
    </row>
    <row r="11113">
      <c r="A11113" t="inlineStr">
        <is>
          <t>ED211321</t>
        </is>
      </c>
      <c r="B11113" s="56" t="n">
        <v>45970.2625</v>
      </c>
      <c r="C11113" t="inlineStr">
        <is>
          <t>Bluestone Memorial Hospital</t>
        </is>
      </c>
      <c r="D11113" t="n">
        <v>15</v>
      </c>
    </row>
    <row r="11114">
      <c r="A11114" t="inlineStr">
        <is>
          <t>ED211322</t>
        </is>
      </c>
      <c r="B11114" s="56" t="n">
        <v>45970.42222222222</v>
      </c>
      <c r="C11114" t="inlineStr">
        <is>
          <t>Ashby Falls Community Hospital</t>
        </is>
      </c>
      <c r="D11114" t="n">
        <v>74</v>
      </c>
    </row>
    <row r="11115">
      <c r="A11115" t="inlineStr">
        <is>
          <t>ED211323</t>
        </is>
      </c>
      <c r="B11115" s="56" t="n">
        <v>45970.44375</v>
      </c>
      <c r="C11115" t="inlineStr">
        <is>
          <t>Bluestone Memorial Hospital</t>
        </is>
      </c>
      <c r="D11115" t="n">
        <v>54</v>
      </c>
    </row>
    <row r="11116">
      <c r="A11116" t="inlineStr">
        <is>
          <t>ED211324</t>
        </is>
      </c>
      <c r="B11116" s="56" t="n">
        <v>45970.55555555555</v>
      </c>
      <c r="C11116" t="inlineStr">
        <is>
          <t>Ashby Falls Community Hospital</t>
        </is>
      </c>
      <c r="D11116" t="n">
        <v>69</v>
      </c>
    </row>
    <row r="11117">
      <c r="A11117" t="inlineStr">
        <is>
          <t>ED211325</t>
        </is>
      </c>
      <c r="B11117" s="56" t="n">
        <v>45970.56180555555</v>
      </c>
      <c r="C11117" t="inlineStr">
        <is>
          <t>Bluestone Memorial Hospital</t>
        </is>
      </c>
      <c r="D11117" t="n">
        <v>15</v>
      </c>
    </row>
    <row r="11118">
      <c r="A11118" t="inlineStr">
        <is>
          <t>ED211326</t>
        </is>
      </c>
      <c r="B11118" s="56" t="n">
        <v>45970.57847222222</v>
      </c>
      <c r="C11118" t="inlineStr">
        <is>
          <t>Bluestone Memorial Hospital</t>
        </is>
      </c>
      <c r="D11118" t="n">
        <v>46</v>
      </c>
    </row>
    <row r="11119">
      <c r="A11119" t="inlineStr">
        <is>
          <t>ED211327</t>
        </is>
      </c>
      <c r="B11119" s="56" t="n">
        <v>45970.74791666667</v>
      </c>
      <c r="C11119" t="inlineStr">
        <is>
          <t>Bluestone Memorial Hospital</t>
        </is>
      </c>
      <c r="D11119" t="n">
        <v>86</v>
      </c>
    </row>
    <row r="11120">
      <c r="A11120" t="inlineStr">
        <is>
          <t>ED211328</t>
        </is>
      </c>
      <c r="B11120" s="56" t="n">
        <v>45970.79444444444</v>
      </c>
      <c r="C11120" t="inlineStr">
        <is>
          <t>Bluestone Memorial Hospital</t>
        </is>
      </c>
      <c r="D11120" t="n">
        <v>17</v>
      </c>
    </row>
    <row r="11121">
      <c r="A11121" t="inlineStr">
        <is>
          <t>ED211329</t>
        </is>
      </c>
      <c r="B11121" s="56" t="n">
        <v>45971.30694444444</v>
      </c>
      <c r="C11121" t="inlineStr">
        <is>
          <t>Ashby Falls Community Hospital</t>
        </is>
      </c>
      <c r="D11121" t="n">
        <v>4</v>
      </c>
    </row>
    <row r="11122">
      <c r="A11122" t="inlineStr">
        <is>
          <t>ED211330</t>
        </is>
      </c>
      <c r="B11122" s="56" t="n">
        <v>45971.42083333333</v>
      </c>
      <c r="C11122" t="inlineStr">
        <is>
          <t>Bluestone Memorial Hospital</t>
        </is>
      </c>
      <c r="D11122" t="n">
        <v>19</v>
      </c>
    </row>
    <row r="11123">
      <c r="A11123" t="inlineStr">
        <is>
          <t>ED211331</t>
        </is>
      </c>
      <c r="B11123" s="56" t="n">
        <v>45971.49513888889</v>
      </c>
      <c r="C11123" t="inlineStr">
        <is>
          <t>Cedar Ridge Medical Center</t>
        </is>
      </c>
      <c r="D11123" t="n">
        <v>23</v>
      </c>
    </row>
    <row r="11124">
      <c r="A11124" t="inlineStr">
        <is>
          <t>ED211332</t>
        </is>
      </c>
      <c r="B11124" s="56" t="n">
        <v>45971.53472222222</v>
      </c>
      <c r="C11124" t="inlineStr">
        <is>
          <t>Bluestone Memorial Hospital</t>
        </is>
      </c>
      <c r="D11124" t="n">
        <v>35</v>
      </c>
    </row>
    <row r="11125">
      <c r="A11125" t="inlineStr">
        <is>
          <t>ED211333</t>
        </is>
      </c>
      <c r="B11125" s="56" t="n">
        <v>45971.53611111111</v>
      </c>
      <c r="C11125" t="inlineStr">
        <is>
          <t>Bluestone Memorial Hospital</t>
        </is>
      </c>
      <c r="D11125" t="n">
        <v>151</v>
      </c>
    </row>
    <row r="11126">
      <c r="A11126" t="inlineStr">
        <is>
          <t>ED211334</t>
        </is>
      </c>
      <c r="B11126" s="56" t="n">
        <v>45971.54236111111</v>
      </c>
      <c r="C11126" t="inlineStr">
        <is>
          <t>Bluestone Memorial Hospital</t>
        </is>
      </c>
      <c r="D11126" t="n">
        <v>19</v>
      </c>
    </row>
    <row r="11127">
      <c r="A11127" t="inlineStr">
        <is>
          <t>ED211335</t>
        </is>
      </c>
      <c r="B11127" s="56" t="n">
        <v>45971.56597222222</v>
      </c>
      <c r="C11127" t="inlineStr">
        <is>
          <t>Bluestone Memorial Hospital</t>
        </is>
      </c>
      <c r="D11127" t="n">
        <v>15</v>
      </c>
    </row>
    <row r="11128">
      <c r="A11128" t="inlineStr">
        <is>
          <t>ED211336</t>
        </is>
      </c>
      <c r="B11128" s="56" t="n">
        <v>45971.59444444445</v>
      </c>
      <c r="C11128" t="inlineStr">
        <is>
          <t>Bluestone Memorial Hospital</t>
        </is>
      </c>
      <c r="D11128" t="n">
        <v>90</v>
      </c>
    </row>
    <row r="11129">
      <c r="A11129" t="inlineStr">
        <is>
          <t>ED211337</t>
        </is>
      </c>
      <c r="B11129" s="56" t="n">
        <v>45971.60208333333</v>
      </c>
      <c r="C11129" t="inlineStr">
        <is>
          <t>Bluestone Memorial Hospital</t>
        </is>
      </c>
      <c r="D11129" t="n">
        <v>57</v>
      </c>
    </row>
    <row r="11130">
      <c r="A11130" t="inlineStr">
        <is>
          <t>ED211338</t>
        </is>
      </c>
      <c r="B11130" s="56" t="n">
        <v>45971.61388888889</v>
      </c>
      <c r="C11130" t="inlineStr">
        <is>
          <t>Ashby Falls Community Hospital</t>
        </is>
      </c>
      <c r="D11130" t="n">
        <v>40</v>
      </c>
    </row>
    <row r="11131">
      <c r="A11131" t="inlineStr">
        <is>
          <t>ED211339</t>
        </is>
      </c>
      <c r="B11131" s="56" t="n">
        <v>45971.66319444445</v>
      </c>
      <c r="C11131" t="inlineStr">
        <is>
          <t>Ashby Falls Community Hospital</t>
        </is>
      </c>
      <c r="D11131" t="n">
        <v>33</v>
      </c>
    </row>
    <row r="11132">
      <c r="A11132" t="inlineStr">
        <is>
          <t>ED211340</t>
        </is>
      </c>
      <c r="B11132" s="56" t="n">
        <v>45971.74583333333</v>
      </c>
      <c r="C11132" t="inlineStr">
        <is>
          <t>Ashby Falls Community Hospital</t>
        </is>
      </c>
      <c r="D11132" t="n">
        <v>20</v>
      </c>
    </row>
    <row r="11133">
      <c r="A11133" t="inlineStr">
        <is>
          <t>ED211341</t>
        </is>
      </c>
      <c r="B11133" s="56" t="n">
        <v>45971.75138888889</v>
      </c>
      <c r="C11133" t="inlineStr">
        <is>
          <t>Bluestone Memorial Hospital</t>
        </is>
      </c>
      <c r="D11133" t="n">
        <v>74</v>
      </c>
    </row>
    <row r="11134">
      <c r="A11134" t="inlineStr">
        <is>
          <t>ED211342</t>
        </is>
      </c>
      <c r="B11134" s="56" t="n">
        <v>45971.76111111111</v>
      </c>
      <c r="C11134" t="inlineStr">
        <is>
          <t>Bluestone Memorial Hospital</t>
        </is>
      </c>
      <c r="D11134" t="n">
        <v>87</v>
      </c>
    </row>
    <row r="11135">
      <c r="A11135" t="inlineStr">
        <is>
          <t>ED211343</t>
        </is>
      </c>
      <c r="B11135" s="56" t="n">
        <v>45971.85</v>
      </c>
      <c r="C11135" t="inlineStr">
        <is>
          <t>Bluestone Memorial Hospital</t>
        </is>
      </c>
      <c r="D11135" t="n">
        <v>31</v>
      </c>
    </row>
    <row r="11136">
      <c r="A11136" t="inlineStr">
        <is>
          <t>ED211344</t>
        </is>
      </c>
      <c r="B11136" s="56" t="n">
        <v>45971.90208333333</v>
      </c>
      <c r="C11136" t="inlineStr">
        <is>
          <t>Bluestone Memorial Hospital</t>
        </is>
      </c>
      <c r="D11136" t="n">
        <v>6</v>
      </c>
    </row>
    <row r="11137">
      <c r="A11137" t="inlineStr">
        <is>
          <t>ED211345</t>
        </is>
      </c>
      <c r="B11137" s="56" t="n">
        <v>45971.96805555555</v>
      </c>
      <c r="C11137" t="inlineStr">
        <is>
          <t>Bluestone Memorial Hospital</t>
        </is>
      </c>
      <c r="D11137" t="n">
        <v>90</v>
      </c>
    </row>
    <row r="11138">
      <c r="A11138" t="inlineStr">
        <is>
          <t>ED211346</t>
        </is>
      </c>
      <c r="B11138" s="56" t="n">
        <v>45971.99097222222</v>
      </c>
      <c r="C11138" t="inlineStr">
        <is>
          <t>Bluestone Memorial Hospital</t>
        </is>
      </c>
      <c r="D11138" t="n">
        <v>24</v>
      </c>
    </row>
    <row r="11139">
      <c r="A11139" t="inlineStr">
        <is>
          <t>ED211347</t>
        </is>
      </c>
      <c r="B11139" s="56" t="n">
        <v>45972.04166666666</v>
      </c>
      <c r="C11139" t="inlineStr">
        <is>
          <t>Cedar Ridge Medical Center</t>
        </is>
      </c>
      <c r="D11139" t="n">
        <v>21</v>
      </c>
    </row>
    <row r="11140">
      <c r="A11140" t="inlineStr">
        <is>
          <t>ED211348</t>
        </is>
      </c>
      <c r="B11140" s="56" t="n">
        <v>45972.275</v>
      </c>
      <c r="C11140" t="inlineStr">
        <is>
          <t>Cedar Ridge Medical Center</t>
        </is>
      </c>
      <c r="D11140" t="n">
        <v>17</v>
      </c>
    </row>
    <row r="11141">
      <c r="A11141" t="inlineStr">
        <is>
          <t>ED211349</t>
        </is>
      </c>
      <c r="B11141" s="56" t="n">
        <v>45972.43125</v>
      </c>
      <c r="C11141" t="inlineStr">
        <is>
          <t>Ashby Falls Community Hospital</t>
        </is>
      </c>
      <c r="D11141" t="n">
        <v>29</v>
      </c>
    </row>
    <row r="11142">
      <c r="A11142" t="inlineStr">
        <is>
          <t>ED211350</t>
        </is>
      </c>
      <c r="B11142" s="56" t="n">
        <v>45972.43958333333</v>
      </c>
      <c r="C11142" t="inlineStr">
        <is>
          <t>Cedar Ridge Medical Center</t>
        </is>
      </c>
      <c r="D11142" t="n">
        <v>25</v>
      </c>
    </row>
    <row r="11143">
      <c r="A11143" t="inlineStr">
        <is>
          <t>ED211351</t>
        </is>
      </c>
      <c r="B11143" s="56" t="n">
        <v>45972.44722222222</v>
      </c>
      <c r="C11143" t="inlineStr">
        <is>
          <t>Bluestone Memorial Hospital</t>
        </is>
      </c>
      <c r="D11143" t="n">
        <v>39</v>
      </c>
    </row>
    <row r="11144">
      <c r="A11144" t="inlineStr">
        <is>
          <t>ED211352</t>
        </is>
      </c>
      <c r="B11144" s="56" t="n">
        <v>45972.45625</v>
      </c>
      <c r="C11144" t="inlineStr">
        <is>
          <t>Bluestone Memorial Hospital</t>
        </is>
      </c>
      <c r="D11144" t="n">
        <v>66</v>
      </c>
    </row>
    <row r="11145">
      <c r="A11145" t="inlineStr">
        <is>
          <t>ED211353</t>
        </is>
      </c>
      <c r="B11145" s="56" t="n">
        <v>45972.4625</v>
      </c>
      <c r="C11145" t="inlineStr">
        <is>
          <t>Bluestone Memorial Hospital</t>
        </is>
      </c>
      <c r="D11145" t="n">
        <v>20</v>
      </c>
    </row>
    <row r="11146">
      <c r="A11146" t="inlineStr">
        <is>
          <t>ED211354</t>
        </is>
      </c>
      <c r="B11146" s="56" t="n">
        <v>45972.47222222222</v>
      </c>
      <c r="C11146" t="inlineStr">
        <is>
          <t>Bluestone Memorial Hospital</t>
        </is>
      </c>
      <c r="D11146" t="n">
        <v>64</v>
      </c>
    </row>
    <row r="11147">
      <c r="A11147" t="inlineStr">
        <is>
          <t>ED211355</t>
        </is>
      </c>
      <c r="B11147" s="56" t="n">
        <v>45972.49791666667</v>
      </c>
      <c r="C11147" t="inlineStr">
        <is>
          <t>Bluestone Memorial Hospital</t>
        </is>
      </c>
      <c r="D11147" t="n">
        <v>67</v>
      </c>
    </row>
    <row r="11148">
      <c r="A11148" t="inlineStr">
        <is>
          <t>ED211356</t>
        </is>
      </c>
      <c r="B11148" s="56" t="n">
        <v>45972.51875</v>
      </c>
      <c r="C11148" t="inlineStr">
        <is>
          <t>Ashby Falls Community Hospital</t>
        </is>
      </c>
      <c r="D11148" t="n">
        <v>28</v>
      </c>
    </row>
    <row r="11149">
      <c r="A11149" t="inlineStr">
        <is>
          <t>ED211357</t>
        </is>
      </c>
      <c r="B11149" s="56" t="n">
        <v>45972.52430555555</v>
      </c>
      <c r="C11149" t="inlineStr">
        <is>
          <t>Bluestone Memorial Hospital</t>
        </is>
      </c>
      <c r="D11149" t="n">
        <v>31</v>
      </c>
    </row>
    <row r="11150">
      <c r="A11150" t="inlineStr">
        <is>
          <t>ED211358</t>
        </is>
      </c>
      <c r="B11150" s="56" t="n">
        <v>45972.52916666667</v>
      </c>
      <c r="C11150" t="inlineStr">
        <is>
          <t>Bluestone Memorial Hospital</t>
        </is>
      </c>
      <c r="D11150" t="n">
        <v>36</v>
      </c>
    </row>
    <row r="11151">
      <c r="A11151" t="inlineStr">
        <is>
          <t>ED211359</t>
        </is>
      </c>
      <c r="B11151" s="56" t="n">
        <v>45972.53958333333</v>
      </c>
      <c r="C11151" t="inlineStr">
        <is>
          <t>Bluestone Memorial Hospital</t>
        </is>
      </c>
      <c r="D11151" t="n">
        <v>63</v>
      </c>
    </row>
    <row r="11152">
      <c r="A11152" t="inlineStr">
        <is>
          <t>ED211360</t>
        </is>
      </c>
      <c r="B11152" s="56" t="n">
        <v>45972.54166666666</v>
      </c>
      <c r="C11152" t="inlineStr">
        <is>
          <t>Bluestone Memorial Hospital</t>
        </is>
      </c>
      <c r="D11152" t="n">
        <v>40</v>
      </c>
    </row>
    <row r="11153">
      <c r="A11153" t="inlineStr">
        <is>
          <t>ED211361</t>
        </is>
      </c>
      <c r="B11153" s="56" t="n">
        <v>45972.54305555556</v>
      </c>
      <c r="C11153" t="inlineStr">
        <is>
          <t>Ashby Falls Community Hospital</t>
        </is>
      </c>
      <c r="D11153" t="n">
        <v>99</v>
      </c>
    </row>
    <row r="11154">
      <c r="A11154" t="inlineStr">
        <is>
          <t>ED211362</t>
        </is>
      </c>
      <c r="B11154" s="56" t="n">
        <v>45972.65069444444</v>
      </c>
      <c r="C11154" t="inlineStr">
        <is>
          <t>Bluestone Memorial Hospital</t>
        </is>
      </c>
      <c r="D11154" t="n">
        <v>51</v>
      </c>
    </row>
    <row r="11155">
      <c r="A11155" t="inlineStr">
        <is>
          <t>ED211363</t>
        </is>
      </c>
      <c r="B11155" s="56" t="n">
        <v>45972.66875</v>
      </c>
      <c r="C11155" t="inlineStr">
        <is>
          <t>Bluestone Memorial Hospital</t>
        </is>
      </c>
      <c r="D11155" t="n">
        <v>27</v>
      </c>
    </row>
    <row r="11156">
      <c r="A11156" t="inlineStr">
        <is>
          <t>ED211364</t>
        </is>
      </c>
      <c r="B11156" s="56" t="n">
        <v>45972.68888888889</v>
      </c>
      <c r="C11156" t="inlineStr">
        <is>
          <t>Bluestone Memorial Hospital</t>
        </is>
      </c>
      <c r="D11156" t="n">
        <v>72</v>
      </c>
    </row>
    <row r="11157">
      <c r="A11157" t="inlineStr">
        <is>
          <t>ED211365</t>
        </is>
      </c>
      <c r="B11157" s="56" t="n">
        <v>45972.77013888889</v>
      </c>
      <c r="C11157" t="inlineStr">
        <is>
          <t>Bluestone Memorial Hospital</t>
        </is>
      </c>
      <c r="D11157" t="n">
        <v>62</v>
      </c>
    </row>
    <row r="11158">
      <c r="A11158" t="inlineStr">
        <is>
          <t>ED211366</t>
        </is>
      </c>
      <c r="B11158" s="56" t="n">
        <v>45972.82430555556</v>
      </c>
      <c r="C11158" t="inlineStr">
        <is>
          <t>Bluestone Memorial Hospital</t>
        </is>
      </c>
      <c r="D11158" t="n">
        <v>54</v>
      </c>
    </row>
    <row r="11159">
      <c r="A11159" t="inlineStr">
        <is>
          <t>ED211367</t>
        </is>
      </c>
      <c r="B11159" s="56" t="n">
        <v>45972.87361111111</v>
      </c>
      <c r="C11159" t="inlineStr">
        <is>
          <t>Ashby Falls Community Hospital</t>
        </is>
      </c>
      <c r="D11159" t="n">
        <v>79</v>
      </c>
    </row>
    <row r="11160">
      <c r="A11160" t="inlineStr">
        <is>
          <t>ED211368</t>
        </is>
      </c>
      <c r="B11160" s="56" t="n">
        <v>45973.07361111111</v>
      </c>
      <c r="C11160" t="inlineStr">
        <is>
          <t>Bluestone Memorial Hospital</t>
        </is>
      </c>
      <c r="D11160" t="n">
        <v>48</v>
      </c>
    </row>
    <row r="11161">
      <c r="A11161" t="inlineStr">
        <is>
          <t>ED211369</t>
        </is>
      </c>
      <c r="B11161" s="56" t="n">
        <v>45973.12361111111</v>
      </c>
      <c r="C11161" t="inlineStr">
        <is>
          <t>Bluestone Memorial Hospital</t>
        </is>
      </c>
      <c r="D11161" t="n">
        <v>7</v>
      </c>
    </row>
    <row r="11162">
      <c r="A11162" t="inlineStr">
        <is>
          <t>ED211370</t>
        </is>
      </c>
      <c r="B11162" s="56" t="n">
        <v>45973.12847222222</v>
      </c>
      <c r="C11162" t="inlineStr">
        <is>
          <t>Bluestone Memorial Hospital</t>
        </is>
      </c>
      <c r="D11162" t="n">
        <v>20</v>
      </c>
    </row>
    <row r="11163">
      <c r="A11163" t="inlineStr">
        <is>
          <t>ED211371</t>
        </is>
      </c>
      <c r="B11163" s="56" t="n">
        <v>45973.15486111111</v>
      </c>
      <c r="C11163" t="inlineStr">
        <is>
          <t>Bluestone Memorial Hospital</t>
        </is>
      </c>
      <c r="D11163" t="n">
        <v>31</v>
      </c>
    </row>
    <row r="11164">
      <c r="A11164" t="inlineStr">
        <is>
          <t>ED211372</t>
        </is>
      </c>
      <c r="B11164" s="56" t="n">
        <v>45973.34791666667</v>
      </c>
      <c r="C11164" t="inlineStr">
        <is>
          <t>Bluestone Memorial Hospital</t>
        </is>
      </c>
      <c r="D11164" t="n">
        <v>18</v>
      </c>
    </row>
    <row r="11165">
      <c r="A11165" t="inlineStr">
        <is>
          <t>ED211373</t>
        </is>
      </c>
      <c r="B11165" s="56" t="n">
        <v>45973.47013888889</v>
      </c>
      <c r="C11165" t="inlineStr">
        <is>
          <t>Ashby Falls Community Hospital</t>
        </is>
      </c>
      <c r="D11165" t="n">
        <v>24</v>
      </c>
    </row>
    <row r="11166">
      <c r="A11166" t="inlineStr">
        <is>
          <t>ED211374</t>
        </is>
      </c>
      <c r="B11166" s="56" t="n">
        <v>45973.47986111111</v>
      </c>
      <c r="C11166" t="inlineStr">
        <is>
          <t>Cedar Ridge Medical Center</t>
        </is>
      </c>
      <c r="D11166" t="n">
        <v>31</v>
      </c>
    </row>
    <row r="11167">
      <c r="A11167" t="inlineStr">
        <is>
          <t>ED211375</t>
        </is>
      </c>
      <c r="B11167" s="56" t="n">
        <v>45973.4875</v>
      </c>
      <c r="C11167" t="inlineStr">
        <is>
          <t>Cedar Ridge Medical Center</t>
        </is>
      </c>
      <c r="D11167" t="n">
        <v>120</v>
      </c>
    </row>
    <row r="11168">
      <c r="A11168" t="inlineStr">
        <is>
          <t>ED211376</t>
        </is>
      </c>
      <c r="B11168" s="56" t="n">
        <v>45973.53888888889</v>
      </c>
      <c r="C11168" t="inlineStr">
        <is>
          <t>Cedar Ridge Medical Center</t>
        </is>
      </c>
      <c r="D11168" t="n">
        <v>28</v>
      </c>
    </row>
    <row r="11169">
      <c r="A11169" t="inlineStr">
        <is>
          <t>ED211378</t>
        </is>
      </c>
      <c r="B11169" s="56" t="n">
        <v>45973.58402777778</v>
      </c>
      <c r="C11169" t="inlineStr">
        <is>
          <t>Bluestone Memorial Hospital</t>
        </is>
      </c>
      <c r="D11169" t="n">
        <v>15</v>
      </c>
    </row>
    <row r="11170">
      <c r="A11170" t="inlineStr">
        <is>
          <t>ED211379</t>
        </is>
      </c>
      <c r="B11170" s="56" t="n">
        <v>45973.65347222222</v>
      </c>
      <c r="C11170" t="inlineStr">
        <is>
          <t>Ashby Falls Community Hospital</t>
        </is>
      </c>
      <c r="D11170" t="n">
        <v>64</v>
      </c>
    </row>
    <row r="11171">
      <c r="A11171" t="inlineStr">
        <is>
          <t>ED211380</t>
        </is>
      </c>
      <c r="B11171" s="56" t="n">
        <v>45973.65486111111</v>
      </c>
      <c r="C11171" t="inlineStr">
        <is>
          <t>Bluestone Memorial Hospital</t>
        </is>
      </c>
      <c r="D11171" t="n">
        <v>30</v>
      </c>
    </row>
    <row r="11172">
      <c r="A11172" t="inlineStr">
        <is>
          <t>ED211381</t>
        </is>
      </c>
      <c r="B11172" s="56" t="n">
        <v>45973.7125</v>
      </c>
      <c r="C11172" t="inlineStr">
        <is>
          <t>Bluestone Memorial Hospital</t>
        </is>
      </c>
      <c r="D11172" t="n">
        <v>35</v>
      </c>
    </row>
    <row r="11173">
      <c r="A11173" t="inlineStr">
        <is>
          <t>ED211382</t>
        </is>
      </c>
      <c r="B11173" s="56" t="n">
        <v>45973.76597222222</v>
      </c>
      <c r="C11173" t="inlineStr">
        <is>
          <t>Bluestone Memorial Hospital</t>
        </is>
      </c>
      <c r="D11173" t="n">
        <v>20</v>
      </c>
    </row>
    <row r="11174">
      <c r="A11174" t="inlineStr">
        <is>
          <t>ED211383</t>
        </is>
      </c>
      <c r="B11174" s="56" t="n">
        <v>45973.81319444445</v>
      </c>
      <c r="C11174" t="inlineStr">
        <is>
          <t>Ashby Falls Community Hospital</t>
        </is>
      </c>
      <c r="D11174" t="n">
        <v>76</v>
      </c>
    </row>
    <row r="11175">
      <c r="A11175" t="inlineStr">
        <is>
          <t>ED211384</t>
        </is>
      </c>
      <c r="B11175" s="56" t="n">
        <v>45973.84722222222</v>
      </c>
      <c r="C11175" t="inlineStr">
        <is>
          <t>Ashby Falls Community Hospital</t>
        </is>
      </c>
      <c r="D11175" t="n">
        <v>60</v>
      </c>
    </row>
    <row r="11176">
      <c r="A11176" t="inlineStr">
        <is>
          <t>ED211385</t>
        </is>
      </c>
      <c r="B11176" s="56" t="n">
        <v>45973.89791666667</v>
      </c>
      <c r="C11176" t="inlineStr">
        <is>
          <t>Cedar Ridge Medical Center</t>
        </is>
      </c>
      <c r="D11176" t="n">
        <v>11</v>
      </c>
    </row>
    <row r="11177">
      <c r="A11177" t="inlineStr">
        <is>
          <t>ED211386</t>
        </is>
      </c>
      <c r="B11177" s="56" t="n">
        <v>45973.91736111111</v>
      </c>
      <c r="C11177" t="inlineStr">
        <is>
          <t>Cedar Ridge Medical Center</t>
        </is>
      </c>
      <c r="D11177" t="n">
        <v>9</v>
      </c>
    </row>
    <row r="11178">
      <c r="A11178" t="inlineStr">
        <is>
          <t>ED211387</t>
        </is>
      </c>
      <c r="B11178" s="56" t="n">
        <v>45974.31111111111</v>
      </c>
      <c r="C11178" t="inlineStr">
        <is>
          <t>Bluestone Memorial Hospital</t>
        </is>
      </c>
      <c r="D11178" t="n">
        <v>23</v>
      </c>
    </row>
    <row r="11179">
      <c r="A11179" t="inlineStr">
        <is>
          <t>ED211388</t>
        </is>
      </c>
      <c r="B11179" s="56" t="n">
        <v>45974.34236111111</v>
      </c>
      <c r="C11179" t="inlineStr">
        <is>
          <t>Bluestone Memorial Hospital</t>
        </is>
      </c>
      <c r="D11179" t="n">
        <v>6</v>
      </c>
    </row>
    <row r="11180">
      <c r="A11180" t="inlineStr">
        <is>
          <t>ED211389</t>
        </is>
      </c>
      <c r="B11180" s="56" t="n">
        <v>45974.35277777778</v>
      </c>
      <c r="C11180" t="inlineStr">
        <is>
          <t>Bluestone Memorial Hospital</t>
        </is>
      </c>
      <c r="D11180" t="n">
        <v>14</v>
      </c>
    </row>
    <row r="11181">
      <c r="A11181" t="inlineStr">
        <is>
          <t>ED211390</t>
        </is>
      </c>
      <c r="B11181" s="56" t="n">
        <v>45974.40486111111</v>
      </c>
      <c r="C11181" t="inlineStr">
        <is>
          <t>Bluestone Memorial Hospital</t>
        </is>
      </c>
      <c r="D11181" t="n">
        <v>30</v>
      </c>
    </row>
    <row r="11182">
      <c r="A11182" t="inlineStr">
        <is>
          <t>ED211391</t>
        </is>
      </c>
      <c r="B11182" s="56" t="n">
        <v>45974.40555555555</v>
      </c>
      <c r="C11182" t="inlineStr">
        <is>
          <t>Cedar Ridge Medical Center</t>
        </is>
      </c>
      <c r="D11182" t="n">
        <v>93</v>
      </c>
    </row>
    <row r="11183">
      <c r="A11183" t="inlineStr">
        <is>
          <t>ED211392</t>
        </is>
      </c>
      <c r="B11183" s="56" t="n">
        <v>45974.41805555556</v>
      </c>
      <c r="C11183" t="inlineStr">
        <is>
          <t>Bluestone Memorial Hospital</t>
        </is>
      </c>
      <c r="D11183" t="n">
        <v>18</v>
      </c>
    </row>
    <row r="11184">
      <c r="A11184" t="inlineStr">
        <is>
          <t>ED211393</t>
        </is>
      </c>
      <c r="B11184" s="56" t="n">
        <v>45974.43194444444</v>
      </c>
      <c r="C11184" t="inlineStr">
        <is>
          <t>Ashby Falls Community Hospital</t>
        </is>
      </c>
      <c r="D11184" t="n">
        <v>13</v>
      </c>
    </row>
    <row r="11185">
      <c r="A11185" t="inlineStr">
        <is>
          <t>ED211394</t>
        </is>
      </c>
      <c r="B11185" s="56" t="n">
        <v>45974.47222222222</v>
      </c>
      <c r="C11185" t="inlineStr">
        <is>
          <t>Bluestone Memorial Hospital</t>
        </is>
      </c>
      <c r="D11185" t="n">
        <v>31</v>
      </c>
    </row>
    <row r="11186">
      <c r="A11186" t="inlineStr">
        <is>
          <t>ED211395</t>
        </is>
      </c>
      <c r="B11186" s="56" t="n">
        <v>45974.51388888889</v>
      </c>
      <c r="C11186" t="inlineStr">
        <is>
          <t>Bluestone Memorial Hospital</t>
        </is>
      </c>
      <c r="D11186" t="n">
        <v>59</v>
      </c>
    </row>
    <row r="11187">
      <c r="A11187" t="inlineStr">
        <is>
          <t>ED211396</t>
        </is>
      </c>
      <c r="B11187" s="56" t="n">
        <v>45974.58402777778</v>
      </c>
      <c r="C11187" t="inlineStr">
        <is>
          <t>Bluestone Memorial Hospital</t>
        </is>
      </c>
      <c r="D11187" t="n">
        <v>38</v>
      </c>
    </row>
    <row r="11188">
      <c r="A11188" t="inlineStr">
        <is>
          <t>ED211397</t>
        </is>
      </c>
      <c r="B11188" s="56" t="n">
        <v>45974.60833333333</v>
      </c>
      <c r="C11188" t="inlineStr">
        <is>
          <t>Bluestone Memorial Hospital</t>
        </is>
      </c>
      <c r="D11188" t="n">
        <v>69</v>
      </c>
    </row>
    <row r="11189">
      <c r="A11189" t="inlineStr">
        <is>
          <t>ED211398</t>
        </is>
      </c>
      <c r="B11189" s="56" t="n">
        <v>45974.62916666667</v>
      </c>
      <c r="C11189" t="inlineStr">
        <is>
          <t>Bluestone Memorial Hospital</t>
        </is>
      </c>
      <c r="D11189" t="n">
        <v>25</v>
      </c>
    </row>
    <row r="11190">
      <c r="A11190" t="inlineStr">
        <is>
          <t>ED211399</t>
        </is>
      </c>
      <c r="B11190" s="56" t="n">
        <v>45974.64027777778</v>
      </c>
      <c r="C11190" t="inlineStr">
        <is>
          <t>Bluestone Memorial Hospital</t>
        </is>
      </c>
      <c r="D11190" t="n">
        <v>13</v>
      </c>
    </row>
    <row r="11191">
      <c r="A11191" t="inlineStr">
        <is>
          <t>ED211400</t>
        </is>
      </c>
      <c r="B11191" s="56" t="n">
        <v>45974.67222222222</v>
      </c>
      <c r="C11191" t="inlineStr">
        <is>
          <t>Bluestone Memorial Hospital</t>
        </is>
      </c>
      <c r="D11191" t="n">
        <v>103</v>
      </c>
    </row>
    <row r="11192">
      <c r="A11192" t="inlineStr">
        <is>
          <t>ED211401</t>
        </is>
      </c>
      <c r="B11192" s="56" t="n">
        <v>45974.75972222222</v>
      </c>
      <c r="C11192" t="inlineStr">
        <is>
          <t>Bluestone Memorial Hospital</t>
        </is>
      </c>
      <c r="D11192" t="n">
        <v>126</v>
      </c>
    </row>
    <row r="11193">
      <c r="A11193" t="inlineStr">
        <is>
          <t>ED211402</t>
        </is>
      </c>
      <c r="B11193" s="56" t="n">
        <v>45974.80069444444</v>
      </c>
      <c r="C11193" t="inlineStr">
        <is>
          <t>Bluestone Memorial Hospital</t>
        </is>
      </c>
      <c r="D11193" t="n">
        <v>18</v>
      </c>
    </row>
    <row r="11194">
      <c r="A11194" t="inlineStr">
        <is>
          <t>ED211403</t>
        </is>
      </c>
      <c r="B11194" s="56" t="n">
        <v>45974.81458333333</v>
      </c>
      <c r="C11194" t="inlineStr">
        <is>
          <t>Cedar Ridge Medical Center</t>
        </is>
      </c>
      <c r="D11194" t="n">
        <v>10</v>
      </c>
    </row>
    <row r="11195">
      <c r="A11195" t="inlineStr">
        <is>
          <t>ED211404</t>
        </is>
      </c>
      <c r="B11195" s="56" t="n">
        <v>45974.86111111111</v>
      </c>
      <c r="C11195" t="inlineStr">
        <is>
          <t>Bluestone Memorial Hospital</t>
        </is>
      </c>
      <c r="D11195" t="n">
        <v>14</v>
      </c>
    </row>
    <row r="11196">
      <c r="A11196" t="inlineStr">
        <is>
          <t>ED211405</t>
        </is>
      </c>
      <c r="B11196" s="56" t="n">
        <v>45975.46666666667</v>
      </c>
      <c r="C11196" t="inlineStr">
        <is>
          <t>Bluestone Memorial Hospital</t>
        </is>
      </c>
      <c r="D11196" t="n">
        <v>35</v>
      </c>
    </row>
    <row r="11197">
      <c r="A11197" t="inlineStr">
        <is>
          <t>ED211406</t>
        </is>
      </c>
      <c r="B11197" s="56" t="n">
        <v>45975.58680555555</v>
      </c>
      <c r="C11197" t="inlineStr">
        <is>
          <t>Ashby Falls Community Hospital</t>
        </is>
      </c>
      <c r="D11197" t="n">
        <v>147</v>
      </c>
    </row>
    <row r="11198">
      <c r="A11198" t="inlineStr">
        <is>
          <t>ED211407</t>
        </is>
      </c>
      <c r="B11198" s="56" t="n">
        <v>45975.77847222222</v>
      </c>
      <c r="C11198" t="inlineStr">
        <is>
          <t>Ashby Falls Community Hospital</t>
        </is>
      </c>
      <c r="D11198" t="n">
        <v>21</v>
      </c>
    </row>
    <row r="11199">
      <c r="A11199" t="inlineStr">
        <is>
          <t>ED211408</t>
        </is>
      </c>
      <c r="B11199" s="56" t="n">
        <v>45975.78333333333</v>
      </c>
      <c r="C11199" t="inlineStr">
        <is>
          <t>Bluestone Memorial Hospital</t>
        </is>
      </c>
      <c r="D11199" t="n">
        <v>20</v>
      </c>
    </row>
    <row r="11200">
      <c r="A11200" t="inlineStr">
        <is>
          <t>ED211409</t>
        </is>
      </c>
      <c r="B11200" s="56" t="n">
        <v>45975.82777777778</v>
      </c>
      <c r="C11200" t="inlineStr">
        <is>
          <t>Bluestone Memorial Hospital</t>
        </is>
      </c>
      <c r="D11200" t="n">
        <v>26</v>
      </c>
    </row>
    <row r="11201">
      <c r="A11201" t="inlineStr">
        <is>
          <t>ED211410</t>
        </is>
      </c>
      <c r="B11201" s="56" t="n">
        <v>45975.90694444445</v>
      </c>
      <c r="C11201" t="inlineStr">
        <is>
          <t>Bluestone Memorial Hospital</t>
        </is>
      </c>
      <c r="D11201" t="n">
        <v>20</v>
      </c>
    </row>
    <row r="11202">
      <c r="A11202" t="inlineStr">
        <is>
          <t>ED211411</t>
        </is>
      </c>
      <c r="B11202" s="56" t="n">
        <v>45975.92916666667</v>
      </c>
      <c r="C11202" t="inlineStr">
        <is>
          <t>Bluestone Memorial Hospital</t>
        </is>
      </c>
      <c r="D11202" t="n">
        <v>15</v>
      </c>
    </row>
    <row r="11203">
      <c r="A11203" t="inlineStr">
        <is>
          <t>ED211412</t>
        </is>
      </c>
      <c r="B11203" s="56" t="n">
        <v>45976.12708333333</v>
      </c>
      <c r="C11203" t="inlineStr">
        <is>
          <t>Ashby Falls Community Hospital</t>
        </is>
      </c>
      <c r="D11203" t="n">
        <v>64</v>
      </c>
    </row>
    <row r="11204">
      <c r="A11204" t="inlineStr">
        <is>
          <t>ED211413</t>
        </is>
      </c>
      <c r="B11204" s="56" t="n">
        <v>45976.18888888889</v>
      </c>
      <c r="C11204" t="inlineStr">
        <is>
          <t>Bluestone Memorial Hospital</t>
        </is>
      </c>
      <c r="D11204" t="n">
        <v>22</v>
      </c>
    </row>
    <row r="11205">
      <c r="A11205" t="inlineStr">
        <is>
          <t>ED211414</t>
        </is>
      </c>
      <c r="B11205" s="56" t="n">
        <v>45976.31527777778</v>
      </c>
      <c r="C11205" t="inlineStr">
        <is>
          <t>Cedar Ridge Medical Center</t>
        </is>
      </c>
      <c r="D11205" t="n">
        <v>57</v>
      </c>
    </row>
    <row r="11206">
      <c r="A11206" t="inlineStr">
        <is>
          <t>ED211415</t>
        </is>
      </c>
      <c r="B11206" s="56" t="n">
        <v>45976.37083333333</v>
      </c>
      <c r="C11206" t="inlineStr">
        <is>
          <t>Bluestone Memorial Hospital</t>
        </is>
      </c>
      <c r="D11206" t="n">
        <v>12</v>
      </c>
    </row>
    <row r="11207">
      <c r="A11207" t="inlineStr">
        <is>
          <t>ED211416</t>
        </is>
      </c>
      <c r="B11207" s="56" t="n">
        <v>45976.43958333333</v>
      </c>
      <c r="C11207" t="inlineStr">
        <is>
          <t>Bluestone Memorial Hospital</t>
        </is>
      </c>
      <c r="D11207" t="n">
        <v>39</v>
      </c>
    </row>
    <row r="11208">
      <c r="A11208" t="inlineStr">
        <is>
          <t>ED211417</t>
        </is>
      </c>
      <c r="B11208" s="56" t="n">
        <v>45976.44305555556</v>
      </c>
      <c r="C11208" t="inlineStr">
        <is>
          <t>Bluestone Memorial Hospital</t>
        </is>
      </c>
      <c r="D11208" t="n">
        <v>63</v>
      </c>
    </row>
    <row r="11209">
      <c r="A11209" t="inlineStr">
        <is>
          <t>ED211418</t>
        </is>
      </c>
      <c r="B11209" s="56" t="n">
        <v>45976.51944444444</v>
      </c>
      <c r="C11209" t="inlineStr">
        <is>
          <t>Bluestone Memorial Hospital</t>
        </is>
      </c>
      <c r="D11209" t="n">
        <v>22</v>
      </c>
    </row>
    <row r="11210">
      <c r="A11210" t="inlineStr">
        <is>
          <t>ED211419</t>
        </is>
      </c>
      <c r="B11210" s="56" t="n">
        <v>45976.52152777778</v>
      </c>
      <c r="C11210" t="inlineStr">
        <is>
          <t>Bluestone Memorial Hospital</t>
        </is>
      </c>
      <c r="D11210" t="n">
        <v>137</v>
      </c>
    </row>
    <row r="11211">
      <c r="A11211" t="inlineStr">
        <is>
          <t>ED211420</t>
        </is>
      </c>
      <c r="B11211" s="56" t="n">
        <v>45976.67083333333</v>
      </c>
      <c r="C11211" t="inlineStr">
        <is>
          <t>Bluestone Memorial Hospital</t>
        </is>
      </c>
      <c r="D11211" t="n">
        <v>29</v>
      </c>
    </row>
    <row r="11212">
      <c r="A11212" t="inlineStr">
        <is>
          <t>ED211421</t>
        </is>
      </c>
      <c r="B11212" s="56" t="n">
        <v>45976.67361111111</v>
      </c>
      <c r="C11212" t="inlineStr">
        <is>
          <t>Ashby Falls Community Hospital</t>
        </is>
      </c>
      <c r="D11212" t="n">
        <v>56</v>
      </c>
    </row>
    <row r="11213">
      <c r="A11213" t="inlineStr">
        <is>
          <t>ED211422</t>
        </is>
      </c>
      <c r="B11213" s="56" t="n">
        <v>45976.73055555556</v>
      </c>
      <c r="C11213" t="inlineStr">
        <is>
          <t>Bluestone Memorial Hospital</t>
        </is>
      </c>
      <c r="D11213" t="n">
        <v>19</v>
      </c>
    </row>
    <row r="11214">
      <c r="A11214" t="inlineStr">
        <is>
          <t>ED211423</t>
        </is>
      </c>
      <c r="B11214" s="56" t="n">
        <v>45976.76319444444</v>
      </c>
      <c r="C11214" t="inlineStr">
        <is>
          <t>Bluestone Memorial Hospital</t>
        </is>
      </c>
      <c r="D11214" t="n">
        <v>23</v>
      </c>
    </row>
    <row r="11215">
      <c r="A11215" t="inlineStr">
        <is>
          <t>ED211424</t>
        </is>
      </c>
      <c r="B11215" s="56" t="n">
        <v>45976.92222222222</v>
      </c>
      <c r="C11215" t="inlineStr">
        <is>
          <t>Bluestone Memorial Hospital</t>
        </is>
      </c>
      <c r="D11215" t="n">
        <v>39</v>
      </c>
    </row>
    <row r="11216">
      <c r="A11216" t="inlineStr">
        <is>
          <t>ED211425</t>
        </is>
      </c>
      <c r="B11216" s="56" t="n">
        <v>45976.92847222222</v>
      </c>
      <c r="C11216" t="inlineStr">
        <is>
          <t>Bluestone Memorial Hospital</t>
        </is>
      </c>
      <c r="D11216" t="n">
        <v>33</v>
      </c>
    </row>
    <row r="11217">
      <c r="A11217" t="inlineStr">
        <is>
          <t>ED211426</t>
        </is>
      </c>
      <c r="B11217" s="56" t="n">
        <v>45976.9375</v>
      </c>
      <c r="C11217" t="inlineStr">
        <is>
          <t>Bluestone Memorial Hospital</t>
        </is>
      </c>
      <c r="D11217" t="n">
        <v>54</v>
      </c>
    </row>
    <row r="11218">
      <c r="A11218" t="inlineStr">
        <is>
          <t>ED211427</t>
        </is>
      </c>
      <c r="B11218" s="56" t="n">
        <v>45976.96805555555</v>
      </c>
      <c r="C11218" t="inlineStr">
        <is>
          <t>Bluestone Memorial Hospital</t>
        </is>
      </c>
      <c r="D11218" t="n">
        <v>28</v>
      </c>
    </row>
    <row r="11219">
      <c r="A11219" t="inlineStr">
        <is>
          <t>ED211428</t>
        </is>
      </c>
      <c r="B11219" s="56" t="n">
        <v>45977.00694444445</v>
      </c>
      <c r="C11219" t="inlineStr">
        <is>
          <t>Cedar Ridge Medical Center</t>
        </is>
      </c>
      <c r="D11219" t="n">
        <v>42</v>
      </c>
    </row>
    <row r="11220">
      <c r="A11220" t="inlineStr">
        <is>
          <t>ED211429</t>
        </is>
      </c>
      <c r="B11220" s="56" t="n">
        <v>45977.26041666666</v>
      </c>
      <c r="C11220" t="inlineStr">
        <is>
          <t>Cedar Ridge Medical Center</t>
        </is>
      </c>
      <c r="D11220" t="n">
        <v>15</v>
      </c>
    </row>
    <row r="11221">
      <c r="A11221" t="inlineStr">
        <is>
          <t>ED211430</t>
        </is>
      </c>
      <c r="B11221" s="56" t="n">
        <v>45977.27083333334</v>
      </c>
      <c r="C11221" t="inlineStr">
        <is>
          <t>Bluestone Memorial Hospital</t>
        </is>
      </c>
      <c r="D11221" t="n">
        <v>7</v>
      </c>
    </row>
    <row r="11222">
      <c r="A11222" t="inlineStr">
        <is>
          <t>ED211431</t>
        </is>
      </c>
      <c r="B11222" s="56" t="n">
        <v>45977.30833333333</v>
      </c>
      <c r="C11222" t="inlineStr">
        <is>
          <t>Bluestone Memorial Hospital</t>
        </is>
      </c>
      <c r="D11222" t="n">
        <v>99</v>
      </c>
    </row>
    <row r="11223">
      <c r="A11223" t="inlineStr">
        <is>
          <t>ED211432</t>
        </is>
      </c>
      <c r="B11223" s="56" t="n">
        <v>45977.33125</v>
      </c>
      <c r="C11223" t="inlineStr">
        <is>
          <t>Bluestone Memorial Hospital</t>
        </is>
      </c>
      <c r="D11223" t="n">
        <v>27</v>
      </c>
    </row>
    <row r="11224">
      <c r="A11224" t="inlineStr">
        <is>
          <t>ED211433</t>
        </is>
      </c>
      <c r="B11224" s="56" t="n">
        <v>45977.39027777778</v>
      </c>
      <c r="C11224" t="inlineStr">
        <is>
          <t>Bluestone Memorial Hospital</t>
        </is>
      </c>
      <c r="D11224" t="n">
        <v>27</v>
      </c>
    </row>
    <row r="11225">
      <c r="A11225" t="inlineStr">
        <is>
          <t>ED211434</t>
        </is>
      </c>
      <c r="B11225" s="56" t="n">
        <v>45977.4375</v>
      </c>
      <c r="C11225" t="inlineStr">
        <is>
          <t>Ashby Falls Community Hospital</t>
        </is>
      </c>
      <c r="D11225" t="n">
        <v>123</v>
      </c>
    </row>
    <row r="11226">
      <c r="A11226" t="inlineStr">
        <is>
          <t>ED211435</t>
        </is>
      </c>
      <c r="B11226" s="56" t="n">
        <v>45977.5125</v>
      </c>
      <c r="C11226" t="inlineStr">
        <is>
          <t>Bluestone Memorial Hospital</t>
        </is>
      </c>
      <c r="D11226" t="n">
        <v>10</v>
      </c>
    </row>
    <row r="11227">
      <c r="A11227" t="inlineStr">
        <is>
          <t>ED211436</t>
        </is>
      </c>
      <c r="B11227" s="56" t="n">
        <v>45977.51527777778</v>
      </c>
      <c r="C11227" t="inlineStr">
        <is>
          <t>Bluestone Memorial Hospital</t>
        </is>
      </c>
      <c r="D11227" t="n">
        <v>80</v>
      </c>
    </row>
    <row r="11228">
      <c r="A11228" t="inlineStr">
        <is>
          <t>ED211437</t>
        </is>
      </c>
      <c r="B11228" s="56" t="n">
        <v>45977.57847222222</v>
      </c>
      <c r="C11228" t="inlineStr">
        <is>
          <t>Bluestone Memorial Hospital</t>
        </is>
      </c>
      <c r="D11228" t="n">
        <v>73</v>
      </c>
    </row>
    <row r="11229">
      <c r="A11229" t="inlineStr">
        <is>
          <t>ED211438</t>
        </is>
      </c>
      <c r="B11229" s="56" t="n">
        <v>45977.60625</v>
      </c>
      <c r="C11229" t="inlineStr">
        <is>
          <t>Bluestone Memorial Hospital</t>
        </is>
      </c>
      <c r="D11229" t="n">
        <v>30</v>
      </c>
    </row>
    <row r="11230">
      <c r="A11230" t="inlineStr">
        <is>
          <t>ED211439</t>
        </is>
      </c>
      <c r="B11230" s="56" t="n">
        <v>45977.6125</v>
      </c>
      <c r="C11230" t="inlineStr">
        <is>
          <t>Bluestone Memorial Hospital</t>
        </is>
      </c>
      <c r="D11230" t="n">
        <v>108</v>
      </c>
    </row>
    <row r="11231">
      <c r="A11231" t="inlineStr">
        <is>
          <t>ED211440</t>
        </is>
      </c>
      <c r="B11231" s="56" t="n">
        <v>45977.67569444444</v>
      </c>
      <c r="C11231" t="inlineStr">
        <is>
          <t>Bluestone Memorial Hospital</t>
        </is>
      </c>
      <c r="D11231" t="n">
        <v>79</v>
      </c>
    </row>
    <row r="11232">
      <c r="A11232" t="inlineStr">
        <is>
          <t>ED211441</t>
        </is>
      </c>
      <c r="B11232" s="56" t="n">
        <v>45977.67708333334</v>
      </c>
      <c r="C11232" t="inlineStr">
        <is>
          <t>Bluestone Memorial Hospital</t>
        </is>
      </c>
      <c r="D11232" t="n">
        <v>36</v>
      </c>
    </row>
    <row r="11233">
      <c r="A11233" t="inlineStr">
        <is>
          <t>ED211442</t>
        </is>
      </c>
      <c r="B11233" s="56" t="n">
        <v>45977.71111111111</v>
      </c>
      <c r="C11233" t="inlineStr">
        <is>
          <t>Bluestone Memorial Hospital</t>
        </is>
      </c>
      <c r="D11233" t="n">
        <v>117</v>
      </c>
    </row>
    <row r="11234">
      <c r="A11234" t="inlineStr">
        <is>
          <t>ED211443</t>
        </is>
      </c>
      <c r="B11234" s="56" t="n">
        <v>45977.77777777778</v>
      </c>
      <c r="C11234" t="inlineStr">
        <is>
          <t>Ashby Falls Community Hospital</t>
        </is>
      </c>
      <c r="D11234" t="n">
        <v>35</v>
      </c>
    </row>
    <row r="11235">
      <c r="A11235" t="inlineStr">
        <is>
          <t>ED211444</t>
        </is>
      </c>
      <c r="B11235" s="56" t="n">
        <v>45977.78333333333</v>
      </c>
      <c r="C11235" t="inlineStr">
        <is>
          <t>Ashby Falls Community Hospital</t>
        </is>
      </c>
      <c r="D11235" t="n">
        <v>24</v>
      </c>
    </row>
    <row r="11236">
      <c r="A11236" t="inlineStr">
        <is>
          <t>ED211445</t>
        </is>
      </c>
      <c r="B11236" s="56" t="n">
        <v>45977.91319444445</v>
      </c>
      <c r="C11236" t="inlineStr">
        <is>
          <t>Cedar Ridge Medical Center</t>
        </is>
      </c>
      <c r="D11236" t="n">
        <v>12</v>
      </c>
    </row>
    <row r="11237">
      <c r="A11237" t="inlineStr">
        <is>
          <t>ED211446</t>
        </is>
      </c>
      <c r="B11237" s="56" t="n">
        <v>45977.92152777778</v>
      </c>
      <c r="C11237" t="inlineStr">
        <is>
          <t>Bluestone Memorial Hospital</t>
        </is>
      </c>
      <c r="D11237" t="n">
        <v>19</v>
      </c>
    </row>
    <row r="11238">
      <c r="A11238" t="inlineStr">
        <is>
          <t>ED211447</t>
        </is>
      </c>
      <c r="B11238" s="56" t="n">
        <v>45977.93055555555</v>
      </c>
      <c r="C11238" t="inlineStr">
        <is>
          <t>Cedar Ridge Medical Center</t>
        </is>
      </c>
      <c r="D11238" t="n">
        <v>76</v>
      </c>
    </row>
    <row r="11239">
      <c r="A11239" t="inlineStr">
        <is>
          <t>ED211448</t>
        </is>
      </c>
      <c r="B11239" s="56" t="n">
        <v>45978.01666666667</v>
      </c>
      <c r="C11239" t="inlineStr">
        <is>
          <t>Bluestone Memorial Hospital</t>
        </is>
      </c>
      <c r="D11239" t="n">
        <v>28</v>
      </c>
    </row>
    <row r="11240">
      <c r="A11240" t="inlineStr">
        <is>
          <t>ED211449</t>
        </is>
      </c>
      <c r="B11240" s="56" t="n">
        <v>45978.09722222222</v>
      </c>
      <c r="C11240" t="inlineStr">
        <is>
          <t>Bluestone Memorial Hospital</t>
        </is>
      </c>
      <c r="D11240" t="n">
        <v>22</v>
      </c>
    </row>
    <row r="11241">
      <c r="A11241" t="inlineStr">
        <is>
          <t>ED211450</t>
        </is>
      </c>
      <c r="B11241" s="56" t="n">
        <v>45978.12638888889</v>
      </c>
      <c r="C11241" t="inlineStr">
        <is>
          <t>Cedar Ridge Medical Center</t>
        </is>
      </c>
      <c r="D11241" t="n">
        <v>17</v>
      </c>
    </row>
    <row r="11242">
      <c r="A11242" t="inlineStr">
        <is>
          <t>ED211451</t>
        </is>
      </c>
      <c r="B11242" s="56" t="n">
        <v>45978.19583333333</v>
      </c>
      <c r="C11242" t="inlineStr">
        <is>
          <t>Bluestone Memorial Hospital</t>
        </is>
      </c>
      <c r="D11242" t="n">
        <v>16</v>
      </c>
    </row>
    <row r="11243">
      <c r="A11243" t="inlineStr">
        <is>
          <t>ED211452</t>
        </is>
      </c>
      <c r="B11243" s="56" t="n">
        <v>45978.24930555555</v>
      </c>
      <c r="C11243" t="inlineStr">
        <is>
          <t>Bluestone Memorial Hospital</t>
        </is>
      </c>
      <c r="D11243" t="n">
        <v>74</v>
      </c>
    </row>
    <row r="11244">
      <c r="A11244" t="inlineStr">
        <is>
          <t>ED211453</t>
        </is>
      </c>
      <c r="B11244" s="56" t="n">
        <v>45978.28333333333</v>
      </c>
      <c r="C11244" t="inlineStr">
        <is>
          <t>Bluestone Memorial Hospital</t>
        </is>
      </c>
      <c r="D11244" t="n">
        <v>22</v>
      </c>
    </row>
    <row r="11245">
      <c r="A11245" t="inlineStr">
        <is>
          <t>ED211454</t>
        </is>
      </c>
      <c r="B11245" s="56" t="n">
        <v>45978.29791666667</v>
      </c>
      <c r="C11245" t="inlineStr">
        <is>
          <t>Cedar Ridge Medical Center</t>
        </is>
      </c>
      <c r="D11245" t="n">
        <v>39</v>
      </c>
    </row>
    <row r="11246">
      <c r="A11246" t="inlineStr">
        <is>
          <t>ED211455</t>
        </is>
      </c>
      <c r="B11246" s="56" t="n">
        <v>45978.36111111111</v>
      </c>
      <c r="C11246" t="inlineStr">
        <is>
          <t>Bluestone Memorial Hospital</t>
        </is>
      </c>
      <c r="D11246" t="n">
        <v>127</v>
      </c>
    </row>
    <row r="11247">
      <c r="A11247" t="inlineStr">
        <is>
          <t>ED211456</t>
        </is>
      </c>
      <c r="B11247" s="56" t="n">
        <v>45978.39583333334</v>
      </c>
      <c r="C11247" t="inlineStr">
        <is>
          <t>Bluestone Memorial Hospital</t>
        </is>
      </c>
      <c r="D11247" t="n">
        <v>34</v>
      </c>
    </row>
    <row r="11248">
      <c r="A11248" t="inlineStr">
        <is>
          <t>ED211457</t>
        </is>
      </c>
      <c r="B11248" s="56" t="n">
        <v>45978.40694444445</v>
      </c>
      <c r="C11248" t="inlineStr">
        <is>
          <t>Bluestone Memorial Hospital</t>
        </is>
      </c>
      <c r="D11248" t="n">
        <v>17</v>
      </c>
    </row>
    <row r="11249">
      <c r="A11249" t="inlineStr">
        <is>
          <t>ED211458</t>
        </is>
      </c>
      <c r="B11249" s="56" t="n">
        <v>45978.44444444445</v>
      </c>
      <c r="C11249" t="inlineStr">
        <is>
          <t>Bluestone Memorial Hospital</t>
        </is>
      </c>
      <c r="D11249" t="n">
        <v>39</v>
      </c>
    </row>
    <row r="11250">
      <c r="A11250" t="inlineStr">
        <is>
          <t>ED211459</t>
        </is>
      </c>
      <c r="B11250" s="56" t="n">
        <v>45978.45625</v>
      </c>
      <c r="C11250" t="inlineStr">
        <is>
          <t>Bluestone Memorial Hospital</t>
        </is>
      </c>
      <c r="D11250" t="n">
        <v>72</v>
      </c>
    </row>
    <row r="11251">
      <c r="A11251" t="inlineStr">
        <is>
          <t>ED211460</t>
        </is>
      </c>
      <c r="B11251" s="56" t="n">
        <v>45978.45694444444</v>
      </c>
      <c r="C11251" t="inlineStr">
        <is>
          <t>Ashby Falls Community Hospital</t>
        </is>
      </c>
      <c r="D11251" t="n">
        <v>72</v>
      </c>
    </row>
    <row r="11252">
      <c r="A11252" t="inlineStr">
        <is>
          <t>ED211461</t>
        </is>
      </c>
      <c r="B11252" s="56" t="n">
        <v>45978.54583333333</v>
      </c>
      <c r="C11252" t="inlineStr">
        <is>
          <t>Cedar Ridge Medical Center</t>
        </is>
      </c>
      <c r="D11252" t="n">
        <v>19</v>
      </c>
    </row>
    <row r="11253">
      <c r="A11253" t="inlineStr">
        <is>
          <t>ED211462</t>
        </is>
      </c>
      <c r="B11253" s="56" t="n">
        <v>45978.58125</v>
      </c>
      <c r="C11253" t="inlineStr">
        <is>
          <t>Bluestone Memorial Hospital</t>
        </is>
      </c>
      <c r="D11253" t="n">
        <v>139</v>
      </c>
    </row>
    <row r="11254">
      <c r="A11254" t="inlineStr">
        <is>
          <t>ED211463</t>
        </is>
      </c>
      <c r="B11254" s="56" t="n">
        <v>45978.58194444444</v>
      </c>
      <c r="C11254" t="inlineStr">
        <is>
          <t>Ashby Falls Community Hospital</t>
        </is>
      </c>
      <c r="D11254" t="n">
        <v>54</v>
      </c>
    </row>
    <row r="11255">
      <c r="A11255" t="inlineStr">
        <is>
          <t>ED211464</t>
        </is>
      </c>
      <c r="B11255" s="56" t="n">
        <v>45978.65069444444</v>
      </c>
      <c r="C11255" t="inlineStr">
        <is>
          <t>Cedar Ridge Medical Center</t>
        </is>
      </c>
      <c r="D11255" t="n">
        <v>103</v>
      </c>
    </row>
    <row r="11256">
      <c r="A11256" t="inlineStr">
        <is>
          <t>ED211465</t>
        </is>
      </c>
      <c r="B11256" s="56" t="n">
        <v>45978.76944444444</v>
      </c>
      <c r="C11256" t="inlineStr">
        <is>
          <t>Bluestone Memorial Hospital</t>
        </is>
      </c>
      <c r="D11256" t="n">
        <v>59</v>
      </c>
    </row>
    <row r="11257">
      <c r="A11257" t="inlineStr">
        <is>
          <t>ED211466</t>
        </is>
      </c>
      <c r="B11257" s="56" t="n">
        <v>45978.86319444444</v>
      </c>
      <c r="C11257" t="inlineStr">
        <is>
          <t>Bluestone Memorial Hospital</t>
        </is>
      </c>
      <c r="D11257" t="n">
        <v>28</v>
      </c>
    </row>
    <row r="11258">
      <c r="A11258" t="inlineStr">
        <is>
          <t>ED211468</t>
        </is>
      </c>
      <c r="B11258" s="56" t="n">
        <v>45978.93541666667</v>
      </c>
      <c r="C11258" t="inlineStr">
        <is>
          <t>Bluestone Memorial Hospital</t>
        </is>
      </c>
      <c r="D11258" t="n">
        <v>44</v>
      </c>
    </row>
    <row r="11259">
      <c r="A11259" t="inlineStr">
        <is>
          <t>ED211469</t>
        </is>
      </c>
      <c r="B11259" s="56" t="n">
        <v>45978.94583333333</v>
      </c>
      <c r="C11259" t="inlineStr">
        <is>
          <t>Bluestone Memorial Hospital</t>
        </is>
      </c>
      <c r="D11259" t="n">
        <v>13</v>
      </c>
    </row>
    <row r="11260">
      <c r="A11260" t="inlineStr">
        <is>
          <t>ED211470</t>
        </is>
      </c>
      <c r="B11260" s="56" t="n">
        <v>45978.95694444444</v>
      </c>
      <c r="C11260" t="inlineStr">
        <is>
          <t>Cedar Ridge Medical Center</t>
        </is>
      </c>
      <c r="D11260" t="n">
        <v>31</v>
      </c>
    </row>
    <row r="11261">
      <c r="A11261" t="inlineStr">
        <is>
          <t>ED211471</t>
        </is>
      </c>
      <c r="B11261" s="56" t="n">
        <v>45979.03333333333</v>
      </c>
      <c r="C11261" t="inlineStr">
        <is>
          <t>Bluestone Memorial Hospital</t>
        </is>
      </c>
      <c r="D11261" t="n">
        <v>27</v>
      </c>
    </row>
    <row r="11262">
      <c r="A11262" t="inlineStr">
        <is>
          <t>ED211472</t>
        </is>
      </c>
      <c r="B11262" s="56" t="n">
        <v>45979.32222222222</v>
      </c>
      <c r="C11262" t="inlineStr">
        <is>
          <t>Bluestone Memorial Hospital</t>
        </is>
      </c>
      <c r="D11262" t="n">
        <v>39</v>
      </c>
    </row>
    <row r="11263">
      <c r="A11263" t="inlineStr">
        <is>
          <t>ED211473</t>
        </is>
      </c>
      <c r="B11263" s="56" t="n">
        <v>45979.3875</v>
      </c>
      <c r="C11263" t="inlineStr">
        <is>
          <t>Ashby Falls Community Hospital</t>
        </is>
      </c>
      <c r="D11263" t="n">
        <v>89</v>
      </c>
    </row>
    <row r="11264">
      <c r="A11264" t="inlineStr">
        <is>
          <t>ED211474</t>
        </is>
      </c>
      <c r="B11264" s="56" t="n">
        <v>45979.43125</v>
      </c>
      <c r="C11264" t="inlineStr">
        <is>
          <t>Bluestone Memorial Hospital</t>
        </is>
      </c>
      <c r="D11264" t="n">
        <v>58</v>
      </c>
    </row>
    <row r="11265">
      <c r="A11265" t="inlineStr">
        <is>
          <t>ED211475</t>
        </is>
      </c>
      <c r="B11265" s="56" t="n">
        <v>45979.45486111111</v>
      </c>
      <c r="C11265" t="inlineStr">
        <is>
          <t>Bluestone Memorial Hospital</t>
        </is>
      </c>
      <c r="D11265" t="n">
        <v>39</v>
      </c>
    </row>
    <row r="11266">
      <c r="A11266" t="inlineStr">
        <is>
          <t>ED211476</t>
        </is>
      </c>
      <c r="B11266" s="56" t="n">
        <v>45979.45902777778</v>
      </c>
      <c r="C11266" t="inlineStr">
        <is>
          <t>Bluestone Memorial Hospital</t>
        </is>
      </c>
      <c r="D11266" t="n">
        <v>5</v>
      </c>
    </row>
    <row r="11267">
      <c r="A11267" t="inlineStr">
        <is>
          <t>ED211477</t>
        </is>
      </c>
      <c r="B11267" s="56" t="n">
        <v>45979.51875</v>
      </c>
      <c r="C11267" t="inlineStr">
        <is>
          <t>Bluestone Memorial Hospital</t>
        </is>
      </c>
      <c r="D11267" t="n">
        <v>37</v>
      </c>
    </row>
    <row r="11268">
      <c r="A11268" t="inlineStr">
        <is>
          <t>ED211478</t>
        </is>
      </c>
      <c r="B11268" s="56" t="n">
        <v>45979.55138888889</v>
      </c>
      <c r="C11268" t="inlineStr">
        <is>
          <t>Bluestone Memorial Hospital</t>
        </is>
      </c>
      <c r="D11268" t="n">
        <v>12</v>
      </c>
    </row>
    <row r="11269">
      <c r="A11269" t="inlineStr">
        <is>
          <t>ED211479</t>
        </is>
      </c>
      <c r="B11269" s="56" t="n">
        <v>45979.62638888889</v>
      </c>
      <c r="C11269" t="inlineStr">
        <is>
          <t>Bluestone Memorial Hospital</t>
        </is>
      </c>
      <c r="D11269" t="n">
        <v>94</v>
      </c>
    </row>
    <row r="11270">
      <c r="A11270" t="inlineStr">
        <is>
          <t>ED211480</t>
        </is>
      </c>
      <c r="B11270" s="56" t="n">
        <v>45979.63611111111</v>
      </c>
      <c r="C11270" t="inlineStr">
        <is>
          <t>Cedar Ridge Medical Center</t>
        </is>
      </c>
      <c r="D11270" t="n">
        <v>25</v>
      </c>
    </row>
    <row r="11271">
      <c r="A11271" t="inlineStr">
        <is>
          <t>ED211481</t>
        </is>
      </c>
      <c r="B11271" s="56" t="n">
        <v>45979.65555555555</v>
      </c>
      <c r="C11271" t="inlineStr">
        <is>
          <t>Bluestone Memorial Hospital</t>
        </is>
      </c>
      <c r="D11271" t="n">
        <v>17</v>
      </c>
    </row>
    <row r="11272">
      <c r="A11272" t="inlineStr">
        <is>
          <t>ED211482</t>
        </is>
      </c>
      <c r="B11272" s="56" t="n">
        <v>45979.65763888889</v>
      </c>
      <c r="C11272" t="inlineStr">
        <is>
          <t>Bluestone Memorial Hospital</t>
        </is>
      </c>
      <c r="D11272" t="n">
        <v>16</v>
      </c>
    </row>
    <row r="11273">
      <c r="A11273" t="inlineStr">
        <is>
          <t>ED211483</t>
        </is>
      </c>
      <c r="B11273" s="56" t="n">
        <v>45979.66736111111</v>
      </c>
      <c r="C11273" t="inlineStr">
        <is>
          <t>Bluestone Memorial Hospital</t>
        </is>
      </c>
      <c r="D11273" t="n">
        <v>15</v>
      </c>
    </row>
    <row r="11274">
      <c r="A11274" t="inlineStr">
        <is>
          <t>ED211484</t>
        </is>
      </c>
      <c r="B11274" s="56" t="n">
        <v>45979.69652777778</v>
      </c>
      <c r="C11274" t="inlineStr">
        <is>
          <t>Bluestone Memorial Hospital</t>
        </is>
      </c>
      <c r="D11274" t="n">
        <v>15</v>
      </c>
    </row>
    <row r="11275">
      <c r="A11275" t="inlineStr">
        <is>
          <t>ED211485</t>
        </is>
      </c>
      <c r="B11275" s="56" t="n">
        <v>45979.73958333334</v>
      </c>
      <c r="C11275" t="inlineStr">
        <is>
          <t>Bluestone Memorial Hospital</t>
        </is>
      </c>
      <c r="D11275" t="n">
        <v>27</v>
      </c>
    </row>
    <row r="11276">
      <c r="A11276" t="inlineStr">
        <is>
          <t>ED211486</t>
        </is>
      </c>
      <c r="B11276" s="56" t="n">
        <v>45979.73958333334</v>
      </c>
      <c r="C11276" t="inlineStr">
        <is>
          <t>Bluestone Memorial Hospital</t>
        </is>
      </c>
      <c r="D11276" t="n">
        <v>27</v>
      </c>
    </row>
    <row r="11277">
      <c r="A11277" t="inlineStr">
        <is>
          <t>ED211487</t>
        </is>
      </c>
      <c r="B11277" s="56" t="n">
        <v>45979.75694444445</v>
      </c>
      <c r="C11277" t="inlineStr">
        <is>
          <t>Bluestone Memorial Hospital</t>
        </is>
      </c>
      <c r="D11277" t="n">
        <v>155</v>
      </c>
    </row>
    <row r="11278">
      <c r="A11278" t="inlineStr">
        <is>
          <t>ED211488</t>
        </is>
      </c>
      <c r="B11278" s="56" t="n">
        <v>45979.81805555556</v>
      </c>
      <c r="C11278" t="inlineStr">
        <is>
          <t>Bluestone Memorial Hospital</t>
        </is>
      </c>
      <c r="D11278" t="n">
        <v>3</v>
      </c>
    </row>
    <row r="11279">
      <c r="A11279" t="inlineStr">
        <is>
          <t>ED211489</t>
        </is>
      </c>
      <c r="B11279" s="56" t="n">
        <v>45979.85069444445</v>
      </c>
      <c r="C11279" t="inlineStr">
        <is>
          <t>Bluestone Memorial Hospital</t>
        </is>
      </c>
      <c r="D11279" t="n">
        <v>88</v>
      </c>
    </row>
    <row r="11280">
      <c r="A11280" t="inlineStr">
        <is>
          <t>ED211490</t>
        </is>
      </c>
      <c r="B11280" s="56" t="n">
        <v>45979.96388888889</v>
      </c>
      <c r="C11280" t="inlineStr">
        <is>
          <t>Bluestone Memorial Hospital</t>
        </is>
      </c>
      <c r="D11280" t="n">
        <v>13</v>
      </c>
    </row>
    <row r="11281">
      <c r="A11281" t="inlineStr">
        <is>
          <t>ED211491</t>
        </is>
      </c>
      <c r="B11281" s="56" t="n">
        <v>45980.12430555555</v>
      </c>
      <c r="C11281" t="inlineStr">
        <is>
          <t>Bluestone Memorial Hospital</t>
        </is>
      </c>
      <c r="D11281" t="n">
        <v>44</v>
      </c>
    </row>
    <row r="11282">
      <c r="A11282" t="inlineStr">
        <is>
          <t>ED211492</t>
        </is>
      </c>
      <c r="B11282" s="56" t="n">
        <v>45980.23333333333</v>
      </c>
      <c r="C11282" t="inlineStr">
        <is>
          <t>Bluestone Memorial Hospital</t>
        </is>
      </c>
      <c r="D11282" t="n">
        <v>25</v>
      </c>
    </row>
    <row r="11283">
      <c r="A11283" t="inlineStr">
        <is>
          <t>ED211493</t>
        </is>
      </c>
      <c r="B11283" s="56" t="n">
        <v>45980.29930555556</v>
      </c>
      <c r="C11283" t="inlineStr">
        <is>
          <t>Bluestone Memorial Hospital</t>
        </is>
      </c>
      <c r="D11283" t="n">
        <v>26</v>
      </c>
    </row>
    <row r="11284">
      <c r="A11284" t="inlineStr">
        <is>
          <t>ED211494</t>
        </is>
      </c>
      <c r="B11284" s="56" t="n">
        <v>45980.30347222222</v>
      </c>
      <c r="C11284" t="inlineStr">
        <is>
          <t>Ashby Falls Community Hospital</t>
        </is>
      </c>
      <c r="D11284" t="n">
        <v>171</v>
      </c>
    </row>
    <row r="11285">
      <c r="A11285" t="inlineStr">
        <is>
          <t>ED211495</t>
        </is>
      </c>
      <c r="B11285" s="56" t="n">
        <v>45980.31319444445</v>
      </c>
      <c r="C11285" t="inlineStr">
        <is>
          <t>Ashby Falls Community Hospital</t>
        </is>
      </c>
      <c r="D11285" t="n">
        <v>21</v>
      </c>
    </row>
    <row r="11286">
      <c r="A11286" t="inlineStr">
        <is>
          <t>ED211496</t>
        </is>
      </c>
      <c r="B11286" s="56" t="n">
        <v>45980.34652777778</v>
      </c>
      <c r="C11286" t="inlineStr">
        <is>
          <t>Ashby Falls Community Hospital</t>
        </is>
      </c>
      <c r="D11286" t="n">
        <v>2</v>
      </c>
    </row>
    <row r="11287">
      <c r="A11287" t="inlineStr">
        <is>
          <t>ED211497</t>
        </is>
      </c>
      <c r="B11287" s="56" t="n">
        <v>45980.36736111111</v>
      </c>
      <c r="C11287" t="inlineStr">
        <is>
          <t>Bluestone Memorial Hospital</t>
        </is>
      </c>
      <c r="D11287" t="n">
        <v>15</v>
      </c>
    </row>
    <row r="11288">
      <c r="A11288" t="inlineStr">
        <is>
          <t>ED211498</t>
        </is>
      </c>
      <c r="B11288" s="56" t="n">
        <v>45980.43958333333</v>
      </c>
      <c r="C11288" t="inlineStr">
        <is>
          <t>Ashby Falls Community Hospital</t>
        </is>
      </c>
      <c r="D11288" t="n">
        <v>54</v>
      </c>
    </row>
    <row r="11289">
      <c r="A11289" t="inlineStr">
        <is>
          <t>ED211499</t>
        </is>
      </c>
      <c r="B11289" s="56" t="n">
        <v>45980.45763888889</v>
      </c>
      <c r="C11289" t="inlineStr">
        <is>
          <t>Cedar Ridge Medical Center</t>
        </is>
      </c>
      <c r="D11289" t="n">
        <v>88</v>
      </c>
    </row>
    <row r="11290">
      <c r="A11290" t="inlineStr">
        <is>
          <t>ED211500</t>
        </is>
      </c>
      <c r="B11290" s="56" t="n">
        <v>45980.5375</v>
      </c>
      <c r="C11290" t="inlineStr">
        <is>
          <t>Bluestone Memorial Hospital</t>
        </is>
      </c>
      <c r="D11290" t="n">
        <v>100</v>
      </c>
    </row>
    <row r="11291">
      <c r="A11291" t="inlineStr">
        <is>
          <t>ED211501</t>
        </is>
      </c>
      <c r="B11291" s="56" t="n">
        <v>45980.57708333333</v>
      </c>
      <c r="C11291" t="inlineStr">
        <is>
          <t>Bluestone Memorial Hospital</t>
        </is>
      </c>
      <c r="D11291" t="n">
        <v>36</v>
      </c>
    </row>
    <row r="11292">
      <c r="A11292" t="inlineStr">
        <is>
          <t>ED211502</t>
        </is>
      </c>
      <c r="B11292" s="56" t="n">
        <v>45980.57986111111</v>
      </c>
      <c r="C11292" t="inlineStr">
        <is>
          <t>Bluestone Memorial Hospital</t>
        </is>
      </c>
      <c r="D11292" t="n">
        <v>119</v>
      </c>
    </row>
    <row r="11293">
      <c r="A11293" t="inlineStr">
        <is>
          <t>ED211503</t>
        </is>
      </c>
      <c r="B11293" s="56" t="n">
        <v>45980.59375</v>
      </c>
      <c r="C11293" t="inlineStr">
        <is>
          <t>Bluestone Memorial Hospital</t>
        </is>
      </c>
      <c r="D11293" t="n">
        <v>51</v>
      </c>
    </row>
    <row r="11294">
      <c r="A11294" t="inlineStr">
        <is>
          <t>ED211504</t>
        </is>
      </c>
      <c r="B11294" s="56" t="n">
        <v>45980.62777777778</v>
      </c>
      <c r="C11294" t="inlineStr">
        <is>
          <t>Ashby Falls Community Hospital</t>
        </is>
      </c>
      <c r="D11294" t="n">
        <v>63</v>
      </c>
    </row>
    <row r="11295">
      <c r="A11295" t="inlineStr">
        <is>
          <t>ED211505</t>
        </is>
      </c>
      <c r="B11295" s="56" t="n">
        <v>45980.65416666667</v>
      </c>
      <c r="C11295" t="inlineStr">
        <is>
          <t>Bluestone Memorial Hospital</t>
        </is>
      </c>
      <c r="D11295" t="n">
        <v>43</v>
      </c>
    </row>
    <row r="11296">
      <c r="A11296" t="inlineStr">
        <is>
          <t>ED211506</t>
        </is>
      </c>
      <c r="B11296" s="56" t="n">
        <v>45980.675</v>
      </c>
      <c r="C11296" t="inlineStr">
        <is>
          <t>Bluestone Memorial Hospital</t>
        </is>
      </c>
      <c r="D11296" t="n">
        <v>58</v>
      </c>
    </row>
    <row r="11297">
      <c r="A11297" t="inlineStr">
        <is>
          <t>ED211507</t>
        </is>
      </c>
      <c r="B11297" s="56" t="n">
        <v>45980.68055555555</v>
      </c>
      <c r="C11297" t="inlineStr">
        <is>
          <t>Bluestone Memorial Hospital</t>
        </is>
      </c>
      <c r="D11297" t="n">
        <v>16</v>
      </c>
    </row>
    <row r="11298">
      <c r="A11298" t="inlineStr">
        <is>
          <t>ED211508</t>
        </is>
      </c>
      <c r="B11298" s="56" t="n">
        <v>45980.73888888889</v>
      </c>
      <c r="C11298" t="inlineStr">
        <is>
          <t>Cedar Ridge Medical Center</t>
        </is>
      </c>
      <c r="D11298" t="n">
        <v>102</v>
      </c>
    </row>
    <row r="11299">
      <c r="A11299" t="inlineStr">
        <is>
          <t>ED211509</t>
        </is>
      </c>
      <c r="B11299" s="56" t="n">
        <v>45980.76944444444</v>
      </c>
      <c r="C11299" t="inlineStr">
        <is>
          <t>Cedar Ridge Medical Center</t>
        </is>
      </c>
      <c r="D11299" t="n">
        <v>35</v>
      </c>
    </row>
    <row r="11300">
      <c r="A11300" t="inlineStr">
        <is>
          <t>ED211510</t>
        </is>
      </c>
      <c r="B11300" s="56" t="n">
        <v>45980.87708333333</v>
      </c>
      <c r="C11300" t="inlineStr">
        <is>
          <t>Bluestone Memorial Hospital</t>
        </is>
      </c>
      <c r="D11300" t="n">
        <v>34</v>
      </c>
    </row>
    <row r="11301">
      <c r="A11301" t="inlineStr">
        <is>
          <t>ED211511</t>
        </is>
      </c>
      <c r="B11301" s="56" t="n">
        <v>45980.90902777778</v>
      </c>
      <c r="C11301" t="inlineStr">
        <is>
          <t>Ashby Falls Community Hospital</t>
        </is>
      </c>
      <c r="D11301" t="n">
        <v>32</v>
      </c>
    </row>
    <row r="11302">
      <c r="A11302" t="inlineStr">
        <is>
          <t>ED211512</t>
        </is>
      </c>
      <c r="B11302" s="56" t="n">
        <v>45980.9875</v>
      </c>
      <c r="C11302" t="inlineStr">
        <is>
          <t>Ashby Falls Community Hospital</t>
        </is>
      </c>
      <c r="D11302" t="n">
        <v>10</v>
      </c>
    </row>
    <row r="11303">
      <c r="A11303" t="inlineStr">
        <is>
          <t>ED211513</t>
        </is>
      </c>
      <c r="B11303" s="56" t="n">
        <v>45981.00347222222</v>
      </c>
      <c r="C11303" t="inlineStr">
        <is>
          <t>Bluestone Memorial Hospital</t>
        </is>
      </c>
      <c r="D11303" t="n">
        <v>22</v>
      </c>
    </row>
    <row r="11304">
      <c r="A11304" t="inlineStr">
        <is>
          <t>ED211514</t>
        </is>
      </c>
      <c r="B11304" s="56" t="n">
        <v>45981.13680555556</v>
      </c>
      <c r="C11304" t="inlineStr">
        <is>
          <t>Bluestone Memorial Hospital</t>
        </is>
      </c>
      <c r="D11304" t="n">
        <v>21</v>
      </c>
    </row>
    <row r="11305">
      <c r="A11305" t="inlineStr">
        <is>
          <t>ED211515</t>
        </is>
      </c>
      <c r="B11305" s="56" t="n">
        <v>45981.18819444445</v>
      </c>
      <c r="C11305" t="inlineStr">
        <is>
          <t>Bluestone Memorial Hospital</t>
        </is>
      </c>
      <c r="D11305" t="n">
        <v>20</v>
      </c>
    </row>
    <row r="11306">
      <c r="A11306" t="inlineStr">
        <is>
          <t>ED211516</t>
        </is>
      </c>
      <c r="B11306" s="56" t="n">
        <v>45981.33472222222</v>
      </c>
      <c r="C11306" t="inlineStr">
        <is>
          <t>Ashby Falls Community Hospital</t>
        </is>
      </c>
      <c r="D11306" t="n">
        <v>19</v>
      </c>
    </row>
    <row r="11307">
      <c r="A11307" t="inlineStr">
        <is>
          <t>ED211517</t>
        </is>
      </c>
      <c r="B11307" s="56" t="n">
        <v>45981.33611111111</v>
      </c>
      <c r="C11307" t="inlineStr">
        <is>
          <t>Bluestone Memorial Hospital</t>
        </is>
      </c>
      <c r="D11307" t="n">
        <v>68</v>
      </c>
    </row>
    <row r="11308">
      <c r="A11308" t="inlineStr">
        <is>
          <t>ED211518</t>
        </is>
      </c>
      <c r="B11308" s="56" t="n">
        <v>45981.42013888889</v>
      </c>
      <c r="C11308" t="inlineStr">
        <is>
          <t>Ashby Falls Community Hospital</t>
        </is>
      </c>
      <c r="D11308" t="n">
        <v>165</v>
      </c>
    </row>
    <row r="11309">
      <c r="A11309" t="inlineStr">
        <is>
          <t>ED211519</t>
        </is>
      </c>
      <c r="B11309" s="56" t="n">
        <v>45981.42222222222</v>
      </c>
      <c r="C11309" t="inlineStr">
        <is>
          <t>Cedar Ridge Medical Center</t>
        </is>
      </c>
      <c r="D11309" t="n">
        <v>40</v>
      </c>
    </row>
    <row r="11310">
      <c r="A11310" t="inlineStr">
        <is>
          <t>ED211520</t>
        </is>
      </c>
      <c r="B11310" s="56" t="n">
        <v>45981.42291666667</v>
      </c>
      <c r="C11310" t="inlineStr">
        <is>
          <t>Bluestone Memorial Hospital</t>
        </is>
      </c>
      <c r="D11310" t="n">
        <v>36</v>
      </c>
    </row>
    <row r="11311">
      <c r="A11311" t="inlineStr">
        <is>
          <t>ED211521</t>
        </is>
      </c>
      <c r="B11311" s="56" t="n">
        <v>45981.44722222222</v>
      </c>
      <c r="C11311" t="inlineStr">
        <is>
          <t>Ashby Falls Community Hospital</t>
        </is>
      </c>
      <c r="D11311" t="n">
        <v>57</v>
      </c>
    </row>
    <row r="11312">
      <c r="A11312" t="inlineStr">
        <is>
          <t>ED211522</t>
        </is>
      </c>
      <c r="B11312" s="56" t="n">
        <v>45981.44791666666</v>
      </c>
      <c r="C11312" t="inlineStr">
        <is>
          <t>Ashby Falls Community Hospital</t>
        </is>
      </c>
      <c r="D11312" t="n">
        <v>21</v>
      </c>
    </row>
    <row r="11313">
      <c r="A11313" t="inlineStr">
        <is>
          <t>ED211523</t>
        </is>
      </c>
      <c r="B11313" s="56" t="n">
        <v>45981.45833333334</v>
      </c>
      <c r="C11313" t="inlineStr">
        <is>
          <t>Bluestone Memorial Hospital</t>
        </is>
      </c>
      <c r="D11313" t="n">
        <v>33</v>
      </c>
    </row>
    <row r="11314">
      <c r="A11314" t="inlineStr">
        <is>
          <t>ED211524</t>
        </is>
      </c>
      <c r="B11314" s="56" t="n">
        <v>45981.47569444445</v>
      </c>
      <c r="C11314" t="inlineStr">
        <is>
          <t>Bluestone Memorial Hospital</t>
        </is>
      </c>
      <c r="D11314" t="n">
        <v>14</v>
      </c>
    </row>
    <row r="11315">
      <c r="A11315" t="inlineStr">
        <is>
          <t>ED211525</t>
        </is>
      </c>
      <c r="B11315" s="56" t="n">
        <v>45981.49444444444</v>
      </c>
      <c r="C11315" t="inlineStr">
        <is>
          <t>Bluestone Memorial Hospital</t>
        </is>
      </c>
      <c r="D11315" t="n">
        <v>31</v>
      </c>
    </row>
    <row r="11316">
      <c r="A11316" t="inlineStr">
        <is>
          <t>ED211526</t>
        </is>
      </c>
      <c r="B11316" s="56" t="n">
        <v>45981.52777777778</v>
      </c>
      <c r="C11316" t="inlineStr">
        <is>
          <t>Bluestone Memorial Hospital</t>
        </is>
      </c>
      <c r="D11316" t="n">
        <v>18</v>
      </c>
    </row>
    <row r="11317">
      <c r="A11317" t="inlineStr">
        <is>
          <t>ED211528</t>
        </is>
      </c>
      <c r="B11317" s="56" t="n">
        <v>45981.56388888889</v>
      </c>
      <c r="C11317" t="inlineStr">
        <is>
          <t>Bluestone Memorial Hospital</t>
        </is>
      </c>
      <c r="D11317" t="n">
        <v>24</v>
      </c>
    </row>
    <row r="11318">
      <c r="A11318" t="inlineStr">
        <is>
          <t>ED211529</t>
        </is>
      </c>
      <c r="B11318" s="56" t="n">
        <v>45981.57916666667</v>
      </c>
      <c r="C11318" t="inlineStr">
        <is>
          <t>Bluestone Memorial Hospital</t>
        </is>
      </c>
      <c r="D11318" t="n">
        <v>68</v>
      </c>
    </row>
    <row r="11319">
      <c r="A11319" t="inlineStr">
        <is>
          <t>ED211530</t>
        </is>
      </c>
      <c r="B11319" s="56" t="n">
        <v>45981.66041666667</v>
      </c>
      <c r="C11319" t="inlineStr">
        <is>
          <t>Bluestone Memorial Hospital</t>
        </is>
      </c>
      <c r="D11319" t="n">
        <v>12</v>
      </c>
    </row>
    <row r="11320">
      <c r="A11320" t="inlineStr">
        <is>
          <t>ED211531</t>
        </is>
      </c>
      <c r="B11320" s="56" t="n">
        <v>45981.67777777778</v>
      </c>
      <c r="C11320" t="inlineStr">
        <is>
          <t>Bluestone Memorial Hospital</t>
        </is>
      </c>
      <c r="D11320" t="n">
        <v>31</v>
      </c>
    </row>
    <row r="11321">
      <c r="A11321" t="inlineStr">
        <is>
          <t>ED211532</t>
        </is>
      </c>
      <c r="B11321" s="56" t="n">
        <v>45981.75416666667</v>
      </c>
      <c r="C11321" t="inlineStr">
        <is>
          <t>Bluestone Memorial Hospital</t>
        </is>
      </c>
      <c r="D11321" t="n">
        <v>126</v>
      </c>
    </row>
    <row r="11322">
      <c r="A11322" t="inlineStr">
        <is>
          <t>ED211533</t>
        </is>
      </c>
      <c r="B11322" s="56" t="n">
        <v>45981.77361111111</v>
      </c>
      <c r="C11322" t="inlineStr">
        <is>
          <t>Bluestone Memorial Hospital</t>
        </is>
      </c>
      <c r="D11322" t="n">
        <v>21</v>
      </c>
    </row>
    <row r="11323">
      <c r="A11323" t="inlineStr">
        <is>
          <t>ED211534</t>
        </is>
      </c>
      <c r="B11323" s="56" t="n">
        <v>45981.89513888889</v>
      </c>
      <c r="C11323" t="inlineStr">
        <is>
          <t>Bluestone Memorial Hospital</t>
        </is>
      </c>
      <c r="D11323" t="n">
        <v>40</v>
      </c>
    </row>
    <row r="11324">
      <c r="A11324" t="inlineStr">
        <is>
          <t>ED211535</t>
        </is>
      </c>
      <c r="B11324" s="56" t="n">
        <v>45982.09166666667</v>
      </c>
      <c r="C11324" t="inlineStr">
        <is>
          <t>Cedar Ridge Medical Center</t>
        </is>
      </c>
      <c r="D11324" t="n">
        <v>28</v>
      </c>
    </row>
    <row r="11325">
      <c r="A11325" t="inlineStr">
        <is>
          <t>ED211536</t>
        </is>
      </c>
      <c r="B11325" s="56" t="n">
        <v>45982.24513888889</v>
      </c>
      <c r="C11325" t="inlineStr">
        <is>
          <t>Cedar Ridge Medical Center</t>
        </is>
      </c>
      <c r="D11325" t="n">
        <v>17</v>
      </c>
    </row>
    <row r="11326">
      <c r="A11326" t="inlineStr">
        <is>
          <t>ED211537</t>
        </is>
      </c>
      <c r="B11326" s="56" t="n">
        <v>45982.39097222222</v>
      </c>
      <c r="C11326" t="inlineStr">
        <is>
          <t>Cedar Ridge Medical Center</t>
        </is>
      </c>
      <c r="D11326" t="n">
        <v>19</v>
      </c>
    </row>
    <row r="11327">
      <c r="A11327" t="inlineStr">
        <is>
          <t>ED211538</t>
        </is>
      </c>
      <c r="B11327" s="56" t="n">
        <v>45982.51875</v>
      </c>
      <c r="C11327" t="inlineStr">
        <is>
          <t>Bluestone Memorial Hospital</t>
        </is>
      </c>
      <c r="D11327" t="n">
        <v>33</v>
      </c>
    </row>
    <row r="11328">
      <c r="A11328" t="inlineStr">
        <is>
          <t>ED211539</t>
        </is>
      </c>
      <c r="B11328" s="56" t="n">
        <v>45982.55347222222</v>
      </c>
      <c r="C11328" t="inlineStr">
        <is>
          <t>Cedar Ridge Medical Center</t>
        </is>
      </c>
      <c r="D11328" t="n">
        <v>106</v>
      </c>
    </row>
    <row r="11329">
      <c r="A11329" t="inlineStr">
        <is>
          <t>ED211540</t>
        </is>
      </c>
      <c r="B11329" s="56" t="n">
        <v>45982.59305555555</v>
      </c>
      <c r="C11329" t="inlineStr">
        <is>
          <t>Bluestone Memorial Hospital</t>
        </is>
      </c>
      <c r="D11329" t="n">
        <v>5</v>
      </c>
    </row>
    <row r="11330">
      <c r="A11330" t="inlineStr">
        <is>
          <t>ED211541</t>
        </is>
      </c>
      <c r="B11330" s="56" t="n">
        <v>45982.60208333333</v>
      </c>
      <c r="C11330" t="inlineStr">
        <is>
          <t>Bluestone Memorial Hospital</t>
        </is>
      </c>
      <c r="D11330" t="n">
        <v>17</v>
      </c>
    </row>
    <row r="11331">
      <c r="A11331" t="inlineStr">
        <is>
          <t>ED211542</t>
        </is>
      </c>
      <c r="B11331" s="56" t="n">
        <v>45982.65347222222</v>
      </c>
      <c r="C11331" t="inlineStr">
        <is>
          <t>Bluestone Memorial Hospital</t>
        </is>
      </c>
      <c r="D11331" t="n">
        <v>193</v>
      </c>
    </row>
    <row r="11332">
      <c r="A11332" t="inlineStr">
        <is>
          <t>ED211543</t>
        </is>
      </c>
      <c r="B11332" s="56" t="n">
        <v>45982.65902777778</v>
      </c>
      <c r="C11332" t="inlineStr">
        <is>
          <t>Bluestone Memorial Hospital</t>
        </is>
      </c>
      <c r="D11332" t="n">
        <v>47</v>
      </c>
    </row>
    <row r="11333">
      <c r="A11333" t="inlineStr">
        <is>
          <t>ED211544</t>
        </is>
      </c>
      <c r="B11333" s="56" t="n">
        <v>45982.75833333333</v>
      </c>
      <c r="C11333" t="inlineStr">
        <is>
          <t>Cedar Ridge Medical Center</t>
        </is>
      </c>
      <c r="D11333" t="n">
        <v>40</v>
      </c>
    </row>
    <row r="11334">
      <c r="A11334" t="inlineStr">
        <is>
          <t>ED211545</t>
        </is>
      </c>
      <c r="B11334" s="56" t="n">
        <v>45982.75833333333</v>
      </c>
      <c r="C11334" t="inlineStr">
        <is>
          <t>Cedar Ridge Medical Center</t>
        </is>
      </c>
      <c r="D11334" t="n">
        <v>36</v>
      </c>
    </row>
    <row r="11335">
      <c r="A11335" t="inlineStr">
        <is>
          <t>ED211546</t>
        </is>
      </c>
      <c r="B11335" s="56" t="n">
        <v>45982.79027777778</v>
      </c>
      <c r="C11335" t="inlineStr">
        <is>
          <t>Bluestone Memorial Hospital</t>
        </is>
      </c>
      <c r="D11335" t="n">
        <v>34</v>
      </c>
    </row>
    <row r="11336">
      <c r="A11336" t="inlineStr">
        <is>
          <t>ED211547</t>
        </is>
      </c>
      <c r="B11336" s="56" t="n">
        <v>45982.79513888889</v>
      </c>
      <c r="C11336" t="inlineStr">
        <is>
          <t>Cedar Ridge Medical Center</t>
        </is>
      </c>
      <c r="D11336" t="n">
        <v>70</v>
      </c>
    </row>
    <row r="11337">
      <c r="A11337" t="inlineStr">
        <is>
          <t>ED211548</t>
        </is>
      </c>
      <c r="B11337" s="56" t="n">
        <v>45982.90277777778</v>
      </c>
      <c r="C11337" t="inlineStr">
        <is>
          <t>Bluestone Memorial Hospital</t>
        </is>
      </c>
      <c r="D11337" t="n">
        <v>46</v>
      </c>
    </row>
    <row r="11338">
      <c r="A11338" t="inlineStr">
        <is>
          <t>ED211549</t>
        </is>
      </c>
      <c r="B11338" s="56" t="n">
        <v>45982.91597222222</v>
      </c>
      <c r="C11338" t="inlineStr">
        <is>
          <t>Bluestone Memorial Hospital</t>
        </is>
      </c>
      <c r="D11338" t="n">
        <v>35</v>
      </c>
    </row>
    <row r="11339">
      <c r="A11339" t="inlineStr">
        <is>
          <t>ED211550</t>
        </is>
      </c>
      <c r="B11339" s="56" t="n">
        <v>45982.94097222222</v>
      </c>
      <c r="C11339" t="inlineStr">
        <is>
          <t>Bluestone Memorial Hospital</t>
        </is>
      </c>
      <c r="D11339" t="n">
        <v>49</v>
      </c>
    </row>
    <row r="11340">
      <c r="A11340" t="inlineStr">
        <is>
          <t>ED211551</t>
        </is>
      </c>
      <c r="B11340" s="56" t="n">
        <v>45982.95138888889</v>
      </c>
      <c r="C11340" t="inlineStr">
        <is>
          <t>Ashby Falls Community Hospital</t>
        </is>
      </c>
      <c r="D11340" t="n">
        <v>44</v>
      </c>
    </row>
    <row r="11341">
      <c r="A11341" t="inlineStr">
        <is>
          <t>ED211552</t>
        </is>
      </c>
      <c r="B11341" s="56" t="n">
        <v>45983.15972222222</v>
      </c>
      <c r="C11341" t="inlineStr">
        <is>
          <t>Bluestone Memorial Hospital</t>
        </is>
      </c>
      <c r="D11341" t="n">
        <v>8</v>
      </c>
    </row>
    <row r="11342">
      <c r="A11342" t="inlineStr">
        <is>
          <t>ED211553</t>
        </is>
      </c>
      <c r="B11342" s="56" t="n">
        <v>45983.24861111111</v>
      </c>
      <c r="C11342" t="inlineStr">
        <is>
          <t>Bluestone Memorial Hospital</t>
        </is>
      </c>
      <c r="D11342" t="n">
        <v>12</v>
      </c>
    </row>
    <row r="11343">
      <c r="A11343" t="inlineStr">
        <is>
          <t>ED211554</t>
        </is>
      </c>
      <c r="B11343" s="56" t="n">
        <v>45983.34930555556</v>
      </c>
      <c r="C11343" t="inlineStr">
        <is>
          <t>Bluestone Memorial Hospital</t>
        </is>
      </c>
      <c r="D11343" t="n">
        <v>37</v>
      </c>
    </row>
    <row r="11344">
      <c r="A11344" t="inlineStr">
        <is>
          <t>ED211555</t>
        </is>
      </c>
      <c r="B11344" s="56" t="n">
        <v>45983.48333333333</v>
      </c>
      <c r="C11344" t="inlineStr">
        <is>
          <t>Bluestone Memorial Hospital</t>
        </is>
      </c>
      <c r="D11344" t="n">
        <v>64</v>
      </c>
    </row>
    <row r="11345">
      <c r="A11345" t="inlineStr">
        <is>
          <t>ED211556</t>
        </is>
      </c>
      <c r="B11345" s="56" t="n">
        <v>45983.54236111111</v>
      </c>
      <c r="C11345" t="inlineStr">
        <is>
          <t>Bluestone Memorial Hospital</t>
        </is>
      </c>
      <c r="D11345" t="n">
        <v>23</v>
      </c>
    </row>
    <row r="11346">
      <c r="A11346" t="inlineStr">
        <is>
          <t>ED211557</t>
        </is>
      </c>
      <c r="B11346" s="56" t="n">
        <v>45983.63055555556</v>
      </c>
      <c r="C11346" t="inlineStr">
        <is>
          <t>Bluestone Memorial Hospital</t>
        </is>
      </c>
      <c r="D11346" t="n">
        <v>129</v>
      </c>
    </row>
    <row r="11347">
      <c r="A11347" t="inlineStr">
        <is>
          <t>ED211558</t>
        </is>
      </c>
      <c r="B11347" s="56" t="n">
        <v>45983.75902777778</v>
      </c>
      <c r="C11347" t="inlineStr">
        <is>
          <t>Cedar Ridge Medical Center</t>
        </is>
      </c>
      <c r="D11347" t="n">
        <v>26</v>
      </c>
    </row>
    <row r="11348">
      <c r="A11348" t="inlineStr">
        <is>
          <t>ED211559</t>
        </is>
      </c>
      <c r="B11348" s="56" t="n">
        <v>45983.79444444444</v>
      </c>
      <c r="C11348" t="inlineStr">
        <is>
          <t>Bluestone Memorial Hospital</t>
        </is>
      </c>
      <c r="D11348" t="n">
        <v>61</v>
      </c>
    </row>
    <row r="11349">
      <c r="A11349" t="inlineStr">
        <is>
          <t>ED211561</t>
        </is>
      </c>
      <c r="B11349" s="56" t="n">
        <v>45983.81805555556</v>
      </c>
      <c r="C11349" t="inlineStr">
        <is>
          <t>Bluestone Memorial Hospital</t>
        </is>
      </c>
      <c r="D11349" t="n">
        <v>100</v>
      </c>
    </row>
    <row r="11350">
      <c r="A11350" t="inlineStr">
        <is>
          <t>ED211562</t>
        </is>
      </c>
      <c r="B11350" s="56" t="n">
        <v>45983.88680555556</v>
      </c>
      <c r="C11350" t="inlineStr">
        <is>
          <t>Bluestone Memorial Hospital</t>
        </is>
      </c>
      <c r="D11350" t="n">
        <v>8</v>
      </c>
    </row>
    <row r="11351">
      <c r="A11351" t="inlineStr">
        <is>
          <t>ED211563</t>
        </is>
      </c>
      <c r="B11351" s="56" t="n">
        <v>45983.89444444444</v>
      </c>
      <c r="C11351" t="inlineStr">
        <is>
          <t>Ashby Falls Community Hospital</t>
        </is>
      </c>
      <c r="D11351" t="n">
        <v>21</v>
      </c>
    </row>
    <row r="11352">
      <c r="A11352" t="inlineStr">
        <is>
          <t>ED211564</t>
        </is>
      </c>
      <c r="B11352" s="56" t="n">
        <v>45983.91597222222</v>
      </c>
      <c r="C11352" t="inlineStr">
        <is>
          <t>Bluestone Memorial Hospital</t>
        </is>
      </c>
      <c r="D11352" t="n">
        <v>132</v>
      </c>
    </row>
    <row r="11353">
      <c r="A11353" t="inlineStr">
        <is>
          <t>ED211565</t>
        </is>
      </c>
      <c r="B11353" s="56" t="n">
        <v>45984.28611111111</v>
      </c>
      <c r="C11353" t="inlineStr">
        <is>
          <t>Bluestone Memorial Hospital</t>
        </is>
      </c>
      <c r="D11353" t="n">
        <v>45</v>
      </c>
    </row>
    <row r="11354">
      <c r="A11354" t="inlineStr">
        <is>
          <t>ED211566</t>
        </is>
      </c>
      <c r="B11354" s="56" t="n">
        <v>45984.44513888889</v>
      </c>
      <c r="C11354" t="inlineStr">
        <is>
          <t>Bluestone Memorial Hospital</t>
        </is>
      </c>
      <c r="D11354" t="n">
        <v>86</v>
      </c>
    </row>
    <row r="11355">
      <c r="A11355" t="inlineStr">
        <is>
          <t>ED211567</t>
        </is>
      </c>
      <c r="B11355" s="56" t="n">
        <v>45984.50138888889</v>
      </c>
      <c r="C11355" t="inlineStr">
        <is>
          <t>Ashby Falls Community Hospital</t>
        </is>
      </c>
      <c r="D11355" t="n">
        <v>89</v>
      </c>
    </row>
    <row r="11356">
      <c r="A11356" t="inlineStr">
        <is>
          <t>ED211568</t>
        </is>
      </c>
      <c r="B11356" s="56" t="n">
        <v>45984.55208333334</v>
      </c>
      <c r="C11356" t="inlineStr">
        <is>
          <t>Bluestone Memorial Hospital</t>
        </is>
      </c>
      <c r="D11356" t="n">
        <v>32</v>
      </c>
    </row>
    <row r="11357">
      <c r="A11357" t="inlineStr">
        <is>
          <t>ED211569</t>
        </is>
      </c>
      <c r="B11357" s="56" t="n">
        <v>45984.62430555555</v>
      </c>
      <c r="C11357" t="inlineStr">
        <is>
          <t>Ashby Falls Community Hospital</t>
        </is>
      </c>
      <c r="D11357" t="n">
        <v>66</v>
      </c>
    </row>
    <row r="11358">
      <c r="A11358" t="inlineStr">
        <is>
          <t>ED211570</t>
        </is>
      </c>
      <c r="B11358" s="56" t="n">
        <v>45984.64444444444</v>
      </c>
      <c r="C11358" t="inlineStr">
        <is>
          <t>Bluestone Memorial Hospital</t>
        </is>
      </c>
      <c r="D11358" t="n">
        <v>12</v>
      </c>
    </row>
    <row r="11359">
      <c r="A11359" t="inlineStr">
        <is>
          <t>ED211571</t>
        </is>
      </c>
      <c r="B11359" s="56" t="n">
        <v>45984.65555555555</v>
      </c>
      <c r="C11359" t="inlineStr">
        <is>
          <t>Bluestone Memorial Hospital</t>
        </is>
      </c>
      <c r="D11359" t="n">
        <v>81</v>
      </c>
    </row>
    <row r="11360">
      <c r="A11360" t="inlineStr">
        <is>
          <t>ED211572</t>
        </is>
      </c>
      <c r="B11360" s="56" t="n">
        <v>45984.65833333333</v>
      </c>
      <c r="C11360" t="inlineStr">
        <is>
          <t>Ashby Falls Community Hospital</t>
        </is>
      </c>
      <c r="D11360" t="n">
        <v>27</v>
      </c>
    </row>
    <row r="11361">
      <c r="A11361" t="inlineStr">
        <is>
          <t>ED211573</t>
        </is>
      </c>
      <c r="B11361" s="56" t="n">
        <v>45984.66666666666</v>
      </c>
      <c r="C11361" t="inlineStr">
        <is>
          <t>Ashby Falls Community Hospital</t>
        </is>
      </c>
      <c r="D11361" t="n">
        <v>23</v>
      </c>
    </row>
    <row r="11362">
      <c r="A11362" t="inlineStr">
        <is>
          <t>ED211574</t>
        </is>
      </c>
      <c r="B11362" s="56" t="n">
        <v>45984.69583333333</v>
      </c>
      <c r="C11362" t="inlineStr">
        <is>
          <t>Bluestone Memorial Hospital</t>
        </is>
      </c>
      <c r="D11362" t="n">
        <v>19</v>
      </c>
    </row>
    <row r="11363">
      <c r="A11363" t="inlineStr">
        <is>
          <t>ED211575</t>
        </is>
      </c>
      <c r="B11363" s="56" t="n">
        <v>45984.72847222222</v>
      </c>
      <c r="C11363" t="inlineStr">
        <is>
          <t>Cedar Ridge Medical Center</t>
        </is>
      </c>
      <c r="D11363" t="n">
        <v>45</v>
      </c>
    </row>
    <row r="11364">
      <c r="A11364" t="inlineStr">
        <is>
          <t>ED211577</t>
        </is>
      </c>
      <c r="B11364" s="56" t="n">
        <v>45984.85277777778</v>
      </c>
      <c r="C11364" t="inlineStr">
        <is>
          <t>Bluestone Memorial Hospital</t>
        </is>
      </c>
      <c r="D11364" t="n">
        <v>21</v>
      </c>
    </row>
    <row r="11365">
      <c r="A11365" t="inlineStr">
        <is>
          <t>ED211578</t>
        </is>
      </c>
      <c r="B11365" s="56" t="n">
        <v>45984.88472222222</v>
      </c>
      <c r="C11365" t="inlineStr">
        <is>
          <t>Bluestone Memorial Hospital</t>
        </is>
      </c>
      <c r="D11365" t="n">
        <v>41</v>
      </c>
    </row>
    <row r="11366">
      <c r="A11366" t="inlineStr">
        <is>
          <t>ED211579</t>
        </is>
      </c>
      <c r="B11366" s="56" t="n">
        <v>45984.94027777778</v>
      </c>
      <c r="C11366" t="inlineStr">
        <is>
          <t>Bluestone Memorial Hospital</t>
        </is>
      </c>
      <c r="D11366" t="n">
        <v>14</v>
      </c>
    </row>
    <row r="11367">
      <c r="A11367" t="inlineStr">
        <is>
          <t>ED211580</t>
        </is>
      </c>
      <c r="B11367" s="56" t="n">
        <v>45984.97152777778</v>
      </c>
      <c r="C11367" t="inlineStr">
        <is>
          <t>Cedar Ridge Medical Center</t>
        </is>
      </c>
      <c r="D11367" t="n">
        <v>14</v>
      </c>
    </row>
    <row r="11368">
      <c r="A11368" t="inlineStr">
        <is>
          <t>ED211581</t>
        </is>
      </c>
      <c r="B11368" s="56" t="n">
        <v>45985.04652777778</v>
      </c>
      <c r="C11368" t="inlineStr">
        <is>
          <t>Bluestone Memorial Hospital</t>
        </is>
      </c>
      <c r="D11368" t="n">
        <v>57</v>
      </c>
    </row>
    <row r="11369">
      <c r="A11369" t="inlineStr">
        <is>
          <t>ED211582</t>
        </is>
      </c>
      <c r="B11369" s="56" t="n">
        <v>45985.04722222222</v>
      </c>
      <c r="C11369" t="inlineStr">
        <is>
          <t>Bluestone Memorial Hospital</t>
        </is>
      </c>
      <c r="D11369" t="n">
        <v>43</v>
      </c>
    </row>
    <row r="11370">
      <c r="A11370" t="inlineStr">
        <is>
          <t>ED211583</t>
        </is>
      </c>
      <c r="B11370" s="56" t="n">
        <v>45985.13194444445</v>
      </c>
      <c r="C11370" t="inlineStr">
        <is>
          <t>Bluestone Memorial Hospital</t>
        </is>
      </c>
      <c r="D11370" t="n">
        <v>45</v>
      </c>
    </row>
    <row r="11371">
      <c r="A11371" t="inlineStr">
        <is>
          <t>ED211584</t>
        </is>
      </c>
      <c r="B11371" s="56" t="n">
        <v>45985.14444444444</v>
      </c>
      <c r="C11371" t="inlineStr">
        <is>
          <t>Bluestone Memorial Hospital</t>
        </is>
      </c>
      <c r="D11371" t="n">
        <v>16</v>
      </c>
    </row>
    <row r="11372">
      <c r="A11372" t="inlineStr">
        <is>
          <t>ED211585</t>
        </is>
      </c>
      <c r="B11372" s="56" t="n">
        <v>45985.23402777778</v>
      </c>
      <c r="C11372" t="inlineStr">
        <is>
          <t>Ashby Falls Community Hospital</t>
        </is>
      </c>
      <c r="D11372" t="n">
        <v>11</v>
      </c>
    </row>
    <row r="11373">
      <c r="A11373" t="inlineStr">
        <is>
          <t>ED211586</t>
        </is>
      </c>
      <c r="B11373" s="56" t="n">
        <v>45985.30347222222</v>
      </c>
      <c r="C11373" t="inlineStr">
        <is>
          <t>Bluestone Memorial Hospital</t>
        </is>
      </c>
      <c r="D11373" t="n">
        <v>43</v>
      </c>
    </row>
    <row r="11374">
      <c r="A11374" t="inlineStr">
        <is>
          <t>ED211587</t>
        </is>
      </c>
      <c r="B11374" s="56" t="n">
        <v>45985.39236111111</v>
      </c>
      <c r="C11374" t="inlineStr">
        <is>
          <t>Bluestone Memorial Hospital</t>
        </is>
      </c>
      <c r="D11374" t="n">
        <v>36</v>
      </c>
    </row>
    <row r="11375">
      <c r="A11375" t="inlineStr">
        <is>
          <t>ED211588</t>
        </is>
      </c>
      <c r="B11375" s="56" t="n">
        <v>45985.4</v>
      </c>
      <c r="C11375" t="inlineStr">
        <is>
          <t>Bluestone Memorial Hospital</t>
        </is>
      </c>
      <c r="D11375" t="n">
        <v>61</v>
      </c>
    </row>
    <row r="11376">
      <c r="A11376" t="inlineStr">
        <is>
          <t>ED211589</t>
        </is>
      </c>
      <c r="B11376" s="56" t="n">
        <v>45985.41180555556</v>
      </c>
      <c r="C11376" t="inlineStr">
        <is>
          <t>Ashby Falls Community Hospital</t>
        </is>
      </c>
      <c r="D11376" t="n">
        <v>3</v>
      </c>
    </row>
    <row r="11377">
      <c r="A11377" t="inlineStr">
        <is>
          <t>ED211590</t>
        </is>
      </c>
      <c r="B11377" s="56" t="n">
        <v>45985.55</v>
      </c>
      <c r="C11377" t="inlineStr">
        <is>
          <t>Cedar Ridge Medical Center</t>
        </is>
      </c>
      <c r="D11377" t="n">
        <v>8</v>
      </c>
    </row>
    <row r="11378">
      <c r="A11378" t="inlineStr">
        <is>
          <t>ED211591</t>
        </is>
      </c>
      <c r="B11378" s="56" t="n">
        <v>45985.57569444444</v>
      </c>
      <c r="C11378" t="inlineStr">
        <is>
          <t>Cedar Ridge Medical Center</t>
        </is>
      </c>
      <c r="D11378" t="n">
        <v>116</v>
      </c>
    </row>
    <row r="11379">
      <c r="A11379" t="inlineStr">
        <is>
          <t>ED211592</t>
        </is>
      </c>
      <c r="B11379" s="56" t="n">
        <v>45985.64791666667</v>
      </c>
      <c r="C11379" t="inlineStr">
        <is>
          <t>Bluestone Memorial Hospital</t>
        </is>
      </c>
      <c r="D11379" t="n">
        <v>45</v>
      </c>
    </row>
    <row r="11380">
      <c r="A11380" t="inlineStr">
        <is>
          <t>ED211593</t>
        </is>
      </c>
      <c r="B11380" s="56" t="n">
        <v>45985.66111111111</v>
      </c>
      <c r="C11380" t="inlineStr">
        <is>
          <t>Bluestone Memorial Hospital</t>
        </is>
      </c>
      <c r="D11380" t="n">
        <v>55</v>
      </c>
    </row>
    <row r="11381">
      <c r="A11381" t="inlineStr">
        <is>
          <t>ED211594</t>
        </is>
      </c>
      <c r="B11381" s="56" t="n">
        <v>45985.68541666667</v>
      </c>
      <c r="C11381" t="inlineStr">
        <is>
          <t>Bluestone Memorial Hospital</t>
        </is>
      </c>
      <c r="D11381" t="n">
        <v>276</v>
      </c>
    </row>
    <row r="11382">
      <c r="A11382" t="inlineStr">
        <is>
          <t>ED211596</t>
        </is>
      </c>
      <c r="B11382" s="56" t="n">
        <v>45985.70625</v>
      </c>
      <c r="C11382" t="inlineStr">
        <is>
          <t>Ashby Falls Community Hospital</t>
        </is>
      </c>
      <c r="D11382" t="n">
        <v>69</v>
      </c>
    </row>
    <row r="11383">
      <c r="A11383" t="inlineStr">
        <is>
          <t>ED211597</t>
        </is>
      </c>
      <c r="B11383" s="56" t="n">
        <v>45985.73125</v>
      </c>
      <c r="C11383" t="inlineStr">
        <is>
          <t>Cedar Ridge Medical Center</t>
        </is>
      </c>
      <c r="D11383" t="n">
        <v>108</v>
      </c>
    </row>
    <row r="11384">
      <c r="A11384" t="inlineStr">
        <is>
          <t>ED211598</t>
        </is>
      </c>
      <c r="B11384" s="56" t="n">
        <v>45985.77152777778</v>
      </c>
      <c r="C11384" t="inlineStr">
        <is>
          <t>Bluestone Memorial Hospital</t>
        </is>
      </c>
      <c r="D11384" t="n">
        <v>50</v>
      </c>
    </row>
    <row r="11385">
      <c r="A11385" t="inlineStr">
        <is>
          <t>ED211599</t>
        </is>
      </c>
      <c r="B11385" s="56" t="n">
        <v>45986.00555555556</v>
      </c>
      <c r="C11385" t="inlineStr">
        <is>
          <t>Bluestone Memorial Hospital</t>
        </is>
      </c>
      <c r="D11385" t="n">
        <v>86</v>
      </c>
    </row>
    <row r="11386">
      <c r="A11386" t="inlineStr">
        <is>
          <t>ED211600</t>
        </is>
      </c>
      <c r="B11386" s="56" t="n">
        <v>45986.31041666667</v>
      </c>
      <c r="C11386" t="inlineStr">
        <is>
          <t>Cedar Ridge Medical Center</t>
        </is>
      </c>
      <c r="D11386" t="n">
        <v>39</v>
      </c>
    </row>
    <row r="11387">
      <c r="A11387" t="inlineStr">
        <is>
          <t>ED211601</t>
        </is>
      </c>
      <c r="B11387" s="56" t="n">
        <v>45986.3375</v>
      </c>
      <c r="C11387" t="inlineStr">
        <is>
          <t>Bluestone Memorial Hospital</t>
        </is>
      </c>
      <c r="D11387" t="n">
        <v>3</v>
      </c>
    </row>
    <row r="11388">
      <c r="A11388" t="inlineStr">
        <is>
          <t>ED211602</t>
        </is>
      </c>
      <c r="B11388" s="56" t="n">
        <v>45986.35</v>
      </c>
      <c r="C11388" t="inlineStr">
        <is>
          <t>Cedar Ridge Medical Center</t>
        </is>
      </c>
      <c r="D11388" t="n">
        <v>31</v>
      </c>
    </row>
    <row r="11389">
      <c r="A11389" t="inlineStr">
        <is>
          <t>ED211603</t>
        </is>
      </c>
      <c r="B11389" s="56" t="n">
        <v>45986.36041666667</v>
      </c>
      <c r="C11389" t="inlineStr">
        <is>
          <t>Bluestone Memorial Hospital</t>
        </is>
      </c>
      <c r="D11389" t="n">
        <v>35</v>
      </c>
    </row>
    <row r="11390">
      <c r="A11390" t="inlineStr">
        <is>
          <t>ED211604</t>
        </is>
      </c>
      <c r="B11390" s="56" t="n">
        <v>45986.42708333334</v>
      </c>
      <c r="C11390" t="inlineStr">
        <is>
          <t>Bluestone Memorial Hospital</t>
        </is>
      </c>
      <c r="D11390" t="n">
        <v>18</v>
      </c>
    </row>
    <row r="11391">
      <c r="A11391" t="inlineStr">
        <is>
          <t>ED211605</t>
        </is>
      </c>
      <c r="B11391" s="56" t="n">
        <v>45986.43194444444</v>
      </c>
      <c r="C11391" t="inlineStr">
        <is>
          <t>Ashby Falls Community Hospital</t>
        </is>
      </c>
      <c r="D11391" t="n">
        <v>105</v>
      </c>
    </row>
    <row r="11392">
      <c r="A11392" t="inlineStr">
        <is>
          <t>ED211606</t>
        </is>
      </c>
      <c r="B11392" s="56" t="n">
        <v>45986.43541666667</v>
      </c>
      <c r="C11392" t="inlineStr">
        <is>
          <t>Bluestone Memorial Hospital</t>
        </is>
      </c>
      <c r="D11392" t="n">
        <v>89</v>
      </c>
    </row>
    <row r="11393">
      <c r="A11393" t="inlineStr">
        <is>
          <t>ED211607</t>
        </is>
      </c>
      <c r="B11393" s="56" t="n">
        <v>45986.46458333333</v>
      </c>
      <c r="C11393" t="inlineStr">
        <is>
          <t>Ashby Falls Community Hospital</t>
        </is>
      </c>
      <c r="D11393" t="n">
        <v>47</v>
      </c>
    </row>
    <row r="11394">
      <c r="A11394" t="inlineStr">
        <is>
          <t>ED211608</t>
        </is>
      </c>
      <c r="B11394" s="56" t="n">
        <v>45986.47638888889</v>
      </c>
      <c r="C11394" t="inlineStr">
        <is>
          <t>Ashby Falls Community Hospital</t>
        </is>
      </c>
      <c r="D11394" t="n">
        <v>99</v>
      </c>
    </row>
    <row r="11395">
      <c r="A11395" t="inlineStr">
        <is>
          <t>ED211609</t>
        </is>
      </c>
      <c r="B11395" s="56" t="n">
        <v>45986.49791666667</v>
      </c>
      <c r="C11395" t="inlineStr">
        <is>
          <t>Bluestone Memorial Hospital</t>
        </is>
      </c>
      <c r="D11395" t="n">
        <v>3</v>
      </c>
    </row>
    <row r="11396">
      <c r="A11396" t="inlineStr">
        <is>
          <t>ED211610</t>
        </is>
      </c>
      <c r="B11396" s="56" t="n">
        <v>45986.53194444445</v>
      </c>
      <c r="C11396" t="inlineStr">
        <is>
          <t>Bluestone Memorial Hospital</t>
        </is>
      </c>
      <c r="D11396" t="n">
        <v>96</v>
      </c>
    </row>
    <row r="11397">
      <c r="A11397" t="inlineStr">
        <is>
          <t>ED211611</t>
        </is>
      </c>
      <c r="B11397" s="56" t="n">
        <v>45986.53472222222</v>
      </c>
      <c r="C11397" t="inlineStr">
        <is>
          <t>Bluestone Memorial Hospital</t>
        </is>
      </c>
      <c r="D11397" t="n">
        <v>92</v>
      </c>
    </row>
    <row r="11398">
      <c r="A11398" t="inlineStr">
        <is>
          <t>ED211612</t>
        </is>
      </c>
      <c r="B11398" s="56" t="n">
        <v>45986.54097222222</v>
      </c>
      <c r="C11398" t="inlineStr">
        <is>
          <t>Cedar Ridge Medical Center</t>
        </is>
      </c>
      <c r="D11398" t="n">
        <v>42</v>
      </c>
    </row>
    <row r="11399">
      <c r="A11399" t="inlineStr">
        <is>
          <t>ED211613</t>
        </is>
      </c>
      <c r="B11399" s="56" t="n">
        <v>45986.72013888889</v>
      </c>
      <c r="C11399" t="inlineStr">
        <is>
          <t>Bluestone Memorial Hospital</t>
        </is>
      </c>
      <c r="D11399" t="n">
        <v>10</v>
      </c>
    </row>
    <row r="11400">
      <c r="A11400" t="inlineStr">
        <is>
          <t>ED211614</t>
        </is>
      </c>
      <c r="B11400" s="56" t="n">
        <v>45986.81736111111</v>
      </c>
      <c r="C11400" t="inlineStr">
        <is>
          <t>Bluestone Memorial Hospital</t>
        </is>
      </c>
      <c r="D11400" t="n">
        <v>26</v>
      </c>
    </row>
    <row r="11401">
      <c r="A11401" t="inlineStr">
        <is>
          <t>ED211615</t>
        </is>
      </c>
      <c r="B11401" s="56" t="n">
        <v>45986.92708333334</v>
      </c>
      <c r="C11401" t="inlineStr">
        <is>
          <t>Bluestone Memorial Hospital</t>
        </is>
      </c>
      <c r="D11401" t="n">
        <v>32</v>
      </c>
    </row>
    <row r="11402">
      <c r="A11402" t="inlineStr">
        <is>
          <t>ED211616</t>
        </is>
      </c>
      <c r="B11402" s="56" t="n">
        <v>45987.23402777778</v>
      </c>
      <c r="C11402" t="inlineStr">
        <is>
          <t>Cedar Ridge Medical Center</t>
        </is>
      </c>
      <c r="D11402" t="n">
        <v>44</v>
      </c>
    </row>
    <row r="11403">
      <c r="A11403" t="inlineStr">
        <is>
          <t>ED211617</t>
        </is>
      </c>
      <c r="B11403" s="56" t="n">
        <v>45987.45277777778</v>
      </c>
      <c r="C11403" t="inlineStr">
        <is>
          <t>Ashby Falls Community Hospital</t>
        </is>
      </c>
      <c r="D11403" t="n">
        <v>31</v>
      </c>
    </row>
    <row r="11404">
      <c r="A11404" t="inlineStr">
        <is>
          <t>ED211618</t>
        </is>
      </c>
      <c r="B11404" s="56" t="n">
        <v>45987.575</v>
      </c>
      <c r="C11404" t="inlineStr">
        <is>
          <t>Bluestone Memorial Hospital</t>
        </is>
      </c>
      <c r="D11404" t="n">
        <v>119</v>
      </c>
    </row>
    <row r="11405">
      <c r="A11405" t="inlineStr">
        <is>
          <t>ED211619</t>
        </is>
      </c>
      <c r="B11405" s="56" t="n">
        <v>45987.60138888889</v>
      </c>
      <c r="C11405" t="inlineStr">
        <is>
          <t>Bluestone Memorial Hospital</t>
        </is>
      </c>
      <c r="D11405" t="n">
        <v>49</v>
      </c>
    </row>
    <row r="11406">
      <c r="A11406" t="inlineStr">
        <is>
          <t>ED211620</t>
        </is>
      </c>
      <c r="B11406" s="56" t="n">
        <v>45987.60972222222</v>
      </c>
      <c r="C11406" t="inlineStr">
        <is>
          <t>Bluestone Memorial Hospital</t>
        </is>
      </c>
      <c r="D11406" t="n">
        <v>40</v>
      </c>
    </row>
    <row r="11407">
      <c r="A11407" t="inlineStr">
        <is>
          <t>ED211621</t>
        </is>
      </c>
      <c r="B11407" s="56" t="n">
        <v>45987.67569444444</v>
      </c>
      <c r="C11407" t="inlineStr">
        <is>
          <t>Ashby Falls Community Hospital</t>
        </is>
      </c>
      <c r="D11407" t="n">
        <v>33</v>
      </c>
    </row>
    <row r="11408">
      <c r="A11408" t="inlineStr">
        <is>
          <t>ED211622</t>
        </is>
      </c>
      <c r="B11408" s="56" t="n">
        <v>45987.71666666667</v>
      </c>
      <c r="C11408" t="inlineStr">
        <is>
          <t>Bluestone Memorial Hospital</t>
        </is>
      </c>
      <c r="D11408" t="n">
        <v>44</v>
      </c>
    </row>
    <row r="11409">
      <c r="A11409" t="inlineStr">
        <is>
          <t>ED211623</t>
        </is>
      </c>
      <c r="B11409" s="56" t="n">
        <v>45987.83680555555</v>
      </c>
      <c r="C11409" t="inlineStr">
        <is>
          <t>Bluestone Memorial Hospital</t>
        </is>
      </c>
      <c r="D11409" t="n">
        <v>42</v>
      </c>
    </row>
    <row r="11410">
      <c r="A11410" t="inlineStr">
        <is>
          <t>ED211624</t>
        </is>
      </c>
      <c r="B11410" s="56" t="n">
        <v>45987.95902777778</v>
      </c>
      <c r="C11410" t="inlineStr">
        <is>
          <t>Bluestone Memorial Hospital</t>
        </is>
      </c>
      <c r="D11410" t="n">
        <v>26</v>
      </c>
    </row>
    <row r="11411">
      <c r="A11411" t="inlineStr">
        <is>
          <t>ED211625</t>
        </is>
      </c>
      <c r="B11411" s="56" t="n">
        <v>45988.00625</v>
      </c>
      <c r="C11411" t="inlineStr">
        <is>
          <t>Ashby Falls Community Hospital</t>
        </is>
      </c>
      <c r="D11411" t="n">
        <v>37</v>
      </c>
    </row>
    <row r="11412">
      <c r="A11412" t="inlineStr">
        <is>
          <t>ED211626</t>
        </is>
      </c>
      <c r="B11412" s="56" t="n">
        <v>45988.15416666667</v>
      </c>
      <c r="C11412" t="inlineStr">
        <is>
          <t>Bluestone Memorial Hospital</t>
        </is>
      </c>
      <c r="D11412" t="n">
        <v>27</v>
      </c>
    </row>
    <row r="11413">
      <c r="A11413" t="inlineStr">
        <is>
          <t>ED211627</t>
        </is>
      </c>
      <c r="B11413" s="56" t="n">
        <v>45988.225</v>
      </c>
      <c r="C11413" t="inlineStr">
        <is>
          <t>Bluestone Memorial Hospital</t>
        </is>
      </c>
      <c r="D11413" t="n">
        <v>4</v>
      </c>
    </row>
    <row r="11414">
      <c r="A11414" t="inlineStr">
        <is>
          <t>ED211628</t>
        </is>
      </c>
      <c r="B11414" s="56" t="n">
        <v>45988.29166666666</v>
      </c>
      <c r="C11414" t="inlineStr">
        <is>
          <t>Bluestone Memorial Hospital</t>
        </is>
      </c>
      <c r="D11414" t="n">
        <v>9</v>
      </c>
    </row>
    <row r="11415">
      <c r="A11415" t="inlineStr">
        <is>
          <t>ED211629</t>
        </is>
      </c>
      <c r="B11415" s="56" t="n">
        <v>45988.34791666667</v>
      </c>
      <c r="C11415" t="inlineStr">
        <is>
          <t>Bluestone Memorial Hospital</t>
        </is>
      </c>
      <c r="D11415" t="n">
        <v>43</v>
      </c>
    </row>
    <row r="11416">
      <c r="A11416" t="inlineStr">
        <is>
          <t>ED211630</t>
        </is>
      </c>
      <c r="B11416" s="56" t="n">
        <v>45988.56597222222</v>
      </c>
      <c r="C11416" t="inlineStr">
        <is>
          <t>Bluestone Memorial Hospital</t>
        </is>
      </c>
      <c r="D11416" t="n">
        <v>14</v>
      </c>
    </row>
    <row r="11417">
      <c r="A11417" t="inlineStr">
        <is>
          <t>ED211631</t>
        </is>
      </c>
      <c r="B11417" s="56" t="n">
        <v>45988.59583333333</v>
      </c>
      <c r="C11417" t="inlineStr">
        <is>
          <t>Cedar Ridge Medical Center</t>
        </is>
      </c>
      <c r="D11417" t="n">
        <v>80</v>
      </c>
    </row>
    <row r="11418">
      <c r="A11418" t="inlineStr">
        <is>
          <t>ED211632</t>
        </is>
      </c>
      <c r="B11418" s="56" t="n">
        <v>45988.63958333333</v>
      </c>
      <c r="C11418" t="inlineStr">
        <is>
          <t>Bluestone Memorial Hospital</t>
        </is>
      </c>
      <c r="D11418" t="n">
        <v>32</v>
      </c>
    </row>
    <row r="11419">
      <c r="A11419" t="inlineStr">
        <is>
          <t>ED211633</t>
        </is>
      </c>
      <c r="B11419" s="56" t="n">
        <v>45988.65208333333</v>
      </c>
      <c r="C11419" t="inlineStr">
        <is>
          <t>Cedar Ridge Medical Center</t>
        </is>
      </c>
      <c r="D11419" t="n">
        <v>28</v>
      </c>
    </row>
    <row r="11420">
      <c r="A11420" t="inlineStr">
        <is>
          <t>ED211634</t>
        </is>
      </c>
      <c r="B11420" s="56" t="n">
        <v>45988.67291666667</v>
      </c>
      <c r="C11420" t="inlineStr">
        <is>
          <t>Bluestone Memorial Hospital</t>
        </is>
      </c>
      <c r="D11420" t="n">
        <v>57</v>
      </c>
    </row>
    <row r="11421">
      <c r="A11421" t="inlineStr">
        <is>
          <t>ED211635</t>
        </is>
      </c>
      <c r="B11421" s="56" t="n">
        <v>45988.71041666667</v>
      </c>
      <c r="C11421" t="inlineStr">
        <is>
          <t>Bluestone Memorial Hospital</t>
        </is>
      </c>
      <c r="D11421" t="n">
        <v>33</v>
      </c>
    </row>
    <row r="11422">
      <c r="A11422" t="inlineStr">
        <is>
          <t>ED211636</t>
        </is>
      </c>
      <c r="B11422" s="56" t="n">
        <v>45988.77013888889</v>
      </c>
      <c r="C11422" t="inlineStr">
        <is>
          <t>Bluestone Memorial Hospital</t>
        </is>
      </c>
      <c r="D11422" t="n">
        <v>61</v>
      </c>
    </row>
    <row r="11423">
      <c r="A11423" t="inlineStr">
        <is>
          <t>ED211637</t>
        </is>
      </c>
      <c r="B11423" s="56" t="n">
        <v>45988.78125</v>
      </c>
      <c r="C11423" t="inlineStr">
        <is>
          <t>Bluestone Memorial Hospital</t>
        </is>
      </c>
      <c r="D11423" t="n">
        <v>106</v>
      </c>
    </row>
    <row r="11424">
      <c r="A11424" t="inlineStr">
        <is>
          <t>ED211638</t>
        </is>
      </c>
      <c r="B11424" s="56" t="n">
        <v>45988.78611111111</v>
      </c>
      <c r="C11424" t="inlineStr">
        <is>
          <t>Bluestone Memorial Hospital</t>
        </is>
      </c>
      <c r="D11424" t="n">
        <v>55</v>
      </c>
    </row>
    <row r="11425">
      <c r="A11425" t="inlineStr">
        <is>
          <t>ED211639</t>
        </is>
      </c>
      <c r="B11425" s="56" t="n">
        <v>45988.81388888889</v>
      </c>
      <c r="C11425" t="inlineStr">
        <is>
          <t>Bluestone Memorial Hospital</t>
        </is>
      </c>
      <c r="D11425" t="n">
        <v>17</v>
      </c>
    </row>
    <row r="11426">
      <c r="A11426" t="inlineStr">
        <is>
          <t>ED211640</t>
        </is>
      </c>
      <c r="B11426" s="56" t="n">
        <v>45988.89513888889</v>
      </c>
      <c r="C11426" t="inlineStr">
        <is>
          <t>Bluestone Memorial Hospital</t>
        </is>
      </c>
      <c r="D11426" t="n">
        <v>120</v>
      </c>
    </row>
    <row r="11427">
      <c r="A11427" t="inlineStr">
        <is>
          <t>ED211641</t>
        </is>
      </c>
      <c r="B11427" s="56" t="n">
        <v>45988.89652777778</v>
      </c>
      <c r="C11427" t="inlineStr">
        <is>
          <t>Ashby Falls Community Hospital</t>
        </is>
      </c>
      <c r="D11427" t="n">
        <v>10</v>
      </c>
    </row>
    <row r="11428">
      <c r="A11428" t="inlineStr">
        <is>
          <t>ED211642</t>
        </is>
      </c>
      <c r="B11428" s="56" t="n">
        <v>45988.90208333333</v>
      </c>
      <c r="C11428" t="inlineStr">
        <is>
          <t>Bluestone Memorial Hospital</t>
        </is>
      </c>
      <c r="D11428" t="n">
        <v>25</v>
      </c>
    </row>
    <row r="11429">
      <c r="A11429" t="inlineStr">
        <is>
          <t>ED211643</t>
        </is>
      </c>
      <c r="B11429" s="56" t="n">
        <v>45988.92777777778</v>
      </c>
      <c r="C11429" t="inlineStr">
        <is>
          <t>Bluestone Memorial Hospital</t>
        </is>
      </c>
      <c r="D11429" t="n">
        <v>18</v>
      </c>
    </row>
    <row r="11430">
      <c r="A11430" t="inlineStr">
        <is>
          <t>ED211644</t>
        </is>
      </c>
      <c r="B11430" s="56" t="n">
        <v>45989.05902777778</v>
      </c>
      <c r="C11430" t="inlineStr">
        <is>
          <t>Bluestone Memorial Hospital</t>
        </is>
      </c>
      <c r="D11430" t="n">
        <v>37</v>
      </c>
    </row>
    <row r="11431">
      <c r="A11431" t="inlineStr">
        <is>
          <t>ED211645</t>
        </is>
      </c>
      <c r="B11431" s="56" t="n">
        <v>45989.06875</v>
      </c>
      <c r="C11431" t="inlineStr">
        <is>
          <t>Bluestone Memorial Hospital</t>
        </is>
      </c>
      <c r="D11431" t="n">
        <v>35</v>
      </c>
    </row>
    <row r="11432">
      <c r="A11432" t="inlineStr">
        <is>
          <t>ED211646</t>
        </is>
      </c>
      <c r="B11432" s="56" t="n">
        <v>45989.16944444444</v>
      </c>
      <c r="C11432" t="inlineStr">
        <is>
          <t>Bluestone Memorial Hospital</t>
        </is>
      </c>
      <c r="D11432" t="n">
        <v>2</v>
      </c>
    </row>
    <row r="11433">
      <c r="A11433" t="inlineStr">
        <is>
          <t>ED211647</t>
        </is>
      </c>
      <c r="B11433" s="56" t="n">
        <v>45989.24375</v>
      </c>
      <c r="C11433" t="inlineStr">
        <is>
          <t>Bluestone Memorial Hospital</t>
        </is>
      </c>
      <c r="D11433" t="n">
        <v>18</v>
      </c>
    </row>
    <row r="11434">
      <c r="A11434" t="inlineStr">
        <is>
          <t>ED211648</t>
        </is>
      </c>
      <c r="B11434" s="56" t="n">
        <v>45989.43333333333</v>
      </c>
      <c r="C11434" t="inlineStr">
        <is>
          <t>Bluestone Memorial Hospital</t>
        </is>
      </c>
      <c r="D11434" t="n">
        <v>99</v>
      </c>
    </row>
    <row r="11435">
      <c r="A11435" t="inlineStr">
        <is>
          <t>ED211649</t>
        </is>
      </c>
      <c r="B11435" s="56" t="n">
        <v>45989.43680555555</v>
      </c>
      <c r="C11435" t="inlineStr">
        <is>
          <t>Bluestone Memorial Hospital</t>
        </is>
      </c>
      <c r="D11435" t="n">
        <v>31</v>
      </c>
    </row>
    <row r="11436">
      <c r="A11436" t="inlineStr">
        <is>
          <t>ED211650</t>
        </is>
      </c>
      <c r="B11436" s="56" t="n">
        <v>45989.51527777778</v>
      </c>
      <c r="C11436" t="inlineStr">
        <is>
          <t>Ashby Falls Community Hospital</t>
        </is>
      </c>
      <c r="D11436" t="n">
        <v>16</v>
      </c>
    </row>
    <row r="11437">
      <c r="A11437" t="inlineStr">
        <is>
          <t>ED211651</t>
        </is>
      </c>
      <c r="B11437" s="56" t="n">
        <v>45989.56180555555</v>
      </c>
      <c r="C11437" t="inlineStr">
        <is>
          <t>Ashby Falls Community Hospital</t>
        </is>
      </c>
      <c r="D11437" t="n">
        <v>85</v>
      </c>
    </row>
    <row r="11438">
      <c r="A11438" t="inlineStr">
        <is>
          <t>ED211652</t>
        </is>
      </c>
      <c r="B11438" s="56" t="n">
        <v>45989.57569444444</v>
      </c>
      <c r="C11438" t="inlineStr">
        <is>
          <t>Bluestone Memorial Hospital</t>
        </is>
      </c>
      <c r="D11438" t="n">
        <v>76</v>
      </c>
    </row>
    <row r="11439">
      <c r="A11439" t="inlineStr">
        <is>
          <t>ED211653</t>
        </is>
      </c>
      <c r="B11439" s="56" t="n">
        <v>45989.63472222222</v>
      </c>
      <c r="C11439" t="inlineStr">
        <is>
          <t>Bluestone Memorial Hospital</t>
        </is>
      </c>
      <c r="D11439" t="n">
        <v>59</v>
      </c>
    </row>
    <row r="11440">
      <c r="A11440" t="inlineStr">
        <is>
          <t>ED211654</t>
        </is>
      </c>
      <c r="B11440" s="56" t="n">
        <v>45989.67222222222</v>
      </c>
      <c r="C11440" t="inlineStr">
        <is>
          <t>Bluestone Memorial Hospital</t>
        </is>
      </c>
      <c r="D11440" t="n">
        <v>36</v>
      </c>
    </row>
    <row r="11441">
      <c r="A11441" t="inlineStr">
        <is>
          <t>ED211655</t>
        </is>
      </c>
      <c r="B11441" s="56" t="n">
        <v>45989.67430555556</v>
      </c>
      <c r="C11441" t="inlineStr">
        <is>
          <t>Bluestone Memorial Hospital</t>
        </is>
      </c>
      <c r="D11441" t="n">
        <v>63</v>
      </c>
    </row>
    <row r="11442">
      <c r="A11442" t="inlineStr">
        <is>
          <t>ED211656</t>
        </is>
      </c>
      <c r="B11442" s="56" t="n">
        <v>45989.67708333334</v>
      </c>
      <c r="C11442" t="inlineStr">
        <is>
          <t>Ashby Falls Community Hospital</t>
        </is>
      </c>
      <c r="D11442" t="n">
        <v>19</v>
      </c>
    </row>
    <row r="11443">
      <c r="A11443" t="inlineStr">
        <is>
          <t>ED211657</t>
        </is>
      </c>
      <c r="B11443" s="56" t="n">
        <v>45989.72083333333</v>
      </c>
      <c r="C11443" t="inlineStr">
        <is>
          <t>Bluestone Memorial Hospital</t>
        </is>
      </c>
      <c r="D11443" t="n">
        <v>18</v>
      </c>
    </row>
    <row r="11444">
      <c r="A11444" t="inlineStr">
        <is>
          <t>ED211658</t>
        </is>
      </c>
      <c r="B11444" s="56" t="n">
        <v>45989.74166666667</v>
      </c>
      <c r="C11444" t="inlineStr">
        <is>
          <t>Bluestone Memorial Hospital</t>
        </is>
      </c>
      <c r="D11444" t="n">
        <v>25</v>
      </c>
    </row>
    <row r="11445">
      <c r="A11445" t="inlineStr">
        <is>
          <t>ED211659</t>
        </is>
      </c>
      <c r="B11445" s="56" t="n">
        <v>45989.75208333333</v>
      </c>
      <c r="C11445" t="inlineStr">
        <is>
          <t>Ashby Falls Community Hospital</t>
        </is>
      </c>
      <c r="D11445" t="n">
        <v>30</v>
      </c>
    </row>
    <row r="11446">
      <c r="A11446" t="inlineStr">
        <is>
          <t>ED211660</t>
        </is>
      </c>
      <c r="B11446" s="56" t="n">
        <v>45989.79513888889</v>
      </c>
      <c r="C11446" t="inlineStr">
        <is>
          <t>Bluestone Memorial Hospital</t>
        </is>
      </c>
      <c r="D11446" t="n">
        <v>34</v>
      </c>
    </row>
    <row r="11447">
      <c r="A11447" t="inlineStr">
        <is>
          <t>ED211661</t>
        </is>
      </c>
      <c r="B11447" s="56" t="n">
        <v>45989.82777777778</v>
      </c>
      <c r="C11447" t="inlineStr">
        <is>
          <t>Bluestone Memorial Hospital</t>
        </is>
      </c>
      <c r="D11447" t="n">
        <v>22</v>
      </c>
    </row>
    <row r="11448">
      <c r="A11448" t="inlineStr">
        <is>
          <t>ED211662</t>
        </is>
      </c>
      <c r="B11448" s="56" t="n">
        <v>45989.82986111111</v>
      </c>
      <c r="C11448" t="inlineStr">
        <is>
          <t>Cedar Ridge Medical Center</t>
        </is>
      </c>
      <c r="D11448" t="n">
        <v>99</v>
      </c>
    </row>
    <row r="11449">
      <c r="A11449" t="inlineStr">
        <is>
          <t>ED211663</t>
        </is>
      </c>
      <c r="B11449" s="56" t="n">
        <v>45989.84236111111</v>
      </c>
      <c r="C11449" t="inlineStr">
        <is>
          <t>Ashby Falls Community Hospital</t>
        </is>
      </c>
      <c r="D11449" t="n">
        <v>30</v>
      </c>
    </row>
    <row r="11450">
      <c r="A11450" t="inlineStr">
        <is>
          <t>ED211664</t>
        </is>
      </c>
      <c r="B11450" s="56" t="n">
        <v>45990.29722222222</v>
      </c>
      <c r="C11450" t="inlineStr">
        <is>
          <t>Bluestone Memorial Hospital</t>
        </is>
      </c>
      <c r="D11450" t="n">
        <v>41</v>
      </c>
    </row>
    <row r="11451">
      <c r="A11451" t="inlineStr">
        <is>
          <t>ED211665</t>
        </is>
      </c>
      <c r="B11451" s="56" t="n">
        <v>45990.36875</v>
      </c>
      <c r="C11451" t="inlineStr">
        <is>
          <t>Bluestone Memorial Hospital</t>
        </is>
      </c>
      <c r="D11451" t="n">
        <v>39</v>
      </c>
    </row>
    <row r="11452">
      <c r="A11452" t="inlineStr">
        <is>
          <t>ED211666</t>
        </is>
      </c>
      <c r="B11452" s="56" t="n">
        <v>45990.40902777778</v>
      </c>
      <c r="C11452" t="inlineStr">
        <is>
          <t>Bluestone Memorial Hospital</t>
        </is>
      </c>
      <c r="D11452" t="n">
        <v>32</v>
      </c>
    </row>
    <row r="11453">
      <c r="A11453" t="inlineStr">
        <is>
          <t>ED211667</t>
        </is>
      </c>
      <c r="B11453" s="56" t="n">
        <v>45990.42986111111</v>
      </c>
      <c r="C11453" t="inlineStr">
        <is>
          <t>Bluestone Memorial Hospital</t>
        </is>
      </c>
      <c r="D11453" t="n">
        <v>10</v>
      </c>
    </row>
    <row r="11454">
      <c r="A11454" t="inlineStr">
        <is>
          <t>ED211668</t>
        </is>
      </c>
      <c r="B11454" s="56" t="n">
        <v>45990.43125</v>
      </c>
      <c r="C11454" t="inlineStr">
        <is>
          <t>Bluestone Memorial Hospital</t>
        </is>
      </c>
      <c r="D11454" t="n">
        <v>33</v>
      </c>
    </row>
    <row r="11455">
      <c r="A11455" t="inlineStr">
        <is>
          <t>ED211669</t>
        </is>
      </c>
      <c r="B11455" s="56" t="n">
        <v>45990.44930555556</v>
      </c>
      <c r="C11455" t="inlineStr">
        <is>
          <t>Cedar Ridge Medical Center</t>
        </is>
      </c>
      <c r="D11455" t="n">
        <v>41</v>
      </c>
    </row>
    <row r="11456">
      <c r="A11456" t="inlineStr">
        <is>
          <t>ED211670</t>
        </is>
      </c>
      <c r="B11456" s="56" t="n">
        <v>45990.45416666667</v>
      </c>
      <c r="C11456" t="inlineStr">
        <is>
          <t>Bluestone Memorial Hospital</t>
        </is>
      </c>
      <c r="D11456" t="n">
        <v>22</v>
      </c>
    </row>
    <row r="11457">
      <c r="A11457" t="inlineStr">
        <is>
          <t>ED211671</t>
        </is>
      </c>
      <c r="B11457" s="56" t="n">
        <v>45990.62361111111</v>
      </c>
      <c r="C11457" t="inlineStr">
        <is>
          <t>Ashby Falls Community Hospital</t>
        </is>
      </c>
      <c r="D11457" t="n">
        <v>3</v>
      </c>
    </row>
    <row r="11458">
      <c r="A11458" t="inlineStr">
        <is>
          <t>ED211672</t>
        </is>
      </c>
      <c r="B11458" s="56" t="n">
        <v>45990.70069444444</v>
      </c>
      <c r="C11458" t="inlineStr">
        <is>
          <t>Ashby Falls Community Hospital</t>
        </is>
      </c>
      <c r="D11458" t="n">
        <v>32</v>
      </c>
    </row>
    <row r="11459">
      <c r="A11459" t="inlineStr">
        <is>
          <t>ED211673</t>
        </is>
      </c>
      <c r="B11459" s="56" t="n">
        <v>45990.72847222222</v>
      </c>
      <c r="C11459" t="inlineStr">
        <is>
          <t>Cedar Ridge Medical Center</t>
        </is>
      </c>
      <c r="D11459" t="n">
        <v>17</v>
      </c>
    </row>
    <row r="11460">
      <c r="A11460" t="inlineStr">
        <is>
          <t>ED211674</t>
        </is>
      </c>
      <c r="B11460" s="56" t="n">
        <v>45990.74930555555</v>
      </c>
      <c r="C11460" t="inlineStr">
        <is>
          <t>Bluestone Memorial Hospital</t>
        </is>
      </c>
      <c r="D11460" t="n">
        <v>45</v>
      </c>
    </row>
    <row r="11461">
      <c r="A11461" t="inlineStr">
        <is>
          <t>ED211675</t>
        </is>
      </c>
      <c r="B11461" s="56" t="n">
        <v>45990.78194444445</v>
      </c>
      <c r="C11461" t="inlineStr">
        <is>
          <t>Bluestone Memorial Hospital</t>
        </is>
      </c>
      <c r="D11461" t="n">
        <v>36</v>
      </c>
    </row>
    <row r="11462">
      <c r="A11462" t="inlineStr">
        <is>
          <t>ED211676</t>
        </is>
      </c>
      <c r="B11462" s="56" t="n">
        <v>45990.79861111111</v>
      </c>
      <c r="C11462" t="inlineStr">
        <is>
          <t>Bluestone Memorial Hospital</t>
        </is>
      </c>
      <c r="D11462" t="n">
        <v>106</v>
      </c>
    </row>
    <row r="11463">
      <c r="A11463" t="inlineStr">
        <is>
          <t>ED211677</t>
        </is>
      </c>
      <c r="B11463" s="56" t="n">
        <v>45990.84722222222</v>
      </c>
      <c r="C11463" t="inlineStr">
        <is>
          <t>Bluestone Memorial Hospital</t>
        </is>
      </c>
      <c r="D11463" t="n">
        <v>134</v>
      </c>
    </row>
    <row r="11464">
      <c r="A11464" t="inlineStr">
        <is>
          <t>ED211678</t>
        </is>
      </c>
      <c r="B11464" s="56" t="n">
        <v>45990.99513888889</v>
      </c>
      <c r="C11464" t="inlineStr">
        <is>
          <t>Bluestone Memorial Hospital</t>
        </is>
      </c>
      <c r="D11464" t="n">
        <v>19</v>
      </c>
    </row>
    <row r="11465">
      <c r="A11465" t="inlineStr">
        <is>
          <t>ED211679</t>
        </is>
      </c>
      <c r="B11465" s="56" t="n">
        <v>45991.15555555555</v>
      </c>
      <c r="C11465" t="inlineStr">
        <is>
          <t>Bluestone Memorial Hospital</t>
        </is>
      </c>
      <c r="D11465" t="n">
        <v>29</v>
      </c>
    </row>
    <row r="11466">
      <c r="A11466" t="inlineStr">
        <is>
          <t>ED211680</t>
        </is>
      </c>
      <c r="B11466" s="56" t="n">
        <v>45991.15972222222</v>
      </c>
      <c r="C11466" t="inlineStr">
        <is>
          <t>Cedar Ridge Medical Center</t>
        </is>
      </c>
      <c r="D11466" t="n">
        <v>9</v>
      </c>
    </row>
    <row r="11467">
      <c r="A11467" t="inlineStr">
        <is>
          <t>ED211681</t>
        </is>
      </c>
      <c r="B11467" s="56" t="n">
        <v>45991.28958333333</v>
      </c>
      <c r="C11467" t="inlineStr">
        <is>
          <t>Bluestone Memorial Hospital</t>
        </is>
      </c>
      <c r="D11467" t="n">
        <v>31</v>
      </c>
    </row>
    <row r="11468">
      <c r="A11468" t="inlineStr">
        <is>
          <t>ED211682</t>
        </is>
      </c>
      <c r="B11468" s="56" t="n">
        <v>45991.43194444444</v>
      </c>
      <c r="C11468" t="inlineStr">
        <is>
          <t>Bluestone Memorial Hospital</t>
        </is>
      </c>
      <c r="D11468" t="n">
        <v>18</v>
      </c>
    </row>
    <row r="11469">
      <c r="A11469" t="inlineStr">
        <is>
          <t>ED211683</t>
        </is>
      </c>
      <c r="B11469" s="56" t="n">
        <v>45991.44375</v>
      </c>
      <c r="C11469" t="inlineStr">
        <is>
          <t>Bluestone Memorial Hospital</t>
        </is>
      </c>
      <c r="D11469" t="n">
        <v>18</v>
      </c>
    </row>
    <row r="11470">
      <c r="A11470" t="inlineStr">
        <is>
          <t>ED211684</t>
        </is>
      </c>
      <c r="B11470" s="56" t="n">
        <v>45991.50069444445</v>
      </c>
      <c r="C11470" t="inlineStr">
        <is>
          <t>Cedar Ridge Medical Center</t>
        </is>
      </c>
      <c r="D11470" t="n">
        <v>13</v>
      </c>
    </row>
    <row r="11471">
      <c r="A11471" t="inlineStr">
        <is>
          <t>ED211685</t>
        </is>
      </c>
      <c r="B11471" s="56" t="n">
        <v>45991.54027777778</v>
      </c>
      <c r="C11471" t="inlineStr">
        <is>
          <t>Bluestone Memorial Hospital</t>
        </is>
      </c>
      <c r="D11471" t="n">
        <v>57</v>
      </c>
    </row>
    <row r="11472">
      <c r="A11472" t="inlineStr">
        <is>
          <t>ED211686</t>
        </is>
      </c>
      <c r="B11472" s="56" t="n">
        <v>45991.58055555556</v>
      </c>
      <c r="C11472" t="inlineStr">
        <is>
          <t>Cedar Ridge Medical Center</t>
        </is>
      </c>
      <c r="D11472" t="n">
        <v>48</v>
      </c>
    </row>
    <row r="11473">
      <c r="A11473" t="inlineStr">
        <is>
          <t>ED211687</t>
        </is>
      </c>
      <c r="B11473" s="56" t="n">
        <v>45991.59861111111</v>
      </c>
      <c r="C11473" t="inlineStr">
        <is>
          <t>Bluestone Memorial Hospital</t>
        </is>
      </c>
      <c r="D11473" t="n">
        <v>118</v>
      </c>
    </row>
    <row r="11474">
      <c r="A11474" t="inlineStr">
        <is>
          <t>ED211688</t>
        </is>
      </c>
      <c r="B11474" s="56" t="n">
        <v>45991.61458333334</v>
      </c>
      <c r="C11474" t="inlineStr">
        <is>
          <t>Ashby Falls Community Hospital</t>
        </is>
      </c>
      <c r="D11474" t="n">
        <v>85</v>
      </c>
    </row>
    <row r="11475">
      <c r="A11475" t="inlineStr">
        <is>
          <t>ED211689</t>
        </is>
      </c>
      <c r="B11475" s="56" t="n">
        <v>45991.65069444444</v>
      </c>
      <c r="C11475" t="inlineStr">
        <is>
          <t>Ashby Falls Community Hospital</t>
        </is>
      </c>
      <c r="D11475" t="n">
        <v>58</v>
      </c>
    </row>
    <row r="11476">
      <c r="A11476" t="inlineStr">
        <is>
          <t>ED211690</t>
        </is>
      </c>
      <c r="B11476" s="56" t="n">
        <v>45991.70416666667</v>
      </c>
      <c r="C11476" t="inlineStr">
        <is>
          <t>Bluestone Memorial Hospital</t>
        </is>
      </c>
      <c r="D11476" t="n">
        <v>17</v>
      </c>
    </row>
    <row r="11477">
      <c r="A11477" t="inlineStr">
        <is>
          <t>ED211691</t>
        </is>
      </c>
      <c r="B11477" s="56" t="n">
        <v>45991.72013888889</v>
      </c>
      <c r="C11477" t="inlineStr">
        <is>
          <t>Bluestone Memorial Hospital</t>
        </is>
      </c>
      <c r="D11477" t="n">
        <v>39</v>
      </c>
    </row>
    <row r="11478">
      <c r="A11478" t="inlineStr">
        <is>
          <t>ED211692</t>
        </is>
      </c>
      <c r="B11478" s="56" t="n">
        <v>45991.72291666667</v>
      </c>
      <c r="C11478" t="inlineStr">
        <is>
          <t>Bluestone Memorial Hospital</t>
        </is>
      </c>
      <c r="D11478" t="n">
        <v>99</v>
      </c>
    </row>
    <row r="11479">
      <c r="A11479" t="inlineStr">
        <is>
          <t>ED211693</t>
        </is>
      </c>
      <c r="B11479" s="56" t="n">
        <v>45991.72430555556</v>
      </c>
      <c r="C11479" t="inlineStr">
        <is>
          <t>Cedar Ridge Medical Center</t>
        </is>
      </c>
      <c r="D11479" t="n">
        <v>32</v>
      </c>
    </row>
    <row r="11480">
      <c r="A11480" t="inlineStr">
        <is>
          <t>ED211694</t>
        </is>
      </c>
      <c r="B11480" s="56" t="n">
        <v>45991.73611111111</v>
      </c>
      <c r="C11480" t="inlineStr">
        <is>
          <t>Bluestone Memorial Hospital</t>
        </is>
      </c>
      <c r="D11480" t="n">
        <v>113</v>
      </c>
    </row>
    <row r="11481">
      <c r="A11481" t="inlineStr">
        <is>
          <t>ED211695</t>
        </is>
      </c>
      <c r="B11481" s="56" t="n">
        <v>45991.80277777778</v>
      </c>
      <c r="C11481" t="inlineStr">
        <is>
          <t>Bluestone Memorial Hospital</t>
        </is>
      </c>
      <c r="D11481" t="n">
        <v>34</v>
      </c>
    </row>
    <row r="11482">
      <c r="A11482" t="inlineStr">
        <is>
          <t>ED211696</t>
        </is>
      </c>
      <c r="B11482" s="56" t="n">
        <v>45991.87361111111</v>
      </c>
      <c r="C11482" t="inlineStr">
        <is>
          <t>Bluestone Memorial Hospital</t>
        </is>
      </c>
      <c r="D11482" t="n">
        <v>45</v>
      </c>
    </row>
    <row r="11483">
      <c r="A11483" t="inlineStr">
        <is>
          <t>ED211697</t>
        </is>
      </c>
      <c r="B11483" s="56" t="n">
        <v>45991.90694444445</v>
      </c>
      <c r="C11483" t="inlineStr">
        <is>
          <t>Bluestone Memorial Hospital</t>
        </is>
      </c>
      <c r="D11483" t="n">
        <v>102</v>
      </c>
    </row>
    <row r="11484">
      <c r="A11484" t="inlineStr">
        <is>
          <t>ED211698</t>
        </is>
      </c>
      <c r="B11484" s="56" t="n">
        <v>45992.12291666667</v>
      </c>
      <c r="C11484" t="inlineStr">
        <is>
          <t>Bluestone Memorial Hospital</t>
        </is>
      </c>
      <c r="D11484" t="n">
        <v>54</v>
      </c>
    </row>
    <row r="11485">
      <c r="A11485" t="inlineStr">
        <is>
          <t>ED211699</t>
        </is>
      </c>
      <c r="B11485" s="56" t="n">
        <v>45992.34027777778</v>
      </c>
      <c r="C11485" t="inlineStr">
        <is>
          <t>Bluestone Memorial Hospital</t>
        </is>
      </c>
      <c r="D11485" t="n">
        <v>78</v>
      </c>
    </row>
    <row r="11486">
      <c r="A11486" t="inlineStr">
        <is>
          <t>ED211700</t>
        </is>
      </c>
      <c r="B11486" s="56" t="n">
        <v>45992.35763888889</v>
      </c>
      <c r="C11486" t="inlineStr">
        <is>
          <t>Bluestone Memorial Hospital</t>
        </is>
      </c>
      <c r="D11486" t="n">
        <v>8</v>
      </c>
    </row>
    <row r="11487">
      <c r="A11487" t="inlineStr">
        <is>
          <t>ED211701</t>
        </is>
      </c>
      <c r="B11487" s="56" t="n">
        <v>45992.37430555555</v>
      </c>
      <c r="C11487" t="inlineStr">
        <is>
          <t>Bluestone Memorial Hospital</t>
        </is>
      </c>
      <c r="D11487" t="n">
        <v>55</v>
      </c>
    </row>
    <row r="11488">
      <c r="A11488" t="inlineStr">
        <is>
          <t>ED211702</t>
        </is>
      </c>
      <c r="B11488" s="56" t="n">
        <v>45992.42986111111</v>
      </c>
      <c r="C11488" t="inlineStr">
        <is>
          <t>Ashby Falls Community Hospital</t>
        </is>
      </c>
      <c r="D11488" t="n">
        <v>98</v>
      </c>
    </row>
    <row r="11489">
      <c r="A11489" t="inlineStr">
        <is>
          <t>ED211704</t>
        </is>
      </c>
      <c r="B11489" s="56" t="n">
        <v>45992.49375</v>
      </c>
      <c r="C11489" t="inlineStr">
        <is>
          <t>Bluestone Memorial Hospital</t>
        </is>
      </c>
      <c r="D11489" t="n">
        <v>3</v>
      </c>
    </row>
    <row r="11490">
      <c r="A11490" t="inlineStr">
        <is>
          <t>ED211705</t>
        </is>
      </c>
      <c r="B11490" s="56" t="n">
        <v>45992.5</v>
      </c>
      <c r="C11490" t="inlineStr">
        <is>
          <t>Bluestone Memorial Hospital</t>
        </is>
      </c>
      <c r="D11490" t="n">
        <v>162</v>
      </c>
    </row>
    <row r="11491">
      <c r="A11491" t="inlineStr">
        <is>
          <t>ED211706</t>
        </is>
      </c>
      <c r="B11491" s="56" t="n">
        <v>45992.5125</v>
      </c>
      <c r="C11491" t="inlineStr">
        <is>
          <t>Cedar Ridge Medical Center</t>
        </is>
      </c>
      <c r="D11491" t="n">
        <v>2</v>
      </c>
    </row>
    <row r="11492">
      <c r="A11492" t="inlineStr">
        <is>
          <t>ED211707</t>
        </is>
      </c>
      <c r="B11492" s="56" t="n">
        <v>45992.55138888889</v>
      </c>
      <c r="C11492" t="inlineStr">
        <is>
          <t>Bluestone Memorial Hospital</t>
        </is>
      </c>
      <c r="D11492" t="n">
        <v>71</v>
      </c>
    </row>
    <row r="11493">
      <c r="A11493" t="inlineStr">
        <is>
          <t>ED211708</t>
        </is>
      </c>
      <c r="B11493" s="56" t="n">
        <v>45992.59166666667</v>
      </c>
      <c r="C11493" t="inlineStr">
        <is>
          <t>Cedar Ridge Medical Center</t>
        </is>
      </c>
      <c r="D11493" t="n">
        <v>52</v>
      </c>
    </row>
    <row r="11494">
      <c r="A11494" t="inlineStr">
        <is>
          <t>ED211709</t>
        </is>
      </c>
      <c r="B11494" s="56" t="n">
        <v>45992.64097222222</v>
      </c>
      <c r="C11494" t="inlineStr">
        <is>
          <t>Bluestone Memorial Hospital</t>
        </is>
      </c>
      <c r="D11494" t="n">
        <v>33</v>
      </c>
    </row>
    <row r="11495">
      <c r="A11495" t="inlineStr">
        <is>
          <t>ED211710</t>
        </is>
      </c>
      <c r="B11495" s="56" t="n">
        <v>45992.69236111111</v>
      </c>
      <c r="C11495" t="inlineStr">
        <is>
          <t>Bluestone Memorial Hospital</t>
        </is>
      </c>
      <c r="D11495" t="n">
        <v>52</v>
      </c>
    </row>
    <row r="11496">
      <c r="A11496" t="inlineStr">
        <is>
          <t>ED211711</t>
        </is>
      </c>
      <c r="B11496" s="56" t="n">
        <v>45992.74791666667</v>
      </c>
      <c r="C11496" t="inlineStr">
        <is>
          <t>Cedar Ridge Medical Center</t>
        </is>
      </c>
      <c r="D11496" t="n">
        <v>105</v>
      </c>
    </row>
    <row r="11497">
      <c r="A11497" t="inlineStr">
        <is>
          <t>ED211712</t>
        </is>
      </c>
      <c r="B11497" s="56" t="n">
        <v>45992.75555555556</v>
      </c>
      <c r="C11497" t="inlineStr">
        <is>
          <t>Cedar Ridge Medical Center</t>
        </is>
      </c>
      <c r="D11497" t="n">
        <v>20</v>
      </c>
    </row>
    <row r="11498">
      <c r="A11498" t="inlineStr">
        <is>
          <t>ED211713</t>
        </is>
      </c>
      <c r="B11498" s="56" t="n">
        <v>45992.83472222222</v>
      </c>
      <c r="C11498" t="inlineStr">
        <is>
          <t>Bluestone Memorial Hospital</t>
        </is>
      </c>
      <c r="D11498" t="n">
        <v>31</v>
      </c>
    </row>
    <row r="11499">
      <c r="A11499" t="inlineStr">
        <is>
          <t>ED211714</t>
        </is>
      </c>
      <c r="B11499" s="56" t="n">
        <v>45992.83611111111</v>
      </c>
      <c r="C11499" t="inlineStr">
        <is>
          <t>Ashby Falls Community Hospital</t>
        </is>
      </c>
      <c r="D11499" t="n">
        <v>87</v>
      </c>
    </row>
    <row r="11500">
      <c r="A11500" t="inlineStr">
        <is>
          <t>ED211715</t>
        </is>
      </c>
      <c r="B11500" s="56" t="n">
        <v>45992.84583333333</v>
      </c>
      <c r="C11500" t="inlineStr">
        <is>
          <t>Cedar Ridge Medical Center</t>
        </is>
      </c>
      <c r="D11500" t="n">
        <v>29</v>
      </c>
    </row>
    <row r="11501">
      <c r="A11501" t="inlineStr">
        <is>
          <t>ED211716</t>
        </is>
      </c>
      <c r="B11501" s="56" t="n">
        <v>45992.89097222222</v>
      </c>
      <c r="C11501" t="inlineStr">
        <is>
          <t>Bluestone Memorial Hospital</t>
        </is>
      </c>
      <c r="D11501" t="n">
        <v>66</v>
      </c>
    </row>
    <row r="11502">
      <c r="A11502" t="inlineStr">
        <is>
          <t>ED211717</t>
        </is>
      </c>
      <c r="B11502" s="56" t="n">
        <v>45992.92083333333</v>
      </c>
      <c r="C11502" t="inlineStr">
        <is>
          <t>Bluestone Memorial Hospital</t>
        </is>
      </c>
      <c r="D11502" t="n">
        <v>53</v>
      </c>
    </row>
    <row r="11503">
      <c r="A11503" t="inlineStr">
        <is>
          <t>ED211718</t>
        </is>
      </c>
      <c r="B11503" s="56" t="n">
        <v>45992.95347222222</v>
      </c>
      <c r="C11503" t="inlineStr">
        <is>
          <t>Bluestone Memorial Hospital</t>
        </is>
      </c>
      <c r="D11503" t="n">
        <v>19</v>
      </c>
    </row>
    <row r="11504">
      <c r="A11504" t="inlineStr">
        <is>
          <t>ED211719</t>
        </is>
      </c>
      <c r="B11504" s="56" t="n">
        <v>45993.19236111111</v>
      </c>
      <c r="C11504" t="inlineStr">
        <is>
          <t>Bluestone Memorial Hospital</t>
        </is>
      </c>
      <c r="D11504" t="n">
        <v>13</v>
      </c>
    </row>
    <row r="11505">
      <c r="A11505" t="inlineStr">
        <is>
          <t>ED211720</t>
        </is>
      </c>
      <c r="B11505" s="56" t="n">
        <v>45993.23055555556</v>
      </c>
      <c r="C11505" t="inlineStr">
        <is>
          <t>Bluestone Memorial Hospital</t>
        </is>
      </c>
      <c r="D11505" t="n">
        <v>38</v>
      </c>
    </row>
    <row r="11506">
      <c r="A11506" t="inlineStr">
        <is>
          <t>ED211721</t>
        </is>
      </c>
      <c r="B11506" s="56" t="n">
        <v>45993.32708333333</v>
      </c>
      <c r="C11506" t="inlineStr">
        <is>
          <t>Bluestone Memorial Hospital</t>
        </is>
      </c>
      <c r="D11506" t="n">
        <v>47</v>
      </c>
    </row>
    <row r="11507">
      <c r="A11507" t="inlineStr">
        <is>
          <t>ED211722</t>
        </is>
      </c>
      <c r="B11507" s="56" t="n">
        <v>45993.33888888889</v>
      </c>
      <c r="C11507" t="inlineStr">
        <is>
          <t>Cedar Ridge Medical Center</t>
        </is>
      </c>
      <c r="D11507" t="n">
        <v>73</v>
      </c>
    </row>
    <row r="11508">
      <c r="A11508" t="inlineStr">
        <is>
          <t>ED211723</t>
        </is>
      </c>
      <c r="B11508" s="56" t="n">
        <v>45993.425</v>
      </c>
      <c r="C11508" t="inlineStr">
        <is>
          <t>Bluestone Memorial Hospital</t>
        </is>
      </c>
      <c r="D11508" t="n">
        <v>127</v>
      </c>
    </row>
    <row r="11509">
      <c r="A11509" t="inlineStr">
        <is>
          <t>ED211724</t>
        </is>
      </c>
      <c r="B11509" s="56" t="n">
        <v>45993.46736111111</v>
      </c>
      <c r="C11509" t="inlineStr">
        <is>
          <t>Bluestone Memorial Hospital</t>
        </is>
      </c>
      <c r="D11509" t="n">
        <v>3</v>
      </c>
    </row>
    <row r="11510">
      <c r="A11510" t="inlineStr">
        <is>
          <t>ED211725</t>
        </is>
      </c>
      <c r="B11510" s="56" t="n">
        <v>45993.48541666667</v>
      </c>
      <c r="C11510" t="inlineStr">
        <is>
          <t>Bluestone Memorial Hospital</t>
        </is>
      </c>
      <c r="D11510" t="n">
        <v>146</v>
      </c>
    </row>
    <row r="11511">
      <c r="A11511" t="inlineStr">
        <is>
          <t>ED211726</t>
        </is>
      </c>
      <c r="B11511" s="56" t="n">
        <v>45993.48888888889</v>
      </c>
      <c r="C11511" t="inlineStr">
        <is>
          <t>Bluestone Memorial Hospital</t>
        </is>
      </c>
      <c r="D11511" t="n">
        <v>30</v>
      </c>
    </row>
    <row r="11512">
      <c r="A11512" t="inlineStr">
        <is>
          <t>ED211727</t>
        </is>
      </c>
      <c r="B11512" s="56" t="n">
        <v>45993.56736111111</v>
      </c>
      <c r="C11512" t="inlineStr">
        <is>
          <t>Bluestone Memorial Hospital</t>
        </is>
      </c>
      <c r="D11512" t="n">
        <v>28</v>
      </c>
    </row>
    <row r="11513">
      <c r="A11513" t="inlineStr">
        <is>
          <t>ED211728</t>
        </is>
      </c>
      <c r="B11513" s="56" t="n">
        <v>45993.58888888889</v>
      </c>
      <c r="C11513" t="inlineStr">
        <is>
          <t>Bluestone Memorial Hospital</t>
        </is>
      </c>
      <c r="D11513" t="n">
        <v>44</v>
      </c>
    </row>
    <row r="11514">
      <c r="A11514" t="inlineStr">
        <is>
          <t>ED211729</t>
        </is>
      </c>
      <c r="B11514" s="56" t="n">
        <v>45993.60902777778</v>
      </c>
      <c r="C11514" t="inlineStr">
        <is>
          <t>Bluestone Memorial Hospital</t>
        </is>
      </c>
      <c r="D11514" t="n">
        <v>39</v>
      </c>
    </row>
    <row r="11515">
      <c r="A11515" t="inlineStr">
        <is>
          <t>ED211730</t>
        </is>
      </c>
      <c r="B11515" s="56" t="n">
        <v>45993.67083333333</v>
      </c>
      <c r="C11515" t="inlineStr">
        <is>
          <t>Cedar Ridge Medical Center</t>
        </is>
      </c>
      <c r="D11515" t="n">
        <v>103</v>
      </c>
    </row>
    <row r="11516">
      <c r="A11516" t="inlineStr">
        <is>
          <t>ED211731</t>
        </is>
      </c>
      <c r="B11516" s="56" t="n">
        <v>45993.67152777778</v>
      </c>
      <c r="C11516" t="inlineStr">
        <is>
          <t>Ashby Falls Community Hospital</t>
        </is>
      </c>
      <c r="D11516" t="n">
        <v>99</v>
      </c>
    </row>
    <row r="11517">
      <c r="A11517" t="inlineStr">
        <is>
          <t>ED211732</t>
        </is>
      </c>
      <c r="B11517" s="56" t="n">
        <v>45993.68194444444</v>
      </c>
      <c r="C11517" t="inlineStr">
        <is>
          <t>Bluestone Memorial Hospital</t>
        </is>
      </c>
      <c r="D11517" t="n">
        <v>23</v>
      </c>
    </row>
    <row r="11518">
      <c r="A11518" t="inlineStr">
        <is>
          <t>ED211733</t>
        </is>
      </c>
      <c r="B11518" s="56" t="n">
        <v>45993.68541666667</v>
      </c>
      <c r="C11518" t="inlineStr">
        <is>
          <t>Bluestone Memorial Hospital</t>
        </is>
      </c>
      <c r="D11518" t="n">
        <v>74</v>
      </c>
    </row>
    <row r="11519">
      <c r="A11519" t="inlineStr">
        <is>
          <t>ED211734</t>
        </is>
      </c>
      <c r="B11519" s="56" t="n">
        <v>45993.74375</v>
      </c>
      <c r="C11519" t="inlineStr">
        <is>
          <t>Bluestone Memorial Hospital</t>
        </is>
      </c>
      <c r="D11519" t="n">
        <v>40</v>
      </c>
    </row>
    <row r="11520">
      <c r="A11520" t="inlineStr">
        <is>
          <t>ED211735</t>
        </is>
      </c>
      <c r="B11520" s="56" t="n">
        <v>45993.775</v>
      </c>
      <c r="C11520" t="inlineStr">
        <is>
          <t>Cedar Ridge Medical Center</t>
        </is>
      </c>
      <c r="D11520" t="n">
        <v>58</v>
      </c>
    </row>
    <row r="11521">
      <c r="A11521" t="inlineStr">
        <is>
          <t>ED211736</t>
        </is>
      </c>
      <c r="B11521" s="56" t="n">
        <v>45993.82847222222</v>
      </c>
      <c r="C11521" t="inlineStr">
        <is>
          <t>Bluestone Memorial Hospital</t>
        </is>
      </c>
      <c r="D11521" t="n">
        <v>20</v>
      </c>
    </row>
    <row r="11522">
      <c r="A11522" t="inlineStr">
        <is>
          <t>ED211737</t>
        </is>
      </c>
      <c r="B11522" s="56" t="n">
        <v>45993.83402777778</v>
      </c>
      <c r="C11522" t="inlineStr">
        <is>
          <t>Bluestone Memorial Hospital</t>
        </is>
      </c>
      <c r="D11522" t="n">
        <v>49</v>
      </c>
    </row>
    <row r="11523">
      <c r="A11523" t="inlineStr">
        <is>
          <t>ED211738</t>
        </is>
      </c>
      <c r="B11523" s="56" t="n">
        <v>45993.92708333334</v>
      </c>
      <c r="C11523" t="inlineStr">
        <is>
          <t>Bluestone Memorial Hospital</t>
        </is>
      </c>
      <c r="D11523" t="n">
        <v>1</v>
      </c>
    </row>
    <row r="11524">
      <c r="A11524" t="inlineStr">
        <is>
          <t>ED211739</t>
        </is>
      </c>
      <c r="B11524" s="56" t="n">
        <v>45994.00208333333</v>
      </c>
      <c r="C11524" t="inlineStr">
        <is>
          <t>Cedar Ridge Medical Center</t>
        </is>
      </c>
      <c r="D11524" t="n">
        <v>7</v>
      </c>
    </row>
    <row r="11525">
      <c r="A11525" t="inlineStr">
        <is>
          <t>ED211740</t>
        </is>
      </c>
      <c r="B11525" s="56" t="n">
        <v>45994.10694444444</v>
      </c>
      <c r="C11525" t="inlineStr">
        <is>
          <t>Ashby Falls Community Hospital</t>
        </is>
      </c>
      <c r="D11525" t="n">
        <v>12</v>
      </c>
    </row>
    <row r="11526">
      <c r="A11526" t="inlineStr">
        <is>
          <t>ED211741</t>
        </is>
      </c>
      <c r="B11526" s="56" t="n">
        <v>45994.19513888889</v>
      </c>
      <c r="C11526" t="inlineStr">
        <is>
          <t>Bluestone Memorial Hospital</t>
        </is>
      </c>
      <c r="D11526" t="n">
        <v>28</v>
      </c>
    </row>
    <row r="11527">
      <c r="A11527" t="inlineStr">
        <is>
          <t>ED211742</t>
        </is>
      </c>
      <c r="B11527" s="56" t="n">
        <v>45994.4</v>
      </c>
      <c r="C11527" t="inlineStr">
        <is>
          <t>Cedar Ridge Medical Center</t>
        </is>
      </c>
      <c r="D11527" t="n">
        <v>53</v>
      </c>
    </row>
    <row r="11528">
      <c r="A11528" t="inlineStr">
        <is>
          <t>ED211743</t>
        </is>
      </c>
      <c r="B11528" s="56" t="n">
        <v>45994.42291666667</v>
      </c>
      <c r="C11528" t="inlineStr">
        <is>
          <t>Bluestone Memorial Hospital</t>
        </is>
      </c>
      <c r="D11528" t="n">
        <v>43</v>
      </c>
    </row>
    <row r="11529">
      <c r="A11529" t="inlineStr">
        <is>
          <t>ED211744</t>
        </is>
      </c>
      <c r="B11529" s="56" t="n">
        <v>45994.45208333333</v>
      </c>
      <c r="C11529" t="inlineStr">
        <is>
          <t>Cedar Ridge Medical Center</t>
        </is>
      </c>
      <c r="D11529" t="n">
        <v>47</v>
      </c>
    </row>
    <row r="11530">
      <c r="A11530" t="inlineStr">
        <is>
          <t>ED211745</t>
        </is>
      </c>
      <c r="B11530" s="56" t="n">
        <v>45994.46458333333</v>
      </c>
      <c r="C11530" t="inlineStr">
        <is>
          <t>Bluestone Memorial Hospital</t>
        </is>
      </c>
      <c r="D11530" t="n">
        <v>103</v>
      </c>
    </row>
    <row r="11531">
      <c r="A11531" t="inlineStr">
        <is>
          <t>ED211746</t>
        </is>
      </c>
      <c r="B11531" s="56" t="n">
        <v>45994.47152777778</v>
      </c>
      <c r="C11531" t="inlineStr">
        <is>
          <t>Ashby Falls Community Hospital</t>
        </is>
      </c>
      <c r="D11531" t="n">
        <v>38</v>
      </c>
    </row>
    <row r="11532">
      <c r="A11532" t="inlineStr">
        <is>
          <t>ED211747</t>
        </is>
      </c>
      <c r="B11532" s="56" t="n">
        <v>45994.55</v>
      </c>
      <c r="C11532" t="inlineStr">
        <is>
          <t>Ashby Falls Community Hospital</t>
        </is>
      </c>
      <c r="D11532" t="n">
        <v>47</v>
      </c>
    </row>
    <row r="11533">
      <c r="A11533" t="inlineStr">
        <is>
          <t>ED211748</t>
        </is>
      </c>
      <c r="B11533" s="56" t="n">
        <v>45994.55833333333</v>
      </c>
      <c r="C11533" t="inlineStr">
        <is>
          <t>Bluestone Memorial Hospital</t>
        </is>
      </c>
      <c r="D11533" t="n">
        <v>74</v>
      </c>
    </row>
    <row r="11534">
      <c r="A11534" t="inlineStr">
        <is>
          <t>ED211749</t>
        </is>
      </c>
      <c r="B11534" s="56" t="n">
        <v>45994.56319444445</v>
      </c>
      <c r="C11534" t="inlineStr">
        <is>
          <t>Cedar Ridge Medical Center</t>
        </is>
      </c>
      <c r="D11534" t="n">
        <v>3</v>
      </c>
    </row>
    <row r="11535">
      <c r="A11535" t="inlineStr">
        <is>
          <t>ED211750</t>
        </is>
      </c>
      <c r="B11535" s="56" t="n">
        <v>45994.58819444444</v>
      </c>
      <c r="C11535" t="inlineStr">
        <is>
          <t>Bluestone Memorial Hospital</t>
        </is>
      </c>
      <c r="D11535" t="n">
        <v>79</v>
      </c>
    </row>
    <row r="11536">
      <c r="A11536" t="inlineStr">
        <is>
          <t>ED211751</t>
        </is>
      </c>
      <c r="B11536" s="56" t="n">
        <v>45994.68263888889</v>
      </c>
      <c r="C11536" t="inlineStr">
        <is>
          <t>Bluestone Memorial Hospital</t>
        </is>
      </c>
      <c r="D11536" t="n">
        <v>5</v>
      </c>
    </row>
    <row r="11537">
      <c r="A11537" t="inlineStr">
        <is>
          <t>ED211753</t>
        </is>
      </c>
      <c r="B11537" s="56" t="n">
        <v>45994.77847222222</v>
      </c>
      <c r="C11537" t="inlineStr">
        <is>
          <t>Ashby Falls Community Hospital</t>
        </is>
      </c>
      <c r="D11537" t="n">
        <v>53</v>
      </c>
    </row>
    <row r="11538">
      <c r="A11538" t="inlineStr">
        <is>
          <t>ED211754</t>
        </is>
      </c>
      <c r="B11538" s="56" t="n">
        <v>45994.80833333333</v>
      </c>
      <c r="C11538" t="inlineStr">
        <is>
          <t>Bluestone Memorial Hospital</t>
        </is>
      </c>
      <c r="D11538" t="n">
        <v>55</v>
      </c>
    </row>
    <row r="11539">
      <c r="A11539" t="inlineStr">
        <is>
          <t>ED211755</t>
        </is>
      </c>
      <c r="B11539" s="56" t="n">
        <v>45994.82569444444</v>
      </c>
      <c r="C11539" t="inlineStr">
        <is>
          <t>Bluestone Memorial Hospital</t>
        </is>
      </c>
      <c r="D11539" t="n">
        <v>156</v>
      </c>
    </row>
    <row r="11540">
      <c r="A11540" t="inlineStr">
        <is>
          <t>ED211756</t>
        </is>
      </c>
      <c r="B11540" s="56" t="n">
        <v>45994.99861111111</v>
      </c>
      <c r="C11540" t="inlineStr">
        <is>
          <t>Bluestone Memorial Hospital</t>
        </is>
      </c>
      <c r="D11540" t="n">
        <v>32</v>
      </c>
    </row>
    <row r="11541">
      <c r="A11541" t="inlineStr">
        <is>
          <t>ED211757</t>
        </is>
      </c>
      <c r="B11541" s="56" t="n">
        <v>45995.04583333333</v>
      </c>
      <c r="C11541" t="inlineStr">
        <is>
          <t>Bluestone Memorial Hospital</t>
        </is>
      </c>
      <c r="D11541" t="n">
        <v>22</v>
      </c>
    </row>
    <row r="11542">
      <c r="A11542" t="inlineStr">
        <is>
          <t>ED211758</t>
        </is>
      </c>
      <c r="B11542" s="56" t="n">
        <v>45995.125</v>
      </c>
      <c r="C11542" t="inlineStr">
        <is>
          <t>Bluestone Memorial Hospital</t>
        </is>
      </c>
      <c r="D11542" t="n">
        <v>5</v>
      </c>
    </row>
    <row r="11543">
      <c r="A11543" t="inlineStr">
        <is>
          <t>ED211759</t>
        </is>
      </c>
      <c r="B11543" s="56" t="n">
        <v>45995.16388888889</v>
      </c>
      <c r="C11543" t="inlineStr">
        <is>
          <t>Cedar Ridge Medical Center</t>
        </is>
      </c>
      <c r="D11543" t="n">
        <v>15</v>
      </c>
    </row>
    <row r="11544">
      <c r="A11544" t="inlineStr">
        <is>
          <t>ED211760</t>
        </is>
      </c>
      <c r="B11544" s="56" t="n">
        <v>45995.25625</v>
      </c>
      <c r="C11544" t="inlineStr">
        <is>
          <t>Ashby Falls Community Hospital</t>
        </is>
      </c>
      <c r="D11544" t="n">
        <v>36</v>
      </c>
    </row>
    <row r="11545">
      <c r="A11545" t="inlineStr">
        <is>
          <t>ED211761</t>
        </is>
      </c>
      <c r="B11545" s="56" t="n">
        <v>45995.31458333333</v>
      </c>
      <c r="C11545" t="inlineStr">
        <is>
          <t>Bluestone Memorial Hospital</t>
        </is>
      </c>
      <c r="D11545" t="n">
        <v>11</v>
      </c>
    </row>
    <row r="11546">
      <c r="A11546" t="inlineStr">
        <is>
          <t>ED211762</t>
        </is>
      </c>
      <c r="B11546" s="56" t="n">
        <v>45995.37986111111</v>
      </c>
      <c r="C11546" t="inlineStr">
        <is>
          <t>Bluestone Memorial Hospital</t>
        </is>
      </c>
      <c r="D11546" t="n">
        <v>64</v>
      </c>
    </row>
    <row r="11547">
      <c r="A11547" t="inlineStr">
        <is>
          <t>ED211763</t>
        </is>
      </c>
      <c r="B11547" s="56" t="n">
        <v>45995.42222222222</v>
      </c>
      <c r="C11547" t="inlineStr">
        <is>
          <t>Bluestone Memorial Hospital</t>
        </is>
      </c>
      <c r="D11547" t="n">
        <v>22</v>
      </c>
    </row>
    <row r="11548">
      <c r="A11548" t="inlineStr">
        <is>
          <t>ED211764</t>
        </is>
      </c>
      <c r="B11548" s="56" t="n">
        <v>45995.46180555555</v>
      </c>
      <c r="C11548" t="inlineStr">
        <is>
          <t>Cedar Ridge Medical Center</t>
        </is>
      </c>
      <c r="D11548" t="n">
        <v>168</v>
      </c>
    </row>
    <row r="11549">
      <c r="A11549" t="inlineStr">
        <is>
          <t>ED211765</t>
        </is>
      </c>
      <c r="B11549" s="56" t="n">
        <v>45995.49652777778</v>
      </c>
      <c r="C11549" t="inlineStr">
        <is>
          <t>Ashby Falls Community Hospital</t>
        </is>
      </c>
      <c r="D11549" t="n">
        <v>13</v>
      </c>
    </row>
    <row r="11550">
      <c r="A11550" t="inlineStr">
        <is>
          <t>ED211766</t>
        </is>
      </c>
      <c r="B11550" s="56" t="n">
        <v>45995.50625</v>
      </c>
      <c r="C11550" t="inlineStr">
        <is>
          <t>Bluestone Memorial Hospital</t>
        </is>
      </c>
      <c r="D11550" t="n">
        <v>111</v>
      </c>
    </row>
    <row r="11551">
      <c r="A11551" t="inlineStr">
        <is>
          <t>ED211767</t>
        </is>
      </c>
      <c r="B11551" s="56" t="n">
        <v>45995.51875</v>
      </c>
      <c r="C11551" t="inlineStr">
        <is>
          <t>Ashby Falls Community Hospital</t>
        </is>
      </c>
      <c r="D11551" t="n">
        <v>60</v>
      </c>
    </row>
    <row r="11552">
      <c r="A11552" t="inlineStr">
        <is>
          <t>ED211768</t>
        </is>
      </c>
      <c r="B11552" s="56" t="n">
        <v>45995.53958333333</v>
      </c>
      <c r="C11552" t="inlineStr">
        <is>
          <t>Bluestone Memorial Hospital</t>
        </is>
      </c>
      <c r="D11552" t="n">
        <v>44</v>
      </c>
    </row>
    <row r="11553">
      <c r="A11553" t="inlineStr">
        <is>
          <t>ED211769</t>
        </is>
      </c>
      <c r="B11553" s="56" t="n">
        <v>45995.56111111111</v>
      </c>
      <c r="C11553" t="inlineStr">
        <is>
          <t>Bluestone Memorial Hospital</t>
        </is>
      </c>
      <c r="D11553" t="n">
        <v>140</v>
      </c>
    </row>
    <row r="11554">
      <c r="A11554" t="inlineStr">
        <is>
          <t>ED211770</t>
        </is>
      </c>
      <c r="B11554" s="56" t="n">
        <v>45995.59166666667</v>
      </c>
      <c r="C11554" t="inlineStr">
        <is>
          <t>Bluestone Memorial Hospital</t>
        </is>
      </c>
      <c r="D11554" t="n">
        <v>36</v>
      </c>
    </row>
    <row r="11555">
      <c r="A11555" t="inlineStr">
        <is>
          <t>ED211771</t>
        </is>
      </c>
      <c r="B11555" s="56" t="n">
        <v>45995.68194444444</v>
      </c>
      <c r="C11555" t="inlineStr">
        <is>
          <t>Ashby Falls Community Hospital</t>
        </is>
      </c>
      <c r="D11555" t="n">
        <v>79</v>
      </c>
    </row>
    <row r="11556">
      <c r="A11556" t="inlineStr">
        <is>
          <t>ED211772</t>
        </is>
      </c>
      <c r="B11556" s="56" t="n">
        <v>45995.72152777778</v>
      </c>
      <c r="C11556" t="inlineStr">
        <is>
          <t>Bluestone Memorial Hospital</t>
        </is>
      </c>
      <c r="D11556" t="n">
        <v>36</v>
      </c>
    </row>
    <row r="11557">
      <c r="A11557" t="inlineStr">
        <is>
          <t>ED211773</t>
        </is>
      </c>
      <c r="B11557" s="56" t="n">
        <v>45995.79027777778</v>
      </c>
      <c r="C11557" t="inlineStr">
        <is>
          <t>Bluestone Memorial Hospital</t>
        </is>
      </c>
      <c r="D11557" t="n">
        <v>33</v>
      </c>
    </row>
    <row r="11558">
      <c r="A11558" t="inlineStr">
        <is>
          <t>ED211774</t>
        </is>
      </c>
      <c r="B11558" s="56" t="n">
        <v>45995.79166666666</v>
      </c>
      <c r="C11558" t="inlineStr">
        <is>
          <t>Bluestone Memorial Hospital</t>
        </is>
      </c>
      <c r="D11558" t="n">
        <v>72</v>
      </c>
    </row>
    <row r="11559">
      <c r="A11559" t="inlineStr">
        <is>
          <t>ED211775</t>
        </is>
      </c>
      <c r="B11559" s="56" t="n">
        <v>45995.80416666667</v>
      </c>
      <c r="C11559" t="inlineStr">
        <is>
          <t>Bluestone Memorial Hospital</t>
        </is>
      </c>
      <c r="D11559" t="n">
        <v>117</v>
      </c>
    </row>
    <row r="11560">
      <c r="A11560" t="inlineStr">
        <is>
          <t>ED211776</t>
        </is>
      </c>
      <c r="B11560" s="56" t="n">
        <v>45995.81180555555</v>
      </c>
      <c r="C11560" t="inlineStr">
        <is>
          <t>Bluestone Memorial Hospital</t>
        </is>
      </c>
      <c r="D11560" t="n">
        <v>29</v>
      </c>
    </row>
    <row r="11561">
      <c r="A11561" t="inlineStr">
        <is>
          <t>ED211777</t>
        </is>
      </c>
      <c r="B11561" s="56" t="n">
        <v>45995.86597222222</v>
      </c>
      <c r="C11561" t="inlineStr">
        <is>
          <t>Bluestone Memorial Hospital</t>
        </is>
      </c>
      <c r="D11561" t="n">
        <v>81</v>
      </c>
    </row>
    <row r="11562">
      <c r="A11562" t="inlineStr">
        <is>
          <t>ED211778</t>
        </is>
      </c>
      <c r="B11562" s="56" t="n">
        <v>45995.94513888889</v>
      </c>
      <c r="C11562" t="inlineStr">
        <is>
          <t>Bluestone Memorial Hospital</t>
        </is>
      </c>
      <c r="D11562" t="n">
        <v>90</v>
      </c>
    </row>
    <row r="11563">
      <c r="A11563" t="inlineStr">
        <is>
          <t>ED211779</t>
        </is>
      </c>
      <c r="B11563" s="56" t="n">
        <v>45996.25069444445</v>
      </c>
      <c r="C11563" t="inlineStr">
        <is>
          <t>Bluestone Memorial Hospital</t>
        </is>
      </c>
      <c r="D11563" t="n">
        <v>18</v>
      </c>
    </row>
    <row r="11564">
      <c r="A11564" t="inlineStr">
        <is>
          <t>ED211780</t>
        </is>
      </c>
      <c r="B11564" s="56" t="n">
        <v>45996.30833333333</v>
      </c>
      <c r="C11564" t="inlineStr">
        <is>
          <t>Bluestone Memorial Hospital</t>
        </is>
      </c>
      <c r="D11564" t="n">
        <v>139</v>
      </c>
    </row>
    <row r="11565">
      <c r="A11565" t="inlineStr">
        <is>
          <t>ED211781</t>
        </is>
      </c>
      <c r="B11565" s="56" t="n">
        <v>45996.33958333333</v>
      </c>
      <c r="C11565" t="inlineStr">
        <is>
          <t>Bluestone Memorial Hospital</t>
        </is>
      </c>
      <c r="D11565" t="n">
        <v>39</v>
      </c>
    </row>
    <row r="11566">
      <c r="A11566" t="inlineStr">
        <is>
          <t>ED211782</t>
        </is>
      </c>
      <c r="B11566" s="56" t="n">
        <v>45996.40902777778</v>
      </c>
      <c r="C11566" t="inlineStr">
        <is>
          <t>Bluestone Memorial Hospital</t>
        </is>
      </c>
      <c r="D11566" t="n">
        <v>16</v>
      </c>
    </row>
    <row r="11567">
      <c r="A11567" t="inlineStr">
        <is>
          <t>ED211783</t>
        </is>
      </c>
      <c r="B11567" s="56" t="n">
        <v>45996.42291666667</v>
      </c>
      <c r="C11567" t="inlineStr">
        <is>
          <t>Bluestone Memorial Hospital</t>
        </is>
      </c>
      <c r="D11567" t="n">
        <v>39</v>
      </c>
    </row>
    <row r="11568">
      <c r="A11568" t="inlineStr">
        <is>
          <t>ED211784</t>
        </is>
      </c>
      <c r="B11568" s="56" t="n">
        <v>45996.43819444445</v>
      </c>
      <c r="C11568" t="inlineStr">
        <is>
          <t>Bluestone Memorial Hospital</t>
        </is>
      </c>
      <c r="D11568" t="n">
        <v>28</v>
      </c>
    </row>
    <row r="11569">
      <c r="A11569" t="inlineStr">
        <is>
          <t>ED211785</t>
        </is>
      </c>
      <c r="B11569" s="56" t="n">
        <v>45996.44027777778</v>
      </c>
      <c r="C11569" t="inlineStr">
        <is>
          <t>Bluestone Memorial Hospital</t>
        </is>
      </c>
      <c r="D11569" t="n">
        <v>26</v>
      </c>
    </row>
    <row r="11570">
      <c r="A11570" t="inlineStr">
        <is>
          <t>ED211786</t>
        </is>
      </c>
      <c r="B11570" s="56" t="n">
        <v>45996.45486111111</v>
      </c>
      <c r="C11570" t="inlineStr">
        <is>
          <t>Bluestone Memorial Hospital</t>
        </is>
      </c>
      <c r="D11570" t="n">
        <v>25</v>
      </c>
    </row>
    <row r="11571">
      <c r="A11571" t="inlineStr">
        <is>
          <t>ED211787</t>
        </is>
      </c>
      <c r="B11571" s="56" t="n">
        <v>45996.45555555556</v>
      </c>
      <c r="C11571" t="inlineStr">
        <is>
          <t>Bluestone Memorial Hospital</t>
        </is>
      </c>
      <c r="D11571" t="n">
        <v>40</v>
      </c>
    </row>
    <row r="11572">
      <c r="A11572" t="inlineStr">
        <is>
          <t>ED211788</t>
        </is>
      </c>
      <c r="B11572" s="56" t="n">
        <v>45996.54583333333</v>
      </c>
      <c r="C11572" t="inlineStr">
        <is>
          <t>Bluestone Memorial Hospital</t>
        </is>
      </c>
      <c r="D11572" t="n">
        <v>43</v>
      </c>
    </row>
    <row r="11573">
      <c r="A11573" t="inlineStr">
        <is>
          <t>ED211789</t>
        </is>
      </c>
      <c r="B11573" s="56" t="n">
        <v>45996.64097222222</v>
      </c>
      <c r="C11573" t="inlineStr">
        <is>
          <t>Cedar Ridge Medical Center</t>
        </is>
      </c>
      <c r="D11573" t="n">
        <v>74</v>
      </c>
    </row>
    <row r="11574">
      <c r="A11574" t="inlineStr">
        <is>
          <t>ED211790</t>
        </is>
      </c>
      <c r="B11574" s="56" t="n">
        <v>45996.65416666667</v>
      </c>
      <c r="C11574" t="inlineStr">
        <is>
          <t>Bluestone Memorial Hospital</t>
        </is>
      </c>
      <c r="D11574" t="n">
        <v>86</v>
      </c>
    </row>
    <row r="11575">
      <c r="A11575" t="inlineStr">
        <is>
          <t>ED211791</t>
        </is>
      </c>
      <c r="B11575" s="56" t="n">
        <v>45996.65486111111</v>
      </c>
      <c r="C11575" t="inlineStr">
        <is>
          <t>Bluestone Memorial Hospital</t>
        </is>
      </c>
      <c r="D11575" t="n">
        <v>29</v>
      </c>
    </row>
    <row r="11576">
      <c r="A11576" t="inlineStr">
        <is>
          <t>ED211792</t>
        </is>
      </c>
      <c r="B11576" s="56" t="n">
        <v>45996.69444444445</v>
      </c>
      <c r="C11576" t="inlineStr">
        <is>
          <t>Bluestone Memorial Hospital</t>
        </is>
      </c>
      <c r="D11576" t="n">
        <v>72</v>
      </c>
    </row>
    <row r="11577">
      <c r="A11577" t="inlineStr">
        <is>
          <t>ED211793</t>
        </is>
      </c>
      <c r="B11577" s="56" t="n">
        <v>45996.69861111111</v>
      </c>
      <c r="C11577" t="inlineStr">
        <is>
          <t>Bluestone Memorial Hospital</t>
        </is>
      </c>
      <c r="D11577" t="n">
        <v>59</v>
      </c>
    </row>
    <row r="11578">
      <c r="A11578" t="inlineStr">
        <is>
          <t>ED211794</t>
        </is>
      </c>
      <c r="B11578" s="56" t="n">
        <v>45996.70555555556</v>
      </c>
      <c r="C11578" t="inlineStr">
        <is>
          <t>Bluestone Memorial Hospital</t>
        </is>
      </c>
      <c r="D11578" t="n">
        <v>73</v>
      </c>
    </row>
    <row r="11579">
      <c r="A11579" t="inlineStr">
        <is>
          <t>ED211795</t>
        </is>
      </c>
      <c r="B11579" s="56" t="n">
        <v>45996.76388888889</v>
      </c>
      <c r="C11579" t="inlineStr">
        <is>
          <t>Bluestone Memorial Hospital</t>
        </is>
      </c>
      <c r="D11579" t="n">
        <v>81</v>
      </c>
    </row>
    <row r="11580">
      <c r="A11580" t="inlineStr">
        <is>
          <t>ED211796</t>
        </is>
      </c>
      <c r="B11580" s="56" t="n">
        <v>45996.82361111111</v>
      </c>
      <c r="C11580" t="inlineStr">
        <is>
          <t>Bluestone Memorial Hospital</t>
        </is>
      </c>
      <c r="D11580" t="n">
        <v>136</v>
      </c>
    </row>
    <row r="11581">
      <c r="A11581" t="inlineStr">
        <is>
          <t>ED211797</t>
        </is>
      </c>
      <c r="B11581" s="56" t="n">
        <v>45996.93125</v>
      </c>
      <c r="C11581" t="inlineStr">
        <is>
          <t>Bluestone Memorial Hospital</t>
        </is>
      </c>
      <c r="D11581" t="n">
        <v>56</v>
      </c>
    </row>
    <row r="11582">
      <c r="A11582" t="inlineStr">
        <is>
          <t>ED211798</t>
        </is>
      </c>
      <c r="B11582" s="56" t="n">
        <v>45996.94652777778</v>
      </c>
      <c r="C11582" t="inlineStr">
        <is>
          <t>Bluestone Memorial Hospital</t>
        </is>
      </c>
      <c r="D11582" t="n">
        <v>44</v>
      </c>
    </row>
    <row r="11583">
      <c r="A11583" t="inlineStr">
        <is>
          <t>ED211799</t>
        </is>
      </c>
      <c r="B11583" s="56" t="n">
        <v>45996.98472222222</v>
      </c>
      <c r="C11583" t="inlineStr">
        <is>
          <t>Bluestone Memorial Hospital</t>
        </is>
      </c>
      <c r="D11583" t="n">
        <v>42</v>
      </c>
    </row>
    <row r="11584">
      <c r="A11584" t="inlineStr">
        <is>
          <t>ED211800</t>
        </is>
      </c>
      <c r="B11584" s="56" t="n">
        <v>45997.05069444444</v>
      </c>
      <c r="C11584" t="inlineStr">
        <is>
          <t>Ashby Falls Community Hospital</t>
        </is>
      </c>
      <c r="D11584" t="n">
        <v>34</v>
      </c>
    </row>
    <row r="11585">
      <c r="A11585" t="inlineStr">
        <is>
          <t>ED211801</t>
        </is>
      </c>
      <c r="B11585" s="56" t="n">
        <v>45997.13402777778</v>
      </c>
      <c r="C11585" t="inlineStr">
        <is>
          <t>Bluestone Memorial Hospital</t>
        </is>
      </c>
      <c r="D11585" t="n">
        <v>100</v>
      </c>
    </row>
    <row r="11586">
      <c r="A11586" t="inlineStr">
        <is>
          <t>ED211802</t>
        </is>
      </c>
      <c r="B11586" s="56" t="n">
        <v>45997.24722222222</v>
      </c>
      <c r="C11586" t="inlineStr">
        <is>
          <t>Bluestone Memorial Hospital</t>
        </is>
      </c>
      <c r="D11586" t="n">
        <v>23</v>
      </c>
    </row>
    <row r="11587">
      <c r="A11587" t="inlineStr">
        <is>
          <t>ED211803</t>
        </is>
      </c>
      <c r="B11587" s="56" t="n">
        <v>45997.28680555556</v>
      </c>
      <c r="C11587" t="inlineStr">
        <is>
          <t>Cedar Ridge Medical Center</t>
        </is>
      </c>
      <c r="D11587" t="n">
        <v>23</v>
      </c>
    </row>
    <row r="11588">
      <c r="A11588" t="inlineStr">
        <is>
          <t>ED211804</t>
        </is>
      </c>
      <c r="B11588" s="56" t="n">
        <v>45997.31319444445</v>
      </c>
      <c r="C11588" t="inlineStr">
        <is>
          <t>Bluestone Memorial Hospital</t>
        </is>
      </c>
      <c r="D11588" t="n">
        <v>61</v>
      </c>
    </row>
    <row r="11589">
      <c r="A11589" t="inlineStr">
        <is>
          <t>ED211805</t>
        </is>
      </c>
      <c r="B11589" s="56" t="n">
        <v>45997.39236111111</v>
      </c>
      <c r="C11589" t="inlineStr">
        <is>
          <t>Bluestone Memorial Hospital</t>
        </is>
      </c>
      <c r="D11589" t="n">
        <v>96</v>
      </c>
    </row>
    <row r="11590">
      <c r="A11590" t="inlineStr">
        <is>
          <t>ED211806</t>
        </is>
      </c>
      <c r="B11590" s="56" t="n">
        <v>45997.40486111111</v>
      </c>
      <c r="C11590" t="inlineStr">
        <is>
          <t>Bluestone Memorial Hospital</t>
        </is>
      </c>
      <c r="D11590" t="n">
        <v>34</v>
      </c>
    </row>
    <row r="11591">
      <c r="A11591" t="inlineStr">
        <is>
          <t>ED211807</t>
        </is>
      </c>
      <c r="B11591" s="56" t="n">
        <v>45997.4125</v>
      </c>
      <c r="C11591" t="inlineStr">
        <is>
          <t>Bluestone Memorial Hospital</t>
        </is>
      </c>
      <c r="D11591" t="n">
        <v>68</v>
      </c>
    </row>
    <row r="11592">
      <c r="A11592" t="inlineStr">
        <is>
          <t>ED211808</t>
        </is>
      </c>
      <c r="B11592" s="56" t="n">
        <v>45997.47291666667</v>
      </c>
      <c r="C11592" t="inlineStr">
        <is>
          <t>Bluestone Memorial Hospital</t>
        </is>
      </c>
      <c r="D11592" t="n">
        <v>86</v>
      </c>
    </row>
    <row r="11593">
      <c r="A11593" t="inlineStr">
        <is>
          <t>ED211809</t>
        </is>
      </c>
      <c r="B11593" s="56" t="n">
        <v>45997.47777777778</v>
      </c>
      <c r="C11593" t="inlineStr">
        <is>
          <t>Bluestone Memorial Hospital</t>
        </is>
      </c>
      <c r="D11593" t="n">
        <v>26</v>
      </c>
    </row>
    <row r="11594">
      <c r="A11594" t="inlineStr">
        <is>
          <t>ED211810</t>
        </is>
      </c>
      <c r="B11594" s="56" t="n">
        <v>45997.51875</v>
      </c>
      <c r="C11594" t="inlineStr">
        <is>
          <t>Ashby Falls Community Hospital</t>
        </is>
      </c>
      <c r="D11594" t="n">
        <v>31</v>
      </c>
    </row>
    <row r="11595">
      <c r="A11595" t="inlineStr">
        <is>
          <t>ED211811</t>
        </is>
      </c>
      <c r="B11595" s="56" t="n">
        <v>45997.67986111111</v>
      </c>
      <c r="C11595" t="inlineStr">
        <is>
          <t>Bluestone Memorial Hospital</t>
        </is>
      </c>
      <c r="D11595" t="n">
        <v>104</v>
      </c>
    </row>
    <row r="11596">
      <c r="A11596" t="inlineStr">
        <is>
          <t>ED211812</t>
        </is>
      </c>
      <c r="B11596" s="56" t="n">
        <v>45997.6875</v>
      </c>
      <c r="C11596" t="inlineStr">
        <is>
          <t>Cedar Ridge Medical Center</t>
        </is>
      </c>
      <c r="D11596" t="n">
        <v>43</v>
      </c>
    </row>
    <row r="11597">
      <c r="A11597" t="inlineStr">
        <is>
          <t>ED211813</t>
        </is>
      </c>
      <c r="B11597" s="56" t="n">
        <v>45997.75138888889</v>
      </c>
      <c r="C11597" t="inlineStr">
        <is>
          <t>Bluestone Memorial Hospital</t>
        </is>
      </c>
      <c r="D11597" t="n">
        <v>25</v>
      </c>
    </row>
    <row r="11598">
      <c r="A11598" t="inlineStr">
        <is>
          <t>ED211814</t>
        </is>
      </c>
      <c r="B11598" s="56" t="n">
        <v>45997.77638888889</v>
      </c>
      <c r="C11598" t="inlineStr">
        <is>
          <t>Ashby Falls Community Hospital</t>
        </is>
      </c>
      <c r="D11598" t="n">
        <v>246</v>
      </c>
    </row>
    <row r="11599">
      <c r="A11599" t="inlineStr">
        <is>
          <t>ED211815</t>
        </is>
      </c>
      <c r="B11599" s="56" t="n">
        <v>45997.80277777778</v>
      </c>
      <c r="C11599" t="inlineStr">
        <is>
          <t>Bluestone Memorial Hospital</t>
        </is>
      </c>
      <c r="D11599" t="n">
        <v>25</v>
      </c>
    </row>
    <row r="11600">
      <c r="A11600" t="inlineStr">
        <is>
          <t>ED211816</t>
        </is>
      </c>
      <c r="B11600" s="56" t="n">
        <v>45997.80972222222</v>
      </c>
      <c r="C11600" t="inlineStr">
        <is>
          <t>Ashby Falls Community Hospital</t>
        </is>
      </c>
      <c r="D11600" t="n">
        <v>14</v>
      </c>
    </row>
    <row r="11601">
      <c r="A11601" t="inlineStr">
        <is>
          <t>ED211817</t>
        </is>
      </c>
      <c r="B11601" s="56" t="n">
        <v>45998.05208333334</v>
      </c>
      <c r="C11601" t="inlineStr">
        <is>
          <t>Cedar Ridge Medical Center</t>
        </is>
      </c>
      <c r="D11601" t="n">
        <v>7</v>
      </c>
    </row>
    <row r="11602">
      <c r="A11602" t="inlineStr">
        <is>
          <t>ED211818</t>
        </is>
      </c>
      <c r="B11602" s="56" t="n">
        <v>45998.23958333334</v>
      </c>
      <c r="C11602" t="inlineStr">
        <is>
          <t>Cedar Ridge Medical Center</t>
        </is>
      </c>
      <c r="D11602" t="n">
        <v>13</v>
      </c>
    </row>
    <row r="11603">
      <c r="A11603" t="inlineStr">
        <is>
          <t>ED211819</t>
        </is>
      </c>
      <c r="B11603" s="56" t="n">
        <v>45998.28541666667</v>
      </c>
      <c r="C11603" t="inlineStr">
        <is>
          <t>Bluestone Memorial Hospital</t>
        </is>
      </c>
      <c r="D11603" t="n">
        <v>22</v>
      </c>
    </row>
    <row r="11604">
      <c r="A11604" t="inlineStr">
        <is>
          <t>ED211820</t>
        </is>
      </c>
      <c r="B11604" s="56" t="n">
        <v>45998.39097222222</v>
      </c>
      <c r="C11604" t="inlineStr">
        <is>
          <t>Bluestone Memorial Hospital</t>
        </is>
      </c>
      <c r="D11604" t="n">
        <v>105</v>
      </c>
    </row>
    <row r="11605">
      <c r="A11605" t="inlineStr">
        <is>
          <t>ED211821</t>
        </is>
      </c>
      <c r="B11605" s="56" t="n">
        <v>45998.39097222222</v>
      </c>
      <c r="C11605" t="inlineStr">
        <is>
          <t>Bluestone Memorial Hospital</t>
        </is>
      </c>
      <c r="D11605" t="n">
        <v>44</v>
      </c>
    </row>
    <row r="11606">
      <c r="A11606" t="inlineStr">
        <is>
          <t>ED211822</t>
        </is>
      </c>
      <c r="B11606" s="56" t="n">
        <v>45998.40277777778</v>
      </c>
      <c r="C11606" t="inlineStr">
        <is>
          <t>Cedar Ridge Medical Center</t>
        </is>
      </c>
      <c r="D11606" t="n">
        <v>18</v>
      </c>
    </row>
    <row r="11607">
      <c r="A11607" t="inlineStr">
        <is>
          <t>ED211823</t>
        </is>
      </c>
      <c r="B11607" s="56" t="n">
        <v>45998.45416666667</v>
      </c>
      <c r="C11607" t="inlineStr">
        <is>
          <t>Bluestone Memorial Hospital</t>
        </is>
      </c>
      <c r="D11607" t="n">
        <v>68</v>
      </c>
    </row>
    <row r="11608">
      <c r="A11608" t="inlineStr">
        <is>
          <t>ED211824</t>
        </is>
      </c>
      <c r="B11608" s="56" t="n">
        <v>45998.60486111111</v>
      </c>
      <c r="C11608" t="inlineStr">
        <is>
          <t>Cedar Ridge Medical Center</t>
        </is>
      </c>
      <c r="D11608" t="n">
        <v>17</v>
      </c>
    </row>
    <row r="11609">
      <c r="A11609" t="inlineStr">
        <is>
          <t>ED211825</t>
        </is>
      </c>
      <c r="B11609" s="56" t="n">
        <v>45998.61875</v>
      </c>
      <c r="C11609" t="inlineStr">
        <is>
          <t>Cedar Ridge Medical Center</t>
        </is>
      </c>
      <c r="D11609" t="n">
        <v>68</v>
      </c>
    </row>
    <row r="11610">
      <c r="A11610" t="inlineStr">
        <is>
          <t>ED211826</t>
        </is>
      </c>
      <c r="B11610" s="56" t="n">
        <v>45998.72013888889</v>
      </c>
      <c r="C11610" t="inlineStr">
        <is>
          <t>Cedar Ridge Medical Center</t>
        </is>
      </c>
      <c r="D11610" t="n">
        <v>104</v>
      </c>
    </row>
    <row r="11611">
      <c r="A11611" t="inlineStr">
        <is>
          <t>ED211827</t>
        </is>
      </c>
      <c r="B11611" s="56" t="n">
        <v>45998.75555555556</v>
      </c>
      <c r="C11611" t="inlineStr">
        <is>
          <t>Cedar Ridge Medical Center</t>
        </is>
      </c>
      <c r="D11611" t="n">
        <v>15</v>
      </c>
    </row>
    <row r="11612">
      <c r="A11612" t="inlineStr">
        <is>
          <t>ED211828</t>
        </is>
      </c>
      <c r="B11612" s="56" t="n">
        <v>45998.85902777778</v>
      </c>
      <c r="C11612" t="inlineStr">
        <is>
          <t>Bluestone Memorial Hospital</t>
        </is>
      </c>
      <c r="D11612" t="n">
        <v>35</v>
      </c>
    </row>
    <row r="11613">
      <c r="A11613" t="inlineStr">
        <is>
          <t>ED211829</t>
        </is>
      </c>
      <c r="B11613" s="56" t="n">
        <v>45998.88958333333</v>
      </c>
      <c r="C11613" t="inlineStr">
        <is>
          <t>Ashby Falls Community Hospital</t>
        </is>
      </c>
      <c r="D11613" t="n">
        <v>48</v>
      </c>
    </row>
    <row r="11614">
      <c r="A11614" t="inlineStr">
        <is>
          <t>ED211830</t>
        </is>
      </c>
      <c r="B11614" s="56" t="n">
        <v>45999.08125</v>
      </c>
      <c r="C11614" t="inlineStr">
        <is>
          <t>Bluestone Memorial Hospital</t>
        </is>
      </c>
      <c r="D11614" t="n">
        <v>144</v>
      </c>
    </row>
    <row r="11615">
      <c r="A11615" t="inlineStr">
        <is>
          <t>ED211831</t>
        </is>
      </c>
      <c r="B11615" s="56" t="n">
        <v>45999.15555555555</v>
      </c>
      <c r="C11615" t="inlineStr">
        <is>
          <t>Cedar Ridge Medical Center</t>
        </is>
      </c>
      <c r="D11615" t="n">
        <v>28</v>
      </c>
    </row>
    <row r="11616">
      <c r="A11616" t="inlineStr">
        <is>
          <t>ED211832</t>
        </is>
      </c>
      <c r="B11616" s="56" t="n">
        <v>45999.20277777778</v>
      </c>
      <c r="C11616" t="inlineStr">
        <is>
          <t>Bluestone Memorial Hospital</t>
        </is>
      </c>
      <c r="D11616" t="n">
        <v>16</v>
      </c>
    </row>
    <row r="11617">
      <c r="A11617" t="inlineStr">
        <is>
          <t>ED211833</t>
        </is>
      </c>
      <c r="B11617" s="56" t="n">
        <v>45999.31319444445</v>
      </c>
      <c r="C11617" t="inlineStr">
        <is>
          <t>Bluestone Memorial Hospital</t>
        </is>
      </c>
      <c r="D11617" t="n">
        <v>62</v>
      </c>
    </row>
    <row r="11618">
      <c r="A11618" t="inlineStr">
        <is>
          <t>ED211834</t>
        </is>
      </c>
      <c r="B11618" s="56" t="n">
        <v>45999.31388888889</v>
      </c>
      <c r="C11618" t="inlineStr">
        <is>
          <t>Bluestone Memorial Hospital</t>
        </is>
      </c>
      <c r="D11618" t="n">
        <v>38</v>
      </c>
    </row>
    <row r="11619">
      <c r="A11619" t="inlineStr">
        <is>
          <t>ED211835</t>
        </is>
      </c>
      <c r="B11619" s="56" t="n">
        <v>45999.40277777778</v>
      </c>
      <c r="C11619" t="inlineStr">
        <is>
          <t>Bluestone Memorial Hospital</t>
        </is>
      </c>
      <c r="D11619" t="n">
        <v>37</v>
      </c>
    </row>
    <row r="11620">
      <c r="A11620" t="inlineStr">
        <is>
          <t>ED211836</t>
        </is>
      </c>
      <c r="B11620" s="56" t="n">
        <v>45999.40763888889</v>
      </c>
      <c r="C11620" t="inlineStr">
        <is>
          <t>Bluestone Memorial Hospital</t>
        </is>
      </c>
      <c r="D11620" t="n">
        <v>68</v>
      </c>
    </row>
    <row r="11621">
      <c r="A11621" t="inlineStr">
        <is>
          <t>ED211837</t>
        </is>
      </c>
      <c r="B11621" s="56" t="n">
        <v>45999.46319444444</v>
      </c>
      <c r="C11621" t="inlineStr">
        <is>
          <t>Cedar Ridge Medical Center</t>
        </is>
      </c>
      <c r="D11621" t="n">
        <v>26</v>
      </c>
    </row>
    <row r="11622">
      <c r="A11622" t="inlineStr">
        <is>
          <t>ED211838</t>
        </is>
      </c>
      <c r="B11622" s="56" t="n">
        <v>45999.47152777778</v>
      </c>
      <c r="C11622" t="inlineStr">
        <is>
          <t>Bluestone Memorial Hospital</t>
        </is>
      </c>
      <c r="D11622" t="n">
        <v>25</v>
      </c>
    </row>
    <row r="11623">
      <c r="A11623" t="inlineStr">
        <is>
          <t>ED211839</t>
        </is>
      </c>
      <c r="B11623" s="56" t="n">
        <v>45999.47569444445</v>
      </c>
      <c r="C11623" t="inlineStr">
        <is>
          <t>Bluestone Memorial Hospital</t>
        </is>
      </c>
      <c r="D11623" t="n">
        <v>28</v>
      </c>
    </row>
    <row r="11624">
      <c r="A11624" t="inlineStr">
        <is>
          <t>ED211840</t>
        </is>
      </c>
      <c r="B11624" s="56" t="n">
        <v>45999.51597222222</v>
      </c>
      <c r="C11624" t="inlineStr">
        <is>
          <t>Bluestone Memorial Hospital</t>
        </is>
      </c>
      <c r="D11624" t="n">
        <v>53</v>
      </c>
    </row>
    <row r="11625">
      <c r="A11625" t="inlineStr">
        <is>
          <t>ED211841</t>
        </is>
      </c>
      <c r="B11625" s="56" t="n">
        <v>45999.53125</v>
      </c>
      <c r="C11625" t="inlineStr">
        <is>
          <t>Bluestone Memorial Hospital</t>
        </is>
      </c>
      <c r="D11625" t="n">
        <v>90</v>
      </c>
    </row>
    <row r="11626">
      <c r="A11626" t="inlineStr">
        <is>
          <t>ED211842</t>
        </is>
      </c>
      <c r="B11626" s="56" t="n">
        <v>45999.54097222222</v>
      </c>
      <c r="C11626" t="inlineStr">
        <is>
          <t>Bluestone Memorial Hospital</t>
        </is>
      </c>
      <c r="D11626" t="n">
        <v>74</v>
      </c>
    </row>
    <row r="11627">
      <c r="A11627" t="inlineStr">
        <is>
          <t>ED211843</t>
        </is>
      </c>
      <c r="B11627" s="56" t="n">
        <v>45999.55277777778</v>
      </c>
      <c r="C11627" t="inlineStr">
        <is>
          <t>Bluestone Memorial Hospital</t>
        </is>
      </c>
      <c r="D11627" t="n">
        <v>27</v>
      </c>
    </row>
    <row r="11628">
      <c r="A11628" t="inlineStr">
        <is>
          <t>ED211844</t>
        </is>
      </c>
      <c r="B11628" s="56" t="n">
        <v>45999.56041666667</v>
      </c>
      <c r="C11628" t="inlineStr">
        <is>
          <t>Bluestone Memorial Hospital</t>
        </is>
      </c>
      <c r="D11628" t="n">
        <v>22</v>
      </c>
    </row>
    <row r="11629">
      <c r="A11629" t="inlineStr">
        <is>
          <t>ED211845</t>
        </is>
      </c>
      <c r="B11629" s="56" t="n">
        <v>45999.58819444444</v>
      </c>
      <c r="C11629" t="inlineStr">
        <is>
          <t>Bluestone Memorial Hospital</t>
        </is>
      </c>
      <c r="D11629" t="n">
        <v>68</v>
      </c>
    </row>
    <row r="11630">
      <c r="A11630" t="inlineStr">
        <is>
          <t>ED211846</t>
        </is>
      </c>
      <c r="B11630" s="56" t="n">
        <v>45999.58819444444</v>
      </c>
      <c r="C11630" t="inlineStr">
        <is>
          <t>Ashby Falls Community Hospital</t>
        </is>
      </c>
      <c r="D11630" t="n">
        <v>146</v>
      </c>
    </row>
    <row r="11631">
      <c r="A11631" t="inlineStr">
        <is>
          <t>ED211847</t>
        </is>
      </c>
      <c r="B11631" s="56" t="n">
        <v>45999.60138888889</v>
      </c>
      <c r="C11631" t="inlineStr">
        <is>
          <t>Bluestone Memorial Hospital</t>
        </is>
      </c>
      <c r="D11631" t="n">
        <v>87</v>
      </c>
    </row>
    <row r="11632">
      <c r="A11632" t="inlineStr">
        <is>
          <t>ED211848</t>
        </is>
      </c>
      <c r="B11632" s="56" t="n">
        <v>45999.60694444444</v>
      </c>
      <c r="C11632" t="inlineStr">
        <is>
          <t>Bluestone Memorial Hospital</t>
        </is>
      </c>
      <c r="D11632" t="n">
        <v>45</v>
      </c>
    </row>
    <row r="11633">
      <c r="A11633" t="inlineStr">
        <is>
          <t>ED211849</t>
        </is>
      </c>
      <c r="B11633" s="56" t="n">
        <v>45999.61111111111</v>
      </c>
      <c r="C11633" t="inlineStr">
        <is>
          <t>Ashby Falls Community Hospital</t>
        </is>
      </c>
      <c r="D11633" t="n">
        <v>107</v>
      </c>
    </row>
    <row r="11634">
      <c r="A11634" t="inlineStr">
        <is>
          <t>ED211850</t>
        </is>
      </c>
      <c r="B11634" s="56" t="n">
        <v>45999.61388888889</v>
      </c>
      <c r="C11634" t="inlineStr">
        <is>
          <t>Bluestone Memorial Hospital</t>
        </is>
      </c>
      <c r="D11634" t="n">
        <v>102</v>
      </c>
    </row>
    <row r="11635">
      <c r="A11635" t="inlineStr">
        <is>
          <t>ED211851</t>
        </is>
      </c>
      <c r="B11635" s="56" t="n">
        <v>45999.68055555555</v>
      </c>
      <c r="C11635" t="inlineStr">
        <is>
          <t>Bluestone Memorial Hospital</t>
        </is>
      </c>
      <c r="D11635" t="n">
        <v>87</v>
      </c>
    </row>
    <row r="11636">
      <c r="A11636" t="inlineStr">
        <is>
          <t>ED211852</t>
        </is>
      </c>
      <c r="B11636" s="56" t="n">
        <v>45999.72291666667</v>
      </c>
      <c r="C11636" t="inlineStr">
        <is>
          <t>Bluestone Memorial Hospital</t>
        </is>
      </c>
      <c r="D11636" t="n">
        <v>32</v>
      </c>
    </row>
    <row r="11637">
      <c r="A11637" t="inlineStr">
        <is>
          <t>ED211853</t>
        </is>
      </c>
      <c r="B11637" s="56" t="n">
        <v>45999.80069444444</v>
      </c>
      <c r="C11637" t="inlineStr">
        <is>
          <t>Bluestone Memorial Hospital</t>
        </is>
      </c>
      <c r="D11637" t="n">
        <v>55</v>
      </c>
    </row>
    <row r="11638">
      <c r="A11638" t="inlineStr">
        <is>
          <t>ED211854</t>
        </is>
      </c>
      <c r="B11638" s="56" t="n">
        <v>45999.82708333333</v>
      </c>
      <c r="C11638" t="inlineStr">
        <is>
          <t>Bluestone Memorial Hospital</t>
        </is>
      </c>
      <c r="D11638" t="n">
        <v>62</v>
      </c>
    </row>
    <row r="11639">
      <c r="A11639" t="inlineStr">
        <is>
          <t>ED211855</t>
        </is>
      </c>
      <c r="B11639" s="56" t="n">
        <v>45999.84583333333</v>
      </c>
      <c r="C11639" t="inlineStr">
        <is>
          <t>Bluestone Memorial Hospital</t>
        </is>
      </c>
      <c r="D11639" t="n">
        <v>10</v>
      </c>
    </row>
    <row r="11640">
      <c r="A11640" t="inlineStr">
        <is>
          <t>ED211856</t>
        </is>
      </c>
      <c r="B11640" s="56" t="n">
        <v>45999.85347222222</v>
      </c>
      <c r="C11640" t="inlineStr">
        <is>
          <t>Cedar Ridge Medical Center</t>
        </is>
      </c>
      <c r="D11640" t="n">
        <v>2</v>
      </c>
    </row>
    <row r="11641">
      <c r="A11641" t="inlineStr">
        <is>
          <t>ED211857</t>
        </is>
      </c>
      <c r="B11641" s="56" t="n">
        <v>45999.88263888889</v>
      </c>
      <c r="C11641" t="inlineStr">
        <is>
          <t>Bluestone Memorial Hospital</t>
        </is>
      </c>
      <c r="D11641" t="n">
        <v>13</v>
      </c>
    </row>
    <row r="11642">
      <c r="A11642" t="inlineStr">
        <is>
          <t>ED211858</t>
        </is>
      </c>
      <c r="B11642" s="56" t="n">
        <v>45999.91944444444</v>
      </c>
      <c r="C11642" t="inlineStr">
        <is>
          <t>Ashby Falls Community Hospital</t>
        </is>
      </c>
      <c r="D11642" t="n">
        <v>42</v>
      </c>
    </row>
    <row r="11643">
      <c r="A11643" t="inlineStr">
        <is>
          <t>ED211859</t>
        </is>
      </c>
      <c r="B11643" s="56" t="n">
        <v>45999.99722222222</v>
      </c>
      <c r="C11643" t="inlineStr">
        <is>
          <t>Bluestone Memorial Hospital</t>
        </is>
      </c>
      <c r="D11643" t="n">
        <v>73</v>
      </c>
    </row>
    <row r="11644">
      <c r="A11644" t="inlineStr">
        <is>
          <t>ED211860</t>
        </is>
      </c>
      <c r="B11644" s="56" t="n">
        <v>46000.00972222222</v>
      </c>
      <c r="C11644" t="inlineStr">
        <is>
          <t>Ashby Falls Community Hospital</t>
        </is>
      </c>
      <c r="D11644" t="n">
        <v>16</v>
      </c>
    </row>
    <row r="11645">
      <c r="A11645" t="inlineStr">
        <is>
          <t>ED211861</t>
        </is>
      </c>
      <c r="B11645" s="56" t="n">
        <v>46000.12013888889</v>
      </c>
      <c r="C11645" t="inlineStr">
        <is>
          <t>Bluestone Memorial Hospital</t>
        </is>
      </c>
      <c r="D11645" t="n">
        <v>6</v>
      </c>
    </row>
    <row r="11646">
      <c r="A11646" t="inlineStr">
        <is>
          <t>ED211862</t>
        </is>
      </c>
      <c r="B11646" s="56" t="n">
        <v>46000.2125</v>
      </c>
      <c r="C11646" t="inlineStr">
        <is>
          <t>Bluestone Memorial Hospital</t>
        </is>
      </c>
      <c r="D11646" t="n">
        <v>22</v>
      </c>
    </row>
    <row r="11647">
      <c r="A11647" t="inlineStr">
        <is>
          <t>ED211863</t>
        </is>
      </c>
      <c r="B11647" s="56" t="n">
        <v>46000.36597222222</v>
      </c>
      <c r="C11647" t="inlineStr">
        <is>
          <t>Bluestone Memorial Hospital</t>
        </is>
      </c>
      <c r="D11647" t="n">
        <v>13</v>
      </c>
    </row>
    <row r="11648">
      <c r="A11648" t="inlineStr">
        <is>
          <t>ED211864</t>
        </is>
      </c>
      <c r="B11648" s="56" t="n">
        <v>46000.38263888889</v>
      </c>
      <c r="C11648" t="inlineStr">
        <is>
          <t>Cedar Ridge Medical Center</t>
        </is>
      </c>
      <c r="D11648" t="n">
        <v>45</v>
      </c>
    </row>
    <row r="11649">
      <c r="A11649" t="inlineStr">
        <is>
          <t>ED211865</t>
        </is>
      </c>
      <c r="B11649" s="56" t="n">
        <v>46000.39861111111</v>
      </c>
      <c r="C11649" t="inlineStr">
        <is>
          <t>Bluestone Memorial Hospital</t>
        </is>
      </c>
      <c r="D11649" t="n">
        <v>62</v>
      </c>
    </row>
    <row r="11650">
      <c r="A11650" t="inlineStr">
        <is>
          <t>ED211866</t>
        </is>
      </c>
      <c r="B11650" s="56" t="n">
        <v>46000.40277777778</v>
      </c>
      <c r="C11650" t="inlineStr">
        <is>
          <t>Cedar Ridge Medical Center</t>
        </is>
      </c>
      <c r="D11650" t="n">
        <v>39</v>
      </c>
    </row>
    <row r="11651">
      <c r="A11651" t="inlineStr">
        <is>
          <t>ED211867</t>
        </is>
      </c>
      <c r="B11651" s="56" t="n">
        <v>46000.42708333334</v>
      </c>
      <c r="C11651" t="inlineStr">
        <is>
          <t>Bluestone Memorial Hospital</t>
        </is>
      </c>
      <c r="D11651" t="n">
        <v>14</v>
      </c>
    </row>
    <row r="11652">
      <c r="A11652" t="inlineStr">
        <is>
          <t>ED211868</t>
        </is>
      </c>
      <c r="B11652" s="56" t="n">
        <v>46000.42847222222</v>
      </c>
      <c r="C11652" t="inlineStr">
        <is>
          <t>Bluestone Memorial Hospital</t>
        </is>
      </c>
      <c r="D11652" t="n">
        <v>174</v>
      </c>
    </row>
    <row r="11653">
      <c r="A11653" t="inlineStr">
        <is>
          <t>ED211869</t>
        </is>
      </c>
      <c r="B11653" s="56" t="n">
        <v>46000.45138888889</v>
      </c>
      <c r="C11653" t="inlineStr">
        <is>
          <t>Bluestone Memorial Hospital</t>
        </is>
      </c>
      <c r="D11653" t="n">
        <v>77</v>
      </c>
    </row>
    <row r="11654">
      <c r="A11654" t="inlineStr">
        <is>
          <t>ED211870</t>
        </is>
      </c>
      <c r="B11654" s="56" t="n">
        <v>46000.45277777778</v>
      </c>
      <c r="C11654" t="inlineStr">
        <is>
          <t>Bluestone Memorial Hospital</t>
        </is>
      </c>
      <c r="D11654" t="n">
        <v>20</v>
      </c>
    </row>
    <row r="11655">
      <c r="A11655" t="inlineStr">
        <is>
          <t>ED211871</t>
        </is>
      </c>
      <c r="B11655" s="56" t="n">
        <v>46000.45347222222</v>
      </c>
      <c r="C11655" t="inlineStr">
        <is>
          <t>Bluestone Memorial Hospital</t>
        </is>
      </c>
      <c r="D11655" t="n">
        <v>59</v>
      </c>
    </row>
    <row r="11656">
      <c r="A11656" t="inlineStr">
        <is>
          <t>ED211872</t>
        </is>
      </c>
      <c r="B11656" s="56" t="n">
        <v>46000.48402777778</v>
      </c>
      <c r="C11656" t="inlineStr">
        <is>
          <t>Bluestone Memorial Hospital</t>
        </is>
      </c>
      <c r="D11656" t="n">
        <v>123</v>
      </c>
    </row>
    <row r="11657">
      <c r="A11657" t="inlineStr">
        <is>
          <t>ED211873</t>
        </is>
      </c>
      <c r="B11657" s="56" t="n">
        <v>46000.53263888889</v>
      </c>
      <c r="C11657" t="inlineStr">
        <is>
          <t>Bluestone Memorial Hospital</t>
        </is>
      </c>
      <c r="D11657" t="n">
        <v>95</v>
      </c>
    </row>
    <row r="11658">
      <c r="A11658" t="inlineStr">
        <is>
          <t>ED211874</t>
        </is>
      </c>
      <c r="B11658" s="56" t="n">
        <v>46000.58194444444</v>
      </c>
      <c r="C11658" t="inlineStr">
        <is>
          <t>Ashby Falls Community Hospital</t>
        </is>
      </c>
      <c r="D11658" t="n">
        <v>88</v>
      </c>
    </row>
    <row r="11659">
      <c r="A11659" t="inlineStr">
        <is>
          <t>ED211875</t>
        </is>
      </c>
      <c r="B11659" s="56" t="n">
        <v>46000.62152777778</v>
      </c>
      <c r="C11659" t="inlineStr">
        <is>
          <t>Bluestone Memorial Hospital</t>
        </is>
      </c>
      <c r="D11659" t="n">
        <v>43</v>
      </c>
    </row>
    <row r="11660">
      <c r="A11660" t="inlineStr">
        <is>
          <t>ED211876</t>
        </is>
      </c>
      <c r="B11660" s="56" t="n">
        <v>46000.65069444444</v>
      </c>
      <c r="C11660" t="inlineStr">
        <is>
          <t>Bluestone Memorial Hospital</t>
        </is>
      </c>
      <c r="D11660" t="n">
        <v>23</v>
      </c>
    </row>
    <row r="11661">
      <c r="A11661" t="inlineStr">
        <is>
          <t>ED211877</t>
        </is>
      </c>
      <c r="B11661" s="56" t="n">
        <v>46000.67916666667</v>
      </c>
      <c r="C11661" t="inlineStr">
        <is>
          <t>Bluestone Memorial Hospital</t>
        </is>
      </c>
      <c r="D11661" t="n">
        <v>19</v>
      </c>
    </row>
    <row r="11662">
      <c r="A11662" t="inlineStr">
        <is>
          <t>ED211878</t>
        </is>
      </c>
      <c r="B11662" s="56" t="n">
        <v>46000.68958333333</v>
      </c>
      <c r="C11662" t="inlineStr">
        <is>
          <t>Ashby Falls Community Hospital</t>
        </is>
      </c>
      <c r="D11662" t="n">
        <v>45</v>
      </c>
    </row>
    <row r="11663">
      <c r="A11663" t="inlineStr">
        <is>
          <t>ED211879</t>
        </is>
      </c>
      <c r="B11663" s="56" t="n">
        <v>46000.70208333333</v>
      </c>
      <c r="C11663" t="inlineStr">
        <is>
          <t>Bluestone Memorial Hospital</t>
        </is>
      </c>
      <c r="D11663" t="n">
        <v>88</v>
      </c>
    </row>
    <row r="11664">
      <c r="A11664" t="inlineStr">
        <is>
          <t>ED211880</t>
        </is>
      </c>
      <c r="B11664" s="56" t="n">
        <v>46000.72013888889</v>
      </c>
      <c r="C11664" t="inlineStr">
        <is>
          <t>Bluestone Memorial Hospital</t>
        </is>
      </c>
      <c r="D11664" t="n">
        <v>14</v>
      </c>
    </row>
    <row r="11665">
      <c r="A11665" t="inlineStr">
        <is>
          <t>ED211881</t>
        </is>
      </c>
      <c r="B11665" s="56" t="n">
        <v>46000.72638888889</v>
      </c>
      <c r="C11665" t="inlineStr">
        <is>
          <t>Bluestone Memorial Hospital</t>
        </is>
      </c>
      <c r="D11665" t="n">
        <v>160</v>
      </c>
    </row>
    <row r="11666">
      <c r="A11666" t="inlineStr">
        <is>
          <t>ED211882</t>
        </is>
      </c>
      <c r="B11666" s="56" t="n">
        <v>46000.74930555555</v>
      </c>
      <c r="C11666" t="inlineStr">
        <is>
          <t>Bluestone Memorial Hospital</t>
        </is>
      </c>
      <c r="D11666" t="n">
        <v>11</v>
      </c>
    </row>
    <row r="11667">
      <c r="A11667" t="inlineStr">
        <is>
          <t>ED211883</t>
        </is>
      </c>
      <c r="B11667" s="56" t="n">
        <v>46000.84930555556</v>
      </c>
      <c r="C11667" t="inlineStr">
        <is>
          <t>Ashby Falls Community Hospital</t>
        </is>
      </c>
      <c r="D11667" t="n">
        <v>54</v>
      </c>
    </row>
    <row r="11668">
      <c r="A11668" t="inlineStr">
        <is>
          <t>ED211884</t>
        </is>
      </c>
      <c r="B11668" s="56" t="n">
        <v>46000.96041666667</v>
      </c>
      <c r="C11668" t="inlineStr">
        <is>
          <t>Bluestone Memorial Hospital</t>
        </is>
      </c>
      <c r="D11668" t="n">
        <v>10</v>
      </c>
    </row>
    <row r="11669">
      <c r="A11669" t="inlineStr">
        <is>
          <t>ED211885</t>
        </is>
      </c>
      <c r="B11669" s="56" t="n">
        <v>46001.17777777778</v>
      </c>
      <c r="C11669" t="inlineStr">
        <is>
          <t>Bluestone Memorial Hospital</t>
        </is>
      </c>
      <c r="D11669" t="n">
        <v>40</v>
      </c>
    </row>
    <row r="11670">
      <c r="A11670" t="inlineStr">
        <is>
          <t>ED211886</t>
        </is>
      </c>
      <c r="B11670" s="56" t="n">
        <v>46001.32847222222</v>
      </c>
      <c r="C11670" t="inlineStr">
        <is>
          <t>Cedar Ridge Medical Center</t>
        </is>
      </c>
      <c r="D11670" t="n">
        <v>8</v>
      </c>
    </row>
    <row r="11671">
      <c r="A11671" t="inlineStr">
        <is>
          <t>ED211888</t>
        </is>
      </c>
      <c r="B11671" s="56" t="n">
        <v>46001.43055555555</v>
      </c>
      <c r="C11671" t="inlineStr">
        <is>
          <t>Ashby Falls Community Hospital</t>
        </is>
      </c>
      <c r="D11671" t="n">
        <v>24</v>
      </c>
    </row>
    <row r="11672">
      <c r="A11672" t="inlineStr">
        <is>
          <t>ED211890</t>
        </is>
      </c>
      <c r="B11672" s="56" t="n">
        <v>46001.5625</v>
      </c>
      <c r="C11672" t="inlineStr">
        <is>
          <t>Bluestone Memorial Hospital</t>
        </is>
      </c>
      <c r="D11672" t="n">
        <v>28</v>
      </c>
    </row>
    <row r="11673">
      <c r="A11673" t="inlineStr">
        <is>
          <t>ED211891</t>
        </is>
      </c>
      <c r="B11673" s="56" t="n">
        <v>46001.58958333333</v>
      </c>
      <c r="C11673" t="inlineStr">
        <is>
          <t>Ashby Falls Community Hospital</t>
        </is>
      </c>
      <c r="D11673" t="n">
        <v>83</v>
      </c>
    </row>
    <row r="11674">
      <c r="A11674" t="inlineStr">
        <is>
          <t>ED211892</t>
        </is>
      </c>
      <c r="B11674" s="56" t="n">
        <v>46001.60763888889</v>
      </c>
      <c r="C11674" t="inlineStr">
        <is>
          <t>Bluestone Memorial Hospital</t>
        </is>
      </c>
      <c r="D11674" t="n">
        <v>95</v>
      </c>
    </row>
    <row r="11675">
      <c r="A11675" t="inlineStr">
        <is>
          <t>ED211893</t>
        </is>
      </c>
      <c r="B11675" s="56" t="n">
        <v>46001.62083333333</v>
      </c>
      <c r="C11675" t="inlineStr">
        <is>
          <t>Ashby Falls Community Hospital</t>
        </is>
      </c>
      <c r="D11675" t="n">
        <v>45</v>
      </c>
    </row>
    <row r="11676">
      <c r="A11676" t="inlineStr">
        <is>
          <t>ED211894</t>
        </is>
      </c>
      <c r="B11676" s="56" t="n">
        <v>46001.64791666667</v>
      </c>
      <c r="C11676" t="inlineStr">
        <is>
          <t>Cedar Ridge Medical Center</t>
        </is>
      </c>
      <c r="D11676" t="n">
        <v>128</v>
      </c>
    </row>
    <row r="11677">
      <c r="A11677" t="inlineStr">
        <is>
          <t>ED211895</t>
        </is>
      </c>
      <c r="B11677" s="56" t="n">
        <v>46001.66319444445</v>
      </c>
      <c r="C11677" t="inlineStr">
        <is>
          <t>Bluestone Memorial Hospital</t>
        </is>
      </c>
      <c r="D11677" t="n">
        <v>97</v>
      </c>
    </row>
    <row r="11678">
      <c r="A11678" t="inlineStr">
        <is>
          <t>ED211896</t>
        </is>
      </c>
      <c r="B11678" s="56" t="n">
        <v>46001.66736111111</v>
      </c>
      <c r="C11678" t="inlineStr">
        <is>
          <t>Bluestone Memorial Hospital</t>
        </is>
      </c>
      <c r="D11678" t="n">
        <v>105</v>
      </c>
    </row>
    <row r="11679">
      <c r="A11679" t="inlineStr">
        <is>
          <t>ED211897</t>
        </is>
      </c>
      <c r="B11679" s="56" t="n">
        <v>46001.67569444444</v>
      </c>
      <c r="C11679" t="inlineStr">
        <is>
          <t>Cedar Ridge Medical Center</t>
        </is>
      </c>
      <c r="D11679" t="n">
        <v>39</v>
      </c>
    </row>
    <row r="11680">
      <c r="A11680" t="inlineStr">
        <is>
          <t>ED211898</t>
        </is>
      </c>
      <c r="B11680" s="56" t="n">
        <v>46001.68402777778</v>
      </c>
      <c r="C11680" t="inlineStr">
        <is>
          <t>Bluestone Memorial Hospital</t>
        </is>
      </c>
      <c r="D11680" t="n">
        <v>51</v>
      </c>
    </row>
    <row r="11681">
      <c r="A11681" t="inlineStr">
        <is>
          <t>ED211900</t>
        </is>
      </c>
      <c r="B11681" s="56" t="n">
        <v>46001.81180555555</v>
      </c>
      <c r="C11681" t="inlineStr">
        <is>
          <t>Bluestone Memorial Hospital</t>
        </is>
      </c>
      <c r="D11681" t="n">
        <v>85</v>
      </c>
    </row>
    <row r="11682">
      <c r="A11682" t="inlineStr">
        <is>
          <t>ED211901</t>
        </is>
      </c>
      <c r="B11682" s="56" t="n">
        <v>46001.82083333333</v>
      </c>
      <c r="C11682" t="inlineStr">
        <is>
          <t>Ashby Falls Community Hospital</t>
        </is>
      </c>
      <c r="D11682" t="n">
        <v>82</v>
      </c>
    </row>
    <row r="11683">
      <c r="A11683" t="inlineStr">
        <is>
          <t>ED211902</t>
        </is>
      </c>
      <c r="B11683" s="56" t="n">
        <v>46001.82638888889</v>
      </c>
      <c r="C11683" t="inlineStr">
        <is>
          <t>Bluestone Memorial Hospital</t>
        </is>
      </c>
      <c r="D11683" t="n">
        <v>26</v>
      </c>
    </row>
    <row r="11684">
      <c r="A11684" t="inlineStr">
        <is>
          <t>ED211903</t>
        </is>
      </c>
      <c r="B11684" s="56" t="n">
        <v>46001.83472222222</v>
      </c>
      <c r="C11684" t="inlineStr">
        <is>
          <t>Bluestone Memorial Hospital</t>
        </is>
      </c>
      <c r="D11684" t="n">
        <v>4</v>
      </c>
    </row>
    <row r="11685">
      <c r="A11685" t="inlineStr">
        <is>
          <t>ED211904</t>
        </is>
      </c>
      <c r="B11685" s="56" t="n">
        <v>46001.93472222222</v>
      </c>
      <c r="C11685" t="inlineStr">
        <is>
          <t>Bluestone Memorial Hospital</t>
        </is>
      </c>
      <c r="D11685" t="n">
        <v>34</v>
      </c>
    </row>
    <row r="11686">
      <c r="A11686" t="inlineStr">
        <is>
          <t>ED211905</t>
        </is>
      </c>
      <c r="B11686" s="56" t="n">
        <v>46002.34930555556</v>
      </c>
      <c r="C11686" t="inlineStr">
        <is>
          <t>Cedar Ridge Medical Center</t>
        </is>
      </c>
      <c r="D11686" t="n">
        <v>7</v>
      </c>
    </row>
    <row r="11687">
      <c r="A11687" t="inlineStr">
        <is>
          <t>ED211906</t>
        </is>
      </c>
      <c r="B11687" s="56" t="n">
        <v>46002.38333333333</v>
      </c>
      <c r="C11687" t="inlineStr">
        <is>
          <t>Bluestone Memorial Hospital</t>
        </is>
      </c>
      <c r="D11687" t="n">
        <v>5</v>
      </c>
    </row>
    <row r="11688">
      <c r="A11688" t="inlineStr">
        <is>
          <t>ED211907</t>
        </is>
      </c>
      <c r="B11688" s="56" t="n">
        <v>46002.39027777778</v>
      </c>
      <c r="C11688" t="inlineStr">
        <is>
          <t>Bluestone Memorial Hospital</t>
        </is>
      </c>
      <c r="D11688" t="n">
        <v>86</v>
      </c>
    </row>
    <row r="11689">
      <c r="A11689" t="inlineStr">
        <is>
          <t>ED211908</t>
        </is>
      </c>
      <c r="B11689" s="56" t="n">
        <v>46002.39097222222</v>
      </c>
      <c r="C11689" t="inlineStr">
        <is>
          <t>Ashby Falls Community Hospital</t>
        </is>
      </c>
      <c r="D11689" t="n">
        <v>41</v>
      </c>
    </row>
    <row r="11690">
      <c r="A11690" t="inlineStr">
        <is>
          <t>ED211909</t>
        </is>
      </c>
      <c r="B11690" s="56" t="n">
        <v>46002.43333333333</v>
      </c>
      <c r="C11690" t="inlineStr">
        <is>
          <t>Ashby Falls Community Hospital</t>
        </is>
      </c>
      <c r="D11690" t="n">
        <v>92</v>
      </c>
    </row>
    <row r="11691">
      <c r="A11691" t="inlineStr">
        <is>
          <t>ED211910</t>
        </is>
      </c>
      <c r="B11691" s="56" t="n">
        <v>46002.4625</v>
      </c>
      <c r="C11691" t="inlineStr">
        <is>
          <t>Bluestone Memorial Hospital</t>
        </is>
      </c>
      <c r="D11691" t="n">
        <v>133</v>
      </c>
    </row>
    <row r="11692">
      <c r="A11692" t="inlineStr">
        <is>
          <t>ED211912</t>
        </is>
      </c>
      <c r="B11692" s="56" t="n">
        <v>46002.62569444445</v>
      </c>
      <c r="C11692" t="inlineStr">
        <is>
          <t>Bluestone Memorial Hospital</t>
        </is>
      </c>
      <c r="D11692" t="n">
        <v>3</v>
      </c>
    </row>
    <row r="11693">
      <c r="A11693" t="inlineStr">
        <is>
          <t>ED211913</t>
        </is>
      </c>
      <c r="B11693" s="56" t="n">
        <v>46002.65069444444</v>
      </c>
      <c r="C11693" t="inlineStr">
        <is>
          <t>Bluestone Memorial Hospital</t>
        </is>
      </c>
      <c r="D11693" t="n">
        <v>56</v>
      </c>
    </row>
    <row r="11694">
      <c r="A11694" t="inlineStr">
        <is>
          <t>ED211914</t>
        </is>
      </c>
      <c r="B11694" s="56" t="n">
        <v>46002.71736111111</v>
      </c>
      <c r="C11694" t="inlineStr">
        <is>
          <t>Bluestone Memorial Hospital</t>
        </is>
      </c>
      <c r="D11694" t="n">
        <v>56</v>
      </c>
    </row>
    <row r="11695">
      <c r="A11695" t="inlineStr">
        <is>
          <t>ED211915</t>
        </is>
      </c>
      <c r="B11695" s="56" t="n">
        <v>46002.73333333333</v>
      </c>
      <c r="C11695" t="inlineStr">
        <is>
          <t>Bluestone Memorial Hospital</t>
        </is>
      </c>
      <c r="D11695" t="n">
        <v>18</v>
      </c>
    </row>
    <row r="11696">
      <c r="A11696" t="inlineStr">
        <is>
          <t>ED211916</t>
        </is>
      </c>
      <c r="B11696" s="56" t="n">
        <v>46002.84444444445</v>
      </c>
      <c r="C11696" t="inlineStr">
        <is>
          <t>Bluestone Memorial Hospital</t>
        </is>
      </c>
      <c r="D11696" t="n">
        <v>95</v>
      </c>
    </row>
    <row r="11697">
      <c r="A11697" t="inlineStr">
        <is>
          <t>ED211917</t>
        </is>
      </c>
      <c r="B11697" s="56" t="n">
        <v>46002.90555555555</v>
      </c>
      <c r="C11697" t="inlineStr">
        <is>
          <t>Bluestone Memorial Hospital</t>
        </is>
      </c>
      <c r="D11697" t="n">
        <v>17</v>
      </c>
    </row>
    <row r="11698">
      <c r="A11698" t="inlineStr">
        <is>
          <t>ED211918</t>
        </is>
      </c>
      <c r="B11698" s="56" t="n">
        <v>46003.07222222222</v>
      </c>
      <c r="C11698" t="inlineStr">
        <is>
          <t>Ashby Falls Community Hospital</t>
        </is>
      </c>
      <c r="D11698" t="n">
        <v>60</v>
      </c>
    </row>
    <row r="11699">
      <c r="A11699" t="inlineStr">
        <is>
          <t>ED211919</t>
        </is>
      </c>
      <c r="B11699" s="56" t="n">
        <v>46003.28333333333</v>
      </c>
      <c r="C11699" t="inlineStr">
        <is>
          <t>Cedar Ridge Medical Center</t>
        </is>
      </c>
      <c r="D11699" t="n">
        <v>33</v>
      </c>
    </row>
    <row r="11700">
      <c r="A11700" t="inlineStr">
        <is>
          <t>ED211920</t>
        </is>
      </c>
      <c r="B11700" s="56" t="n">
        <v>46003.33819444444</v>
      </c>
      <c r="C11700" t="inlineStr">
        <is>
          <t>Bluestone Memorial Hospital</t>
        </is>
      </c>
      <c r="D11700" t="n">
        <v>74</v>
      </c>
    </row>
    <row r="11701">
      <c r="A11701" t="inlineStr">
        <is>
          <t>ED211921</t>
        </is>
      </c>
      <c r="B11701" s="56" t="n">
        <v>46003.46319444444</v>
      </c>
      <c r="C11701" t="inlineStr">
        <is>
          <t>Bluestone Memorial Hospital</t>
        </is>
      </c>
      <c r="D11701" t="n">
        <v>14</v>
      </c>
    </row>
    <row r="11702">
      <c r="A11702" t="inlineStr">
        <is>
          <t>ED211922</t>
        </is>
      </c>
      <c r="B11702" s="56" t="n">
        <v>46003.49722222222</v>
      </c>
      <c r="C11702" t="inlineStr">
        <is>
          <t>Cedar Ridge Medical Center</t>
        </is>
      </c>
      <c r="D11702" t="n">
        <v>48</v>
      </c>
    </row>
    <row r="11703">
      <c r="A11703" t="inlineStr">
        <is>
          <t>ED211923</t>
        </is>
      </c>
      <c r="B11703" s="56" t="n">
        <v>46003.52569444444</v>
      </c>
      <c r="C11703" t="inlineStr">
        <is>
          <t>Bluestone Memorial Hospital</t>
        </is>
      </c>
      <c r="D11703" t="n">
        <v>79</v>
      </c>
    </row>
    <row r="11704">
      <c r="A11704" t="inlineStr">
        <is>
          <t>ED211924</t>
        </is>
      </c>
      <c r="B11704" s="56" t="n">
        <v>46003.54652777778</v>
      </c>
      <c r="C11704" t="inlineStr">
        <is>
          <t>Bluestone Memorial Hospital</t>
        </is>
      </c>
      <c r="D11704" t="n">
        <v>9</v>
      </c>
    </row>
    <row r="11705">
      <c r="A11705" t="inlineStr">
        <is>
          <t>ED211925</t>
        </is>
      </c>
      <c r="B11705" s="56" t="n">
        <v>46003.625</v>
      </c>
      <c r="C11705" t="inlineStr">
        <is>
          <t>Bluestone Memorial Hospital</t>
        </is>
      </c>
      <c r="D11705" t="n">
        <v>47</v>
      </c>
    </row>
    <row r="11706">
      <c r="A11706" t="inlineStr">
        <is>
          <t>ED211926</t>
        </is>
      </c>
      <c r="B11706" s="56" t="n">
        <v>46003.62569444445</v>
      </c>
      <c r="C11706" t="inlineStr">
        <is>
          <t>Bluestone Memorial Hospital</t>
        </is>
      </c>
      <c r="D11706" t="n">
        <v>28</v>
      </c>
    </row>
    <row r="11707">
      <c r="A11707" t="inlineStr">
        <is>
          <t>ED211927</t>
        </is>
      </c>
      <c r="B11707" s="56" t="n">
        <v>46003.62708333333</v>
      </c>
      <c r="C11707" t="inlineStr">
        <is>
          <t>Bluestone Memorial Hospital</t>
        </is>
      </c>
      <c r="D11707" t="n">
        <v>41</v>
      </c>
    </row>
    <row r="11708">
      <c r="A11708" t="inlineStr">
        <is>
          <t>ED211928</t>
        </is>
      </c>
      <c r="B11708" s="56" t="n">
        <v>46003.71527777778</v>
      </c>
      <c r="C11708" t="inlineStr">
        <is>
          <t>Cedar Ridge Medical Center</t>
        </is>
      </c>
      <c r="D11708" t="n">
        <v>58</v>
      </c>
    </row>
    <row r="11709">
      <c r="A11709" t="inlineStr">
        <is>
          <t>ED211929</t>
        </is>
      </c>
      <c r="B11709" s="56" t="n">
        <v>46003.74444444444</v>
      </c>
      <c r="C11709" t="inlineStr">
        <is>
          <t>Cedar Ridge Medical Center</t>
        </is>
      </c>
      <c r="D11709" t="n">
        <v>28</v>
      </c>
    </row>
    <row r="11710">
      <c r="A11710" t="inlineStr">
        <is>
          <t>ED211930</t>
        </is>
      </c>
      <c r="B11710" s="56" t="n">
        <v>46003.74930555555</v>
      </c>
      <c r="C11710" t="inlineStr">
        <is>
          <t>Bluestone Memorial Hospital</t>
        </is>
      </c>
      <c r="D11710" t="n">
        <v>109</v>
      </c>
    </row>
    <row r="11711">
      <c r="A11711" t="inlineStr">
        <is>
          <t>ED211931</t>
        </is>
      </c>
      <c r="B11711" s="56" t="n">
        <v>46003.75902777778</v>
      </c>
      <c r="C11711" t="inlineStr">
        <is>
          <t>Bluestone Memorial Hospital</t>
        </is>
      </c>
      <c r="D11711" t="n">
        <v>95</v>
      </c>
    </row>
    <row r="11712">
      <c r="A11712" t="inlineStr">
        <is>
          <t>ED211932</t>
        </is>
      </c>
      <c r="B11712" s="56" t="n">
        <v>46003.78125</v>
      </c>
      <c r="C11712" t="inlineStr">
        <is>
          <t>Bluestone Memorial Hospital</t>
        </is>
      </c>
      <c r="D11712" t="n">
        <v>41</v>
      </c>
    </row>
    <row r="11713">
      <c r="A11713" t="inlineStr">
        <is>
          <t>ED211933</t>
        </is>
      </c>
      <c r="B11713" s="56" t="n">
        <v>46003.85138888889</v>
      </c>
      <c r="C11713" t="inlineStr">
        <is>
          <t>Bluestone Memorial Hospital</t>
        </is>
      </c>
      <c r="D11713" t="n">
        <v>24</v>
      </c>
    </row>
    <row r="11714">
      <c r="A11714" t="inlineStr">
        <is>
          <t>ED211934</t>
        </is>
      </c>
      <c r="B11714" s="56" t="n">
        <v>46003.85694444444</v>
      </c>
      <c r="C11714" t="inlineStr">
        <is>
          <t>Bluestone Memorial Hospital</t>
        </is>
      </c>
      <c r="D11714" t="n">
        <v>20</v>
      </c>
    </row>
    <row r="11715">
      <c r="A11715" t="inlineStr">
        <is>
          <t>ED211935</t>
        </is>
      </c>
      <c r="B11715" s="56" t="n">
        <v>46004.17013888889</v>
      </c>
      <c r="C11715" t="inlineStr">
        <is>
          <t>Bluestone Memorial Hospital</t>
        </is>
      </c>
      <c r="D11715" t="n">
        <v>43</v>
      </c>
    </row>
    <row r="11716">
      <c r="A11716" t="inlineStr">
        <is>
          <t>ED211936</t>
        </is>
      </c>
      <c r="B11716" s="56" t="n">
        <v>46004.20277777778</v>
      </c>
      <c r="C11716" t="inlineStr">
        <is>
          <t>Bluestone Memorial Hospital</t>
        </is>
      </c>
      <c r="D11716" t="n">
        <v>10</v>
      </c>
    </row>
    <row r="11717">
      <c r="A11717" t="inlineStr">
        <is>
          <t>ED211937</t>
        </is>
      </c>
      <c r="B11717" s="56" t="n">
        <v>46004.24375</v>
      </c>
      <c r="C11717" t="inlineStr">
        <is>
          <t>Cedar Ridge Medical Center</t>
        </is>
      </c>
      <c r="D11717" t="n">
        <v>15</v>
      </c>
    </row>
    <row r="11718">
      <c r="A11718" t="inlineStr">
        <is>
          <t>ED211938</t>
        </is>
      </c>
      <c r="B11718" s="56" t="n">
        <v>46004.31875</v>
      </c>
      <c r="C11718" t="inlineStr">
        <is>
          <t>Bluestone Memorial Hospital</t>
        </is>
      </c>
      <c r="D11718" t="n">
        <v>13</v>
      </c>
    </row>
    <row r="11719">
      <c r="A11719" t="inlineStr">
        <is>
          <t>ED211939</t>
        </is>
      </c>
      <c r="B11719" s="56" t="n">
        <v>46004.41458333333</v>
      </c>
      <c r="C11719" t="inlineStr">
        <is>
          <t>Bluestone Memorial Hospital</t>
        </is>
      </c>
      <c r="D11719" t="n">
        <v>39</v>
      </c>
    </row>
    <row r="11720">
      <c r="A11720" t="inlineStr">
        <is>
          <t>ED211940</t>
        </is>
      </c>
      <c r="B11720" s="56" t="n">
        <v>46004.42916666667</v>
      </c>
      <c r="C11720" t="inlineStr">
        <is>
          <t>Bluestone Memorial Hospital</t>
        </is>
      </c>
      <c r="D11720" t="n">
        <v>19</v>
      </c>
    </row>
    <row r="11721">
      <c r="A11721" t="inlineStr">
        <is>
          <t>ED211941</t>
        </is>
      </c>
      <c r="B11721" s="56" t="n">
        <v>46004.47361111111</v>
      </c>
      <c r="C11721" t="inlineStr">
        <is>
          <t>Ashby Falls Community Hospital</t>
        </is>
      </c>
      <c r="D11721" t="n">
        <v>40</v>
      </c>
    </row>
    <row r="11722">
      <c r="A11722" t="inlineStr">
        <is>
          <t>ED211942</t>
        </is>
      </c>
      <c r="B11722" s="56" t="n">
        <v>46004.48055555556</v>
      </c>
      <c r="C11722" t="inlineStr">
        <is>
          <t>Bluestone Memorial Hospital</t>
        </is>
      </c>
      <c r="D11722" t="n">
        <v>12</v>
      </c>
    </row>
    <row r="11723">
      <c r="A11723" t="inlineStr">
        <is>
          <t>ED211943</t>
        </is>
      </c>
      <c r="B11723" s="56" t="n">
        <v>46004.5375</v>
      </c>
      <c r="C11723" t="inlineStr">
        <is>
          <t>Cedar Ridge Medical Center</t>
        </is>
      </c>
      <c r="D11723" t="n">
        <v>34</v>
      </c>
    </row>
    <row r="11724">
      <c r="A11724" t="inlineStr">
        <is>
          <t>ED211944</t>
        </is>
      </c>
      <c r="B11724" s="56" t="n">
        <v>46004.56944444445</v>
      </c>
      <c r="C11724" t="inlineStr">
        <is>
          <t>Bluestone Memorial Hospital</t>
        </is>
      </c>
      <c r="D11724" t="n">
        <v>32</v>
      </c>
    </row>
    <row r="11725">
      <c r="A11725" t="inlineStr">
        <is>
          <t>ED211945</t>
        </is>
      </c>
      <c r="B11725" s="56" t="n">
        <v>46004.63194444445</v>
      </c>
      <c r="C11725" t="inlineStr">
        <is>
          <t>Cedar Ridge Medical Center</t>
        </is>
      </c>
      <c r="D11725" t="n">
        <v>68</v>
      </c>
    </row>
    <row r="11726">
      <c r="A11726" t="inlineStr">
        <is>
          <t>ED211946</t>
        </is>
      </c>
      <c r="B11726" s="56" t="n">
        <v>46004.70277777778</v>
      </c>
      <c r="C11726" t="inlineStr">
        <is>
          <t>Ashby Falls Community Hospital</t>
        </is>
      </c>
      <c r="D11726" t="n">
        <v>175</v>
      </c>
    </row>
    <row r="11727">
      <c r="A11727" t="inlineStr">
        <is>
          <t>ED211947</t>
        </is>
      </c>
      <c r="B11727" s="56" t="n">
        <v>46004.72430555556</v>
      </c>
      <c r="C11727" t="inlineStr">
        <is>
          <t>Bluestone Memorial Hospital</t>
        </is>
      </c>
      <c r="D11727" t="n">
        <v>41</v>
      </c>
    </row>
    <row r="11728">
      <c r="A11728" t="inlineStr">
        <is>
          <t>ED211948</t>
        </is>
      </c>
      <c r="B11728" s="56" t="n">
        <v>46004.72916666666</v>
      </c>
      <c r="C11728" t="inlineStr">
        <is>
          <t>Bluestone Memorial Hospital</t>
        </is>
      </c>
      <c r="D11728" t="n">
        <v>74</v>
      </c>
    </row>
    <row r="11729">
      <c r="A11729" t="inlineStr">
        <is>
          <t>ED211949</t>
        </is>
      </c>
      <c r="B11729" s="56" t="n">
        <v>46004.79097222222</v>
      </c>
      <c r="C11729" t="inlineStr">
        <is>
          <t>Cedar Ridge Medical Center</t>
        </is>
      </c>
      <c r="D11729" t="n">
        <v>31</v>
      </c>
    </row>
    <row r="11730">
      <c r="A11730" t="inlineStr">
        <is>
          <t>ED211950</t>
        </is>
      </c>
      <c r="B11730" s="56" t="n">
        <v>46004.88541666666</v>
      </c>
      <c r="C11730" t="inlineStr">
        <is>
          <t>Bluestone Memorial Hospital</t>
        </is>
      </c>
      <c r="D11730" t="n">
        <v>10</v>
      </c>
    </row>
    <row r="11731">
      <c r="A11731" t="inlineStr">
        <is>
          <t>ED211951</t>
        </is>
      </c>
      <c r="B11731" s="56" t="n">
        <v>46004.90486111111</v>
      </c>
      <c r="C11731" t="inlineStr">
        <is>
          <t>Bluestone Memorial Hospital</t>
        </is>
      </c>
      <c r="D11731" t="n">
        <v>15</v>
      </c>
    </row>
    <row r="11732">
      <c r="A11732" t="inlineStr">
        <is>
          <t>ED211952</t>
        </is>
      </c>
      <c r="B11732" s="56" t="n">
        <v>46004.93402777778</v>
      </c>
      <c r="C11732" t="inlineStr">
        <is>
          <t>Bluestone Memorial Hospital</t>
        </is>
      </c>
      <c r="D11732" t="n">
        <v>14</v>
      </c>
    </row>
    <row r="11733">
      <c r="A11733" t="inlineStr">
        <is>
          <t>ED211953</t>
        </is>
      </c>
      <c r="B11733" s="56" t="n">
        <v>46005.31111111111</v>
      </c>
      <c r="C11733" t="inlineStr">
        <is>
          <t>Bluestone Memorial Hospital</t>
        </is>
      </c>
      <c r="D11733" t="n">
        <v>58</v>
      </c>
    </row>
    <row r="11734">
      <c r="A11734" t="inlineStr">
        <is>
          <t>ED211954</t>
        </is>
      </c>
      <c r="B11734" s="56" t="n">
        <v>46005.39375</v>
      </c>
      <c r="C11734" t="inlineStr">
        <is>
          <t>Bluestone Memorial Hospital</t>
        </is>
      </c>
      <c r="D11734" t="n">
        <v>27</v>
      </c>
    </row>
    <row r="11735">
      <c r="A11735" t="inlineStr">
        <is>
          <t>ED211955</t>
        </is>
      </c>
      <c r="B11735" s="56" t="n">
        <v>46005.40416666667</v>
      </c>
      <c r="C11735" t="inlineStr">
        <is>
          <t>Bluestone Memorial Hospital</t>
        </is>
      </c>
      <c r="D11735" t="n">
        <v>17</v>
      </c>
    </row>
    <row r="11736">
      <c r="A11736" t="inlineStr">
        <is>
          <t>ED211956</t>
        </is>
      </c>
      <c r="B11736" s="56" t="n">
        <v>46005.48888888889</v>
      </c>
      <c r="C11736" t="inlineStr">
        <is>
          <t>Bluestone Memorial Hospital</t>
        </is>
      </c>
      <c r="D11736" t="n">
        <v>101</v>
      </c>
    </row>
    <row r="11737">
      <c r="A11737" t="inlineStr">
        <is>
          <t>ED211957</t>
        </is>
      </c>
      <c r="B11737" s="56" t="n">
        <v>46005.57222222222</v>
      </c>
      <c r="C11737" t="inlineStr">
        <is>
          <t>Bluestone Memorial Hospital</t>
        </is>
      </c>
      <c r="D11737" t="n">
        <v>50</v>
      </c>
    </row>
    <row r="11738">
      <c r="A11738" t="inlineStr">
        <is>
          <t>ED211958</t>
        </is>
      </c>
      <c r="B11738" s="56" t="n">
        <v>46005.61458333334</v>
      </c>
      <c r="C11738" t="inlineStr">
        <is>
          <t>Cedar Ridge Medical Center</t>
        </is>
      </c>
      <c r="D11738" t="n">
        <v>49</v>
      </c>
    </row>
    <row r="11739">
      <c r="A11739" t="inlineStr">
        <is>
          <t>ED211959</t>
        </is>
      </c>
      <c r="B11739" s="56" t="n">
        <v>46005.65208333333</v>
      </c>
      <c r="C11739" t="inlineStr">
        <is>
          <t>Bluestone Memorial Hospital</t>
        </is>
      </c>
      <c r="D11739" t="n">
        <v>10</v>
      </c>
    </row>
    <row r="11740">
      <c r="A11740" t="inlineStr">
        <is>
          <t>ED211960</t>
        </is>
      </c>
      <c r="B11740" s="56" t="n">
        <v>46005.71666666667</v>
      </c>
      <c r="C11740" t="inlineStr">
        <is>
          <t>Cedar Ridge Medical Center</t>
        </is>
      </c>
      <c r="D11740" t="n">
        <v>99</v>
      </c>
    </row>
    <row r="11741">
      <c r="A11741" t="inlineStr">
        <is>
          <t>ED211961</t>
        </is>
      </c>
      <c r="B11741" s="56" t="n">
        <v>46005.79166666666</v>
      </c>
      <c r="C11741" t="inlineStr">
        <is>
          <t>Bluestone Memorial Hospital</t>
        </is>
      </c>
      <c r="D11741" t="n">
        <v>94</v>
      </c>
    </row>
    <row r="11742">
      <c r="A11742" t="inlineStr">
        <is>
          <t>ED211962</t>
        </is>
      </c>
      <c r="B11742" s="56" t="n">
        <v>46005.84791666667</v>
      </c>
      <c r="C11742" t="inlineStr">
        <is>
          <t>Bluestone Memorial Hospital</t>
        </is>
      </c>
      <c r="D11742" t="n">
        <v>64</v>
      </c>
    </row>
    <row r="11743">
      <c r="A11743" t="inlineStr">
        <is>
          <t>ED211963</t>
        </is>
      </c>
      <c r="B11743" s="56" t="n">
        <v>46005.87083333333</v>
      </c>
      <c r="C11743" t="inlineStr">
        <is>
          <t>Bluestone Memorial Hospital</t>
        </is>
      </c>
      <c r="D11743" t="n">
        <v>1</v>
      </c>
    </row>
    <row r="11744">
      <c r="A11744" t="inlineStr">
        <is>
          <t>ED211964</t>
        </is>
      </c>
      <c r="B11744" s="56" t="n">
        <v>46005.96111111111</v>
      </c>
      <c r="C11744" t="inlineStr">
        <is>
          <t>Bluestone Memorial Hospital</t>
        </is>
      </c>
      <c r="D11744" t="n">
        <v>21</v>
      </c>
    </row>
    <row r="11745">
      <c r="A11745" t="inlineStr">
        <is>
          <t>ED211965</t>
        </is>
      </c>
      <c r="B11745" s="56" t="n">
        <v>46005.97222222222</v>
      </c>
      <c r="C11745" t="inlineStr">
        <is>
          <t>Bluestone Memorial Hospital</t>
        </is>
      </c>
      <c r="D11745" t="n">
        <v>44</v>
      </c>
    </row>
    <row r="11746">
      <c r="A11746" t="inlineStr">
        <is>
          <t>ED211966</t>
        </is>
      </c>
      <c r="B11746" s="56" t="n">
        <v>46006.10625</v>
      </c>
      <c r="C11746" t="inlineStr">
        <is>
          <t>Bluestone Memorial Hospital</t>
        </is>
      </c>
      <c r="D11746" t="n">
        <v>41</v>
      </c>
    </row>
    <row r="11747">
      <c r="A11747" t="inlineStr">
        <is>
          <t>ED211967</t>
        </is>
      </c>
      <c r="B11747" s="56" t="n">
        <v>46006.10694444444</v>
      </c>
      <c r="C11747" t="inlineStr">
        <is>
          <t>Bluestone Memorial Hospital</t>
        </is>
      </c>
      <c r="D11747" t="n">
        <v>176</v>
      </c>
    </row>
    <row r="11748">
      <c r="A11748" t="inlineStr">
        <is>
          <t>ED211968</t>
        </is>
      </c>
      <c r="B11748" s="56" t="n">
        <v>46006.13333333333</v>
      </c>
      <c r="C11748" t="inlineStr">
        <is>
          <t>Bluestone Memorial Hospital</t>
        </is>
      </c>
      <c r="D11748" t="n">
        <v>28</v>
      </c>
    </row>
    <row r="11749">
      <c r="A11749" t="inlineStr">
        <is>
          <t>ED211969</t>
        </is>
      </c>
      <c r="B11749" s="56" t="n">
        <v>46006.19444444445</v>
      </c>
      <c r="C11749" t="inlineStr">
        <is>
          <t>Bluestone Memorial Hospital</t>
        </is>
      </c>
      <c r="D11749" t="n">
        <v>5</v>
      </c>
    </row>
    <row r="11750">
      <c r="A11750" t="inlineStr">
        <is>
          <t>ED211970</t>
        </is>
      </c>
      <c r="B11750" s="56" t="n">
        <v>46006.22569444445</v>
      </c>
      <c r="C11750" t="inlineStr">
        <is>
          <t>Bluestone Memorial Hospital</t>
        </is>
      </c>
      <c r="D11750" t="n">
        <v>63</v>
      </c>
    </row>
    <row r="11751">
      <c r="A11751" t="inlineStr">
        <is>
          <t>ED211971</t>
        </is>
      </c>
      <c r="B11751" s="56" t="n">
        <v>46006.30625</v>
      </c>
      <c r="C11751" t="inlineStr">
        <is>
          <t>Bluestone Memorial Hospital</t>
        </is>
      </c>
      <c r="D11751" t="n">
        <v>117</v>
      </c>
    </row>
    <row r="11752">
      <c r="A11752" t="inlineStr">
        <is>
          <t>ED211972</t>
        </is>
      </c>
      <c r="B11752" s="56" t="n">
        <v>46006.34444444445</v>
      </c>
      <c r="C11752" t="inlineStr">
        <is>
          <t>Cedar Ridge Medical Center</t>
        </is>
      </c>
      <c r="D11752" t="n">
        <v>11</v>
      </c>
    </row>
    <row r="11753">
      <c r="A11753" t="inlineStr">
        <is>
          <t>ED211975</t>
        </is>
      </c>
      <c r="B11753" s="56" t="n">
        <v>46006.42222222222</v>
      </c>
      <c r="C11753" t="inlineStr">
        <is>
          <t>Ashby Falls Community Hospital</t>
        </is>
      </c>
      <c r="D11753" t="n">
        <v>27</v>
      </c>
    </row>
    <row r="11754">
      <c r="A11754" t="inlineStr">
        <is>
          <t>ED211976</t>
        </is>
      </c>
      <c r="B11754" s="56" t="n">
        <v>46006.42986111111</v>
      </c>
      <c r="C11754" t="inlineStr">
        <is>
          <t>Bluestone Memorial Hospital</t>
        </is>
      </c>
      <c r="D11754" t="n">
        <v>22</v>
      </c>
    </row>
    <row r="11755">
      <c r="A11755" t="inlineStr">
        <is>
          <t>ED211977</t>
        </is>
      </c>
      <c r="B11755" s="56" t="n">
        <v>46006.4375</v>
      </c>
      <c r="C11755" t="inlineStr">
        <is>
          <t>Cedar Ridge Medical Center</t>
        </is>
      </c>
      <c r="D11755" t="n">
        <v>31</v>
      </c>
    </row>
    <row r="11756">
      <c r="A11756" t="inlineStr">
        <is>
          <t>ED211978</t>
        </is>
      </c>
      <c r="B11756" s="56" t="n">
        <v>46006.45416666667</v>
      </c>
      <c r="C11756" t="inlineStr">
        <is>
          <t>Bluestone Memorial Hospital</t>
        </is>
      </c>
      <c r="D11756" t="n">
        <v>1</v>
      </c>
    </row>
    <row r="11757">
      <c r="A11757" t="inlineStr">
        <is>
          <t>ED211979</t>
        </is>
      </c>
      <c r="B11757" s="56" t="n">
        <v>46006.46875</v>
      </c>
      <c r="C11757" t="inlineStr">
        <is>
          <t>Bluestone Memorial Hospital</t>
        </is>
      </c>
      <c r="D11757" t="n">
        <v>57</v>
      </c>
    </row>
    <row r="11758">
      <c r="A11758" t="inlineStr">
        <is>
          <t>ED211980</t>
        </is>
      </c>
      <c r="B11758" s="56" t="n">
        <v>46006.50972222222</v>
      </c>
      <c r="C11758" t="inlineStr">
        <is>
          <t>Bluestone Memorial Hospital</t>
        </is>
      </c>
      <c r="D11758" t="n">
        <v>28</v>
      </c>
    </row>
    <row r="11759">
      <c r="A11759" t="inlineStr">
        <is>
          <t>ED211981</t>
        </is>
      </c>
      <c r="B11759" s="56" t="n">
        <v>46006.52083333334</v>
      </c>
      <c r="C11759" t="inlineStr">
        <is>
          <t>Cedar Ridge Medical Center</t>
        </is>
      </c>
      <c r="D11759" t="n">
        <v>37</v>
      </c>
    </row>
    <row r="11760">
      <c r="A11760" t="inlineStr">
        <is>
          <t>ED211983</t>
        </is>
      </c>
      <c r="B11760" s="56" t="n">
        <v>46006.58194444444</v>
      </c>
      <c r="C11760" t="inlineStr">
        <is>
          <t>Ashby Falls Community Hospital</t>
        </is>
      </c>
      <c r="D11760" t="n">
        <v>100</v>
      </c>
    </row>
    <row r="11761">
      <c r="A11761" t="inlineStr">
        <is>
          <t>ED211984</t>
        </is>
      </c>
      <c r="B11761" s="56" t="n">
        <v>46006.73194444444</v>
      </c>
      <c r="C11761" t="inlineStr">
        <is>
          <t>Bluestone Memorial Hospital</t>
        </is>
      </c>
      <c r="D11761" t="n">
        <v>102</v>
      </c>
    </row>
    <row r="11762">
      <c r="A11762" t="inlineStr">
        <is>
          <t>ED211985</t>
        </is>
      </c>
      <c r="B11762" s="56" t="n">
        <v>46006.75902777778</v>
      </c>
      <c r="C11762" t="inlineStr">
        <is>
          <t>Cedar Ridge Medical Center</t>
        </is>
      </c>
      <c r="D11762" t="n">
        <v>124</v>
      </c>
    </row>
    <row r="11763">
      <c r="A11763" t="inlineStr">
        <is>
          <t>ED211986</t>
        </is>
      </c>
      <c r="B11763" s="56" t="n">
        <v>46006.79722222222</v>
      </c>
      <c r="C11763" t="inlineStr">
        <is>
          <t>Bluestone Memorial Hospital</t>
        </is>
      </c>
      <c r="D11763" t="n">
        <v>46</v>
      </c>
    </row>
    <row r="11764">
      <c r="A11764" t="inlineStr">
        <is>
          <t>ED211987</t>
        </is>
      </c>
      <c r="B11764" s="56" t="n">
        <v>46006.80208333334</v>
      </c>
      <c r="C11764" t="inlineStr">
        <is>
          <t>Bluestone Memorial Hospital</t>
        </is>
      </c>
      <c r="D11764" t="n">
        <v>3</v>
      </c>
    </row>
    <row r="11765">
      <c r="A11765" t="inlineStr">
        <is>
          <t>ED211988</t>
        </is>
      </c>
      <c r="B11765" s="56" t="n">
        <v>46006.94791666666</v>
      </c>
      <c r="C11765" t="inlineStr">
        <is>
          <t>Cedar Ridge Medical Center</t>
        </is>
      </c>
      <c r="D11765" t="n">
        <v>10</v>
      </c>
    </row>
    <row r="11766">
      <c r="A11766" t="inlineStr">
        <is>
          <t>ED211989</t>
        </is>
      </c>
      <c r="B11766" s="56" t="n">
        <v>46006.95486111111</v>
      </c>
      <c r="C11766" t="inlineStr">
        <is>
          <t>Bluestone Memorial Hospital</t>
        </is>
      </c>
      <c r="D11766" t="n">
        <v>106</v>
      </c>
    </row>
    <row r="11767">
      <c r="A11767" t="inlineStr">
        <is>
          <t>ED211990</t>
        </is>
      </c>
      <c r="B11767" s="56" t="n">
        <v>46007.09166666667</v>
      </c>
      <c r="C11767" t="inlineStr">
        <is>
          <t>Bluestone Memorial Hospital</t>
        </is>
      </c>
      <c r="D11767" t="n">
        <v>8</v>
      </c>
    </row>
    <row r="11768">
      <c r="A11768" t="inlineStr">
        <is>
          <t>ED211991</t>
        </is>
      </c>
      <c r="B11768" s="56" t="n">
        <v>46007.19722222222</v>
      </c>
      <c r="C11768" t="inlineStr">
        <is>
          <t>Bluestone Memorial Hospital</t>
        </is>
      </c>
      <c r="D11768" t="n">
        <v>137</v>
      </c>
    </row>
    <row r="11769">
      <c r="A11769" t="inlineStr">
        <is>
          <t>ED211992</t>
        </is>
      </c>
      <c r="B11769" s="56" t="n">
        <v>46007.24861111111</v>
      </c>
      <c r="C11769" t="inlineStr">
        <is>
          <t>Bluestone Memorial Hospital</t>
        </is>
      </c>
      <c r="D11769" t="n">
        <v>9</v>
      </c>
    </row>
    <row r="11770">
      <c r="A11770" t="inlineStr">
        <is>
          <t>ED211993</t>
        </is>
      </c>
      <c r="B11770" s="56" t="n">
        <v>46007.35347222222</v>
      </c>
      <c r="C11770" t="inlineStr">
        <is>
          <t>Bluestone Memorial Hospital</t>
        </is>
      </c>
      <c r="D11770" t="n">
        <v>75</v>
      </c>
    </row>
    <row r="11771">
      <c r="A11771" t="inlineStr">
        <is>
          <t>ED211994</t>
        </is>
      </c>
      <c r="B11771" s="56" t="n">
        <v>46007.40763888889</v>
      </c>
      <c r="C11771" t="inlineStr">
        <is>
          <t>Ashby Falls Community Hospital</t>
        </is>
      </c>
      <c r="D11771" t="n">
        <v>57</v>
      </c>
    </row>
    <row r="11772">
      <c r="A11772" t="inlineStr">
        <is>
          <t>ED211995</t>
        </is>
      </c>
      <c r="B11772" s="56" t="n">
        <v>46007.42152777778</v>
      </c>
      <c r="C11772" t="inlineStr">
        <is>
          <t>Bluestone Memorial Hospital</t>
        </is>
      </c>
      <c r="D11772" t="n">
        <v>42</v>
      </c>
    </row>
    <row r="11773">
      <c r="A11773" t="inlineStr">
        <is>
          <t>ED211996</t>
        </is>
      </c>
      <c r="B11773" s="56" t="n">
        <v>46007.43958333333</v>
      </c>
      <c r="C11773" t="inlineStr">
        <is>
          <t>Bluestone Memorial Hospital</t>
        </is>
      </c>
      <c r="D11773" t="n">
        <v>71</v>
      </c>
    </row>
    <row r="11774">
      <c r="A11774" t="inlineStr">
        <is>
          <t>ED211997</t>
        </is>
      </c>
      <c r="B11774" s="56" t="n">
        <v>46007.44722222222</v>
      </c>
      <c r="C11774" t="inlineStr">
        <is>
          <t>Ashby Falls Community Hospital</t>
        </is>
      </c>
      <c r="D11774" t="n">
        <v>36</v>
      </c>
    </row>
    <row r="11775">
      <c r="A11775" t="inlineStr">
        <is>
          <t>ED211998</t>
        </is>
      </c>
      <c r="B11775" s="56" t="n">
        <v>46007.46597222222</v>
      </c>
      <c r="C11775" t="inlineStr">
        <is>
          <t>Bluestone Memorial Hospital</t>
        </is>
      </c>
      <c r="D11775" t="n">
        <v>26</v>
      </c>
    </row>
    <row r="11776">
      <c r="A11776" t="inlineStr">
        <is>
          <t>ED211999</t>
        </is>
      </c>
      <c r="B11776" s="56" t="n">
        <v>46007.46805555555</v>
      </c>
      <c r="C11776" t="inlineStr">
        <is>
          <t>Ashby Falls Community Hospital</t>
        </is>
      </c>
      <c r="D11776" t="n">
        <v>124</v>
      </c>
    </row>
    <row r="11777">
      <c r="A11777" t="inlineStr">
        <is>
          <t>ED212000</t>
        </is>
      </c>
      <c r="B11777" s="56" t="n">
        <v>46007.57083333333</v>
      </c>
      <c r="C11777" t="inlineStr">
        <is>
          <t>Bluestone Memorial Hospital</t>
        </is>
      </c>
      <c r="D11777" t="n">
        <v>38</v>
      </c>
    </row>
    <row r="11778">
      <c r="A11778" t="inlineStr">
        <is>
          <t>ED212001</t>
        </is>
      </c>
      <c r="B11778" s="56" t="n">
        <v>46007.675</v>
      </c>
      <c r="C11778" t="inlineStr">
        <is>
          <t>Bluestone Memorial Hospital</t>
        </is>
      </c>
      <c r="D11778" t="n">
        <v>19</v>
      </c>
    </row>
    <row r="11779">
      <c r="A11779" t="inlineStr">
        <is>
          <t>ED212002</t>
        </is>
      </c>
      <c r="B11779" s="56" t="n">
        <v>46007.68541666667</v>
      </c>
      <c r="C11779" t="inlineStr">
        <is>
          <t>Ashby Falls Community Hospital</t>
        </is>
      </c>
      <c r="D11779" t="n">
        <v>19</v>
      </c>
    </row>
    <row r="11780">
      <c r="A11780" t="inlineStr">
        <is>
          <t>ED212003</t>
        </is>
      </c>
      <c r="B11780" s="56" t="n">
        <v>46007.74027777778</v>
      </c>
      <c r="C11780" t="inlineStr">
        <is>
          <t>Bluestone Memorial Hospital</t>
        </is>
      </c>
      <c r="D11780" t="n">
        <v>16</v>
      </c>
    </row>
    <row r="11781">
      <c r="A11781" t="inlineStr">
        <is>
          <t>ED212004</t>
        </is>
      </c>
      <c r="B11781" s="56" t="n">
        <v>46007.74791666667</v>
      </c>
      <c r="C11781" t="inlineStr">
        <is>
          <t>Bluestone Memorial Hospital</t>
        </is>
      </c>
      <c r="D11781" t="n">
        <v>89</v>
      </c>
    </row>
    <row r="11782">
      <c r="A11782" t="inlineStr">
        <is>
          <t>ED212005</t>
        </is>
      </c>
      <c r="B11782" s="56" t="n">
        <v>46007.75277777778</v>
      </c>
      <c r="C11782" t="inlineStr">
        <is>
          <t>Bluestone Memorial Hospital</t>
        </is>
      </c>
      <c r="D11782" t="n">
        <v>136</v>
      </c>
    </row>
    <row r="11783">
      <c r="A11783" t="inlineStr">
        <is>
          <t>ED212006</t>
        </is>
      </c>
      <c r="B11783" s="56" t="n">
        <v>46007.75277777778</v>
      </c>
      <c r="C11783" t="inlineStr">
        <is>
          <t>Bluestone Memorial Hospital</t>
        </is>
      </c>
      <c r="D11783" t="n">
        <v>7</v>
      </c>
    </row>
    <row r="11784">
      <c r="A11784" t="inlineStr">
        <is>
          <t>ED212007</t>
        </is>
      </c>
      <c r="B11784" s="56" t="n">
        <v>46007.76319444444</v>
      </c>
      <c r="C11784" t="inlineStr">
        <is>
          <t>Bluestone Memorial Hospital</t>
        </is>
      </c>
      <c r="D11784" t="n">
        <v>110</v>
      </c>
    </row>
    <row r="11785">
      <c r="A11785" t="inlineStr">
        <is>
          <t>ED212008</t>
        </is>
      </c>
      <c r="B11785" s="56" t="n">
        <v>46007.76527777778</v>
      </c>
      <c r="C11785" t="inlineStr">
        <is>
          <t>Bluestone Memorial Hospital</t>
        </is>
      </c>
      <c r="D11785" t="n">
        <v>72</v>
      </c>
    </row>
    <row r="11786">
      <c r="A11786" t="inlineStr">
        <is>
          <t>ED212009</t>
        </is>
      </c>
      <c r="B11786" s="56" t="n">
        <v>46007.76736111111</v>
      </c>
      <c r="C11786" t="inlineStr">
        <is>
          <t>Cedar Ridge Medical Center</t>
        </is>
      </c>
      <c r="D11786" t="n">
        <v>30</v>
      </c>
    </row>
    <row r="11787">
      <c r="A11787" t="inlineStr">
        <is>
          <t>ED212010</t>
        </is>
      </c>
      <c r="B11787" s="56" t="n">
        <v>46007.77708333333</v>
      </c>
      <c r="C11787" t="inlineStr">
        <is>
          <t>Cedar Ridge Medical Center</t>
        </is>
      </c>
      <c r="D11787" t="n">
        <v>50</v>
      </c>
    </row>
    <row r="11788">
      <c r="A11788" t="inlineStr">
        <is>
          <t>ED212011</t>
        </is>
      </c>
      <c r="B11788" s="56" t="n">
        <v>46007.80902777778</v>
      </c>
      <c r="C11788" t="inlineStr">
        <is>
          <t>Bluestone Memorial Hospital</t>
        </is>
      </c>
      <c r="D11788" t="n">
        <v>70</v>
      </c>
    </row>
    <row r="11789">
      <c r="A11789" t="inlineStr">
        <is>
          <t>ED212012</t>
        </is>
      </c>
      <c r="B11789" s="56" t="n">
        <v>46007.86041666667</v>
      </c>
      <c r="C11789" t="inlineStr">
        <is>
          <t>Cedar Ridge Medical Center</t>
        </is>
      </c>
      <c r="D11789" t="n">
        <v>32</v>
      </c>
    </row>
    <row r="11790">
      <c r="A11790" t="inlineStr">
        <is>
          <t>ED212013</t>
        </is>
      </c>
      <c r="B11790" s="56" t="n">
        <v>46007.86180555556</v>
      </c>
      <c r="C11790" t="inlineStr">
        <is>
          <t>Bluestone Memorial Hospital</t>
        </is>
      </c>
      <c r="D11790" t="n">
        <v>163</v>
      </c>
    </row>
    <row r="11791">
      <c r="A11791" t="inlineStr">
        <is>
          <t>ED212014</t>
        </is>
      </c>
      <c r="B11791" s="56" t="n">
        <v>46007.88819444444</v>
      </c>
      <c r="C11791" t="inlineStr">
        <is>
          <t>Cedar Ridge Medical Center</t>
        </is>
      </c>
      <c r="D11791" t="n">
        <v>104</v>
      </c>
    </row>
    <row r="11792">
      <c r="A11792" t="inlineStr">
        <is>
          <t>ED212015</t>
        </is>
      </c>
      <c r="B11792" s="56" t="n">
        <v>46007.90138888889</v>
      </c>
      <c r="C11792" t="inlineStr">
        <is>
          <t>Bluestone Memorial Hospital</t>
        </is>
      </c>
      <c r="D11792" t="n">
        <v>136</v>
      </c>
    </row>
    <row r="11793">
      <c r="A11793" t="inlineStr">
        <is>
          <t>ED212016</t>
        </is>
      </c>
      <c r="B11793" s="56" t="n">
        <v>46007.91875</v>
      </c>
      <c r="C11793" t="inlineStr">
        <is>
          <t>Ashby Falls Community Hospital</t>
        </is>
      </c>
      <c r="D11793" t="n">
        <v>29</v>
      </c>
    </row>
    <row r="11794">
      <c r="A11794" t="inlineStr">
        <is>
          <t>ED212017</t>
        </is>
      </c>
      <c r="B11794" s="56" t="n">
        <v>46008.10902777778</v>
      </c>
      <c r="C11794" t="inlineStr">
        <is>
          <t>Bluestone Memorial Hospital</t>
        </is>
      </c>
      <c r="D11794" t="n">
        <v>3</v>
      </c>
    </row>
    <row r="11795">
      <c r="A11795" t="inlineStr">
        <is>
          <t>ED212018</t>
        </is>
      </c>
      <c r="B11795" s="56" t="n">
        <v>46008.38402777778</v>
      </c>
      <c r="C11795" t="inlineStr">
        <is>
          <t>Bluestone Memorial Hospital</t>
        </is>
      </c>
      <c r="D11795" t="n">
        <v>183</v>
      </c>
    </row>
    <row r="11796">
      <c r="A11796" t="inlineStr">
        <is>
          <t>ED212019</t>
        </is>
      </c>
      <c r="B11796" s="56" t="n">
        <v>46008.38472222222</v>
      </c>
      <c r="C11796" t="inlineStr">
        <is>
          <t>Bluestone Memorial Hospital</t>
        </is>
      </c>
      <c r="D11796" t="n">
        <v>43</v>
      </c>
    </row>
    <row r="11797">
      <c r="A11797" t="inlineStr">
        <is>
          <t>ED212020</t>
        </is>
      </c>
      <c r="B11797" s="56" t="n">
        <v>46008.43541666667</v>
      </c>
      <c r="C11797" t="inlineStr">
        <is>
          <t>Bluestone Memorial Hospital</t>
        </is>
      </c>
      <c r="D11797" t="n">
        <v>49</v>
      </c>
    </row>
    <row r="11798">
      <c r="A11798" t="inlineStr">
        <is>
          <t>ED212021</t>
        </is>
      </c>
      <c r="B11798" s="56" t="n">
        <v>46008.45069444444</v>
      </c>
      <c r="C11798" t="inlineStr">
        <is>
          <t>Bluestone Memorial Hospital</t>
        </is>
      </c>
      <c r="D11798" t="n">
        <v>52</v>
      </c>
    </row>
    <row r="11799">
      <c r="A11799" t="inlineStr">
        <is>
          <t>ED212022</t>
        </is>
      </c>
      <c r="B11799" s="56" t="n">
        <v>46008.46527777778</v>
      </c>
      <c r="C11799" t="inlineStr">
        <is>
          <t>Bluestone Memorial Hospital</t>
        </is>
      </c>
      <c r="D11799" t="n">
        <v>15</v>
      </c>
    </row>
    <row r="11800">
      <c r="A11800" t="inlineStr">
        <is>
          <t>ED212023</t>
        </is>
      </c>
      <c r="B11800" s="56" t="n">
        <v>46008.48958333334</v>
      </c>
      <c r="C11800" t="inlineStr">
        <is>
          <t>Bluestone Memorial Hospital</t>
        </is>
      </c>
      <c r="D11800" t="n">
        <v>140</v>
      </c>
    </row>
    <row r="11801">
      <c r="A11801" t="inlineStr">
        <is>
          <t>ED212024</t>
        </is>
      </c>
      <c r="B11801" s="56" t="n">
        <v>46008.49444444444</v>
      </c>
      <c r="C11801" t="inlineStr">
        <is>
          <t>Bluestone Memorial Hospital</t>
        </is>
      </c>
      <c r="D11801" t="n">
        <v>63</v>
      </c>
    </row>
    <row r="11802">
      <c r="A11802" t="inlineStr">
        <is>
          <t>ED212025</t>
        </is>
      </c>
      <c r="B11802" s="56" t="n">
        <v>46008.52291666667</v>
      </c>
      <c r="C11802" t="inlineStr">
        <is>
          <t>Bluestone Memorial Hospital</t>
        </is>
      </c>
      <c r="D11802" t="n">
        <v>101</v>
      </c>
    </row>
    <row r="11803">
      <c r="A11803" t="inlineStr">
        <is>
          <t>ED212026</t>
        </is>
      </c>
      <c r="B11803" s="56" t="n">
        <v>46008.56875</v>
      </c>
      <c r="C11803" t="inlineStr">
        <is>
          <t>Bluestone Memorial Hospital</t>
        </is>
      </c>
      <c r="D11803" t="n">
        <v>77</v>
      </c>
    </row>
    <row r="11804">
      <c r="A11804" t="inlineStr">
        <is>
          <t>ED212027</t>
        </is>
      </c>
      <c r="B11804" s="56" t="n">
        <v>46008.65347222222</v>
      </c>
      <c r="C11804" t="inlineStr">
        <is>
          <t>Bluestone Memorial Hospital</t>
        </is>
      </c>
      <c r="D11804" t="n">
        <v>84</v>
      </c>
    </row>
    <row r="11805">
      <c r="A11805" t="inlineStr">
        <is>
          <t>ED212028</t>
        </is>
      </c>
      <c r="B11805" s="56" t="n">
        <v>46008.66666666666</v>
      </c>
      <c r="C11805" t="inlineStr">
        <is>
          <t>Bluestone Memorial Hospital</t>
        </is>
      </c>
      <c r="D11805" t="n">
        <v>84</v>
      </c>
    </row>
    <row r="11806">
      <c r="A11806" t="inlineStr">
        <is>
          <t>ED212029</t>
        </is>
      </c>
      <c r="B11806" s="56" t="n">
        <v>46008.67013888889</v>
      </c>
      <c r="C11806" t="inlineStr">
        <is>
          <t>Cedar Ridge Medical Center</t>
        </is>
      </c>
      <c r="D11806" t="n">
        <v>89</v>
      </c>
    </row>
    <row r="11807">
      <c r="A11807" t="inlineStr">
        <is>
          <t>ED212030</t>
        </is>
      </c>
      <c r="B11807" s="56" t="n">
        <v>46008.69583333333</v>
      </c>
      <c r="C11807" t="inlineStr">
        <is>
          <t>Bluestone Memorial Hospital</t>
        </is>
      </c>
      <c r="D11807" t="n">
        <v>11</v>
      </c>
    </row>
    <row r="11808">
      <c r="A11808" t="inlineStr">
        <is>
          <t>ED212031</t>
        </is>
      </c>
      <c r="B11808" s="56" t="n">
        <v>46008.70208333333</v>
      </c>
      <c r="C11808" t="inlineStr">
        <is>
          <t>Ashby Falls Community Hospital</t>
        </is>
      </c>
      <c r="D11808" t="n">
        <v>51</v>
      </c>
    </row>
    <row r="11809">
      <c r="A11809" t="inlineStr">
        <is>
          <t>ED212032</t>
        </is>
      </c>
      <c r="B11809" s="56" t="n">
        <v>46008.73402777778</v>
      </c>
      <c r="C11809" t="inlineStr">
        <is>
          <t>Bluestone Memorial Hospital</t>
        </is>
      </c>
      <c r="D11809" t="n">
        <v>94</v>
      </c>
    </row>
    <row r="11810">
      <c r="A11810" t="inlineStr">
        <is>
          <t>ED212033</t>
        </is>
      </c>
      <c r="B11810" s="56" t="n">
        <v>46008.85694444444</v>
      </c>
      <c r="C11810" t="inlineStr">
        <is>
          <t>Bluestone Memorial Hospital</t>
        </is>
      </c>
      <c r="D11810" t="n">
        <v>116</v>
      </c>
    </row>
    <row r="11811">
      <c r="A11811" t="inlineStr">
        <is>
          <t>ED212034</t>
        </is>
      </c>
      <c r="B11811" s="56" t="n">
        <v>46008.86388888889</v>
      </c>
      <c r="C11811" t="inlineStr">
        <is>
          <t>Bluestone Memorial Hospital</t>
        </is>
      </c>
      <c r="D11811" t="n">
        <v>79</v>
      </c>
    </row>
    <row r="11812">
      <c r="A11812" t="inlineStr">
        <is>
          <t>ED212035</t>
        </is>
      </c>
      <c r="B11812" s="56" t="n">
        <v>46008.87291666667</v>
      </c>
      <c r="C11812" t="inlineStr">
        <is>
          <t>Ashby Falls Community Hospital</t>
        </is>
      </c>
      <c r="D11812" t="n">
        <v>42</v>
      </c>
    </row>
    <row r="11813">
      <c r="A11813" t="inlineStr">
        <is>
          <t>ED212036</t>
        </is>
      </c>
      <c r="B11813" s="56" t="n">
        <v>46008.90555555555</v>
      </c>
      <c r="C11813" t="inlineStr">
        <is>
          <t>Bluestone Memorial Hospital</t>
        </is>
      </c>
      <c r="D11813" t="n">
        <v>63</v>
      </c>
    </row>
    <row r="11814">
      <c r="A11814" t="inlineStr">
        <is>
          <t>ED212037</t>
        </is>
      </c>
      <c r="B11814" s="56" t="n">
        <v>46008.9125</v>
      </c>
      <c r="C11814" t="inlineStr">
        <is>
          <t>Bluestone Memorial Hospital</t>
        </is>
      </c>
      <c r="D11814" t="n">
        <v>17</v>
      </c>
    </row>
    <row r="11815">
      <c r="A11815" t="inlineStr">
        <is>
          <t>ED212038</t>
        </is>
      </c>
      <c r="B11815" s="56" t="n">
        <v>46008.94652777778</v>
      </c>
      <c r="C11815" t="inlineStr">
        <is>
          <t>Bluestone Memorial Hospital</t>
        </is>
      </c>
      <c r="D11815" t="n">
        <v>14</v>
      </c>
    </row>
    <row r="11816">
      <c r="A11816" t="inlineStr">
        <is>
          <t>ED212039</t>
        </is>
      </c>
      <c r="B11816" s="56" t="n">
        <v>46008.95069444444</v>
      </c>
      <c r="C11816" t="inlineStr">
        <is>
          <t>Bluestone Memorial Hospital</t>
        </is>
      </c>
      <c r="D11816" t="n">
        <v>8</v>
      </c>
    </row>
    <row r="11817">
      <c r="A11817" t="inlineStr">
        <is>
          <t>ED212040</t>
        </is>
      </c>
      <c r="B11817" s="56" t="n">
        <v>46009.00138888889</v>
      </c>
      <c r="C11817" t="inlineStr">
        <is>
          <t>Bluestone Memorial Hospital</t>
        </is>
      </c>
      <c r="D11817" t="n">
        <v>12</v>
      </c>
    </row>
    <row r="11818">
      <c r="A11818" t="inlineStr">
        <is>
          <t>ED212041</t>
        </is>
      </c>
      <c r="B11818" s="56" t="n">
        <v>46009.04722222222</v>
      </c>
      <c r="C11818" t="inlineStr">
        <is>
          <t>Cedar Ridge Medical Center</t>
        </is>
      </c>
      <c r="D11818" t="n">
        <v>21</v>
      </c>
    </row>
    <row r="11819">
      <c r="A11819" t="inlineStr">
        <is>
          <t>ED212042</t>
        </is>
      </c>
      <c r="B11819" s="56" t="n">
        <v>46009.08611111111</v>
      </c>
      <c r="C11819" t="inlineStr">
        <is>
          <t>Bluestone Memorial Hospital</t>
        </is>
      </c>
      <c r="D11819" t="n">
        <v>25</v>
      </c>
    </row>
    <row r="11820">
      <c r="A11820" t="inlineStr">
        <is>
          <t>ED212043</t>
        </is>
      </c>
      <c r="B11820" s="56" t="n">
        <v>46009.11180555556</v>
      </c>
      <c r="C11820" t="inlineStr">
        <is>
          <t>Cedar Ridge Medical Center</t>
        </is>
      </c>
      <c r="D11820" t="n">
        <v>21</v>
      </c>
    </row>
    <row r="11821">
      <c r="A11821" t="inlineStr">
        <is>
          <t>ED212044</t>
        </is>
      </c>
      <c r="B11821" s="56" t="n">
        <v>46009.15277777778</v>
      </c>
      <c r="C11821" t="inlineStr">
        <is>
          <t>Bluestone Memorial Hospital</t>
        </is>
      </c>
      <c r="D11821" t="n">
        <v>12</v>
      </c>
    </row>
    <row r="11822">
      <c r="A11822" t="inlineStr">
        <is>
          <t>ED212045</t>
        </is>
      </c>
      <c r="B11822" s="56" t="n">
        <v>46009.23819444444</v>
      </c>
      <c r="C11822" t="inlineStr">
        <is>
          <t>Bluestone Memorial Hospital</t>
        </is>
      </c>
      <c r="D11822" t="n">
        <v>19</v>
      </c>
    </row>
    <row r="11823">
      <c r="A11823" t="inlineStr">
        <is>
          <t>ED212046</t>
        </is>
      </c>
      <c r="B11823" s="56" t="n">
        <v>46009.35555555556</v>
      </c>
      <c r="C11823" t="inlineStr">
        <is>
          <t>Bluestone Memorial Hospital</t>
        </is>
      </c>
      <c r="D11823" t="n">
        <v>4</v>
      </c>
    </row>
    <row r="11824">
      <c r="A11824" t="inlineStr">
        <is>
          <t>ED212047</t>
        </is>
      </c>
      <c r="B11824" s="56" t="n">
        <v>46009.375</v>
      </c>
      <c r="C11824" t="inlineStr">
        <is>
          <t>Ashby Falls Community Hospital</t>
        </is>
      </c>
      <c r="D11824" t="n">
        <v>410</v>
      </c>
    </row>
    <row r="11825">
      <c r="A11825" t="inlineStr">
        <is>
          <t>ED212048</t>
        </is>
      </c>
      <c r="B11825" s="56" t="n">
        <v>46009.40694444445</v>
      </c>
      <c r="C11825" t="inlineStr">
        <is>
          <t>Bluestone Memorial Hospital</t>
        </is>
      </c>
      <c r="D11825" t="n">
        <v>21</v>
      </c>
    </row>
    <row r="11826">
      <c r="A11826" t="inlineStr">
        <is>
          <t>ED212049</t>
        </is>
      </c>
      <c r="B11826" s="56" t="n">
        <v>46009.43333333333</v>
      </c>
      <c r="C11826" t="inlineStr">
        <is>
          <t>Bluestone Memorial Hospital</t>
        </is>
      </c>
      <c r="D11826" t="n">
        <v>87</v>
      </c>
    </row>
    <row r="11827">
      <c r="A11827" t="inlineStr">
        <is>
          <t>ED212050</t>
        </is>
      </c>
      <c r="B11827" s="56" t="n">
        <v>46009.43888888889</v>
      </c>
      <c r="C11827" t="inlineStr">
        <is>
          <t>Bluestone Memorial Hospital</t>
        </is>
      </c>
      <c r="D11827" t="n">
        <v>32</v>
      </c>
    </row>
    <row r="11828">
      <c r="A11828" t="inlineStr">
        <is>
          <t>ED212051</t>
        </is>
      </c>
      <c r="B11828" s="56" t="n">
        <v>46009.45208333333</v>
      </c>
      <c r="C11828" t="inlineStr">
        <is>
          <t>Ashby Falls Community Hospital</t>
        </is>
      </c>
      <c r="D11828" t="n">
        <v>25</v>
      </c>
    </row>
    <row r="11829">
      <c r="A11829" t="inlineStr">
        <is>
          <t>ED212052</t>
        </is>
      </c>
      <c r="B11829" s="56" t="n">
        <v>46009.50833333333</v>
      </c>
      <c r="C11829" t="inlineStr">
        <is>
          <t>Bluestone Memorial Hospital</t>
        </is>
      </c>
      <c r="D11829" t="n">
        <v>59</v>
      </c>
    </row>
    <row r="11830">
      <c r="A11830" t="inlineStr">
        <is>
          <t>ED212053</t>
        </is>
      </c>
      <c r="B11830" s="56" t="n">
        <v>46009.52847222222</v>
      </c>
      <c r="C11830" t="inlineStr">
        <is>
          <t>Ashby Falls Community Hospital</t>
        </is>
      </c>
      <c r="D11830" t="n">
        <v>49</v>
      </c>
    </row>
    <row r="11831">
      <c r="A11831" t="inlineStr">
        <is>
          <t>ED212054</t>
        </is>
      </c>
      <c r="B11831" s="56" t="n">
        <v>46009.58194444444</v>
      </c>
      <c r="C11831" t="inlineStr">
        <is>
          <t>Bluestone Memorial Hospital</t>
        </is>
      </c>
      <c r="D11831" t="n">
        <v>10</v>
      </c>
    </row>
    <row r="11832">
      <c r="A11832" t="inlineStr">
        <is>
          <t>ED212055</t>
        </is>
      </c>
      <c r="B11832" s="56" t="n">
        <v>46009.59027777778</v>
      </c>
      <c r="C11832" t="inlineStr">
        <is>
          <t>Bluestone Memorial Hospital</t>
        </is>
      </c>
      <c r="D11832" t="n">
        <v>19</v>
      </c>
    </row>
    <row r="11833">
      <c r="A11833" t="inlineStr">
        <is>
          <t>ED212056</t>
        </is>
      </c>
      <c r="B11833" s="56" t="n">
        <v>46009.67013888889</v>
      </c>
      <c r="C11833" t="inlineStr">
        <is>
          <t>Bluestone Memorial Hospital</t>
        </is>
      </c>
      <c r="D11833" t="n">
        <v>29</v>
      </c>
    </row>
    <row r="11834">
      <c r="A11834" t="inlineStr">
        <is>
          <t>ED212057</t>
        </is>
      </c>
      <c r="B11834" s="56" t="n">
        <v>46009.72361111111</v>
      </c>
      <c r="C11834" t="inlineStr">
        <is>
          <t>Bluestone Memorial Hospital</t>
        </is>
      </c>
      <c r="D11834" t="n">
        <v>89</v>
      </c>
    </row>
    <row r="11835">
      <c r="A11835" t="inlineStr">
        <is>
          <t>ED212058</t>
        </is>
      </c>
      <c r="B11835" s="56" t="n">
        <v>46009.73402777778</v>
      </c>
      <c r="C11835" t="inlineStr">
        <is>
          <t>Ashby Falls Community Hospital</t>
        </is>
      </c>
      <c r="D11835" t="n">
        <v>88</v>
      </c>
    </row>
    <row r="11836">
      <c r="A11836" t="inlineStr">
        <is>
          <t>ED212059</t>
        </is>
      </c>
      <c r="B11836" s="56" t="n">
        <v>46009.87222222222</v>
      </c>
      <c r="C11836" t="inlineStr">
        <is>
          <t>Bluestone Memorial Hospital</t>
        </is>
      </c>
      <c r="D11836" t="n">
        <v>26</v>
      </c>
    </row>
    <row r="11837">
      <c r="A11837" t="inlineStr">
        <is>
          <t>ED212060</t>
        </is>
      </c>
      <c r="B11837" s="56" t="n">
        <v>46009.87638888889</v>
      </c>
      <c r="C11837" t="inlineStr">
        <is>
          <t>Ashby Falls Community Hospital</t>
        </is>
      </c>
      <c r="D11837" t="n">
        <v>31</v>
      </c>
    </row>
    <row r="11838">
      <c r="A11838" t="inlineStr">
        <is>
          <t>ED212061</t>
        </is>
      </c>
      <c r="B11838" s="56" t="n">
        <v>46009.8875</v>
      </c>
      <c r="C11838" t="inlineStr">
        <is>
          <t>Bluestone Memorial Hospital</t>
        </is>
      </c>
      <c r="D11838" t="n">
        <v>55</v>
      </c>
    </row>
    <row r="11839">
      <c r="A11839" t="inlineStr">
        <is>
          <t>ED212062</t>
        </is>
      </c>
      <c r="B11839" s="56" t="n">
        <v>46009.95277777778</v>
      </c>
      <c r="C11839" t="inlineStr">
        <is>
          <t>Bluestone Memorial Hospital</t>
        </is>
      </c>
      <c r="D11839" t="n">
        <v>11</v>
      </c>
    </row>
    <row r="11840">
      <c r="A11840" t="inlineStr">
        <is>
          <t>ED212063</t>
        </is>
      </c>
      <c r="B11840" s="56" t="n">
        <v>46009.98194444444</v>
      </c>
      <c r="C11840" t="inlineStr">
        <is>
          <t>Ashby Falls Community Hospital</t>
        </is>
      </c>
      <c r="D11840" t="n">
        <v>103</v>
      </c>
    </row>
    <row r="11841">
      <c r="A11841" t="inlineStr">
        <is>
          <t>ED212064</t>
        </is>
      </c>
      <c r="B11841" s="56" t="n">
        <v>46010.29375</v>
      </c>
      <c r="C11841" t="inlineStr">
        <is>
          <t>Bluestone Memorial Hospital</t>
        </is>
      </c>
      <c r="D11841" t="n">
        <v>182</v>
      </c>
    </row>
    <row r="11842">
      <c r="A11842" t="inlineStr">
        <is>
          <t>ED212065</t>
        </is>
      </c>
      <c r="B11842" s="56" t="n">
        <v>46010.40694444445</v>
      </c>
      <c r="C11842" t="inlineStr">
        <is>
          <t>Cedar Ridge Medical Center</t>
        </is>
      </c>
      <c r="D11842" t="n">
        <v>123</v>
      </c>
    </row>
    <row r="11843">
      <c r="A11843" t="inlineStr">
        <is>
          <t>ED212066</t>
        </is>
      </c>
      <c r="B11843" s="56" t="n">
        <v>46010.43055555555</v>
      </c>
      <c r="C11843" t="inlineStr">
        <is>
          <t>Cedar Ridge Medical Center</t>
        </is>
      </c>
      <c r="D11843" t="n">
        <v>77</v>
      </c>
    </row>
    <row r="11844">
      <c r="A11844" t="inlineStr">
        <is>
          <t>ED212067</t>
        </is>
      </c>
      <c r="B11844" s="56" t="n">
        <v>46010.48194444444</v>
      </c>
      <c r="C11844" t="inlineStr">
        <is>
          <t>Bluestone Memorial Hospital</t>
        </is>
      </c>
      <c r="D11844" t="n">
        <v>66</v>
      </c>
    </row>
    <row r="11845">
      <c r="A11845" t="inlineStr">
        <is>
          <t>ED212068</t>
        </is>
      </c>
      <c r="B11845" s="56" t="n">
        <v>46010.53194444445</v>
      </c>
      <c r="C11845" t="inlineStr">
        <is>
          <t>Bluestone Memorial Hospital</t>
        </is>
      </c>
      <c r="D11845" t="n">
        <v>61</v>
      </c>
    </row>
    <row r="11846">
      <c r="A11846" t="inlineStr">
        <is>
          <t>ED212070</t>
        </is>
      </c>
      <c r="B11846" s="56" t="n">
        <v>46010.59444444445</v>
      </c>
      <c r="C11846" t="inlineStr">
        <is>
          <t>Ashby Falls Community Hospital</t>
        </is>
      </c>
      <c r="D11846" t="n">
        <v>67</v>
      </c>
    </row>
    <row r="11847">
      <c r="A11847" t="inlineStr">
        <is>
          <t>ED212071</t>
        </is>
      </c>
      <c r="B11847" s="56" t="n">
        <v>46010.64097222222</v>
      </c>
      <c r="C11847" t="inlineStr">
        <is>
          <t>Ashby Falls Community Hospital</t>
        </is>
      </c>
      <c r="D11847" t="n">
        <v>41</v>
      </c>
    </row>
    <row r="11848">
      <c r="A11848" t="inlineStr">
        <is>
          <t>ED212072</t>
        </is>
      </c>
      <c r="B11848" s="56" t="n">
        <v>46010.66944444444</v>
      </c>
      <c r="C11848" t="inlineStr">
        <is>
          <t>Bluestone Memorial Hospital</t>
        </is>
      </c>
      <c r="D11848" t="n">
        <v>81</v>
      </c>
    </row>
    <row r="11849">
      <c r="A11849" t="inlineStr">
        <is>
          <t>ED212073</t>
        </is>
      </c>
      <c r="B11849" s="56" t="n">
        <v>46010.68958333333</v>
      </c>
      <c r="C11849" t="inlineStr">
        <is>
          <t>Ashby Falls Community Hospital</t>
        </is>
      </c>
      <c r="D11849" t="n">
        <v>22</v>
      </c>
    </row>
    <row r="11850">
      <c r="A11850" t="inlineStr">
        <is>
          <t>ED212074</t>
        </is>
      </c>
      <c r="B11850" s="56" t="n">
        <v>46010.72430555556</v>
      </c>
      <c r="C11850" t="inlineStr">
        <is>
          <t>Ashby Falls Community Hospital</t>
        </is>
      </c>
      <c r="D11850" t="n">
        <v>23</v>
      </c>
    </row>
    <row r="11851">
      <c r="A11851" t="inlineStr">
        <is>
          <t>ED212075</t>
        </is>
      </c>
      <c r="B11851" s="56" t="n">
        <v>46010.725</v>
      </c>
      <c r="C11851" t="inlineStr">
        <is>
          <t>Bluestone Memorial Hospital</t>
        </is>
      </c>
      <c r="D11851" t="n">
        <v>75</v>
      </c>
    </row>
    <row r="11852">
      <c r="A11852" t="inlineStr">
        <is>
          <t>ED212076</t>
        </is>
      </c>
      <c r="B11852" s="56" t="n">
        <v>46010.78680555556</v>
      </c>
      <c r="C11852" t="inlineStr">
        <is>
          <t>Bluestone Memorial Hospital</t>
        </is>
      </c>
      <c r="D11852" t="n">
        <v>65</v>
      </c>
    </row>
    <row r="11853">
      <c r="A11853" t="inlineStr">
        <is>
          <t>ED212077</t>
        </is>
      </c>
      <c r="B11853" s="56" t="n">
        <v>46010.80069444444</v>
      </c>
      <c r="C11853" t="inlineStr">
        <is>
          <t>Ashby Falls Community Hospital</t>
        </is>
      </c>
      <c r="D11853" t="n">
        <v>18</v>
      </c>
    </row>
    <row r="11854">
      <c r="A11854" t="inlineStr">
        <is>
          <t>ED212078</t>
        </is>
      </c>
      <c r="B11854" s="56" t="n">
        <v>46010.80555555555</v>
      </c>
      <c r="C11854" t="inlineStr">
        <is>
          <t>Bluestone Memorial Hospital</t>
        </is>
      </c>
      <c r="D11854" t="n">
        <v>27</v>
      </c>
    </row>
    <row r="11855">
      <c r="A11855" t="inlineStr">
        <is>
          <t>ED212079</t>
        </is>
      </c>
      <c r="B11855" s="56" t="n">
        <v>46010.80902777778</v>
      </c>
      <c r="C11855" t="inlineStr">
        <is>
          <t>Cedar Ridge Medical Center</t>
        </is>
      </c>
      <c r="D11855" t="n">
        <v>93</v>
      </c>
    </row>
    <row r="11856">
      <c r="A11856" t="inlineStr">
        <is>
          <t>ED212080</t>
        </is>
      </c>
      <c r="B11856" s="56" t="n">
        <v>46010.8125</v>
      </c>
      <c r="C11856" t="inlineStr">
        <is>
          <t>Cedar Ridge Medical Center</t>
        </is>
      </c>
      <c r="D11856" t="n">
        <v>65</v>
      </c>
    </row>
    <row r="11857">
      <c r="A11857" t="inlineStr">
        <is>
          <t>ED212081</t>
        </is>
      </c>
      <c r="B11857" s="56" t="n">
        <v>46010.82361111111</v>
      </c>
      <c r="C11857" t="inlineStr">
        <is>
          <t>Cedar Ridge Medical Center</t>
        </is>
      </c>
      <c r="D11857" t="n">
        <v>178</v>
      </c>
    </row>
    <row r="11858">
      <c r="A11858" t="inlineStr">
        <is>
          <t>ED212082</t>
        </is>
      </c>
      <c r="B11858" s="56" t="n">
        <v>46010.89236111111</v>
      </c>
      <c r="C11858" t="inlineStr">
        <is>
          <t>Bluestone Memorial Hospital</t>
        </is>
      </c>
      <c r="D11858" t="n">
        <v>47</v>
      </c>
    </row>
    <row r="11859">
      <c r="A11859" t="inlineStr">
        <is>
          <t>ED212083</t>
        </is>
      </c>
      <c r="B11859" s="56" t="n">
        <v>46011.02708333333</v>
      </c>
      <c r="C11859" t="inlineStr">
        <is>
          <t>Bluestone Memorial Hospital</t>
        </is>
      </c>
      <c r="D11859" t="n">
        <v>71</v>
      </c>
    </row>
    <row r="11860">
      <c r="A11860" t="inlineStr">
        <is>
          <t>ED212084</t>
        </is>
      </c>
      <c r="B11860" s="56" t="n">
        <v>46011.04513888889</v>
      </c>
      <c r="C11860" t="inlineStr">
        <is>
          <t>Bluestone Memorial Hospital</t>
        </is>
      </c>
      <c r="D11860" t="n">
        <v>29</v>
      </c>
    </row>
    <row r="11861">
      <c r="A11861" t="inlineStr">
        <is>
          <t>ED212085</t>
        </is>
      </c>
      <c r="B11861" s="56" t="n">
        <v>46011.22222222222</v>
      </c>
      <c r="C11861" t="inlineStr">
        <is>
          <t>Bluestone Memorial Hospital</t>
        </is>
      </c>
      <c r="D11861" t="n">
        <v>15</v>
      </c>
    </row>
    <row r="11862">
      <c r="A11862" t="inlineStr">
        <is>
          <t>ED212086</t>
        </is>
      </c>
      <c r="B11862" s="56" t="n">
        <v>46011.26805555556</v>
      </c>
      <c r="C11862" t="inlineStr">
        <is>
          <t>Cedar Ridge Medical Center</t>
        </is>
      </c>
      <c r="D11862" t="n">
        <v>8</v>
      </c>
    </row>
    <row r="11863">
      <c r="A11863" t="inlineStr">
        <is>
          <t>ED212087</t>
        </is>
      </c>
      <c r="B11863" s="56" t="n">
        <v>46011.46875</v>
      </c>
      <c r="C11863" t="inlineStr">
        <is>
          <t>Bluestone Memorial Hospital</t>
        </is>
      </c>
      <c r="D11863" t="n">
        <v>17</v>
      </c>
    </row>
    <row r="11864">
      <c r="A11864" t="inlineStr">
        <is>
          <t>ED212088</t>
        </is>
      </c>
      <c r="B11864" s="56" t="n">
        <v>46011.49444444444</v>
      </c>
      <c r="C11864" t="inlineStr">
        <is>
          <t>Bluestone Memorial Hospital</t>
        </is>
      </c>
      <c r="D11864" t="n">
        <v>46</v>
      </c>
    </row>
    <row r="11865">
      <c r="A11865" t="inlineStr">
        <is>
          <t>ED212089</t>
        </is>
      </c>
      <c r="B11865" s="56" t="n">
        <v>46011.51041666666</v>
      </c>
      <c r="C11865" t="inlineStr">
        <is>
          <t>Cedar Ridge Medical Center</t>
        </is>
      </c>
      <c r="D11865" t="n">
        <v>8</v>
      </c>
    </row>
    <row r="11866">
      <c r="A11866" t="inlineStr">
        <is>
          <t>ED212090</t>
        </is>
      </c>
      <c r="B11866" s="56" t="n">
        <v>46011.52430555555</v>
      </c>
      <c r="C11866" t="inlineStr">
        <is>
          <t>Bluestone Memorial Hospital</t>
        </is>
      </c>
      <c r="D11866" t="n">
        <v>20</v>
      </c>
    </row>
    <row r="11867">
      <c r="A11867" t="inlineStr">
        <is>
          <t>ED212091</t>
        </is>
      </c>
      <c r="B11867" s="56" t="n">
        <v>46011.53541666667</v>
      </c>
      <c r="C11867" t="inlineStr">
        <is>
          <t>Ashby Falls Community Hospital</t>
        </is>
      </c>
      <c r="D11867" t="n">
        <v>25</v>
      </c>
    </row>
    <row r="11868">
      <c r="A11868" t="inlineStr">
        <is>
          <t>ED212092</t>
        </is>
      </c>
      <c r="B11868" s="56" t="n">
        <v>46011.53888888889</v>
      </c>
      <c r="C11868" t="inlineStr">
        <is>
          <t>Bluestone Memorial Hospital</t>
        </is>
      </c>
      <c r="D11868" t="n">
        <v>60</v>
      </c>
    </row>
    <row r="11869">
      <c r="A11869" t="inlineStr">
        <is>
          <t>ED212093</t>
        </is>
      </c>
      <c r="B11869" s="56" t="n">
        <v>46011.54930555556</v>
      </c>
      <c r="C11869" t="inlineStr">
        <is>
          <t>Bluestone Memorial Hospital</t>
        </is>
      </c>
      <c r="D11869" t="n">
        <v>28</v>
      </c>
    </row>
    <row r="11870">
      <c r="A11870" t="inlineStr">
        <is>
          <t>ED212094</t>
        </is>
      </c>
      <c r="B11870" s="56" t="n">
        <v>46011.79305555556</v>
      </c>
      <c r="C11870" t="inlineStr">
        <is>
          <t>Bluestone Memorial Hospital</t>
        </is>
      </c>
      <c r="D11870" t="n">
        <v>63</v>
      </c>
    </row>
    <row r="11871">
      <c r="A11871" t="inlineStr">
        <is>
          <t>ED212095</t>
        </is>
      </c>
      <c r="B11871" s="56" t="n">
        <v>46011.87638888889</v>
      </c>
      <c r="C11871" t="inlineStr">
        <is>
          <t>Bluestone Memorial Hospital</t>
        </is>
      </c>
      <c r="D11871" t="n">
        <v>71</v>
      </c>
    </row>
    <row r="11872">
      <c r="A11872" t="inlineStr">
        <is>
          <t>ED212096</t>
        </is>
      </c>
      <c r="B11872" s="56" t="n">
        <v>46011.91805555556</v>
      </c>
      <c r="C11872" t="inlineStr">
        <is>
          <t>Bluestone Memorial Hospital</t>
        </is>
      </c>
      <c r="D11872" t="n">
        <v>42</v>
      </c>
    </row>
    <row r="11873">
      <c r="A11873" t="inlineStr">
        <is>
          <t>ED212097</t>
        </is>
      </c>
      <c r="B11873" s="56" t="n">
        <v>46011.97152777778</v>
      </c>
      <c r="C11873" t="inlineStr">
        <is>
          <t>Bluestone Memorial Hospital</t>
        </is>
      </c>
      <c r="D11873" t="n">
        <v>101</v>
      </c>
    </row>
    <row r="11874">
      <c r="A11874" t="inlineStr">
        <is>
          <t>ED212098</t>
        </is>
      </c>
      <c r="B11874" s="56" t="n">
        <v>46011.97847222222</v>
      </c>
      <c r="C11874" t="inlineStr">
        <is>
          <t>Ashby Falls Community Hospital</t>
        </is>
      </c>
      <c r="D11874" t="n">
        <v>12</v>
      </c>
    </row>
    <row r="11875">
      <c r="A11875" t="inlineStr">
        <is>
          <t>ED212099</t>
        </is>
      </c>
      <c r="B11875" s="56" t="n">
        <v>46011.98888888889</v>
      </c>
      <c r="C11875" t="inlineStr">
        <is>
          <t>Bluestone Memorial Hospital</t>
        </is>
      </c>
      <c r="D11875" t="n">
        <v>147</v>
      </c>
    </row>
    <row r="11876">
      <c r="A11876" t="inlineStr">
        <is>
          <t>ED212100</t>
        </is>
      </c>
      <c r="B11876" s="56" t="n">
        <v>46012.27916666667</v>
      </c>
      <c r="C11876" t="inlineStr">
        <is>
          <t>Bluestone Memorial Hospital</t>
        </is>
      </c>
      <c r="D11876" t="n">
        <v>32</v>
      </c>
    </row>
    <row r="11877">
      <c r="A11877" t="inlineStr">
        <is>
          <t>ED212101</t>
        </is>
      </c>
      <c r="B11877" s="56" t="n">
        <v>46012.37083333333</v>
      </c>
      <c r="C11877" t="inlineStr">
        <is>
          <t>Cedar Ridge Medical Center</t>
        </is>
      </c>
      <c r="D11877" t="n">
        <v>33</v>
      </c>
    </row>
    <row r="11878">
      <c r="A11878" t="inlineStr">
        <is>
          <t>ED212103</t>
        </is>
      </c>
      <c r="B11878" s="56" t="n">
        <v>46012.3875</v>
      </c>
      <c r="C11878" t="inlineStr">
        <is>
          <t>Cedar Ridge Medical Center</t>
        </is>
      </c>
      <c r="D11878" t="n">
        <v>60</v>
      </c>
    </row>
    <row r="11879">
      <c r="A11879" t="inlineStr">
        <is>
          <t>ED212104</t>
        </is>
      </c>
      <c r="B11879" s="56" t="n">
        <v>46012.40694444445</v>
      </c>
      <c r="C11879" t="inlineStr">
        <is>
          <t>Ashby Falls Community Hospital</t>
        </is>
      </c>
      <c r="D11879" t="n">
        <v>20</v>
      </c>
    </row>
    <row r="11880">
      <c r="A11880" t="inlineStr">
        <is>
          <t>ED212105</t>
        </is>
      </c>
      <c r="B11880" s="56" t="n">
        <v>46012.48888888889</v>
      </c>
      <c r="C11880" t="inlineStr">
        <is>
          <t>Cedar Ridge Medical Center</t>
        </is>
      </c>
      <c r="D11880" t="n">
        <v>94</v>
      </c>
    </row>
    <row r="11881">
      <c r="A11881" t="inlineStr">
        <is>
          <t>ED212106</t>
        </is>
      </c>
      <c r="B11881" s="56" t="n">
        <v>46012.50694444445</v>
      </c>
      <c r="C11881" t="inlineStr">
        <is>
          <t>Bluestone Memorial Hospital</t>
        </is>
      </c>
      <c r="D11881" t="n">
        <v>96</v>
      </c>
    </row>
    <row r="11882">
      <c r="A11882" t="inlineStr">
        <is>
          <t>ED212108</t>
        </is>
      </c>
      <c r="B11882" s="56" t="n">
        <v>46012.51111111111</v>
      </c>
      <c r="C11882" t="inlineStr">
        <is>
          <t>Bluestone Memorial Hospital</t>
        </is>
      </c>
      <c r="D11882" t="n">
        <v>102</v>
      </c>
    </row>
    <row r="11883">
      <c r="A11883" t="inlineStr">
        <is>
          <t>ED212109</t>
        </is>
      </c>
      <c r="B11883" s="56" t="n">
        <v>46012.54236111111</v>
      </c>
      <c r="C11883" t="inlineStr">
        <is>
          <t>Bluestone Memorial Hospital</t>
        </is>
      </c>
      <c r="D11883" t="n">
        <v>44</v>
      </c>
    </row>
    <row r="11884">
      <c r="A11884" t="inlineStr">
        <is>
          <t>ED212110</t>
        </is>
      </c>
      <c r="B11884" s="56" t="n">
        <v>46012.58611111111</v>
      </c>
      <c r="C11884" t="inlineStr">
        <is>
          <t>Bluestone Memorial Hospital</t>
        </is>
      </c>
      <c r="D11884" t="n">
        <v>64</v>
      </c>
    </row>
    <row r="11885">
      <c r="A11885" t="inlineStr">
        <is>
          <t>ED212111</t>
        </is>
      </c>
      <c r="B11885" s="56" t="n">
        <v>46012.59513888889</v>
      </c>
      <c r="C11885" t="inlineStr">
        <is>
          <t>Bluestone Memorial Hospital</t>
        </is>
      </c>
      <c r="D11885" t="n">
        <v>13</v>
      </c>
    </row>
    <row r="11886">
      <c r="A11886" t="inlineStr">
        <is>
          <t>ED212112</t>
        </is>
      </c>
      <c r="B11886" s="56" t="n">
        <v>46012.66458333333</v>
      </c>
      <c r="C11886" t="inlineStr">
        <is>
          <t>Bluestone Memorial Hospital</t>
        </is>
      </c>
      <c r="D11886" t="n">
        <v>79</v>
      </c>
    </row>
    <row r="11887">
      <c r="A11887" t="inlineStr">
        <is>
          <t>ED212113</t>
        </is>
      </c>
      <c r="B11887" s="56" t="n">
        <v>46012.70972222222</v>
      </c>
      <c r="C11887" t="inlineStr">
        <is>
          <t>Bluestone Memorial Hospital</t>
        </is>
      </c>
      <c r="D11887" t="n">
        <v>101</v>
      </c>
    </row>
    <row r="11888">
      <c r="A11888" t="inlineStr">
        <is>
          <t>ED212114</t>
        </is>
      </c>
      <c r="B11888" s="56" t="n">
        <v>46012.78194444445</v>
      </c>
      <c r="C11888" t="inlineStr">
        <is>
          <t>Bluestone Memorial Hospital</t>
        </is>
      </c>
      <c r="D11888" t="n">
        <v>31</v>
      </c>
    </row>
    <row r="11889">
      <c r="A11889" t="inlineStr">
        <is>
          <t>ED212115</t>
        </is>
      </c>
      <c r="B11889" s="56" t="n">
        <v>46012.95069444444</v>
      </c>
      <c r="C11889" t="inlineStr">
        <is>
          <t>Bluestone Memorial Hospital</t>
        </is>
      </c>
      <c r="D11889" t="n">
        <v>40</v>
      </c>
    </row>
    <row r="11890">
      <c r="A11890" t="inlineStr">
        <is>
          <t>ED212116</t>
        </is>
      </c>
      <c r="B11890" s="56" t="n">
        <v>46013.08055555556</v>
      </c>
      <c r="C11890" t="inlineStr">
        <is>
          <t>Bluestone Memorial Hospital</t>
        </is>
      </c>
      <c r="D11890" t="n">
        <v>17</v>
      </c>
    </row>
    <row r="11891">
      <c r="A11891" t="inlineStr">
        <is>
          <t>ED212117</t>
        </is>
      </c>
      <c r="B11891" s="56" t="n">
        <v>46013.13194444445</v>
      </c>
      <c r="C11891" t="inlineStr">
        <is>
          <t>Bluestone Memorial Hospital</t>
        </is>
      </c>
      <c r="D11891" t="n">
        <v>18</v>
      </c>
    </row>
    <row r="11892">
      <c r="A11892" t="inlineStr">
        <is>
          <t>ED212118</t>
        </is>
      </c>
      <c r="B11892" s="56" t="n">
        <v>46013.27569444444</v>
      </c>
      <c r="C11892" t="inlineStr">
        <is>
          <t>Cedar Ridge Medical Center</t>
        </is>
      </c>
      <c r="D11892" t="n">
        <v>107</v>
      </c>
    </row>
    <row r="11893">
      <c r="A11893" t="inlineStr">
        <is>
          <t>ED212120</t>
        </is>
      </c>
      <c r="B11893" s="56" t="n">
        <v>46013.41597222222</v>
      </c>
      <c r="C11893" t="inlineStr">
        <is>
          <t>Bluestone Memorial Hospital</t>
        </is>
      </c>
      <c r="D11893" t="n">
        <v>43</v>
      </c>
    </row>
    <row r="11894">
      <c r="A11894" t="inlineStr">
        <is>
          <t>ED212121</t>
        </is>
      </c>
      <c r="B11894" s="56" t="n">
        <v>46013.42847222222</v>
      </c>
      <c r="C11894" t="inlineStr">
        <is>
          <t>Ashby Falls Community Hospital</t>
        </is>
      </c>
      <c r="D11894" t="n">
        <v>102</v>
      </c>
    </row>
    <row r="11895">
      <c r="A11895" t="inlineStr">
        <is>
          <t>ED212122</t>
        </is>
      </c>
      <c r="B11895" s="56" t="n">
        <v>46013.49513888889</v>
      </c>
      <c r="C11895" t="inlineStr">
        <is>
          <t>Cedar Ridge Medical Center</t>
        </is>
      </c>
      <c r="D11895" t="n">
        <v>30</v>
      </c>
    </row>
    <row r="11896">
      <c r="A11896" t="inlineStr">
        <is>
          <t>ED212123</t>
        </is>
      </c>
      <c r="B11896" s="56" t="n">
        <v>46013.53819444445</v>
      </c>
      <c r="C11896" t="inlineStr">
        <is>
          <t>Bluestone Memorial Hospital</t>
        </is>
      </c>
      <c r="D11896" t="n">
        <v>11</v>
      </c>
    </row>
    <row r="11897">
      <c r="A11897" t="inlineStr">
        <is>
          <t>ED212124</t>
        </is>
      </c>
      <c r="B11897" s="56" t="n">
        <v>46013.54722222222</v>
      </c>
      <c r="C11897" t="inlineStr">
        <is>
          <t>Bluestone Memorial Hospital</t>
        </is>
      </c>
      <c r="D11897" t="n">
        <v>13</v>
      </c>
    </row>
    <row r="11898">
      <c r="A11898" t="inlineStr">
        <is>
          <t>ED212125</t>
        </is>
      </c>
      <c r="B11898" s="56" t="n">
        <v>46013.55138888889</v>
      </c>
      <c r="C11898" t="inlineStr">
        <is>
          <t>Bluestone Memorial Hospital</t>
        </is>
      </c>
      <c r="D11898" t="n">
        <v>57</v>
      </c>
    </row>
    <row r="11899">
      <c r="A11899" t="inlineStr">
        <is>
          <t>ED212126</t>
        </is>
      </c>
      <c r="B11899" s="56" t="n">
        <v>46013.58680555555</v>
      </c>
      <c r="C11899" t="inlineStr">
        <is>
          <t>Bluestone Memorial Hospital</t>
        </is>
      </c>
      <c r="D11899" t="n">
        <v>51</v>
      </c>
    </row>
    <row r="11900">
      <c r="A11900" t="inlineStr">
        <is>
          <t>ED212127</t>
        </is>
      </c>
      <c r="B11900" s="56" t="n">
        <v>46013.59930555556</v>
      </c>
      <c r="C11900" t="inlineStr">
        <is>
          <t>Bluestone Memorial Hospital</t>
        </is>
      </c>
      <c r="D11900" t="n">
        <v>47</v>
      </c>
    </row>
    <row r="11901">
      <c r="A11901" t="inlineStr">
        <is>
          <t>ED212128</t>
        </is>
      </c>
      <c r="B11901" s="56" t="n">
        <v>46013.61527777778</v>
      </c>
      <c r="C11901" t="inlineStr">
        <is>
          <t>Bluestone Memorial Hospital</t>
        </is>
      </c>
      <c r="D11901" t="n">
        <v>78</v>
      </c>
    </row>
    <row r="11902">
      <c r="A11902" t="inlineStr">
        <is>
          <t>ED212129</t>
        </is>
      </c>
      <c r="B11902" s="56" t="n">
        <v>46013.67361111111</v>
      </c>
      <c r="C11902" t="inlineStr">
        <is>
          <t>Bluestone Memorial Hospital</t>
        </is>
      </c>
      <c r="D11902" t="n">
        <v>80</v>
      </c>
    </row>
    <row r="11903">
      <c r="A11903" t="inlineStr">
        <is>
          <t>ED212130</t>
        </is>
      </c>
      <c r="B11903" s="56" t="n">
        <v>46013.67986111111</v>
      </c>
      <c r="C11903" t="inlineStr">
        <is>
          <t>Bluestone Memorial Hospital</t>
        </is>
      </c>
      <c r="D11903" t="n">
        <v>25</v>
      </c>
    </row>
    <row r="11904">
      <c r="A11904" t="inlineStr">
        <is>
          <t>ED212131</t>
        </is>
      </c>
      <c r="B11904" s="56" t="n">
        <v>46013.71180555555</v>
      </c>
      <c r="C11904" t="inlineStr">
        <is>
          <t>Cedar Ridge Medical Center</t>
        </is>
      </c>
      <c r="D11904" t="n">
        <v>69</v>
      </c>
    </row>
    <row r="11905">
      <c r="A11905" t="inlineStr">
        <is>
          <t>ED212132</t>
        </is>
      </c>
      <c r="B11905" s="56" t="n">
        <v>46013.72777777778</v>
      </c>
      <c r="C11905" t="inlineStr">
        <is>
          <t>Cedar Ridge Medical Center</t>
        </is>
      </c>
      <c r="D11905" t="n">
        <v>17</v>
      </c>
    </row>
    <row r="11906">
      <c r="A11906" t="inlineStr">
        <is>
          <t>ED212133</t>
        </is>
      </c>
      <c r="B11906" s="56" t="n">
        <v>46013.73263888889</v>
      </c>
      <c r="C11906" t="inlineStr">
        <is>
          <t>Bluestone Memorial Hospital</t>
        </is>
      </c>
      <c r="D11906" t="n">
        <v>70</v>
      </c>
    </row>
    <row r="11907">
      <c r="A11907" t="inlineStr">
        <is>
          <t>ED212134</t>
        </is>
      </c>
      <c r="B11907" s="56" t="n">
        <v>46013.77916666667</v>
      </c>
      <c r="C11907" t="inlineStr">
        <is>
          <t>Bluestone Memorial Hospital</t>
        </is>
      </c>
      <c r="D11907" t="n">
        <v>9</v>
      </c>
    </row>
    <row r="11908">
      <c r="A11908" t="inlineStr">
        <is>
          <t>ED212135</t>
        </is>
      </c>
      <c r="B11908" s="56" t="n">
        <v>46013.80486111111</v>
      </c>
      <c r="C11908" t="inlineStr">
        <is>
          <t>Ashby Falls Community Hospital</t>
        </is>
      </c>
      <c r="D11908" t="n">
        <v>111</v>
      </c>
    </row>
    <row r="11909">
      <c r="A11909" t="inlineStr">
        <is>
          <t>ED212136</t>
        </is>
      </c>
      <c r="B11909" s="56" t="n">
        <v>46013.82638888889</v>
      </c>
      <c r="C11909" t="inlineStr">
        <is>
          <t>Bluestone Memorial Hospital</t>
        </is>
      </c>
      <c r="D11909" t="n">
        <v>104</v>
      </c>
    </row>
    <row r="11910">
      <c r="A11910" t="inlineStr">
        <is>
          <t>ED212137</t>
        </is>
      </c>
      <c r="B11910" s="56" t="n">
        <v>46013.88194444445</v>
      </c>
      <c r="C11910" t="inlineStr">
        <is>
          <t>Bluestone Memorial Hospital</t>
        </is>
      </c>
      <c r="D11910" t="n">
        <v>56</v>
      </c>
    </row>
    <row r="11911">
      <c r="A11911" t="inlineStr">
        <is>
          <t>ED212138</t>
        </is>
      </c>
      <c r="B11911" s="56" t="n">
        <v>46014.14375</v>
      </c>
      <c r="C11911" t="inlineStr">
        <is>
          <t>Bluestone Memorial Hospital</t>
        </is>
      </c>
      <c r="D11911" t="n">
        <v>49</v>
      </c>
    </row>
    <row r="11912">
      <c r="A11912" t="inlineStr">
        <is>
          <t>ED212139</t>
        </is>
      </c>
      <c r="B11912" s="56" t="n">
        <v>46014.32708333333</v>
      </c>
      <c r="C11912" t="inlineStr">
        <is>
          <t>Bluestone Memorial Hospital</t>
        </is>
      </c>
      <c r="D11912" t="n">
        <v>22</v>
      </c>
    </row>
    <row r="11913">
      <c r="A11913" t="inlineStr">
        <is>
          <t>ED212140</t>
        </is>
      </c>
      <c r="B11913" s="56" t="n">
        <v>46014.44097222222</v>
      </c>
      <c r="C11913" t="inlineStr">
        <is>
          <t>Bluestone Memorial Hospital</t>
        </is>
      </c>
      <c r="D11913" t="n">
        <v>15</v>
      </c>
    </row>
    <row r="11914">
      <c r="A11914" t="inlineStr">
        <is>
          <t>ED212141</t>
        </is>
      </c>
      <c r="B11914" s="56" t="n">
        <v>46014.44375</v>
      </c>
      <c r="C11914" t="inlineStr">
        <is>
          <t>Bluestone Memorial Hospital</t>
        </is>
      </c>
      <c r="D11914" t="n">
        <v>99</v>
      </c>
    </row>
    <row r="11915">
      <c r="A11915" t="inlineStr">
        <is>
          <t>ED212142</t>
        </is>
      </c>
      <c r="B11915" s="56" t="n">
        <v>46014.46458333333</v>
      </c>
      <c r="C11915" t="inlineStr">
        <is>
          <t>Bluestone Memorial Hospital</t>
        </is>
      </c>
      <c r="D11915" t="n">
        <v>62</v>
      </c>
    </row>
    <row r="11916">
      <c r="A11916" t="inlineStr">
        <is>
          <t>ED212143</t>
        </is>
      </c>
      <c r="B11916" s="56" t="n">
        <v>46014.46666666667</v>
      </c>
      <c r="C11916" t="inlineStr">
        <is>
          <t>Bluestone Memorial Hospital</t>
        </is>
      </c>
      <c r="D11916" t="n">
        <v>44</v>
      </c>
    </row>
    <row r="11917">
      <c r="A11917" t="inlineStr">
        <is>
          <t>ED212144</t>
        </is>
      </c>
      <c r="B11917" s="56" t="n">
        <v>46014.50486111111</v>
      </c>
      <c r="C11917" t="inlineStr">
        <is>
          <t>Bluestone Memorial Hospital</t>
        </is>
      </c>
      <c r="D11917" t="n">
        <v>86</v>
      </c>
    </row>
    <row r="11918">
      <c r="A11918" t="inlineStr">
        <is>
          <t>ED212145</t>
        </is>
      </c>
      <c r="B11918" s="56" t="n">
        <v>46014.50763888889</v>
      </c>
      <c r="C11918" t="inlineStr">
        <is>
          <t>Bluestone Memorial Hospital</t>
        </is>
      </c>
      <c r="D11918" t="n">
        <v>43</v>
      </c>
    </row>
    <row r="11919">
      <c r="A11919" t="inlineStr">
        <is>
          <t>ED212146</t>
        </is>
      </c>
      <c r="B11919" s="56" t="n">
        <v>46014.5125</v>
      </c>
      <c r="C11919" t="inlineStr">
        <is>
          <t>Bluestone Memorial Hospital</t>
        </is>
      </c>
      <c r="D11919" t="n">
        <v>49</v>
      </c>
    </row>
    <row r="11920">
      <c r="A11920" t="inlineStr">
        <is>
          <t>ED212147</t>
        </is>
      </c>
      <c r="B11920" s="56" t="n">
        <v>46014.53541666667</v>
      </c>
      <c r="C11920" t="inlineStr">
        <is>
          <t>Bluestone Memorial Hospital</t>
        </is>
      </c>
      <c r="D11920" t="n">
        <v>78</v>
      </c>
    </row>
    <row r="11921">
      <c r="A11921" t="inlineStr">
        <is>
          <t>ED212148</t>
        </is>
      </c>
      <c r="B11921" s="56" t="n">
        <v>46014.54861111111</v>
      </c>
      <c r="C11921" t="inlineStr">
        <is>
          <t>Bluestone Memorial Hospital</t>
        </is>
      </c>
      <c r="D11921" t="n">
        <v>16</v>
      </c>
    </row>
    <row r="11922">
      <c r="A11922" t="inlineStr">
        <is>
          <t>ED212149</t>
        </is>
      </c>
      <c r="B11922" s="56" t="n">
        <v>46014.55972222222</v>
      </c>
      <c r="C11922" t="inlineStr">
        <is>
          <t>Bluestone Memorial Hospital</t>
        </is>
      </c>
      <c r="D11922" t="n">
        <v>114</v>
      </c>
    </row>
    <row r="11923">
      <c r="A11923" t="inlineStr">
        <is>
          <t>ED212150</t>
        </is>
      </c>
      <c r="B11923" s="56" t="n">
        <v>46014.575</v>
      </c>
      <c r="C11923" t="inlineStr">
        <is>
          <t>Bluestone Memorial Hospital</t>
        </is>
      </c>
      <c r="D11923" t="n">
        <v>47</v>
      </c>
    </row>
    <row r="11924">
      <c r="A11924" t="inlineStr">
        <is>
          <t>ED212151</t>
        </is>
      </c>
      <c r="B11924" s="56" t="n">
        <v>46014.62638888889</v>
      </c>
      <c r="C11924" t="inlineStr">
        <is>
          <t>Bluestone Memorial Hospital</t>
        </is>
      </c>
      <c r="D11924" t="n">
        <v>59</v>
      </c>
    </row>
    <row r="11925">
      <c r="A11925" t="inlineStr">
        <is>
          <t>ED212152</t>
        </is>
      </c>
      <c r="B11925" s="56" t="n">
        <v>46014.62847222222</v>
      </c>
      <c r="C11925" t="inlineStr">
        <is>
          <t>Bluestone Memorial Hospital</t>
        </is>
      </c>
      <c r="D11925" t="n">
        <v>51</v>
      </c>
    </row>
    <row r="11926">
      <c r="A11926" t="inlineStr">
        <is>
          <t>ED212153</t>
        </is>
      </c>
      <c r="B11926" s="56" t="n">
        <v>46014.67152777778</v>
      </c>
      <c r="C11926" t="inlineStr">
        <is>
          <t>Ashby Falls Community Hospital</t>
        </is>
      </c>
      <c r="D11926" t="n">
        <v>115</v>
      </c>
    </row>
    <row r="11927">
      <c r="A11927" t="inlineStr">
        <is>
          <t>ED212155</t>
        </is>
      </c>
      <c r="B11927" s="56" t="n">
        <v>46014.6875</v>
      </c>
      <c r="C11927" t="inlineStr">
        <is>
          <t>Ashby Falls Community Hospital</t>
        </is>
      </c>
      <c r="D11927" t="n">
        <v>87</v>
      </c>
    </row>
    <row r="11928">
      <c r="A11928" t="inlineStr">
        <is>
          <t>ED212156</t>
        </is>
      </c>
      <c r="B11928" s="56" t="n">
        <v>46014.69861111111</v>
      </c>
      <c r="C11928" t="inlineStr">
        <is>
          <t>Bluestone Memorial Hospital</t>
        </is>
      </c>
      <c r="D11928" t="n">
        <v>5</v>
      </c>
    </row>
    <row r="11929">
      <c r="A11929" t="inlineStr">
        <is>
          <t>ED212157</t>
        </is>
      </c>
      <c r="B11929" s="56" t="n">
        <v>46014.7625</v>
      </c>
      <c r="C11929" t="inlineStr">
        <is>
          <t>Bluestone Memorial Hospital</t>
        </is>
      </c>
      <c r="D11929" t="n">
        <v>33</v>
      </c>
    </row>
    <row r="11930">
      <c r="A11930" t="inlineStr">
        <is>
          <t>ED212158</t>
        </is>
      </c>
      <c r="B11930" s="56" t="n">
        <v>46014.77986111111</v>
      </c>
      <c r="C11930" t="inlineStr">
        <is>
          <t>Bluestone Memorial Hospital</t>
        </is>
      </c>
      <c r="D11930" t="n">
        <v>66</v>
      </c>
    </row>
    <row r="11931">
      <c r="A11931" t="inlineStr">
        <is>
          <t>ED212161</t>
        </is>
      </c>
      <c r="B11931" s="56" t="n">
        <v>46014.85347222222</v>
      </c>
      <c r="C11931" t="inlineStr">
        <is>
          <t>Cedar Ridge Medical Center</t>
        </is>
      </c>
      <c r="D11931" t="n">
        <v>167</v>
      </c>
    </row>
    <row r="11932">
      <c r="A11932" t="inlineStr">
        <is>
          <t>ED212162</t>
        </is>
      </c>
      <c r="B11932" s="56" t="n">
        <v>46014.86527777778</v>
      </c>
      <c r="C11932" t="inlineStr">
        <is>
          <t>Bluestone Memorial Hospital</t>
        </is>
      </c>
      <c r="D11932" t="n">
        <v>103</v>
      </c>
    </row>
    <row r="11933">
      <c r="A11933" t="inlineStr">
        <is>
          <t>ED212163</t>
        </is>
      </c>
      <c r="B11933" s="56" t="n">
        <v>46014.86597222222</v>
      </c>
      <c r="C11933" t="inlineStr">
        <is>
          <t>Bluestone Memorial Hospital</t>
        </is>
      </c>
      <c r="D11933" t="n">
        <v>19</v>
      </c>
    </row>
    <row r="11934">
      <c r="A11934" t="inlineStr">
        <is>
          <t>ED212164</t>
        </is>
      </c>
      <c r="B11934" s="56" t="n">
        <v>46014.87638888889</v>
      </c>
      <c r="C11934" t="inlineStr">
        <is>
          <t>Cedar Ridge Medical Center</t>
        </is>
      </c>
      <c r="D11934" t="n">
        <v>69</v>
      </c>
    </row>
    <row r="11935">
      <c r="A11935" t="inlineStr">
        <is>
          <t>ED212165</t>
        </is>
      </c>
      <c r="B11935" s="56" t="n">
        <v>46014.89791666667</v>
      </c>
      <c r="C11935" t="inlineStr">
        <is>
          <t>Bluestone Memorial Hospital</t>
        </is>
      </c>
      <c r="D11935" t="n">
        <v>68</v>
      </c>
    </row>
    <row r="11936">
      <c r="A11936" t="inlineStr">
        <is>
          <t>ED212166</t>
        </is>
      </c>
      <c r="B11936" s="56" t="n">
        <v>46014.91180555556</v>
      </c>
      <c r="C11936" t="inlineStr">
        <is>
          <t>Ashby Falls Community Hospital</t>
        </is>
      </c>
      <c r="D11936" t="n">
        <v>15</v>
      </c>
    </row>
    <row r="11937">
      <c r="A11937" t="inlineStr">
        <is>
          <t>ED212167</t>
        </is>
      </c>
      <c r="B11937" s="56" t="n">
        <v>46015.02291666667</v>
      </c>
      <c r="C11937" t="inlineStr">
        <is>
          <t>Bluestone Memorial Hospital</t>
        </is>
      </c>
      <c r="D11937" t="n">
        <v>28</v>
      </c>
    </row>
    <row r="11938">
      <c r="A11938" t="inlineStr">
        <is>
          <t>ED212168</t>
        </is>
      </c>
      <c r="B11938" s="56" t="n">
        <v>46015.27708333333</v>
      </c>
      <c r="C11938" t="inlineStr">
        <is>
          <t>Bluestone Memorial Hospital</t>
        </is>
      </c>
      <c r="D11938" t="n">
        <v>17</v>
      </c>
    </row>
    <row r="11939">
      <c r="A11939" t="inlineStr">
        <is>
          <t>ED212169</t>
        </is>
      </c>
      <c r="B11939" s="56" t="n">
        <v>46015.27916666667</v>
      </c>
      <c r="C11939" t="inlineStr">
        <is>
          <t>Bluestone Memorial Hospital</t>
        </is>
      </c>
      <c r="D11939" t="n">
        <v>34</v>
      </c>
    </row>
    <row r="11940">
      <c r="A11940" t="inlineStr">
        <is>
          <t>ED212170</t>
        </is>
      </c>
      <c r="B11940" s="56" t="n">
        <v>46015.32361111111</v>
      </c>
      <c r="C11940" t="inlineStr">
        <is>
          <t>Ashby Falls Community Hospital</t>
        </is>
      </c>
      <c r="D11940" t="n">
        <v>7</v>
      </c>
    </row>
    <row r="11941">
      <c r="A11941" t="inlineStr">
        <is>
          <t>ED212171</t>
        </is>
      </c>
      <c r="B11941" s="56" t="n">
        <v>46015.41805555556</v>
      </c>
      <c r="C11941" t="inlineStr">
        <is>
          <t>Bluestone Memorial Hospital</t>
        </is>
      </c>
      <c r="D11941" t="n">
        <v>32</v>
      </c>
    </row>
    <row r="11942">
      <c r="A11942" t="inlineStr">
        <is>
          <t>ED212172</t>
        </is>
      </c>
      <c r="B11942" s="56" t="n">
        <v>46015.425</v>
      </c>
      <c r="C11942" t="inlineStr">
        <is>
          <t>Bluestone Memorial Hospital</t>
        </is>
      </c>
      <c r="D11942" t="n">
        <v>23</v>
      </c>
    </row>
    <row r="11943">
      <c r="A11943" t="inlineStr">
        <is>
          <t>ED212173</t>
        </is>
      </c>
      <c r="B11943" s="56" t="n">
        <v>46015.50138888889</v>
      </c>
      <c r="C11943" t="inlineStr">
        <is>
          <t>Bluestone Memorial Hospital</t>
        </is>
      </c>
      <c r="D11943" t="n">
        <v>21</v>
      </c>
    </row>
    <row r="11944">
      <c r="A11944" t="inlineStr">
        <is>
          <t>ED212174</t>
        </is>
      </c>
      <c r="B11944" s="56" t="n">
        <v>46015.56458333333</v>
      </c>
      <c r="C11944" t="inlineStr">
        <is>
          <t>Bluestone Memorial Hospital</t>
        </is>
      </c>
      <c r="D11944" t="n">
        <v>54</v>
      </c>
    </row>
    <row r="11945">
      <c r="A11945" t="inlineStr">
        <is>
          <t>ED212175</t>
        </is>
      </c>
      <c r="B11945" s="56" t="n">
        <v>46015.57847222222</v>
      </c>
      <c r="C11945" t="inlineStr">
        <is>
          <t>Cedar Ridge Medical Center</t>
        </is>
      </c>
      <c r="D11945" t="n">
        <v>95</v>
      </c>
    </row>
    <row r="11946">
      <c r="A11946" t="inlineStr">
        <is>
          <t>ED212176</t>
        </is>
      </c>
      <c r="B11946" s="56" t="n">
        <v>46015.61180555556</v>
      </c>
      <c r="C11946" t="inlineStr">
        <is>
          <t>Bluestone Memorial Hospital</t>
        </is>
      </c>
      <c r="D11946" t="n">
        <v>52</v>
      </c>
    </row>
    <row r="11947">
      <c r="A11947" t="inlineStr">
        <is>
          <t>ED212177</t>
        </is>
      </c>
      <c r="B11947" s="56" t="n">
        <v>46015.63888888889</v>
      </c>
      <c r="C11947" t="inlineStr">
        <is>
          <t>Bluestone Memorial Hospital</t>
        </is>
      </c>
      <c r="D11947" t="n">
        <v>21</v>
      </c>
    </row>
    <row r="11948">
      <c r="A11948" t="inlineStr">
        <is>
          <t>ED212178</t>
        </is>
      </c>
      <c r="B11948" s="56" t="n">
        <v>46015.71319444444</v>
      </c>
      <c r="C11948" t="inlineStr">
        <is>
          <t>Bluestone Memorial Hospital</t>
        </is>
      </c>
      <c r="D11948" t="n">
        <v>5</v>
      </c>
    </row>
    <row r="11949">
      <c r="A11949" t="inlineStr">
        <is>
          <t>ED212179</t>
        </is>
      </c>
      <c r="B11949" s="56" t="n">
        <v>46015.72638888889</v>
      </c>
      <c r="C11949" t="inlineStr">
        <is>
          <t>Bluestone Memorial Hospital</t>
        </is>
      </c>
      <c r="D11949" t="n">
        <v>23</v>
      </c>
    </row>
    <row r="11950">
      <c r="A11950" t="inlineStr">
        <is>
          <t>ED212180</t>
        </is>
      </c>
      <c r="B11950" s="56" t="n">
        <v>46015.73888888889</v>
      </c>
      <c r="C11950" t="inlineStr">
        <is>
          <t>Bluestone Memorial Hospital</t>
        </is>
      </c>
      <c r="D11950" t="n">
        <v>57</v>
      </c>
    </row>
    <row r="11951">
      <c r="A11951" t="inlineStr">
        <is>
          <t>ED212181</t>
        </is>
      </c>
      <c r="B11951" s="56" t="n">
        <v>46015.76111111111</v>
      </c>
      <c r="C11951" t="inlineStr">
        <is>
          <t>Bluestone Memorial Hospital</t>
        </is>
      </c>
      <c r="D11951" t="n">
        <v>37</v>
      </c>
    </row>
    <row r="11952">
      <c r="A11952" t="inlineStr">
        <is>
          <t>ED212182</t>
        </is>
      </c>
      <c r="B11952" s="56" t="n">
        <v>46015.92708333334</v>
      </c>
      <c r="C11952" t="inlineStr">
        <is>
          <t>Ashby Falls Community Hospital</t>
        </is>
      </c>
      <c r="D11952" t="n">
        <v>3</v>
      </c>
    </row>
    <row r="11953">
      <c r="A11953" t="inlineStr">
        <is>
          <t>ED212183</t>
        </is>
      </c>
      <c r="B11953" s="56" t="n">
        <v>46016.1</v>
      </c>
      <c r="C11953" t="inlineStr">
        <is>
          <t>Cedar Ridge Medical Center</t>
        </is>
      </c>
      <c r="D11953" t="n">
        <v>10</v>
      </c>
    </row>
    <row r="11954">
      <c r="A11954" t="inlineStr">
        <is>
          <t>ED212184</t>
        </is>
      </c>
      <c r="B11954" s="56" t="n">
        <v>46016.11388888889</v>
      </c>
      <c r="C11954" t="inlineStr">
        <is>
          <t>Bluestone Memorial Hospital</t>
        </is>
      </c>
      <c r="D11954" t="n">
        <v>36</v>
      </c>
    </row>
    <row r="11955">
      <c r="A11955" t="inlineStr">
        <is>
          <t>ED212185</t>
        </is>
      </c>
      <c r="B11955" s="56" t="n">
        <v>46016.23888888889</v>
      </c>
      <c r="C11955" t="inlineStr">
        <is>
          <t>Cedar Ridge Medical Center</t>
        </is>
      </c>
      <c r="D11955" t="n">
        <v>42</v>
      </c>
    </row>
    <row r="11956">
      <c r="A11956" t="inlineStr">
        <is>
          <t>ED212186</t>
        </is>
      </c>
      <c r="B11956" s="56" t="n">
        <v>46016.29097222222</v>
      </c>
      <c r="C11956" t="inlineStr">
        <is>
          <t>Bluestone Memorial Hospital</t>
        </is>
      </c>
      <c r="D11956" t="n">
        <v>14</v>
      </c>
    </row>
    <row r="11957">
      <c r="A11957" t="inlineStr">
        <is>
          <t>ED212187</t>
        </is>
      </c>
      <c r="B11957" s="56" t="n">
        <v>46016.30833333333</v>
      </c>
      <c r="C11957" t="inlineStr">
        <is>
          <t>Bluestone Memorial Hospital</t>
        </is>
      </c>
      <c r="D11957" t="n">
        <v>49</v>
      </c>
    </row>
    <row r="11958">
      <c r="A11958" t="inlineStr">
        <is>
          <t>ED212188</t>
        </is>
      </c>
      <c r="B11958" s="56" t="n">
        <v>46016.34722222222</v>
      </c>
      <c r="C11958" t="inlineStr">
        <is>
          <t>Ashby Falls Community Hospital</t>
        </is>
      </c>
      <c r="D11958" t="n">
        <v>15</v>
      </c>
    </row>
    <row r="11959">
      <c r="A11959" t="inlineStr">
        <is>
          <t>ED212189</t>
        </is>
      </c>
      <c r="B11959" s="56" t="n">
        <v>46016.37777777778</v>
      </c>
      <c r="C11959" t="inlineStr">
        <is>
          <t>Bluestone Memorial Hospital</t>
        </is>
      </c>
      <c r="D11959" t="n">
        <v>116</v>
      </c>
    </row>
    <row r="11960">
      <c r="A11960" t="inlineStr">
        <is>
          <t>ED212190</t>
        </is>
      </c>
      <c r="B11960" s="56" t="n">
        <v>46016.38541666666</v>
      </c>
      <c r="C11960" t="inlineStr">
        <is>
          <t>Ashby Falls Community Hospital</t>
        </is>
      </c>
      <c r="D11960" t="n">
        <v>19</v>
      </c>
    </row>
    <row r="11961">
      <c r="A11961" t="inlineStr">
        <is>
          <t>ED212191</t>
        </is>
      </c>
      <c r="B11961" s="56" t="n">
        <v>46016.39722222222</v>
      </c>
      <c r="C11961" t="inlineStr">
        <is>
          <t>Bluestone Memorial Hospital</t>
        </is>
      </c>
      <c r="D11961" t="n">
        <v>8</v>
      </c>
    </row>
    <row r="11962">
      <c r="A11962" t="inlineStr">
        <is>
          <t>ED212192</t>
        </is>
      </c>
      <c r="B11962" s="56" t="n">
        <v>46016.41388888889</v>
      </c>
      <c r="C11962" t="inlineStr">
        <is>
          <t>Bluestone Memorial Hospital</t>
        </is>
      </c>
      <c r="D11962" t="n">
        <v>17</v>
      </c>
    </row>
    <row r="11963">
      <c r="A11963" t="inlineStr">
        <is>
          <t>ED212193</t>
        </is>
      </c>
      <c r="B11963" s="56" t="n">
        <v>46016.45416666667</v>
      </c>
      <c r="C11963" t="inlineStr">
        <is>
          <t>Bluestone Memorial Hospital</t>
        </is>
      </c>
      <c r="D11963" t="n">
        <v>95</v>
      </c>
    </row>
    <row r="11964">
      <c r="A11964" t="inlineStr">
        <is>
          <t>ED212194</t>
        </is>
      </c>
      <c r="B11964" s="56" t="n">
        <v>46016.475</v>
      </c>
      <c r="C11964" t="inlineStr">
        <is>
          <t>Bluestone Memorial Hospital</t>
        </is>
      </c>
      <c r="D11964" t="n">
        <v>20</v>
      </c>
    </row>
    <row r="11965">
      <c r="A11965" t="inlineStr">
        <is>
          <t>ED212195</t>
        </is>
      </c>
      <c r="B11965" s="56" t="n">
        <v>46016.525</v>
      </c>
      <c r="C11965" t="inlineStr">
        <is>
          <t>Cedar Ridge Medical Center</t>
        </is>
      </c>
      <c r="D11965" t="n">
        <v>27</v>
      </c>
    </row>
    <row r="11966">
      <c r="A11966" t="inlineStr">
        <is>
          <t>ED212196</t>
        </is>
      </c>
      <c r="B11966" s="56" t="n">
        <v>46016.55208333334</v>
      </c>
      <c r="C11966" t="inlineStr">
        <is>
          <t>Bluestone Memorial Hospital</t>
        </is>
      </c>
      <c r="D11966" t="n">
        <v>21</v>
      </c>
    </row>
    <row r="11967">
      <c r="A11967" t="inlineStr">
        <is>
          <t>ED212197</t>
        </is>
      </c>
      <c r="B11967" s="56" t="n">
        <v>46016.60833333333</v>
      </c>
      <c r="C11967" t="inlineStr">
        <is>
          <t>Bluestone Memorial Hospital</t>
        </is>
      </c>
      <c r="D11967" t="n">
        <v>65</v>
      </c>
    </row>
    <row r="11968">
      <c r="A11968" t="inlineStr">
        <is>
          <t>ED212198</t>
        </is>
      </c>
      <c r="B11968" s="56" t="n">
        <v>46016.61944444444</v>
      </c>
      <c r="C11968" t="inlineStr">
        <is>
          <t>Cedar Ridge Medical Center</t>
        </is>
      </c>
      <c r="D11968" t="n">
        <v>160</v>
      </c>
    </row>
    <row r="11969">
      <c r="A11969" t="inlineStr">
        <is>
          <t>ED212199</t>
        </is>
      </c>
      <c r="B11969" s="56" t="n">
        <v>46016.62013888889</v>
      </c>
      <c r="C11969" t="inlineStr">
        <is>
          <t>Cedar Ridge Medical Center</t>
        </is>
      </c>
      <c r="D11969" t="n">
        <v>72</v>
      </c>
    </row>
    <row r="11970">
      <c r="A11970" t="inlineStr">
        <is>
          <t>ED212200</t>
        </is>
      </c>
      <c r="B11970" s="56" t="n">
        <v>46016.64444444444</v>
      </c>
      <c r="C11970" t="inlineStr">
        <is>
          <t>Bluestone Memorial Hospital</t>
        </is>
      </c>
      <c r="D11970" t="n">
        <v>16</v>
      </c>
    </row>
    <row r="11971">
      <c r="A11971" t="inlineStr">
        <is>
          <t>ED212201</t>
        </is>
      </c>
      <c r="B11971" s="56" t="n">
        <v>46016.66527777778</v>
      </c>
      <c r="C11971" t="inlineStr">
        <is>
          <t>Cedar Ridge Medical Center</t>
        </is>
      </c>
      <c r="D11971" t="n">
        <v>79</v>
      </c>
    </row>
    <row r="11972">
      <c r="A11972" t="inlineStr">
        <is>
          <t>ED212202</t>
        </is>
      </c>
      <c r="B11972" s="56" t="n">
        <v>46016.68402777778</v>
      </c>
      <c r="C11972" t="inlineStr">
        <is>
          <t>Ashby Falls Community Hospital</t>
        </is>
      </c>
      <c r="D11972" t="n">
        <v>64</v>
      </c>
    </row>
    <row r="11973">
      <c r="A11973" t="inlineStr">
        <is>
          <t>ED212203</t>
        </is>
      </c>
      <c r="B11973" s="56" t="n">
        <v>46016.68541666667</v>
      </c>
      <c r="C11973" t="inlineStr">
        <is>
          <t>Bluestone Memorial Hospital</t>
        </is>
      </c>
      <c r="D11973" t="n">
        <v>27</v>
      </c>
    </row>
    <row r="11974">
      <c r="A11974" t="inlineStr">
        <is>
          <t>ED212204</t>
        </is>
      </c>
      <c r="B11974" s="56" t="n">
        <v>46016.69236111111</v>
      </c>
      <c r="C11974" t="inlineStr">
        <is>
          <t>Bluestone Memorial Hospital</t>
        </is>
      </c>
      <c r="D11974" t="n">
        <v>56</v>
      </c>
    </row>
    <row r="11975">
      <c r="A11975" t="inlineStr">
        <is>
          <t>ED212205</t>
        </is>
      </c>
      <c r="B11975" s="56" t="n">
        <v>46016.71805555555</v>
      </c>
      <c r="C11975" t="inlineStr">
        <is>
          <t>Bluestone Memorial Hospital</t>
        </is>
      </c>
      <c r="D11975" t="n">
        <v>79</v>
      </c>
    </row>
    <row r="11976">
      <c r="A11976" t="inlineStr">
        <is>
          <t>ED212206</t>
        </is>
      </c>
      <c r="B11976" s="56" t="n">
        <v>46016.77152777778</v>
      </c>
      <c r="C11976" t="inlineStr">
        <is>
          <t>Bluestone Memorial Hospital</t>
        </is>
      </c>
      <c r="D11976" t="n">
        <v>42</v>
      </c>
    </row>
    <row r="11977">
      <c r="A11977" t="inlineStr">
        <is>
          <t>ED212207</t>
        </is>
      </c>
      <c r="B11977" s="56" t="n">
        <v>46016.86180555556</v>
      </c>
      <c r="C11977" t="inlineStr">
        <is>
          <t>Bluestone Memorial Hospital</t>
        </is>
      </c>
      <c r="D11977" t="n">
        <v>42</v>
      </c>
    </row>
    <row r="11978">
      <c r="A11978" t="inlineStr">
        <is>
          <t>ED212208</t>
        </is>
      </c>
      <c r="B11978" s="56" t="n">
        <v>46016.92013888889</v>
      </c>
      <c r="C11978" t="inlineStr">
        <is>
          <t>Bluestone Memorial Hospital</t>
        </is>
      </c>
      <c r="D11978" t="n">
        <v>51</v>
      </c>
    </row>
    <row r="11979">
      <c r="A11979" t="inlineStr">
        <is>
          <t>ED212209</t>
        </is>
      </c>
      <c r="B11979" s="56" t="n">
        <v>46017.00208333333</v>
      </c>
      <c r="C11979" t="inlineStr">
        <is>
          <t>Cedar Ridge Medical Center</t>
        </is>
      </c>
      <c r="D11979" t="n">
        <v>13</v>
      </c>
    </row>
    <row r="11980">
      <c r="A11980" t="inlineStr">
        <is>
          <t>ED212210</t>
        </is>
      </c>
      <c r="B11980" s="56" t="n">
        <v>46017.16597222222</v>
      </c>
      <c r="C11980" t="inlineStr">
        <is>
          <t>Ashby Falls Community Hospital</t>
        </is>
      </c>
      <c r="D11980" t="n">
        <v>22</v>
      </c>
    </row>
    <row r="11981">
      <c r="A11981" t="inlineStr">
        <is>
          <t>ED212211</t>
        </is>
      </c>
      <c r="B11981" s="56" t="n">
        <v>46017.33194444444</v>
      </c>
      <c r="C11981" t="inlineStr">
        <is>
          <t>Bluestone Memorial Hospital</t>
        </is>
      </c>
      <c r="D11981" t="n">
        <v>98</v>
      </c>
    </row>
    <row r="11982">
      <c r="A11982" t="inlineStr">
        <is>
          <t>ED212212</t>
        </is>
      </c>
      <c r="B11982" s="56" t="n">
        <v>46017.34375</v>
      </c>
      <c r="C11982" t="inlineStr">
        <is>
          <t>Bluestone Memorial Hospital</t>
        </is>
      </c>
      <c r="D11982" t="n">
        <v>34</v>
      </c>
    </row>
    <row r="11983">
      <c r="A11983" t="inlineStr">
        <is>
          <t>ED212213</t>
        </is>
      </c>
      <c r="B11983" s="56" t="n">
        <v>46017.35972222222</v>
      </c>
      <c r="C11983" t="inlineStr">
        <is>
          <t>Ashby Falls Community Hospital</t>
        </is>
      </c>
      <c r="D11983" t="n">
        <v>57</v>
      </c>
    </row>
    <row r="11984">
      <c r="A11984" t="inlineStr">
        <is>
          <t>ED212214</t>
        </is>
      </c>
      <c r="B11984" s="56" t="n">
        <v>46017.37569444445</v>
      </c>
      <c r="C11984" t="inlineStr">
        <is>
          <t>Cedar Ridge Medical Center</t>
        </is>
      </c>
      <c r="D11984" t="n">
        <v>49</v>
      </c>
    </row>
    <row r="11985">
      <c r="A11985" t="inlineStr">
        <is>
          <t>ED212215</t>
        </is>
      </c>
      <c r="B11985" s="56" t="n">
        <v>46017.59166666667</v>
      </c>
      <c r="C11985" t="inlineStr">
        <is>
          <t>Bluestone Memorial Hospital</t>
        </is>
      </c>
      <c r="D11985" t="n">
        <v>196</v>
      </c>
    </row>
    <row r="11986">
      <c r="A11986" t="inlineStr">
        <is>
          <t>ED212217</t>
        </is>
      </c>
      <c r="B11986" s="56" t="n">
        <v>46017.78958333333</v>
      </c>
      <c r="C11986" t="inlineStr">
        <is>
          <t>Bluestone Memorial Hospital</t>
        </is>
      </c>
      <c r="D11986" t="n">
        <v>24</v>
      </c>
    </row>
    <row r="11987">
      <c r="A11987" t="inlineStr">
        <is>
          <t>ED212218</t>
        </is>
      </c>
      <c r="B11987" s="56" t="n">
        <v>46017.81041666667</v>
      </c>
      <c r="C11987" t="inlineStr">
        <is>
          <t>Ashby Falls Community Hospital</t>
        </is>
      </c>
      <c r="D11987" t="n">
        <v>9</v>
      </c>
    </row>
    <row r="11988">
      <c r="A11988" t="inlineStr">
        <is>
          <t>ED212219</t>
        </is>
      </c>
      <c r="B11988" s="56" t="n">
        <v>46017.89027777778</v>
      </c>
      <c r="C11988" t="inlineStr">
        <is>
          <t>Bluestone Memorial Hospital</t>
        </is>
      </c>
      <c r="D11988" t="n">
        <v>55</v>
      </c>
    </row>
    <row r="11989">
      <c r="A11989" t="inlineStr">
        <is>
          <t>ED212220</t>
        </is>
      </c>
      <c r="B11989" s="56" t="n">
        <v>46017.91388888889</v>
      </c>
      <c r="C11989" t="inlineStr">
        <is>
          <t>Bluestone Memorial Hospital</t>
        </is>
      </c>
      <c r="D11989" t="n">
        <v>95</v>
      </c>
    </row>
    <row r="11990">
      <c r="A11990" t="inlineStr">
        <is>
          <t>ED212221</t>
        </is>
      </c>
      <c r="B11990" s="56" t="n">
        <v>46017.95625</v>
      </c>
      <c r="C11990" t="inlineStr">
        <is>
          <t>Bluestone Memorial Hospital</t>
        </is>
      </c>
      <c r="D11990" t="n">
        <v>7</v>
      </c>
    </row>
    <row r="11991">
      <c r="A11991" t="inlineStr">
        <is>
          <t>ED212222</t>
        </is>
      </c>
      <c r="B11991" s="56" t="n">
        <v>46018.11597222222</v>
      </c>
      <c r="C11991" t="inlineStr">
        <is>
          <t>Cedar Ridge Medical Center</t>
        </is>
      </c>
      <c r="D11991" t="n">
        <v>20</v>
      </c>
    </row>
    <row r="11992">
      <c r="A11992" t="inlineStr">
        <is>
          <t>ED212223</t>
        </is>
      </c>
      <c r="B11992" s="56" t="n">
        <v>46018.11666666667</v>
      </c>
      <c r="C11992" t="inlineStr">
        <is>
          <t>Bluestone Memorial Hospital</t>
        </is>
      </c>
      <c r="D11992" t="n">
        <v>29</v>
      </c>
    </row>
    <row r="11993">
      <c r="A11993" t="inlineStr">
        <is>
          <t>ED212224</t>
        </is>
      </c>
      <c r="B11993" s="56" t="n">
        <v>46018.14583333334</v>
      </c>
      <c r="C11993" t="inlineStr">
        <is>
          <t>Bluestone Memorial Hospital</t>
        </is>
      </c>
      <c r="D11993" t="n">
        <v>35</v>
      </c>
    </row>
    <row r="11994">
      <c r="A11994" t="inlineStr">
        <is>
          <t>ED212225</t>
        </is>
      </c>
      <c r="B11994" s="56" t="n">
        <v>46018.31111111111</v>
      </c>
      <c r="C11994" t="inlineStr">
        <is>
          <t>Ashby Falls Community Hospital</t>
        </is>
      </c>
      <c r="D11994" t="n">
        <v>73</v>
      </c>
    </row>
    <row r="11995">
      <c r="A11995" t="inlineStr">
        <is>
          <t>ED212226</t>
        </is>
      </c>
      <c r="B11995" s="56" t="n">
        <v>46018.325</v>
      </c>
      <c r="C11995" t="inlineStr">
        <is>
          <t>Bluestone Memorial Hospital</t>
        </is>
      </c>
      <c r="D11995" t="n">
        <v>51</v>
      </c>
    </row>
    <row r="11996">
      <c r="A11996" t="inlineStr">
        <is>
          <t>ED212227</t>
        </is>
      </c>
      <c r="B11996" s="56" t="n">
        <v>46018.32916666667</v>
      </c>
      <c r="C11996" t="inlineStr">
        <is>
          <t>Bluestone Memorial Hospital</t>
        </is>
      </c>
      <c r="D11996" t="n">
        <v>54</v>
      </c>
    </row>
    <row r="11997">
      <c r="A11997" t="inlineStr">
        <is>
          <t>ED212228</t>
        </is>
      </c>
      <c r="B11997" s="56" t="n">
        <v>46018.33611111111</v>
      </c>
      <c r="C11997" t="inlineStr">
        <is>
          <t>Bluestone Memorial Hospital</t>
        </is>
      </c>
      <c r="D11997" t="n">
        <v>56</v>
      </c>
    </row>
    <row r="11998">
      <c r="A11998" t="inlineStr">
        <is>
          <t>ED212229</t>
        </is>
      </c>
      <c r="B11998" s="56" t="n">
        <v>46018.39236111111</v>
      </c>
      <c r="C11998" t="inlineStr">
        <is>
          <t>Bluestone Memorial Hospital</t>
        </is>
      </c>
      <c r="D11998" t="n">
        <v>22</v>
      </c>
    </row>
    <row r="11999">
      <c r="A11999" t="inlineStr">
        <is>
          <t>ED212230</t>
        </is>
      </c>
      <c r="B11999" s="56" t="n">
        <v>46018.42013888889</v>
      </c>
      <c r="C11999" t="inlineStr">
        <is>
          <t>Bluestone Memorial Hospital</t>
        </is>
      </c>
      <c r="D11999" t="n">
        <v>66</v>
      </c>
    </row>
    <row r="12000">
      <c r="A12000" t="inlineStr">
        <is>
          <t>ED212231</t>
        </is>
      </c>
      <c r="B12000" s="56" t="n">
        <v>46018.43125</v>
      </c>
      <c r="C12000" t="inlineStr">
        <is>
          <t>Bluestone Memorial Hospital</t>
        </is>
      </c>
      <c r="D12000" t="n">
        <v>76</v>
      </c>
    </row>
    <row r="12001">
      <c r="A12001" t="inlineStr">
        <is>
          <t>ED212232</t>
        </is>
      </c>
      <c r="B12001" s="56" t="n">
        <v>46018.575</v>
      </c>
      <c r="C12001" t="inlineStr">
        <is>
          <t>Bluestone Memorial Hospital</t>
        </is>
      </c>
      <c r="D12001" t="n">
        <v>18</v>
      </c>
    </row>
    <row r="12002">
      <c r="A12002" t="inlineStr">
        <is>
          <t>ED212233</t>
        </is>
      </c>
      <c r="B12002" s="56" t="n">
        <v>46018.62361111111</v>
      </c>
      <c r="C12002" t="inlineStr">
        <is>
          <t>Cedar Ridge Medical Center</t>
        </is>
      </c>
      <c r="D12002" t="n">
        <v>41</v>
      </c>
    </row>
    <row r="12003">
      <c r="A12003" t="inlineStr">
        <is>
          <t>ED212234</t>
        </is>
      </c>
      <c r="B12003" s="56" t="n">
        <v>46018.67638888889</v>
      </c>
      <c r="C12003" t="inlineStr">
        <is>
          <t>Bluestone Memorial Hospital</t>
        </is>
      </c>
      <c r="D12003" t="n">
        <v>67</v>
      </c>
    </row>
    <row r="12004">
      <c r="A12004" t="inlineStr">
        <is>
          <t>ED212235</t>
        </is>
      </c>
      <c r="B12004" s="56" t="n">
        <v>46018.71111111111</v>
      </c>
      <c r="C12004" t="inlineStr">
        <is>
          <t>Bluestone Memorial Hospital</t>
        </is>
      </c>
      <c r="D12004" t="n">
        <v>38</v>
      </c>
    </row>
    <row r="12005">
      <c r="A12005" t="inlineStr">
        <is>
          <t>ED212236</t>
        </is>
      </c>
      <c r="B12005" s="56" t="n">
        <v>46018.93263888889</v>
      </c>
      <c r="C12005" t="inlineStr">
        <is>
          <t>Bluestone Memorial Hospital</t>
        </is>
      </c>
      <c r="D12005" t="n">
        <v>22</v>
      </c>
    </row>
    <row r="12006">
      <c r="A12006" t="inlineStr">
        <is>
          <t>ED212237</t>
        </is>
      </c>
      <c r="B12006" s="56" t="n">
        <v>46019.01388888889</v>
      </c>
      <c r="C12006" t="inlineStr">
        <is>
          <t>Bluestone Memorial Hospital</t>
        </is>
      </c>
      <c r="D12006" t="n">
        <v>52</v>
      </c>
    </row>
    <row r="12007">
      <c r="A12007" t="inlineStr">
        <is>
          <t>ED212238</t>
        </is>
      </c>
      <c r="B12007" s="56" t="n">
        <v>46019.18541666667</v>
      </c>
      <c r="C12007" t="inlineStr">
        <is>
          <t>Bluestone Memorial Hospital</t>
        </is>
      </c>
      <c r="D12007" t="n">
        <v>37</v>
      </c>
    </row>
    <row r="12008">
      <c r="A12008" t="inlineStr">
        <is>
          <t>ED212239</t>
        </is>
      </c>
      <c r="B12008" s="56" t="n">
        <v>46019.37430555555</v>
      </c>
      <c r="C12008" t="inlineStr">
        <is>
          <t>Cedar Ridge Medical Center</t>
        </is>
      </c>
      <c r="D12008" t="n">
        <v>92</v>
      </c>
    </row>
    <row r="12009">
      <c r="A12009" t="inlineStr">
        <is>
          <t>ED212240</t>
        </is>
      </c>
      <c r="B12009" s="56" t="n">
        <v>46019.41180555556</v>
      </c>
      <c r="C12009" t="inlineStr">
        <is>
          <t>Bluestone Memorial Hospital</t>
        </is>
      </c>
      <c r="D12009" t="n">
        <v>5</v>
      </c>
    </row>
    <row r="12010">
      <c r="A12010" t="inlineStr">
        <is>
          <t>ED212241</t>
        </is>
      </c>
      <c r="B12010" s="56" t="n">
        <v>46019.42986111111</v>
      </c>
      <c r="C12010" t="inlineStr">
        <is>
          <t>Bluestone Memorial Hospital</t>
        </is>
      </c>
      <c r="D12010" t="n">
        <v>121</v>
      </c>
    </row>
    <row r="12011">
      <c r="A12011" t="inlineStr">
        <is>
          <t>ED212242</t>
        </is>
      </c>
      <c r="B12011" s="56" t="n">
        <v>46019.59027777778</v>
      </c>
      <c r="C12011" t="inlineStr">
        <is>
          <t>Cedar Ridge Medical Center</t>
        </is>
      </c>
      <c r="D12011" t="n">
        <v>41</v>
      </c>
    </row>
    <row r="12012">
      <c r="A12012" t="inlineStr">
        <is>
          <t>ED212243</t>
        </is>
      </c>
      <c r="B12012" s="56" t="n">
        <v>46019.59097222222</v>
      </c>
      <c r="C12012" t="inlineStr">
        <is>
          <t>Bluestone Memorial Hospital</t>
        </is>
      </c>
      <c r="D12012" t="n">
        <v>18</v>
      </c>
    </row>
    <row r="12013">
      <c r="A12013" t="inlineStr">
        <is>
          <t>ED212244</t>
        </is>
      </c>
      <c r="B12013" s="56" t="n">
        <v>46019.65972222222</v>
      </c>
      <c r="C12013" t="inlineStr">
        <is>
          <t>Bluestone Memorial Hospital</t>
        </is>
      </c>
      <c r="D12013" t="n">
        <v>8</v>
      </c>
    </row>
    <row r="12014">
      <c r="A12014" t="inlineStr">
        <is>
          <t>ED212245</t>
        </is>
      </c>
      <c r="B12014" s="56" t="n">
        <v>46019.68680555555</v>
      </c>
      <c r="C12014" t="inlineStr">
        <is>
          <t>Bluestone Memorial Hospital</t>
        </is>
      </c>
      <c r="D12014" t="n">
        <v>52</v>
      </c>
    </row>
    <row r="12015">
      <c r="A12015" t="inlineStr">
        <is>
          <t>ED212247</t>
        </is>
      </c>
      <c r="B12015" s="56" t="n">
        <v>46019.78472222222</v>
      </c>
      <c r="C12015" t="inlineStr">
        <is>
          <t>Bluestone Memorial Hospital</t>
        </is>
      </c>
      <c r="D12015" t="n">
        <v>40</v>
      </c>
    </row>
    <row r="12016">
      <c r="A12016" t="inlineStr">
        <is>
          <t>ED212249</t>
        </is>
      </c>
      <c r="B12016" s="56" t="n">
        <v>46019.975</v>
      </c>
      <c r="C12016" t="inlineStr">
        <is>
          <t>Bluestone Memorial Hospital</t>
        </is>
      </c>
      <c r="D12016" t="n">
        <v>28</v>
      </c>
    </row>
    <row r="12017">
      <c r="A12017" t="inlineStr">
        <is>
          <t>ED212250</t>
        </is>
      </c>
      <c r="B12017" s="56" t="n">
        <v>46020.11319444444</v>
      </c>
      <c r="C12017" t="inlineStr">
        <is>
          <t>Bluestone Memorial Hospital</t>
        </is>
      </c>
      <c r="D12017" t="n">
        <v>83</v>
      </c>
    </row>
    <row r="12018">
      <c r="A12018" t="inlineStr">
        <is>
          <t>ED212251</t>
        </is>
      </c>
      <c r="B12018" s="56" t="n">
        <v>46020.32361111111</v>
      </c>
      <c r="C12018" t="inlineStr">
        <is>
          <t>Bluestone Memorial Hospital</t>
        </is>
      </c>
      <c r="D12018" t="n">
        <v>37</v>
      </c>
    </row>
    <row r="12019">
      <c r="A12019" t="inlineStr">
        <is>
          <t>ED212252</t>
        </is>
      </c>
      <c r="B12019" s="56" t="n">
        <v>46020.36736111111</v>
      </c>
      <c r="C12019" t="inlineStr">
        <is>
          <t>Ashby Falls Community Hospital</t>
        </is>
      </c>
      <c r="D12019" t="n">
        <v>42</v>
      </c>
    </row>
    <row r="12020">
      <c r="A12020" t="inlineStr">
        <is>
          <t>ED212253</t>
        </is>
      </c>
      <c r="B12020" s="56" t="n">
        <v>46020.42569444444</v>
      </c>
      <c r="C12020" t="inlineStr">
        <is>
          <t>Bluestone Memorial Hospital</t>
        </is>
      </c>
      <c r="D12020" t="n">
        <v>77</v>
      </c>
    </row>
    <row r="12021">
      <c r="A12021" t="inlineStr">
        <is>
          <t>ED212254</t>
        </is>
      </c>
      <c r="B12021" s="56" t="n">
        <v>46020.52083333334</v>
      </c>
      <c r="C12021" t="inlineStr">
        <is>
          <t>Cedar Ridge Medical Center</t>
        </is>
      </c>
      <c r="D12021" t="n">
        <v>175</v>
      </c>
    </row>
    <row r="12022">
      <c r="A12022" t="inlineStr">
        <is>
          <t>ED212255</t>
        </is>
      </c>
      <c r="B12022" s="56" t="n">
        <v>46020.64097222222</v>
      </c>
      <c r="C12022" t="inlineStr">
        <is>
          <t>Bluestone Memorial Hospital</t>
        </is>
      </c>
      <c r="D12022" t="n">
        <v>16</v>
      </c>
    </row>
    <row r="12023">
      <c r="A12023" t="inlineStr">
        <is>
          <t>ED212256</t>
        </is>
      </c>
      <c r="B12023" s="56" t="n">
        <v>46020.64444444444</v>
      </c>
      <c r="C12023" t="inlineStr">
        <is>
          <t>Cedar Ridge Medical Center</t>
        </is>
      </c>
      <c r="D12023" t="n">
        <v>75</v>
      </c>
    </row>
    <row r="12024">
      <c r="A12024" t="inlineStr">
        <is>
          <t>ED212257</t>
        </is>
      </c>
      <c r="B12024" s="56" t="n">
        <v>46020.66388888889</v>
      </c>
      <c r="C12024" t="inlineStr">
        <is>
          <t>Cedar Ridge Medical Center</t>
        </is>
      </c>
      <c r="D12024" t="n">
        <v>69</v>
      </c>
    </row>
    <row r="12025">
      <c r="A12025" t="inlineStr">
        <is>
          <t>ED212258</t>
        </is>
      </c>
      <c r="B12025" s="56" t="n">
        <v>46020.70972222222</v>
      </c>
      <c r="C12025" t="inlineStr">
        <is>
          <t>Bluestone Memorial Hospital</t>
        </is>
      </c>
      <c r="D12025" t="n">
        <v>19</v>
      </c>
    </row>
    <row r="12026">
      <c r="A12026" t="inlineStr">
        <is>
          <t>ED212259</t>
        </is>
      </c>
      <c r="B12026" s="56" t="n">
        <v>46020.71944444445</v>
      </c>
      <c r="C12026" t="inlineStr">
        <is>
          <t>Bluestone Memorial Hospital</t>
        </is>
      </c>
      <c r="D12026" t="n">
        <v>50</v>
      </c>
    </row>
    <row r="12027">
      <c r="A12027" t="inlineStr">
        <is>
          <t>ED212260</t>
        </is>
      </c>
      <c r="B12027" s="56" t="n">
        <v>46020.80625</v>
      </c>
      <c r="C12027" t="inlineStr">
        <is>
          <t>Bluestone Memorial Hospital</t>
        </is>
      </c>
      <c r="D12027" t="n">
        <v>45</v>
      </c>
    </row>
    <row r="12028">
      <c r="A12028" t="inlineStr">
        <is>
          <t>ED212261</t>
        </is>
      </c>
      <c r="B12028" s="56" t="n">
        <v>46020.81041666667</v>
      </c>
      <c r="C12028" t="inlineStr">
        <is>
          <t>Bluestone Memorial Hospital</t>
        </is>
      </c>
      <c r="D12028" t="n">
        <v>45</v>
      </c>
    </row>
    <row r="12029">
      <c r="A12029" t="inlineStr">
        <is>
          <t>ED212262</t>
        </is>
      </c>
      <c r="B12029" s="56" t="n">
        <v>46020.82430555556</v>
      </c>
      <c r="C12029" t="inlineStr">
        <is>
          <t>Bluestone Memorial Hospital</t>
        </is>
      </c>
      <c r="D12029" t="n">
        <v>90</v>
      </c>
    </row>
    <row r="12030">
      <c r="A12030" t="inlineStr">
        <is>
          <t>ED212263</t>
        </is>
      </c>
      <c r="B12030" s="56" t="n">
        <v>46020.84305555555</v>
      </c>
      <c r="C12030" t="inlineStr">
        <is>
          <t>Bluestone Memorial Hospital</t>
        </is>
      </c>
      <c r="D12030" t="n">
        <v>88</v>
      </c>
    </row>
    <row r="12031">
      <c r="A12031" t="inlineStr">
        <is>
          <t>ED212264</t>
        </is>
      </c>
      <c r="B12031" s="56" t="n">
        <v>46020.88541666666</v>
      </c>
      <c r="C12031" t="inlineStr">
        <is>
          <t>Cedar Ridge Medical Center</t>
        </is>
      </c>
      <c r="D12031" t="n">
        <v>74</v>
      </c>
    </row>
    <row r="12032">
      <c r="A12032" t="inlineStr">
        <is>
          <t>ED212265</t>
        </is>
      </c>
      <c r="B12032" s="56" t="n">
        <v>46020.88611111111</v>
      </c>
      <c r="C12032" t="inlineStr">
        <is>
          <t>Bluestone Memorial Hospital</t>
        </is>
      </c>
      <c r="D12032" t="n">
        <v>35</v>
      </c>
    </row>
    <row r="12033">
      <c r="A12033" t="inlineStr">
        <is>
          <t>ED212266</t>
        </is>
      </c>
      <c r="B12033" s="56" t="n">
        <v>46020.93402777778</v>
      </c>
      <c r="C12033" t="inlineStr">
        <is>
          <t>Bluestone Memorial Hospital</t>
        </is>
      </c>
      <c r="D12033" t="n">
        <v>23</v>
      </c>
    </row>
    <row r="12034">
      <c r="A12034" t="inlineStr">
        <is>
          <t>ED212267</t>
        </is>
      </c>
      <c r="B12034" s="56" t="n">
        <v>46021.04583333333</v>
      </c>
      <c r="C12034" t="inlineStr">
        <is>
          <t>Bluestone Memorial Hospital</t>
        </is>
      </c>
      <c r="D12034" t="n">
        <v>41</v>
      </c>
    </row>
    <row r="12035">
      <c r="A12035" t="inlineStr">
        <is>
          <t>ED212268</t>
        </is>
      </c>
      <c r="B12035" s="56" t="n">
        <v>46021.34444444445</v>
      </c>
      <c r="C12035" t="inlineStr">
        <is>
          <t>Bluestone Memorial Hospital</t>
        </is>
      </c>
      <c r="D12035" t="n">
        <v>19</v>
      </c>
    </row>
    <row r="12036">
      <c r="A12036" t="inlineStr">
        <is>
          <t>ED212269</t>
        </is>
      </c>
      <c r="B12036" s="56" t="n">
        <v>46021.37916666667</v>
      </c>
      <c r="C12036" t="inlineStr">
        <is>
          <t>Bluestone Memorial Hospital</t>
        </is>
      </c>
      <c r="D12036" t="n">
        <v>109</v>
      </c>
    </row>
    <row r="12037">
      <c r="A12037" t="inlineStr">
        <is>
          <t>ED212270</t>
        </is>
      </c>
      <c r="B12037" s="56" t="n">
        <v>46021.41458333333</v>
      </c>
      <c r="C12037" t="inlineStr">
        <is>
          <t>Bluestone Memorial Hospital</t>
        </is>
      </c>
      <c r="D12037" t="n">
        <v>140</v>
      </c>
    </row>
    <row r="12038">
      <c r="A12038" t="inlineStr">
        <is>
          <t>ED212271</t>
        </is>
      </c>
      <c r="B12038" s="56" t="n">
        <v>46021.47708333333</v>
      </c>
      <c r="C12038" t="inlineStr">
        <is>
          <t>Bluestone Memorial Hospital</t>
        </is>
      </c>
      <c r="D12038" t="n">
        <v>67</v>
      </c>
    </row>
    <row r="12039">
      <c r="A12039" t="inlineStr">
        <is>
          <t>ED212272</t>
        </is>
      </c>
      <c r="B12039" s="56" t="n">
        <v>46021.48055555556</v>
      </c>
      <c r="C12039" t="inlineStr">
        <is>
          <t>Cedar Ridge Medical Center</t>
        </is>
      </c>
      <c r="D12039" t="n">
        <v>75</v>
      </c>
    </row>
    <row r="12040">
      <c r="A12040" t="inlineStr">
        <is>
          <t>ED212273</t>
        </is>
      </c>
      <c r="B12040" s="56" t="n">
        <v>46021.49305555555</v>
      </c>
      <c r="C12040" t="inlineStr">
        <is>
          <t>Bluestone Memorial Hospital</t>
        </is>
      </c>
      <c r="D12040" t="n">
        <v>69</v>
      </c>
    </row>
    <row r="12041">
      <c r="A12041" t="inlineStr">
        <is>
          <t>ED212274</t>
        </is>
      </c>
      <c r="B12041" s="56" t="n">
        <v>46021.67847222222</v>
      </c>
      <c r="C12041" t="inlineStr">
        <is>
          <t>Bluestone Memorial Hospital</t>
        </is>
      </c>
      <c r="D12041" t="n">
        <v>86</v>
      </c>
    </row>
    <row r="12042">
      <c r="A12042" t="inlineStr">
        <is>
          <t>ED212275</t>
        </is>
      </c>
      <c r="B12042" s="56" t="n">
        <v>46021.72222222222</v>
      </c>
      <c r="C12042" t="inlineStr">
        <is>
          <t>Cedar Ridge Medical Center</t>
        </is>
      </c>
      <c r="D12042" t="n">
        <v>55</v>
      </c>
    </row>
    <row r="12043">
      <c r="A12043" t="inlineStr">
        <is>
          <t>ED212276</t>
        </is>
      </c>
      <c r="B12043" s="56" t="n">
        <v>46021.76666666667</v>
      </c>
      <c r="C12043" t="inlineStr">
        <is>
          <t>Cedar Ridge Medical Center</t>
        </is>
      </c>
      <c r="D12043" t="n">
        <v>31</v>
      </c>
    </row>
    <row r="12044">
      <c r="A12044" t="inlineStr">
        <is>
          <t>ED212277</t>
        </is>
      </c>
      <c r="B12044" s="56" t="n">
        <v>46021.88611111111</v>
      </c>
      <c r="C12044" t="inlineStr">
        <is>
          <t>Bluestone Memorial Hospital</t>
        </is>
      </c>
      <c r="D12044" t="n">
        <v>52</v>
      </c>
    </row>
    <row r="12045">
      <c r="A12045" t="inlineStr">
        <is>
          <t>ED212278</t>
        </is>
      </c>
      <c r="B12045" s="56" t="n">
        <v>46022.30208333334</v>
      </c>
      <c r="C12045" t="inlineStr">
        <is>
          <t>Bluestone Memorial Hospital</t>
        </is>
      </c>
      <c r="D12045" t="n">
        <v>18</v>
      </c>
    </row>
    <row r="12046">
      <c r="A12046" t="inlineStr">
        <is>
          <t>ED212279</t>
        </is>
      </c>
      <c r="B12046" s="56" t="n">
        <v>46022.40208333333</v>
      </c>
      <c r="C12046" t="inlineStr">
        <is>
          <t>Bluestone Memorial Hospital</t>
        </is>
      </c>
      <c r="D12046" t="n">
        <v>44</v>
      </c>
    </row>
    <row r="12047">
      <c r="A12047" t="inlineStr">
        <is>
          <t>ED212280</t>
        </is>
      </c>
      <c r="B12047" s="56" t="n">
        <v>46022.42013888889</v>
      </c>
      <c r="C12047" t="inlineStr">
        <is>
          <t>Ashby Falls Community Hospital</t>
        </is>
      </c>
      <c r="D12047" t="n">
        <v>124</v>
      </c>
    </row>
    <row r="12048">
      <c r="A12048" t="inlineStr">
        <is>
          <t>ED212281</t>
        </is>
      </c>
      <c r="B12048" s="56" t="n">
        <v>46022.46041666667</v>
      </c>
      <c r="C12048" t="inlineStr">
        <is>
          <t>Bluestone Memorial Hospital</t>
        </is>
      </c>
      <c r="D12048" t="n">
        <v>97</v>
      </c>
    </row>
    <row r="12049">
      <c r="A12049" t="inlineStr">
        <is>
          <t>ED212282</t>
        </is>
      </c>
      <c r="B12049" s="56" t="n">
        <v>46022.48680555556</v>
      </c>
      <c r="C12049" t="inlineStr">
        <is>
          <t>Bluestone Memorial Hospital</t>
        </is>
      </c>
      <c r="D12049" t="n">
        <v>36</v>
      </c>
    </row>
    <row r="12050">
      <c r="A12050" t="inlineStr">
        <is>
          <t>ED212283</t>
        </is>
      </c>
      <c r="B12050" s="56" t="n">
        <v>46022.48888888889</v>
      </c>
      <c r="C12050" t="inlineStr">
        <is>
          <t>Bluestone Memorial Hospital</t>
        </is>
      </c>
      <c r="D12050" t="n">
        <v>33</v>
      </c>
    </row>
    <row r="12051">
      <c r="A12051" t="inlineStr">
        <is>
          <t>ED212284</t>
        </is>
      </c>
      <c r="B12051" s="56" t="n">
        <v>46022.49444444444</v>
      </c>
      <c r="C12051" t="inlineStr">
        <is>
          <t>Bluestone Memorial Hospital</t>
        </is>
      </c>
      <c r="D12051" t="n">
        <v>17</v>
      </c>
    </row>
    <row r="12052">
      <c r="A12052" t="inlineStr">
        <is>
          <t>ED212285</t>
        </is>
      </c>
      <c r="B12052" s="56" t="n">
        <v>46022.53888888889</v>
      </c>
      <c r="C12052" t="inlineStr">
        <is>
          <t>Ashby Falls Community Hospital</t>
        </is>
      </c>
      <c r="D12052" t="n">
        <v>57</v>
      </c>
    </row>
    <row r="12053">
      <c r="A12053" t="inlineStr">
        <is>
          <t>ED212286</t>
        </is>
      </c>
      <c r="B12053" s="56" t="n">
        <v>46022.57430555556</v>
      </c>
      <c r="C12053" t="inlineStr">
        <is>
          <t>Bluestone Memorial Hospital</t>
        </is>
      </c>
      <c r="D12053" t="n">
        <v>62</v>
      </c>
    </row>
    <row r="12054">
      <c r="A12054" t="inlineStr">
        <is>
          <t>ED212287</t>
        </is>
      </c>
      <c r="B12054" s="56" t="n">
        <v>46022.61319444444</v>
      </c>
      <c r="C12054" t="inlineStr">
        <is>
          <t>Bluestone Memorial Hospital</t>
        </is>
      </c>
      <c r="D12054" t="n">
        <v>33</v>
      </c>
    </row>
    <row r="12055">
      <c r="A12055" t="inlineStr">
        <is>
          <t>ED212288</t>
        </is>
      </c>
      <c r="B12055" s="56" t="n">
        <v>46022.62222222222</v>
      </c>
      <c r="C12055" t="inlineStr">
        <is>
          <t>Bluestone Memorial Hospital</t>
        </is>
      </c>
      <c r="D12055" t="n">
        <v>123</v>
      </c>
    </row>
    <row r="12056">
      <c r="A12056" t="inlineStr">
        <is>
          <t>ED212289</t>
        </is>
      </c>
      <c r="B12056" s="56" t="n">
        <v>46022.65</v>
      </c>
      <c r="C12056" t="inlineStr">
        <is>
          <t>Cedar Ridge Medical Center</t>
        </is>
      </c>
      <c r="D12056" t="n">
        <v>57</v>
      </c>
    </row>
    <row r="12057">
      <c r="A12057" t="inlineStr">
        <is>
          <t>ED212290</t>
        </is>
      </c>
      <c r="B12057" s="56" t="n">
        <v>46022.67777777778</v>
      </c>
      <c r="C12057" t="inlineStr">
        <is>
          <t>Bluestone Memorial Hospital</t>
        </is>
      </c>
      <c r="D12057" t="n">
        <v>40</v>
      </c>
    </row>
    <row r="12058">
      <c r="A12058" t="inlineStr">
        <is>
          <t>ED212291</t>
        </is>
      </c>
      <c r="B12058" s="56" t="n">
        <v>46022.68402777778</v>
      </c>
      <c r="C12058" t="inlineStr">
        <is>
          <t>Bluestone Memorial Hospital</t>
        </is>
      </c>
      <c r="D12058" t="n">
        <v>17</v>
      </c>
    </row>
    <row r="12059">
      <c r="A12059" t="inlineStr">
        <is>
          <t>ED212292</t>
        </is>
      </c>
      <c r="B12059" s="56" t="n">
        <v>46022.74722222222</v>
      </c>
      <c r="C12059" t="inlineStr">
        <is>
          <t>Bluestone Memorial Hospital</t>
        </is>
      </c>
      <c r="D12059" t="n">
        <v>133</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G10"/>
  <sheetViews>
    <sheetView tabSelected="0" workbookViewId="0">
      <pane ySplit="3" topLeftCell="A4" activePane="bottomLeft" state="frozen"/>
      <selection pane="bottomLeft" activeCell="A1" sqref="A1"/>
    </sheetView>
  </sheetViews>
  <sheetFormatPr baseColWidth="8" defaultRowHeight="15"/>
  <cols>
    <col width="24" customWidth="1" min="1" max="1"/>
    <col width="9" customWidth="1" min="2" max="2"/>
    <col width="46" customWidth="1" min="3" max="3"/>
    <col width="70" customWidth="1" min="4" max="4"/>
    <col width="16" customWidth="1" min="5" max="5"/>
    <col width="9" customWidth="1" min="6" max="6"/>
    <col width="28" customWidth="1" min="7" max="7"/>
  </cols>
  <sheetData>
    <row r="1">
      <c r="A1" s="47" t="inlineStr">
        <is>
          <t>Targets · the KPI dictionary: what each KPI answers, how it's calculated, which way is good, the target, and who owns it</t>
        </is>
      </c>
    </row>
    <row r="2">
      <c r="A2" s="48" t="inlineStr">
        <is>
          <t>On target means at or below a 'Lower is better' target, or at or above a 'Higher is better' target.</t>
        </is>
      </c>
    </row>
    <row r="3">
      <c r="A3" s="49" t="inlineStr">
        <is>
          <t>KPI</t>
        </is>
      </c>
      <c r="B3" s="49" t="inlineStr">
        <is>
          <t>Unit</t>
        </is>
      </c>
      <c r="C3" s="49" t="inlineStr">
        <is>
          <t>Question</t>
        </is>
      </c>
      <c r="D3" s="49" t="inlineStr">
        <is>
          <t>Definition</t>
        </is>
      </c>
      <c r="E3" s="49" t="inlineStr">
        <is>
          <t>Direction</t>
        </is>
      </c>
      <c r="F3" s="49" t="inlineStr">
        <is>
          <t>Target</t>
        </is>
      </c>
      <c r="G3" s="49" t="inlineStr">
        <is>
          <t>Owner</t>
        </is>
      </c>
    </row>
    <row r="4" ht="45" customHeight="1">
      <c r="A4" s="7" t="inlineStr">
        <is>
          <t>LWBS %</t>
        </is>
      </c>
      <c r="B4" s="7" t="inlineStr">
        <is>
          <t>%</t>
        </is>
      </c>
      <c r="C4" s="7" t="inlineStr">
        <is>
          <t>Are ED patients leaving before a provider sees them?</t>
        </is>
      </c>
      <c r="D4" s="7" t="inlineStr">
        <is>
          <t>LWBS ÷ EDVisits. ED arrivals by arrival month.</t>
        </is>
      </c>
      <c r="E4" s="7" t="inlineStr">
        <is>
          <t>Lower is better</t>
        </is>
      </c>
      <c r="F4" s="57" t="n">
        <v>0.02</v>
      </c>
      <c r="G4" s="7" t="inlineStr">
        <is>
          <t>ED Medical Director</t>
        </is>
      </c>
    </row>
    <row r="5" ht="45" customHeight="1">
      <c r="A5" s="7" t="inlineStr">
        <is>
          <t>Median door-to-provider</t>
        </is>
      </c>
      <c r="B5" s="7" t="inlineStr">
        <is>
          <t>minutes</t>
        </is>
      </c>
      <c r="C5" s="7" t="inlineStr">
        <is>
          <t>How long do ED patients wait to see a provider?</t>
        </is>
      </c>
      <c r="D5" s="7" t="inlineStr">
        <is>
          <t>Median minutes from arrival to first provider contact, over patients seen by a provider. Medians can't be added or averaged across hospitals: compute roll-ups from EDWaits.</t>
        </is>
      </c>
      <c r="E5" s="7" t="inlineStr">
        <is>
          <t>Lower is better</t>
        </is>
      </c>
      <c r="F5" s="58" t="n">
        <v>30</v>
      </c>
      <c r="G5" s="7" t="inlineStr">
        <is>
          <t>ED Nurse Director</t>
        </is>
      </c>
    </row>
    <row r="6" ht="45" customHeight="1">
      <c r="A6" s="7" t="inlineStr">
        <is>
          <t>ALOS</t>
        </is>
      </c>
      <c r="B6" s="7" t="inlineStr">
        <is>
          <t>days</t>
        </is>
      </c>
      <c r="C6" s="7" t="inlineStr">
        <is>
          <t>Are inpatients staying longer than they need to?</t>
        </is>
      </c>
      <c r="D6" s="7" t="inlineStr">
        <is>
          <t>LOSDays ÷ IPDischarges. Inpatient stays by discharge month.</t>
        </is>
      </c>
      <c r="E6" s="7" t="inlineStr">
        <is>
          <t>Lower is better</t>
        </is>
      </c>
      <c r="F6" s="59" t="n">
        <v>4.5</v>
      </c>
      <c r="G6" s="7" t="inlineStr">
        <is>
          <t>Director of Case Management</t>
        </is>
      </c>
    </row>
    <row r="7" ht="45" customHeight="1">
      <c r="A7" s="7" t="inlineStr">
        <is>
          <t>30-day readmission rate</t>
        </is>
      </c>
      <c r="B7" s="7" t="inlineStr">
        <is>
          <t>%</t>
        </is>
      </c>
      <c r="C7" s="7" t="inlineStr">
        <is>
          <t>Are discharged patients coming back within 30 days?</t>
        </is>
      </c>
      <c r="D7" s="7" t="inlineStr">
        <is>
          <t>Readmits ÷ IndexStays. Inpatient discharges by month, excluding deaths. Blank for Dec 2025 (window still open).</t>
        </is>
      </c>
      <c r="E7" s="7" t="inlineStr">
        <is>
          <t>Lower is better</t>
        </is>
      </c>
      <c r="F7" s="57" t="n">
        <v>0.15</v>
      </c>
      <c r="G7" s="7" t="inlineStr">
        <is>
          <t>Chief Quality Officer</t>
        </is>
      </c>
    </row>
    <row r="8" ht="45" customHeight="1">
      <c r="A8" s="7" t="inlineStr">
        <is>
          <t>Occupancy %</t>
        </is>
      </c>
      <c r="B8" s="7" t="inlineStr">
        <is>
          <t>%</t>
        </is>
      </c>
      <c r="C8" s="7" t="inlineStr">
        <is>
          <t>Will we have a bed for the next admission?</t>
        </is>
      </c>
      <c r="D8" s="7" t="inlineStr">
        <is>
          <t>PatientDays ÷ BedDays over inpatient and critical care units. Above the ceiling leaves too little surge room.</t>
        </is>
      </c>
      <c r="E8" s="7" t="inlineStr">
        <is>
          <t>Lower is better</t>
        </is>
      </c>
      <c r="F8" s="57" t="n">
        <v>0.85</v>
      </c>
      <c r="G8" s="7" t="inlineStr">
        <is>
          <t>Chief Nursing Officer</t>
        </is>
      </c>
    </row>
    <row r="9" ht="45" customHeight="1">
      <c r="A9" s="7" t="inlineStr">
        <is>
          <t>HCAHPS top-box %</t>
        </is>
      </c>
      <c r="B9" s="7" t="inlineStr">
        <is>
          <t>%</t>
        </is>
      </c>
      <c r="C9" s="7" t="inlineStr">
        <is>
          <t>Would patients rate their stay 9 or 10 out of 10?</t>
        </is>
      </c>
      <c r="D9" s="7" t="inlineStr">
        <is>
          <t>TopBox ÷ Surveys. Surveys by discharge month. Blank for Dec 2025 (most surveys not returned yet).</t>
        </is>
      </c>
      <c r="E9" s="7" t="inlineStr">
        <is>
          <t>Higher is better</t>
        </is>
      </c>
      <c r="F9" s="57" t="n">
        <v>0.5</v>
      </c>
      <c r="G9" s="7" t="inlineStr">
        <is>
          <t>Director of Patient Experience</t>
        </is>
      </c>
    </row>
    <row r="10" ht="45" customHeight="1">
      <c r="A10" s="7" t="inlineStr">
        <is>
          <t>Denial rate</t>
        </is>
      </c>
      <c r="B10" s="7" t="inlineStr">
        <is>
          <t>%</t>
        </is>
      </c>
      <c r="C10" s="7" t="inlineStr">
        <is>
          <t>Are payers refusing our claims?</t>
        </is>
      </c>
      <c r="D10" s="7" t="inlineStr">
        <is>
          <t>ClaimsDenied ÷ ClaimsAdjudicated (Denied or Appealed ÷ every claim except Pending), by service month. Blank for Dec 2025 (most claims still pending).</t>
        </is>
      </c>
      <c r="E10" s="7" t="inlineStr">
        <is>
          <t>Lower is better</t>
        </is>
      </c>
      <c r="F10" s="57" t="n">
        <v>0.1</v>
      </c>
      <c r="G10" s="7" t="inlineStr">
        <is>
          <t>Revenue Cycle Director</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7F7F7F"/>
    <outlinePr summaryBelow="1" summaryRight="1"/>
    <pageSetUpPr fitToPage="1"/>
  </sheetPr>
  <dimension ref="A1:E25"/>
  <sheetViews>
    <sheetView tabSelected="0" workbookViewId="0">
      <pane ySplit="1" topLeftCell="A2" activePane="bottomLeft" state="frozen"/>
      <selection pane="bottomLeft" activeCell="A1" sqref="A1"/>
    </sheetView>
  </sheetViews>
  <sheetFormatPr baseColWidth="8" defaultRowHeight="15"/>
  <cols>
    <col width="32" customWidth="1" min="1" max="1"/>
    <col width="3" customWidth="1" min="2" max="2"/>
    <col width="13" customWidth="1" min="3" max="3"/>
    <col width="3" customWidth="1" min="4" max="4"/>
    <col width="100" customWidth="1" min="5" max="5"/>
  </cols>
  <sheetData>
    <row r="1">
      <c r="A1" s="32" t="inlineStr">
        <is>
          <t>Facility list</t>
        </is>
      </c>
      <c r="C1" s="32" t="inlineStr">
        <is>
          <t>Month list</t>
        </is>
      </c>
      <c r="E1" s="3" t="inlineStr">
        <is>
          <t>Dropdown sources. The Dashboard's selectors use Data Validation lists that point here:</t>
        </is>
      </c>
    </row>
    <row r="2">
      <c r="A2" s="39" t="inlineStr">
        <is>
          <t>All facilities</t>
        </is>
      </c>
      <c r="C2" s="60" t="n">
        <v>45292</v>
      </c>
      <c r="E2" s="3" t="inlineStr">
        <is>
          <t>Facility: =Lists!$A$2:$A$5      Month: =Lists!$C$2:$C$25</t>
        </is>
      </c>
    </row>
    <row r="3">
      <c r="A3" s="39" t="inlineStr">
        <is>
          <t>Bluestone Memorial Hospital</t>
        </is>
      </c>
      <c r="C3" s="60" t="n">
        <v>45323</v>
      </c>
      <c r="E3" s="3" t="inlineStr">
        <is>
          <t>The month cells hold real dates (the first of each month) formatted as mmm yyyy, so the dropdown shows 'Nov 2025' but the selector stores a date that SUMIFS can match.</t>
        </is>
      </c>
    </row>
    <row r="4">
      <c r="A4" s="39" t="inlineStr">
        <is>
          <t>Ashby Falls Community Hospital</t>
        </is>
      </c>
      <c r="C4" s="60" t="n">
        <v>45352</v>
      </c>
    </row>
    <row r="5">
      <c r="A5" s="39" t="inlineStr">
        <is>
          <t>Cedar Ridge Medical Center</t>
        </is>
      </c>
      <c r="C5" s="60" t="n">
        <v>45383</v>
      </c>
    </row>
    <row r="6">
      <c r="C6" s="60" t="n">
        <v>45413</v>
      </c>
    </row>
    <row r="7">
      <c r="C7" s="60" t="n">
        <v>45444</v>
      </c>
    </row>
    <row r="8">
      <c r="C8" s="60" t="n">
        <v>45474</v>
      </c>
    </row>
    <row r="9">
      <c r="C9" s="60" t="n">
        <v>45505</v>
      </c>
    </row>
    <row r="10">
      <c r="C10" s="60" t="n">
        <v>45536</v>
      </c>
    </row>
    <row r="11">
      <c r="C11" s="60" t="n">
        <v>45566</v>
      </c>
    </row>
    <row r="12">
      <c r="C12" s="60" t="n">
        <v>45597</v>
      </c>
    </row>
    <row r="13">
      <c r="C13" s="60" t="n">
        <v>45627</v>
      </c>
    </row>
    <row r="14">
      <c r="C14" s="60" t="n">
        <v>45658</v>
      </c>
    </row>
    <row r="15">
      <c r="C15" s="60" t="n">
        <v>45689</v>
      </c>
    </row>
    <row r="16">
      <c r="C16" s="60" t="n">
        <v>45717</v>
      </c>
    </row>
    <row r="17">
      <c r="C17" s="60" t="n">
        <v>45748</v>
      </c>
    </row>
    <row r="18">
      <c r="C18" s="60" t="n">
        <v>45778</v>
      </c>
    </row>
    <row r="19">
      <c r="C19" s="60" t="n">
        <v>45809</v>
      </c>
    </row>
    <row r="20">
      <c r="C20" s="60" t="n">
        <v>45839</v>
      </c>
    </row>
    <row r="21">
      <c r="C21" s="60" t="n">
        <v>45870</v>
      </c>
    </row>
    <row r="22">
      <c r="C22" s="60" t="n">
        <v>45901</v>
      </c>
    </row>
    <row r="23">
      <c r="C23" s="60" t="n">
        <v>45931</v>
      </c>
    </row>
    <row r="24">
      <c r="C24" s="60" t="n">
        <v>45962</v>
      </c>
    </row>
    <row r="25">
      <c r="C25" s="60" t="n">
        <v>45992</v>
      </c>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BF9000"/>
    <outlinePr summaryBelow="1" summaryRight="1"/>
    <pageSetUpPr fitToPage="1"/>
  </sheetPr>
  <dimension ref="B1:B5"/>
  <sheetViews>
    <sheetView tabSelected="0" workbookViewId="0">
      <selection activeCell="A1" sqref="A1"/>
    </sheetView>
  </sheetViews>
  <sheetFormatPr baseColWidth="8" defaultRowHeight="15"/>
  <cols>
    <col width="2" customWidth="1" min="1" max="1"/>
  </cols>
  <sheetData>
    <row r="1">
      <c r="B1" s="28" t="inlineStr">
        <is>
          <t>Board dashboard (bonus)</t>
        </is>
      </c>
    </row>
    <row r="2">
      <c r="B2" s="3" t="inlineStr">
        <is>
          <t>Build the one-page board dashboard here. The Bonus sheet has the full spec. A layout that works:</t>
        </is>
      </c>
    </row>
    <row r="3">
      <c r="B3" s="3" t="inlineStr">
        <is>
          <t>Rows 1–2: title and a dynamic subtitle (facility · month).   Rows 4–5: the two dropdowns (name them BoardFacility and BoardMonth).</t>
        </is>
      </c>
    </row>
    <row r="4">
      <c r="B4" s="3" t="inlineStr">
        <is>
          <t>Rows 7–17: two rows of four cards.   Rows 19–33: the trend chart.   Columns N onward: your model cells (helpers, the KPI table, the 12-month block).</t>
        </is>
      </c>
    </row>
    <row r="5">
      <c r="B5" s="3" t="inlineStr">
        <is>
          <t>Delete these notes when you're done, then hide gridlines and headings, unlock the dropdowns, protect the sheet, and set it to print on one landscape page.</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BF9000"/>
    <outlinePr summaryBelow="1" summaryRight="1"/>
    <pageSetUpPr fitToPage="1"/>
  </sheetPr>
  <dimension ref="A1:E9"/>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4.6 · Bonus: The board's one-page operations dashboard</t>
        </is>
      </c>
    </row>
    <row r="2" ht="184" customHeight="1">
      <c r="A2" s="14" t="inlineStr">
        <is>
          <t>Each month the COO presents one page to the board's Quality &amp; Operations Committee. It must answer three questions at a glance: Are we on target? Where are we missing? Which way are things heading? Build it on the Board sheet to this spec:
1. Facility and Month dropdowns fed by the Lists sheet, named BoardFacility and BoardMonth. Facility must allow All facilities.
2. One card for each of the seven KPIs in tblTargets, showing the value, the target, a status colored by conditional formatting, and an arrow versus the same month last year. Every card must work for All facilities, so rebuild rates from their components and compute the median door-to-provider from tblEDWaits.
3. A scorecard line that counts the KPIs on target, such as '6 of 7 KPIs on target'.
4. A 12-month LWBS % trend block and a line chart that follow both dropdowns.
5. Polish: gridlines and headings off, only the two dropdowns unlocked, the sheet protected, and one landscape page when printed.
The hidden Dashboard Key sheet is a finished reference build. Compare your numbers with it when you're done.</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"&amp;COUNTIF(E6:E9,"✔*")&amp;" of 4 auto-checked tasks correct"</f>
        <v/>
      </c>
    </row>
    <row r="5">
      <c r="A5" s="17" t="inlineStr">
        <is>
          <t>#</t>
        </is>
      </c>
      <c r="B5" s="17" t="inlineStr">
        <is>
          <t>Task</t>
        </is>
      </c>
      <c r="C5" s="17" t="inlineStr">
        <is>
          <t>Hint</t>
        </is>
      </c>
      <c r="D5" s="17" t="inlineStr">
        <is>
          <t>Your Answer</t>
        </is>
      </c>
      <c r="E5" s="17" t="inlineStr">
        <is>
          <t>Check</t>
        </is>
      </c>
    </row>
    <row r="6" ht="36" customHeight="1">
      <c r="A6" s="18" t="inlineStr">
        <is>
          <t>B1</t>
        </is>
      </c>
      <c r="B6" s="19" t="inlineStr">
        <is>
          <t>Set your Board dashboard to All facilities and Oct 2025. What is the system-wide 30-day readmission rate? Enter it as a percentage.</t>
        </is>
      </c>
      <c r="C6" s="20" t="inlineStr">
        <is>
          <t>Swap "All facilities" for the asterisk wildcard in the Facility criterion</t>
        </is>
      </c>
      <c r="D6" s="23" t="n"/>
      <c r="E6" s="22">
        <f>IF(IFERROR(D6="",FALSE),"",IF(IFERROR(AND(ISNUMBER(D6),OR(ABS(D6-'Bonus Key'!$C$5)&lt;=0.00051,ABS(D6-'Bonus Key'!$C$5*100)&lt;=0.051000000000000004)),FALSE),"✔ Correct","✘ Not yet"))</f>
        <v/>
      </c>
    </row>
    <row r="7" ht="66" customHeight="1">
      <c r="A7" s="18" t="inlineStr">
        <is>
          <t>B2</t>
        </is>
      </c>
      <c r="B7" s="19" t="inlineStr">
        <is>
          <t>With All facilities and Oct 2025 still selected, how many of the seven KPIs are on target? Use the Targets sheet's rule: on target means at or below a lower-is-better target, or at or above a higher-is-better one, so a value exactly equal to its target counts as on target.</t>
        </is>
      </c>
      <c r="C7" s="20" t="inlineStr">
        <is>
          <t>Give each card a status cell that returns 1 or 0, then SUM them. Remember which KPIs are higher-is-better</t>
        </is>
      </c>
      <c r="D7" s="21" t="n"/>
      <c r="E7" s="22">
        <f>IF(IFERROR(D7="",FALSE),"",IF(IFERROR(AND(ISNUMBER(D7),OR(ABS(D7-'Bonus Key'!$C$6)&lt;=0.0001)),FALSE),"✔ Correct","✘ Not yet"))</f>
        <v/>
      </c>
    </row>
    <row r="8" ht="36" customHeight="1">
      <c r="A8" s="18" t="inlineStr">
        <is>
          <t>B3</t>
        </is>
      </c>
      <c r="B8" s="19" t="inlineStr">
        <is>
          <t>Keep Oct 2025 and switch the Facility dropdown to each hospital in turn. Which hospital has the fewest KPIs on target?</t>
        </is>
      </c>
      <c r="C8" s="20" t="inlineStr">
        <is>
          <t>Your scorecard line answers this. Change only the Facility dropdown</t>
        </is>
      </c>
      <c r="D8" s="61" t="n"/>
      <c r="E8" s="22">
        <f>IF(IFERROR(D8="",FALSE),"",IF(IFERROR(OR(LOWER(TRIM(D8&amp;""))=LOWER(TRIM('Bonus Key'!$C$7&amp;"")),LOWER(TRIM(D8&amp;""))="bluestone memorial"),FALSE),"✔ Correct","✘ Not yet"))</f>
        <v/>
      </c>
    </row>
    <row r="9" ht="51" customHeight="1">
      <c r="A9" s="18" t="inlineStr">
        <is>
          <t>B4</t>
        </is>
      </c>
      <c r="B9" s="19" t="inlineStr">
        <is>
          <t>Back on All facilities and Oct 2025, your 12-month LWBS % trend runs Nov 2024–Oct 2025. In which month was the system-wide LWBS % highest? Enter the first day of that month as a date.</t>
        </is>
      </c>
      <c r="C9" s="20" t="inlineStr">
        <is>
          <t>INDEX(months, MATCH(MAX(rates), rates, 0)) on your trend block, or just read the chart's peak</t>
        </is>
      </c>
      <c r="D9" s="62" t="n"/>
      <c r="E9" s="22">
        <f>IF(IFERROR(D9="",FALSE),"",IF(IFERROR(AND(ISNUMBER(D9),INT(D9)=INT('Bonus Key'!$C$8)),FALSE),"✔ Correct","✘ Not yet"))</f>
        <v/>
      </c>
    </row>
  </sheetData>
  <mergeCells count="3">
    <mergeCell ref="A2:E2"/>
    <mergeCell ref="A4:C4"/>
    <mergeCell ref="A3:E3"/>
  </mergeCells>
  <conditionalFormatting sqref="E6:E9">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1.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63" t="inlineStr">
        <is>
          <t>🔑 Answer Key — Lesson 4.6</t>
        </is>
      </c>
    </row>
    <row r="2" ht="32" customHeight="1">
      <c r="A2" s="64" t="inlineStr">
        <is>
          <t>Spoiler alert — try every task before reading this sheet. Column C is the value the Check column compares against. Column D is a sample solution; column E is that same formula, live, proving it works.</t>
        </is>
      </c>
    </row>
    <row r="4">
      <c r="A4" s="65" t="inlineStr">
        <is>
          <t>#</t>
        </is>
      </c>
      <c r="B4" s="65" t="inlineStr">
        <is>
          <t>Task</t>
        </is>
      </c>
      <c r="C4" s="65" t="inlineStr">
        <is>
          <t>Answer</t>
        </is>
      </c>
      <c r="D4" s="65" t="inlineStr">
        <is>
          <t>Sample solution</t>
        </is>
      </c>
      <c r="E4" s="65" t="inlineStr">
        <is>
          <t>Live result</t>
        </is>
      </c>
      <c r="F4" s="65" t="inlineStr">
        <is>
          <t>Explanation</t>
        </is>
      </c>
    </row>
    <row r="5" ht="126" customHeight="1">
      <c r="A5" s="18" t="inlineStr">
        <is>
          <t>1</t>
        </is>
      </c>
      <c r="B5" s="19" t="inlineStr">
        <is>
          <t>Write a formula that returns the number of ED visits for the selected facility and month (the EDVisits column of tblKPI).</t>
        </is>
      </c>
      <c r="C5" s="66" t="n">
        <v>80</v>
      </c>
      <c r="D5" s="67" t="inlineStr">
        <is>
          <t>=SUMIFS(tblKPI[EDVisits],tblKPI[Facility],SelFacility,tblKPI[Month],SelMonth)</t>
        </is>
      </c>
      <c r="E5" cm="1" s="68">
        <f t="array" ref="E5">SUMIFS(tblKPI[EDVisits],tblKPI[Facility],SelFacility,tblKPI[Month],SelMonth)</f>
        <v/>
      </c>
      <c r="F5" s="19" t="inlineStr">
        <is>
          <t>tblKPI has exactly one row per hospital per month, so SUMIFS with both criteria returns that row's value. SUMIFS is the workhorse of selector-driven dashboards. It never returns #N/A, it adds up correctly when a criterion matches several rows (a quarter, or every hospital), and it recalculates the moment a selector changes. Because the criteria are the named cells, choosing a different facility on the Dashboard updates this number without anyone touching the formula.</t>
        </is>
      </c>
    </row>
    <row r="6" ht="96" customHeight="1">
      <c r="A6" s="18" t="inlineStr">
        <is>
          <t>2</t>
        </is>
      </c>
      <c r="B6" s="19" t="inlineStr">
        <is>
          <t>Return the LWBS % (left without being seen) for the selection. Build it from its components, LWBS ÷ EDVisits, instead of reading the LWBSRate column. Enter it as a percentage.</t>
        </is>
      </c>
      <c r="C6" s="69" t="n">
        <v>0.0375</v>
      </c>
      <c r="D6" s="67" t="inlineStr">
        <is>
          <t>=SUMIFS(tblKPI[LWBS],tblKPI[Facility],SelFacility,tblKPI[Month],SelMonth)/SUMIFS(tblKPI[EDVisits],tblKPI[Facility],SelFacility,tblKPI[Month],SelMonth)</t>
        </is>
      </c>
      <c r="E6" cm="1" s="70">
        <f t="array" ref="E6">SUMIFS(tblKPI[LWBS],tblKPI[Facility],SelFacility,tblKPI[Month],SelMonth)/SUMIFS(tblKPI[EDVisits],tblKPI[Facility],SelFacility,tblKPI[Month],SelMonth)</f>
        <v/>
      </c>
      <c r="F6" s="19" t="inlineStr">
        <is>
          <t>3 of 80 patients left before a provider saw them. For one hospital-month this matches the LWBSRate column. The components version is still the better habit, because the same formula keeps working when the selection covers several rows (a quarter, or all hospitals). There, SUMIFS on LWBSRate would add percentages together, which is meaningless.</t>
        </is>
      </c>
    </row>
    <row r="7" ht="96" customHeight="1">
      <c r="A7" s="18" t="inlineStr">
        <is>
          <t>3</t>
        </is>
      </c>
      <c r="B7" s="19" t="inlineStr">
        <is>
          <t>LWBS variance to target: the selected LWBS % minus the LWBS % target from tblTargets. Look the target up with a formula instead of typing 2%. Enter the result as a percentage. A positive result means the hospital is above (worse than) this lower-is-better target.</t>
        </is>
      </c>
      <c r="C7" s="69" t="n">
        <v>0.0175</v>
      </c>
      <c r="D7" s="67" t="inlineStr">
        <is>
          <t>=SUMIFS(tblKPI[LWBS],tblKPI[Facility],SelFacility,tblKPI[Month],SelMonth)/SUMIFS(tblKPI[EDVisits],tblKPI[Facility],SelFacility,tblKPI[Month],SelMonth)-XLOOKUP("LWBS %",tblTargets[KPI],tblTargets[Target])</t>
        </is>
      </c>
      <c r="E7" cm="1" s="70">
        <f t="array" ref="E7">SUMIFS(tblKPI[LWBS],tblKPI[Facility],SelFacility,tblKPI[Month],SelMonth)/SUMIFS(tblKPI[EDVisits],tblKPI[Facility],SelFacility,tblKPI[Month],SelMonth)-_xlfn.XLOOKUP("LWBS %",tblTargets[KPI],tblTargets[Target])</f>
        <v/>
      </c>
      <c r="F7" s="19" t="inlineStr">
        <is>
          <t>3.75% − 2.00% = +1.75%. Strictly, that's +1.75 percentage points: the gap between two rates. (The relative variance, actual ÷ target − 1, would be +87.5%.) Keeping targets in a table and looking them up means one edit to tblTargets updates every card that uses the target. On a real card this cell would subtract the target cell from the value cell.</t>
        </is>
      </c>
    </row>
    <row r="8" ht="156" customHeight="1">
      <c r="A8" s="18" t="inlineStr">
        <is>
          <t>4</t>
        </is>
      </c>
      <c r="B8" s="19" t="inlineStr">
        <is>
          <t>ED visits change versus the same month last year: this year ÷ last year − 1. Find last year's month with EDATE so the formula works for any selected month. Enter it as a percentage.</t>
        </is>
      </c>
      <c r="C8" s="71" t="n">
        <v>-0.06976744186046513</v>
      </c>
      <c r="D8" s="67" t="inlineStr">
        <is>
          <t>=SUMIFS(tblKPI[EDVisits],tblKPI[Facility],SelFacility,tblKPI[Month],SelMonth)/SUMIFS(tblKPI[EDVisits],tblKPI[Facility],SelFacility,tblKPI[Month],EDATE(SelMonth,-12))-1</t>
        </is>
      </c>
      <c r="E8" cm="1" s="72">
        <f t="array" ref="E8">SUMIFS(tblKPI[EDVisits],tblKPI[Facility],SelFacility,tblKPI[Month],SelMonth)/SUMIFS(tblKPI[EDVisits],tblKPI[Facility],SelFacility,tblKPI[Month],EDATE(SelMonth,-12))-1</f>
        <v/>
      </c>
      <c r="F8" s="19" t="inlineStr">
        <is>
          <t>80 visits this year against 86 in Nov 2024. Comparing with the same month last year removes seasonality, which a month-over-month change can't do: an ED's November differs from its October for seasonal reasons alone. EDATE moves a date by whole months and keeps it on the first of the month, so it matches the Month column for every selection. Subtracting 365 days happens to work for Nov 2025, but it lands a day late whenever a February 29 falls in between: 1/1/2025 − 365 days is 1/2/2024, which matches no row, while EDATE returns 1/1/2024.</t>
        </is>
      </c>
    </row>
    <row r="9" ht="156" customHeight="1">
      <c r="A9" s="18" t="inlineStr">
        <is>
          <t>5</t>
        </is>
      </c>
      <c r="B9" s="19" t="inlineStr">
        <is>
          <t>Occupancy trend arrow. Compare the selected month's occupancy (PatientDays ÷ BedDays) with the previous month's. Return ▲ with UNICHAR(9650) if it rose, ▼ with UNICHAR(9660) if it fell, or ▬ with UNICHAR(9644) if it didn't change.</t>
        </is>
      </c>
      <c r="C9" s="66" t="inlineStr">
        <is>
          <t>▲</t>
        </is>
      </c>
      <c r="D9" s="67" t="inlineStr">
        <is>
          <t>=LET(cur,SUMIFS(tblKPI[PatientDays],tblKPI[Facility],SelFacility,tblKPI[Month],SelMonth)/SUMIFS(tblKPI[BedDays],tblKPI[Facility],SelFacility,tblKPI[Month],SelMonth),prev,SUMIFS(tblKPI[PatientDays],tblKPI[Facility],SelFacility,tblKPI[Month],EDATE(SelMonth,-1))/SUMIFS(tblKPI[BedDays],tblKPI[Facility],SelFacility,tblKPI[Month],EDATE(SelMonth,-1)),IF(cur&gt;prev,UNICHAR(9650),IF(cur&lt;prev,UNICHAR(9660),UNICHAR(9644))))</t>
        </is>
      </c>
      <c r="E9" cm="1" s="68">
        <f t="array" ref="E9">_xlfn.LET(_xlpm.cur,SUMIFS(tblKPI[PatientDays],tblKPI[Facility],SelFacility,tblKPI[Month],SelMonth)/SUMIFS(tblKPI[BedDays],tblKPI[Facility],SelFacility,tblKPI[Month],SelMonth),_xlpm.prev,SUMIFS(tblKPI[PatientDays],tblKPI[Facility],SelFacility,tblKPI[Month],EDATE(SelMonth,-1))/SUMIFS(tblKPI[BedDays],tblKPI[Facility],SelFacility,tblKPI[Month],EDATE(SelMonth,-1)),IF(_xlpm.cur&gt;_xlpm.prev,_xlfn.UNICHAR(9650),IF(_xlpm.cur&lt;_xlpm.prev,_xlfn.UNICHAR(9660),_xlfn.UNICHAR(9644))))</f>
        <v/>
      </c>
      <c r="F9" s="19" t="inlineStr">
        <is>
          <t>Occupancy went from 81.5% in Oct 2025 to 84.7%. LET names the two rates once, so the IF reads like a sentence instead of repeating four SUMIFS. A formula-made arrow is ordinary text, so you can color it with conditional formatting. On a dashboard, rising occupancy deserves amber or red as it approaches the ceiling, even though the arrow itself only says which way it moved.</t>
        </is>
      </c>
    </row>
    <row r="10" ht="141" customHeight="1">
      <c r="A10" s="18" t="inlineStr">
        <is>
          <t>6</t>
        </is>
      </c>
      <c r="B10" s="19" t="inlineStr">
        <is>
          <t>Status cell for median door-to-provider: return the text On target or Off target for the selection. Read the target and the Direction of "Median door-to-provider" from tblTargets, so the same pattern works for any KPI. A median isn't additive, so look up the hospital's MedianDTP value instead of adding it up.</t>
        </is>
      </c>
      <c r="C10" s="66" t="inlineStr">
        <is>
          <t>Off target</t>
        </is>
      </c>
      <c r="D10" s="67" t="inlineStr">
        <is>
          <t>=LET(val,XLOOKUP(1,(tblKPI[Facility]=SelFacility)*(tblKPI[Month]=SelMonth),tblKPI[MedianDTP]),tgt,XLOOKUP("Median door-to-provider",tblTargets[KPI],tblTargets[Target]),dir,XLOOKUP("Median door-to-provider",tblTargets[KPI],tblTargets[Direction]),IF(IF(dir="Lower is better",val&lt;=tgt,val&gt;=tgt),"On target","Off target"))</t>
        </is>
      </c>
      <c r="E10" cm="1" s="68">
        <f t="array" ref="E10">_xlfn.LET(_xlpm.val,_xlfn.XLOOKUP(1,(tblKPI[Facility]=SelFacility)*(tblKPI[Month]=SelMonth),tblKPI[MedianDTP]),_xlpm.tgt,_xlfn.XLOOKUP("Median door-to-provider",tblTargets[KPI],tblTargets[Target]),_xlpm.dir,_xlfn.XLOOKUP("Median door-to-provider",tblTargets[KPI],tblTargets[Direction]),IF(IF(_xlpm.dir="Lower is better",_xlpm.val&lt;=_xlpm.tgt,_xlpm.val&gt;=_xlpm.tgt),"On target","Off target"))</f>
        <v/>
      </c>
      <c r="F10" s="19" t="inlineStr">
        <is>
          <t>The median is 31.0 minutes against a target of 30 or less, so it's off target, even if only barely. XLOOKUP(1, (condition)*(condition), …) finds the one row where both conditions are TRUE (TRUE×TRUE = 1). The inner IF flips the comparison by direction: lower-is-better KPIs pass at or below the target, and higher-is-better KPIs pass at or above it. Binary statuses hide near misses like this one, which is why many dashboards add an amber band (for example, within 10% of target).</t>
        </is>
      </c>
    </row>
    <row r="11" ht="81" customHeight="1">
      <c r="A11" s="18" t="inlineStr">
        <is>
          <t>7</t>
        </is>
      </c>
      <c r="B11" s="19" t="inlineStr">
        <is>
          <t>System-wide LWBS % for the selected month: all three hospitals combined, ignoring the facility selector. Divide total LWBS by total ED visits instead of averaging the three hospitals' rates. Enter it as a percentage.</t>
        </is>
      </c>
      <c r="C11" s="69" t="n">
        <v>0.01532567049808429</v>
      </c>
      <c r="D11" s="67" t="inlineStr">
        <is>
          <t>=SUMIFS(tblKPI[LWBS],tblKPI[Month],SelMonth)/SUMIFS(tblKPI[EDVisits],tblKPI[Month],SelMonth)</t>
        </is>
      </c>
      <c r="E11" cm="1" s="70">
        <f t="array" ref="E11">SUMIFS(tblKPI[LWBS],tblKPI[Month],SelMonth)/SUMIFS(tblKPI[EDVisits],tblKPI[Month],SelMonth)</f>
        <v/>
      </c>
      <c r="F11" s="19" t="inlineStr">
        <is>
          <t>8 ÷ 522 = 1.53%. Averaging the three hospital rates gives 1.71%, because a simple average gives the small hospitals the same weight as Bluestone Memorial, which sees several times as many patients. Rates roll up as total numerator ÷ total denominator. That's why tblKPI stores the components.</t>
        </is>
      </c>
    </row>
    <row r="12" ht="141" customHeight="1">
      <c r="A12" s="18" t="inlineStr">
        <is>
          <t>8</t>
        </is>
      </c>
      <c r="B12" s="19" t="inlineStr">
        <is>
          <t>System-wide median door-to-provider, in minutes, for the selected month. Medians can't be added or averaged across hospitals, so compute it from the visit-level table: the MEDIAN of DoorToProviderMin for every tblEDWaits visit whose ArrivalDateTime falls in the selected month. Keep one decimal place.</t>
        </is>
      </c>
      <c r="C12" s="73" t="n">
        <v>33.5</v>
      </c>
      <c r="D12" s="67" t="inlineStr">
        <is>
          <t>=MEDIAN(FILTER(tblEDWaits[DoorToProviderMin],(tblEDWaits[ArrivalDateTime]&gt;=SelMonth)*(tblEDWaits[ArrivalDateTime]&lt;EDATE(SelMonth,1))))</t>
        </is>
      </c>
      <c r="E12" cm="1" s="74">
        <f t="array" ref="E12">MEDIAN(_xlfn._xlws.FILTER(tblEDWaits[DoorToProviderMin],(tblEDWaits[ArrivalDateTime]&gt;=SelMonth)*(tblEDWaits[ArrivalDateTime]&lt;EDATE(SelMonth,1))))</f>
        <v/>
      </c>
      <c r="F12" s="19" t="inlineStr">
        <is>
          <t>The true system median is 33.5 minutes. Averaging the three hospital medians gives 34.5, which is not the median of anything. A median depends on every individual value, so it can only be computed from the detail rows. The date test uses a half-open window (&gt;= first day, &lt; first day of next month), which catches every arrival time on the last day of the month. In Excel 2019 or earlier, use =AGGREGATE(17,6,values/(condition),2) instead, where function 17 is QUARTILE.INC and quartile 2 is the median.</t>
        </is>
      </c>
    </row>
    <row r="13" ht="111" customHeight="1">
      <c r="A13" s="18" t="inlineStr">
        <is>
          <t>9</t>
        </is>
      </c>
      <c r="B13" s="19" t="inlineStr">
        <is>
          <t>Rolling 3-month ED visits for the selected facility: the selected month plus the two months before it (Sep–Nov 2025 for the default selection). Use one SUMIFS with a date window, not OFFSET.</t>
        </is>
      </c>
      <c r="C13" s="66" t="n">
        <v>221</v>
      </c>
      <c r="D13" s="67" t="inlineStr">
        <is>
          <t>=SUMIFS(tblKPI[EDVisits],tblKPI[Facility],SelFacility,tblKPI[Month],"&gt;="&amp;EDATE(SelMonth,-2),tblKPI[Month],"&lt;="&amp;SelMonth)</t>
        </is>
      </c>
      <c r="E13" cm="1" s="68">
        <f t="array" ref="E13">SUMIFS(tblKPI[EDVisits],tblKPI[Facility],SelFacility,tblKPI[Month],"&gt;="&amp;EDATE(SelMonth,-2),tblKPI[Month],"&lt;="&amp;SelMonth)</f>
        <v/>
      </c>
      <c r="F13" s="19" t="inlineStr">
        <is>
          <t>Joining an operator to a date ("&gt;="&amp;EDATE(SelMonth,-2)) turns the date into criteria text that SUMIFS understands. A common older pattern is SUM(OFFSET(…)). OFFSET is volatile, so Excel recalculates it after every edit anywhere in the workbook, and dozens of them make a dashboard sluggish. SUMIFS recalculates only when its inputs change, and it doesn't depend on the table being sorted.</t>
        </is>
      </c>
    </row>
    <row r="14" ht="216" customHeight="1">
      <c r="A14" s="18" t="inlineStr">
        <is>
          <t>10</t>
        </is>
      </c>
      <c r="B14" s="19" t="inlineStr">
        <is>
          <t>Insert a Form Controls combo box on the Dashboard. In Format Control, set its Input range to Lists!$A$2:$A$5 and its Cell link to Calc!$C$12. Then choose Ashby Falls Community Hospital in the combo box. The gray cell shows the number your combo box writes to the cell link.</t>
        </is>
      </c>
      <c r="C14" s="66" t="n">
        <v>3</v>
      </c>
      <c r="D14" s="67" t="inlineStr">
        <is>
          <t>1. Show the Developer tab if you haven't (see the guide).
2. Developer → Insert → Combo Box (Form Control) (Mac: Developer → Combo Box), then drag a box onto the Dashboard.
3. Right-click the combo box → Format Control → Control tab. Input range: Lists!$A$2:$A$5. Cell link: Calc!$C$12. Drop down lines: 4. Click OK.
4. Click a cell to deselect the control, then choose Ashby Falls Community Hospital.
Calc!C13 turns the number back into a name: =INDEX(Lists!$A$2:$A$5,Calc!C12).</t>
        </is>
      </c>
      <c r="E14" cm="1" s="68">
        <f t="array" ref="E14">MATCH("Ashby Falls Community Hospital",Lists!$A$2:$A$5,0)</f>
        <v/>
      </c>
      <c r="F14" s="19" t="inlineStr">
        <is>
          <t>A combo box writes the position of the chosen item, not its text: Ashby Falls Community Hospital is item 3 of the input range. INDEX(list, position) converts it back, which Calc!C13 does. To make the combo box drive the whole dashboard, point your formulas (or the SelFacility name) at that INDEX cell. A combo box floats above the grid, so it can't be typed over by accident, but it doesn't work in Excel for the web, and the position-number link breaks if someone re-sorts the list.</t>
        </is>
      </c>
    </row>
    <row r="15" ht="231" customHeight="1">
      <c r="A15" s="18" t="inlineStr">
        <is>
          <t>11</t>
        </is>
      </c>
      <c r="B15" s="19" t="inlineStr">
        <is>
          <t>On the Calc sheet, fill the yellow 12-month trend block. In B17:B28, return the 12 months ending at SelMonth, oldest first (use EDATE). In C17:C28, return ED visits for SelFacility in each of those months. Then select B16:C28, insert a line chart, and move it to the Dashboard. The gray cell totals your block: the trailing-12-month ED visits.</t>
        </is>
      </c>
      <c r="C15" s="66" t="n">
        <v>924</v>
      </c>
      <c r="D15" s="67" t="inlineStr">
        <is>
          <t>1. In Calc!B17 type =EDATE(SelMonth,ROWS(B$17:B17)-12) and copy it down to B28. The first row gives EDATE(SelMonth,-11) and the last gives SelMonth itself.
2. In C17 type =SUMIFS(tblKPI[EDVisits],tblKPI[Facility],SelFacility,tblKPI[Month],B17) and copy it down.
3. Select B16:C28 → Insert → Charts → Line. The corner cell B16 is blank on purpose, so Excel uses the months as the axis.
4. Cut the chart (Ctrl + X, Mac: ⌘ + X), click a cell on the Dashboard, and paste. The chart keeps pointing at Calc.
5. Change the selectors on the Dashboard and watch the line redraw.</t>
        </is>
      </c>
      <c r="E15" cm="1" s="68">
        <f t="array" ref="E15">SUMIFS(tblKPI[EDVisits],tblKPI[Facility],SelFacility,tblKPI[Month],"&gt;="&amp;EDATE(SelMonth,-11),tblKPI[Month],"&lt;="&amp;SelMonth)</f>
        <v/>
      </c>
      <c r="F15" s="19" t="inlineStr">
        <is>
          <t>The chart's series points at formula cells, and those cells point at the selectors, so one dropdown redraws the chart. The block for Cedar Ridge Medical Center runs Dec 2024–Nov 2025 and peaks at 87 visits in Feb 2025. In Microsoft 365 you can instead spill the months with =EDATE(SelMonth,SEQUENCE(12,1,-11)). A chart built from a spill keeps a fixed range, so if a spill can change size, chart it through a defined name that refers to it (for example =Calc!$B$17#). If you pick an early month, the window reaches back before January 2024 and SUMIFS returns 0. Wrapping it as IF(COUNTIFS(…)=0,NA(),SUMIFS(…)) makes the line chart leave a gap instead of plunging to zero.</t>
        </is>
      </c>
    </row>
    <row r="16" ht="276" customHeight="1">
      <c r="A16" s="18" t="inlineStr">
        <is>
          <t>12</t>
        </is>
      </c>
      <c r="B16" s="19" t="inlineStr">
        <is>
          <t>Insert a new sheet named Pivots. Build PivotTable 1 from tblKPI with Month in Rows and Sum of EDVisits in Values. Insert a Facility slicer and a Month timeline for it. Select Ashby Falls Community Hospital in the slicer, and select 2025 Q3 in the timeline (switch it to QUARTERS). What is PivotTable 1's grand total?</t>
        </is>
      </c>
      <c r="C16" s="66" t="n">
        <v>185</v>
      </c>
      <c r="D16" s="67" t="inlineStr">
        <is>
          <t>1. Click in tblKPI → Insert → PivotTable → New Worksheet → OK. Rename the sheet Pivots.
2. Drag Month to Rows and EDVisits to Values (Sum of EDVisits). Excel may group the dates into Years and Quarters. That's fine.
3. PivotTable Analyze → Insert Slicer → tick Facility → OK. Click Ashby Falls Community Hospital.
4. PivotTable Analyze → Insert Timeline → tick Month → OK. Set the time level to QUARTERS and click 2025 Q3.
5. Read the Grand Total.
Formula twin: =SUMIFS(tblKPI[EDVisits],tblKPI[Facility],"Ashby Falls Community Hospital",tblKPI[Month],"&gt;="&amp;DATE(2025,7,1),tblKPI[Month],"&lt;="&amp;DATE(2025,9,1))</t>
        </is>
      </c>
      <c r="E16" cm="1" s="68">
        <f t="array" ref="E16">SUMIFS(tblKPI[EDVisits],tblKPI[Facility],"Ashby Falls Community Hospital",tblKPI[Month],"&gt;="&amp;DATE(2025,7,1),tblKPI[Month],"&lt;="&amp;DATE(2025,9,1))</f>
        <v/>
      </c>
      <c r="F16" s="19" t="inlineStr">
        <is>
          <t>A slicer is a selector made of buttons, and a timeline is a selector for dates. Both filter the pivot they were inserted from. Visible selections are what make pivots dashboard-friendly: a Filters-area dropdown hides what's selected, but a slicer shows it. The formula twin proves the number: ED visits at Ashby Falls in July, August, and September 2025.</t>
        </is>
      </c>
    </row>
    <row r="17" ht="366" customHeight="1">
      <c r="A17" s="18" t="inlineStr">
        <is>
          <t>13</t>
        </is>
      </c>
      <c r="B17" s="19" t="inlineStr">
        <is>
          <t>On the Pivots sheet, build PivotTable 2 from tblKPI with Facility in Rows, plus Sum of LWBS and Sum of EDVisits in Values. Connect the slicer and the timeline to it (Report Connections). Then add a calculated field LWBSPct = LWBS / EDVisits. With Ashby Falls and 2025 Q3 still selected, what LWBS % does PivotTable 2 show? Enter it as a percentage.</t>
        </is>
      </c>
      <c r="C17" s="69" t="n">
        <v>0.01621621621621622</v>
      </c>
      <c r="D17" s="67" t="inlineStr">
        <is>
          <t>1. Click in tblKPI → Insert → PivotTable → Existing Worksheet, pick a cell on Pivots a few columns right of PivotTable 1 → OK.
2. Drag Facility to Rows, then LWBS and EDVisits to Values.
3. Select the Facility slicer → Slicer → Report Connections → tick both PivotTables → OK. Do the same for the timeline (Timeline → Report Connections). PivotTable 2 now shows only Ashby Falls, Q3 2025.
4. Click in PivotTable 2 → PivotTable Analyze → Fields, Items &amp; Sets → Calculated Field. Name: LWBSPct. Formula: =LWBS/EDVisits → Add → OK. Format it as a percentage.
Formula twin: =SUMIFS(tblKPI[LWBS],tblKPI[Facility],"Ashby Falls Community Hospital",tblKPI[Month],"&gt;="&amp;DATE(2025,7,1),tblKPI[Month],"&lt;="&amp;DATE(2025,9,1))/SUMIFS(tblKPI[EDVisits],tblKPI[Facility],"Ashby Falls Community Hospital",tblKPI[Month],"&gt;="&amp;DATE(2025,7,1),tblKPI[Month],"&lt;="&amp;DATE(2025,9,1))</t>
        </is>
      </c>
      <c r="E17" cm="1" s="70">
        <f t="array" ref="E17">SUMIFS(tblKPI[LWBS],tblKPI[Facility],"Ashby Falls Community Hospital",tblKPI[Month],"&gt;="&amp;DATE(2025,7,1),tblKPI[Month],"&lt;="&amp;DATE(2025,9,1))/SUMIFS(tblKPI[EDVisits],tblKPI[Facility],"Ashby Falls Community Hospital",tblKPI[Month],"&gt;="&amp;DATE(2025,7,1),tblKPI[Month],"&lt;="&amp;DATE(2025,9,1))</f>
        <v/>
      </c>
      <c r="F17" s="19" t="inlineStr">
        <is>
          <t>Report Connections is what lets one slicer filter several pivots. If you skipped it, PivotTable 2 would still show every hospital and month. A pivot calculated field sums each field first and then divides, so LWBSPct is total LWBS ÷ total visits for the quarter. That's exactly the right rate here: 1.62%. Averaging the three monthly rates would give 1.54%. Both pivots must come from the same source (tblKPI) to share a slicer.</t>
        </is>
      </c>
    </row>
  </sheetData>
  <mergeCells count="1">
    <mergeCell ref="A2:F2"/>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C00000"/>
    <outlinePr summaryBelow="1" summaryRight="1"/>
    <pageSetUpPr fitToPage="1"/>
  </sheetPr>
  <dimension ref="A1:F8"/>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63" t="inlineStr">
        <is>
          <t>🔑 Bonus Key — Lesson 4.6</t>
        </is>
      </c>
    </row>
    <row r="2" ht="32" customHeight="1">
      <c r="A2" s="64" t="inlineStr">
        <is>
          <t>Spoiler alert — try every task before reading this sheet. Column C is the value the Check column compares against. Column D is a sample solution; column E is that same formula, live, proving it works.</t>
        </is>
      </c>
    </row>
    <row r="4">
      <c r="A4" s="65" t="inlineStr">
        <is>
          <t>#</t>
        </is>
      </c>
      <c r="B4" s="65" t="inlineStr">
        <is>
          <t>Task</t>
        </is>
      </c>
      <c r="C4" s="65" t="inlineStr">
        <is>
          <t>Answer</t>
        </is>
      </c>
      <c r="D4" s="65" t="inlineStr">
        <is>
          <t>Sample solution</t>
        </is>
      </c>
      <c r="E4" s="65" t="inlineStr">
        <is>
          <t>Live result</t>
        </is>
      </c>
      <c r="F4" s="65" t="inlineStr">
        <is>
          <t>Explanation</t>
        </is>
      </c>
    </row>
    <row r="5" ht="171" customHeight="1">
      <c r="A5" s="18" t="inlineStr">
        <is>
          <t>B1</t>
        </is>
      </c>
      <c r="B5" s="19" t="inlineStr">
        <is>
          <t>Set your Board dashboard to All facilities and Oct 2025. What is the system-wide 30-day readmission rate? Enter it as a percentage.</t>
        </is>
      </c>
      <c r="C5" s="69" t="n">
        <v>0.1895734597156398</v>
      </c>
      <c r="D5" s="67" t="inlineStr">
        <is>
          <t>1. Make a helper cell named FacCrit: =IF(BoardFacility="All facilities","*",BoardFacility).
2. The readmission card's value:
=SUMIFS(tblKPI[Readmits],tblKPI[Facility],FacCrit,tblKPI[Month],BoardMonth)/SUMIFS(tblKPI[IndexStays],tblKPI[Facility],FacCrit,tblKPI[Month],BoardMonth)</t>
        </is>
      </c>
      <c r="E5" cm="1" s="70">
        <f t="array" ref="E5">SUMIFS(tblKPI[Readmits],tblKPI[Facility],"*",tblKPI[Month],DATE(2025,10,1))/SUMIFS(tblKPI[IndexStays],tblKPI[Facility],"*",tblKPI[Month],DATE(2025,10,1))</f>
        <v/>
      </c>
      <c r="F5" s="19" t="inlineStr">
        <is>
          <t>40 readmissions ÷ 211 index stays = 18.96%. No row in tblKPI says "All facilities", so SUMIFS with that text returns 0. The wildcard * matches any text, so the same SUMIFS adds all three hospitals. Every additive component works this way, and every rate is then rebuilt as total ÷ total.</t>
        </is>
      </c>
    </row>
    <row r="6" ht="409" customHeight="1">
      <c r="A6" s="18" t="inlineStr">
        <is>
          <t>B2</t>
        </is>
      </c>
      <c r="B6" s="19" t="inlineStr">
        <is>
          <t>With All facilities and Oct 2025 still selected, how many of the seven KPIs are on target? Use the Targets sheet's rule: on target means at or below a lower-is-better target, or at or above a higher-is-better one, so a value exactly equal to its target counts as on target.</t>
        </is>
      </c>
      <c r="C6" s="66" t="n">
        <v>3</v>
      </c>
      <c r="D6" s="67" t="inlineStr">
        <is>
          <t>Give each card a numeric status cell, for example for LWBS:
=IF(ISNUMBER(val),--IF(dir="Lower is better",val&lt;=tgt,val&gt;=tgt),"")
Then the scorecard is =SUM(statuses)&amp;" of "&amp;COUNT(statuses)&amp;" KPIs on target".
The system values for this month:
| KPI | Value | Target | Status |
|---|---|---|---|
| LWBS % | 1.4% | ≤ 2.0% | ✔ On target |
| Median door-to-provider | 38.0 min | ≤ 30.0 min | ✘ Off target |
| ALOS | 4.54 days | ≤ 4.50 days | ✘ Off target |
| 30-day readmission rate | 19.0% | ≤ 15.0% | ✘ Off target |
| Occupancy % | 79.1% | ≤ 85.0% | ✔ On target |
| HCAHPS top-box % | 50.0% | ≥ 50.0% | ✔ On target |
| Denial rate | 14.3% | ≤ 10.0% | ✘ Off target |</t>
        </is>
      </c>
      <c r="E6" cm="1" s="68">
        <f t="array" ref="E6">_xlfn.LET(_xlpm.m,DATE(2025,10,1),_xlpm.lwbs,SUMIFS(tblKPI[LWBS],tblKPI[Month],_xlpm.m)/SUMIFS(tblKPI[EDVisits],tblKPI[Month],_xlpm.m),_xlpm.dtp,MEDIAN(_xlfn._xlws.FILTER(tblEDWaits[DoorToProviderMin],(tblEDWaits[ArrivalDateTime]&gt;=_xlpm.m)*(tblEDWaits[ArrivalDateTime]&lt;EDATE(_xlpm.m,1)))),_xlpm.alos,SUMIFS(tblKPI[LOSDays],tblKPI[Month],_xlpm.m)/SUMIFS(tblKPI[IPDischarges],tblKPI[Month],_xlpm.m),_xlpm.readm,SUMIFS(tblKPI[Readmits],tblKPI[Month],_xlpm.m)/SUMIFS(tblKPI[IndexStays],tblKPI[Month],_xlpm.m),_xlpm.occ,SUMIFS(tblKPI[PatientDays],tblKPI[Month],_xlpm.m)/SUMIFS(tblKPI[BedDays],tblKPI[Month],_xlpm.m),_xlpm.tbox,SUMIFS(tblKPI[TopBox],tblKPI[Month],_xlpm.m)/SUMIFS(tblKPI[Surveys],tblKPI[Month],_xlpm.m),_xlpm.den,SUMIFS(tblKPI[ClaimsDenied],tblKPI[Month],_xlpm.m)/SUMIFS(tblKPI[ClaimsAdjudicated],tblKPI[Month],_xlpm.m),_xlpm.tg,tblTargets[Target],(_xlpm.lwbs&lt;=INDEX(_xlpm.tg,1))+(_xlpm.dtp&lt;=INDEX(_xlpm.tg,2))+(_xlpm.alos&lt;=INDEX(_xlpm.tg,3))+(_xlpm.readm&lt;=INDEX(_xlpm.tg,4))+(_xlpm.occ&lt;=INDEX(_xlpm.tg,5))+(_xlpm.tbox&gt;=INDEX(_xlpm.tg,6))+(_xlpm.den&lt;=INDEX(_xlpm.tg,7)))</f>
        <v/>
      </c>
      <c r="F6" s="19" t="inlineStr">
        <is>
          <t>3 of 7. The median door-to-provider must come from tblEDWaits, because the three hospital medians can't be combined. HCAHPS top-box is the one higher-is-better KPI, and this month it lands at exactly 50.0%: on target with &gt;=, off target with &gt;. Decide ties in the KPI dictionary, not in each formula. Status cells that return 1 or 0 (not text) make the scorecard a plain SUM and make conditional formatting rules simple.</t>
        </is>
      </c>
    </row>
    <row r="7" ht="186" customHeight="1">
      <c r="A7" s="18" t="inlineStr">
        <is>
          <t>B3</t>
        </is>
      </c>
      <c r="B7" s="19" t="inlineStr">
        <is>
          <t>Keep Oct 2025 and switch the Facility dropdown to each hospital in turn. Which hospital has the fewest KPIs on target?</t>
        </is>
      </c>
      <c r="C7" s="66" t="inlineStr">
        <is>
          <t>Bluestone Memorial Hospital</t>
        </is>
      </c>
      <c r="D7" s="67" t="inlineStr">
        <is>
          <t>Read the scorecard line after each switch:
| Hospital | On target |
|---|---|
| Bluestone Memorial Hospital | 2 of 7 |
| Ashby Falls Community Hospital | 5 of 7 |
| Cedar Ridge Medical Center | 4 of 7 |
The Dashboard Key's model area has this comparison table (columns N–V), with =INDEX(N42:N44,MATCH(MIN(V42:V44),V42:V44,0)) picking the lowest.</t>
        </is>
      </c>
      <c r="E7" cm="1" s="68">
        <f t="array" ref="E7">'Dashboard Key'!$O$46</f>
        <v/>
      </c>
      <c r="F7" s="19" t="inlineStr">
        <is>
          <t>Bluestone Memorial Hospital meets 2 of 7 targets in Oct 2025. A selector-driven dashboard answers "which hospital?" in a few clicks without a separate report per hospital. The large hospital being furthest off target is also why the system-wide scorecard lands where it does: its volumes dominate every total ÷ total rate.</t>
        </is>
      </c>
    </row>
    <row r="8" ht="231" customHeight="1">
      <c r="A8" s="18" t="inlineStr">
        <is>
          <t>B4</t>
        </is>
      </c>
      <c r="B8" s="19" t="inlineStr">
        <is>
          <t>Back on All facilities and Oct 2025, your 12-month LWBS % trend runs Nov 2024–Oct 2025. In which month was the system-wide LWBS % highest? Enter the first day of that month as a date.</t>
        </is>
      </c>
      <c r="C8" s="75" t="n">
        <v>45627</v>
      </c>
      <c r="D8" s="67" t="inlineStr">
        <is>
          <t>Trend block on the Board sheet (12 rows): month =EDATE(BoardMonth,ROWS(first:current)-12), and the rate:
=IFERROR(SUMIFS(tblKPI[LWBS],tblKPI[Facility],FacCrit,tblKPI[Month],month)
  /SUMIFS(tblKPI[EDVisits],tblKPI[Facility],FacCrit,tblKPI[Month],month),NA())
Then =INDEX(months,MATCH(AGGREGATE(4,6,rates),rates,0)). AGGREGATE(4,6,…) is MAX that skips error values, so the #N/A gaps of an early month can't break it.</t>
        </is>
      </c>
      <c r="E8" cm="1" s="76">
        <f t="array" ref="E8">'Dashboard Key'!$O$36</f>
        <v/>
      </c>
      <c r="F8" s="19" t="inlineStr">
        <is>
          <t>December 2024 peaks at 2.90%, against a target of 2%. Every other month in the window is lower. A target line on the chart (a second series that repeats the target in every row) makes the misses visible at a glance, and the dynamic title tells the reader which facility and months they're looking at.</t>
        </is>
      </c>
    </row>
  </sheetData>
  <mergeCells count="1">
    <mergeCell ref="A2:F2"/>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C00000"/>
    <outlinePr summaryBelow="1" summaryRight="1"/>
    <pageSetUpPr fitToPage="1"/>
  </sheetPr>
  <dimension ref="B1:V46"/>
  <sheetViews>
    <sheetView showGridLines="0" showRowColHeaders="0" tabSelected="0" zoomScale="90" workbookViewId="0">
      <selection activeCell="A1" sqref="A1"/>
    </sheetView>
  </sheetViews>
  <sheetFormatPr baseColWidth="8" defaultRowHeight="15"/>
  <cols>
    <col width="2" customWidth="1" min="1" max="1"/>
    <col width="14" customWidth="1" min="2" max="2"/>
    <col width="17" customWidth="1" min="3" max="3"/>
    <col width="2" customWidth="1" min="4" max="4"/>
    <col width="14" customWidth="1" min="5" max="5"/>
    <col width="17" customWidth="1" min="6" max="6"/>
    <col width="2" customWidth="1" min="7" max="7"/>
    <col width="14" customWidth="1" min="8" max="8"/>
    <col width="17" customWidth="1" min="9" max="9"/>
    <col width="2" customWidth="1" min="10" max="10"/>
    <col width="14" customWidth="1" min="11" max="11"/>
    <col width="17" customWidth="1" min="12" max="12"/>
    <col width="4" customWidth="1" min="13" max="13"/>
    <col width="32"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B1" s="77" t="inlineStr">
        <is>
          <t>Bluestone Health · Hospital Operations Dashboard</t>
        </is>
      </c>
      <c r="N1" s="78" t="inlineStr">
        <is>
          <t>MODEL  ·  on a real dashboard this lives on its own (hidden) Calc sheet</t>
        </is>
      </c>
    </row>
    <row r="2">
      <c r="B2" cm="1" s="3">
        <f t="array" ref="B2">"Selection: "&amp;$C$4&amp;"  ·  "&amp;TEXT($C$5,"mmmm yyyy")&amp;"  ·  reference build for the Lesson 4.6 bonus"</f>
        <v/>
      </c>
    </row>
    <row r="3">
      <c r="N3" s="39" t="inlineStr">
        <is>
          <t>Facility criterion</t>
        </is>
      </c>
      <c r="O3" cm="1" s="39">
        <f t="array" ref="O3">IF($C$4="All facilities","*",$C$4)</f>
        <v/>
      </c>
    </row>
    <row r="4" ht="20" customHeight="1">
      <c r="B4" s="49" t="inlineStr">
        <is>
          <t>Facility</t>
        </is>
      </c>
      <c r="C4" s="79" t="inlineStr">
        <is>
          <t>All facilities</t>
        </is>
      </c>
      <c r="H4" cm="1" s="80">
        <f t="array" ref="H4">$O$18&amp;" of "&amp;$P$18&amp;" KPIs on target"</f>
        <v/>
      </c>
      <c r="N4" s="39" t="inlineStr">
        <is>
          <t>Month</t>
        </is>
      </c>
      <c r="O4" cm="1" s="81">
        <f t="array" ref="O4">$C$5</f>
        <v/>
      </c>
    </row>
    <row r="5" ht="20" customHeight="1">
      <c r="B5" s="49" t="inlineStr">
        <is>
          <t>Month</t>
        </is>
      </c>
      <c r="C5" s="82" t="n">
        <v>45931</v>
      </c>
      <c r="N5" s="39" t="inlineStr">
        <is>
          <t>Same month last year</t>
        </is>
      </c>
      <c r="O5" cm="1" s="81">
        <f t="array" ref="O5">EDATE($O$4,-12)</f>
        <v/>
      </c>
    </row>
    <row r="6">
      <c r="N6" s="39" t="inlineStr">
        <is>
          <t>Month end (exclusive)</t>
        </is>
      </c>
      <c r="O6" cm="1" s="83">
        <f t="array" ref="O6">EDATE($O$4,1)</f>
        <v/>
      </c>
    </row>
    <row r="7">
      <c r="B7" s="32" t="inlineStr">
        <is>
          <t>ED VISITS</t>
        </is>
      </c>
      <c r="C7" s="33" t="n"/>
      <c r="E7" s="32" t="inlineStr">
        <is>
          <t>LWBS %</t>
        </is>
      </c>
      <c r="F7" s="33" t="n"/>
      <c r="H7" s="32" t="inlineStr">
        <is>
          <t>MEDIAN DOOR-TO-PROVIDER</t>
        </is>
      </c>
      <c r="I7" s="33" t="n"/>
      <c r="K7" s="32" t="inlineStr">
        <is>
          <t>ALOS</t>
        </is>
      </c>
      <c r="L7" s="33" t="n"/>
      <c r="N7" s="39" t="inlineStr">
        <is>
          <t>Last year's month end (exclusive)</t>
        </is>
      </c>
      <c r="O7" cm="1" s="83">
        <f t="array" ref="O7">EDATE($O$5,1)</f>
        <v/>
      </c>
    </row>
    <row r="8" ht="34" customHeight="1">
      <c r="B8" cm="1" s="84">
        <f t="array" ref="B8">$O$10</f>
        <v/>
      </c>
      <c r="C8" s="85" t="n"/>
      <c r="E8" cm="1" s="86">
        <f t="array" ref="E8">$O$11</f>
        <v/>
      </c>
      <c r="F8" s="85" t="n"/>
      <c r="H8" cm="1" s="87">
        <f t="array" ref="H8">$O$12</f>
        <v/>
      </c>
      <c r="I8" s="85" t="n"/>
      <c r="K8" cm="1" s="88">
        <f t="array" ref="K8">$O$13</f>
        <v/>
      </c>
      <c r="L8" s="85" t="n"/>
    </row>
    <row r="9">
      <c r="B9" s="89" t="inlineStr">
        <is>
          <t>Target</t>
        </is>
      </c>
      <c r="C9" s="90" t="inlineStr">
        <is>
          <t>—</t>
        </is>
      </c>
      <c r="E9" s="89" t="inlineStr">
        <is>
          <t>Target</t>
        </is>
      </c>
      <c r="F9" cm="1" s="90">
        <f t="array" ref="F9">IF($R$11="Lower is better","≤ ","≥ ")&amp;TEXT($Q$11,"0.0%")&amp;""</f>
        <v/>
      </c>
      <c r="H9" s="89" t="inlineStr">
        <is>
          <t>Target</t>
        </is>
      </c>
      <c r="I9" cm="1" s="90">
        <f t="array" ref="I9">IF($R$12="Lower is better","≤ ","≥ ")&amp;TEXT($Q$12,"0")&amp;" min"</f>
        <v/>
      </c>
      <c r="K9" s="89" t="inlineStr">
        <is>
          <t>Target</t>
        </is>
      </c>
      <c r="L9" cm="1" s="90">
        <f t="array" ref="L9">IF($R$13="Lower is better","≤ ","≥ ")&amp;TEXT($Q$13,"0.0")&amp;" days"</f>
        <v/>
      </c>
      <c r="N9" s="32" t="inlineStr">
        <is>
          <t>KPI</t>
        </is>
      </c>
      <c r="O9" s="32" t="inlineStr">
        <is>
          <t>This month</t>
        </is>
      </c>
      <c r="P9" s="32" t="inlineStr">
        <is>
          <t>Last year</t>
        </is>
      </c>
      <c r="Q9" s="32" t="inlineStr">
        <is>
          <t>Target</t>
        </is>
      </c>
      <c r="R9" s="32" t="inlineStr">
        <is>
          <t>Direction</t>
        </is>
      </c>
      <c r="S9" s="32" t="inlineStr">
        <is>
          <t>On target (1/0)</t>
        </is>
      </c>
    </row>
    <row r="10">
      <c r="B10" s="89" t="inlineStr">
        <is>
          <t>Status</t>
        </is>
      </c>
      <c r="C10" s="90" t="inlineStr">
        <is>
          <t>—</t>
        </is>
      </c>
      <c r="E10" s="89" t="inlineStr">
        <is>
          <t>Status</t>
        </is>
      </c>
      <c r="F10" cm="1" s="90">
        <f t="array" ref="F10">IF(ISNUMBER($S$11),IF($S$11=1,"✔ On target","✘ Off target"),"n/a")</f>
        <v/>
      </c>
      <c r="H10" s="89" t="inlineStr">
        <is>
          <t>Status</t>
        </is>
      </c>
      <c r="I10" cm="1" s="90">
        <f t="array" ref="I10">IF(ISNUMBER($S$12),IF($S$12=1,"✔ On target","✘ Off target"),"n/a")</f>
        <v/>
      </c>
      <c r="K10" s="89" t="inlineStr">
        <is>
          <t>Status</t>
        </is>
      </c>
      <c r="L10" cm="1" s="90">
        <f t="array" ref="L10">IF(ISNUMBER($S$13),IF($S$13=1,"✔ On target","✘ Off target"),"n/a")</f>
        <v/>
      </c>
      <c r="N10" s="39" t="inlineStr">
        <is>
          <t>ED visits</t>
        </is>
      </c>
      <c r="O10" cm="1" s="91">
        <f t="array" ref="O10">SUMIFS(tblKPI[EDVisits],tblKPI[Facility],$O$3,tblKPI[Month],$O$4)</f>
        <v/>
      </c>
      <c r="P10" cm="1" s="91">
        <f t="array" ref="P10">SUMIFS(tblKPI[EDVisits],tblKPI[Facility],$O$3,tblKPI[Month],$O$5)</f>
        <v/>
      </c>
      <c r="Q10" s="39" t="n"/>
      <c r="R10" s="39" t="n"/>
      <c r="S10" s="39" t="n"/>
    </row>
    <row r="11">
      <c r="B11" s="89" t="inlineStr">
        <is>
          <t>vs last year</t>
        </is>
      </c>
      <c r="C11" cm="1" s="90">
        <f t="array" ref="C11">IF(AND(AND(ISNUMBER($O$10),ISNUMBER($P$10)),$P$10&lt;&gt;0),IF($O$10&gt;$P$10,_xlfn.UNICHAR(9650),IF($O$10&lt;$P$10,_xlfn.UNICHAR(9660),_xlfn.UNICHAR(9644)))&amp;" "&amp;TEXT(ABS($O$10/$P$10-1),"0.0%"),"n/a")</f>
        <v/>
      </c>
      <c r="E11" s="89" t="inlineStr">
        <is>
          <t>vs last year</t>
        </is>
      </c>
      <c r="F11" cm="1" s="90">
        <f t="array" ref="F11">IF(AND(ISNUMBER($O$11),ISNUMBER($P$11)),IF($O$11&gt;$P$11,_xlfn.UNICHAR(9650),IF($O$11&lt;$P$11,_xlfn.UNICHAR(9660),_xlfn.UNICHAR(9644)))&amp;" "&amp;TEXT(ABS($O$11-$P$11)*100,"0.0")&amp;" pts","n/a")</f>
        <v/>
      </c>
      <c r="H11" s="89" t="inlineStr">
        <is>
          <t>vs last year</t>
        </is>
      </c>
      <c r="I11" cm="1" s="90">
        <f t="array" ref="I11">IF(AND(ISNUMBER($O$12),ISNUMBER($P$12)),IF($O$12&gt;$P$12,_xlfn.UNICHAR(9650),IF($O$12&lt;$P$12,_xlfn.UNICHAR(9660),_xlfn.UNICHAR(9644)))&amp;" "&amp;TEXT(ABS($O$12-$P$12),"0.0")&amp;" min","n/a")</f>
        <v/>
      </c>
      <c r="K11" s="89" t="inlineStr">
        <is>
          <t>vs last year</t>
        </is>
      </c>
      <c r="L11" cm="1" s="90">
        <f t="array" ref="L11">IF(AND(ISNUMBER($O$13),ISNUMBER($P$13)),IF($O$13&gt;$P$13,_xlfn.UNICHAR(9650),IF($O$13&lt;$P$13,_xlfn.UNICHAR(9660),_xlfn.UNICHAR(9644)))&amp;" "&amp;TEXT(ABS($O$13-$P$13),"0.00")&amp;" days","n/a")</f>
        <v/>
      </c>
      <c r="N11" s="39" t="inlineStr">
        <is>
          <t>LWBS %</t>
        </is>
      </c>
      <c r="O11" cm="1" s="92">
        <f t="array" ref="O11">IFERROR(SUMIFS(tblKPI[LWBS],tblKPI[Facility],$O$3,tblKPI[Month],$O$4)/SUMIFS(tblKPI[EDVisits],tblKPI[Facility],$O$3,tblKPI[Month],$O$4),"n/a")</f>
        <v/>
      </c>
      <c r="P11" cm="1" s="92">
        <f t="array" ref="P11">IFERROR(SUMIFS(tblKPI[LWBS],tblKPI[Facility],$O$3,tblKPI[Month],$O$5)/SUMIFS(tblKPI[EDVisits],tblKPI[Facility],$O$3,tblKPI[Month],$O$5),"n/a")</f>
        <v/>
      </c>
      <c r="Q11" cm="1" s="92">
        <f t="array" ref="Q11">_xlfn.XLOOKUP($N11,tblTargets[KPI],tblTargets[Target])</f>
        <v/>
      </c>
      <c r="R11" cm="1" s="39">
        <f t="array" ref="R11">_xlfn.XLOOKUP($N11,tblTargets[KPI],tblTargets[Direction])</f>
        <v/>
      </c>
      <c r="S11" cm="1" s="39">
        <f t="array" ref="S11">IF(ISNUMBER(O11),--IF(R11="Lower is better",O11&lt;=Q11,O11&gt;=Q11),"")</f>
        <v/>
      </c>
    </row>
    <row r="12">
      <c r="N12" s="39" t="inlineStr">
        <is>
          <t>Median door-to-provider</t>
        </is>
      </c>
      <c r="O12" cm="1" s="93">
        <f t="array" ref="O12">IFERROR(MEDIAN(_xlfn._xlws.FILTER(tblEDWaits[DoorToProviderMin],(tblEDWaits[ArrivalDateTime]&gt;=$O$4)*(tblEDWaits[ArrivalDateTime]&lt;$O$6)*((tblEDWaits[Facility]=$C$4)+($C$4="All facilities")))),"n/a")</f>
        <v/>
      </c>
      <c r="P12" cm="1" s="93">
        <f t="array" ref="P12">IFERROR(MEDIAN(_xlfn._xlws.FILTER(tblEDWaits[DoorToProviderMin],(tblEDWaits[ArrivalDateTime]&gt;=$O$5)*(tblEDWaits[ArrivalDateTime]&lt;$O$7)*((tblEDWaits[Facility]=$C$4)+($C$4="All facilities")))),"n/a")</f>
        <v/>
      </c>
      <c r="Q12" cm="1" s="93">
        <f t="array" ref="Q12">_xlfn.XLOOKUP($N12,tblTargets[KPI],tblTargets[Target])</f>
        <v/>
      </c>
      <c r="R12" cm="1" s="39">
        <f t="array" ref="R12">_xlfn.XLOOKUP($N12,tblTargets[KPI],tblTargets[Direction])</f>
        <v/>
      </c>
      <c r="S12" cm="1" s="39">
        <f t="array" ref="S12">IF(ISNUMBER(O12),--IF(R12="Lower is better",O12&lt;=Q12,O12&gt;=Q12),"")</f>
        <v/>
      </c>
    </row>
    <row r="13">
      <c r="B13" s="32" t="inlineStr">
        <is>
          <t>30-DAY READMISSION RATE</t>
        </is>
      </c>
      <c r="C13" s="33" t="n"/>
      <c r="E13" s="32" t="inlineStr">
        <is>
          <t>OCCUPANCY %</t>
        </is>
      </c>
      <c r="F13" s="33" t="n"/>
      <c r="H13" s="32" t="inlineStr">
        <is>
          <t>HCAHPS TOP-BOX %</t>
        </is>
      </c>
      <c r="I13" s="33" t="n"/>
      <c r="K13" s="32" t="inlineStr">
        <is>
          <t>DENIAL RATE</t>
        </is>
      </c>
      <c r="L13" s="33" t="n"/>
      <c r="N13" s="39" t="inlineStr">
        <is>
          <t>ALOS</t>
        </is>
      </c>
      <c r="O13" cm="1" s="94">
        <f t="array" ref="O13">IFERROR(SUMIFS(tblKPI[LOSDays],tblKPI[Facility],$O$3,tblKPI[Month],$O$4)/SUMIFS(tblKPI[IPDischarges],tblKPI[Facility],$O$3,tblKPI[Month],$O$4),"n/a")</f>
        <v/>
      </c>
      <c r="P13" cm="1" s="94">
        <f t="array" ref="P13">IFERROR(SUMIFS(tblKPI[LOSDays],tblKPI[Facility],$O$3,tblKPI[Month],$O$5)/SUMIFS(tblKPI[IPDischarges],tblKPI[Facility],$O$3,tblKPI[Month],$O$5),"n/a")</f>
        <v/>
      </c>
      <c r="Q13" cm="1" s="94">
        <f t="array" ref="Q13">_xlfn.XLOOKUP($N13,tblTargets[KPI],tblTargets[Target])</f>
        <v/>
      </c>
      <c r="R13" cm="1" s="39">
        <f t="array" ref="R13">_xlfn.XLOOKUP($N13,tblTargets[KPI],tblTargets[Direction])</f>
        <v/>
      </c>
      <c r="S13" cm="1" s="39">
        <f t="array" ref="S13">IF(ISNUMBER(O13),--IF(R13="Lower is better",O13&lt;=Q13,O13&gt;=Q13),"")</f>
        <v/>
      </c>
    </row>
    <row r="14" ht="34" customHeight="1">
      <c r="B14" cm="1" s="86">
        <f t="array" ref="B14">$O$14</f>
        <v/>
      </c>
      <c r="C14" s="85" t="n"/>
      <c r="E14" cm="1" s="86">
        <f t="array" ref="E14">$O$15</f>
        <v/>
      </c>
      <c r="F14" s="85" t="n"/>
      <c r="H14" cm="1" s="86">
        <f t="array" ref="H14">$O$16</f>
        <v/>
      </c>
      <c r="I14" s="85" t="n"/>
      <c r="K14" cm="1" s="86">
        <f t="array" ref="K14">$O$17</f>
        <v/>
      </c>
      <c r="L14" s="85" t="n"/>
      <c r="N14" s="39" t="inlineStr">
        <is>
          <t>30-day readmission rate</t>
        </is>
      </c>
      <c r="O14" cm="1" s="92">
        <f t="array" ref="O14">IFERROR(SUMIFS(tblKPI[Readmits],tblKPI[Facility],$O$3,tblKPI[Month],$O$4)/SUMIFS(tblKPI[IndexStays],tblKPI[Facility],$O$3,tblKPI[Month],$O$4),"n/a")</f>
        <v/>
      </c>
      <c r="P14" cm="1" s="92">
        <f t="array" ref="P14">IFERROR(SUMIFS(tblKPI[Readmits],tblKPI[Facility],$O$3,tblKPI[Month],$O$5)/SUMIFS(tblKPI[IndexStays],tblKPI[Facility],$O$3,tblKPI[Month],$O$5),"n/a")</f>
        <v/>
      </c>
      <c r="Q14" cm="1" s="92">
        <f t="array" ref="Q14">_xlfn.XLOOKUP($N14,tblTargets[KPI],tblTargets[Target])</f>
        <v/>
      </c>
      <c r="R14" cm="1" s="39">
        <f t="array" ref="R14">_xlfn.XLOOKUP($N14,tblTargets[KPI],tblTargets[Direction])</f>
        <v/>
      </c>
      <c r="S14" cm="1" s="39">
        <f t="array" ref="S14">IF(ISNUMBER(O14),--IF(R14="Lower is better",O14&lt;=Q14,O14&gt;=Q14),"")</f>
        <v/>
      </c>
    </row>
    <row r="15">
      <c r="B15" s="89" t="inlineStr">
        <is>
          <t>Target</t>
        </is>
      </c>
      <c r="C15" cm="1" s="90">
        <f t="array" ref="C15">IF($R$14="Lower is better","≤ ","≥ ")&amp;TEXT($Q$14,"0.0%")&amp;""</f>
        <v/>
      </c>
      <c r="E15" s="89" t="inlineStr">
        <is>
          <t>Target</t>
        </is>
      </c>
      <c r="F15" cm="1" s="90">
        <f t="array" ref="F15">IF($R$15="Lower is better","≤ ","≥ ")&amp;TEXT($Q$15,"0.0%")&amp;""</f>
        <v/>
      </c>
      <c r="H15" s="89" t="inlineStr">
        <is>
          <t>Target</t>
        </is>
      </c>
      <c r="I15" cm="1" s="90">
        <f t="array" ref="I15">IF($R$16="Lower is better","≤ ","≥ ")&amp;TEXT($Q$16,"0.0%")&amp;""</f>
        <v/>
      </c>
      <c r="K15" s="89" t="inlineStr">
        <is>
          <t>Target</t>
        </is>
      </c>
      <c r="L15" cm="1" s="90">
        <f t="array" ref="L15">IF($R$17="Lower is better","≤ ","≥ ")&amp;TEXT($Q$17,"0.0%")&amp;""</f>
        <v/>
      </c>
      <c r="N15" s="39" t="inlineStr">
        <is>
          <t>Occupancy %</t>
        </is>
      </c>
      <c r="O15" cm="1" s="92">
        <f t="array" ref="O15">IFERROR(SUMIFS(tblKPI[PatientDays],tblKPI[Facility],$O$3,tblKPI[Month],$O$4)/SUMIFS(tblKPI[BedDays],tblKPI[Facility],$O$3,tblKPI[Month],$O$4),"n/a")</f>
        <v/>
      </c>
      <c r="P15" cm="1" s="92">
        <f t="array" ref="P15">IFERROR(SUMIFS(tblKPI[PatientDays],tblKPI[Facility],$O$3,tblKPI[Month],$O$5)/SUMIFS(tblKPI[BedDays],tblKPI[Facility],$O$3,tblKPI[Month],$O$5),"n/a")</f>
        <v/>
      </c>
      <c r="Q15" cm="1" s="92">
        <f t="array" ref="Q15">_xlfn.XLOOKUP($N15,tblTargets[KPI],tblTargets[Target])</f>
        <v/>
      </c>
      <c r="R15" cm="1" s="39">
        <f t="array" ref="R15">_xlfn.XLOOKUP($N15,tblTargets[KPI],tblTargets[Direction])</f>
        <v/>
      </c>
      <c r="S15" cm="1" s="39">
        <f t="array" ref="S15">IF(ISNUMBER(O15),--IF(R15="Lower is better",O15&lt;=Q15,O15&gt;=Q15),"")</f>
        <v/>
      </c>
    </row>
    <row r="16">
      <c r="B16" s="89" t="inlineStr">
        <is>
          <t>Status</t>
        </is>
      </c>
      <c r="C16" cm="1" s="90">
        <f t="array" ref="C16">IF(ISNUMBER($S$14),IF($S$14=1,"✔ On target","✘ Off target"),"n/a")</f>
        <v/>
      </c>
      <c r="E16" s="89" t="inlineStr">
        <is>
          <t>Status</t>
        </is>
      </c>
      <c r="F16" cm="1" s="90">
        <f t="array" ref="F16">IF(ISNUMBER($S$15),IF($S$15=1,"✔ On target","✘ Off target"),"n/a")</f>
        <v/>
      </c>
      <c r="H16" s="89" t="inlineStr">
        <is>
          <t>Status</t>
        </is>
      </c>
      <c r="I16" cm="1" s="90">
        <f t="array" ref="I16">IF(ISNUMBER($S$16),IF($S$16=1,"✔ On target","✘ Off target"),"n/a")</f>
        <v/>
      </c>
      <c r="K16" s="89" t="inlineStr">
        <is>
          <t>Status</t>
        </is>
      </c>
      <c r="L16" cm="1" s="90">
        <f t="array" ref="L16">IF(ISNUMBER($S$17),IF($S$17=1,"✔ On target","✘ Off target"),"n/a")</f>
        <v/>
      </c>
      <c r="N16" s="39" t="inlineStr">
        <is>
          <t>HCAHPS top-box %</t>
        </is>
      </c>
      <c r="O16" cm="1" s="92">
        <f t="array" ref="O16">IFERROR(SUMIFS(tblKPI[TopBox],tblKPI[Facility],$O$3,tblKPI[Month],$O$4)/SUMIFS(tblKPI[Surveys],tblKPI[Facility],$O$3,tblKPI[Month],$O$4),"n/a")</f>
        <v/>
      </c>
      <c r="P16" cm="1" s="92">
        <f t="array" ref="P16">IFERROR(SUMIFS(tblKPI[TopBox],tblKPI[Facility],$O$3,tblKPI[Month],$O$5)/SUMIFS(tblKPI[Surveys],tblKPI[Facility],$O$3,tblKPI[Month],$O$5),"n/a")</f>
        <v/>
      </c>
      <c r="Q16" cm="1" s="92">
        <f t="array" ref="Q16">_xlfn.XLOOKUP($N16,tblTargets[KPI],tblTargets[Target])</f>
        <v/>
      </c>
      <c r="R16" cm="1" s="39">
        <f t="array" ref="R16">_xlfn.XLOOKUP($N16,tblTargets[KPI],tblTargets[Direction])</f>
        <v/>
      </c>
      <c r="S16" cm="1" s="39">
        <f t="array" ref="S16">IF(ISNUMBER(O16),--IF(R16="Lower is better",O16&lt;=Q16,O16&gt;=Q16),"")</f>
        <v/>
      </c>
    </row>
    <row r="17">
      <c r="B17" s="89" t="inlineStr">
        <is>
          <t>vs last year</t>
        </is>
      </c>
      <c r="C17" cm="1" s="90">
        <f t="array" ref="C17">IF(AND(ISNUMBER($O$14),ISNUMBER($P$14)),IF($O$14&gt;$P$14,_xlfn.UNICHAR(9650),IF($O$14&lt;$P$14,_xlfn.UNICHAR(9660),_xlfn.UNICHAR(9644)))&amp;" "&amp;TEXT(ABS($O$14-$P$14)*100,"0.0")&amp;" pts","n/a")</f>
        <v/>
      </c>
      <c r="E17" s="89" t="inlineStr">
        <is>
          <t>vs last year</t>
        </is>
      </c>
      <c r="F17" cm="1" s="90">
        <f t="array" ref="F17">IF(AND(ISNUMBER($O$15),ISNUMBER($P$15)),IF($O$15&gt;$P$15,_xlfn.UNICHAR(9650),IF($O$15&lt;$P$15,_xlfn.UNICHAR(9660),_xlfn.UNICHAR(9644)))&amp;" "&amp;TEXT(ABS($O$15-$P$15)*100,"0.0")&amp;" pts","n/a")</f>
        <v/>
      </c>
      <c r="H17" s="89" t="inlineStr">
        <is>
          <t>vs last year</t>
        </is>
      </c>
      <c r="I17" cm="1" s="90">
        <f t="array" ref="I17">IF(AND(ISNUMBER($O$16),ISNUMBER($P$16)),IF($O$16&gt;$P$16,_xlfn.UNICHAR(9650),IF($O$16&lt;$P$16,_xlfn.UNICHAR(9660),_xlfn.UNICHAR(9644)))&amp;" "&amp;TEXT(ABS($O$16-$P$16)*100,"0.0")&amp;" pts","n/a")</f>
        <v/>
      </c>
      <c r="K17" s="89" t="inlineStr">
        <is>
          <t>vs last year</t>
        </is>
      </c>
      <c r="L17" cm="1" s="90">
        <f t="array" ref="L17">IF(AND(ISNUMBER($O$17),ISNUMBER($P$17)),IF($O$17&gt;$P$17,_xlfn.UNICHAR(9650),IF($O$17&lt;$P$17,_xlfn.UNICHAR(9660),_xlfn.UNICHAR(9644)))&amp;" "&amp;TEXT(ABS($O$17-$P$17)*100,"0.0")&amp;" pts","n/a")</f>
        <v/>
      </c>
      <c r="N17" s="39" t="inlineStr">
        <is>
          <t>Denial rate</t>
        </is>
      </c>
      <c r="O17" cm="1" s="92">
        <f t="array" ref="O17">IFERROR(SUMIFS(tblKPI[ClaimsDenied],tblKPI[Facility],$O$3,tblKPI[Month],$O$4)/SUMIFS(tblKPI[ClaimsAdjudicated],tblKPI[Facility],$O$3,tblKPI[Month],$O$4),"n/a")</f>
        <v/>
      </c>
      <c r="P17" cm="1" s="92">
        <f t="array" ref="P17">IFERROR(SUMIFS(tblKPI[ClaimsDenied],tblKPI[Facility],$O$3,tblKPI[Month],$O$5)/SUMIFS(tblKPI[ClaimsAdjudicated],tblKPI[Facility],$O$3,tblKPI[Month],$O$5),"n/a")</f>
        <v/>
      </c>
      <c r="Q17" cm="1" s="92">
        <f t="array" ref="Q17">_xlfn.XLOOKUP($N17,tblTargets[KPI],tblTargets[Target])</f>
        <v/>
      </c>
      <c r="R17" cm="1" s="39">
        <f t="array" ref="R17">_xlfn.XLOOKUP($N17,tblTargets[KPI],tblTargets[Direction])</f>
        <v/>
      </c>
      <c r="S17" cm="1" s="39">
        <f t="array" ref="S17">IF(ISNUMBER(O17),--IF(R17="Lower is better",O17&lt;=Q17,O17&gt;=Q17),"")</f>
        <v/>
      </c>
    </row>
    <row r="18">
      <c r="N18" s="44" t="inlineStr">
        <is>
          <t>KPIs on target (of those with data)</t>
        </is>
      </c>
      <c r="O18" cm="1" s="44">
        <f t="array" ref="O18">SUM(S11:S17)</f>
        <v/>
      </c>
      <c r="P18" cm="1" s="44">
        <f t="array" ref="P18">COUNT(S11:S17)</f>
        <v/>
      </c>
    </row>
    <row r="19">
      <c r="N19" s="95" t="inlineStr">
        <is>
          <t>Chart title: ED visits</t>
        </is>
      </c>
      <c r="O19" cm="1">
        <f t="array" ref="O19">"ED visits, 12 months to "&amp;TEXT($O$4,"mmm yyyy")&amp;" · "&amp;$C$4</f>
        <v/>
      </c>
    </row>
    <row r="20">
      <c r="N20" s="95" t="inlineStr">
        <is>
          <t>Chart title: LWBS %</t>
        </is>
      </c>
      <c r="O20" cm="1">
        <f t="array" ref="O20">"LWBS % vs target, 12 months to "&amp;TEXT($O$4,"mmm yyyy")&amp;" · "&amp;$C$4</f>
        <v/>
      </c>
    </row>
    <row r="21">
      <c r="N21" s="96" t="inlineStr">
        <is>
          <t>12-month trend (selected facility)</t>
        </is>
      </c>
    </row>
    <row r="22">
      <c r="N22" s="32" t="inlineStr">
        <is>
          <t>Month</t>
        </is>
      </c>
      <c r="O22" s="32" t="inlineStr">
        <is>
          <t>ED visits</t>
        </is>
      </c>
      <c r="P22" s="32" t="inlineStr">
        <is>
          <t>LWBS %</t>
        </is>
      </c>
      <c r="Q22" s="32" t="inlineStr">
        <is>
          <t>LWBS target</t>
        </is>
      </c>
    </row>
    <row r="23">
      <c r="N23" cm="1" s="97">
        <f t="array" ref="N23">EDATE($O$4,ROWS(N$23:N23)-12)</f>
        <v/>
      </c>
      <c r="O23" cm="1" s="91">
        <f t="array" ref="O23">IF(COUNTIFS(tblKPI[Facility],$O$3,tblKPI[Month],N23)=0,NA(),SUMIFS(tblKPI[EDVisits],tblKPI[Facility],$O$3,tblKPI[Month],N23))</f>
        <v/>
      </c>
      <c r="P23" cm="1" s="92">
        <f t="array" ref="P23">IFERROR(SUMIFS(tblKPI[LWBS],tblKPI[Facility],$O$3,tblKPI[Month],N23)/SUMIFS(tblKPI[EDVisits],tblKPI[Facility],$O$3,tblKPI[Month],N23),NA())</f>
        <v/>
      </c>
      <c r="Q23" cm="1" s="92">
        <f t="array" ref="Q23">$Q$11</f>
        <v/>
      </c>
    </row>
    <row r="24">
      <c r="N24" cm="1" s="97">
        <f t="array" ref="N24">EDATE($O$4,ROWS(N$23:N24)-12)</f>
        <v/>
      </c>
      <c r="O24" cm="1" s="91">
        <f t="array" ref="O24">IF(COUNTIFS(tblKPI[Facility],$O$3,tblKPI[Month],N24)=0,NA(),SUMIFS(tblKPI[EDVisits],tblKPI[Facility],$O$3,tblKPI[Month],N24))</f>
        <v/>
      </c>
      <c r="P24" cm="1" s="92">
        <f t="array" ref="P24">IFERROR(SUMIFS(tblKPI[LWBS],tblKPI[Facility],$O$3,tblKPI[Month],N24)/SUMIFS(tblKPI[EDVisits],tblKPI[Facility],$O$3,tblKPI[Month],N24),NA())</f>
        <v/>
      </c>
      <c r="Q24" cm="1" s="92">
        <f t="array" ref="Q24">$Q$11</f>
        <v/>
      </c>
    </row>
    <row r="25">
      <c r="N25" cm="1" s="97">
        <f t="array" ref="N25">EDATE($O$4,ROWS(N$23:N25)-12)</f>
        <v/>
      </c>
      <c r="O25" cm="1" s="91">
        <f t="array" ref="O25">IF(COUNTIFS(tblKPI[Facility],$O$3,tblKPI[Month],N25)=0,NA(),SUMIFS(tblKPI[EDVisits],tblKPI[Facility],$O$3,tblKPI[Month],N25))</f>
        <v/>
      </c>
      <c r="P25" cm="1" s="92">
        <f t="array" ref="P25">IFERROR(SUMIFS(tblKPI[LWBS],tblKPI[Facility],$O$3,tblKPI[Month],N25)/SUMIFS(tblKPI[EDVisits],tblKPI[Facility],$O$3,tblKPI[Month],N25),NA())</f>
        <v/>
      </c>
      <c r="Q25" cm="1" s="92">
        <f t="array" ref="Q25">$Q$11</f>
        <v/>
      </c>
    </row>
    <row r="26">
      <c r="N26" cm="1" s="97">
        <f t="array" ref="N26">EDATE($O$4,ROWS(N$23:N26)-12)</f>
        <v/>
      </c>
      <c r="O26" cm="1" s="91">
        <f t="array" ref="O26">IF(COUNTIFS(tblKPI[Facility],$O$3,tblKPI[Month],N26)=0,NA(),SUMIFS(tblKPI[EDVisits],tblKPI[Facility],$O$3,tblKPI[Month],N26))</f>
        <v/>
      </c>
      <c r="P26" cm="1" s="92">
        <f t="array" ref="P26">IFERROR(SUMIFS(tblKPI[LWBS],tblKPI[Facility],$O$3,tblKPI[Month],N26)/SUMIFS(tblKPI[EDVisits],tblKPI[Facility],$O$3,tblKPI[Month],N26),NA())</f>
        <v/>
      </c>
      <c r="Q26" cm="1" s="92">
        <f t="array" ref="Q26">$Q$11</f>
        <v/>
      </c>
    </row>
    <row r="27">
      <c r="N27" cm="1" s="97">
        <f t="array" ref="N27">EDATE($O$4,ROWS(N$23:N27)-12)</f>
        <v/>
      </c>
      <c r="O27" cm="1" s="91">
        <f t="array" ref="O27">IF(COUNTIFS(tblKPI[Facility],$O$3,tblKPI[Month],N27)=0,NA(),SUMIFS(tblKPI[EDVisits],tblKPI[Facility],$O$3,tblKPI[Month],N27))</f>
        <v/>
      </c>
      <c r="P27" cm="1" s="92">
        <f t="array" ref="P27">IFERROR(SUMIFS(tblKPI[LWBS],tblKPI[Facility],$O$3,tblKPI[Month],N27)/SUMIFS(tblKPI[EDVisits],tblKPI[Facility],$O$3,tblKPI[Month],N27),NA())</f>
        <v/>
      </c>
      <c r="Q27" cm="1" s="92">
        <f t="array" ref="Q27">$Q$11</f>
        <v/>
      </c>
    </row>
    <row r="28">
      <c r="N28" cm="1" s="97">
        <f t="array" ref="N28">EDATE($O$4,ROWS(N$23:N28)-12)</f>
        <v/>
      </c>
      <c r="O28" cm="1" s="91">
        <f t="array" ref="O28">IF(COUNTIFS(tblKPI[Facility],$O$3,tblKPI[Month],N28)=0,NA(),SUMIFS(tblKPI[EDVisits],tblKPI[Facility],$O$3,tblKPI[Month],N28))</f>
        <v/>
      </c>
      <c r="P28" cm="1" s="92">
        <f t="array" ref="P28">IFERROR(SUMIFS(tblKPI[LWBS],tblKPI[Facility],$O$3,tblKPI[Month],N28)/SUMIFS(tblKPI[EDVisits],tblKPI[Facility],$O$3,tblKPI[Month],N28),NA())</f>
        <v/>
      </c>
      <c r="Q28" cm="1" s="92">
        <f t="array" ref="Q28">$Q$11</f>
        <v/>
      </c>
    </row>
    <row r="29">
      <c r="N29" cm="1" s="97">
        <f t="array" ref="N29">EDATE($O$4,ROWS(N$23:N29)-12)</f>
        <v/>
      </c>
      <c r="O29" cm="1" s="91">
        <f t="array" ref="O29">IF(COUNTIFS(tblKPI[Facility],$O$3,tblKPI[Month],N29)=0,NA(),SUMIFS(tblKPI[EDVisits],tblKPI[Facility],$O$3,tblKPI[Month],N29))</f>
        <v/>
      </c>
      <c r="P29" cm="1" s="92">
        <f t="array" ref="P29">IFERROR(SUMIFS(tblKPI[LWBS],tblKPI[Facility],$O$3,tblKPI[Month],N29)/SUMIFS(tblKPI[EDVisits],tblKPI[Facility],$O$3,tblKPI[Month],N29),NA())</f>
        <v/>
      </c>
      <c r="Q29" cm="1" s="92">
        <f t="array" ref="Q29">$Q$11</f>
        <v/>
      </c>
    </row>
    <row r="30">
      <c r="N30" cm="1" s="97">
        <f t="array" ref="N30">EDATE($O$4,ROWS(N$23:N30)-12)</f>
        <v/>
      </c>
      <c r="O30" cm="1" s="91">
        <f t="array" ref="O30">IF(COUNTIFS(tblKPI[Facility],$O$3,tblKPI[Month],N30)=0,NA(),SUMIFS(tblKPI[EDVisits],tblKPI[Facility],$O$3,tblKPI[Month],N30))</f>
        <v/>
      </c>
      <c r="P30" cm="1" s="92">
        <f t="array" ref="P30">IFERROR(SUMIFS(tblKPI[LWBS],tblKPI[Facility],$O$3,tblKPI[Month],N30)/SUMIFS(tblKPI[EDVisits],tblKPI[Facility],$O$3,tblKPI[Month],N30),NA())</f>
        <v/>
      </c>
      <c r="Q30" cm="1" s="92">
        <f t="array" ref="Q30">$Q$11</f>
        <v/>
      </c>
    </row>
    <row r="31">
      <c r="N31" cm="1" s="97">
        <f t="array" ref="N31">EDATE($O$4,ROWS(N$23:N31)-12)</f>
        <v/>
      </c>
      <c r="O31" cm="1" s="91">
        <f t="array" ref="O31">IF(COUNTIFS(tblKPI[Facility],$O$3,tblKPI[Month],N31)=0,NA(),SUMIFS(tblKPI[EDVisits],tblKPI[Facility],$O$3,tblKPI[Month],N31))</f>
        <v/>
      </c>
      <c r="P31" cm="1" s="92">
        <f t="array" ref="P31">IFERROR(SUMIFS(tblKPI[LWBS],tblKPI[Facility],$O$3,tblKPI[Month],N31)/SUMIFS(tblKPI[EDVisits],tblKPI[Facility],$O$3,tblKPI[Month],N31),NA())</f>
        <v/>
      </c>
      <c r="Q31" cm="1" s="92">
        <f t="array" ref="Q31">$Q$11</f>
        <v/>
      </c>
    </row>
    <row r="32">
      <c r="N32" cm="1" s="97">
        <f t="array" ref="N32">EDATE($O$4,ROWS(N$23:N32)-12)</f>
        <v/>
      </c>
      <c r="O32" cm="1" s="91">
        <f t="array" ref="O32">IF(COUNTIFS(tblKPI[Facility],$O$3,tblKPI[Month],N32)=0,NA(),SUMIFS(tblKPI[EDVisits],tblKPI[Facility],$O$3,tblKPI[Month],N32))</f>
        <v/>
      </c>
      <c r="P32" cm="1" s="92">
        <f t="array" ref="P32">IFERROR(SUMIFS(tblKPI[LWBS],tblKPI[Facility],$O$3,tblKPI[Month],N32)/SUMIFS(tblKPI[EDVisits],tblKPI[Facility],$O$3,tblKPI[Month],N32),NA())</f>
        <v/>
      </c>
      <c r="Q32" cm="1" s="92">
        <f t="array" ref="Q32">$Q$11</f>
        <v/>
      </c>
    </row>
    <row r="33">
      <c r="N33" cm="1" s="97">
        <f t="array" ref="N33">EDATE($O$4,ROWS(N$23:N33)-12)</f>
        <v/>
      </c>
      <c r="O33" cm="1" s="91">
        <f t="array" ref="O33">IF(COUNTIFS(tblKPI[Facility],$O$3,tblKPI[Month],N33)=0,NA(),SUMIFS(tblKPI[EDVisits],tblKPI[Facility],$O$3,tblKPI[Month],N33))</f>
        <v/>
      </c>
      <c r="P33" cm="1" s="92">
        <f t="array" ref="P33">IFERROR(SUMIFS(tblKPI[LWBS],tblKPI[Facility],$O$3,tblKPI[Month],N33)/SUMIFS(tblKPI[EDVisits],tblKPI[Facility],$O$3,tblKPI[Month],N33),NA())</f>
        <v/>
      </c>
      <c r="Q33" cm="1" s="92">
        <f t="array" ref="Q33">$Q$11</f>
        <v/>
      </c>
    </row>
    <row r="34">
      <c r="B34" s="3" t="inlineStr">
        <is>
          <t>Every number and both charts follow the two selectors. Model cells start at column N →. Status uses text and color, so it still reads in grayscale.</t>
        </is>
      </c>
      <c r="N34" cm="1" s="97">
        <f t="array" ref="N34">EDATE($O$4,ROWS(N$23:N34)-12)</f>
        <v/>
      </c>
      <c r="O34" cm="1" s="91">
        <f t="array" ref="O34">IF(COUNTIFS(tblKPI[Facility],$O$3,tblKPI[Month],N34)=0,NA(),SUMIFS(tblKPI[EDVisits],tblKPI[Facility],$O$3,tblKPI[Month],N34))</f>
        <v/>
      </c>
      <c r="P34" cm="1" s="92">
        <f t="array" ref="P34">IFERROR(SUMIFS(tblKPI[LWBS],tblKPI[Facility],$O$3,tblKPI[Month],N34)/SUMIFS(tblKPI[EDVisits],tblKPI[Facility],$O$3,tblKPI[Month],N34),NA())</f>
        <v/>
      </c>
      <c r="Q34" cm="1" s="92">
        <f t="array" ref="Q34">$Q$11</f>
        <v/>
      </c>
    </row>
    <row r="36">
      <c r="N36" s="44" t="inlineStr">
        <is>
          <t>Peak LWBS % month in the window</t>
        </is>
      </c>
      <c r="O36" cm="1" s="98">
        <f t="array" ref="O36">INDEX(N23:N34,MATCH(_xlfn.AGGREGATE(4,6,P23:P34),P23:P34,0))</f>
        <v/>
      </c>
    </row>
    <row r="38">
      <c r="N38" s="96" t="inlineStr">
        <is>
          <t>Hospital comparison (selected month)</t>
        </is>
      </c>
    </row>
    <row r="39" ht="32" customHeight="1">
      <c r="N39" s="32" t="inlineStr">
        <is>
          <t>Facility</t>
        </is>
      </c>
      <c r="O39" s="99" t="inlineStr">
        <is>
          <t>LWBS %</t>
        </is>
      </c>
      <c r="P39" s="99" t="inlineStr">
        <is>
          <t>Median door-to-provider</t>
        </is>
      </c>
      <c r="Q39" s="99" t="inlineStr">
        <is>
          <t>ALOS</t>
        </is>
      </c>
      <c r="R39" s="99" t="inlineStr">
        <is>
          <t>30-day readmission rate</t>
        </is>
      </c>
      <c r="S39" s="99" t="inlineStr">
        <is>
          <t>Occupancy %</t>
        </is>
      </c>
      <c r="T39" s="99" t="inlineStr">
        <is>
          <t>HCAHPS top-box %</t>
        </is>
      </c>
      <c r="U39" s="99" t="inlineStr">
        <is>
          <t>Denial rate</t>
        </is>
      </c>
      <c r="V39" s="32" t="inlineStr">
        <is>
          <t>On target</t>
        </is>
      </c>
    </row>
    <row r="40">
      <c r="N40" s="39" t="inlineStr">
        <is>
          <t>Target</t>
        </is>
      </c>
      <c r="O40" cm="1" s="92">
        <f t="array" ref="O40">_xlfn.XLOOKUP(O$39,tblTargets[KPI],tblTargets[Target])</f>
        <v/>
      </c>
      <c r="P40" cm="1" s="100">
        <f t="array" ref="P40">_xlfn.XLOOKUP(P$39,tblTargets[KPI],tblTargets[Target])</f>
        <v/>
      </c>
      <c r="Q40" cm="1" s="93">
        <f t="array" ref="Q40">_xlfn.XLOOKUP(Q$39,tblTargets[KPI],tblTargets[Target])</f>
        <v/>
      </c>
      <c r="R40" cm="1" s="92">
        <f t="array" ref="R40">_xlfn.XLOOKUP(R$39,tblTargets[KPI],tblTargets[Target])</f>
        <v/>
      </c>
      <c r="S40" cm="1" s="92">
        <f t="array" ref="S40">_xlfn.XLOOKUP(S$39,tblTargets[KPI],tblTargets[Target])</f>
        <v/>
      </c>
      <c r="T40" cm="1" s="92">
        <f t="array" ref="T40">_xlfn.XLOOKUP(T$39,tblTargets[KPI],tblTargets[Target])</f>
        <v/>
      </c>
      <c r="U40" cm="1" s="92">
        <f t="array" ref="U40">_xlfn.XLOOKUP(U$39,tblTargets[KPI],tblTargets[Target])</f>
        <v/>
      </c>
      <c r="V40" s="39" t="n"/>
    </row>
    <row r="41">
      <c r="N41" s="39" t="inlineStr">
        <is>
          <t>Direction</t>
        </is>
      </c>
      <c r="O41" cm="1" s="101">
        <f t="array" ref="O41">_xlfn.XLOOKUP(O$39,tblTargets[KPI],tblTargets[Direction])</f>
        <v/>
      </c>
      <c r="P41" cm="1" s="101">
        <f t="array" ref="P41">_xlfn.XLOOKUP(P$39,tblTargets[KPI],tblTargets[Direction])</f>
        <v/>
      </c>
      <c r="Q41" cm="1" s="101">
        <f t="array" ref="Q41">_xlfn.XLOOKUP(Q$39,tblTargets[KPI],tblTargets[Direction])</f>
        <v/>
      </c>
      <c r="R41" cm="1" s="101">
        <f t="array" ref="R41">_xlfn.XLOOKUP(R$39,tblTargets[KPI],tblTargets[Direction])</f>
        <v/>
      </c>
      <c r="S41" cm="1" s="101">
        <f t="array" ref="S41">_xlfn.XLOOKUP(S$39,tblTargets[KPI],tblTargets[Direction])</f>
        <v/>
      </c>
      <c r="T41" cm="1" s="101">
        <f t="array" ref="T41">_xlfn.XLOOKUP(T$39,tblTargets[KPI],tblTargets[Direction])</f>
        <v/>
      </c>
      <c r="U41" cm="1" s="101">
        <f t="array" ref="U41">_xlfn.XLOOKUP(U$39,tblTargets[KPI],tblTargets[Direction])</f>
        <v/>
      </c>
      <c r="V41" s="39" t="n"/>
    </row>
    <row r="42">
      <c r="N42" s="39" t="inlineStr">
        <is>
          <t>Bluestone Memorial Hospital</t>
        </is>
      </c>
      <c r="O42" cm="1" s="92">
        <f t="array" ref="O42">IFERROR(SUMIFS(tblKPI[LWBS],tblKPI[Facility],$N42,tblKPI[Month],$O$4)/SUMIFS(tblKPI[EDVisits],tblKPI[Facility],$N42,tblKPI[Month],$O$4),"n/a")</f>
        <v/>
      </c>
      <c r="P42" cm="1" s="93">
        <f t="array" ref="P42">IFERROR(_xlfn.XLOOKUP(1,(tblKPI[Facility]=$N42)*(tblKPI[Month]=$O$4),tblKPI[MedianDTP]),"n/a")</f>
        <v/>
      </c>
      <c r="Q42" cm="1" s="94">
        <f t="array" ref="Q42">IFERROR(SUMIFS(tblKPI[LOSDays],tblKPI[Facility],$N42,tblKPI[Month],$O$4)/SUMIFS(tblKPI[IPDischarges],tblKPI[Facility],$N42,tblKPI[Month],$O$4),"n/a")</f>
        <v/>
      </c>
      <c r="R42" cm="1" s="92">
        <f t="array" ref="R42">IFERROR(SUMIFS(tblKPI[Readmits],tblKPI[Facility],$N42,tblKPI[Month],$O$4)/SUMIFS(tblKPI[IndexStays],tblKPI[Facility],$N42,tblKPI[Month],$O$4),"n/a")</f>
        <v/>
      </c>
      <c r="S42" cm="1" s="92">
        <f t="array" ref="S42">IFERROR(SUMIFS(tblKPI[PatientDays],tblKPI[Facility],$N42,tblKPI[Month],$O$4)/SUMIFS(tblKPI[BedDays],tblKPI[Facility],$N42,tblKPI[Month],$O$4),"n/a")</f>
        <v/>
      </c>
      <c r="T42" cm="1" s="92">
        <f t="array" ref="T42">IFERROR(SUMIFS(tblKPI[TopBox],tblKPI[Facility],$N42,tblKPI[Month],$O$4)/SUMIFS(tblKPI[Surveys],tblKPI[Facility],$N42,tblKPI[Month],$O$4),"n/a")</f>
        <v/>
      </c>
      <c r="U42" cm="1" s="92">
        <f t="array" ref="U42">IFERROR(SUMIFS(tblKPI[ClaimsDenied],tblKPI[Facility],$N42,tblKPI[Month],$O$4)/SUMIFS(tblKPI[ClaimsAdjudicated],tblKPI[Facility],$N42,tblKPI[Month],$O$4),"n/a")</f>
        <v/>
      </c>
      <c r="V42" cm="1" s="44">
        <f t="array" ref="V42">SUMPRODUCT(ISNUMBER(O42:U42)*(((O$41:U$41="Lower is better")*(O42:U42&lt;=O$40:U$40))+((O$41:U$41="Higher is better")*(O42:U42&gt;=O$40:U$40))))</f>
        <v/>
      </c>
    </row>
    <row r="43">
      <c r="N43" s="39" t="inlineStr">
        <is>
          <t>Ashby Falls Community Hospital</t>
        </is>
      </c>
      <c r="O43" cm="1" s="92">
        <f t="array" ref="O43">IFERROR(SUMIFS(tblKPI[LWBS],tblKPI[Facility],$N43,tblKPI[Month],$O$4)/SUMIFS(tblKPI[EDVisits],tblKPI[Facility],$N43,tblKPI[Month],$O$4),"n/a")</f>
        <v/>
      </c>
      <c r="P43" cm="1" s="93">
        <f t="array" ref="P43">IFERROR(_xlfn.XLOOKUP(1,(tblKPI[Facility]=$N43)*(tblKPI[Month]=$O$4),tblKPI[MedianDTP]),"n/a")</f>
        <v/>
      </c>
      <c r="Q43" cm="1" s="94">
        <f t="array" ref="Q43">IFERROR(SUMIFS(tblKPI[LOSDays],tblKPI[Facility],$N43,tblKPI[Month],$O$4)/SUMIFS(tblKPI[IPDischarges],tblKPI[Facility],$N43,tblKPI[Month],$O$4),"n/a")</f>
        <v/>
      </c>
      <c r="R43" cm="1" s="92">
        <f t="array" ref="R43">IFERROR(SUMIFS(tblKPI[Readmits],tblKPI[Facility],$N43,tblKPI[Month],$O$4)/SUMIFS(tblKPI[IndexStays],tblKPI[Facility],$N43,tblKPI[Month],$O$4),"n/a")</f>
        <v/>
      </c>
      <c r="S43" cm="1" s="92">
        <f t="array" ref="S43">IFERROR(SUMIFS(tblKPI[PatientDays],tblKPI[Facility],$N43,tblKPI[Month],$O$4)/SUMIFS(tblKPI[BedDays],tblKPI[Facility],$N43,tblKPI[Month],$O$4),"n/a")</f>
        <v/>
      </c>
      <c r="T43" cm="1" s="92">
        <f t="array" ref="T43">IFERROR(SUMIFS(tblKPI[TopBox],tblKPI[Facility],$N43,tblKPI[Month],$O$4)/SUMIFS(tblKPI[Surveys],tblKPI[Facility],$N43,tblKPI[Month],$O$4),"n/a")</f>
        <v/>
      </c>
      <c r="U43" cm="1" s="92">
        <f t="array" ref="U43">IFERROR(SUMIFS(tblKPI[ClaimsDenied],tblKPI[Facility],$N43,tblKPI[Month],$O$4)/SUMIFS(tblKPI[ClaimsAdjudicated],tblKPI[Facility],$N43,tblKPI[Month],$O$4),"n/a")</f>
        <v/>
      </c>
      <c r="V43" cm="1" s="44">
        <f t="array" ref="V43">SUMPRODUCT(ISNUMBER(O43:U43)*(((O$41:U$41="Lower is better")*(O43:U43&lt;=O$40:U$40))+((O$41:U$41="Higher is better")*(O43:U43&gt;=O$40:U$40))))</f>
        <v/>
      </c>
    </row>
    <row r="44">
      <c r="N44" s="39" t="inlineStr">
        <is>
          <t>Cedar Ridge Medical Center</t>
        </is>
      </c>
      <c r="O44" cm="1" s="92">
        <f t="array" ref="O44">IFERROR(SUMIFS(tblKPI[LWBS],tblKPI[Facility],$N44,tblKPI[Month],$O$4)/SUMIFS(tblKPI[EDVisits],tblKPI[Facility],$N44,tblKPI[Month],$O$4),"n/a")</f>
        <v/>
      </c>
      <c r="P44" cm="1" s="93">
        <f t="array" ref="P44">IFERROR(_xlfn.XLOOKUP(1,(tblKPI[Facility]=$N44)*(tblKPI[Month]=$O$4),tblKPI[MedianDTP]),"n/a")</f>
        <v/>
      </c>
      <c r="Q44" cm="1" s="94">
        <f t="array" ref="Q44">IFERROR(SUMIFS(tblKPI[LOSDays],tblKPI[Facility],$N44,tblKPI[Month],$O$4)/SUMIFS(tblKPI[IPDischarges],tblKPI[Facility],$N44,tblKPI[Month],$O$4),"n/a")</f>
        <v/>
      </c>
      <c r="R44" cm="1" s="92">
        <f t="array" ref="R44">IFERROR(SUMIFS(tblKPI[Readmits],tblKPI[Facility],$N44,tblKPI[Month],$O$4)/SUMIFS(tblKPI[IndexStays],tblKPI[Facility],$N44,tblKPI[Month],$O$4),"n/a")</f>
        <v/>
      </c>
      <c r="S44" cm="1" s="92">
        <f t="array" ref="S44">IFERROR(SUMIFS(tblKPI[PatientDays],tblKPI[Facility],$N44,tblKPI[Month],$O$4)/SUMIFS(tblKPI[BedDays],tblKPI[Facility],$N44,tblKPI[Month],$O$4),"n/a")</f>
        <v/>
      </c>
      <c r="T44" cm="1" s="92">
        <f t="array" ref="T44">IFERROR(SUMIFS(tblKPI[TopBox],tblKPI[Facility],$N44,tblKPI[Month],$O$4)/SUMIFS(tblKPI[Surveys],tblKPI[Facility],$N44,tblKPI[Month],$O$4),"n/a")</f>
        <v/>
      </c>
      <c r="U44" cm="1" s="92">
        <f t="array" ref="U44">IFERROR(SUMIFS(tblKPI[ClaimsDenied],tblKPI[Facility],$N44,tblKPI[Month],$O$4)/SUMIFS(tblKPI[ClaimsAdjudicated],tblKPI[Facility],$N44,tblKPI[Month],$O$4),"n/a")</f>
        <v/>
      </c>
      <c r="V44" cm="1" s="44">
        <f t="array" ref="V44">SUMPRODUCT(ISNUMBER(O44:U44)*(((O$41:U$41="Lower is better")*(O44:U44&lt;=O$40:U$40))+((O$41:U$41="Higher is better")*(O44:U44&gt;=O$40:U$40))))</f>
        <v/>
      </c>
    </row>
    <row r="46">
      <c r="N46" s="44" t="inlineStr">
        <is>
          <t>Fewest KPIs on target</t>
        </is>
      </c>
      <c r="O46" cm="1" s="44">
        <f t="array" ref="O46">INDEX(N42:N44,MATCH(MIN(V42:V44),V42:V44,0))</f>
        <v/>
      </c>
    </row>
  </sheetData>
  <sheetProtection selectLockedCells="0" selectUnlockedCells="0" sheet="1" objects="0" insertRows="1" insertHyperlinks="1" autoFilter="1" scenarios="0" formatColumns="1" deleteColumns="1" insertColumns="1" pivotTables="1" deleteRows="1" formatCells="1" formatRows="1" sort="1"/>
  <mergeCells count="19">
    <mergeCell ref="B7:C7"/>
    <mergeCell ref="E14:F14"/>
    <mergeCell ref="E8:F8"/>
    <mergeCell ref="B14:C14"/>
    <mergeCell ref="E13:F13"/>
    <mergeCell ref="C5:F5"/>
    <mergeCell ref="B8:C8"/>
    <mergeCell ref="B13:C13"/>
    <mergeCell ref="H4:L5"/>
    <mergeCell ref="K8:L8"/>
    <mergeCell ref="C4:F4"/>
    <mergeCell ref="H7:I7"/>
    <mergeCell ref="H13:I13"/>
    <mergeCell ref="K14:L14"/>
    <mergeCell ref="H14:I14"/>
    <mergeCell ref="K7:L7"/>
    <mergeCell ref="E7:F7"/>
    <mergeCell ref="H8:I8"/>
    <mergeCell ref="K13:L13"/>
  </mergeCells>
  <conditionalFormatting sqref="O42:U44">
    <cfRule type="expression" priority="1" dxfId="2">
      <formula>AND(ISNUMBER(O42),IF(O$41="Lower is better",O42&lt;=O$40,O42&gt;=O$40))</formula>
    </cfRule>
    <cfRule type="expression" priority="2" dxfId="3">
      <formula>AND(ISNUMBER(O42),NOT(IF(O$41="Lower is better",O42&lt;=O$40,O42&gt;=O$40)))</formula>
    </cfRule>
  </conditionalFormatting>
  <conditionalFormatting sqref="F10">
    <cfRule type="expression" priority="3" dxfId="0">
      <formula>LEFT(F10,1)="✔"</formula>
    </cfRule>
    <cfRule type="expression" priority="4" dxfId="1">
      <formula>LEFT(F10,1)="✘"</formula>
    </cfRule>
  </conditionalFormatting>
  <conditionalFormatting sqref="F11">
    <cfRule type="expression" priority="5" dxfId="4">
      <formula>AND(AND(ISNUMBER($O$11),ISNUMBER($P$11)),IF($R$11="Lower is better",$O$11&lt;$P$11,$O$11&gt;$P$11))</formula>
    </cfRule>
    <cfRule type="expression" priority="6" dxfId="5">
      <formula>AND(AND(ISNUMBER($O$11),ISNUMBER($P$11)),IF($R$11="Lower is better",$O$11&gt;$P$11,$O$11&lt;$P$11))</formula>
    </cfRule>
  </conditionalFormatting>
  <conditionalFormatting sqref="I10">
    <cfRule type="expression" priority="7" dxfId="0">
      <formula>LEFT(I10,1)="✔"</formula>
    </cfRule>
    <cfRule type="expression" priority="8" dxfId="1">
      <formula>LEFT(I10,1)="✘"</formula>
    </cfRule>
  </conditionalFormatting>
  <conditionalFormatting sqref="I11">
    <cfRule type="expression" priority="9" dxfId="4">
      <formula>AND(AND(ISNUMBER($O$12),ISNUMBER($P$12)),IF($R$12="Lower is better",$O$12&lt;$P$12,$O$12&gt;$P$12))</formula>
    </cfRule>
    <cfRule type="expression" priority="10" dxfId="5">
      <formula>AND(AND(ISNUMBER($O$12),ISNUMBER($P$12)),IF($R$12="Lower is better",$O$12&gt;$P$12,$O$12&lt;$P$12))</formula>
    </cfRule>
  </conditionalFormatting>
  <conditionalFormatting sqref="L10">
    <cfRule type="expression" priority="11" dxfId="0">
      <formula>LEFT(L10,1)="✔"</formula>
    </cfRule>
    <cfRule type="expression" priority="12" dxfId="1">
      <formula>LEFT(L10,1)="✘"</formula>
    </cfRule>
  </conditionalFormatting>
  <conditionalFormatting sqref="L11">
    <cfRule type="expression" priority="13" dxfId="4">
      <formula>AND(AND(ISNUMBER($O$13),ISNUMBER($P$13)),IF($R$13="Lower is better",$O$13&lt;$P$13,$O$13&gt;$P$13))</formula>
    </cfRule>
    <cfRule type="expression" priority="14" dxfId="5">
      <formula>AND(AND(ISNUMBER($O$13),ISNUMBER($P$13)),IF($R$13="Lower is better",$O$13&gt;$P$13,$O$13&lt;$P$13))</formula>
    </cfRule>
  </conditionalFormatting>
  <conditionalFormatting sqref="C16">
    <cfRule type="expression" priority="15" dxfId="0">
      <formula>LEFT(C16,1)="✔"</formula>
    </cfRule>
    <cfRule type="expression" priority="16" dxfId="1">
      <formula>LEFT(C16,1)="✘"</formula>
    </cfRule>
  </conditionalFormatting>
  <conditionalFormatting sqref="C17">
    <cfRule type="expression" priority="17" dxfId="4">
      <formula>AND(AND(ISNUMBER($O$14),ISNUMBER($P$14)),IF($R$14="Lower is better",$O$14&lt;$P$14,$O$14&gt;$P$14))</formula>
    </cfRule>
    <cfRule type="expression" priority="18" dxfId="5">
      <formula>AND(AND(ISNUMBER($O$14),ISNUMBER($P$14)),IF($R$14="Lower is better",$O$14&gt;$P$14,$O$14&lt;$P$14))</formula>
    </cfRule>
  </conditionalFormatting>
  <conditionalFormatting sqref="F16">
    <cfRule type="expression" priority="19" dxfId="0">
      <formula>LEFT(F16,1)="✔"</formula>
    </cfRule>
    <cfRule type="expression" priority="20" dxfId="1">
      <formula>LEFT(F16,1)="✘"</formula>
    </cfRule>
  </conditionalFormatting>
  <conditionalFormatting sqref="F17">
    <cfRule type="expression" priority="21" dxfId="4">
      <formula>AND(AND(ISNUMBER($O$15),ISNUMBER($P$15)),IF($R$15="Lower is better",$O$15&lt;$P$15,$O$15&gt;$P$15))</formula>
    </cfRule>
    <cfRule type="expression" priority="22" dxfId="5">
      <formula>AND(AND(ISNUMBER($O$15),ISNUMBER($P$15)),IF($R$15="Lower is better",$O$15&gt;$P$15,$O$15&lt;$P$15))</formula>
    </cfRule>
  </conditionalFormatting>
  <conditionalFormatting sqref="I16">
    <cfRule type="expression" priority="23" dxfId="0">
      <formula>LEFT(I16,1)="✔"</formula>
    </cfRule>
    <cfRule type="expression" priority="24" dxfId="1">
      <formula>LEFT(I16,1)="✘"</formula>
    </cfRule>
  </conditionalFormatting>
  <conditionalFormatting sqref="I17">
    <cfRule type="expression" priority="25" dxfId="4">
      <formula>AND(AND(ISNUMBER($O$16),ISNUMBER($P$16)),IF($R$16="Lower is better",$O$16&lt;$P$16,$O$16&gt;$P$16))</formula>
    </cfRule>
    <cfRule type="expression" priority="26" dxfId="5">
      <formula>AND(AND(ISNUMBER($O$16),ISNUMBER($P$16)),IF($R$16="Lower is better",$O$16&gt;$P$16,$O$16&lt;$P$16))</formula>
    </cfRule>
  </conditionalFormatting>
  <conditionalFormatting sqref="L16">
    <cfRule type="expression" priority="27" dxfId="0">
      <formula>LEFT(L16,1)="✔"</formula>
    </cfRule>
    <cfRule type="expression" priority="28" dxfId="1">
      <formula>LEFT(L16,1)="✘"</formula>
    </cfRule>
  </conditionalFormatting>
  <conditionalFormatting sqref="L17">
    <cfRule type="expression" priority="29" dxfId="4">
      <formula>AND(AND(ISNUMBER($O$17),ISNUMBER($P$17)),IF($R$17="Lower is better",$O$17&lt;$P$17,$O$17&gt;$P$17))</formula>
    </cfRule>
    <cfRule type="expression" priority="30" dxfId="5">
      <formula>AND(AND(ISNUMBER($O$17),ISNUMBER($P$17)),IF($R$17="Lower is better",$O$17&gt;$P$17,$O$17&lt;$P$17))</formula>
    </cfRule>
  </conditionalFormatting>
  <dataValidations count="2">
    <dataValidation sqref="C4" showDropDown="0" showInputMessage="0" showErrorMessage="1" allowBlank="0" errorTitle="Pick from the list" error="Choose a value from the dropdown list." type="list">
      <formula1>Lists!$A$2:$A$5</formula1>
    </dataValidation>
    <dataValidation sqref="C5" showDropDown="0" showInputMessage="0" showErrorMessage="1" allowBlank="0" errorTitle="Pick from the list" error="Choose a value from the dropdown list." type="list">
      <formula1>Lists!$C$2:$C$25</formula1>
    </dataValidation>
  </dataValidations>
  <pageMargins left="0.75" right="0.75" top="1" bottom="1" header="0.5" footer="0.5"/>
  <pageSetup orientation="landscape" fitToHeight="1"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4.6 — Building Interactive Dashboards</dc:title>
  <dcterms:created xsi:type="dcterms:W3CDTF">2026-10-02T16:48:27Z</dcterms:created>
  <dcterms:modified xsi:type="dcterms:W3CDTF">2026-10-02T16:48:27Z</dcterms:modified>
</cp:coreProperties>
</file>
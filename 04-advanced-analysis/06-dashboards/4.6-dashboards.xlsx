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ED visits, last 12 months</a:t>
            </a:r>
          </a:p>
        </rich>
      </tx>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LWBS % vs target, last 12 months</a:t>
            </a:r>
          </a:p>
        </rich>
      </tx>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33" customHeight="1">
      <c r="B19" s="8" t="inlineStr">
        <is>
          <t>Note</t>
        </is>
      </c>
      <c r="C19" s="7" t="inlineStr">
        <is>
          <t>Needs Microsoft 365 or Excel 2021+ for XLOOKUP, LET, and FILTER. The guide shows alternatives for older versions. Form Controls (task 10) need Excel for Windows or Mac, not Excel for the web.</t>
        </is>
      </c>
    </row>
    <row r="20" ht="48" customHeight="1">
      <c r="B20" s="8" t="inlineStr">
        <is>
          <t>Note</t>
        </is>
      </c>
      <c r="C20" s="7" t="inlineStr">
        <is>
          <t>Dashboard Key (hidden) is a finished reference dashboard set to the bonus selection. It's protected without a password so its selectors are the only cells you can change. Review → Unprotect Sheet lets you edit it.</t>
        </is>
      </c>
    </row>
    <row r="21" ht="33" customHeight="1">
      <c r="B21" s="8" t="inlineStr">
        <is>
          <t>Note</t>
        </is>
      </c>
      <c r="C21" s="7" t="inlineStr">
        <is>
          <t>KPI_Monthly leaves readmission, survey, and claims numbers blank for December 2025 on purpose: those numbers aren't final yet.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KPI_Monthly</t>
        </is>
      </c>
      <c r="C30" s="7" t="inlineStr">
        <is>
          <t>Data: 72 rows — Excel Table 'tblKPI'</t>
        </is>
      </c>
    </row>
    <row r="31" ht="18" customHeight="1">
      <c r="B31" s="8" t="inlineStr">
        <is>
          <t>EDWaits</t>
        </is>
      </c>
      <c r="C31" s="7" t="inlineStr">
        <is>
          <t>Data: 12,055 rows — Excel Table 'tblEDWaits'</t>
        </is>
      </c>
    </row>
    <row r="32" ht="18" customHeight="1">
      <c r="B32" s="8" t="inlineStr">
        <is>
          <t>Targets</t>
        </is>
      </c>
      <c r="C32" s="7" t="inlineStr">
        <is>
          <t>Data: 7 rows — Excel Table 'tblTargets'</t>
        </is>
      </c>
    </row>
    <row r="33" ht="33" customHeight="1">
      <c r="B33" s="8" t="inlineStr">
        <is>
          <t>About the data</t>
        </is>
      </c>
      <c r="C33" s="7" t="inlineStr">
        <is>
          <t>Monthly KPIs for Bluestone Health's three hospitals, Jan 2024 – Dec 2025 (72 hospital-months), every ED visit's door-to-provider time, and a KPI dictionary with targets and owners.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4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go in the yellow cells below. Tasks 10–13 have you build on other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66" customHeight="1">
      <c r="A8" s="18" t="inlineStr">
        <is>
          <t>3</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20" t="inlineStr">
        <is>
          <t>XLOOKUP("LWBS %", tblTargets[KPI], tblTargets[Target])</t>
        </is>
      </c>
      <c r="D8" s="23" t="n"/>
      <c r="E8" s="22">
        <f>IF(IFERROR(D8="",FALSE),"",IF(IFERROR(AND(ISNUMBER(D8),OR(ABS(D8-'Answer Key'!$C$7)&lt;=0.00051,ABS(D8-'Answer Key'!$C$7*100)&lt;=0.051000000000000004)),FALSE),"✔ Correct","✘ Not yet"))</f>
        <v/>
      </c>
    </row>
    <row r="9" ht="51" customHeight="1">
      <c r="A9" s="18" t="inlineStr">
        <is>
          <t>4</t>
        </is>
      </c>
      <c r="B9" s="19" t="inlineStr">
        <is>
          <t>ED visits change versus the same month last year: this year ÷ last year − 1. Find last year's month with EDATE so the formula works for any selected month. Enter it as a percentage.</t>
        </is>
      </c>
      <c r="C9" s="20" t="inlineStr">
        <is>
          <t>EDATE(SelMonth,-12) is the same month one year earlier</t>
        </is>
      </c>
      <c r="D9" s="24" t="n"/>
      <c r="E9" s="22">
        <f>IF(IFERROR(D9="",FALSE),"",IF(IFERROR(AND(ISNUMBER(D9),OR(ABS(D9-'Answer Key'!$C$8)&lt;=0.00051,ABS(D9-'Answer Key'!$C$8*100)&lt;=0.051000000000000004)),FALSE),"✔ Correct","✘ Not yet"))</f>
        <v/>
      </c>
    </row>
    <row r="10" ht="51" customHeight="1">
      <c r="A10" s="18" t="inlineStr">
        <is>
          <t>5</t>
        </is>
      </c>
      <c r="B10" s="19" t="inlineStr">
        <is>
          <t>Occupancy trend arrow. Compare the selected month's occupancy (PatientDays ÷ BedDays) with the previous month's. Return ▲ with UNICHAR(9650) if it rose, ▼ with UNICHAR(9660) if it fell, or ▬ with UNICHAR(9644) if it didn't change.</t>
        </is>
      </c>
      <c r="C10" s="20" t="inlineStr">
        <is>
          <t>LET(cur, …, prev, …, IF(cur&gt;prev, UNICHAR(9650), …)). EDATE(SelMonth,-1) is the previous month</t>
        </is>
      </c>
      <c r="D10" s="25" t="n"/>
      <c r="E10" s="22">
        <f>IF(IFERROR(D10="",FALSE),"",IF(IFERROR(OR(LOWER(TRIM(D10&amp;""))=LOWER(TRIM('Answer Key'!$C$9&amp;""))),FALSE),"✔ Correct","✘ Not yet"))</f>
        <v/>
      </c>
    </row>
    <row r="11" ht="66" customHeight="1">
      <c r="A11" s="18" t="inlineStr">
        <is>
          <t>6</t>
        </is>
      </c>
      <c r="B11"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1" s="20" t="inlineStr">
        <is>
          <t>LET + XLOOKUP(1, (tblKPI[Facility]=SelFacility)*(tblKPI[Month]=SelMonth), tblKPI[MedianDTP]); then IF on the direction</t>
        </is>
      </c>
      <c r="D11" s="25" t="n"/>
      <c r="E11" s="22">
        <f>IF(IFERROR(D11="",FALSE),"",IF(IFERROR(OR(LOWER(TRIM(D11&amp;""))=LOWER(TRIM('Answer Key'!$C$10&amp;""))),FALSE),"✔ Correct","✘ Not yet"))</f>
        <v/>
      </c>
    </row>
    <row r="12" ht="51" customHeight="1">
      <c r="A12" s="18" t="inlineStr">
        <is>
          <t>7</t>
        </is>
      </c>
      <c r="B12" s="19" t="inlineStr">
        <is>
          <t>System-wide LWBS % for the selected month: all three hospitals combined, ignoring the facility selector. Divide total LWBS by total ED visits instead of averaging the three hospitals' rates. Enter it as a percentage.</t>
        </is>
      </c>
      <c r="C12" s="20" t="inlineStr">
        <is>
          <t>Drop the Facility criterion from both SUMIFS</t>
        </is>
      </c>
      <c r="D12" s="23" t="n"/>
      <c r="E12" s="22">
        <f>IF(IFERROR(D12="",FALSE),"",IF(IFERROR(AND(ISNUMBER(D12),OR(ABS(D12-'Answer Key'!$C$11)&lt;=0.00051,ABS(D12-'Answer Key'!$C$11*100)&lt;=0.051000000000000004)),FALSE),"✔ Correct","✘ Not yet"))</f>
        <v/>
      </c>
    </row>
    <row r="13" ht="66" customHeight="1">
      <c r="A13" s="18" t="inlineStr">
        <is>
          <t>8</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20" t="inlineStr">
        <is>
          <t>MEDIAN(FILTER(…)) with ArrivalDateTime &gt;= SelMonth and &lt; EDATE(SelMonth,1)</t>
        </is>
      </c>
      <c r="D13" s="26" t="n"/>
      <c r="E13" s="22">
        <f>IF(IFERROR(D13="",FALSE),"",IF(IFERROR(AND(ISNUMBER(D13),OR(ABS(D13-'Answer Key'!$C$12)&lt;=0.0051)),FALSE),"✔ Correct","✘ Not yet"))</f>
        <v/>
      </c>
    </row>
    <row r="14" ht="51" customHeight="1">
      <c r="A14" s="18" t="inlineStr">
        <is>
          <t>9</t>
        </is>
      </c>
      <c r="B14" s="19" t="inlineStr">
        <is>
          <t>Rolling 3-month ED visits for the selected facility: the selected month plus the two months before it (Sep–Nov 2025 for the default selection). Use one SUMIFS with a date window, not OFFSET.</t>
        </is>
      </c>
      <c r="C14" s="20" t="inlineStr">
        <is>
          <t>Two criteria on the Month column: "&gt;="&amp;EDATE(SelMonth,-2) and "&lt;="&amp;SelMonth</t>
        </is>
      </c>
      <c r="D14" s="21" t="n"/>
      <c r="E14" s="22">
        <f>IF(IFERROR(D14="",FALSE),"",IF(IFERROR(AND(ISNUMBER(D14),OR(ABS(D14-'Answer Key'!$C$13)&lt;=0.0001)),FALSE),"✔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84"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 hidden Dashboard Key sheet is a finished reference build.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51" customHeight="1">
      <c r="A7" s="18" t="inlineStr">
        <is>
          <t>B2</t>
        </is>
      </c>
      <c r="B7" s="19" t="inlineStr">
        <is>
          <t>With All facilities and Oct 2025 still selected, how many of the seven KPIs are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96" customHeight="1">
      <c r="A7" s="18" t="inlineStr">
        <is>
          <t>3</t>
        </is>
      </c>
      <c r="B7"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7" s="69" t="n">
        <v>0.0175</v>
      </c>
      <c r="D7" s="67" t="inlineStr">
        <is>
          <t>=SUMIFS(tblKPI[LWBS],tblKPI[Facility],SelFacility,tblKPI[Month],SelMonth)/SUMIFS(tblKPI[EDVisits],tblKPI[Facility],SelFacility,tblKPI[Month],SelMonth)-XLOOKUP("LWBS %",tblTargets[KPI],tblTargets[Target])</t>
        </is>
      </c>
      <c r="E7" cm="1" s="70">
        <f t="array" ref="E7">SUMIFS(tblKPI[LWBS],tblKPI[Facility],SelFacility,tblKPI[Month],SelMonth)/SUMIFS(tblKPI[EDVisits],tblKPI[Facility],SelFacility,tblKPI[Month],SelMonth)-_xlfn.XLOOKUP("LWBS %",tblTargets[KPI],tblTargets[Target])</f>
        <v/>
      </c>
      <c r="F7"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8" ht="96" customHeight="1">
      <c r="A8" s="18" t="inlineStr">
        <is>
          <t>4</t>
        </is>
      </c>
      <c r="B8" s="19" t="inlineStr">
        <is>
          <t>ED visits change versus the same month last year: this year ÷ last year − 1. Find last year's month with EDATE so the formula works for any selected month. Enter it as a percentage.</t>
        </is>
      </c>
      <c r="C8" s="71" t="n">
        <v>-0.06976744186046513</v>
      </c>
      <c r="D8" s="67" t="inlineStr">
        <is>
          <t>=SUMIFS(tblKPI[EDVisits],tblKPI[Facility],SelFacility,tblKPI[Month],SelMonth)/SUMIFS(tblKPI[EDVisits],tblKPI[Facility],SelFacility,tblKPI[Month],EDATE(SelMonth,-12))-1</t>
        </is>
      </c>
      <c r="E8" cm="1" s="72">
        <f t="array" ref="E8">SUMIFS(tblKPI[EDVisits],tblKPI[Facility],SelFacility,tblKPI[Month],SelMonth)/SUMIFS(tblKPI[EDVisits],tblKPI[Facility],SelFacility,tblKPI[Month],EDATE(SelMonth,-12))-1</f>
        <v/>
      </c>
      <c r="F8" s="19" t="inlineStr">
        <is>
          <t>80 visits this year against 86 in Nov 2024. Comparing with the same month last year removes seasonality, which a month-over-month change can't do: November always differs from October in an ED. EDATE moves a date by whole months and keeps it on the first of the month, so it matches the Month column exactly. Subtracting 365 days would not.</t>
        </is>
      </c>
    </row>
    <row r="9" ht="156" customHeight="1">
      <c r="A9" s="18" t="inlineStr">
        <is>
          <t>5</t>
        </is>
      </c>
      <c r="B9" s="19" t="inlineStr">
        <is>
          <t>Occupancy trend arrow. Compare the selected month's occupancy (PatientDays ÷ BedDays) with the previous month's. Return ▲ with UNICHAR(9650) if it rose, ▼ with UNICHAR(9660) if it fell, or ▬ with UNICHAR(9644) if it didn't change.</t>
        </is>
      </c>
      <c r="C9" s="66" t="inlineStr">
        <is>
          <t>▲</t>
        </is>
      </c>
      <c r="D9"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9" cm="1" s="68">
        <f t="array" ref="E9">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9"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0" ht="141" customHeight="1">
      <c r="A10" s="18" t="inlineStr">
        <is>
          <t>6</t>
        </is>
      </c>
      <c r="B10"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0" s="66" t="inlineStr">
        <is>
          <t>Off target</t>
        </is>
      </c>
      <c r="D10"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0" cm="1" s="68">
        <f t="array" ref="E10">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0"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1" ht="81" customHeight="1">
      <c r="A11" s="18" t="inlineStr">
        <is>
          <t>7</t>
        </is>
      </c>
      <c r="B11" s="19" t="inlineStr">
        <is>
          <t>System-wide LWBS % for the selected month: all three hospitals combined, ignoring the facility selector. Divide total LWBS by total ED visits instead of averaging the three hospitals' rates. Enter it as a percentage.</t>
        </is>
      </c>
      <c r="C11" s="69" t="n">
        <v>0.01532567049808429</v>
      </c>
      <c r="D11" s="67" t="inlineStr">
        <is>
          <t>=SUMIFS(tblKPI[LWBS],tblKPI[Month],SelMonth)/SUMIFS(tblKPI[EDVisits],tblKPI[Month],SelMonth)</t>
        </is>
      </c>
      <c r="E11" cm="1" s="70">
        <f t="array" ref="E11">SUMIFS(tblKPI[LWBS],tblKPI[Month],SelMonth)/SUMIFS(tblKPI[EDVisits],tblKPI[Month],SelMonth)</f>
        <v/>
      </c>
      <c r="F11"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12" ht="141" customHeight="1">
      <c r="A12" s="18" t="inlineStr">
        <is>
          <t>8</t>
        </is>
      </c>
      <c r="B12"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2" s="73" t="n">
        <v>33.5</v>
      </c>
      <c r="D12" s="67" t="inlineStr">
        <is>
          <t>=MEDIAN(FILTER(tblEDWaits[DoorToProviderMin],(tblEDWaits[ArrivalDateTime]&gt;=SelMonth)*(tblEDWaits[ArrivalDateTime]&lt;EDATE(SelMonth,1))))</t>
        </is>
      </c>
      <c r="E12" cm="1" s="74">
        <f t="array" ref="E12">MEDIAN(_xlfn._xlws.FILTER(tblEDWaits[DoorToProviderMin],(tblEDWaits[ArrivalDateTime]&gt;=SelMonth)*(tblEDWaits[ArrivalDateTime]&lt;EDATE(SelMonth,1))))</f>
        <v/>
      </c>
      <c r="F12"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3" ht="111" customHeight="1">
      <c r="A13" s="18" t="inlineStr">
        <is>
          <t>9</t>
        </is>
      </c>
      <c r="B13" s="19" t="inlineStr">
        <is>
          <t>Rolling 3-month ED visits for the selected facility: the selected month plus the two months before it (Sep–Nov 2025 for the default selection). Use one SUMIFS with a date window, not OFFSET.</t>
        </is>
      </c>
      <c r="C13" s="66" t="n">
        <v>221</v>
      </c>
      <c r="D13" s="67" t="inlineStr">
        <is>
          <t>=SUMIFS(tblKPI[EDVisits],tblKPI[Facility],SelFacility,tblKPI[Month],"&gt;="&amp;EDATE(SelMonth,-2),tblKPI[Month],"&lt;="&amp;SelMonth)</t>
        </is>
      </c>
      <c r="E13" cm="1" s="68">
        <f t="array" ref="E13">SUMIFS(tblKPI[EDVisits],tblKPI[Facility],SelFacility,tblKPI[Month],"&gt;="&amp;EDATE(SelMonth,-2),tblKPI[Month],"&lt;="&amp;SelMonth)</f>
        <v/>
      </c>
      <c r="F13"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t>
        </is>
      </c>
      <c r="C6" s="66" t="n">
        <v>3</v>
      </c>
      <c r="D6" s="67" t="inlineStr">
        <is>
          <t>Give each card a numeric status cell, for example for LWBS:
=IF(ISNUMBER(val),--IF(dir="Lower is better",val&lt;=tgt,val&gt;=tgt),"")
Then the scorecard is =SUM(statuses)&amp;" of "&amp;COUNT(statuses)&amp;" KPIs on target".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6">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6">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6">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6">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6">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6">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6">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6">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6">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6">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6">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2">
        <f t="array" ref="O40">_xlfn.XLOOKUP(O$39,tblTargets[KPI],tblTargets[Target])</f>
        <v/>
      </c>
      <c r="P40" cm="1" s="99">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2026-10-02T16:10:59Z</dcterms:created>
  <dcterms:modified xsi:type="dcterms:W3CDTF">2026-10-02T16:10:59Z</dcterms:modified>
</cp:coreProperties>
</file>
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Data Files" sheetId="3" state="visible" r:id="rId3"/>
    <sheet name="DenialMap" sheetId="4" state="visible" r:id="rId4"/>
    <sheet name="Starter M" sheetId="5" state="visible" r:id="rId5"/>
    <sheet name="Bonus" sheetId="6" state="visible" r:id="rId6"/>
    <sheet name="Answer Key" sheetId="7" state="hidden" r:id="rId7"/>
    <sheet name="Bonus Key" sheetId="8" state="hidden" r:id="rId8"/>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b val="1"/>
      <color rgb="001F4E79"/>
      <sz val="13"/>
    </font>
    <font>
      <i val="1"/>
      <color rgb="00595959"/>
      <sz val="10"/>
    </font>
    <font>
      <b val="1"/>
      <color rgb="00FFFFFF"/>
    </font>
    <font>
      <b val="1"/>
    </font>
    <font>
      <b val="1"/>
      <color rgb="007B2C2C"/>
      <sz val="16"/>
    </font>
    <font>
      <i val="1"/>
      <color rgb="00595959"/>
    </font>
    <font>
      <name val="Consolas"/>
      <sz val="10"/>
    </font>
    <font>
      <b val="1"/>
      <color rgb="001F4E79"/>
      <sz val="16"/>
    </font>
    <font>
      <color rgb="00404040"/>
      <sz val="11"/>
    </font>
    <font>
      <i val="1"/>
      <color rgb="00404040"/>
      <sz val="11"/>
    </font>
    <font>
      <i val="1"/>
      <color rgb="007F7F7F"/>
    </font>
    <font>
      <b val="1"/>
      <color rgb="00375623"/>
      <sz val="12"/>
    </font>
    <font>
      <b val="1"/>
      <color rgb="002E75B6"/>
      <sz val="12"/>
    </font>
    <font>
      <b val="1"/>
      <color rgb="001F4E79"/>
      <sz val="22"/>
    </font>
    <font>
      <b val="1"/>
      <color rgb="00FFFFFF"/>
      <sz val="13"/>
    </font>
    <font/>
    <font>
      <b val="1"/>
      <color rgb="001F4E79"/>
      <sz val="14"/>
    </font>
    <font>
      <name val="Consolas"/>
      <color rgb="001F3864"/>
      <sz val="10"/>
    </font>
  </fonts>
  <fills count="9">
    <fill>
      <patternFill/>
    </fill>
    <fill>
      <patternFill patternType="gray125"/>
    </fill>
    <fill>
      <patternFill patternType="solid">
        <fgColor rgb="001F4E79"/>
      </patternFill>
    </fill>
    <fill>
      <patternFill patternType="solid">
        <fgColor rgb="007B2C2C"/>
      </patternFill>
    </fill>
    <fill>
      <patternFill patternType="solid">
        <fgColor rgb="00FFF2CC"/>
      </patternFill>
    </fill>
    <fill>
      <patternFill patternType="solid">
        <fgColor rgb="00EDEDED"/>
      </patternFill>
    </fill>
    <fill>
      <patternFill patternType="solid">
        <fgColor rgb="00C6EFCE"/>
      </patternFill>
    </fill>
    <fill>
      <patternFill patternType="solid">
        <fgColor rgb="00FFC7CE"/>
      </patternFill>
    </fill>
    <fill>
      <patternFill patternType="solid">
        <fgColor rgb="00F2F2F2"/>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40">
    <xf numFmtId="0" fontId="0" fillId="0" borderId="0" pivotButton="0" quotePrefix="0" xfId="0"/>
    <xf numFmtId="0" fontId="13" fillId="0" borderId="0" pivotButton="0" quotePrefix="0" xfId="0"/>
    <xf numFmtId="0" fontId="14" fillId="0" borderId="0" pivotButton="0" quotePrefix="0" xfId="0"/>
    <xf numFmtId="0" fontId="6" fillId="0" borderId="0" pivotButton="0" quotePrefix="0" xfId="0"/>
    <xf numFmtId="0" fontId="15" fillId="2" borderId="0" pivotButton="0" quotePrefix="0" xfId="0"/>
    <xf numFmtId="0" fontId="0" fillId="2"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2" fillId="0" borderId="0" pivotButton="0" quotePrefix="0" xfId="0"/>
    <xf numFmtId="0" fontId="3"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1" fillId="0" borderId="1" applyAlignment="1" pivotButton="0" quotePrefix="0" xfId="0">
      <alignment vertical="top" wrapText="1"/>
    </xf>
    <xf numFmtId="0" fontId="0" fillId="4" borderId="2" applyAlignment="1" pivotButton="0" quotePrefix="0" xfId="0">
      <alignment horizontal="right" vertical="top"/>
    </xf>
    <xf numFmtId="0" fontId="4" fillId="0" borderId="1" applyAlignment="1" pivotButton="0" quotePrefix="0" xfId="0">
      <alignment vertical="top"/>
    </xf>
    <xf numFmtId="4" fontId="0" fillId="4" borderId="2" applyAlignment="1" pivotButton="0" quotePrefix="0" xfId="0">
      <alignment horizontal="right" vertical="top"/>
    </xf>
    <xf numFmtId="0" fontId="0" fillId="4" borderId="2" applyAlignment="1" pivotButton="0" quotePrefix="0" xfId="0">
      <alignment horizontal="left" vertical="top"/>
    </xf>
    <xf numFmtId="0" fontId="1" fillId="0" borderId="0" pivotButton="0" quotePrefix="0" xfId="0"/>
    <xf numFmtId="0" fontId="2" fillId="0" borderId="0" pivotButton="0" quotePrefix="0" xfId="0"/>
    <xf numFmtId="0" fontId="3" fillId="2" borderId="0" pivotButton="0" quotePrefix="0" xfId="0"/>
    <xf numFmtId="3" fontId="0" fillId="0" borderId="0" applyAlignment="1" pivotButton="0" quotePrefix="0" xfId="0">
      <alignment vertical="top" wrapText="1"/>
    </xf>
    <xf numFmtId="0" fontId="4" fillId="0" borderId="0" pivotButton="0" quotePrefix="0" xfId="0"/>
    <xf numFmtId="0" fontId="17" fillId="0" borderId="0" pivotButton="0" quotePrefix="0" xfId="0"/>
    <xf numFmtId="0" fontId="18" fillId="8" borderId="0" pivotButton="0" quotePrefix="0" xfId="0"/>
    <xf numFmtId="164" fontId="0" fillId="4" borderId="2" applyAlignment="1" pivotButton="0" quotePrefix="0" xfId="0">
      <alignment horizontal="right" vertical="top"/>
    </xf>
    <xf numFmtId="0" fontId="5" fillId="0" borderId="0" pivotButton="0" quotePrefix="0" xfId="0"/>
    <xf numFmtId="0" fontId="6" fillId="0" borderId="0" applyAlignment="1" pivotButton="0" quotePrefix="0" xfId="0">
      <alignment vertical="top" wrapText="1"/>
    </xf>
    <xf numFmtId="0" fontId="3" fillId="3" borderId="1" pivotButton="0" quotePrefix="0" xfId="0"/>
    <xf numFmtId="0" fontId="4" fillId="0" borderId="1" applyAlignment="1" pivotButton="0" quotePrefix="0" xfId="0">
      <alignment vertical="top" wrapText="1"/>
    </xf>
    <xf numFmtId="0" fontId="7" fillId="0" borderId="1" applyAlignment="1" pivotButton="0" quotePrefix="1" xfId="0">
      <alignment vertical="top" wrapText="1"/>
    </xf>
    <xf numFmtId="4" fontId="4" fillId="0" borderId="1" applyAlignment="1" pivotButton="0" quotePrefix="0" xfId="0">
      <alignment vertical="top" wrapText="1"/>
    </xf>
    <xf numFmtId="164" fontId="4"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blDenialMap" displayName="tblDenialMap" ref="A4:C11" headerRowCount="1">
  <autoFilter ref="A4:C11"/>
  <tableColumns count="3">
    <tableColumn id="1" name="DenialReason"/>
    <tableColumn id="2" name="RevCycleStage"/>
    <tableColumn id="3" name="OwnerTea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4E79"/>
    <outlinePr summaryBelow="1" summaryRight="1"/>
    <pageSetUpPr fitToPage="1"/>
  </sheetPr>
  <dimension ref="B1: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4.3</t>
        </is>
      </c>
    </row>
    <row r="3">
      <c r="B3" s="2" t="inlineStr">
        <is>
          <t>Power Query: Import, Transform &amp; Combine</t>
        </is>
      </c>
    </row>
    <row r="4">
      <c r="B4" s="3" t="inlineStr">
        <is>
          <t>Advanced  ·  about 70 minutes  ·  Bluestone Health System (fictional)</t>
        </is>
      </c>
    </row>
    <row r="5"/>
    <row r="6">
      <c r="B6" s="4" t="inlineStr">
        <is>
          <t>What you'll learn</t>
        </is>
      </c>
      <c r="C6" s="5" t="n"/>
    </row>
    <row r="7" ht="18" customHeight="1">
      <c r="B7" s="6" t="inlineStr">
        <is>
          <t>•</t>
        </is>
      </c>
      <c r="C7" s="7" t="inlineStr">
        <is>
          <t>Import CSV files and whole folders with Get &amp; Transform</t>
        </is>
      </c>
    </row>
    <row r="8" ht="18" customHeight="1">
      <c r="B8" s="6" t="inlineStr">
        <is>
          <t>•</t>
        </is>
      </c>
      <c r="C8" s="7" t="inlineStr">
        <is>
          <t>Clean and reshape data with Applied Steps: types, splits, filters, unpivot, group by</t>
        </is>
      </c>
    </row>
    <row r="9" ht="18" customHeight="1">
      <c r="B9" s="6" t="inlineStr">
        <is>
          <t>•</t>
        </is>
      </c>
      <c r="C9" s="7" t="inlineStr">
        <is>
          <t>Merge (join) and append queries</t>
        </is>
      </c>
    </row>
    <row r="10" ht="18" customHeight="1">
      <c r="B10" s="6" t="inlineStr">
        <is>
          <t>•</t>
        </is>
      </c>
      <c r="C10" s="7" t="inlineStr">
        <is>
          <t>Build refreshable, repeatable data pipelines and read the M code behind them</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https://github.com/lmansf/learn-excel/tree/main/04-advanced-analysis/03-power-query</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This lesson's data lives in CSV files, not in this workbook. Download the lesson's data folder (or the single file data/4.3-power-query-data.zip) and extract it before you start. The 'Data Files' sheet lists every file.</t>
        </is>
      </c>
    </row>
    <row r="19" ht="48" customHeight="1">
      <c r="B19" s="8" t="inlineStr">
        <is>
          <t>Note</t>
        </is>
      </c>
      <c r="C19" s="7" t="inlineStr">
        <is>
          <t>Build your queries in THIS workbook so tasks 9 and 11 can use the DenialMap and Starter M sheets. Power Query needs desktop Excel: Microsoft 365 or Excel 2016+ on Windows, or Microsoft 365 for Mac (see the guide's version notes).</t>
        </is>
      </c>
    </row>
    <row r="20" ht="33" customHeight="1">
      <c r="B20" s="8" t="inlineStr">
        <is>
          <t>Note</t>
        </is>
      </c>
      <c r="C20" s="7" t="inlineStr">
        <is>
          <t>Do the practice before the bonus. The bonus adds a January 2026 file to the claims folder, which changes several practice totals.</t>
        </is>
      </c>
    </row>
    <row r="21"/>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 it reads the work you did on another sheet.</t>
        </is>
      </c>
    </row>
    <row r="25" ht="18" customHeight="1">
      <c r="B25" s="11" t="inlineStr">
        <is>
          <t>✔ Correct</t>
        </is>
      </c>
      <c r="C25" s="7" t="inlineStr">
        <is>
          <t>Your answer matches the key.</t>
        </is>
      </c>
    </row>
    <row r="26" ht="18" customHeight="1">
      <c r="B26" s="12" t="inlineStr">
        <is>
          <t>✘ Not yet</t>
        </is>
      </c>
      <c r="C26" s="7" t="inlineStr">
        <is>
          <t>Not matching yet — check the hint and try again.</t>
        </is>
      </c>
    </row>
    <row r="27"/>
    <row r="28">
      <c r="B28" s="4" t="inlineStr">
        <is>
          <t>Sheets in this workbook</t>
        </is>
      </c>
      <c r="C28" s="5" t="n"/>
    </row>
    <row r="29" ht="18" customHeight="1">
      <c r="B29" s="8" t="inlineStr">
        <is>
          <t>Practice</t>
        </is>
      </c>
      <c r="C29" s="7" t="inlineStr">
        <is>
          <t>13 tasks. Build each query in Power Query, then type its result in the yellow cell.</t>
        </is>
      </c>
    </row>
    <row r="30" ht="18" customHeight="1">
      <c r="B30" s="8" t="inlineStr">
        <is>
          <t>Data Files</t>
        </is>
      </c>
      <c r="C30" s="7" t="inlineStr">
        <is>
          <t>What each CSV file in the lesson's data folder contains. Power Query reads those files from disk.</t>
        </is>
      </c>
    </row>
    <row r="31" ht="33" customHeight="1">
      <c r="B31" s="8" t="inlineStr">
        <is>
          <t>DenialMap</t>
        </is>
      </c>
      <c r="C31" s="7" t="inlineStr">
        <is>
          <t>Excel Table 'tblDenialMap': each denial reason and the team that works it. The Revenue Integrity team types it by hand (task 9).</t>
        </is>
      </c>
    </row>
    <row r="32" ht="18" customHeight="1">
      <c r="B32" s="8" t="inlineStr">
        <is>
          <t>Starter M</t>
        </is>
      </c>
      <c r="C32" s="7" t="inlineStr">
        <is>
          <t>The M code you paste into a blank query for task 11 (also in starter/AgedPending.m).</t>
        </is>
      </c>
    </row>
    <row r="33" ht="18" customHeight="1">
      <c r="B33" s="8" t="inlineStr">
        <is>
          <t>Bonus</t>
        </is>
      </c>
      <c r="C33" s="7" t="inlineStr">
        <is>
          <t>A refreshable denial dashboard, then a January 2026 file and one click of Refresh All.</t>
        </is>
      </c>
    </row>
    <row r="34" ht="63" customHeight="1">
      <c r="B34" s="8" t="inlineStr">
        <is>
          <t>About the data</t>
        </is>
      </c>
      <c r="C34" s="7" t="inlineStr">
        <is>
          <t>CSV exports in the lesson's data folder: twelve monthly files of claims submitted in 2025, a January 2026 claim file (simulated next-month export) for the bonus, the payer list, 11,196 encounters discharged in 2025, and a wide 2025 budget-vs-actual export. The workbook adds a hand-maintained denial-reason mapping table.</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4.3 · Practice</t>
        </is>
      </c>
    </row>
    <row r="2" ht="64" customHeight="1">
      <c r="A2" s="14" t="inlineStr">
        <is>
          <t>Build every query in this workbook from the CSV files in the lesson's data folder (Guide section 2), and do the tasks in order because later tasks reuse earlier queries. Name each query as the task says, because later tasks and the answer key use those names. Type each result in the yellow cell as a plain number or text. From task 3 on, the answer key's M code uses a DataFolder parameter (Guide section 12). If you skip the parameter, or work on a Mac, your code shows your full folder path in its place.</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Import claims_2025_01.csv from the claims_monthly folder with Data → Get Data → From File → From Text/CSV and load it to a new sheet. How many claims (rows, not counting the header) does the January 2025 file contain?</t>
        </is>
      </c>
      <c r="C6" s="20" t="inlineStr">
        <is>
          <t>After loading, the Queries &amp; Connections pane says 'N rows loaded'</t>
        </is>
      </c>
      <c r="D6" s="21" t="n"/>
      <c r="E6" s="22">
        <f>IF(IFERROR(D6="",FALSE),"",IF(IFERROR(AND(ISNUMBER(D6),OR(ABS(D6-'Answer Key'!$C$5)&lt;=0.0001)),FALSE),"✔ Correct","✘ Not yet"))</f>
        <v/>
      </c>
    </row>
    <row r="7" ht="51" customHeight="1">
      <c r="A7" s="18" t="inlineStr">
        <is>
          <t>2</t>
        </is>
      </c>
      <c r="B7" s="19" t="inlineStr">
        <is>
          <t>Import claims_2025_11.csv and claims_2025_12.csv as two more queries. Then, in the Power Query Editor, stack them with Home → Append Queries → Append Queries as New, and name the new query Claims_NovDec. How many rows does it return?</t>
        </is>
      </c>
      <c r="C7" s="20" t="inlineStr">
        <is>
          <t>Append stacks rows, and columns line up by name</t>
        </is>
      </c>
      <c r="D7" s="21" t="n"/>
      <c r="E7" s="22">
        <f>IF(IFERROR(D7="",FALSE),"",IF(IFERROR(AND(ISNUMBER(D7),OR(ABS(D7-'Answer Key'!$C$6)&lt;=0.0001)),FALSE),"✔ Correct","✘ Not yet"))</f>
        <v/>
      </c>
    </row>
    <row r="8" ht="51" customHeight="1">
      <c r="A8" s="18" t="inlineStr">
        <is>
          <t>3</t>
        </is>
      </c>
      <c r="B8" s="19" t="inlineStr">
        <is>
          <t>Now combine all twelve 2025 files at once. Choose Data → Get Data → From File → From Folder, select the claims_monthly folder, then Combine &amp; Transform Data. Rename the new query Claims. How many rows does Claims return?</t>
        </is>
      </c>
      <c r="C8" s="20" t="inlineStr">
        <is>
          <t>One folder query replaces twelve imports</t>
        </is>
      </c>
      <c r="D8" s="21" t="n"/>
      <c r="E8" s="22">
        <f>IF(IFERROR(D8="",FALSE),"",IF(IFERROR(AND(ISNUMBER(D8),OR(ABS(D8-'Answer Key'!$C$7)&lt;=0.0001)),FALSE),"✔ Correct","✘ Not yet"))</f>
        <v/>
      </c>
    </row>
    <row r="9" ht="51" customHeight="1">
      <c r="A9" s="18" t="inlineStr">
        <is>
          <t>4</t>
        </is>
      </c>
      <c r="B9" s="19" t="inlineStr">
        <is>
          <t>Check that PaidAmount in Claims has the Decimal Number type (1.2 icon). Then reference Claims in a new query named PaidTotal and total its PaidAmount column. What is the total PaidAmount across all 2025 claims? Enter it to the cent.</t>
        </is>
      </c>
      <c r="C9" s="20" t="inlineStr">
        <is>
          <t>Select PaidAmount, then Transform → Statistics → Sum</t>
        </is>
      </c>
      <c r="D9" s="23" t="n"/>
      <c r="E9" s="22">
        <f>IF(IFERROR(D9="",FALSE),"",IF(IFERROR(AND(ISNUMBER(D9),OR(ABS(D9-'Answer Key'!$C$8)&lt;=0.0051)),FALSE),"✔ Correct","✘ Not yet"))</f>
        <v/>
      </c>
    </row>
    <row r="10" ht="66" customHeight="1">
      <c r="A10" s="18" t="inlineStr">
        <is>
          <t>5</t>
        </is>
      </c>
      <c r="B10" s="19" t="inlineStr">
        <is>
          <t>Reference Claims in a new query named DenialsByReason, keep only rows whose ClaimStatus is Denied, and use Home → Group By on DenialReason with the operation Count Rows. How many denied claims list Authorization Required as the reason?</t>
        </is>
      </c>
      <c r="C10" s="20" t="inlineStr">
        <is>
          <t>Filter first, then Group By (Basic)</t>
        </is>
      </c>
      <c r="D10" s="21" t="n"/>
      <c r="E10" s="22">
        <f>IF(IFERROR(D10="",FALSE),"",IF(IFERROR(AND(ISNUMBER(D10),OR(ABS(D10-'Answer Key'!$C$9)&lt;=0.0001)),FALSE),"✔ Correct","✘ Not yet"))</f>
        <v/>
      </c>
    </row>
    <row r="11" ht="51" customHeight="1">
      <c r="A11" s="18" t="inlineStr">
        <is>
          <t>6</t>
        </is>
      </c>
      <c r="B11" s="19" t="inlineStr">
        <is>
          <t>Edit that Group By step (gear icon → Advanced) and add two aggregations of BilledAmount: Sum and Average. Which denial reason has the highest AVERAGE BilledAmount per denied claim? Type the reason exactly as it appears.</t>
        </is>
      </c>
      <c r="C11" s="20" t="inlineStr">
        <is>
          <t>Group By → Advanced → Add aggregation</t>
        </is>
      </c>
      <c r="D11" s="24" t="n"/>
      <c r="E11" s="22">
        <f>IF(IFERROR(D11="",FALSE),"",IF(IFERROR(OR(LOWER(TRIM(D11&amp;""))=LOWER(TRIM('Answer Key'!$C$10&amp;""))),FALSE),"✔ Correct","✘ Not yet"))</f>
        <v/>
      </c>
    </row>
    <row r="12" ht="66" customHeight="1">
      <c r="A12" s="18" t="inlineStr">
        <is>
          <t>7</t>
        </is>
      </c>
      <c r="B12" s="19" t="inlineStr">
        <is>
          <t>Import payers.csv as a query named Payers. Then reference Claims in a new query named PaidByPayerType, merge it with Payers on PayerID (Join Kind: Left Outer), expand only PayerType, and group by PayerType with Sum of PaidAmount. What was the total PaidAmount for the Commercial payer type? Enter it to the cent.</t>
        </is>
      </c>
      <c r="C12" s="20" t="inlineStr">
        <is>
          <t>Home → Merge Queries, then the expand button (two arrows) in the new column's header</t>
        </is>
      </c>
      <c r="D12" s="23" t="n"/>
      <c r="E12" s="22">
        <f>IF(IFERROR(D12="",FALSE),"",IF(IFERROR(AND(ISNUMBER(D12),OR(ABS(D12-'Answer Key'!$C$11)&lt;=0.0051)),FALSE),"✔ Correct","✘ Not yet"))</f>
        <v/>
      </c>
    </row>
    <row r="13" ht="51" customHeight="1">
      <c r="A13" s="18" t="inlineStr">
        <is>
          <t>8</t>
        </is>
      </c>
      <c r="B13" s="19" t="inlineStr">
        <is>
          <t>Reference Claims in a new query named SubmitLag and add a custom column DaysToSubmit that holds the number of days from ServiceDate to SubmitDate, with the Whole Number type. How many 2025 claims took MORE than 30 days to submit?</t>
        </is>
      </c>
      <c r="C13" s="20" t="inlineStr">
        <is>
          <t>Duration.Days turns a date difference into days. Then Number Filters → Greater Than, and count the rows</t>
        </is>
      </c>
      <c r="D13" s="21" t="n"/>
      <c r="E13" s="22">
        <f>IF(IFERROR(D13="",FALSE),"",IF(IFERROR(AND(ISNUMBER(D13),OR(ABS(D13-'Answer Key'!$C$12)&lt;=0.0001)),FALSE),"✔ Correct","✘ Not yet"))</f>
        <v/>
      </c>
    </row>
    <row r="14" ht="96" customHeight="1">
      <c r="A14" s="18" t="inlineStr">
        <is>
          <t>9</t>
        </is>
      </c>
      <c r="B14" s="19" t="inlineStr">
        <is>
          <t>Load tblDenialMap (on the DenialMap sheet) with Data → From Table/Range and name the query DenialMap. Reference Claims in a new query named DenialsByOwner, keep the Denied rows, merge them with the map on DenialReason (Left Outer), and expand OwnerTeam. Check that EVERY denied claim found a match (no null OwnerTeam), and fix the keys in the map query if some didn't. What is the total denied BilledAmount owned by Patient Access? Enter it to the cent.</t>
        </is>
      </c>
      <c r="C14" s="20" t="inlineStr">
        <is>
          <t>Merges match text exactly: look at Transform → Format → Trim and Capitalize Each Word</t>
        </is>
      </c>
      <c r="D14" s="23" t="n"/>
      <c r="E14" s="22">
        <f>IF(IFERROR(D14="",FALSE),"",IF(IFERROR(AND(ISNUMBER(D14),OR(ABS(D14-'Answer Key'!$C$13)&lt;=0.0051)),FALSE),"✔ Correct","✘ Not yet"))</f>
        <v/>
      </c>
    </row>
    <row r="15" ht="66" customHeight="1">
      <c r="A15" s="18" t="inlineStr">
        <is>
          <t>10</t>
        </is>
      </c>
      <c r="B15" s="19" t="inlineStr">
        <is>
          <t>Import encounters_2025.csv (one row per encounter discharged in 2025) as a query named Encounters2025. Use Merge Queries as New with Encounters2025 on top, Claims below, EncounterID in both, and Join Kind Left Anti. Name the new query Unbilled. How many 2025 encounters have no claim in the 2025 claim files?</t>
        </is>
      </c>
      <c r="C15" s="20" t="inlineStr">
        <is>
          <t>Left Anti = rows only in the first (top) table</t>
        </is>
      </c>
      <c r="D15" s="21" t="n"/>
      <c r="E15" s="22">
        <f>IF(IFERROR(D15="",FALSE),"",IF(IFERROR(AND(ISNUMBER(D15),OR(ABS(D15-'Answer Key'!$C$14)&lt;=0.0001)),FALSE),"✔ Correct","✘ Not yet"))</f>
        <v/>
      </c>
    </row>
    <row r="16" ht="96" customHeight="1">
      <c r="A16" s="18" t="inlineStr">
        <is>
          <t>11</t>
        </is>
      </c>
      <c r="B16" s="19" t="inlineStr">
        <is>
          <t>Create a blank query (Data → Get Data → From Other Sources → Blank Query), name it AgedPending, open Home → Advanced Editor, and replace its contents with the starter code on the Starter M sheet (also in starter/AgedPending.m). It lists Pending claims more than 60 days old as of 12/31/2025. Read the code, change it to more than 90 days, and report how many Pending claims are more than 90 days old.</t>
        </is>
      </c>
      <c r="C16" s="20" t="inlineStr">
        <is>
          <t>Find the step that compares DaysPending with 60</t>
        </is>
      </c>
      <c r="D16" s="21" t="n"/>
      <c r="E16" s="22">
        <f>IF(IFERROR(D16="",FALSE),"",IF(IFERROR(AND(ISNUMBER(D16),OR(ABS(D16-'Answer Key'!$C$15)&lt;=0.0001)),FALSE),"✔ Correct","✘ Not yet"))</f>
        <v/>
      </c>
    </row>
    <row r="17" ht="81" customHeight="1">
      <c r="A17" s="18" t="inlineStr">
        <is>
          <t>12</t>
        </is>
      </c>
      <c r="B17" s="19" t="inlineStr">
        <is>
          <t>Import budget_2025_wide.csv as a query named Budget2025. Remove the FY Total column, select the five label columns (FacilityID, Department, LineType, Category, Measure), and choose Transform → Unpivot Columns → Unpivot Other Columns. Rename Attribute to Month and Value to Amount. How many rows does Budget2025 return?</t>
        </is>
      </c>
      <c r="C17" s="20" t="inlineStr">
        <is>
          <t>Unpivot Other Columns keeps the selected columns and unpivots the rest</t>
        </is>
      </c>
      <c r="D17" s="21" t="n"/>
      <c r="E17" s="22">
        <f>IF(IFERROR(D17="",FALSE),"",IF(IFERROR(AND(ISNUMBER(D17),OR(ABS(D17-'Answer Key'!$C$16)&lt;=0.0001)),FALSE),"✔ Correct","✘ Not yet"))</f>
        <v/>
      </c>
    </row>
    <row r="18" ht="96" customHeight="1">
      <c r="A18" s="18" t="inlineStr">
        <is>
          <t>13</t>
        </is>
      </c>
      <c r="B18" s="19" t="inlineStr">
        <is>
          <t>In Budget2025, split Department (for example '6130 - Intensive Care Unit') into CostCenter and DeptName with Transform → Split Column → By Delimiter, using ' - ' (space, hyphen, space) at the left-most delimiter. Then reference Budget2025 in a new query named ICU_Q1_Salaries. What was the Q1 2025 (Jan–Mar) Actual Salaries &amp; Wages for all three departments named Intensive Care Unit combined? Enter whole dollars.</t>
        </is>
      </c>
      <c r="C18" s="20" t="inlineStr">
        <is>
          <t>Filter DeptName, Category, Measure, and Month, then Transform → Statistics → Sum on Amount (or Group By)</t>
        </is>
      </c>
      <c r="D18" s="21" t="n"/>
      <c r="E18" s="22">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10"/>
  <sheetViews>
    <sheetView tabSelected="0" workbookViewId="0">
      <pane ySplit="4" topLeftCell="A5" activePane="bottomLeft" state="frozen"/>
      <selection pane="bottomLeft" activeCell="A1" sqref="A1"/>
    </sheetView>
  </sheetViews>
  <sheetFormatPr baseColWidth="8" defaultRowHeight="15"/>
  <cols>
    <col width="58" customWidth="1" min="1" max="1"/>
    <col width="9" customWidth="1" min="2" max="2"/>
    <col width="80" customWidth="1" min="3" max="3"/>
  </cols>
  <sheetData>
    <row r="1">
      <c r="A1" s="25" t="inlineStr">
        <is>
          <t>Lesson 4.3 data files (CSV, in the lesson's data folder)</t>
        </is>
      </c>
    </row>
    <row r="2">
      <c r="A2" s="26" t="inlineStr">
        <is>
          <t>Power Query reads these files from disk. The workbook doesn't contain them, so download and extract the data folder first (see Guide section 2).</t>
        </is>
      </c>
    </row>
    <row r="3">
      <c r="A3" s="26" t="inlineStr">
        <is>
          <t>Tip: copy the folder to a short path such as C:\PQ\data (Mac: /Users/you/PQ/data).</t>
        </is>
      </c>
    </row>
    <row r="4">
      <c r="A4" s="27" t="inlineStr">
        <is>
          <t>File</t>
        </is>
      </c>
      <c r="B4" s="27" t="inlineStr">
        <is>
          <t>Rows</t>
        </is>
      </c>
      <c r="C4" s="27" t="inlineStr">
        <is>
          <t>Contents</t>
        </is>
      </c>
    </row>
    <row r="5" ht="32" customHeight="1">
      <c r="A5" s="7" t="inlineStr">
        <is>
          <t>data/claims_monthly/claims_2025_01.csv … claims_2025_12.csv</t>
        </is>
      </c>
      <c r="B5" s="28" t="n"/>
      <c r="C5" s="7" t="inlineStr">
        <is>
          <t>One file per month of claims SUBMITTED in 2025 (12 files, 13 columns each, same layout as the course's claims.csv). Used from task 1 on.</t>
        </is>
      </c>
    </row>
    <row r="6" ht="47" customHeight="1">
      <c r="A6" s="7" t="inlineStr">
        <is>
          <t>data/new_month/claims_2026_01.csv</t>
        </is>
      </c>
      <c r="B6" s="28" t="n">
        <v>204</v>
      </c>
      <c r="C6" s="7" t="inlineStr">
        <is>
          <t>Simulated next-month export: claims submitted in January 2026 for services in late 2025 (the course data is otherwise as of 12/31/2025). Bonus only: keep it out of claims_monthly until the bonus tells you to copy it in.</t>
        </is>
      </c>
    </row>
    <row r="7" ht="32" customHeight="1">
      <c r="A7" s="7" t="inlineStr">
        <is>
          <t>data/payers.csv</t>
        </is>
      </c>
      <c r="B7" s="28" t="n">
        <v>8</v>
      </c>
      <c r="C7" s="7" t="inlineStr">
        <is>
          <t>Payer list: PayerID, PayerName, PayerType, contract terms.</t>
        </is>
      </c>
    </row>
    <row r="8" ht="32" customHeight="1">
      <c r="A8" s="7" t="inlineStr">
        <is>
          <t>data/encounters_2025.csv</t>
        </is>
      </c>
      <c r="B8" s="28" t="n">
        <v>11196</v>
      </c>
      <c r="C8" s="7" t="inlineStr">
        <is>
          <t>Encounters DISCHARGED in 2025 (10 columns: IDs, type, facility, department, admit/discharge, diagnosis, payer, charges).</t>
        </is>
      </c>
    </row>
    <row r="9" ht="32" customHeight="1">
      <c r="A9" s="7" t="inlineStr">
        <is>
          <t>data/budget_2025_wide.csv</t>
        </is>
      </c>
      <c r="B9" s="28" t="n"/>
      <c r="C9" s="7" t="inlineStr">
        <is>
          <t>2025 budget and actual by department and category: one row per Budget/Actual line, one column per month (Jan–Dec) plus an FY Total column.</t>
        </is>
      </c>
    </row>
    <row r="10" ht="32" customHeight="1">
      <c r="A10" s="7" t="inlineStr">
        <is>
          <t>data/4.3-power-query-data.zip</t>
        </is>
      </c>
      <c r="B10" s="28" t="n"/>
      <c r="C10" s="7" t="inlineStr">
        <is>
          <t>All of the files above in one download. Extract it (for example to C:\PQ) before you import.</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11"/>
  <sheetViews>
    <sheetView tabSelected="0" workbookViewId="0">
      <pane ySplit="4" topLeftCell="A5" activePane="bottomLeft" state="frozen"/>
      <selection pane="bottomLeft" activeCell="A1" sqref="A1"/>
    </sheetView>
  </sheetViews>
  <sheetFormatPr baseColWidth="8" defaultRowHeight="15"/>
  <cols>
    <col width="30" customWidth="1" min="1" max="1"/>
    <col width="16" customWidth="1" min="2" max="2"/>
    <col width="30" customWidth="1" min="3" max="3"/>
  </cols>
  <sheetData>
    <row r="1">
      <c r="A1" s="25" t="inlineStr">
        <is>
          <t>Denial reason → owner team (typed by hand)</t>
        </is>
      </c>
    </row>
    <row r="2">
      <c r="A2" s="26" t="inlineStr">
        <is>
          <t>Load this Table into Power Query with Data → From Table/Range (task 9).</t>
        </is>
      </c>
    </row>
    <row r="3">
      <c r="A3" s="26" t="inlineStr">
        <is>
          <t>Each reason should appear once. OwnerTeam is the team that works that kind of denial.</t>
        </is>
      </c>
    </row>
    <row r="4">
      <c r="A4" s="29" t="inlineStr">
        <is>
          <t>DenialReason</t>
        </is>
      </c>
      <c r="B4" s="29" t="inlineStr">
        <is>
          <t>RevCycleStage</t>
        </is>
      </c>
      <c r="C4" s="29" t="inlineStr">
        <is>
          <t>OwnerTeam</t>
        </is>
      </c>
    </row>
    <row r="5">
      <c r="A5" t="inlineStr">
        <is>
          <t xml:space="preserve">Authorization Required </t>
        </is>
      </c>
      <c r="B5" t="inlineStr">
        <is>
          <t>Front End</t>
        </is>
      </c>
      <c r="C5" t="inlineStr">
        <is>
          <t>Patient Access</t>
        </is>
      </c>
    </row>
    <row r="6">
      <c r="A6" t="inlineStr">
        <is>
          <t>Eligibility / Coverage</t>
        </is>
      </c>
      <c r="B6" t="inlineStr">
        <is>
          <t>Front End</t>
        </is>
      </c>
      <c r="C6" t="inlineStr">
        <is>
          <t>Patient Access</t>
        </is>
      </c>
    </row>
    <row r="7">
      <c r="A7" t="inlineStr">
        <is>
          <t>Medical Necessity</t>
        </is>
      </c>
      <c r="B7" t="inlineStr">
        <is>
          <t>Mid-Cycle</t>
        </is>
      </c>
      <c r="C7" t="inlineStr">
        <is>
          <t>Utilization Review</t>
        </is>
      </c>
    </row>
    <row r="8">
      <c r="A8" t="inlineStr">
        <is>
          <t>Missing Documentation</t>
        </is>
      </c>
      <c r="B8" t="inlineStr">
        <is>
          <t>Mid-Cycle</t>
        </is>
      </c>
      <c r="C8" t="inlineStr">
        <is>
          <t>HIM &amp; Coding</t>
        </is>
      </c>
    </row>
    <row r="9">
      <c r="A9" t="inlineStr">
        <is>
          <t>Coding Error</t>
        </is>
      </c>
      <c r="B9" t="inlineStr">
        <is>
          <t>Mid-Cycle</t>
        </is>
      </c>
      <c r="C9" t="inlineStr">
        <is>
          <t>HIM &amp; Coding</t>
        </is>
      </c>
    </row>
    <row r="10">
      <c r="A10" t="inlineStr">
        <is>
          <t>Duplicate Claim</t>
        </is>
      </c>
      <c r="B10" t="inlineStr">
        <is>
          <t>Back End</t>
        </is>
      </c>
      <c r="C10" t="inlineStr">
        <is>
          <t>Business Office</t>
        </is>
      </c>
    </row>
    <row r="11">
      <c r="A11" t="inlineStr">
        <is>
          <t>Timely filing</t>
        </is>
      </c>
      <c r="B11" t="inlineStr">
        <is>
          <t>Back End</t>
        </is>
      </c>
      <c r="C11" t="inlineStr">
        <is>
          <t>Business Office</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7030A0"/>
    <outlinePr summaryBelow="1" summaryRight="1"/>
    <pageSetUpPr fitToPage="1"/>
  </sheetPr>
  <dimension ref="A1:A16"/>
  <sheetViews>
    <sheetView tabSelected="0" workbookViewId="0">
      <selection activeCell="A1" sqref="A1"/>
    </sheetView>
  </sheetViews>
  <sheetFormatPr baseColWidth="8" defaultRowHeight="15"/>
  <cols>
    <col width="135" customWidth="1" min="1" max="1"/>
  </cols>
  <sheetData>
    <row r="1">
      <c r="A1" s="30" t="inlineStr">
        <is>
          <t>Task 11 · Starter M code for the AgedPending query</t>
        </is>
      </c>
    </row>
    <row r="2">
      <c r="A2" s="3" t="inlineStr">
        <is>
          <t>Select A4:A16, copy (Ctrl + C, Mac: ⌘ + C), then paste into Home → Advanced Editor of a new Blank Query.</t>
        </is>
      </c>
    </row>
    <row r="3">
      <c r="A3" s="3" t="inlineStr">
        <is>
          <t>Replace everything that was in the Advanced Editor window. The same code is in starter/AgedPending.m.</t>
        </is>
      </c>
    </row>
    <row r="4">
      <c r="A4" s="31" t="inlineStr">
        <is>
          <t>// AgedPending: Pending claims that have waited too long for payment.</t>
        </is>
      </c>
    </row>
    <row r="5">
      <c r="A5" s="31" t="inlineStr">
        <is>
          <t>// Paste into Data &gt; Get Data &gt; From Other Sources &gt; Blank Query &gt; Home &gt; Advanced Editor.</t>
        </is>
      </c>
    </row>
    <row r="6">
      <c r="A6" s="31" t="inlineStr">
        <is>
          <t>// It reads your Claims query (task 3), so that query must exist and be named Claims.</t>
        </is>
      </c>
    </row>
    <row r="7">
      <c r="A7" s="31" t="inlineStr">
        <is>
          <t>let</t>
        </is>
      </c>
    </row>
    <row r="8">
      <c r="A8" s="31" t="inlineStr">
        <is>
          <t xml:space="preserve">    Source = Claims,</t>
        </is>
      </c>
    </row>
    <row r="9">
      <c r="A9" s="31" t="inlineStr">
        <is>
          <t xml:space="preserve">    AsOf = #date(2025, 12, 31),</t>
        </is>
      </c>
    </row>
    <row r="10">
      <c r="A10" s="31" t="inlineStr">
        <is>
          <t xml:space="preserve">    PendingOnly = Table.SelectRows(Source, each [ClaimStatus] = "Pending"),</t>
        </is>
      </c>
    </row>
    <row r="11">
      <c r="A11" s="31" t="inlineStr">
        <is>
          <t xml:space="preserve">    AddDaysPending = Table.AddColumn(PendingOnly, "DaysPending", each Duration.Days(AsOf - [SubmitDate]), Int64.Type),</t>
        </is>
      </c>
    </row>
    <row r="12">
      <c r="A12" s="31" t="inlineStr">
        <is>
          <t xml:space="preserve">    Aged = Table.SelectRows(AddDaysPending, each [DaysPending] &gt; 60),</t>
        </is>
      </c>
    </row>
    <row r="13">
      <c r="A13" s="31" t="inlineStr">
        <is>
          <t xml:space="preserve">    KeepColumns = Table.SelectColumns(Aged, {"ClaimID", "PayerID", "SubmitDate", "BilledAmount", "DaysPending"}),</t>
        </is>
      </c>
    </row>
    <row r="14">
      <c r="A14" s="31" t="inlineStr">
        <is>
          <t xml:space="preserve">    Sorted = Table.Sort(KeepColumns, {{"DaysPending", Order.Descending}})</t>
        </is>
      </c>
    </row>
    <row r="15">
      <c r="A15" s="31" t="inlineStr">
        <is>
          <t>in</t>
        </is>
      </c>
    </row>
    <row r="16">
      <c r="A16" s="31" t="inlineStr">
        <is>
          <t xml:space="preserve">    Sorted</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4.3 · Bonus: A refreshable denial dashboard</t>
        </is>
      </c>
    </row>
    <row r="2" ht="64" customHeight="1">
      <c r="A2" s="14" t="inlineStr">
        <is>
          <t>It's the first week of February 2026 and the CFO wants a denial dashboard she can refresh every month without anyone rebuilding it. Build it on top of your Claims query. First, make the pipeline portable: if you haven't yet, create the DataFolder parameter (Guide section 12) and use it in the Source steps of Claims and its Sample File helper query (on a Mac, keep the full paths instead). Answer B1–B3 BEFORE you add the January 2026 file, then follow B4 and B5.</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B1</t>
        </is>
      </c>
      <c r="B6" s="19" t="inlineStr">
        <is>
          <t>Build a query named DenialDashboard: reference Claims, keep Denied claims, merge Payers to get PayerType, and group by BOTH PayerType and DenialReason with Count Rows and Sum of BilledAmount. What is the denied BilledAmount for Government + Authorization Required? Enter it to the cent.</t>
        </is>
      </c>
      <c r="C6" s="20" t="inlineStr">
        <is>
          <t>Select PayerType and DenialReason before you click Group By, or use Add grouping in the Advanced dialog</t>
        </is>
      </c>
      <c r="D6" s="23" t="n"/>
      <c r="E6" s="22">
        <f>IF(IFERROR(D6="",FALSE),"",IF(IFERROR(AND(ISNUMBER(D6),OR(ABS(D6-'Bonus Key'!$C$5)&lt;=0.0051)),FALSE),"✔ Correct","✘ Not yet"))</f>
        <v/>
      </c>
    </row>
    <row r="7" ht="81" customHeight="1">
      <c r="A7" s="18" t="inlineStr">
        <is>
          <t>B2</t>
        </is>
      </c>
      <c r="B7" s="19" t="inlineStr">
        <is>
          <t>Build a query named DenialRateByPayerType from ALL claims: reference Claims, merge Payers for PayerType, and add a conditional column IsDenied (1 if ClaimStatus is Denied, otherwise 0). Group by PayerType with two aggregations: AllClaims (Count Rows) and Denied (Sum of IsDenied). Which payer type has the highest denial rate (denied claims ÷ all claims)?</t>
        </is>
      </c>
      <c r="C7" s="20" t="inlineStr">
        <is>
          <t>After the Group By step, add a custom column DenialRate = [Denied] / [AllClaims] and sort it</t>
        </is>
      </c>
      <c r="D7" s="24" t="n"/>
      <c r="E7" s="22">
        <f>IF(IFERROR(D7="",FALSE),"",IF(IFERROR(OR(LOWER(TRIM(D7&amp;""))=LOWER(TRIM('Bonus Key'!$C$6&amp;""))),FALSE),"✔ Correct","✘ Not yet"))</f>
        <v/>
      </c>
    </row>
    <row r="8" ht="36" customHeight="1">
      <c r="A8" s="18" t="inlineStr">
        <is>
          <t>B3</t>
        </is>
      </c>
      <c r="B8" s="19" t="inlineStr">
        <is>
          <t>What is that payer type's denial rate? Enter it as a percentage rounded to 1 decimal place.</t>
        </is>
      </c>
      <c r="C8" s="20" t="inlineStr">
        <is>
          <t>Click the type icon in the DenialRate header and choose Percentage</t>
        </is>
      </c>
      <c r="D8" s="32" t="n"/>
      <c r="E8" s="22">
        <f>IF(IFERROR(D8="",FALSE),"",IF(IFERROR(AND(ISNUMBER(D8),OR(ABS(D8-'Bonus Key'!$C$7)&lt;=0.00051,ABS(D8-'Bonus Key'!$C$7*100)&lt;=0.051000000000000004)),FALSE),"✔ Correct","✘ Not yet"))</f>
        <v/>
      </c>
    </row>
    <row r="9" ht="51" customHeight="1">
      <c r="A9" s="18" t="inlineStr">
        <is>
          <t>B4</t>
        </is>
      </c>
      <c r="B9" s="19" t="inlineStr">
        <is>
          <t>Now copy data\new_month\claims_2026_01.csv into the claims_monthly folder and click Data → Refresh All. You don't edit any query. What is the denied BilledAmount for Government + Authorization Required now? Enter it to the cent.</t>
        </is>
      </c>
      <c r="C9" s="20" t="inlineStr">
        <is>
          <t>Every query built on Claims re-reads the folder when you refresh</t>
        </is>
      </c>
      <c r="D9" s="23" t="n"/>
      <c r="E9" s="22">
        <f>IF(IFERROR(D9="",FALSE),"",IF(IFERROR(AND(ISNUMBER(D9),OR(ABS(D9-'Bonus Key'!$C$8)&lt;=0.0051)),FALSE),"✔ Correct","✘ Not yet"))</f>
        <v/>
      </c>
    </row>
    <row r="10" ht="36" customHeight="1">
      <c r="A10" s="18" t="inlineStr">
        <is>
          <t>B5</t>
        </is>
      </c>
      <c r="B10" s="19" t="inlineStr">
        <is>
          <t>Your Unbilled query (task 10) refreshed too. How many 2025 encounters are still unbilled now that the January 2026 claims are in?</t>
        </is>
      </c>
      <c r="C10" s="20" t="inlineStr">
        <is>
          <t>Look at the Queries &amp; Connections pane after the refresh</t>
        </is>
      </c>
      <c r="D10" s="21" t="n"/>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90" customWidth="1" min="4" max="4"/>
    <col width="8" customWidth="1" min="5" max="5"/>
    <col width="62" customWidth="1" min="6" max="6"/>
  </cols>
  <sheetData>
    <row r="1">
      <c r="A1" s="33" t="inlineStr">
        <is>
          <t>🔑 Answer Key — Lesson 4.3</t>
        </is>
      </c>
    </row>
    <row r="2" ht="47" customHeight="1">
      <c r="A2" s="34" t="inlineStr">
        <is>
          <t>Spoiler alert: try every task before reading this sheet. Column C is the value the Check column compares against. Column D is the M code (or the steps) that produces it. Long code is cut off in its cell, so click the cell and read it in the formula bar, or open the matching .m file in the lesson's solutions folder. Column E is blank because Power Query results can't be recalculated by a cell formula.</t>
        </is>
      </c>
    </row>
    <row r="4">
      <c r="A4" s="35" t="inlineStr">
        <is>
          <t>#</t>
        </is>
      </c>
      <c r="B4" s="35" t="inlineStr">
        <is>
          <t>Task</t>
        </is>
      </c>
      <c r="C4" s="35" t="inlineStr">
        <is>
          <t>Answer</t>
        </is>
      </c>
      <c r="D4" s="35" t="inlineStr">
        <is>
          <t>Sample solution</t>
        </is>
      </c>
      <c r="E4" s="35" t="inlineStr">
        <is>
          <t>Live result</t>
        </is>
      </c>
      <c r="F4" s="35" t="inlineStr">
        <is>
          <t>Explanation</t>
        </is>
      </c>
    </row>
    <row r="5" ht="175" customHeight="1">
      <c r="A5" s="18" t="inlineStr">
        <is>
          <t>1</t>
        </is>
      </c>
      <c r="B5" s="19" t="inlineStr">
        <is>
          <t>Import claims_2025_01.csv from the claims_monthly folder with Data → Get Data → From File → From Text/CSV and load it to a new sheet. How many claims (rows, not counting the header) does the January 2025 file contain?</t>
        </is>
      </c>
      <c r="C5" s="36" t="n">
        <v>1089</v>
      </c>
      <c r="D5" s="37" t="inlineStr">
        <is>
          <t>// Query: claims_2025_01
// Data &gt; Get Data &gt; From File &gt; From Text/CSV &gt; pick the file &gt; Transform Data (or Load)
let
    Source = Csv.Document(File.Contents("C:\PQ\data\claims_monthly\claims_2025_01.csv"),[Delimiter=",", Columns=13, Encoding=65001, QuoteStyle=QuoteStyle.None]),
    #"Promoted Headers" = Table.PromoteHeaders(Source, [PromoteAllScalars=true]),
    #"Changed Type" = Table.TransformColumnTypes(#"Promoted Headers",{{"ClaimID", type text}, {"EncounterID", type text}, {"PatientID", type text}, {"PayerID", type text}, {"ServiceDate", type date}, {"SubmitDate", type date}, {"BilledAmount", type number}, {"AllowedAmount", type number}, {"PatientResponsibility", type number}, {"PaidAmount", type number}, {"ClaimStatus", type text}, {"DenialReason", type text}, {"PaidDate", type date}})
in
    #"Changed Type"</t>
        </is>
      </c>
      <c r="E5" s="18" t="inlineStr">
        <is>
          <t>—</t>
        </is>
      </c>
      <c r="F5" s="19" t="inlineStr">
        <is>
          <t>From Text/CSV writes three steps for you. Source reads the file with Csv.Document, Promoted Headers turns the first line into column names, and Changed Type sets each column's data type from the first 200 rows. The status bar inside the editor only counts the rows in the preview, so read the total from the Queries &amp; Connections pane (or from the loaded Table) after Close &amp; Load.</t>
        </is>
      </c>
    </row>
    <row r="6" ht="110" customHeight="1">
      <c r="A6" s="18" t="inlineStr">
        <is>
          <t>2</t>
        </is>
      </c>
      <c r="B6" s="19" t="inlineStr">
        <is>
          <t>Import claims_2025_11.csv and claims_2025_12.csv as two more queries. Then, in the Power Query Editor, stack them with Home → Append Queries → Append Queries as New, and name the new query Claims_NovDec. How many rows does it return?</t>
        </is>
      </c>
      <c r="C6" s="36" t="n">
        <v>2065</v>
      </c>
      <c r="D6" s="37" t="inlineStr">
        <is>
          <t>// Import claims_2025_11.csv and claims_2025_12.csv the same way as task 1, then
// Home &gt; Append Queries &gt; Append Queries as New &gt; Two tables &gt; claims_2025_11 + claims_2025_12
// Query: Claims_NovDec
let
    Source = Table.Combine({claims_2025_11, claims_2025_12})
in
    Source</t>
        </is>
      </c>
      <c r="E6" s="18" t="inlineStr">
        <is>
          <t>—</t>
        </is>
      </c>
      <c r="F6" s="19" t="inlineStr">
        <is>
          <t>Appending stacks the rows of one query under another (Table.Combine). It matches columns by name, not position, so files with the same headers line up even if the column order differs. The result has November's rows plus December's rows. Appending works for two or three files, but importing twelve files one by one doesn't scale, which is what task 3 fixes.</t>
        </is>
      </c>
    </row>
    <row r="7" ht="409" customHeight="1">
      <c r="A7" s="18" t="inlineStr">
        <is>
          <t>3</t>
        </is>
      </c>
      <c r="B7" s="19" t="inlineStr">
        <is>
          <t>Now combine all twelve 2025 files at once. Choose Data → Get Data → From File → From Folder, select the claims_monthly folder, then Combine &amp; Transform Data. Rename the new query Claims. How many rows does Claims return?</t>
        </is>
      </c>
      <c r="C7" s="36" t="n">
        <v>11175</v>
      </c>
      <c r="D7" s="37" t="inlineStr">
        <is>
          <t>// Query: Claims   (Data &gt; Get Data &gt; From File &gt; From Folder &gt; pick claims_monthly &gt; Combine &amp; Transform Data,
// choose the first file as the sample, OK, then rename the query from claims_monthly to Claims)
// Excel also creates a "Helper Queries" group (Sample File, Parameter1, Transform Sample File, Transform File).
// The Source line below uses the DataFolder parameter (Guide section 12); the generated code has your full path.
// The helper query Sample File repeats the folder path in its own Source step, so make the same change there:
//     Source = Folder.Files(DataFolder &amp; "claims_monthly"),
// (On a Mac, keep full paths such as "/Users/you/PQ/data/claims_monthly" instead of the parameter.)
// Step names can differ slightly between Excel versions. Optional hardening (Guide section 11): insert
//     #"CSV Only" = Table.SelectRows(Source, each Text.Lower([Extension]) = ".csv"),
// after Source (and make the next step read #"CSV Only") so stray files, such as a Mac .DS_Store file,
// are never combined.
let
    Source = Folder.Files(DataFolder &amp; "claims_monthly"),
    #"Filtered Hidden Files1" = Table.SelectRows(Source, each [Attributes]?[Hidden]? &lt;&gt; true),
    #"Invoke Custom Function1" = Table.AddColumn(#"Filtered Hidden Files1", "Transform File", each #"Transform File"([Content])),
    #"Renamed Columns1" = Table.RenameColumns(#"Invoke Custom Function1", {"Name", "Source.Name"}),
    #"Removed Other Columns1" = Table.SelectColumns(#"Renamed Columns1", {"Source.Name", "Transform File"}),
    #"Expanded Table Column1" = Table.ExpandTableColumn(#"Removed Other Columns1", "Transform File", Table.ColumnNames(#"Transform File"(#"Sample File"))),
    #"Changed Type" = Table.TransformColumnTypes(#"Expanded Table Column1",{{"Source.Name", type text}, {"ClaimID", type text}, {"EncounterID", type text}, {"PatientID", type text}, {"PayerID", type text}, {"ServiceDate", type date}, {"SubmitDate", type date}, {"BilledAmount", type number}, {"AllowedAmount", type number}, {"PatientResponsibility", type number}, {"PaidAmount", type number}, {"ClaimStatus", type text}, {"DenialReason", type text}, {"PaidDate", type date}})
in
    #"Changed Type"</t>
        </is>
      </c>
      <c r="E7" s="18" t="inlineStr">
        <is>
          <t>—</t>
        </is>
      </c>
      <c r="F7" s="19" t="inlineStr">
        <is>
          <t>From Folder lists every file in the folder (and its subfolders), runs the same transformation on each one through the helper function *Transform File*, and appends the results. It also adds a Source.Name column with each row's file name, which is handy for tracing a row back to its export. Next month you drop a new file into the folder and click Refresh, with no new query needed.</t>
        </is>
      </c>
    </row>
    <row r="8" ht="136" customHeight="1">
      <c r="A8" s="18" t="inlineStr">
        <is>
          <t>4</t>
        </is>
      </c>
      <c r="B8" s="19" t="inlineStr">
        <is>
          <t>Check that PaidAmount in Claims has the Decimal Number type (1.2 icon). Then reference Claims in a new query named PaidTotal and total its PaidAmount column. What is the total PaidAmount across all 2025 claims? Enter it to the cent.</t>
        </is>
      </c>
      <c r="C8" s="38" t="n">
        <v>30816087.11</v>
      </c>
      <c r="D8" s="37" t="inlineStr">
        <is>
          <t>// Right-click Claims &gt; Reference, rename the new query PaidTotal,
// select the PaidAmount column &gt; Transform &gt; Statistics &gt; Sum. The preview shows one number.
let
    Source = Claims,
    #"Calculated Sum" = List.Sum(Source[PaidAmount])
in
    #"Calculated Sum"
// Alternative: load Claims to a sheet and type =SUM(Claims[PaidAmount]) in any empty cell.</t>
        </is>
      </c>
      <c r="E8" s="18" t="inlineStr">
        <is>
          <t>—</t>
        </is>
      </c>
      <c r="F8" s="19" t="inlineStr">
        <is>
          <t>Reference creates a new query whose source is the output of Claims, so you can summarize without changing Claims itself. Statistics → Sum turns the query into a single number (List.Sum). Never add that step to Claims, because every query built on Claims would then receive a number instead of a table. If PaidAmount were still Text (ABC icon), Sum would be grayed out.</t>
        </is>
      </c>
    </row>
    <row r="9" ht="123" customHeight="1">
      <c r="A9" s="18" t="inlineStr">
        <is>
          <t>5</t>
        </is>
      </c>
      <c r="B9" s="19" t="inlineStr">
        <is>
          <t>Reference Claims in a new query named DenialsByReason, keep only rows whose ClaimStatus is Denied, and use Home → Group By on DenialReason with the operation Count Rows. How many denied claims list Authorization Required as the reason?</t>
        </is>
      </c>
      <c r="C9" s="36" t="n">
        <v>297</v>
      </c>
      <c r="D9" s="37" t="inlineStr">
        <is>
          <t>// Query: DenialsByReason   (right-click Claims &gt; Reference)
let
    Source = Claims,
    #"Filtered Rows" = Table.SelectRows(Source, each ([ClaimStatus] = "Denied")),
    #"Grouped Rows" = Table.Group(#"Filtered Rows", {"DenialReason"}, {{"Claims", each Table.RowCount(_), Int64.Type}}),
    #"Sorted Rows" = Table.Sort(#"Grouped Rows",{{"Claims", Order.Descending}})
in
    #"Sorted Rows"</t>
        </is>
      </c>
      <c r="E9" s="18" t="inlineStr">
        <is>
          <t>—</t>
        </is>
      </c>
      <c r="F9" s="19" t="inlineStr">
        <is>
          <t>Group By collapses the rows into one row per DenialReason and counts the rows in each group, like a PivotTable, but the result is a table that refreshes with the data. The filter must come before the Group By step: Applied Steps run top to bottom, and each step works on the output of the step above it. Authorization Required is the most common reason.</t>
        </is>
      </c>
    </row>
    <row r="10" ht="162" customHeight="1">
      <c r="A10" s="18" t="inlineStr">
        <is>
          <t>6</t>
        </is>
      </c>
      <c r="B10" s="19" t="inlineStr">
        <is>
          <t>Edit that Group By step (gear icon → Advanced) and add two aggregations of BilledAmount: Sum and Average. Which denial reason has the highest AVERAGE BilledAmount per denied claim? Type the reason exactly as it appears.</t>
        </is>
      </c>
      <c r="C10" s="36" t="inlineStr">
        <is>
          <t>Medical Necessity</t>
        </is>
      </c>
      <c r="D10" s="37" t="inlineStr">
        <is>
          <t>// Query: DenialsByReason, Grouped Rows step edited (gear icon &gt; Advanced &gt; Add aggregation)
let
    Source = Claims,
    #"Filtered Rows" = Table.SelectRows(Source, each ([ClaimStatus] = "Denied")),
    #"Grouped Rows" = Table.Group(#"Filtered Rows", {"DenialReason"}, {
        {"Claims", each Table.RowCount(_), Int64.Type},
        {"BilledDenied", each List.Sum([BilledAmount]), type nullable number},
        {"AvgBilled", each List.Average([BilledAmount]), type nullable number}}),
    #"Sorted Rows" = Table.Sort(#"Grouped Rows",{{"AvgBilled", Order.Descending}})
in
    #"Sorted Rows"</t>
        </is>
      </c>
      <c r="E10" s="18" t="inlineStr">
        <is>
          <t>—</t>
        </is>
      </c>
      <c r="F10" s="19" t="inlineStr">
        <is>
          <t>Advanced Group By returns several summaries per group in one pass. Authorization Required has the most denials, but Medical Necessity denials average about $13,339 of billed charges each, the highest of any reason. Volume and dollars tell different stories, which is why denial reports show both counts and amounts.</t>
        </is>
      </c>
    </row>
    <row r="11" ht="305" customHeight="1">
      <c r="A11" s="18" t="inlineStr">
        <is>
          <t>7</t>
        </is>
      </c>
      <c r="B11" s="19" t="inlineStr">
        <is>
          <t>Import payers.csv as a query named Payers. Then reference Claims in a new query named PaidByPayerType, merge it with Payers on PayerID (Join Kind: Left Outer), expand only PayerType, and group by PayerType with Sum of PaidAmount. What was the total PaidAmount for the Commercial payer type? Enter it to the cent.</t>
        </is>
      </c>
      <c r="C11" s="38" t="n">
        <v>14941777.08</v>
      </c>
      <c r="D11" s="37" t="inlineStr">
        <is>
          <t>// Query: Payers   (From Text/CSV: payers.csv)
let
    Source = Csv.Document(File.Contents(DataFolder &amp; "payers.csv"),[Delimiter=",", Columns=6, Encoding=65001, QuoteStyle=QuoteStyle.None]),
    #"Promoted Headers" = Table.PromoteHeaders(Source, [PromoteAllScalars=true]),
    #"Changed Type" = Table.TransformColumnTypes(#"Promoted Headers",{{"PayerID", type text}, {"PayerName", type text}, {"PayerType", type text}, {"AvgAllowedPctOfCharges", type number}, {"AvgDaysToPay", Int64.Type}, {"TimelyFilingDays", Int64.Type}})
in
    #"Changed Type"
// Query: PaidByPayerType   (right-click Claims &gt; Reference; Home &gt; Merge Queries)
let
    Source = Claims,
    #"Merged Queries" = Table.NestedJoin(Source, {"PayerID"}, Payers, {"PayerID"}, "Payers", JoinKind.LeftOuter),
    #"Expanded Payers" = Table.ExpandTableColumn(#"Merged Queries", "Payers", {"PayerType"}, {"PayerType"}),
    #"Grouped Rows" = Table.Group(#"Expanded Payers", {"PayerType"}, {
        {"Claims", each Table.RowCount(_), Int64.Type},
        {"Paid", each List.Sum([PaidAmount]), type nullable number}})
in
    #"Grouped Rows"</t>
        </is>
      </c>
      <c r="E11" s="18" t="inlineStr">
        <is>
          <t>—</t>
        </is>
      </c>
      <c r="F11" s="19" t="inlineStr">
        <is>
          <t>A merge is Power Query's lookup. Left Outer keeps every claim and brings in the matching payer row as a nested table, and the expand button pulls out just the columns you need. Commercial combines 3 different payers, so you can't answer this by PayerID alone. You need the PayerType from the lookup table and then a Group By. Uncheck *Use original column name as prefix* when you expand, or the column is named Payers.PayerType.</t>
        </is>
      </c>
    </row>
    <row r="12" ht="111" customHeight="1">
      <c r="A12" s="18" t="inlineStr">
        <is>
          <t>8</t>
        </is>
      </c>
      <c r="B12" s="19" t="inlineStr">
        <is>
          <t>Reference Claims in a new query named SubmitLag and add a custom column DaysToSubmit that holds the number of days from ServiceDate to SubmitDate, with the Whole Number type. How many 2025 claims took MORE than 30 days to submit?</t>
        </is>
      </c>
      <c r="C12" s="36" t="n">
        <v>362</v>
      </c>
      <c r="D12" s="37" t="inlineStr">
        <is>
          <t>// Query: SubmitLag   (right-click Claims &gt; Reference; Add Column &gt; Custom Column)
let
    Source = Claims,
    #"Added Custom" = Table.AddColumn(Source, "DaysToSubmit", each Duration.Days([SubmitDate] - [ServiceDate]), Int64.Type),
    #"Filtered Rows" = Table.SelectRows(#"Added Custom", each [DaysToSubmit] &gt; 30)
in
    #"Filtered Rows"</t>
        </is>
      </c>
      <c r="E12" s="18" t="inlineStr">
        <is>
          <t>—</t>
        </is>
      </c>
      <c r="F12" s="19" t="inlineStr">
        <is>
          <t>Subtracting one date from another in M gives a duration, not a number. Duration.Days turns it into whole days. You can also build it without typing: select SubmitDate, Ctrl-click ServiceDate, then Add Column → Date → Subtract Days (the order you click sets which date comes first). Claims billed more than 30 days after service delay cash and risk timely-filing denials.</t>
        </is>
      </c>
    </row>
    <row r="13" ht="331" customHeight="1">
      <c r="A13" s="18" t="inlineStr">
        <is>
          <t>9</t>
        </is>
      </c>
      <c r="B13" s="19" t="inlineStr">
        <is>
          <t>Load tblDenialMap (on the DenialMap sheet) with Data → From Table/Range and name the query DenialMap. Reference Claims in a new query named DenialsByOwner, keep the Denied rows, merge them with the map on DenialReason (Left Outer), and expand OwnerTeam. Check that EVERY denied claim found a match (no null OwnerTeam), and fix the keys in the map query if some didn't. What is the total denied BilledAmount owned by Patient Access? Enter it to the cent.</t>
        </is>
      </c>
      <c r="C13" s="38" t="n">
        <v>4542077.42</v>
      </c>
      <c r="D13" s="37" t="inlineStr">
        <is>
          <t>// Query: DenialMap   (click inside tblDenialMap &gt; Data &gt; From Table/Range)
let
    Source = Excel.CurrentWorkbook(){[Name="tblDenialMap"]}[Content],
    #"Changed Type" = Table.TransformColumnTypes(Source,{{"DenialReason", type text}, {"RevCycleStage", type text}, {"OwnerTeam", type text}}),
    #"Trimmed Text" = Table.TransformColumns(#"Changed Type",{{"DenialReason", Text.Trim, type text}}),
    #"Capitalized Each Word" = Table.TransformColumns(#"Trimmed Text",{{"DenialReason", Text.Proper, type text}})
in
    #"Capitalized Each Word"
// Query: DenialsByOwner   (right-click Claims &gt; Reference)
let
    Source = Claims,
    #"Filtered Rows" = Table.SelectRows(Source, each ([ClaimStatus] = "Denied")),
    #"Merged Queries" = Table.NestedJoin(#"Filtered Rows", {"DenialReason"}, DenialMap, {"DenialReason"}, "DenialMap", JoinKind.LeftOuter),
    #"Expanded DenialMap" = Table.ExpandTableColumn(#"Merged Queries", "DenialMap", {"OwnerTeam"}, {"OwnerTeam"}),
    #"Grouped Rows" = Table.Group(#"Expanded DenialMap", {"OwnerTeam"}, {
        {"Claims", each Table.RowCount(_), Int64.Type},
        {"BilledDenied", each List.Sum([BilledAmount]), type nullable number}})
in
    #"Grouped Rows"</t>
        </is>
      </c>
      <c r="E13" s="18" t="inlineStr">
        <is>
          <t>—</t>
        </is>
      </c>
      <c r="F13" s="19" t="inlineStr">
        <is>
          <t>Power Query merges are exact and case-sensitive. The hand-typed map has *Authorization Required* with a trailing space and *Timely filing* with a lower-case f, so a plain merge leaves 330 denied claims with a null OwnerTeam and undercounts Patient Access. Trim and Capitalize Each Word in the DenialMap query fix both keys. (Fixing the cells on the DenialMap sheet and refreshing works too.) Always check a merge by filtering the new column for null.</t>
        </is>
      </c>
    </row>
    <row r="14" ht="292" customHeight="1">
      <c r="A14" s="18" t="inlineStr">
        <is>
          <t>10</t>
        </is>
      </c>
      <c r="B14" s="19" t="inlineStr">
        <is>
          <t>Import encounters_2025.csv (one row per encounter discharged in 2025) as a query named Encounters2025. Use Merge Queries as New with Encounters2025 on top, Claims below, EncounterID in both, and Join Kind Left Anti. Name the new query Unbilled. How many 2025 encounters have no claim in the 2025 claim files?</t>
        </is>
      </c>
      <c r="C14" s="36" t="n">
        <v>263</v>
      </c>
      <c r="D14" s="37" t="inlineStr">
        <is>
          <t>// Query: Encounters2025   (From Text/CSV: encounters_2025.csv)
let
    Source = Csv.Document(File.Contents(DataFolder &amp; "encounters_2025.csv"),[Delimiter=",", Columns=10, Encoding=65001, QuoteStyle=QuoteStyle.None]),
    #"Promoted Headers" = Table.PromoteHeaders(Source, [PromoteAllScalars=true]),
    #"Changed Type" = Table.TransformColumnTypes(#"Promoted Headers",{{"EncounterID", type text}, {"PatientID", type text}, {"EncounterType", type text}, {"FacilityID", type text}, {"DeptID", type text}, {"AdmitDateTime", type datetime}, {"DischargeDateTime", type datetime}, {"PrimaryDxCode", type text}, {"PayerID", type text}, {"TotalCharges", type number}})
in
    #"Changed Type"
// Query: Unbilled   (Home &gt; Merge Queries &gt; Merge Queries as New:
// top = Encounters2025, bottom = Claims, click EncounterID in both, Join Kind = Left Anti)
let
    Source = Table.NestedJoin(Encounters2025, {"EncounterID"}, Claims, {"EncounterID"}, "Claims", JoinKind.LeftAnti),
    #"Removed Columns" = Table.RemoveColumns(Source, {"Claims"})
in
    #"Removed Columns"</t>
        </is>
      </c>
      <c r="E14" s="18" t="inlineStr">
        <is>
          <t>—</t>
        </is>
      </c>
      <c r="F14" s="19" t="inlineStr">
        <is>
          <t>A Left Anti join keeps only the rows in the first table that have no match in the second. It's the fastest way to answer "what's missing?" questions. These encounters were discharged but not yet billed (hospitals call this *discharged not final billed*, or DNFB), and together they carry $2,371,213.36 of charges. The bonus refreshes this list after the January 2026 claims arrive.</t>
        </is>
      </c>
    </row>
    <row r="15" ht="201" customHeight="1">
      <c r="A15" s="18" t="inlineStr">
        <is>
          <t>11</t>
        </is>
      </c>
      <c r="B15" s="19" t="inlineStr">
        <is>
          <t>Create a blank query (Data → Get Data → From Other Sources → Blank Query), name it AgedPending, open Home → Advanced Editor, and replace its contents with the starter code on the Starter M sheet (also in starter/AgedPending.m). It lists Pending claims more than 60 days old as of 12/31/2025. Read the code, change it to more than 90 days, and report how many Pending claims are more than 90 days old.</t>
        </is>
      </c>
      <c r="C15" s="36" t="n">
        <v>162</v>
      </c>
      <c r="D15" s="37" t="inlineStr">
        <is>
          <t>// AgedPending: Pending claims that have waited too long for payment.
// Paste into Data &gt; Get Data &gt; From Other Sources &gt; Blank Query &gt; Home &gt; Advanced Editor.
// It reads your Claims query (task 3), so that query must exist and be named Claims.
let
    Source = Claims,
    AsOf = #date(2025, 12, 31),
    PendingOnly = Table.SelectRows(Source, each [ClaimStatus] = "Pending"),
    AddDaysPending = Table.AddColumn(PendingOnly, "DaysPending", each Duration.Days(AsOf - [SubmitDate]), Int64.Type),
    Aged = Table.SelectRows(AddDaysPending, each [DaysPending] &gt; 90),
    KeepColumns = Table.SelectColumns(Aged, {"ClaimID", "PayerID", "SubmitDate", "BilledAmount", "DaysPending"}),
    Sorted = Table.Sort(KeepColumns, {{"DaysPending", Order.Descending}})
in
    Sorted</t>
        </is>
      </c>
      <c r="E15" s="18" t="inlineStr">
        <is>
          <t>—</t>
        </is>
      </c>
      <c r="F15" s="19" t="inlineStr">
        <is>
          <t>Each line between let and in is one Applied Step: a name, an equals sign, and an expression that usually uses the step above it. AsOf is a step that just holds a date, and the Aged step is the filter, so changing &gt; 60 to &gt; 90 is the whole edit. With 60 days the query returns 191 claims, and with 90 it returns 162. Claims pending that long need a follow-up call to the payer.</t>
        </is>
      </c>
    </row>
    <row r="16" ht="279" customHeight="1">
      <c r="A16" s="18" t="inlineStr">
        <is>
          <t>12</t>
        </is>
      </c>
      <c r="B16" s="19" t="inlineStr">
        <is>
          <t>Import budget_2025_wide.csv as a query named Budget2025. Remove the FY Total column, select the five label columns (FacilityID, Department, LineType, Category, Measure), and choose Transform → Unpivot Columns → Unpivot Other Columns. Rename Attribute to Month and Value to Amount. How many rows does Budget2025 return?</t>
        </is>
      </c>
      <c r="C16" s="36" t="n">
        <v>5928</v>
      </c>
      <c r="D16" s="37" t="inlineStr">
        <is>
          <t>// Query: Budget2025   (From Text/CSV: budget_2025_wide.csv)
// Select FY Total &gt; Remove Columns; select FacilityID..Measure &gt; Transform &gt; Unpivot Columns &gt; Unpivot Other Columns;
// rename Attribute to Month and Value to Amount
let
    Source = Csv.Document(File.Contents(DataFolder &amp; "budget_2025_wide.csv"),[Delimiter=",", Columns=18, Encoding=65001, QuoteStyle=QuoteStyle.None]),
    #"Promoted Headers" = Table.PromoteHeaders(Source, [PromoteAllScalars=true]),
    #"Changed Type" = Table.TransformColumnTypes(#"Promoted Headers",{{"FacilityID", type text}, {"Department", type text}, {"LineType", type text}, {"Category", type text}, {"Measure", type text}, {"Jan", Int64.Type}, {"Feb", Int64.Type}, {"Mar", Int64.Type}, {"Apr", Int64.Type}, {"May", Int64.Type}, {"Jun", Int64.Type}, {"Jul", Int64.Type}, {"Aug", Int64.Type}, {"Sep", Int64.Type}, {"Oct", Int64.Type}, {"Nov", Int64.Type}, {"Dec", Int64.Type}, {"FY Total", Int64.Type}}),
    #"Removed Columns" = Table.RemoveColumns(#"Changed Type",{"FY Total"}),
    #"Unpivoted Other Columns" = Table.UnpivotOtherColumns(#"Removed Columns", {"FacilityID", "Department", "LineType", "Category", "Measure"}, "Attribute", "Value"),
    #"Renamed Columns" = Table.RenameColumns(#"Unpivoted Other Columns",{{"Attribute", "Month"}, {"Value", "Amount"}})
in
    #"Renamed Columns"</t>
        </is>
      </c>
      <c r="E16" s="18" t="inlineStr">
        <is>
          <t>—</t>
        </is>
      </c>
      <c r="F16" s="19" t="inlineStr">
        <is>
          <t>The wide file has 494 rows with a column per month. Unpivoting turns each month cell into its own row, so you get 494 × 12 = 5,928 rows with a Month and an Amount column. That long shape is what PivotTables, Group By, and the Data Model want. FY Total has to go first, or it would be unpivoted as a thirteenth 'month' and double every annual total. Unpivot Other Columns records the five label columns to keep (Table.UnpivotOtherColumns), so a future file with extra month columns still unpivots correctly.</t>
        </is>
      </c>
    </row>
    <row r="17" ht="409" customHeight="1">
      <c r="A17" s="18" t="inlineStr">
        <is>
          <t>13</t>
        </is>
      </c>
      <c r="B17" s="19" t="inlineStr">
        <is>
          <t>In Budget2025, split Department (for example '6130 - Intensive Care Unit') into CostCenter and DeptName with Transform → Split Column → By Delimiter, using ' - ' (space, hyphen, space) at the left-most delimiter. Then reference Budget2025 in a new query named ICU_Q1_Salaries. What was the Q1 2025 (Jan–Mar) Actual Salaries &amp; Wages for all three departments named Intensive Care Unit combined? Enter whole dollars.</t>
        </is>
      </c>
      <c r="C17" s="36" t="n">
        <v>3483594</v>
      </c>
      <c r="D17" s="37" t="inlineStr">
        <is>
          <t>// Query: Budget2025 after task 13: the task 12 query plus one step at the end. Select Department &gt;
// Transform &gt; Split Column &gt; By Delimiter &gt; --Custom-- " - " (space hyphen space) &gt; Split at: Left-most delimiter.
// The dialog names the parts Department.1 and Department.2 (and adds a Changed Type step); typing the final
// names in the step, as here, splits and renames at once.
let
    Source = Csv.Document(File.Contents(DataFolder &amp; "budget_2025_wide.csv"),[Delimiter=",", Columns=18, Encoding=65001, QuoteStyle=QuoteStyle.None]),
    #"Promoted Headers" = Table.PromoteHeaders(Source, [PromoteAllScalars=true]),
    #"Changed Type" = Table.TransformColumnTypes(#"Promoted Headers",{{"FacilityID", type text}, {"Department", type text}, {"LineType", type text}, {"Category", type text}, {"Measure", type text}, {"Jan", Int64.Type}, {"Feb", Int64.Type}, {"Mar", Int64.Type}, {"Apr", Int64.Type}, {"May", Int64.Type}, {"Jun", Int64.Type}, {"Jul", Int64.Type}, {"Aug", Int64.Type}, {"Sep", Int64.Type}, {"Oct", Int64.Type}, {"Nov", Int64.Type}, {"Dec", Int64.Type}, {"FY Total", Int64.Type}}),
    #"Removed Columns" = Table.RemoveColumns(#"Changed Type",{"FY Total"}),
    #"Unpivoted Other Columns" = Table.UnpivotOtherColumns(#"Removed Columns", {"FacilityID", "Department", "LineType", "Category", "Measure"}, "Attribute", "Value"),
    #"Renamed Columns" = Table.RenameColumns(#"Unpivoted Other Columns",{{"Attribute", "Month"}, {"Value", "Amount"}}),
    #"Split Column by Delimiter" = Table.SplitColumn(#"Renamed Columns", "Department", Splitter.SplitTextByEachDelimiter({" - "}, QuoteStyle.Csv, false), {"CostCenter", "DeptName"})
in
    #"Split Column by Delimiter"
// Query: ICU_Q1_Salaries   (right-click Budget2025 &gt; Reference)
let
    Source = Budget2025,
    #"Filtered Rows" = Table.SelectRows(Source, each [DeptName] = "Intensive Care Unit"
        and [Category] = "Salaries &amp; Wages" and [Measure] = "Actual"
        and List.Contains({"Jan", "Feb", "Mar"}, [Month])),
    #"Grouped Rows" = Table.Group(#"Filtered Rows", {"DeptName"}, {{"Q1Actual", each List.Sum([Amount]), type nullable number}})
in
    #"Grouped Rows"</t>
        </is>
      </c>
      <c r="E17" s="18" t="inlineStr">
        <is>
          <t>—</t>
        </is>
      </c>
      <c r="F17" s="19" t="inlineStr">
        <is>
          <t>Splitting at ' - ' (with the spaces) separates the cost center from the name without breaking names that contain a plain hyphen, such as *Medical-Surgical*. After the split, all three hospitals' ICUs share the DeptName *Intensive Care Unit* (the file has 24 distinct department names for 31 departments), so one filter catches all three. The unpivoted Month column makes "Q1" a simple filter on Jan, Feb, and Mar.</t>
        </is>
      </c>
    </row>
  </sheetData>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90" customWidth="1" min="4" max="4"/>
    <col width="8" customWidth="1" min="5" max="5"/>
    <col width="62" customWidth="1" min="6" max="6"/>
  </cols>
  <sheetData>
    <row r="1">
      <c r="A1" s="33" t="inlineStr">
        <is>
          <t>🔑 Bonus Key — Lesson 4.3</t>
        </is>
      </c>
    </row>
    <row r="2" ht="47" customHeight="1">
      <c r="A2" s="34" t="inlineStr">
        <is>
          <t>Spoiler alert: try every task before reading this sheet. Column C is the value the Check column compares against. Column D is the M code (or the steps) that produces it. Long code is cut off in its cell, so click the cell and read it in the formula bar, or open the matching .m file in the lesson's solutions folder. Column E is blank because Power Query results can't be recalculated by a cell formula.</t>
        </is>
      </c>
    </row>
    <row r="4">
      <c r="A4" s="35" t="inlineStr">
        <is>
          <t>#</t>
        </is>
      </c>
      <c r="B4" s="35" t="inlineStr">
        <is>
          <t>Task</t>
        </is>
      </c>
      <c r="C4" s="35" t="inlineStr">
        <is>
          <t>Answer</t>
        </is>
      </c>
      <c r="D4" s="35" t="inlineStr">
        <is>
          <t>Sample solution</t>
        </is>
      </c>
      <c r="E4" s="35" t="inlineStr">
        <is>
          <t>Live result</t>
        </is>
      </c>
      <c r="F4" s="35" t="inlineStr">
        <is>
          <t>Explanation</t>
        </is>
      </c>
    </row>
    <row r="5" ht="188" customHeight="1">
      <c r="A5" s="18" t="inlineStr">
        <is>
          <t>B1</t>
        </is>
      </c>
      <c r="B5" s="19" t="inlineStr">
        <is>
          <t>Build a query named DenialDashboard: reference Claims, keep Denied claims, merge Payers to get PayerType, and group by BOTH PayerType and DenialReason with Count Rows and Sum of BilledAmount. What is the denied BilledAmount for Government + Authorization Required? Enter it to the cent.</t>
        </is>
      </c>
      <c r="C5" s="38" t="n">
        <v>1624268.55</v>
      </c>
      <c r="D5" s="37" t="inlineStr">
        <is>
          <t>// Query: DenialDashboard   (right-click Claims &gt; Reference)
let
    Source = Claims,
    #"Filtered Rows" = Table.SelectRows(Source, each ([ClaimStatus] = "Denied")),
    #"Merged Queries" = Table.NestedJoin(#"Filtered Rows", {"PayerID"}, Payers, {"PayerID"}, "Payers", JoinKind.LeftOuter),
    #"Expanded Payers" = Table.ExpandTableColumn(#"Merged Queries", "Payers", {"PayerType"}, {"PayerType"}),
    #"Grouped Rows" = Table.Group(#"Expanded Payers", {"PayerType", "DenialReason"}, {
        {"DeniedClaims", each Table.RowCount(_), Int64.Type},
        {"DeniedBilled", each List.Sum([BilledAmount]), type nullable number}}),
    #"Sorted Rows" = Table.Sort(#"Grouped Rows",{{"DeniedBilled", Order.Descending}})
in
    #"Sorted Rows"</t>
        </is>
      </c>
      <c r="E5" s="18" t="inlineStr">
        <is>
          <t>—</t>
        </is>
      </c>
      <c r="F5" s="19" t="inlineStr">
        <is>
          <t>Grouping by two columns gives one row per combination (20 rows here). Government + Authorization Required is the largest pool of denied dollars, so authorization work for Government-insured patients (Medicare and State Medicaid in this data) is where the revenue-cycle team should start.</t>
        </is>
      </c>
    </row>
    <row r="6" ht="227" customHeight="1">
      <c r="A6" s="18" t="inlineStr">
        <is>
          <t>B2</t>
        </is>
      </c>
      <c r="B6" s="19" t="inlineStr">
        <is>
          <t>Build a query named DenialRateByPayerType from ALL claims: reference Claims, merge Payers for PayerType, and add a conditional column IsDenied (1 if ClaimStatus is Denied, otherwise 0). Group by PayerType with two aggregations: AllClaims (Count Rows) and Denied (Sum of IsDenied). Which payer type has the highest denial rate (denied claims ÷ all claims)?</t>
        </is>
      </c>
      <c r="C6" s="36" t="inlineStr">
        <is>
          <t>Medicare Advantage</t>
        </is>
      </c>
      <c r="D6" s="37" t="inlineStr">
        <is>
          <t>// Query: DenialRateByPayerType   (right-click Claims &gt; Reference)
let
    Source = Claims,
    #"Merged Queries" = Table.NestedJoin(Source, {"PayerID"}, Payers, {"PayerID"}, "Payers", JoinKind.LeftOuter),
    #"Expanded Payers" = Table.ExpandTableColumn(#"Merged Queries", "Payers", {"PayerType"}, {"PayerType"}),
    #"Added Conditional Column" = Table.AddColumn(#"Expanded Payers", "IsDenied", each if [ClaimStatus] = "Denied" then 1 else 0, Int64.Type),
    #"Grouped Rows" = Table.Group(#"Added Conditional Column", {"PayerType"}, {
        {"AllClaims", each Table.RowCount(_), Int64.Type},
        {"Denied", each List.Sum([IsDenied]), type nullable number}}),
    #"Added Custom" = Table.AddColumn(#"Grouped Rows", "DenialRate", each [Denied] / [AllClaims], Percentage.Type),
    #"Sorted Rows" = Table.Sort(#"Added Custom",{{"DenialRate", Order.Descending}})
in
    #"Sorted Rows"</t>
        </is>
      </c>
      <c r="E6" s="18" t="inlineStr">
        <is>
          <t>—</t>
        </is>
      </c>
      <c r="F6" s="19" t="inlineStr">
        <is>
          <t>A rate needs two counts per group: all claims (Count Rows) and denied claims. Summing a 1/0 flag counts the rows where the condition is true, the same trick as SUMPRODUCT with booleans. Dividing in a custom column after the Group By gives the rate. In this data, Medicare Advantage denies about 1 claim in 10, the highest rate of any payer type, which mirrors what many US health systems report about Medicare Advantage plans.</t>
        </is>
      </c>
    </row>
    <row r="7" ht="36" customHeight="1">
      <c r="A7" s="18" t="inlineStr">
        <is>
          <t>B3</t>
        </is>
      </c>
      <c r="B7" s="19" t="inlineStr">
        <is>
          <t>What is that payer type's denial rate? Enter it as a percentage rounded to 1 decimal place.</t>
        </is>
      </c>
      <c r="C7" s="39" t="n">
        <v>0.1023063276167948</v>
      </c>
      <c r="D7" s="37" t="inlineStr">
        <is>
          <t>Use the DenialRateByPayerType query from B2 and read the DenialRate value on the Medicare Advantage row. The Percentage type displays it as a percentage.</t>
        </is>
      </c>
      <c r="E7" s="18" t="inlineStr">
        <is>
          <t>—</t>
        </is>
      </c>
      <c r="F7" s="19" t="inlineStr">
        <is>
          <t>Medicare Advantage: 10.2% of its claims were denied. Typing 10.2 or 10.2% both pass the check.</t>
        </is>
      </c>
    </row>
    <row r="8" ht="111" customHeight="1">
      <c r="A8" s="18" t="inlineStr">
        <is>
          <t>B4</t>
        </is>
      </c>
      <c r="B8" s="19" t="inlineStr">
        <is>
          <t>Now copy data\new_month\claims_2026_01.csv into the claims_monthly folder and click Data → Refresh All. You don't edit any query. What is the denied BilledAmount for Government + Authorization Required now? Enter it to the cent.</t>
        </is>
      </c>
      <c r="C8" s="38" t="n">
        <v>1634064.48</v>
      </c>
      <c r="D8" s="37" t="inlineStr">
        <is>
          <t>1. In File Explorer (Mac: Finder), copy **claims_2026_01.csv** from `data\new_month` into `data\claims_monthly`.
2. In Excel, click **Data → Refresh All** (Windows: Ctrl + Alt + F5).
3. Read the Government / Authorization Required row of the loaded DenialDashboard table.</t>
        </is>
      </c>
      <c r="E8" s="18" t="inlineStr">
        <is>
          <t>—</t>
        </is>
      </c>
      <c r="F8" s="19" t="inlineStr">
        <is>
          <t>Claims reads whatever files are in the folder, so the thirteenth file flows through every query that references it: Claims now returns 11,379 rows and the dashboard counts 869 denied claims instead of 848. This is the payoff of a folder-based pipeline. If Claims had a filter that kept only 2025 SubmitDates, the new file would have been silently ignored, so keep date filters out of the base query.</t>
        </is>
      </c>
    </row>
    <row r="9" ht="96" customHeight="1">
      <c r="A9" s="18" t="inlineStr">
        <is>
          <t>B5</t>
        </is>
      </c>
      <c r="B9" s="19" t="inlineStr">
        <is>
          <t>Your Unbilled query (task 10) refreshed too. How many 2025 encounters are still unbilled now that the January 2026 claims are in?</t>
        </is>
      </c>
      <c r="C9" s="36" t="n">
        <v>59</v>
      </c>
      <c r="D9" s="37" t="inlineStr">
        <is>
          <t>Read the row count of the refreshed **Unbilled** query in the Queries &amp; Connections pane (or `=ROWS(Unbilled)` if you loaded it as a Table named Unbilled).</t>
        </is>
      </c>
      <c r="E9" s="18" t="inlineStr">
        <is>
          <t>—</t>
        </is>
      </c>
      <c r="F9" s="19" t="inlineStr">
        <is>
          <t>The January 2026 file billed 204 of the 263 encounters on the unbilled list, so 59 remain. (In the course's full claims data, their claims go out between February and May 2026, so later monthly files keep shrinking the list.) Because the Left Anti merge points at Claims, the unbilled list maintains itself as new files arrive. No one has to rerun a lookup.</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4.3 — Power Query: Import, Transform &amp; Combine</dc:title>
  <dcterms:created xsi:type="dcterms:W3CDTF">2026-10-02T17:04:08Z</dcterms:created>
  <dcterms:modified xsi:type="dcterms:W3CDTF">2026-10-02T17:04:08Z</dcterms:modified>
</cp:coreProperties>
</file>
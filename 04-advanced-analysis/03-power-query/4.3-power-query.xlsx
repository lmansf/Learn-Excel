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0">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18" fillId="8" borderId="0" pivotButton="0" quotePrefix="0" xfId="0"/>
    <xf numFmtId="164" fontId="0" fillId="4"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4.3</t>
        </is>
      </c>
    </row>
    <row r="3">
      <c r="B3" s="2" t="inlineStr">
        <is>
          <t>Power Query: Import, Transform &amp; Combine</t>
        </is>
      </c>
    </row>
    <row r="4">
      <c r="B4" s="3" t="inlineStr">
        <is>
          <t>Advanced  ·  about 70 minutes  ·  Bluestone Health System (fictional)</t>
        </is>
      </c>
    </row>
    <row r="5"/>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7"/>
    <row r="28">
      <c r="B28" s="4" t="inlineStr">
        <is>
          <t>Sheets in this workbook</t>
        </is>
      </c>
      <c r="C28" s="5" t="n"/>
    </row>
    <row r="29" ht="18" customHeight="1">
      <c r="B29" s="8" t="inlineStr">
        <is>
          <t>Practice</t>
        </is>
      </c>
      <c r="C29" s="7" t="inlineStr">
        <is>
          <t>13 tasks. Build each query in Power Query, then type its result in the yellow cell.</t>
        </is>
      </c>
    </row>
    <row r="30" ht="18" customHeight="1">
      <c r="B30" s="8" t="inlineStr">
        <is>
          <t>Data Files</t>
        </is>
      </c>
      <c r="C30" s="7" t="inlineStr">
        <is>
          <t>What each CSV file in the lesson's data folder contains. Power Query reads those files from disk.</t>
        </is>
      </c>
    </row>
    <row r="31" ht="33" customHeight="1">
      <c r="B31" s="8" t="inlineStr">
        <is>
          <t>DenialMap</t>
        </is>
      </c>
      <c r="C31" s="7" t="inlineStr">
        <is>
          <t>Excel Table 'tblDenialMap': each denial reason and the team that works it. The Revenue Integrity team types it by hand (task 9).</t>
        </is>
      </c>
    </row>
    <row r="32" ht="18" customHeight="1">
      <c r="B32" s="8" t="inlineStr">
        <is>
          <t>Starter M</t>
        </is>
      </c>
      <c r="C32" s="7" t="inlineStr">
        <is>
          <t>The M code you paste into a blank query for task 11 (also in starter/AgedPending.m).</t>
        </is>
      </c>
    </row>
    <row r="33" ht="18" customHeight="1">
      <c r="B33" s="8" t="inlineStr">
        <is>
          <t>Bonus</t>
        </is>
      </c>
      <c r="C33" s="7" t="inlineStr">
        <is>
          <t>A refreshable denial dashboard, then a January 2026 file and one click of Refresh All.</t>
        </is>
      </c>
    </row>
    <row r="34" ht="63" customHeight="1">
      <c r="B34" s="8" t="inlineStr">
        <is>
          <t>About the data</t>
        </is>
      </c>
      <c r="C34"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Practice</t>
        </is>
      </c>
    </row>
    <row r="2" ht="64" customHeight="1">
      <c r="A2" s="14" t="inlineStr">
        <is>
          <t>Build every query in this workbook from the CSV files in the lesson's data folder (Guide section 2), and do the tasks in order because later tasks reuse earlier queries. Name each query as the task says, because later tasks and the answer key use those names. Type each result in the yellow cell as a plain number or text. From task 3 on, the answer key's M code uses a DataFolder parameter (Guide section 12). If you skip the parameter, or work on a Mac, your code shows your full folder path in its place.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claims_2025_01.csv from the claims_monthly folder with Data → Get Data → From File → From Text/CSV and load it to a new sheet. How many claims (rows, not counting the header) does the January 2025 file contain?</t>
        </is>
      </c>
      <c r="C6" s="20" t="inlineStr">
        <is>
          <t>After loading, the Queries &amp; Connections pane says 'N rows loaded'</t>
        </is>
      </c>
      <c r="D6" s="21" t="n"/>
      <c r="E6" s="22">
        <f>IF(IFERROR(D6="",FALSE),"",IF(IFERROR(AND(ISNUMBER(D6),OR(ABS(D6-'Answer Key'!$C$5)&lt;=0.0001)),FALSE),"✔ Correct","✘ Not yet"))</f>
        <v/>
      </c>
    </row>
    <row r="7" ht="51" customHeight="1">
      <c r="A7" s="18" t="inlineStr">
        <is>
          <t>2</t>
        </is>
      </c>
      <c r="B7" s="19" t="inlineStr">
        <is>
          <t>Import claims_2025_11.csv and claims_2025_12.csv as two more queries. Then, in the Power Query Editor, stack them with Home → Append Queries → Append Queries as New, and name the new query Claims_NovDec. How many rows does it return?</t>
        </is>
      </c>
      <c r="C7" s="20" t="inlineStr">
        <is>
          <t>Append stacks rows, and columns line up by name</t>
        </is>
      </c>
      <c r="D7" s="21" t="n"/>
      <c r="E7" s="22">
        <f>IF(IFERROR(D7="",FALSE),"",IF(IFERROR(AND(ISNUMBER(D7),OR(ABS(D7-'Answer Key'!$C$6)&lt;=0.0001)),FALSE),"✔ Correct","✘ Not yet"))</f>
        <v/>
      </c>
    </row>
    <row r="8" ht="51" customHeight="1">
      <c r="A8" s="18" t="inlineStr">
        <is>
          <t>3</t>
        </is>
      </c>
      <c r="B8" s="19" t="inlineStr">
        <is>
          <t>Now combine all twelve 2025 files at once. Choose Data → Get Data → From File → From Folder, select the claims_monthly folder, then Combine &amp; Transform Data. Rename the new query Claims. How many rows does Claims return?</t>
        </is>
      </c>
      <c r="C8" s="20" t="inlineStr">
        <is>
          <t>One folder query replaces twelve imports</t>
        </is>
      </c>
      <c r="D8" s="21" t="n"/>
      <c r="E8" s="22">
        <f>IF(IFERROR(D8="",FALSE),"",IF(IFERROR(AND(ISNUMBER(D8),OR(ABS(D8-'Answer Key'!$C$7)&lt;=0.0001)),FALSE),"✔ Correct","✘ Not yet"))</f>
        <v/>
      </c>
    </row>
    <row r="9" ht="51" customHeight="1">
      <c r="A9" s="18" t="inlineStr">
        <is>
          <t>4</t>
        </is>
      </c>
      <c r="B9" s="19" t="inlineStr">
        <is>
          <t>Check that PaidAmount in Claims has the Decimal Number type (1.2 icon). Then reference Claims in a new query named PaidTotal and total its PaidAmount column. What is the total PaidAmount across all 2025 claims? Enter it to the cent.</t>
        </is>
      </c>
      <c r="C9" s="20" t="inlineStr">
        <is>
          <t>Select PaidAmount, then Transform → Statistics → Sum</t>
        </is>
      </c>
      <c r="D9" s="23" t="n"/>
      <c r="E9" s="22">
        <f>IF(IFERROR(D9="",FALSE),"",IF(IFERROR(AND(ISNUMBER(D9),OR(ABS(D9-'Answer Key'!$C$8)&lt;=0.0051)),FALSE),"✔ Correct","✘ Not yet"))</f>
        <v/>
      </c>
    </row>
    <row r="10" ht="66" customHeight="1">
      <c r="A10" s="18" t="inlineStr">
        <is>
          <t>5</t>
        </is>
      </c>
      <c r="B10" s="19" t="inlineStr">
        <is>
          <t>Reference Claims in a new query named DenialsByReason, keep only rows whose ClaimStatus is Denied, and use Home → Group By on DenialReason with the operation Count Rows. How many denied claims list Authorization Required as the reason?</t>
        </is>
      </c>
      <c r="C10" s="20" t="inlineStr">
        <is>
          <t>Filter first, then Group By (Basic)</t>
        </is>
      </c>
      <c r="D10" s="21" t="n"/>
      <c r="E10" s="22">
        <f>IF(IFERROR(D10="",FALSE),"",IF(IFERROR(AND(ISNUMBER(D10),OR(ABS(D10-'Answer Key'!$C$9)&lt;=0.0001)),FALSE),"✔ Correct","✘ Not yet"))</f>
        <v/>
      </c>
    </row>
    <row r="11" ht="51" customHeight="1">
      <c r="A11" s="18" t="inlineStr">
        <is>
          <t>6</t>
        </is>
      </c>
      <c r="B11" s="19" t="inlineStr">
        <is>
          <t>Edit that Group By step (gear icon → Advanced) and add two aggregations of BilledAmount: Sum and Average. Which denial reason has the highest AVERAGE BilledAmount per denied claim? Type the reason exactly as it appears.</t>
        </is>
      </c>
      <c r="C11" s="20" t="inlineStr">
        <is>
          <t>Group By → Advanced → Add aggregation</t>
        </is>
      </c>
      <c r="D11" s="24" t="n"/>
      <c r="E11" s="22">
        <f>IF(IFERROR(D11="",FALSE),"",IF(IFERROR(OR(LOWER(TRIM(D11&amp;""))=LOWER(TRIM('Answer Key'!$C$10&amp;""))),FALSE),"✔ Correct","✘ Not yet"))</f>
        <v/>
      </c>
    </row>
    <row r="12" ht="66" customHeight="1">
      <c r="A12" s="18" t="inlineStr">
        <is>
          <t>7</t>
        </is>
      </c>
      <c r="B12" s="19"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2" s="20" t="inlineStr">
        <is>
          <t>Home → Merge Queries, then the expand button (two arrows) in the new column's header</t>
        </is>
      </c>
      <c r="D12" s="23" t="n"/>
      <c r="E12" s="22">
        <f>IF(IFERROR(D12="",FALSE),"",IF(IFERROR(AND(ISNUMBER(D12),OR(ABS(D12-'Answer Key'!$C$11)&lt;=0.0051)),FALSE),"✔ Correct","✘ Not yet"))</f>
        <v/>
      </c>
    </row>
    <row r="13" ht="51" customHeight="1">
      <c r="A13" s="18" t="inlineStr">
        <is>
          <t>8</t>
        </is>
      </c>
      <c r="B13" s="19" t="inlineStr">
        <is>
          <t>Reference Claims in a new query named SubmitLag and add a custom column DaysToSubmit that holds the number of days from ServiceDate to SubmitDate, with the Whole Number type. How many 2025 claims took MORE than 30 days to submit?</t>
        </is>
      </c>
      <c r="C13" s="20" t="inlineStr">
        <is>
          <t>Duration.Days turns a date difference into days. Then Number Filters → Greater Than, and count the rows</t>
        </is>
      </c>
      <c r="D13" s="21" t="n"/>
      <c r="E13" s="22">
        <f>IF(IFERROR(D13="",FALSE),"",IF(IFERROR(AND(ISNUMBER(D13),OR(ABS(D13-'Answer Key'!$C$12)&lt;=0.0001)),FALSE),"✔ Correct","✘ Not yet"))</f>
        <v/>
      </c>
    </row>
    <row r="14" ht="96" customHeight="1">
      <c r="A14" s="18" t="inlineStr">
        <is>
          <t>9</t>
        </is>
      </c>
      <c r="B14" s="19"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20" t="inlineStr">
        <is>
          <t>Merges match text exactly: look at Transform → Format → Trim and Capitalize Each Word</t>
        </is>
      </c>
      <c r="D14" s="23" t="n"/>
      <c r="E14" s="22">
        <f>IF(IFERROR(D14="",FALSE),"",IF(IFERROR(AND(ISNUMBER(D14),OR(ABS(D14-'Answer Key'!$C$13)&lt;=0.0051)),FALSE),"✔ Correct","✘ Not yet"))</f>
        <v/>
      </c>
    </row>
    <row r="15" ht="66" customHeight="1">
      <c r="A15" s="18" t="inlineStr">
        <is>
          <t>10</t>
        </is>
      </c>
      <c r="B15" s="19"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5" s="20" t="inlineStr">
        <is>
          <t>Left Anti = rows only in the first (top) table</t>
        </is>
      </c>
      <c r="D15" s="21" t="n"/>
      <c r="E15" s="22">
        <f>IF(IFERROR(D15="",FALSE),"",IF(IFERROR(AND(ISNUMBER(D15),OR(ABS(D15-'Answer Key'!$C$14)&lt;=0.0001)),FALSE),"✔ Correct","✘ Not yet"))</f>
        <v/>
      </c>
    </row>
    <row r="16" ht="96" customHeight="1">
      <c r="A16" s="18" t="inlineStr">
        <is>
          <t>11</t>
        </is>
      </c>
      <c r="B16"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20" t="inlineStr">
        <is>
          <t>Find the step that compares DaysPending with 60</t>
        </is>
      </c>
      <c r="D16" s="21" t="n"/>
      <c r="E16" s="22">
        <f>IF(IFERROR(D16="",FALSE),"",IF(IFERROR(AND(ISNUMBER(D16),OR(ABS(D16-'Answer Key'!$C$15)&lt;=0.0001)),FALSE),"✔ Correct","✘ Not yet"))</f>
        <v/>
      </c>
    </row>
    <row r="17" ht="81" customHeight="1">
      <c r="A17" s="18" t="inlineStr">
        <is>
          <t>12</t>
        </is>
      </c>
      <c r="B17"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20" t="inlineStr">
        <is>
          <t>Unpivot Other Columns keeps the selected columns and unpivots the rest</t>
        </is>
      </c>
      <c r="D17" s="21" t="n"/>
      <c r="E17" s="22">
        <f>IF(IFERROR(D17="",FALSE),"",IF(IFERROR(AND(ISNUMBER(D17),OR(ABS(D17-'Answer Key'!$C$16)&lt;=0.0001)),FALSE),"✔ Correct","✘ Not yet"))</f>
        <v/>
      </c>
    </row>
    <row r="18" ht="96" customHeight="1">
      <c r="A18" s="18" t="inlineStr">
        <is>
          <t>13</t>
        </is>
      </c>
      <c r="B18" s="19"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8" s="20" t="inlineStr">
        <is>
          <t>Filter DeptName, Category, Measure, and Month, then Transform → Statistics → Sum on Amount (or Group By)</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5" t="inlineStr">
        <is>
          <t>Lesson 4.3 data files (CSV, in the lesson's data folder)</t>
        </is>
      </c>
    </row>
    <row r="2">
      <c r="A2" s="26" t="inlineStr">
        <is>
          <t>Power Query reads these files from disk. The workbook doesn't contain them, so download and extract the data folder first (see Guide section 2).</t>
        </is>
      </c>
    </row>
    <row r="3">
      <c r="A3" s="26" t="inlineStr">
        <is>
          <t>Tip: copy the folder to a short path such as C:\PQ\data (Mac: /Users/you/PQ/data).</t>
        </is>
      </c>
    </row>
    <row r="4">
      <c r="A4" s="27" t="inlineStr">
        <is>
          <t>File</t>
        </is>
      </c>
      <c r="B4" s="27" t="inlineStr">
        <is>
          <t>Rows</t>
        </is>
      </c>
      <c r="C4" s="27" t="inlineStr">
        <is>
          <t>Contents</t>
        </is>
      </c>
    </row>
    <row r="5" ht="32" customHeight="1">
      <c r="A5" s="7" t="inlineStr">
        <is>
          <t>data/claims_monthly/claims_2025_01.csv … claims_2025_12.csv</t>
        </is>
      </c>
      <c r="B5" s="28" t="n"/>
      <c r="C5" s="7" t="inlineStr">
        <is>
          <t>One file per month of claims SUBMITTED in 2025 (12 files, 13 columns each, same layout as the course's claims.csv). Used from task 1 on.</t>
        </is>
      </c>
    </row>
    <row r="6" ht="47" customHeight="1">
      <c r="A6" s="7" t="inlineStr">
        <is>
          <t>data/new_month/claims_2026_01.csv</t>
        </is>
      </c>
      <c r="B6" s="28"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8" t="n">
        <v>8</v>
      </c>
      <c r="C7" s="7" t="inlineStr">
        <is>
          <t>Payer list: PayerID, PayerName, PayerType, contract terms.</t>
        </is>
      </c>
    </row>
    <row r="8" ht="32" customHeight="1">
      <c r="A8" s="7" t="inlineStr">
        <is>
          <t>data/encounters_2025.csv</t>
        </is>
      </c>
      <c r="B8" s="28" t="n">
        <v>11196</v>
      </c>
      <c r="C8" s="7" t="inlineStr">
        <is>
          <t>Encounters DISCHARGED in 2025 (10 columns: IDs, type, facility, department, admit/discharge, diagnosis, payer, charges).</t>
        </is>
      </c>
    </row>
    <row r="9" ht="32" customHeight="1">
      <c r="A9" s="7" t="inlineStr">
        <is>
          <t>data/budget_2025_wide.csv</t>
        </is>
      </c>
      <c r="B9" s="28" t="n"/>
      <c r="C9" s="7" t="inlineStr">
        <is>
          <t>2025 budget and actual by department and category: one row per Budget/Actual line, one column per month (Jan–Dec) plus an FY Total column.</t>
        </is>
      </c>
    </row>
    <row r="10" ht="32" customHeight="1">
      <c r="A10" s="7" t="inlineStr">
        <is>
          <t>data/4.3-power-query-data.zip</t>
        </is>
      </c>
      <c r="B10" s="28"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C11"/>
  <sheetViews>
    <sheetView tabSelected="0" workbookViewId="0">
      <pane ySplit="4" topLeftCell="A5" activePane="bottomLeft" state="frozen"/>
      <selection pane="bottomLeft" activeCell="A1" sqref="A1"/>
    </sheetView>
  </sheetViews>
  <sheetFormatPr baseColWidth="8" defaultRowHeight="15"/>
  <cols>
    <col width="30" customWidth="1" min="1" max="1"/>
    <col width="16" customWidth="1" min="2" max="2"/>
    <col width="30" customWidth="1" min="3" max="3"/>
  </cols>
  <sheetData>
    <row r="1">
      <c r="A1" s="25" t="inlineStr">
        <is>
          <t>Denial reason → owner team (typed by hand)</t>
        </is>
      </c>
    </row>
    <row r="2">
      <c r="A2" s="26" t="inlineStr">
        <is>
          <t>Load this Table into Power Query with Data → From Table/Range (task 9).</t>
        </is>
      </c>
    </row>
    <row r="3">
      <c r="A3" s="26" t="inlineStr">
        <is>
          <t>Each reason should appear once. OwnerTeam is the team that works that kind of denial.</t>
        </is>
      </c>
    </row>
    <row r="4">
      <c r="A4" s="29" t="inlineStr">
        <is>
          <t>DenialReason</t>
        </is>
      </c>
      <c r="B4" s="29" t="inlineStr">
        <is>
          <t>RevCycleStage</t>
        </is>
      </c>
      <c r="C4" s="29"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16"/>
  <sheetViews>
    <sheetView tabSelected="0" workbookViewId="0">
      <selection activeCell="A1" sqref="A1"/>
    </sheetView>
  </sheetViews>
  <sheetFormatPr baseColWidth="8" defaultRowHeight="15"/>
  <cols>
    <col width="135" customWidth="1" min="1" max="1"/>
  </cols>
  <sheetData>
    <row r="1">
      <c r="A1" s="30" t="inlineStr">
        <is>
          <t>Task 11 · Starter M code for the AgedPending query</t>
        </is>
      </c>
    </row>
    <row r="2">
      <c r="A2" s="3" t="inlineStr">
        <is>
          <t>Select A4:A16, copy (Ctrl + C, Mac: ⌘ + C), then paste into Home → Advanced Editor of a new Blank Query.</t>
        </is>
      </c>
    </row>
    <row r="3">
      <c r="A3" s="3" t="inlineStr">
        <is>
          <t>Replace everything that was in the Advanced Editor window. The same code is in starter/AgedPending.m.</t>
        </is>
      </c>
    </row>
    <row r="4">
      <c r="A4" s="31" t="inlineStr">
        <is>
          <t>// AgedPending: Pending claims that have waited too long for payment.</t>
        </is>
      </c>
    </row>
    <row r="5">
      <c r="A5" s="31" t="inlineStr">
        <is>
          <t>// Paste into Data &gt; Get Data &gt; From Other Sources &gt; Blank Query &gt; Home &gt; Advanced Editor.</t>
        </is>
      </c>
    </row>
    <row r="6">
      <c r="A6" s="31" t="inlineStr">
        <is>
          <t>// It reads your Claims query (task 3), so that query must exist and be named Claims.</t>
        </is>
      </c>
    </row>
    <row r="7">
      <c r="A7" s="31" t="inlineStr">
        <is>
          <t>let</t>
        </is>
      </c>
    </row>
    <row r="8">
      <c r="A8" s="31" t="inlineStr">
        <is>
          <t xml:space="preserve">    Source = Claims,</t>
        </is>
      </c>
    </row>
    <row r="9">
      <c r="A9" s="31" t="inlineStr">
        <is>
          <t xml:space="preserve">    AsOf = #date(2025, 12, 31),</t>
        </is>
      </c>
    </row>
    <row r="10">
      <c r="A10" s="31" t="inlineStr">
        <is>
          <t xml:space="preserve">    PendingOnly = Table.SelectRows(Source, each [ClaimStatus] = "Pending"),</t>
        </is>
      </c>
    </row>
    <row r="11">
      <c r="A11" s="31" t="inlineStr">
        <is>
          <t xml:space="preserve">    AddDaysPending = Table.AddColumn(PendingOnly, "DaysPending", each Duration.Days(AsOf - [SubmitDate]), Int64.Type),</t>
        </is>
      </c>
    </row>
    <row r="12">
      <c r="A12" s="31" t="inlineStr">
        <is>
          <t xml:space="preserve">    Aged = Table.SelectRows(AddDaysPending, each [DaysPending] &gt; 60),</t>
        </is>
      </c>
    </row>
    <row r="13">
      <c r="A13" s="31" t="inlineStr">
        <is>
          <t xml:space="preserve">    KeepColumns = Table.SelectColumns(Aged, {"ClaimID", "PayerID", "SubmitDate", "BilledAmount", "DaysPending"}),</t>
        </is>
      </c>
    </row>
    <row r="14">
      <c r="A14" s="31" t="inlineStr">
        <is>
          <t xml:space="preserve">    Sorted = Table.Sort(KeepColumns, {{"DaysPending", Order.Descending}})</t>
        </is>
      </c>
    </row>
    <row r="15">
      <c r="A15" s="31" t="inlineStr">
        <is>
          <t>in</t>
        </is>
      </c>
    </row>
    <row r="16">
      <c r="A16" s="31" t="inlineStr">
        <is>
          <t xml:space="preserve">    Sorted</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Bonus: A refreshable denial dashboard</t>
        </is>
      </c>
    </row>
    <row r="2" ht="64" customHeight="1">
      <c r="A2" s="14"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20" t="inlineStr">
        <is>
          <t>Select PayerType and DenialReason before you click Group By, or use Add grouping in the Advanced dialog</t>
        </is>
      </c>
      <c r="D6" s="23" t="n"/>
      <c r="E6" s="22">
        <f>IF(IFERROR(D6="",FALSE),"",IF(IFERROR(AND(ISNUMBER(D6),OR(ABS(D6-'Bonus Key'!$C$5)&lt;=0.0051)),FALSE),"✔ Correct","✘ Not yet"))</f>
        <v/>
      </c>
    </row>
    <row r="7" ht="81" customHeight="1">
      <c r="A7" s="18" t="inlineStr">
        <is>
          <t>B2</t>
        </is>
      </c>
      <c r="B7" s="19"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7" s="20" t="inlineStr">
        <is>
          <t>After the Group By step, add a custom column DenialRate = [Denied] / [AllClaims] and sort it</t>
        </is>
      </c>
      <c r="D7" s="24" t="n"/>
      <c r="E7" s="22">
        <f>IF(IFERROR(D7="",FALSE),"",IF(IFERROR(OR(LOWER(TRIM(D7&amp;""))=LOWER(TRIM('Bonus Key'!$C$6&amp;""))),FALSE),"✔ Correct","✘ Not yet"))</f>
        <v/>
      </c>
    </row>
    <row r="8" ht="36" customHeight="1">
      <c r="A8" s="18" t="inlineStr">
        <is>
          <t>B3</t>
        </is>
      </c>
      <c r="B8" s="19" t="inlineStr">
        <is>
          <t>What is that payer type's denial rate? Enter it as a percentage rounded to 1 decimal place.</t>
        </is>
      </c>
      <c r="C8" s="20" t="inlineStr">
        <is>
          <t>Click the type icon in the DenialRate header and choose Percentage</t>
        </is>
      </c>
      <c r="D8" s="32" t="n"/>
      <c r="E8" s="22">
        <f>IF(IFERROR(D8="",FALSE),"",IF(IFERROR(AND(ISNUMBER(D8),OR(ABS(D8-'Bonus Key'!$C$7)&lt;=0.00051,ABS(D8-'Bonus Key'!$C$7*100)&lt;=0.051000000000000004)),FALSE),"✔ Correct","✘ Not yet"))</f>
        <v/>
      </c>
    </row>
    <row r="9" ht="51" customHeight="1">
      <c r="A9" s="18" t="inlineStr">
        <is>
          <t>B4</t>
        </is>
      </c>
      <c r="B9" s="19" t="inlineStr">
        <is>
          <t>Now copy data\new_month\claims_2026_01.csv into the claims_monthly folder and click Data → Refresh All. You don't edit any query. What is the denied BilledAmount for Government + Authorization Required now? Enter it to the cent.</t>
        </is>
      </c>
      <c r="C9" s="20" t="inlineStr">
        <is>
          <t>Every query built on Claims re-reads the folder when you refresh</t>
        </is>
      </c>
      <c r="D9" s="23" t="n"/>
      <c r="E9" s="22">
        <f>IF(IFERROR(D9="",FALSE),"",IF(IFERROR(AND(ISNUMBER(D9),OR(ABS(D9-'Bonus Key'!$C$8)&lt;=0.0051)),FALSE),"✔ Correct","✘ Not yet"))</f>
        <v/>
      </c>
    </row>
    <row r="10" ht="36" customHeight="1">
      <c r="A10" s="18" t="inlineStr">
        <is>
          <t>B5</t>
        </is>
      </c>
      <c r="B10" s="19" t="inlineStr">
        <is>
          <t>Your Unbilled query (task 10) refreshed too. How many 2025 encounters are still unbilled now that the January 2026 claims are in?</t>
        </is>
      </c>
      <c r="C10" s="20" t="inlineStr">
        <is>
          <t>Look at the Queries &amp; Connections pane after the refresh</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3" t="inlineStr">
        <is>
          <t>🔑 Answer Key — Lesson 4.3</t>
        </is>
      </c>
    </row>
    <row r="2" ht="47" customHeight="1">
      <c r="A2" s="34"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5" t="inlineStr">
        <is>
          <t>#</t>
        </is>
      </c>
      <c r="B4" s="35" t="inlineStr">
        <is>
          <t>Task</t>
        </is>
      </c>
      <c r="C4" s="35" t="inlineStr">
        <is>
          <t>Answer</t>
        </is>
      </c>
      <c r="D4" s="35" t="inlineStr">
        <is>
          <t>Sample solution</t>
        </is>
      </c>
      <c r="E4" s="35" t="inlineStr">
        <is>
          <t>Live result</t>
        </is>
      </c>
      <c r="F4" s="35" t="inlineStr">
        <is>
          <t>Explanation</t>
        </is>
      </c>
    </row>
    <row r="5" ht="175" customHeight="1">
      <c r="A5" s="18" t="inlineStr">
        <is>
          <t>1</t>
        </is>
      </c>
      <c r="B5" s="19" t="inlineStr">
        <is>
          <t>Import claims_2025_01.csv from the claims_monthly folder with Data → Get Data → From File → From Text/CSV and load it to a new sheet. How many claims (rows, not counting the header) does the January 2025 file contain?</t>
        </is>
      </c>
      <c r="C5" s="36" t="n">
        <v>1089</v>
      </c>
      <c r="D5" s="37"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8" t="inlineStr">
        <is>
          <t>—</t>
        </is>
      </c>
      <c r="F5" s="19"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10" customHeight="1">
      <c r="A6" s="18" t="inlineStr">
        <is>
          <t>2</t>
        </is>
      </c>
      <c r="B6" s="19" t="inlineStr">
        <is>
          <t>Import claims_2025_11.csv and claims_2025_12.csv as two more queries. Then, in the Power Query Editor, stack them with Home → Append Queries → Append Queries as New, and name the new query Claims_NovDec. How many rows does it return?</t>
        </is>
      </c>
      <c r="C6" s="36" t="n">
        <v>2065</v>
      </c>
      <c r="D6" s="37"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8" t="inlineStr">
        <is>
          <t>—</t>
        </is>
      </c>
      <c r="F6" s="19"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8" t="inlineStr">
        <is>
          <t>3</t>
        </is>
      </c>
      <c r="B7" s="19" t="inlineStr">
        <is>
          <t>Now combine all twelve 2025 files at once. Choose Data → Get Data → From File → From Folder, select the claims_monthly folder, then Combine &amp; Transform Data. Rename the new query Claims. How many rows does Claims return?</t>
        </is>
      </c>
      <c r="C7" s="36" t="n">
        <v>11175</v>
      </c>
      <c r="D7" s="37"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8" t="inlineStr">
        <is>
          <t>—</t>
        </is>
      </c>
      <c r="F7" s="19"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136" customHeight="1">
      <c r="A8" s="18" t="inlineStr">
        <is>
          <t>4</t>
        </is>
      </c>
      <c r="B8" s="19" t="inlineStr">
        <is>
          <t>Check that PaidAmount in Claims has the Decimal Number type (1.2 icon). Then reference Claims in a new query named PaidTotal and total its PaidAmount column. What is the total PaidAmount across all 2025 claims? Enter it to the cent.</t>
        </is>
      </c>
      <c r="C8" s="38" t="n">
        <v>30816087.11</v>
      </c>
      <c r="D8" s="37"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8" t="inlineStr">
        <is>
          <t>—</t>
        </is>
      </c>
      <c r="F8" s="19"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123" customHeight="1">
      <c r="A9" s="18" t="inlineStr">
        <is>
          <t>5</t>
        </is>
      </c>
      <c r="B9" s="19" t="inlineStr">
        <is>
          <t>Reference Claims in a new query named DenialsByReason, keep only rows whose ClaimStatus is Denied, and use Home → Group By on DenialReason with the operation Count Rows. How many denied claims list Authorization Required as the reason?</t>
        </is>
      </c>
      <c r="C9" s="36" t="n">
        <v>297</v>
      </c>
      <c r="D9" s="37"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8" t="inlineStr">
        <is>
          <t>—</t>
        </is>
      </c>
      <c r="F9" s="19"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162" customHeight="1">
      <c r="A10" s="18" t="inlineStr">
        <is>
          <t>6</t>
        </is>
      </c>
      <c r="B10" s="19" t="inlineStr">
        <is>
          <t>Edit that Group By step (gear icon → Advanced) and add two aggregations of BilledAmount: Sum and Average. Which denial reason has the highest AVERAGE BilledAmount per denied claim? Type the reason exactly as it appears.</t>
        </is>
      </c>
      <c r="C10" s="36" t="inlineStr">
        <is>
          <t>Medical Necessity</t>
        </is>
      </c>
      <c r="D10" s="37"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8" t="inlineStr">
        <is>
          <t>—</t>
        </is>
      </c>
      <c r="F10" s="19"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305" customHeight="1">
      <c r="A11" s="18" t="inlineStr">
        <is>
          <t>7</t>
        </is>
      </c>
      <c r="B11" s="19"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1" s="38" t="n">
        <v>14941777.08</v>
      </c>
      <c r="D11" s="37"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8" t="inlineStr">
        <is>
          <t>—</t>
        </is>
      </c>
      <c r="F11" s="19"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11" customHeight="1">
      <c r="A12" s="18" t="inlineStr">
        <is>
          <t>8</t>
        </is>
      </c>
      <c r="B12" s="19" t="inlineStr">
        <is>
          <t>Reference Claims in a new query named SubmitLag and add a custom column DaysToSubmit that holds the number of days from ServiceDate to SubmitDate, with the Whole Number type. How many 2025 claims took MORE than 30 days to submit?</t>
        </is>
      </c>
      <c r="C12" s="36" t="n">
        <v>362</v>
      </c>
      <c r="D12" s="37"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8" t="inlineStr">
        <is>
          <t>—</t>
        </is>
      </c>
      <c r="F12" s="19"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331" customHeight="1">
      <c r="A13" s="18" t="inlineStr">
        <is>
          <t>9</t>
        </is>
      </c>
      <c r="B13" s="19"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8" t="n">
        <v>4542077.42</v>
      </c>
      <c r="D13" s="37"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8" t="inlineStr">
        <is>
          <t>—</t>
        </is>
      </c>
      <c r="F13" s="19"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292" customHeight="1">
      <c r="A14" s="18" t="inlineStr">
        <is>
          <t>10</t>
        </is>
      </c>
      <c r="B14" s="19"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4" s="36" t="n">
        <v>263</v>
      </c>
      <c r="D14" s="37"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8" t="inlineStr">
        <is>
          <t>—</t>
        </is>
      </c>
      <c r="F14" s="19"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The bonus refreshes this list after the January 2026 claims arrive.</t>
        </is>
      </c>
    </row>
    <row r="15" ht="201" customHeight="1">
      <c r="A15" s="18" t="inlineStr">
        <is>
          <t>11</t>
        </is>
      </c>
      <c r="B15"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6" t="n">
        <v>162</v>
      </c>
      <c r="D15" s="37"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8" t="inlineStr">
        <is>
          <t>—</t>
        </is>
      </c>
      <c r="F15" s="19"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279" customHeight="1">
      <c r="A16" s="18" t="inlineStr">
        <is>
          <t>12</t>
        </is>
      </c>
      <c r="B16"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6" t="n">
        <v>5928</v>
      </c>
      <c r="D16" s="37"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8" t="inlineStr">
        <is>
          <t>—</t>
        </is>
      </c>
      <c r="F16" s="19"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8" t="inlineStr">
        <is>
          <t>13</t>
        </is>
      </c>
      <c r="B17" s="19"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7" s="36" t="n">
        <v>3483594</v>
      </c>
      <c r="D17" s="37"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8" t="inlineStr">
        <is>
          <t>—</t>
        </is>
      </c>
      <c r="F17" s="19"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3" t="inlineStr">
        <is>
          <t>🔑 Bonus Key — Lesson 4.3</t>
        </is>
      </c>
    </row>
    <row r="2" ht="47" customHeight="1">
      <c r="A2" s="34"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5" t="inlineStr">
        <is>
          <t>#</t>
        </is>
      </c>
      <c r="B4" s="35" t="inlineStr">
        <is>
          <t>Task</t>
        </is>
      </c>
      <c r="C4" s="35" t="inlineStr">
        <is>
          <t>Answer</t>
        </is>
      </c>
      <c r="D4" s="35" t="inlineStr">
        <is>
          <t>Sample solution</t>
        </is>
      </c>
      <c r="E4" s="35" t="inlineStr">
        <is>
          <t>Live result</t>
        </is>
      </c>
      <c r="F4" s="35" t="inlineStr">
        <is>
          <t>Explanation</t>
        </is>
      </c>
    </row>
    <row r="5" ht="188" customHeight="1">
      <c r="A5" s="18" t="inlineStr">
        <is>
          <t>B1</t>
        </is>
      </c>
      <c r="B5"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8" t="n">
        <v>1624268.55</v>
      </c>
      <c r="D5" s="37"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8" t="inlineStr">
        <is>
          <t>—</t>
        </is>
      </c>
      <c r="F5" s="19"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227" customHeight="1">
      <c r="A6" s="18" t="inlineStr">
        <is>
          <t>B2</t>
        </is>
      </c>
      <c r="B6" s="19"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6" s="36" t="inlineStr">
        <is>
          <t>Medicare Advantage</t>
        </is>
      </c>
      <c r="D6" s="37"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8" t="inlineStr">
        <is>
          <t>—</t>
        </is>
      </c>
      <c r="F6" s="19"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36" customHeight="1">
      <c r="A7" s="18" t="inlineStr">
        <is>
          <t>B3</t>
        </is>
      </c>
      <c r="B7" s="19" t="inlineStr">
        <is>
          <t>What is that payer type's denial rate? Enter it as a percentage rounded to 1 decimal place.</t>
        </is>
      </c>
      <c r="C7" s="39" t="n">
        <v>0.1023063276167948</v>
      </c>
      <c r="D7" s="37" t="inlineStr">
        <is>
          <t>Use the DenialRateByPayerType query from B2 and read the DenialRate value on the Medicare Advantage row. The Percentage type displays it as a percentage.</t>
        </is>
      </c>
      <c r="E7" s="18" t="inlineStr">
        <is>
          <t>—</t>
        </is>
      </c>
      <c r="F7" s="19" t="inlineStr">
        <is>
          <t>Medicare Advantage: 10.2% of its claims were denied. Typing 10.2 or 10.2% both pass the check.</t>
        </is>
      </c>
    </row>
    <row r="8" ht="111" customHeight="1">
      <c r="A8" s="18" t="inlineStr">
        <is>
          <t>B4</t>
        </is>
      </c>
      <c r="B8" s="19" t="inlineStr">
        <is>
          <t>Now copy data\new_month\claims_2026_01.csv into the claims_monthly folder and click Data → Refresh All. You don't edit any query. What is the denied BilledAmount for Government + Authorization Required now? Enter it to the cent.</t>
        </is>
      </c>
      <c r="C8" s="38" t="n">
        <v>1634064.48</v>
      </c>
      <c r="D8" s="37" t="inlineStr">
        <is>
          <t>1. In File Explorer (Mac: Finder), copy **claims_2026_01.csv** from `data\new_month` into `data\claims_monthly`.
2. In Excel, click **Data → Refresh All** (Windows: Ctrl + Alt + F5).
3. Read the Government / Authorization Required row of the loaded DenialDashboard table.</t>
        </is>
      </c>
      <c r="E8" s="18" t="inlineStr">
        <is>
          <t>—</t>
        </is>
      </c>
      <c r="F8" s="19"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8" t="inlineStr">
        <is>
          <t>B5</t>
        </is>
      </c>
      <c r="B9" s="19" t="inlineStr">
        <is>
          <t>Your Unbilled query (task 10) refreshed too. How many 2025 encounters are still unbilled now that the January 2026 claims are in?</t>
        </is>
      </c>
      <c r="C9" s="36" t="n">
        <v>59</v>
      </c>
      <c r="D9" s="37" t="inlineStr">
        <is>
          <t>Read the row count of the refreshed **Unbilled** query in the Queries &amp; Connections pane (or `=ROWS(Unbilled)` if you loaded it as a Table named Unbilled).</t>
        </is>
      </c>
      <c r="E9" s="18" t="inlineStr">
        <is>
          <t>—</t>
        </is>
      </c>
      <c r="F9" s="19"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2026-10-02T17:26:54Z</dcterms:created>
  <dcterms:modified xsi:type="dcterms:W3CDTF">2026-10-02T17:26:54Z</dcterms:modified>
</cp:coreProperties>
</file>
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Stays" sheetId="3" state="visible" r:id="rId3"/>
    <sheet name="Bins" sheetId="4" state="visible" r:id="rId4"/>
    <sheet name="EDWaits" sheetId="5" state="visible" r:id="rId5"/>
    <sheet name="EDDaily" sheetId="6" state="visible" r:id="rId6"/>
    <sheet name="Monthly" sheetId="7" state="visible" r:id="rId7"/>
    <sheet name="Bonus" sheetId="8" state="visible" r:id="rId8"/>
    <sheet name="Answer Key" sheetId="9" state="hidden" r:id="rId9"/>
    <sheet name="Bonus Key" sheetId="10" state="hidden" r:id="rId10"/>
  </sheets>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8">
    <numFmt numFmtId="164" formatCode="yyyy-mm-dd"/>
    <numFmt numFmtId="165" formatCode="mm/dd/yyyy"/>
    <numFmt numFmtId="166" formatCode="yyyy-mm-dd h:mm:ss"/>
    <numFmt numFmtId="167" formatCode="mm/dd/yyyy hh:mm"/>
    <numFmt numFmtId="168" formatCode="mmm yyyy"/>
    <numFmt numFmtId="169" formatCode="0.000"/>
    <numFmt numFmtId="170" formatCode="0.0000"/>
    <numFmt numFmtId="171" formatCode="0.0"/>
  </numFmts>
  <fonts count="17">
    <font>
      <name val="Calibri"/>
      <family val="2"/>
      <color theme="1"/>
      <sz val="11"/>
      <scheme val="minor"/>
    </font>
    <font>
      <b val="1"/>
    </font>
    <font>
      <b val="1"/>
      <color rgb="001F4E79"/>
      <sz val="13"/>
    </font>
    <font>
      <i val="1"/>
      <color rgb="00595959"/>
      <sz val="10"/>
    </font>
    <font>
      <b val="1"/>
      <color rgb="007B2C2C"/>
      <sz val="16"/>
    </font>
    <font>
      <i val="1"/>
      <color rgb="00595959"/>
    </font>
    <font>
      <b val="1"/>
      <color rgb="00FFFFFF"/>
    </font>
    <font>
      <name val="Consolas"/>
      <sz val="10"/>
    </font>
    <font>
      <b val="1"/>
      <color rgb="001F4E79"/>
      <sz val="16"/>
    </font>
    <font>
      <color rgb="00404040"/>
      <sz val="11"/>
    </font>
    <font>
      <i val="1"/>
      <color rgb="00404040"/>
      <sz val="11"/>
    </font>
    <font>
      <i val="1"/>
      <color rgb="007F7F7F"/>
    </font>
    <font>
      <b val="1"/>
      <color rgb="00375623"/>
      <sz val="12"/>
    </font>
    <font>
      <b val="1"/>
      <color rgb="002E75B6"/>
      <sz val="12"/>
    </font>
    <font>
      <b val="1"/>
      <color rgb="001F4E79"/>
      <sz val="22"/>
    </font>
    <font>
      <b val="1"/>
      <color rgb="00FFFFFF"/>
      <sz val="13"/>
    </font>
    <font/>
  </fonts>
  <fills count="7">
    <fill>
      <patternFill/>
    </fill>
    <fill>
      <patternFill patternType="gray125"/>
    </fill>
    <fill>
      <patternFill patternType="solid">
        <fgColor rgb="007B2C2C"/>
      </patternFill>
    </fill>
    <fill>
      <patternFill patternType="solid">
        <fgColor rgb="001F4E79"/>
      </patternFill>
    </fill>
    <fill>
      <patternFill patternType="solid">
        <fgColor rgb="00FFF2CC"/>
      </patternFill>
    </fill>
    <fill>
      <patternFill patternType="solid">
        <fgColor rgb="00C6EFCE"/>
      </patternFill>
    </fill>
    <fill>
      <patternFill patternType="solid">
        <fgColor rgb="00FFC7CE"/>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s>
  <cellStyleXfs count="1">
    <xf numFmtId="0" fontId="0" fillId="0" borderId="0"/>
  </cellStyleXfs>
  <cellXfs count="55">
    <xf numFmtId="0" fontId="0" fillId="0" borderId="0" pivotButton="0" quotePrefix="0" xfId="0"/>
    <xf numFmtId="0" fontId="13" fillId="0" borderId="0" pivotButton="0" quotePrefix="0" xfId="0"/>
    <xf numFmtId="0" fontId="14" fillId="0" borderId="0" pivotButton="0" quotePrefix="0" xfId="0"/>
    <xf numFmtId="0" fontId="5" fillId="0" borderId="0" pivotButton="0" quotePrefix="0" xfId="0"/>
    <xf numFmtId="0" fontId="15" fillId="3" borderId="0" pivotButton="0" quotePrefix="0" xfId="0"/>
    <xf numFmtId="0" fontId="0" fillId="3" borderId="0" pivotButton="0" quotePrefix="0" xfId="0"/>
    <xf numFmtId="0" fontId="16"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8" fillId="0" borderId="0" pivotButton="0" quotePrefix="0" xfId="0"/>
    <xf numFmtId="0" fontId="9" fillId="0" borderId="0" applyAlignment="1" pivotButton="0" quotePrefix="0" xfId="0">
      <alignment vertical="top" wrapText="1"/>
    </xf>
    <xf numFmtId="0" fontId="10" fillId="0" borderId="0" applyAlignment="1" pivotButton="0" quotePrefix="0" xfId="0">
      <alignment vertical="top" wrapText="1"/>
    </xf>
    <xf numFmtId="0" fontId="12" fillId="0" borderId="0" pivotButton="0" quotePrefix="0" xfId="0"/>
    <xf numFmtId="0" fontId="6" fillId="3"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11" fillId="0" borderId="1" applyAlignment="1" pivotButton="0" quotePrefix="0" xfId="0">
      <alignment vertical="top" wrapText="1"/>
    </xf>
    <xf numFmtId="2" fontId="0" fillId="4" borderId="2" applyAlignment="1" pivotButton="0" quotePrefix="0" xfId="0">
      <alignment horizontal="right" vertical="top"/>
    </xf>
    <xf numFmtId="0" fontId="1" fillId="0" borderId="1" applyAlignment="1" pivotButton="0" quotePrefix="0" xfId="0">
      <alignment vertical="top"/>
    </xf>
    <xf numFmtId="0" fontId="0" fillId="4" borderId="2" applyAlignment="1" pivotButton="0" quotePrefix="0" xfId="0">
      <alignment horizontal="right" vertical="top"/>
    </xf>
    <xf numFmtId="169" fontId="0" fillId="4" borderId="2" applyAlignment="1" pivotButton="0" quotePrefix="0" xfId="0">
      <alignment horizontal="right" vertical="top"/>
    </xf>
    <xf numFmtId="4" fontId="0" fillId="4" borderId="2" applyAlignment="1" pivotButton="0" quotePrefix="0" xfId="0">
      <alignment horizontal="right" vertical="top"/>
    </xf>
    <xf numFmtId="170" fontId="0" fillId="4" borderId="2" applyAlignment="1" pivotButton="0" quotePrefix="0" xfId="0">
      <alignment horizontal="right" vertical="top"/>
    </xf>
    <xf numFmtId="171" fontId="0" fillId="4" borderId="2" applyAlignment="1" pivotButton="0" quotePrefix="0" xfId="0">
      <alignment horizontal="right" vertical="top"/>
    </xf>
    <xf numFmtId="0" fontId="1" fillId="0" borderId="0" pivotButton="0" quotePrefix="0" xfId="0"/>
    <xf numFmtId="165" fontId="0" fillId="0" borderId="0" pivotButton="0" quotePrefix="0" xfId="0"/>
    <xf numFmtId="4" fontId="0" fillId="0" borderId="0" pivotButton="0" quotePrefix="0" xfId="0"/>
    <xf numFmtId="0" fontId="2" fillId="0" borderId="0" pivotButton="0" quotePrefix="0" xfId="0"/>
    <xf numFmtId="0" fontId="3" fillId="0" borderId="0" pivotButton="0" quotePrefix="0" xfId="0"/>
    <xf numFmtId="167" fontId="0" fillId="0" borderId="0" pivotButton="0" quotePrefix="0" xfId="0"/>
    <xf numFmtId="168" fontId="0" fillId="0" borderId="0" pivotButton="0" quotePrefix="0" xfId="0"/>
    <xf numFmtId="10" fontId="0" fillId="4" borderId="2" applyAlignment="1" pivotButton="0" quotePrefix="0" xfId="0">
      <alignment horizontal="right" vertical="top"/>
    </xf>
    <xf numFmtId="165" fontId="0" fillId="4" borderId="2" applyAlignment="1" pivotButton="0" quotePrefix="0" xfId="0">
      <alignment horizontal="right" vertical="top"/>
    </xf>
    <xf numFmtId="0" fontId="4" fillId="0" borderId="0" pivotButton="0" quotePrefix="0" xfId="0"/>
    <xf numFmtId="0" fontId="5" fillId="0" borderId="0" applyAlignment="1" pivotButton="0" quotePrefix="0" xfId="0">
      <alignment vertical="top" wrapText="1"/>
    </xf>
    <xf numFmtId="0" fontId="6" fillId="2" borderId="1" pivotButton="0" quotePrefix="0" xfId="0"/>
    <xf numFmtId="2" fontId="1" fillId="0" borderId="1" applyAlignment="1" pivotButton="0" quotePrefix="0" xfId="0">
      <alignment vertical="top" wrapText="1"/>
    </xf>
    <xf numFmtId="0" fontId="7" fillId="0" borderId="1" applyAlignment="1" pivotButton="0" quotePrefix="1" xfId="0">
      <alignment vertical="top" wrapText="1"/>
    </xf>
    <xf numFmtId="2" fontId="0" fillId="0" borderId="1" applyAlignment="1" pivotButton="0" quotePrefix="0" xfId="0">
      <alignment vertical="top" wrapText="1"/>
    </xf>
    <xf numFmtId="0" fontId="1" fillId="0" borderId="1" applyAlignment="1" pivotButton="0" quotePrefix="0" xfId="0">
      <alignment vertical="top" wrapText="1"/>
    </xf>
    <xf numFmtId="169" fontId="1" fillId="0" borderId="1" applyAlignment="1" pivotButton="0" quotePrefix="0" xfId="0">
      <alignment vertical="top" wrapText="1"/>
    </xf>
    <xf numFmtId="169" fontId="0" fillId="0" borderId="1" applyAlignment="1" pivotButton="0" quotePrefix="0" xfId="0">
      <alignment vertical="top" wrapText="1"/>
    </xf>
    <xf numFmtId="4" fontId="1" fillId="0" borderId="1" applyAlignment="1" pivotButton="0" quotePrefix="0" xfId="0">
      <alignment vertical="top" wrapText="1"/>
    </xf>
    <xf numFmtId="4" fontId="0" fillId="0" borderId="1" applyAlignment="1" pivotButton="0" quotePrefix="0" xfId="0">
      <alignment vertical="top" wrapText="1"/>
    </xf>
    <xf numFmtId="170" fontId="1" fillId="0" borderId="1" applyAlignment="1" pivotButton="0" quotePrefix="0" xfId="0">
      <alignment vertical="top" wrapText="1"/>
    </xf>
    <xf numFmtId="170" fontId="0" fillId="0" borderId="1" applyAlignment="1" pivotButton="0" quotePrefix="0" xfId="0">
      <alignment vertical="top" wrapText="1"/>
    </xf>
    <xf numFmtId="171" fontId="1" fillId="0" borderId="1" applyAlignment="1" pivotButton="0" quotePrefix="0" xfId="0">
      <alignment vertical="top" wrapText="1"/>
    </xf>
    <xf numFmtId="171" fontId="0" fillId="0" borderId="1" applyAlignment="1" pivotButton="0" quotePrefix="0" xfId="0">
      <alignment vertical="top" wrapText="1"/>
    </xf>
    <xf numFmtId="10" fontId="1" fillId="0" borderId="1" applyAlignment="1" pivotButton="0" quotePrefix="0" xfId="0">
      <alignment vertical="top" wrapText="1"/>
    </xf>
    <xf numFmtId="10" fontId="0" fillId="0" borderId="1" applyAlignment="1" pivotButton="0" quotePrefix="0" xfId="0">
      <alignment vertical="top" wrapText="1"/>
    </xf>
    <xf numFmtId="165" fontId="1" fillId="0" borderId="1" applyAlignment="1" pivotButton="0" quotePrefix="0" xfId="0">
      <alignment vertical="top" wrapText="1"/>
    </xf>
    <xf numFmtId="165" fontId="0" fillId="0" borderId="1" applyAlignment="1" pivotButton="0" quotePrefix="0" xfId="0">
      <alignment vertical="top" wrapText="1"/>
    </xf>
  </cellXfs>
  <cellStyles count="1">
    <cellStyle name="Normal" xfId="0" builtinId="0" hidden="0"/>
  </cellStyles>
  <dxfs count="2">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 Id="rIdXlcMeta" Type="http://schemas.openxmlformats.org/officeDocument/2006/relationships/sheetMetadata" Target="metadata.xml"/></Relationships>
</file>

<file path=xl/tables/table1.xml><?xml version="1.0" encoding="utf-8"?>
<table xmlns="http://schemas.openxmlformats.org/spreadsheetml/2006/main" id="1" name="tblStays" displayName="tblStays" ref="A1:G401" headerRowCount="1">
  <autoFilter ref="A1:G401"/>
  <tableColumns count="7">
    <tableColumn id="1" name="EncounterID"/>
    <tableColumn id="2" name="Facility"/>
    <tableColumn id="3" name="DischargeDate"/>
    <tableColumn id="4" name="Age"/>
    <tableColumn id="5" name="DxCategory"/>
    <tableColumn id="6" name="LOSDays"/>
    <tableColumn id="7" name="TotalCharges"/>
  </tableColumns>
  <tableStyleInfo name="TableStyleMedium2" showRowStripes="1"/>
</table>
</file>

<file path=xl/tables/table2.xml><?xml version="1.0" encoding="utf-8"?>
<table xmlns="http://schemas.openxmlformats.org/spreadsheetml/2006/main" id="2" name="tblBins" displayName="tblBins" ref="A3:A10" headerRowCount="1">
  <autoFilter ref="A3:A10"/>
  <tableColumns count="1">
    <tableColumn id="1" name="LOSBin"/>
  </tableColumns>
  <tableStyleInfo name="TableStyleMedium2" showRowStripes="1"/>
</table>
</file>

<file path=xl/tables/table3.xml><?xml version="1.0" encoding="utf-8"?>
<table xmlns="http://schemas.openxmlformats.org/spreadsheetml/2006/main" id="3" name="tblEDWaits" displayName="tblEDWaits" ref="A1:E1629" headerRowCount="1">
  <autoFilter ref="A1:E1629"/>
  <tableColumns count="5">
    <tableColumn id="1" name="EDVisitID"/>
    <tableColumn id="2" name="Facility"/>
    <tableColumn id="3" name="ArrivalDateTime"/>
    <tableColumn id="4" name="ESILevel"/>
    <tableColumn id="5" name="DoorToProviderMin"/>
  </tableColumns>
  <tableStyleInfo name="TableStyleMedium2" showRowStripes="1"/>
</table>
</file>

<file path=xl/tables/table4.xml><?xml version="1.0" encoding="utf-8"?>
<table xmlns="http://schemas.openxmlformats.org/spreadsheetml/2006/main" id="4" name="tblEDDaily" displayName="tblEDDaily" ref="A1:F732" headerRowCount="1">
  <autoFilter ref="A1:F732"/>
  <tableColumns count="6">
    <tableColumn id="1" name="Date"/>
    <tableColumn id="2" name="Weekday"/>
    <tableColumn id="3" name="Memorial"/>
    <tableColumn id="4" name="AshbyFalls"/>
    <tableColumn id="5" name="CedarRidge"/>
    <tableColumn id="6" name="AllEDs"/>
  </tableColumns>
  <tableStyleInfo name="TableStyleMedium2" showRowStripes="1"/>
</table>
</file>

<file path=xl/tables/table5.xml><?xml version="1.0" encoding="utf-8"?>
<table xmlns="http://schemas.openxmlformats.org/spreadsheetml/2006/main" id="5" name="tblMonthly" displayName="tblMonthly" ref="A1:G25" headerRowCount="1">
  <autoFilter ref="A1:G25"/>
  <tableColumns count="7">
    <tableColumn id="1" name="MonthStart"/>
    <tableColumn id="2" name="MonthNum"/>
    <tableColumn id="3" name="EDVisits"/>
    <tableColumn id="4" name="LWBS"/>
    <tableColumn id="5" name="InpatientDischarges"/>
    <tableColumn id="6" name="IndexStays"/>
    <tableColumn id="7" name="Readmits30"/>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tabColor rgb="001F4E79"/>
    <outlinePr summaryBelow="1" summaryRight="1"/>
    <pageSetUpPr fitToPage="1"/>
  </sheetPr>
  <dimension ref="B2:C33"/>
  <sheetViews>
    <sheetView tabSelected="1" workbookViewId="0">
      <selection activeCell="A1" sqref="A1"/>
    </sheetView>
  </sheetViews>
  <sheetFormatPr baseColWidth="8" defaultRowHeight="15"/>
  <cols>
    <col width="3" customWidth="1" min="1" max="1"/>
    <col width="26" customWidth="1" min="2" max="2"/>
    <col width="95" customWidth="1" min="3" max="3"/>
  </cols>
  <sheetData>
    <row r="2">
      <c r="B2" s="1" t="inlineStr">
        <is>
          <t>Lesson 4.5</t>
        </is>
      </c>
    </row>
    <row r="3">
      <c r="B3" s="2" t="inlineStr">
        <is>
          <t>Statistics &amp; Forecasting</t>
        </is>
      </c>
    </row>
    <row r="4">
      <c r="B4" s="3" t="inlineStr">
        <is>
          <t>Advanced  ·  about 70 minutes  ·  Bluestone Health System (fictional)</t>
        </is>
      </c>
    </row>
    <row r="6">
      <c r="B6" s="4" t="inlineStr">
        <is>
          <t>What you'll learn</t>
        </is>
      </c>
      <c r="C6" s="5" t="n"/>
    </row>
    <row r="7" ht="18" customHeight="1">
      <c r="B7" s="6" t="inlineStr">
        <is>
          <t>•</t>
        </is>
      </c>
      <c r="C7" s="7" t="inlineStr">
        <is>
          <t>Summarize distributions with the Analysis ToolPak and histograms</t>
        </is>
      </c>
    </row>
    <row r="8" ht="18" customHeight="1">
      <c r="B8" s="6" t="inlineStr">
        <is>
          <t>•</t>
        </is>
      </c>
      <c r="C8" s="7" t="inlineStr">
        <is>
          <t>Measure relationships with correlation and linear regression</t>
        </is>
      </c>
    </row>
    <row r="9" ht="18" customHeight="1">
      <c r="B9" s="6" t="inlineStr">
        <is>
          <t>•</t>
        </is>
      </c>
      <c r="C9" s="7" t="inlineStr">
        <is>
          <t>Test differences with t-tests and quantify uncertainty with confidence intervals</t>
        </is>
      </c>
    </row>
    <row r="10" ht="18" customHeight="1">
      <c r="B10" s="6" t="inlineStr">
        <is>
          <t>•</t>
        </is>
      </c>
      <c r="C10" s="7" t="inlineStr">
        <is>
          <t>Forecast volumes and monitor processes with control charts</t>
        </is>
      </c>
    </row>
    <row r="12">
      <c r="B12" s="4" t="inlineStr">
        <is>
          <t>How to use this workbook</t>
        </is>
      </c>
      <c r="C12" s="5" t="n"/>
    </row>
    <row r="13" ht="33" customHeight="1">
      <c r="B13" s="8" t="inlineStr">
        <is>
          <t>1. Read the guide</t>
        </is>
      </c>
      <c r="C13" s="7" t="inlineStr">
        <is>
          <t>The lesson guide (README) explains each skill with examples: https://github.com/lmansf/learn-excel/tree/main/04-advanced-analysis/05-statistics-forecasting</t>
        </is>
      </c>
    </row>
    <row r="14" ht="18" customHeight="1">
      <c r="B14" s="8" t="inlineStr">
        <is>
          <t>2. Practice</t>
        </is>
      </c>
      <c r="C14" s="7" t="inlineStr">
        <is>
          <t>Go to the 'Practice' sheet. Type a formula or value into each yellow cell.</t>
        </is>
      </c>
    </row>
    <row r="15" ht="18" customHeight="1">
      <c r="B15" s="8" t="inlineStr">
        <is>
          <t>3. Check yourself</t>
        </is>
      </c>
      <c r="C15" s="7" t="inlineStr">
        <is>
          <t>The Check column shows ✔ Correct (green) or ✘ Not yet (red).</t>
        </is>
      </c>
    </row>
    <row r="16" ht="18" customHeight="1">
      <c r="B16" s="8" t="inlineStr">
        <is>
          <t>4. Bonus</t>
        </is>
      </c>
      <c r="C16" s="7" t="inlineStr">
        <is>
          <t>Finished? Try the harder 'Bonus' sheet.</t>
        </is>
      </c>
    </row>
    <row r="17" ht="33" customHeight="1">
      <c r="B17" s="8" t="inlineStr">
        <is>
          <t>5. Answers</t>
        </is>
      </c>
      <c r="C17" s="7" t="inlineStr">
        <is>
          <t>The 'Answer Key' and 'Bonus Key' sheets are hidden. Right-click any sheet tab → Unhide… → pick one → OK. (Try first!)</t>
        </is>
      </c>
    </row>
    <row r="18" ht="48" customHeight="1">
      <c r="B18" s="8" t="inlineStr">
        <is>
          <t>Note</t>
        </is>
      </c>
      <c r="C18" s="7" t="inlineStr">
        <is>
          <t>Several tasks can be answered with the Analysis ToolPak (Data → Data Analysis). Turn it on first: File → Options → Add-ins → Manage Excel Add-ins → Go (Mac: Tools → Excel Add-ins). The guide shows how.</t>
        </is>
      </c>
    </row>
    <row r="19" ht="33" customHeight="1">
      <c r="B19" s="8" t="inlineStr">
        <is>
          <t>Note</t>
        </is>
      </c>
      <c r="C19" s="7" t="inlineStr">
        <is>
          <t>Control limits and statistical tests here are for learning process-monitoring methods, not clinical or regulatory reporting.</t>
        </is>
      </c>
    </row>
    <row r="21">
      <c r="B21" s="4" t="inlineStr">
        <is>
          <t>Color legend</t>
        </is>
      </c>
      <c r="C21" s="5" t="n"/>
    </row>
    <row r="22" ht="18" customHeight="1">
      <c r="B22" s="9" t="inlineStr">
        <is>
          <t>Yellow cell</t>
        </is>
      </c>
      <c r="C22" s="7" t="inlineStr">
        <is>
          <t>Your answer goes here.</t>
        </is>
      </c>
    </row>
    <row r="23" ht="18" customHeight="1">
      <c r="B23" s="10" t="inlineStr">
        <is>
          <t>✔ Correct</t>
        </is>
      </c>
      <c r="C23" s="7" t="inlineStr">
        <is>
          <t>Your answer matches the key.</t>
        </is>
      </c>
    </row>
    <row r="24" ht="18" customHeight="1">
      <c r="B24" s="11" t="inlineStr">
        <is>
          <t>✘ Not yet</t>
        </is>
      </c>
      <c r="C24" s="7" t="inlineStr">
        <is>
          <t>Not matching yet. Check the hint and try again.</t>
        </is>
      </c>
    </row>
    <row r="26">
      <c r="B26" s="4" t="inlineStr">
        <is>
          <t>Sheets in this workbook</t>
        </is>
      </c>
      <c r="C26" s="5" t="n"/>
    </row>
    <row r="27" ht="18" customHeight="1">
      <c r="B27" s="8" t="inlineStr">
        <is>
          <t>Stays</t>
        </is>
      </c>
      <c r="C27" s="7" t="inlineStr">
        <is>
          <t>Data: 400 rows, in the Excel Table 'tblStays'</t>
        </is>
      </c>
    </row>
    <row r="28" ht="18" customHeight="1">
      <c r="B28" s="8" t="inlineStr">
        <is>
          <t>Bins</t>
        </is>
      </c>
      <c r="C28" s="7" t="inlineStr">
        <is>
          <t>Data: 7 rows, in the Excel Table 'tblBins'</t>
        </is>
      </c>
    </row>
    <row r="29" ht="18" customHeight="1">
      <c r="B29" s="8" t="inlineStr">
        <is>
          <t>EDWaits</t>
        </is>
      </c>
      <c r="C29" s="7" t="inlineStr">
        <is>
          <t>Data: 1,628 rows, in the Excel Table 'tblEDWaits'</t>
        </is>
      </c>
    </row>
    <row r="30" ht="18" customHeight="1">
      <c r="B30" s="8" t="inlineStr">
        <is>
          <t>EDDaily</t>
        </is>
      </c>
      <c r="C30" s="7" t="inlineStr">
        <is>
          <t>Data: 731 rows, in the Excel Table 'tblEDDaily'</t>
        </is>
      </c>
    </row>
    <row r="31" ht="18" customHeight="1">
      <c r="B31" s="8" t="inlineStr">
        <is>
          <t>Monthly</t>
        </is>
      </c>
      <c r="C31" s="7" t="inlineStr">
        <is>
          <t>Data: 24 rows, in the Excel Table 'tblMonthly'</t>
        </is>
      </c>
    </row>
    <row r="32" ht="63" customHeight="1">
      <c r="B32" s="8" t="inlineStr">
        <is>
          <t>About the data</t>
        </is>
      </c>
      <c r="C32" s="7" t="inlineStr">
        <is>
          <t>A random sample of 400 inpatient stays discharged in 2025 (200 each from Bluestone Memorial and Cedar Ridge), every Q4 2025 emergency department visit at the three hospitals with door-to-provider minutes, daily ED arrivals per hospital for 2024–2025, and 24 months of system-wide ED, LWBS, inpatient, and 30-day readmission counts.</t>
        </is>
      </c>
    </row>
    <row r="33" ht="18" customHeight="1">
      <c r="B33" s="8" t="inlineStr">
        <is>
          <t>Disclaimer</t>
        </is>
      </c>
      <c r="C33" s="7" t="inlineStr">
        <is>
          <t>All people, places, and numbers are synthetic and fictional. Not clinical guidance.</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18"/>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2" t="inlineStr">
        <is>
          <t>Lesson 4.5 · Practice</t>
        </is>
      </c>
    </row>
    <row r="2" ht="64" customHeight="1">
      <c r="A2" s="13" t="inlineStr">
        <is>
          <t>Stays (rows 2–401) holds the 400 sampled inpatient stays: Bluestone Memorial in rows 2–201 and Cedar Ridge in rows 202–401. Bins (A4:A10) holds the LOS histogram bins. EDWaits holds Q4 2025 ED visits sorted by hospital. EDDaily holds one row per day from 01/01/2024 (row 2) to 12/31/2025 (row 732), with 2025 starting in row 368. Monthly holds Jan 2024 (row 2) to Dec 2025 (row 25). Answer with formulas where you can. Where a task says the ToolPak, a worksheet formula gives the same number. Each yellow cell holds one number, so wrap FREQUENCY or LINEST in INDEX there. Otherwise they spill into the cells below.</t>
        </is>
      </c>
    </row>
    <row r="3" ht="34" customHeight="1">
      <c r="A3" s="14" t="inlineStr">
        <is>
          <t>Type a formula or value in each yellow cell. The Check column turns green when your answer matches. Stuck? Read the hint, then the lesson guide. Answers: right-click a sheet tab → Unhide… → 'Answer Key'.</t>
        </is>
      </c>
    </row>
    <row r="4">
      <c r="A4" s="15">
        <f>"Score: "&amp;COUNTIF(E6:E18,"✔*")&amp;" of 13 auto-checked tasks correct"</f>
        <v/>
      </c>
    </row>
    <row r="5">
      <c r="A5" s="16" t="inlineStr">
        <is>
          <t>#</t>
        </is>
      </c>
      <c r="B5" s="16" t="inlineStr">
        <is>
          <t>Task</t>
        </is>
      </c>
      <c r="C5" s="16" t="inlineStr">
        <is>
          <t>Hint</t>
        </is>
      </c>
      <c r="D5" s="16" t="inlineStr">
        <is>
          <t>Your Answer</t>
        </is>
      </c>
      <c r="E5" s="16" t="inlineStr">
        <is>
          <t>Check</t>
        </is>
      </c>
    </row>
    <row r="6" ht="51" customHeight="1">
      <c r="A6" s="17" t="inlineStr">
        <is>
          <t>1</t>
        </is>
      </c>
      <c r="B6" s="18" t="inlineStr">
        <is>
          <t>Run Data Analysis → Descriptive Statistics on LOSDays for all 400 stays (tick Summary statistics). What Skewness does the output report? Enter it to 2 decimal places, or use the worksheet function that calculates it.</t>
        </is>
      </c>
      <c r="C6" s="19" t="inlineStr">
        <is>
          <t>The ToolPak's Skewness row is the SKEW function</t>
        </is>
      </c>
      <c r="D6" s="20" t="n"/>
      <c r="E6" s="21">
        <f>IF(IFERROR(D6="",FALSE),"",IF(IFERROR(AND(ISNUMBER(D6),OR(ABS(D6-'Answer Key'!$C$5)&lt;=0.0051)),FALSE),"✔ Correct","✘ Not yet"))</f>
        <v/>
      </c>
    </row>
    <row r="7" ht="51" customHeight="1">
      <c r="A7" s="17" t="inlineStr">
        <is>
          <t>2</t>
        </is>
      </c>
      <c r="B7" s="18" t="inlineStr">
        <is>
          <t>Build a histogram of LOSDays (all 400 stays) using the bins on the Bins sheet, with the Histogram tool or FREQUENCY. How many stays fall in the bin labeled 6? Enter that one count.</t>
        </is>
      </c>
      <c r="C7" s="19" t="inlineStr">
        <is>
          <t>A bin's number is its upper limit. Which LOS values does that bin collect?</t>
        </is>
      </c>
      <c r="D7" s="22" t="n"/>
      <c r="E7" s="21">
        <f>IF(IFERROR(D7="",FALSE),"",IF(IFERROR(AND(ISNUMBER(D7),OR(ABS(D7-'Answer Key'!$C$6)&lt;=0.0001)),FALSE),"✔ Correct","✘ Not yet"))</f>
        <v/>
      </c>
    </row>
    <row r="8" ht="51" customHeight="1">
      <c r="A8" s="17" t="inlineStr">
        <is>
          <t>3</t>
        </is>
      </c>
      <c r="B8" s="18" t="inlineStr">
        <is>
          <t>How strongly is a patient's age related to length of stay? Calculate the correlation coefficient between Age and LOSDays for all 400 stays, to 3 decimal places.</t>
        </is>
      </c>
      <c r="C8" s="19" t="inlineStr">
        <is>
          <t>CORREL(array1, array2)</t>
        </is>
      </c>
      <c r="D8" s="23" t="n"/>
      <c r="E8" s="21">
        <f>IF(IFERROR(D8="",FALSE),"",IF(IFERROR(AND(ISNUMBER(D8),OR(ABS(D8-'Answer Key'!$C$7)&lt;=0.0006)),FALSE),"✔ Correct","✘ Not yet"))</f>
        <v/>
      </c>
    </row>
    <row r="9" ht="51" customHeight="1">
      <c r="A9" s="17" t="inlineStr">
        <is>
          <t>4</t>
        </is>
      </c>
      <c r="B9" s="18" t="inlineStr">
        <is>
          <t>Finance wants to know how much a day of stay adds to the bill. Fit a straight line that predicts TotalCharges from LOSDays (all 400 stays). What is the slope, in dollars per day? Enter it to 2 decimal places.</t>
        </is>
      </c>
      <c r="C9" s="19" t="inlineStr">
        <is>
          <t>SLOPE(known_y's, known_x's). The thing you predict goes first</t>
        </is>
      </c>
      <c r="D9" s="24" t="n"/>
      <c r="E9" s="21">
        <f>IF(IFERROR(D9="",FALSE),"",IF(IFERROR(AND(ISNUMBER(D9),OR(ABS(D9-'Answer Key'!$C$8)&lt;=0.0051)),FALSE),"✔ Correct","✘ Not yet"))</f>
        <v/>
      </c>
    </row>
    <row r="10" ht="36" customHeight="1">
      <c r="A10" s="17" t="inlineStr">
        <is>
          <t>5</t>
        </is>
      </c>
      <c r="B10" s="18" t="inlineStr">
        <is>
          <t>Using the straight line that predicts LOSDays from Age (all 400 stays), what LOS does it predict for an 80-year-old patient? Enter days to 2 decimal places.</t>
        </is>
      </c>
      <c r="C10" s="19" t="inlineStr">
        <is>
          <t>FORECAST.LINEAR(x, known_y's, known_x's), or INTERCEPT + SLOPE × 80</t>
        </is>
      </c>
      <c r="D10" s="20" t="n"/>
      <c r="E10" s="21">
        <f>IF(IFERROR(D10="",FALSE),"",IF(IFERROR(AND(ISNUMBER(D10),OR(ABS(D10-'Answer Key'!$C$9)&lt;=0.0051)),FALSE),"✔ Correct","✘ Not yet"))</f>
        <v/>
      </c>
    </row>
    <row r="11" ht="66" customHeight="1">
      <c r="A11" s="17" t="inlineStr">
        <is>
          <t>6</t>
        </is>
      </c>
      <c r="B11" s="18" t="inlineStr">
        <is>
          <t>Is the age effect from Task 5 real, or could it be chance? Run Regression (Data Analysis) with LOSDays as the Y range and Age as the X range, or build the p-value from LINEST as in guide section 7. What p-value does it report for the Age coefficient? Enter it to 4 decimal places.</t>
        </is>
      </c>
      <c r="C11" s="19" t="inlineStr">
        <is>
          <t>t Stat = coefficient ÷ its standard error. T.DIST.2T turns t into a two-tailed p-value</t>
        </is>
      </c>
      <c r="D11" s="25" t="n"/>
      <c r="E11" s="21">
        <f>IF(IFERROR(D11="",FALSE),"",IF(IFERROR(AND(ISNUMBER(D11),OR(ABS(D11-'Answer Key'!$C$10)&lt;=6e-05)),FALSE),"✔ Correct","✘ Not yet"))</f>
        <v/>
      </c>
    </row>
    <row r="12" ht="66" customHeight="1">
      <c r="A12" s="17" t="inlineStr">
        <is>
          <t>7</t>
        </is>
      </c>
      <c r="B12" s="18" t="inlineStr">
        <is>
          <t>Finance would rather quote a range than a single number. For the TotalCharges-on-LOSDays line from Task 4, what is the lower end of the 95% confidence interval for the slope? It's the "Lower 95%" value the Regression tool reports for LOSDays. Enter dollars per day to 2 decimal places.</t>
        </is>
      </c>
      <c r="C12" s="19" t="inlineStr">
        <is>
          <t>slope − t × (standard error of the slope), where t = T.INV.2T(0.05, residual df)</t>
        </is>
      </c>
      <c r="D12" s="24" t="n"/>
      <c r="E12" s="21">
        <f>IF(IFERROR(D12="",FALSE),"",IF(IFERROR(AND(ISNUMBER(D12),OR(ABS(D12-'Answer Key'!$C$11)&lt;=0.0051)),FALSE),"✔ Correct","✘ Not yet"))</f>
        <v/>
      </c>
    </row>
    <row r="13" ht="66" customHeight="1">
      <c r="A13" s="17" t="inlineStr">
        <is>
          <t>8</t>
        </is>
      </c>
      <c r="B13" s="18" t="inlineStr">
        <is>
          <t>Do Bluestone Memorial and Cedar Ridge differ in average LOS? Run a two-tailed t-test that does not assume equal variances, comparing Memorial's LOSDays (rows 2–201) with Cedar Ridge's (rows 202–401). Enter the p-value to 3 decimal places.</t>
        </is>
      </c>
      <c r="C13" s="19" t="inlineStr">
        <is>
          <t>T.TEST(array1, array2, tails, type). Type 3 = two-sample, unequal variance</t>
        </is>
      </c>
      <c r="D13" s="23" t="n"/>
      <c r="E13" s="21">
        <f>IF(IFERROR(D13="",FALSE),"",IF(IFERROR(AND(ISNUMBER(D13),OR(ABS(D13-'Answer Key'!$C$12)&lt;=0.0006)),FALSE),"✔ Correct","✘ Not yet"))</f>
        <v/>
      </c>
    </row>
    <row r="14" ht="66" customHeight="1">
      <c r="A14" s="17" t="inlineStr">
        <is>
          <t>9</t>
        </is>
      </c>
      <c r="B14" s="18" t="inlineStr">
        <is>
          <t>Estimate Ashby Falls' true average door-to-provider time with a 95% confidence interval, using its Q4 2025 visits (EDWaits rows 1158–1383). What is the interval's half-width (the ± margin), in minutes to 2 decimal places? Blank cells are patients who left without being seen.</t>
        </is>
      </c>
      <c r="C14" s="19" t="inlineStr">
        <is>
          <t>CONFIDENCE.T(alpha, standard_dev, size). Alpha for 95% is 0.05</t>
        </is>
      </c>
      <c r="D14" s="20" t="n"/>
      <c r="E14" s="21">
        <f>IF(IFERROR(D14="",FALSE),"",IF(IFERROR(AND(ISNUMBER(D14),OR(ABS(D14-'Answer Key'!$C$13)&lt;=0.0051)),FALSE),"✔ Correct","✘ Not yet"))</f>
        <v/>
      </c>
    </row>
    <row r="15" ht="51" customHeight="1">
      <c r="A15" s="17" t="inlineStr">
        <is>
          <t>10</t>
        </is>
      </c>
      <c r="B15" s="18" t="inlineStr">
        <is>
          <t>A trailing 7-day moving average smooths out the weekday pattern. What was the 7-day moving average of Memorial's daily arrivals on 02/25/2025 (that day and the 6 days before it)? Enter it to 2 decimal places.</t>
        </is>
      </c>
      <c r="C15" s="19" t="inlineStr">
        <is>
          <t>02/25/2025 is EDDaily row 423. Average 7 rows ending there</t>
        </is>
      </c>
      <c r="D15" s="20" t="n"/>
      <c r="E15" s="21">
        <f>IF(IFERROR(D15="",FALSE),"",IF(IFERROR(AND(ISNUMBER(D15),OR(ABS(D15-'Answer Key'!$C$14)&lt;=0.0051)),FALSE),"✔ Correct","✘ Not yet"))</f>
        <v/>
      </c>
    </row>
    <row r="16" ht="51" customHeight="1">
      <c r="A16" s="17" t="inlineStr">
        <is>
          <t>11</t>
        </is>
      </c>
      <c r="B16" s="18" t="inlineStr">
        <is>
          <t>Fit a linear trend to the 24 monthly EDVisits values, using MonthNum (1–24) as x. What does it forecast for month 25 (January 2026)? Enter it to 1 decimal place.</t>
        </is>
      </c>
      <c r="C16" s="19" t="inlineStr">
        <is>
          <t>FORECAST.LINEAR(x, known_y's, known_x's)</t>
        </is>
      </c>
      <c r="D16" s="26" t="n"/>
      <c r="E16" s="21">
        <f>IF(IFERROR(D16="",FALSE),"",IF(IFERROR(AND(ISNUMBER(D16),OR(ABS(D16-'Answer Key'!$C$15)&lt;=0.051)),FALSE),"✔ Correct","✘ Not yet"))</f>
        <v/>
      </c>
    </row>
    <row r="17" ht="66" customHeight="1">
      <c r="A17" s="17" t="inlineStr">
        <is>
          <t>12</t>
        </is>
      </c>
      <c r="B17" s="18" t="inlineStr">
        <is>
          <t>Build an individuals (I) chart for Memorial's daily arrivals with 2024 as the baseline (EDDaily rows 2–367). The moving ranges are the absolute day-to-day changes, σ̂ = average moving range ÷ 1.128, and UCL = mean + 3 × σ̂. What is the UCL? Enter it to 2 decimal places.</t>
        </is>
      </c>
      <c r="C17" s="19" t="inlineStr">
        <is>
          <t>Average |today − yesterday| over 2024, divide by 1.128, triple it, add the mean</t>
        </is>
      </c>
      <c r="D17" s="20" t="n"/>
      <c r="E17" s="21">
        <f>IF(IFERROR(D17="",FALSE),"",IF(IFERROR(AND(ISNUMBER(D17),OR(ABS(D17-'Answer Key'!$C$16)&lt;=0.0051)),FALSE),"✔ Correct","✘ Not yet"))</f>
        <v/>
      </c>
    </row>
    <row r="18" ht="36" customHeight="1">
      <c r="A18" s="17" t="inlineStr">
        <is>
          <t>13</t>
        </is>
      </c>
      <c r="B18" s="18" t="inlineStr">
        <is>
          <t>Monitor 2025 against the 2024 limits. On how many days in 2025 (EDDaily rows 368–732) did Memorial's arrivals exceed the UCL from Task 12?</t>
        </is>
      </c>
      <c r="C18" s="19" t="inlineStr">
        <is>
          <t>COUNTIF with "&gt;"&amp; your Task 12 cell (D17)</t>
        </is>
      </c>
      <c r="D18" s="22" t="n"/>
      <c r="E18" s="21">
        <f>IF(IFERROR(D18="",FALSE),"",IF(IFERROR(AND(ISNUMBER(D18),OR(ABS(D18-'Answer Key'!$C$17)&lt;=0.0001)),FALSE),"✔ Correct","✘ Not yet"))</f>
        <v/>
      </c>
    </row>
  </sheetData>
  <mergeCells count="3">
    <mergeCell ref="A2:E2"/>
    <mergeCell ref="A4:C4"/>
    <mergeCell ref="A3:E3"/>
  </mergeCells>
  <conditionalFormatting sqref="E6:E18">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G401"/>
  <sheetViews>
    <sheetView tabSelected="0" workbookViewId="0">
      <pane ySplit="1" topLeftCell="A2" activePane="bottomLeft" state="frozen"/>
      <selection pane="bottomLeft" activeCell="A1" sqref="A1"/>
    </sheetView>
  </sheetViews>
  <sheetFormatPr baseColWidth="8" defaultRowHeight="15"/>
  <cols>
    <col width="13" customWidth="1" min="1" max="1"/>
    <col width="21" customWidth="1" min="2" max="2"/>
    <col width="15" customWidth="1" min="3" max="3"/>
    <col width="9" customWidth="1" min="4" max="4"/>
    <col width="26" customWidth="1" min="5" max="5"/>
    <col width="9" customWidth="1" min="6" max="6"/>
    <col width="14" customWidth="1" min="7" max="7"/>
  </cols>
  <sheetData>
    <row r="1">
      <c r="A1" s="27" t="inlineStr">
        <is>
          <t>EncounterID</t>
        </is>
      </c>
      <c r="B1" s="27" t="inlineStr">
        <is>
          <t>Facility</t>
        </is>
      </c>
      <c r="C1" s="27" t="inlineStr">
        <is>
          <t>DischargeDate</t>
        </is>
      </c>
      <c r="D1" s="27" t="inlineStr">
        <is>
          <t>Age</t>
        </is>
      </c>
      <c r="E1" s="27" t="inlineStr">
        <is>
          <t>DxCategory</t>
        </is>
      </c>
      <c r="F1" s="27" t="inlineStr">
        <is>
          <t>LOSDays</t>
        </is>
      </c>
      <c r="G1" s="27" t="inlineStr">
        <is>
          <t>TotalCharges</t>
        </is>
      </c>
    </row>
    <row r="2">
      <c r="A2" t="inlineStr">
        <is>
          <t>ENC110372</t>
        </is>
      </c>
      <c r="B2" t="inlineStr">
        <is>
          <t>Bluestone Memorial</t>
        </is>
      </c>
      <c r="C2" s="28" t="n">
        <v>45660</v>
      </c>
      <c r="D2" t="n">
        <v>69</v>
      </c>
      <c r="E2" t="inlineStr">
        <is>
          <t>Infectious</t>
        </is>
      </c>
      <c r="F2" t="n">
        <v>12</v>
      </c>
      <c r="G2" s="29" t="n">
        <v>137793.93</v>
      </c>
    </row>
    <row r="3">
      <c r="A3" t="inlineStr">
        <is>
          <t>ENC110504</t>
        </is>
      </c>
      <c r="B3" t="inlineStr">
        <is>
          <t>Bluestone Memorial</t>
        </is>
      </c>
      <c r="C3" s="28" t="n">
        <v>45660</v>
      </c>
      <c r="D3" t="n">
        <v>73</v>
      </c>
      <c r="E3" t="inlineStr">
        <is>
          <t>Infectious</t>
        </is>
      </c>
      <c r="F3" t="n">
        <v>9</v>
      </c>
      <c r="G3" s="29" t="n">
        <v>66350.71000000001</v>
      </c>
    </row>
    <row r="4">
      <c r="A4" t="inlineStr">
        <is>
          <t>ENC110810</t>
        </is>
      </c>
      <c r="B4" t="inlineStr">
        <is>
          <t>Bluestone Memorial</t>
        </is>
      </c>
      <c r="C4" s="28" t="n">
        <v>45662</v>
      </c>
      <c r="D4" t="n">
        <v>43</v>
      </c>
      <c r="E4" t="inlineStr">
        <is>
          <t>Pregnancy</t>
        </is>
      </c>
      <c r="F4" t="n">
        <v>2</v>
      </c>
      <c r="G4" s="29" t="n">
        <v>11479.66</v>
      </c>
    </row>
    <row r="5">
      <c r="A5" t="inlineStr">
        <is>
          <t>ENC110821</t>
        </is>
      </c>
      <c r="B5" t="inlineStr">
        <is>
          <t>Bluestone Memorial</t>
        </is>
      </c>
      <c r="C5" s="28" t="n">
        <v>45662</v>
      </c>
      <c r="D5" t="n">
        <v>43</v>
      </c>
      <c r="E5" t="inlineStr">
        <is>
          <t>Pregnancy</t>
        </is>
      </c>
      <c r="F5" t="n">
        <v>2</v>
      </c>
      <c r="G5" s="29" t="n">
        <v>19238.72</v>
      </c>
    </row>
    <row r="6">
      <c r="A6" t="inlineStr">
        <is>
          <t>ENC110669</t>
        </is>
      </c>
      <c r="B6" t="inlineStr">
        <is>
          <t>Bluestone Memorial</t>
        </is>
      </c>
      <c r="C6" s="28" t="n">
        <v>45663</v>
      </c>
      <c r="D6" t="n">
        <v>58</v>
      </c>
      <c r="E6" t="inlineStr">
        <is>
          <t>Infectious</t>
        </is>
      </c>
      <c r="F6" t="n">
        <v>6</v>
      </c>
      <c r="G6" s="29" t="n">
        <v>65357.42</v>
      </c>
    </row>
    <row r="7">
      <c r="A7" t="inlineStr">
        <is>
          <t>ENC110685</t>
        </is>
      </c>
      <c r="B7" t="inlineStr">
        <is>
          <t>Bluestone Memorial</t>
        </is>
      </c>
      <c r="C7" s="28" t="n">
        <v>45665</v>
      </c>
      <c r="D7" t="n">
        <v>47</v>
      </c>
      <c r="E7" t="inlineStr">
        <is>
          <t>Respiratory</t>
        </is>
      </c>
      <c r="F7" t="n">
        <v>8</v>
      </c>
      <c r="G7" s="29" t="n">
        <v>71535.8</v>
      </c>
    </row>
    <row r="8">
      <c r="A8" t="inlineStr">
        <is>
          <t>ENC110749</t>
        </is>
      </c>
      <c r="B8" t="inlineStr">
        <is>
          <t>Bluestone Memorial</t>
        </is>
      </c>
      <c r="C8" s="28" t="n">
        <v>45668</v>
      </c>
      <c r="D8" t="n">
        <v>46</v>
      </c>
      <c r="E8" t="inlineStr">
        <is>
          <t>Respiratory</t>
        </is>
      </c>
      <c r="F8" t="n">
        <v>9</v>
      </c>
      <c r="G8" s="29" t="n">
        <v>81781.81</v>
      </c>
    </row>
    <row r="9">
      <c r="A9" t="inlineStr">
        <is>
          <t>ENC111152</t>
        </is>
      </c>
      <c r="B9" t="inlineStr">
        <is>
          <t>Bluestone Memorial</t>
        </is>
      </c>
      <c r="C9" s="28" t="n">
        <v>45672</v>
      </c>
      <c r="D9" t="n">
        <v>56</v>
      </c>
      <c r="E9" t="inlineStr">
        <is>
          <t>Respiratory</t>
        </is>
      </c>
      <c r="F9" t="n">
        <v>2</v>
      </c>
      <c r="G9" s="29" t="n">
        <v>11711.1</v>
      </c>
    </row>
    <row r="10">
      <c r="A10" t="inlineStr">
        <is>
          <t>ENC111168</t>
        </is>
      </c>
      <c r="B10" t="inlineStr">
        <is>
          <t>Bluestone Memorial</t>
        </is>
      </c>
      <c r="C10" s="28" t="n">
        <v>45673</v>
      </c>
      <c r="D10" t="n">
        <v>74</v>
      </c>
      <c r="E10" t="inlineStr">
        <is>
          <t>Endocrine</t>
        </is>
      </c>
      <c r="F10" t="n">
        <v>3</v>
      </c>
      <c r="G10" s="29" t="n">
        <v>17460.99</v>
      </c>
    </row>
    <row r="11">
      <c r="A11" t="inlineStr">
        <is>
          <t>ENC111104</t>
        </is>
      </c>
      <c r="B11" t="inlineStr">
        <is>
          <t>Bluestone Memorial</t>
        </is>
      </c>
      <c r="C11" s="28" t="n">
        <v>45674</v>
      </c>
      <c r="D11" t="n">
        <v>55</v>
      </c>
      <c r="E11" t="inlineStr">
        <is>
          <t>Circulatory</t>
        </is>
      </c>
      <c r="F11" t="n">
        <v>6</v>
      </c>
      <c r="G11" s="29" t="n">
        <v>110148.87</v>
      </c>
    </row>
    <row r="12">
      <c r="A12" t="inlineStr">
        <is>
          <t>ENC111252</t>
        </is>
      </c>
      <c r="B12" t="inlineStr">
        <is>
          <t>Bluestone Memorial</t>
        </is>
      </c>
      <c r="C12" s="28" t="n">
        <v>45674</v>
      </c>
      <c r="D12" t="n">
        <v>2</v>
      </c>
      <c r="E12" t="inlineStr">
        <is>
          <t>Infectious</t>
        </is>
      </c>
      <c r="F12" t="n">
        <v>2</v>
      </c>
      <c r="G12" s="29" t="n">
        <v>9278.940000000001</v>
      </c>
    </row>
    <row r="13">
      <c r="A13" t="inlineStr">
        <is>
          <t>ENC111181</t>
        </is>
      </c>
      <c r="B13" t="inlineStr">
        <is>
          <t>Bluestone Memorial</t>
        </is>
      </c>
      <c r="C13" s="28" t="n">
        <v>45675</v>
      </c>
      <c r="D13" t="n">
        <v>67</v>
      </c>
      <c r="E13" t="inlineStr">
        <is>
          <t>Endocrine</t>
        </is>
      </c>
      <c r="F13" t="n">
        <v>5</v>
      </c>
      <c r="G13" s="29" t="n">
        <v>18532.7</v>
      </c>
    </row>
    <row r="14">
      <c r="A14" t="inlineStr">
        <is>
          <t>ENC111129</t>
        </is>
      </c>
      <c r="B14" t="inlineStr">
        <is>
          <t>Bluestone Memorial</t>
        </is>
      </c>
      <c r="C14" s="28" t="n">
        <v>45676</v>
      </c>
      <c r="D14" t="n">
        <v>75</v>
      </c>
      <c r="E14" t="inlineStr">
        <is>
          <t>Circulatory</t>
        </is>
      </c>
      <c r="F14" t="n">
        <v>7</v>
      </c>
      <c r="G14" s="29" t="n">
        <v>27229.98</v>
      </c>
    </row>
    <row r="15">
      <c r="A15" t="inlineStr">
        <is>
          <t>ENC111295</t>
        </is>
      </c>
      <c r="B15" t="inlineStr">
        <is>
          <t>Bluestone Memorial</t>
        </is>
      </c>
      <c r="C15" s="28" t="n">
        <v>45676</v>
      </c>
      <c r="D15" t="n">
        <v>2</v>
      </c>
      <c r="E15" t="inlineStr">
        <is>
          <t>Respiratory</t>
        </is>
      </c>
      <c r="F15" t="n">
        <v>2</v>
      </c>
      <c r="G15" s="29" t="n">
        <v>11392.22</v>
      </c>
    </row>
    <row r="16">
      <c r="A16" t="inlineStr">
        <is>
          <t>ENC111183</t>
        </is>
      </c>
      <c r="B16" t="inlineStr">
        <is>
          <t>Bluestone Memorial</t>
        </is>
      </c>
      <c r="C16" s="28" t="n">
        <v>45678</v>
      </c>
      <c r="D16" t="n">
        <v>37</v>
      </c>
      <c r="E16" t="inlineStr">
        <is>
          <t>Digestive</t>
        </is>
      </c>
      <c r="F16" t="n">
        <v>8</v>
      </c>
      <c r="G16" s="29" t="n">
        <v>39212.89</v>
      </c>
    </row>
    <row r="17">
      <c r="A17" t="inlineStr">
        <is>
          <t>ENC111370</t>
        </is>
      </c>
      <c r="B17" t="inlineStr">
        <is>
          <t>Bluestone Memorial</t>
        </is>
      </c>
      <c r="C17" s="28" t="n">
        <v>45678</v>
      </c>
      <c r="D17" t="n">
        <v>33</v>
      </c>
      <c r="E17" t="inlineStr">
        <is>
          <t>Pregnancy</t>
        </is>
      </c>
      <c r="F17" t="n">
        <v>1</v>
      </c>
      <c r="G17" s="29" t="n">
        <v>11556.68</v>
      </c>
    </row>
    <row r="18">
      <c r="A18" t="inlineStr">
        <is>
          <t>ENC111487</t>
        </is>
      </c>
      <c r="B18" t="inlineStr">
        <is>
          <t>Bluestone Memorial</t>
        </is>
      </c>
      <c r="C18" s="28" t="n">
        <v>45683</v>
      </c>
      <c r="D18" t="n">
        <v>74</v>
      </c>
      <c r="E18" t="inlineStr">
        <is>
          <t>Respiratory</t>
        </is>
      </c>
      <c r="F18" t="n">
        <v>4</v>
      </c>
      <c r="G18" s="29" t="n">
        <v>21283.17</v>
      </c>
    </row>
    <row r="19">
      <c r="A19" t="inlineStr">
        <is>
          <t>ENC111522</t>
        </is>
      </c>
      <c r="B19" t="inlineStr">
        <is>
          <t>Bluestone Memorial</t>
        </is>
      </c>
      <c r="C19" s="28" t="n">
        <v>45685</v>
      </c>
      <c r="D19" t="n">
        <v>57</v>
      </c>
      <c r="E19" t="inlineStr">
        <is>
          <t>Mental &amp; Behavioral</t>
        </is>
      </c>
      <c r="F19" t="n">
        <v>5</v>
      </c>
      <c r="G19" s="29" t="n">
        <v>13791.72</v>
      </c>
    </row>
    <row r="20">
      <c r="A20" t="inlineStr">
        <is>
          <t>ENC111610</t>
        </is>
      </c>
      <c r="B20" t="inlineStr">
        <is>
          <t>Bluestone Memorial</t>
        </is>
      </c>
      <c r="C20" s="28" t="n">
        <v>45685</v>
      </c>
      <c r="D20" t="n">
        <v>86</v>
      </c>
      <c r="E20" t="inlineStr">
        <is>
          <t>Genitourinary</t>
        </is>
      </c>
      <c r="F20" t="n">
        <v>2</v>
      </c>
      <c r="G20" s="29" t="n">
        <v>13070.77</v>
      </c>
    </row>
    <row r="21">
      <c r="A21" t="inlineStr">
        <is>
          <t>ENC111319</t>
        </is>
      </c>
      <c r="B21" t="inlineStr">
        <is>
          <t>Bluestone Memorial</t>
        </is>
      </c>
      <c r="C21" s="28" t="n">
        <v>45686</v>
      </c>
      <c r="D21" t="n">
        <v>59</v>
      </c>
      <c r="E21" t="inlineStr">
        <is>
          <t>Mental &amp; Behavioral</t>
        </is>
      </c>
      <c r="F21" t="n">
        <v>12</v>
      </c>
      <c r="G21" s="29" t="n">
        <v>33208.41</v>
      </c>
    </row>
    <row r="22">
      <c r="A22" t="inlineStr">
        <is>
          <t>ENC111604</t>
        </is>
      </c>
      <c r="B22" t="inlineStr">
        <is>
          <t>Bluestone Memorial</t>
        </is>
      </c>
      <c r="C22" s="28" t="n">
        <v>45686</v>
      </c>
      <c r="D22" t="n">
        <v>69</v>
      </c>
      <c r="E22" t="inlineStr">
        <is>
          <t>Respiratory</t>
        </is>
      </c>
      <c r="F22" t="n">
        <v>3</v>
      </c>
      <c r="G22" s="29" t="n">
        <v>20077.13</v>
      </c>
    </row>
    <row r="23">
      <c r="A23" t="inlineStr">
        <is>
          <t>ENC111729</t>
        </is>
      </c>
      <c r="B23" t="inlineStr">
        <is>
          <t>Bluestone Memorial</t>
        </is>
      </c>
      <c r="C23" s="28" t="n">
        <v>45688</v>
      </c>
      <c r="D23" t="n">
        <v>66</v>
      </c>
      <c r="E23" t="inlineStr">
        <is>
          <t>Circulatory</t>
        </is>
      </c>
      <c r="F23" t="n">
        <v>2</v>
      </c>
      <c r="G23" s="29" t="n">
        <v>13975.45</v>
      </c>
    </row>
    <row r="24">
      <c r="A24" t="inlineStr">
        <is>
          <t>ENC111738</t>
        </is>
      </c>
      <c r="B24" t="inlineStr">
        <is>
          <t>Bluestone Memorial</t>
        </is>
      </c>
      <c r="C24" s="28" t="n">
        <v>45690</v>
      </c>
      <c r="D24" t="n">
        <v>70</v>
      </c>
      <c r="E24" t="inlineStr">
        <is>
          <t>Injury</t>
        </is>
      </c>
      <c r="F24" t="n">
        <v>4</v>
      </c>
      <c r="G24" s="29" t="n">
        <v>69983.92</v>
      </c>
    </row>
    <row r="25">
      <c r="A25" t="inlineStr">
        <is>
          <t>ENC111841</t>
        </is>
      </c>
      <c r="B25" t="inlineStr">
        <is>
          <t>Bluestone Memorial</t>
        </is>
      </c>
      <c r="C25" s="28" t="n">
        <v>45692</v>
      </c>
      <c r="D25" t="n">
        <v>47</v>
      </c>
      <c r="E25" t="inlineStr">
        <is>
          <t>Infectious</t>
        </is>
      </c>
      <c r="F25" t="n">
        <v>4</v>
      </c>
      <c r="G25" s="29" t="n">
        <v>47373.66</v>
      </c>
    </row>
    <row r="26">
      <c r="A26" t="inlineStr">
        <is>
          <t>ENC111940</t>
        </is>
      </c>
      <c r="B26" t="inlineStr">
        <is>
          <t>Bluestone Memorial</t>
        </is>
      </c>
      <c r="C26" s="28" t="n">
        <v>45694</v>
      </c>
      <c r="D26" t="n">
        <v>26</v>
      </c>
      <c r="E26" t="inlineStr">
        <is>
          <t>Pregnancy</t>
        </is>
      </c>
      <c r="F26" t="n">
        <v>2</v>
      </c>
      <c r="G26" s="29" t="n">
        <v>15797.68</v>
      </c>
    </row>
    <row r="27">
      <c r="A27" t="inlineStr">
        <is>
          <t>ENC111963</t>
        </is>
      </c>
      <c r="B27" t="inlineStr">
        <is>
          <t>Bluestone Memorial</t>
        </is>
      </c>
      <c r="C27" s="28" t="n">
        <v>45694</v>
      </c>
      <c r="D27" t="n">
        <v>64</v>
      </c>
      <c r="E27" t="inlineStr">
        <is>
          <t>Circulatory</t>
        </is>
      </c>
      <c r="F27" t="n">
        <v>2</v>
      </c>
      <c r="G27" s="29" t="n">
        <v>12725.92</v>
      </c>
    </row>
    <row r="28">
      <c r="A28" t="inlineStr">
        <is>
          <t>ENC112063</t>
        </is>
      </c>
      <c r="B28" t="inlineStr">
        <is>
          <t>Bluestone Memorial</t>
        </is>
      </c>
      <c r="C28" s="28" t="n">
        <v>45699</v>
      </c>
      <c r="D28" t="n">
        <v>73</v>
      </c>
      <c r="E28" t="inlineStr">
        <is>
          <t>Endocrine</t>
        </is>
      </c>
      <c r="F28" t="n">
        <v>5</v>
      </c>
      <c r="G28" s="29" t="n">
        <v>25561.45</v>
      </c>
    </row>
    <row r="29">
      <c r="A29" t="inlineStr">
        <is>
          <t>ENC112068</t>
        </is>
      </c>
      <c r="B29" t="inlineStr">
        <is>
          <t>Bluestone Memorial</t>
        </is>
      </c>
      <c r="C29" s="28" t="n">
        <v>45701</v>
      </c>
      <c r="D29" t="n">
        <v>1</v>
      </c>
      <c r="E29" t="inlineStr">
        <is>
          <t>Respiratory</t>
        </is>
      </c>
      <c r="F29" t="n">
        <v>7</v>
      </c>
      <c r="G29" s="29" t="n">
        <v>36436.31</v>
      </c>
    </row>
    <row r="30">
      <c r="A30" t="inlineStr">
        <is>
          <t>ENC112124</t>
        </is>
      </c>
      <c r="B30" t="inlineStr">
        <is>
          <t>Bluestone Memorial</t>
        </is>
      </c>
      <c r="C30" s="28" t="n">
        <v>45702</v>
      </c>
      <c r="D30" t="n">
        <v>94</v>
      </c>
      <c r="E30" t="inlineStr">
        <is>
          <t>Circulatory</t>
        </is>
      </c>
      <c r="F30" t="n">
        <v>6</v>
      </c>
      <c r="G30" s="29" t="n">
        <v>40235.06</v>
      </c>
    </row>
    <row r="31">
      <c r="A31" t="inlineStr">
        <is>
          <t>ENC112148</t>
        </is>
      </c>
      <c r="B31" t="inlineStr">
        <is>
          <t>Bluestone Memorial</t>
        </is>
      </c>
      <c r="C31" s="28" t="n">
        <v>45702</v>
      </c>
      <c r="D31" t="n">
        <v>77</v>
      </c>
      <c r="E31" t="inlineStr">
        <is>
          <t>Blood</t>
        </is>
      </c>
      <c r="F31" t="n">
        <v>5</v>
      </c>
      <c r="G31" s="29" t="n">
        <v>26620.1</v>
      </c>
    </row>
    <row r="32">
      <c r="A32" t="inlineStr">
        <is>
          <t>ENC112324</t>
        </is>
      </c>
      <c r="B32" t="inlineStr">
        <is>
          <t>Bluestone Memorial</t>
        </is>
      </c>
      <c r="C32" s="28" t="n">
        <v>45704</v>
      </c>
      <c r="D32" t="n">
        <v>72</v>
      </c>
      <c r="E32" t="inlineStr">
        <is>
          <t>Skin</t>
        </is>
      </c>
      <c r="F32" t="n">
        <v>3</v>
      </c>
      <c r="G32" s="29" t="n">
        <v>15199.77</v>
      </c>
    </row>
    <row r="33">
      <c r="A33" t="inlineStr">
        <is>
          <t>ENC112381</t>
        </is>
      </c>
      <c r="B33" t="inlineStr">
        <is>
          <t>Bluestone Memorial</t>
        </is>
      </c>
      <c r="C33" s="28" t="n">
        <v>45706</v>
      </c>
      <c r="D33" t="n">
        <v>95</v>
      </c>
      <c r="E33" t="inlineStr">
        <is>
          <t>Circulatory</t>
        </is>
      </c>
      <c r="F33" t="n">
        <v>3</v>
      </c>
      <c r="G33" s="29" t="n">
        <v>13939.64</v>
      </c>
    </row>
    <row r="34">
      <c r="A34" t="inlineStr">
        <is>
          <t>ENC112406</t>
        </is>
      </c>
      <c r="B34" t="inlineStr">
        <is>
          <t>Bluestone Memorial</t>
        </is>
      </c>
      <c r="C34" s="28" t="n">
        <v>45708</v>
      </c>
      <c r="D34" t="n">
        <v>69</v>
      </c>
      <c r="E34" t="inlineStr">
        <is>
          <t>Musculoskeletal</t>
        </is>
      </c>
      <c r="F34" t="n">
        <v>3</v>
      </c>
      <c r="G34" s="29" t="n">
        <v>61096.21</v>
      </c>
    </row>
    <row r="35">
      <c r="A35" t="inlineStr">
        <is>
          <t>ENC112529</t>
        </is>
      </c>
      <c r="B35" t="inlineStr">
        <is>
          <t>Bluestone Memorial</t>
        </is>
      </c>
      <c r="C35" s="28" t="n">
        <v>45709</v>
      </c>
      <c r="D35" t="n">
        <v>40</v>
      </c>
      <c r="E35" t="inlineStr">
        <is>
          <t>Pregnancy</t>
        </is>
      </c>
      <c r="F35" t="n">
        <v>2</v>
      </c>
      <c r="G35" s="29" t="n">
        <v>19221.17</v>
      </c>
    </row>
    <row r="36">
      <c r="A36" t="inlineStr">
        <is>
          <t>ENC112480</t>
        </is>
      </c>
      <c r="B36" t="inlineStr">
        <is>
          <t>Bluestone Memorial</t>
        </is>
      </c>
      <c r="C36" s="28" t="n">
        <v>45713</v>
      </c>
      <c r="D36" t="n">
        <v>95</v>
      </c>
      <c r="E36" t="inlineStr">
        <is>
          <t>Respiratory</t>
        </is>
      </c>
      <c r="F36" t="n">
        <v>7</v>
      </c>
      <c r="G36" s="29" t="n">
        <v>28327.05</v>
      </c>
    </row>
    <row r="37">
      <c r="A37" t="inlineStr">
        <is>
          <t>ENC112678</t>
        </is>
      </c>
      <c r="B37" t="inlineStr">
        <is>
          <t>Bluestone Memorial</t>
        </is>
      </c>
      <c r="C37" s="28" t="n">
        <v>45713</v>
      </c>
      <c r="D37" t="n">
        <v>33</v>
      </c>
      <c r="E37" t="inlineStr">
        <is>
          <t>Pregnancy</t>
        </is>
      </c>
      <c r="F37" t="n">
        <v>1</v>
      </c>
      <c r="G37" s="29" t="n">
        <v>13568.87</v>
      </c>
    </row>
    <row r="38">
      <c r="A38" t="inlineStr">
        <is>
          <t>ENC112650</t>
        </is>
      </c>
      <c r="B38" t="inlineStr">
        <is>
          <t>Bluestone Memorial</t>
        </is>
      </c>
      <c r="C38" s="28" t="n">
        <v>45714</v>
      </c>
      <c r="D38" t="n">
        <v>88</v>
      </c>
      <c r="E38" t="inlineStr">
        <is>
          <t>Endocrine</t>
        </is>
      </c>
      <c r="F38" t="n">
        <v>3</v>
      </c>
      <c r="G38" s="29" t="n">
        <v>14980.07</v>
      </c>
    </row>
    <row r="39">
      <c r="A39" t="inlineStr">
        <is>
          <t>ENC112637</t>
        </is>
      </c>
      <c r="B39" t="inlineStr">
        <is>
          <t>Bluestone Memorial</t>
        </is>
      </c>
      <c r="C39" s="28" t="n">
        <v>45715</v>
      </c>
      <c r="D39" t="n">
        <v>66</v>
      </c>
      <c r="E39" t="inlineStr">
        <is>
          <t>Respiratory</t>
        </is>
      </c>
      <c r="F39" t="n">
        <v>4</v>
      </c>
      <c r="G39" s="29" t="n">
        <v>15365.38</v>
      </c>
    </row>
    <row r="40">
      <c r="A40" t="inlineStr">
        <is>
          <t>ENC112413</t>
        </is>
      </c>
      <c r="B40" t="inlineStr">
        <is>
          <t>Bluestone Memorial</t>
        </is>
      </c>
      <c r="C40" s="28" t="n">
        <v>45717</v>
      </c>
      <c r="D40" t="n">
        <v>69</v>
      </c>
      <c r="E40" t="inlineStr">
        <is>
          <t>Infectious</t>
        </is>
      </c>
      <c r="F40" t="n">
        <v>12</v>
      </c>
      <c r="G40" s="29" t="n">
        <v>99346.28</v>
      </c>
    </row>
    <row r="41">
      <c r="A41" t="inlineStr">
        <is>
          <t>ENC112608</t>
        </is>
      </c>
      <c r="B41" t="inlineStr">
        <is>
          <t>Bluestone Memorial</t>
        </is>
      </c>
      <c r="C41" s="28" t="n">
        <v>45719</v>
      </c>
      <c r="D41" t="n">
        <v>51</v>
      </c>
      <c r="E41" t="inlineStr">
        <is>
          <t>Digestive</t>
        </is>
      </c>
      <c r="F41" t="n">
        <v>10</v>
      </c>
      <c r="G41" s="29" t="n">
        <v>97943.42</v>
      </c>
    </row>
    <row r="42">
      <c r="A42" t="inlineStr">
        <is>
          <t>ENC112920</t>
        </is>
      </c>
      <c r="B42" t="inlineStr">
        <is>
          <t>Bluestone Memorial</t>
        </is>
      </c>
      <c r="C42" s="28" t="n">
        <v>45722</v>
      </c>
      <c r="D42" t="n">
        <v>46</v>
      </c>
      <c r="E42" t="inlineStr">
        <is>
          <t>Infectious</t>
        </is>
      </c>
      <c r="F42" t="n">
        <v>3</v>
      </c>
      <c r="G42" s="29" t="n">
        <v>38351.48</v>
      </c>
    </row>
    <row r="43">
      <c r="A43" t="inlineStr">
        <is>
          <t>ENC113032</t>
        </is>
      </c>
      <c r="B43" t="inlineStr">
        <is>
          <t>Bluestone Memorial</t>
        </is>
      </c>
      <c r="C43" s="28" t="n">
        <v>45726</v>
      </c>
      <c r="D43" t="n">
        <v>78</v>
      </c>
      <c r="E43" t="inlineStr">
        <is>
          <t>Circulatory</t>
        </is>
      </c>
      <c r="F43" t="n">
        <v>3</v>
      </c>
      <c r="G43" s="29" t="n">
        <v>19222.51</v>
      </c>
    </row>
    <row r="44">
      <c r="A44" t="inlineStr">
        <is>
          <t>ENC113049</t>
        </is>
      </c>
      <c r="B44" t="inlineStr">
        <is>
          <t>Bluestone Memorial</t>
        </is>
      </c>
      <c r="C44" s="28" t="n">
        <v>45728</v>
      </c>
      <c r="D44" t="n">
        <v>61</v>
      </c>
      <c r="E44" t="inlineStr">
        <is>
          <t>Infectious</t>
        </is>
      </c>
      <c r="F44" t="n">
        <v>5</v>
      </c>
      <c r="G44" s="29" t="n">
        <v>61113.55</v>
      </c>
    </row>
    <row r="45">
      <c r="A45" t="inlineStr">
        <is>
          <t>ENC113003</t>
        </is>
      </c>
      <c r="B45" t="inlineStr">
        <is>
          <t>Bluestone Memorial</t>
        </is>
      </c>
      <c r="C45" s="28" t="n">
        <v>45730</v>
      </c>
      <c r="D45" t="n">
        <v>27</v>
      </c>
      <c r="E45" t="inlineStr">
        <is>
          <t>Mental &amp; Behavioral</t>
        </is>
      </c>
      <c r="F45" t="n">
        <v>8</v>
      </c>
      <c r="G45" s="29" t="n">
        <v>22844.78</v>
      </c>
    </row>
    <row r="46">
      <c r="A46" t="inlineStr">
        <is>
          <t>ENC113089</t>
        </is>
      </c>
      <c r="B46" t="inlineStr">
        <is>
          <t>Bluestone Memorial</t>
        </is>
      </c>
      <c r="C46" s="28" t="n">
        <v>45730</v>
      </c>
      <c r="D46" t="n">
        <v>75</v>
      </c>
      <c r="E46" t="inlineStr">
        <is>
          <t>Infectious</t>
        </is>
      </c>
      <c r="F46" t="n">
        <v>5</v>
      </c>
      <c r="G46" s="29" t="n">
        <v>53034.67</v>
      </c>
    </row>
    <row r="47">
      <c r="A47" t="inlineStr">
        <is>
          <t>ENC113120</t>
        </is>
      </c>
      <c r="B47" t="inlineStr">
        <is>
          <t>Bluestone Memorial</t>
        </is>
      </c>
      <c r="C47" s="28" t="n">
        <v>45730</v>
      </c>
      <c r="D47" t="n">
        <v>34</v>
      </c>
      <c r="E47" t="inlineStr">
        <is>
          <t>Respiratory</t>
        </is>
      </c>
      <c r="F47" t="n">
        <v>4</v>
      </c>
      <c r="G47" s="29" t="n">
        <v>18264.17</v>
      </c>
    </row>
    <row r="48">
      <c r="A48" t="inlineStr">
        <is>
          <t>ENC113189</t>
        </is>
      </c>
      <c r="B48" t="inlineStr">
        <is>
          <t>Bluestone Memorial</t>
        </is>
      </c>
      <c r="C48" s="28" t="n">
        <v>45730</v>
      </c>
      <c r="D48" t="n">
        <v>3</v>
      </c>
      <c r="E48" t="inlineStr">
        <is>
          <t>Respiratory</t>
        </is>
      </c>
      <c r="F48" t="n">
        <v>2</v>
      </c>
      <c r="G48" s="29" t="n">
        <v>13799.45</v>
      </c>
    </row>
    <row r="49">
      <c r="A49" t="inlineStr">
        <is>
          <t>ENC113068</t>
        </is>
      </c>
      <c r="B49" t="inlineStr">
        <is>
          <t>Bluestone Memorial</t>
        </is>
      </c>
      <c r="C49" s="28" t="n">
        <v>45731</v>
      </c>
      <c r="D49" t="n">
        <v>85</v>
      </c>
      <c r="E49" t="inlineStr">
        <is>
          <t>Respiratory</t>
        </is>
      </c>
      <c r="F49" t="n">
        <v>7</v>
      </c>
      <c r="G49" s="29" t="n">
        <v>34198.08</v>
      </c>
    </row>
    <row r="50">
      <c r="A50" t="inlineStr">
        <is>
          <t>ENC113196</t>
        </is>
      </c>
      <c r="B50" t="inlineStr">
        <is>
          <t>Bluestone Memorial</t>
        </is>
      </c>
      <c r="C50" s="28" t="n">
        <v>45731</v>
      </c>
      <c r="D50" t="n">
        <v>75</v>
      </c>
      <c r="E50" t="inlineStr">
        <is>
          <t>Digestive</t>
        </is>
      </c>
      <c r="F50" t="n">
        <v>3</v>
      </c>
      <c r="G50" s="29" t="n">
        <v>11053.37</v>
      </c>
    </row>
    <row r="51">
      <c r="A51" t="inlineStr">
        <is>
          <t>ENC113284</t>
        </is>
      </c>
      <c r="B51" t="inlineStr">
        <is>
          <t>Bluestone Memorial</t>
        </is>
      </c>
      <c r="C51" s="28" t="n">
        <v>45733</v>
      </c>
      <c r="D51" t="n">
        <v>66</v>
      </c>
      <c r="E51" t="inlineStr">
        <is>
          <t>Digestive</t>
        </is>
      </c>
      <c r="F51" t="n">
        <v>3</v>
      </c>
      <c r="G51" s="29" t="n">
        <v>24966.83</v>
      </c>
    </row>
    <row r="52">
      <c r="A52" t="inlineStr">
        <is>
          <t>ENC113405</t>
        </is>
      </c>
      <c r="B52" t="inlineStr">
        <is>
          <t>Bluestone Memorial</t>
        </is>
      </c>
      <c r="C52" s="28" t="n">
        <v>45738</v>
      </c>
      <c r="D52" t="n">
        <v>78</v>
      </c>
      <c r="E52" t="inlineStr">
        <is>
          <t>Circulatory</t>
        </is>
      </c>
      <c r="F52" t="n">
        <v>3</v>
      </c>
      <c r="G52" s="29" t="n">
        <v>22193.73</v>
      </c>
    </row>
    <row r="53">
      <c r="A53" t="inlineStr">
        <is>
          <t>ENC113514</t>
        </is>
      </c>
      <c r="B53" t="inlineStr">
        <is>
          <t>Bluestone Memorial</t>
        </is>
      </c>
      <c r="C53" s="28" t="n">
        <v>45738</v>
      </c>
      <c r="D53" t="n">
        <v>41</v>
      </c>
      <c r="E53" t="inlineStr">
        <is>
          <t>Pregnancy</t>
        </is>
      </c>
      <c r="F53" t="n">
        <v>1</v>
      </c>
      <c r="G53" s="29" t="n">
        <v>11621.08</v>
      </c>
    </row>
    <row r="54">
      <c r="A54" t="inlineStr">
        <is>
          <t>ENC113544</t>
        </is>
      </c>
      <c r="B54" t="inlineStr">
        <is>
          <t>Bluestone Memorial</t>
        </is>
      </c>
      <c r="C54" s="28" t="n">
        <v>45741</v>
      </c>
      <c r="D54" t="n">
        <v>73</v>
      </c>
      <c r="E54" t="inlineStr">
        <is>
          <t>Circulatory</t>
        </is>
      </c>
      <c r="F54" t="n">
        <v>2</v>
      </c>
      <c r="G54" s="29" t="n">
        <v>63552.44</v>
      </c>
    </row>
    <row r="55">
      <c r="A55" t="inlineStr">
        <is>
          <t>ENC113554</t>
        </is>
      </c>
      <c r="B55" t="inlineStr">
        <is>
          <t>Bluestone Memorial</t>
        </is>
      </c>
      <c r="C55" s="28" t="n">
        <v>45742</v>
      </c>
      <c r="D55" t="n">
        <v>29</v>
      </c>
      <c r="E55" t="inlineStr">
        <is>
          <t>Pregnancy</t>
        </is>
      </c>
      <c r="F55" t="n">
        <v>2</v>
      </c>
      <c r="G55" s="29" t="n">
        <v>10365.04</v>
      </c>
    </row>
    <row r="56">
      <c r="A56" t="inlineStr">
        <is>
          <t>ENC113687</t>
        </is>
      </c>
      <c r="B56" t="inlineStr">
        <is>
          <t>Bluestone Memorial</t>
        </is>
      </c>
      <c r="C56" s="28" t="n">
        <v>45746</v>
      </c>
      <c r="D56" t="n">
        <v>51</v>
      </c>
      <c r="E56" t="inlineStr">
        <is>
          <t>Infectious</t>
        </is>
      </c>
      <c r="F56" t="n">
        <v>3</v>
      </c>
      <c r="G56" s="29" t="n">
        <v>47276.16</v>
      </c>
    </row>
    <row r="57">
      <c r="A57" t="inlineStr">
        <is>
          <t>ENC113651</t>
        </is>
      </c>
      <c r="B57" t="inlineStr">
        <is>
          <t>Bluestone Memorial</t>
        </is>
      </c>
      <c r="C57" s="28" t="n">
        <v>45747</v>
      </c>
      <c r="D57" t="n">
        <v>31</v>
      </c>
      <c r="E57" t="inlineStr">
        <is>
          <t>Respiratory</t>
        </is>
      </c>
      <c r="F57" t="n">
        <v>5</v>
      </c>
      <c r="G57" s="29" t="n">
        <v>19858.78</v>
      </c>
    </row>
    <row r="58">
      <c r="A58" t="inlineStr">
        <is>
          <t>ENC113747</t>
        </is>
      </c>
      <c r="B58" t="inlineStr">
        <is>
          <t>Bluestone Memorial</t>
        </is>
      </c>
      <c r="C58" s="28" t="n">
        <v>45748</v>
      </c>
      <c r="D58" t="n">
        <v>45</v>
      </c>
      <c r="E58" t="inlineStr">
        <is>
          <t>Digestive</t>
        </is>
      </c>
      <c r="F58" t="n">
        <v>4</v>
      </c>
      <c r="G58" s="29" t="n">
        <v>42163.92</v>
      </c>
    </row>
    <row r="59">
      <c r="A59" t="inlineStr">
        <is>
          <t>ENC113767</t>
        </is>
      </c>
      <c r="B59" t="inlineStr">
        <is>
          <t>Bluestone Memorial</t>
        </is>
      </c>
      <c r="C59" s="28" t="n">
        <v>45749</v>
      </c>
      <c r="D59" t="n">
        <v>58</v>
      </c>
      <c r="E59" t="inlineStr">
        <is>
          <t>Circulatory</t>
        </is>
      </c>
      <c r="F59" t="n">
        <v>4</v>
      </c>
      <c r="G59" s="29" t="n">
        <v>32435.36</v>
      </c>
    </row>
    <row r="60">
      <c r="A60" t="inlineStr">
        <is>
          <t>ENC113774</t>
        </is>
      </c>
      <c r="B60" t="inlineStr">
        <is>
          <t>Bluestone Memorial</t>
        </is>
      </c>
      <c r="C60" s="28" t="n">
        <v>45749</v>
      </c>
      <c r="D60" t="n">
        <v>92</v>
      </c>
      <c r="E60" t="inlineStr">
        <is>
          <t>Digestive</t>
        </is>
      </c>
      <c r="F60" t="n">
        <v>3</v>
      </c>
      <c r="G60" s="29" t="n">
        <v>10751.92</v>
      </c>
    </row>
    <row r="61">
      <c r="A61" t="inlineStr">
        <is>
          <t>ENC113805</t>
        </is>
      </c>
      <c r="B61" t="inlineStr">
        <is>
          <t>Bluestone Memorial</t>
        </is>
      </c>
      <c r="C61" s="28" t="n">
        <v>45750</v>
      </c>
      <c r="D61" t="n">
        <v>77</v>
      </c>
      <c r="E61" t="inlineStr">
        <is>
          <t>Circulatory</t>
        </is>
      </c>
      <c r="F61" t="n">
        <v>3</v>
      </c>
      <c r="G61" s="29" t="n">
        <v>47034.87</v>
      </c>
    </row>
    <row r="62">
      <c r="A62" t="inlineStr">
        <is>
          <t>ENC113885</t>
        </is>
      </c>
      <c r="B62" t="inlineStr">
        <is>
          <t>Bluestone Memorial</t>
        </is>
      </c>
      <c r="C62" s="28" t="n">
        <v>45752</v>
      </c>
      <c r="D62" t="n">
        <v>40</v>
      </c>
      <c r="E62" t="inlineStr">
        <is>
          <t>Pregnancy</t>
        </is>
      </c>
      <c r="F62" t="n">
        <v>2</v>
      </c>
      <c r="G62" s="29" t="n">
        <v>18539.73</v>
      </c>
    </row>
    <row r="63">
      <c r="A63" t="inlineStr">
        <is>
          <t>ENC113891</t>
        </is>
      </c>
      <c r="B63" t="inlineStr">
        <is>
          <t>Bluestone Memorial</t>
        </is>
      </c>
      <c r="C63" s="28" t="n">
        <v>45753</v>
      </c>
      <c r="D63" t="n">
        <v>69</v>
      </c>
      <c r="E63" t="inlineStr">
        <is>
          <t>Genitourinary</t>
        </is>
      </c>
      <c r="F63" t="n">
        <v>3</v>
      </c>
      <c r="G63" s="29" t="n">
        <v>13567.39</v>
      </c>
    </row>
    <row r="64">
      <c r="A64" t="inlineStr">
        <is>
          <t>ENC113921</t>
        </is>
      </c>
      <c r="B64" t="inlineStr">
        <is>
          <t>Bluestone Memorial</t>
        </is>
      </c>
      <c r="C64" s="28" t="n">
        <v>45755</v>
      </c>
      <c r="D64" t="n">
        <v>62</v>
      </c>
      <c r="E64" t="inlineStr">
        <is>
          <t>Skin</t>
        </is>
      </c>
      <c r="F64" t="n">
        <v>4</v>
      </c>
      <c r="G64" s="29" t="n">
        <v>23752.11</v>
      </c>
    </row>
    <row r="65">
      <c r="A65" t="inlineStr">
        <is>
          <t>ENC113831</t>
        </is>
      </c>
      <c r="B65" t="inlineStr">
        <is>
          <t>Bluestone Memorial</t>
        </is>
      </c>
      <c r="C65" s="28" t="n">
        <v>45756</v>
      </c>
      <c r="D65" t="n">
        <v>68</v>
      </c>
      <c r="E65" t="inlineStr">
        <is>
          <t>Respiratory</t>
        </is>
      </c>
      <c r="F65" t="n">
        <v>8</v>
      </c>
      <c r="G65" s="29" t="n">
        <v>29950.08</v>
      </c>
    </row>
    <row r="66">
      <c r="A66" t="inlineStr">
        <is>
          <t>ENC113859</t>
        </is>
      </c>
      <c r="B66" t="inlineStr">
        <is>
          <t>Bluestone Memorial</t>
        </is>
      </c>
      <c r="C66" s="28" t="n">
        <v>45757</v>
      </c>
      <c r="D66" t="n">
        <v>73</v>
      </c>
      <c r="E66" t="inlineStr">
        <is>
          <t>Genitourinary</t>
        </is>
      </c>
      <c r="F66" t="n">
        <v>8</v>
      </c>
      <c r="G66" s="29" t="n">
        <v>30175.84</v>
      </c>
    </row>
    <row r="67">
      <c r="A67" t="inlineStr">
        <is>
          <t>ENC114011</t>
        </is>
      </c>
      <c r="B67" t="inlineStr">
        <is>
          <t>Bluestone Memorial</t>
        </is>
      </c>
      <c r="C67" s="28" t="n">
        <v>45762</v>
      </c>
      <c r="D67" t="n">
        <v>61</v>
      </c>
      <c r="E67" t="inlineStr">
        <is>
          <t>Respiratory</t>
        </is>
      </c>
      <c r="F67" t="n">
        <v>7</v>
      </c>
      <c r="G67" s="29" t="n">
        <v>23602.08</v>
      </c>
    </row>
    <row r="68">
      <c r="A68" t="inlineStr">
        <is>
          <t>ENC114259</t>
        </is>
      </c>
      <c r="B68" t="inlineStr">
        <is>
          <t>Bluestone Memorial</t>
        </is>
      </c>
      <c r="C68" s="28" t="n">
        <v>45765</v>
      </c>
      <c r="D68" t="n">
        <v>74</v>
      </c>
      <c r="E68" t="inlineStr">
        <is>
          <t>Circulatory</t>
        </is>
      </c>
      <c r="F68" t="n">
        <v>2</v>
      </c>
      <c r="G68" s="29" t="n">
        <v>13900.62</v>
      </c>
    </row>
    <row r="69">
      <c r="A69" t="inlineStr">
        <is>
          <t>ENC114304</t>
        </is>
      </c>
      <c r="B69" t="inlineStr">
        <is>
          <t>Bluestone Memorial</t>
        </is>
      </c>
      <c r="C69" s="28" t="n">
        <v>45768</v>
      </c>
      <c r="D69" t="n">
        <v>50</v>
      </c>
      <c r="E69" t="inlineStr">
        <is>
          <t>Infectious</t>
        </is>
      </c>
      <c r="F69" t="n">
        <v>3</v>
      </c>
      <c r="G69" s="29" t="n">
        <v>38320.47</v>
      </c>
    </row>
    <row r="70">
      <c r="A70" t="inlineStr">
        <is>
          <t>ENC114297</t>
        </is>
      </c>
      <c r="B70" t="inlineStr">
        <is>
          <t>Bluestone Memorial</t>
        </is>
      </c>
      <c r="C70" s="28" t="n">
        <v>45771</v>
      </c>
      <c r="D70" t="n">
        <v>75</v>
      </c>
      <c r="E70" t="inlineStr">
        <is>
          <t>Respiratory</t>
        </is>
      </c>
      <c r="F70" t="n">
        <v>7</v>
      </c>
      <c r="G70" s="29" t="n">
        <v>36247.4</v>
      </c>
    </row>
    <row r="71">
      <c r="A71" t="inlineStr">
        <is>
          <t>ENC114397</t>
        </is>
      </c>
      <c r="B71" t="inlineStr">
        <is>
          <t>Bluestone Memorial</t>
        </is>
      </c>
      <c r="C71" s="28" t="n">
        <v>45774</v>
      </c>
      <c r="D71" t="n">
        <v>86</v>
      </c>
      <c r="E71" t="inlineStr">
        <is>
          <t>Respiratory</t>
        </is>
      </c>
      <c r="F71" t="n">
        <v>6</v>
      </c>
      <c r="G71" s="29" t="n">
        <v>29809.1</v>
      </c>
    </row>
    <row r="72">
      <c r="A72" t="inlineStr">
        <is>
          <t>ENC114566</t>
        </is>
      </c>
      <c r="B72" t="inlineStr">
        <is>
          <t>Bluestone Memorial</t>
        </is>
      </c>
      <c r="C72" s="28" t="n">
        <v>45780</v>
      </c>
      <c r="D72" t="n">
        <v>50</v>
      </c>
      <c r="E72" t="inlineStr">
        <is>
          <t>Circulatory</t>
        </is>
      </c>
      <c r="F72" t="n">
        <v>5</v>
      </c>
      <c r="G72" s="29" t="n">
        <v>19598.69</v>
      </c>
    </row>
    <row r="73">
      <c r="A73" t="inlineStr">
        <is>
          <t>ENC114590</t>
        </is>
      </c>
      <c r="B73" t="inlineStr">
        <is>
          <t>Bluestone Memorial</t>
        </is>
      </c>
      <c r="C73" s="28" t="n">
        <v>45781</v>
      </c>
      <c r="D73" t="n">
        <v>46</v>
      </c>
      <c r="E73" t="inlineStr">
        <is>
          <t>Circulatory</t>
        </is>
      </c>
      <c r="F73" t="n">
        <v>6</v>
      </c>
      <c r="G73" s="29" t="n">
        <v>42614.45</v>
      </c>
    </row>
    <row r="74">
      <c r="A74" t="inlineStr">
        <is>
          <t>ENC114559</t>
        </is>
      </c>
      <c r="B74" t="inlineStr">
        <is>
          <t>Bluestone Memorial</t>
        </is>
      </c>
      <c r="C74" s="28" t="n">
        <v>45782</v>
      </c>
      <c r="D74" t="n">
        <v>65</v>
      </c>
      <c r="E74" t="inlineStr">
        <is>
          <t>Respiratory</t>
        </is>
      </c>
      <c r="F74" t="n">
        <v>8</v>
      </c>
      <c r="G74" s="29" t="n">
        <v>38883.76</v>
      </c>
    </row>
    <row r="75">
      <c r="A75" t="inlineStr">
        <is>
          <t>ENC114721</t>
        </is>
      </c>
      <c r="B75" t="inlineStr">
        <is>
          <t>Bluestone Memorial</t>
        </is>
      </c>
      <c r="C75" s="28" t="n">
        <v>45783</v>
      </c>
      <c r="D75" t="n">
        <v>3</v>
      </c>
      <c r="E75" t="inlineStr">
        <is>
          <t>Genitourinary</t>
        </is>
      </c>
      <c r="F75" t="n">
        <v>3</v>
      </c>
      <c r="G75" s="29" t="n">
        <v>14385.4</v>
      </c>
    </row>
    <row r="76">
      <c r="A76" t="inlineStr">
        <is>
          <t>ENC114752</t>
        </is>
      </c>
      <c r="B76" t="inlineStr">
        <is>
          <t>Bluestone Memorial</t>
        </is>
      </c>
      <c r="C76" s="28" t="n">
        <v>45783</v>
      </c>
      <c r="D76" t="n">
        <v>32</v>
      </c>
      <c r="E76" t="inlineStr">
        <is>
          <t>Skin</t>
        </is>
      </c>
      <c r="F76" t="n">
        <v>1</v>
      </c>
      <c r="G76" s="29" t="n">
        <v>5688.96</v>
      </c>
    </row>
    <row r="77">
      <c r="A77" t="inlineStr">
        <is>
          <t>ENC114663</t>
        </is>
      </c>
      <c r="B77" t="inlineStr">
        <is>
          <t>Bluestone Memorial</t>
        </is>
      </c>
      <c r="C77" s="28" t="n">
        <v>45786</v>
      </c>
      <c r="D77" t="n">
        <v>75</v>
      </c>
      <c r="E77" t="inlineStr">
        <is>
          <t>Infectious</t>
        </is>
      </c>
      <c r="F77" t="n">
        <v>8</v>
      </c>
      <c r="G77" s="29" t="n">
        <v>88693.78999999999</v>
      </c>
    </row>
    <row r="78">
      <c r="A78" t="inlineStr">
        <is>
          <t>ENC114776</t>
        </is>
      </c>
      <c r="B78" t="inlineStr">
        <is>
          <t>Bluestone Memorial</t>
        </is>
      </c>
      <c r="C78" s="28" t="n">
        <v>45788</v>
      </c>
      <c r="D78" t="n">
        <v>67</v>
      </c>
      <c r="E78" t="inlineStr">
        <is>
          <t>Injury</t>
        </is>
      </c>
      <c r="F78" t="n">
        <v>6</v>
      </c>
      <c r="G78" s="29" t="n">
        <v>81474.42999999999</v>
      </c>
    </row>
    <row r="79">
      <c r="A79" t="inlineStr">
        <is>
          <t>ENC114843</t>
        </is>
      </c>
      <c r="B79" t="inlineStr">
        <is>
          <t>Bluestone Memorial</t>
        </is>
      </c>
      <c r="C79" s="28" t="n">
        <v>45790</v>
      </c>
      <c r="D79" t="n">
        <v>51</v>
      </c>
      <c r="E79" t="inlineStr">
        <is>
          <t>Respiratory</t>
        </is>
      </c>
      <c r="F79" t="n">
        <v>6</v>
      </c>
      <c r="G79" s="29" t="n">
        <v>35865.09</v>
      </c>
    </row>
    <row r="80">
      <c r="A80" t="inlineStr">
        <is>
          <t>ENC114994</t>
        </is>
      </c>
      <c r="B80" t="inlineStr">
        <is>
          <t>Bluestone Memorial</t>
        </is>
      </c>
      <c r="C80" s="28" t="n">
        <v>45792</v>
      </c>
      <c r="D80" t="n">
        <v>68</v>
      </c>
      <c r="E80" t="inlineStr">
        <is>
          <t>Respiratory</t>
        </is>
      </c>
      <c r="F80" t="n">
        <v>3</v>
      </c>
      <c r="G80" s="29" t="n">
        <v>17434.44</v>
      </c>
    </row>
    <row r="81">
      <c r="A81" t="inlineStr">
        <is>
          <t>ENC114999</t>
        </is>
      </c>
      <c r="B81" t="inlineStr">
        <is>
          <t>Bluestone Memorial</t>
        </is>
      </c>
      <c r="C81" s="28" t="n">
        <v>45792</v>
      </c>
      <c r="D81" t="n">
        <v>64</v>
      </c>
      <c r="E81" t="inlineStr">
        <is>
          <t>Circulatory</t>
        </is>
      </c>
      <c r="F81" t="n">
        <v>2</v>
      </c>
      <c r="G81" s="29" t="n">
        <v>13462.17</v>
      </c>
    </row>
    <row r="82">
      <c r="A82" t="inlineStr">
        <is>
          <t>ENC115056</t>
        </is>
      </c>
      <c r="B82" t="inlineStr">
        <is>
          <t>Bluestone Memorial</t>
        </is>
      </c>
      <c r="C82" s="28" t="n">
        <v>45795</v>
      </c>
      <c r="D82" t="n">
        <v>65</v>
      </c>
      <c r="E82" t="inlineStr">
        <is>
          <t>Endocrine</t>
        </is>
      </c>
      <c r="F82" t="n">
        <v>4</v>
      </c>
      <c r="G82" s="29" t="n">
        <v>11961.24</v>
      </c>
    </row>
    <row r="83">
      <c r="A83" t="inlineStr">
        <is>
          <t>ENC115031</t>
        </is>
      </c>
      <c r="B83" t="inlineStr">
        <is>
          <t>Bluestone Memorial</t>
        </is>
      </c>
      <c r="C83" s="28" t="n">
        <v>45796</v>
      </c>
      <c r="D83" t="n">
        <v>96</v>
      </c>
      <c r="E83" t="inlineStr">
        <is>
          <t>Genitourinary</t>
        </is>
      </c>
      <c r="F83" t="n">
        <v>6</v>
      </c>
      <c r="G83" s="29" t="n">
        <v>24242.42</v>
      </c>
    </row>
    <row r="84">
      <c r="A84" t="inlineStr">
        <is>
          <t>ENC115124</t>
        </is>
      </c>
      <c r="B84" t="inlineStr">
        <is>
          <t>Bluestone Memorial</t>
        </is>
      </c>
      <c r="C84" s="28" t="n">
        <v>45797</v>
      </c>
      <c r="D84" t="n">
        <v>65</v>
      </c>
      <c r="E84" t="inlineStr">
        <is>
          <t>Circulatory</t>
        </is>
      </c>
      <c r="F84" t="n">
        <v>4</v>
      </c>
      <c r="G84" s="29" t="n">
        <v>26352.43</v>
      </c>
    </row>
    <row r="85">
      <c r="A85" t="inlineStr">
        <is>
          <t>ENC115146</t>
        </is>
      </c>
      <c r="B85" t="inlineStr">
        <is>
          <t>Bluestone Memorial</t>
        </is>
      </c>
      <c r="C85" s="28" t="n">
        <v>45801</v>
      </c>
      <c r="D85" t="n">
        <v>55</v>
      </c>
      <c r="E85" t="inlineStr">
        <is>
          <t>Genitourinary</t>
        </is>
      </c>
      <c r="F85" t="n">
        <v>7</v>
      </c>
      <c r="G85" s="29" t="n">
        <v>34010.19</v>
      </c>
    </row>
    <row r="86">
      <c r="A86" t="inlineStr">
        <is>
          <t>ENC115389</t>
        </is>
      </c>
      <c r="B86" t="inlineStr">
        <is>
          <t>Bluestone Memorial</t>
        </is>
      </c>
      <c r="C86" s="28" t="n">
        <v>45806</v>
      </c>
      <c r="D86" t="n">
        <v>55</v>
      </c>
      <c r="E86" t="inlineStr">
        <is>
          <t>Genitourinary</t>
        </is>
      </c>
      <c r="F86" t="n">
        <v>3</v>
      </c>
      <c r="G86" s="29" t="n">
        <v>10549.82</v>
      </c>
    </row>
    <row r="87">
      <c r="A87" t="inlineStr">
        <is>
          <t>ENC115424</t>
        </is>
      </c>
      <c r="B87" t="inlineStr">
        <is>
          <t>Bluestone Memorial</t>
        </is>
      </c>
      <c r="C87" s="28" t="n">
        <v>45809</v>
      </c>
      <c r="D87" t="n">
        <v>66</v>
      </c>
      <c r="E87" t="inlineStr">
        <is>
          <t>Respiratory</t>
        </is>
      </c>
      <c r="F87" t="n">
        <v>5</v>
      </c>
      <c r="G87" s="29" t="n">
        <v>27209.91</v>
      </c>
    </row>
    <row r="88">
      <c r="A88" t="inlineStr">
        <is>
          <t>ENC115369</t>
        </is>
      </c>
      <c r="B88" t="inlineStr">
        <is>
          <t>Bluestone Memorial</t>
        </is>
      </c>
      <c r="C88" s="28" t="n">
        <v>45810</v>
      </c>
      <c r="D88" t="n">
        <v>80</v>
      </c>
      <c r="E88" t="inlineStr">
        <is>
          <t>Circulatory</t>
        </is>
      </c>
      <c r="F88" t="n">
        <v>7</v>
      </c>
      <c r="G88" s="29" t="n">
        <v>38455.91</v>
      </c>
    </row>
    <row r="89">
      <c r="A89" t="inlineStr">
        <is>
          <t>ENC115392</t>
        </is>
      </c>
      <c r="B89" t="inlineStr">
        <is>
          <t>Bluestone Memorial</t>
        </is>
      </c>
      <c r="C89" s="28" t="n">
        <v>45810</v>
      </c>
      <c r="D89" t="n">
        <v>59</v>
      </c>
      <c r="E89" t="inlineStr">
        <is>
          <t>Skin</t>
        </is>
      </c>
      <c r="F89" t="n">
        <v>7</v>
      </c>
      <c r="G89" s="29" t="n">
        <v>18920</v>
      </c>
    </row>
    <row r="90">
      <c r="A90" t="inlineStr">
        <is>
          <t>ENC115498</t>
        </is>
      </c>
      <c r="B90" t="inlineStr">
        <is>
          <t>Bluestone Memorial</t>
        </is>
      </c>
      <c r="C90" s="28" t="n">
        <v>45810</v>
      </c>
      <c r="D90" t="n">
        <v>72</v>
      </c>
      <c r="E90" t="inlineStr">
        <is>
          <t>Endocrine</t>
        </is>
      </c>
      <c r="F90" t="n">
        <v>3</v>
      </c>
      <c r="G90" s="29" t="n">
        <v>13350.61</v>
      </c>
    </row>
    <row r="91">
      <c r="A91" t="inlineStr">
        <is>
          <t>ENC115357</t>
        </is>
      </c>
      <c r="B91" t="inlineStr">
        <is>
          <t>Bluestone Memorial</t>
        </is>
      </c>
      <c r="C91" s="28" t="n">
        <v>45811</v>
      </c>
      <c r="D91" t="n">
        <v>26</v>
      </c>
      <c r="E91" t="inlineStr">
        <is>
          <t>Mental &amp; Behavioral</t>
        </is>
      </c>
      <c r="F91" t="n">
        <v>9</v>
      </c>
      <c r="G91" s="29" t="n">
        <v>18426.61</v>
      </c>
    </row>
    <row r="92">
      <c r="A92" t="inlineStr">
        <is>
          <t>ENC115496</t>
        </is>
      </c>
      <c r="B92" t="inlineStr">
        <is>
          <t>Bluestone Memorial</t>
        </is>
      </c>
      <c r="C92" s="28" t="n">
        <v>45815</v>
      </c>
      <c r="D92" t="n">
        <v>67</v>
      </c>
      <c r="E92" t="inlineStr">
        <is>
          <t>Infectious</t>
        </is>
      </c>
      <c r="F92" t="n">
        <v>9</v>
      </c>
      <c r="G92" s="29" t="n">
        <v>94012.09</v>
      </c>
    </row>
    <row r="93">
      <c r="A93" t="inlineStr">
        <is>
          <t>ENC115628</t>
        </is>
      </c>
      <c r="B93" t="inlineStr">
        <is>
          <t>Bluestone Memorial</t>
        </is>
      </c>
      <c r="C93" s="28" t="n">
        <v>45821</v>
      </c>
      <c r="D93" t="n">
        <v>78</v>
      </c>
      <c r="E93" t="inlineStr">
        <is>
          <t>Genitourinary</t>
        </is>
      </c>
      <c r="F93" t="n">
        <v>9</v>
      </c>
      <c r="G93" s="29" t="n">
        <v>24418.11</v>
      </c>
    </row>
    <row r="94">
      <c r="A94" t="inlineStr">
        <is>
          <t>ENC115781</t>
        </is>
      </c>
      <c r="B94" t="inlineStr">
        <is>
          <t>Bluestone Memorial</t>
        </is>
      </c>
      <c r="C94" s="28" t="n">
        <v>45821</v>
      </c>
      <c r="D94" t="n">
        <v>45</v>
      </c>
      <c r="E94" t="inlineStr">
        <is>
          <t>Endocrine</t>
        </is>
      </c>
      <c r="F94" t="n">
        <v>4</v>
      </c>
      <c r="G94" s="29" t="n">
        <v>14017.93</v>
      </c>
    </row>
    <row r="95">
      <c r="A95" t="inlineStr">
        <is>
          <t>ENC115808</t>
        </is>
      </c>
      <c r="B95" t="inlineStr">
        <is>
          <t>Bluestone Memorial</t>
        </is>
      </c>
      <c r="C95" s="28" t="n">
        <v>45822</v>
      </c>
      <c r="D95" t="n">
        <v>48</v>
      </c>
      <c r="E95" t="inlineStr">
        <is>
          <t>Mental &amp; Behavioral</t>
        </is>
      </c>
      <c r="F95" t="n">
        <v>4</v>
      </c>
      <c r="G95" s="29" t="n">
        <v>11881.09</v>
      </c>
    </row>
    <row r="96">
      <c r="A96" t="inlineStr">
        <is>
          <t>ENC115749</t>
        </is>
      </c>
      <c r="B96" t="inlineStr">
        <is>
          <t>Bluestone Memorial</t>
        </is>
      </c>
      <c r="C96" s="28" t="n">
        <v>45823</v>
      </c>
      <c r="D96" t="n">
        <v>62</v>
      </c>
      <c r="E96" t="inlineStr">
        <is>
          <t>Respiratory</t>
        </is>
      </c>
      <c r="F96" t="n">
        <v>7</v>
      </c>
      <c r="G96" s="29" t="n">
        <v>28005.88</v>
      </c>
    </row>
    <row r="97">
      <c r="A97" t="inlineStr">
        <is>
          <t>ENC115540</t>
        </is>
      </c>
      <c r="B97" t="inlineStr">
        <is>
          <t>Bluestone Memorial</t>
        </is>
      </c>
      <c r="C97" s="28" t="n">
        <v>45825</v>
      </c>
      <c r="D97" t="n">
        <v>60</v>
      </c>
      <c r="E97" t="inlineStr">
        <is>
          <t>Infectious</t>
        </is>
      </c>
      <c r="F97" t="n">
        <v>17</v>
      </c>
      <c r="G97" s="29" t="n">
        <v>149570.58</v>
      </c>
    </row>
    <row r="98">
      <c r="A98" t="inlineStr">
        <is>
          <t>ENC115666</t>
        </is>
      </c>
      <c r="B98" t="inlineStr">
        <is>
          <t>Bluestone Memorial</t>
        </is>
      </c>
      <c r="C98" s="28" t="n">
        <v>45826</v>
      </c>
      <c r="D98" t="n">
        <v>45</v>
      </c>
      <c r="E98" t="inlineStr">
        <is>
          <t>Mental &amp; Behavioral</t>
        </is>
      </c>
      <c r="F98" t="n">
        <v>13</v>
      </c>
      <c r="G98" s="29" t="n">
        <v>52054.98</v>
      </c>
    </row>
    <row r="99">
      <c r="A99" t="inlineStr">
        <is>
          <t>ENC115893</t>
        </is>
      </c>
      <c r="B99" t="inlineStr">
        <is>
          <t>Bluestone Memorial</t>
        </is>
      </c>
      <c r="C99" s="28" t="n">
        <v>45826</v>
      </c>
      <c r="D99" t="n">
        <v>48</v>
      </c>
      <c r="E99" t="inlineStr">
        <is>
          <t>Skin</t>
        </is>
      </c>
      <c r="F99" t="n">
        <v>5</v>
      </c>
      <c r="G99" s="29" t="n">
        <v>17906.37</v>
      </c>
    </row>
    <row r="100">
      <c r="A100" t="inlineStr">
        <is>
          <t>ENC116025</t>
        </is>
      </c>
      <c r="B100" t="inlineStr">
        <is>
          <t>Bluestone Memorial</t>
        </is>
      </c>
      <c r="C100" s="28" t="n">
        <v>45830</v>
      </c>
      <c r="D100" t="n">
        <v>54</v>
      </c>
      <c r="E100" t="inlineStr">
        <is>
          <t>Digestive</t>
        </is>
      </c>
      <c r="F100" t="n">
        <v>4</v>
      </c>
      <c r="G100" s="29" t="n">
        <v>25651.15</v>
      </c>
    </row>
    <row r="101">
      <c r="A101" t="inlineStr">
        <is>
          <t>ENC116056</t>
        </is>
      </c>
      <c r="B101" t="inlineStr">
        <is>
          <t>Bluestone Memorial</t>
        </is>
      </c>
      <c r="C101" s="28" t="n">
        <v>45830</v>
      </c>
      <c r="D101" t="n">
        <v>90</v>
      </c>
      <c r="E101" t="inlineStr">
        <is>
          <t>Skin</t>
        </is>
      </c>
      <c r="F101" t="n">
        <v>4</v>
      </c>
      <c r="G101" s="29" t="n">
        <v>15805.26</v>
      </c>
    </row>
    <row r="102">
      <c r="A102" t="inlineStr">
        <is>
          <t>ENC116110</t>
        </is>
      </c>
      <c r="B102" t="inlineStr">
        <is>
          <t>Bluestone Memorial</t>
        </is>
      </c>
      <c r="C102" s="28" t="n">
        <v>45830</v>
      </c>
      <c r="D102" t="n">
        <v>72</v>
      </c>
      <c r="E102" t="inlineStr">
        <is>
          <t>Nervous System</t>
        </is>
      </c>
      <c r="F102" t="n">
        <v>2</v>
      </c>
      <c r="G102" s="29" t="n">
        <v>11685.18</v>
      </c>
    </row>
    <row r="103">
      <c r="A103" t="inlineStr">
        <is>
          <t>ENC116125</t>
        </is>
      </c>
      <c r="B103" t="inlineStr">
        <is>
          <t>Bluestone Memorial</t>
        </is>
      </c>
      <c r="C103" s="28" t="n">
        <v>45832</v>
      </c>
      <c r="D103" t="n">
        <v>58</v>
      </c>
      <c r="E103" t="inlineStr">
        <is>
          <t>Circulatory</t>
        </is>
      </c>
      <c r="F103" t="n">
        <v>4</v>
      </c>
      <c r="G103" s="29" t="n">
        <v>33260.24</v>
      </c>
    </row>
    <row r="104">
      <c r="A104" t="inlineStr">
        <is>
          <t>ENC116114</t>
        </is>
      </c>
      <c r="B104" t="inlineStr">
        <is>
          <t>Bluestone Memorial</t>
        </is>
      </c>
      <c r="C104" s="28" t="n">
        <v>45834</v>
      </c>
      <c r="D104" t="n">
        <v>54</v>
      </c>
      <c r="E104" t="inlineStr">
        <is>
          <t>Circulatory</t>
        </is>
      </c>
      <c r="F104" t="n">
        <v>6</v>
      </c>
      <c r="G104" s="29" t="n">
        <v>74155.89999999999</v>
      </c>
    </row>
    <row r="105">
      <c r="A105" t="inlineStr">
        <is>
          <t>ENC116140</t>
        </is>
      </c>
      <c r="B105" t="inlineStr">
        <is>
          <t>Bluestone Memorial</t>
        </is>
      </c>
      <c r="C105" s="28" t="n">
        <v>45834</v>
      </c>
      <c r="D105" t="n">
        <v>53</v>
      </c>
      <c r="E105" t="inlineStr">
        <is>
          <t>Digestive</t>
        </is>
      </c>
      <c r="F105" t="n">
        <v>5</v>
      </c>
      <c r="G105" s="29" t="n">
        <v>17057.02</v>
      </c>
    </row>
    <row r="106">
      <c r="A106" t="inlineStr">
        <is>
          <t>ENC116160</t>
        </is>
      </c>
      <c r="B106" t="inlineStr">
        <is>
          <t>Bluestone Memorial</t>
        </is>
      </c>
      <c r="C106" s="28" t="n">
        <v>45836</v>
      </c>
      <c r="D106" t="n">
        <v>70</v>
      </c>
      <c r="E106" t="inlineStr">
        <is>
          <t>Blood</t>
        </is>
      </c>
      <c r="F106" t="n">
        <v>5</v>
      </c>
      <c r="G106" s="29" t="n">
        <v>32411.44</v>
      </c>
    </row>
    <row r="107">
      <c r="A107" t="inlineStr">
        <is>
          <t>ENC116302</t>
        </is>
      </c>
      <c r="B107" t="inlineStr">
        <is>
          <t>Bluestone Memorial</t>
        </is>
      </c>
      <c r="C107" s="28" t="n">
        <v>45837</v>
      </c>
      <c r="D107" t="n">
        <v>55</v>
      </c>
      <c r="E107" t="inlineStr">
        <is>
          <t>Genitourinary</t>
        </is>
      </c>
      <c r="F107" t="n">
        <v>3</v>
      </c>
      <c r="G107" s="29" t="n">
        <v>13831.2</v>
      </c>
    </row>
    <row r="108">
      <c r="A108" t="inlineStr">
        <is>
          <t>ENC116234</t>
        </is>
      </c>
      <c r="B108" t="inlineStr">
        <is>
          <t>Bluestone Memorial</t>
        </is>
      </c>
      <c r="C108" s="28" t="n">
        <v>45839</v>
      </c>
      <c r="D108" t="n">
        <v>50</v>
      </c>
      <c r="E108" t="inlineStr">
        <is>
          <t>Digestive</t>
        </is>
      </c>
      <c r="F108" t="n">
        <v>6</v>
      </c>
      <c r="G108" s="29" t="n">
        <v>73881.97</v>
      </c>
    </row>
    <row r="109">
      <c r="A109" t="inlineStr">
        <is>
          <t>ENC116310</t>
        </is>
      </c>
      <c r="B109" t="inlineStr">
        <is>
          <t>Bluestone Memorial</t>
        </is>
      </c>
      <c r="C109" s="28" t="n">
        <v>45839</v>
      </c>
      <c r="D109" t="n">
        <v>76</v>
      </c>
      <c r="E109" t="inlineStr">
        <is>
          <t>Genitourinary</t>
        </is>
      </c>
      <c r="F109" t="n">
        <v>4</v>
      </c>
      <c r="G109" s="29" t="n">
        <v>20739</v>
      </c>
    </row>
    <row r="110">
      <c r="A110" t="inlineStr">
        <is>
          <t>ENC116202</t>
        </is>
      </c>
      <c r="B110" t="inlineStr">
        <is>
          <t>Bluestone Memorial</t>
        </is>
      </c>
      <c r="C110" s="28" t="n">
        <v>45841</v>
      </c>
      <c r="D110" t="n">
        <v>58</v>
      </c>
      <c r="E110" t="inlineStr">
        <is>
          <t>Mental &amp; Behavioral</t>
        </is>
      </c>
      <c r="F110" t="n">
        <v>9</v>
      </c>
      <c r="G110" s="29" t="n">
        <v>21454.63</v>
      </c>
    </row>
    <row r="111">
      <c r="A111" t="inlineStr">
        <is>
          <t>ENC116433</t>
        </is>
      </c>
      <c r="B111" t="inlineStr">
        <is>
          <t>Bluestone Memorial</t>
        </is>
      </c>
      <c r="C111" s="28" t="n">
        <v>45843</v>
      </c>
      <c r="D111" t="n">
        <v>71</v>
      </c>
      <c r="E111" t="inlineStr">
        <is>
          <t>Digestive</t>
        </is>
      </c>
      <c r="F111" t="n">
        <v>4</v>
      </c>
      <c r="G111" s="29" t="n">
        <v>17276.22</v>
      </c>
    </row>
    <row r="112">
      <c r="A112" t="inlineStr">
        <is>
          <t>ENC116564</t>
        </is>
      </c>
      <c r="B112" t="inlineStr">
        <is>
          <t>Bluestone Memorial</t>
        </is>
      </c>
      <c r="C112" s="28" t="n">
        <v>45846</v>
      </c>
      <c r="D112" t="n">
        <v>8</v>
      </c>
      <c r="E112" t="inlineStr">
        <is>
          <t>Respiratory</t>
        </is>
      </c>
      <c r="F112" t="n">
        <v>1</v>
      </c>
      <c r="G112" s="29" t="n">
        <v>5449.93</v>
      </c>
    </row>
    <row r="113">
      <c r="A113" t="inlineStr">
        <is>
          <t>ENC116598</t>
        </is>
      </c>
      <c r="B113" t="inlineStr">
        <is>
          <t>Bluestone Memorial</t>
        </is>
      </c>
      <c r="C113" s="28" t="n">
        <v>45848</v>
      </c>
      <c r="D113" t="n">
        <v>23</v>
      </c>
      <c r="E113" t="inlineStr">
        <is>
          <t>Pregnancy</t>
        </is>
      </c>
      <c r="F113" t="n">
        <v>2</v>
      </c>
      <c r="G113" s="29" t="n">
        <v>15661.47</v>
      </c>
    </row>
    <row r="114">
      <c r="A114" t="inlineStr">
        <is>
          <t>ENC116667</t>
        </is>
      </c>
      <c r="B114" t="inlineStr">
        <is>
          <t>Bluestone Memorial</t>
        </is>
      </c>
      <c r="C114" s="28" t="n">
        <v>45850</v>
      </c>
      <c r="D114" t="n">
        <v>30</v>
      </c>
      <c r="E114" t="inlineStr">
        <is>
          <t>Pregnancy</t>
        </is>
      </c>
      <c r="F114" t="n">
        <v>2</v>
      </c>
      <c r="G114" s="29" t="n">
        <v>17074.74</v>
      </c>
    </row>
    <row r="115">
      <c r="A115" t="inlineStr">
        <is>
          <t>ENC116630</t>
        </is>
      </c>
      <c r="B115" t="inlineStr">
        <is>
          <t>Bluestone Memorial</t>
        </is>
      </c>
      <c r="C115" s="28" t="n">
        <v>45851</v>
      </c>
      <c r="D115" t="n">
        <v>70</v>
      </c>
      <c r="E115" t="inlineStr">
        <is>
          <t>Musculoskeletal</t>
        </is>
      </c>
      <c r="F115" t="n">
        <v>4</v>
      </c>
      <c r="G115" s="29" t="n">
        <v>62384.76</v>
      </c>
    </row>
    <row r="116">
      <c r="A116" t="inlineStr">
        <is>
          <t>ENC116642</t>
        </is>
      </c>
      <c r="B116" t="inlineStr">
        <is>
          <t>Bluestone Memorial</t>
        </is>
      </c>
      <c r="C116" s="28" t="n">
        <v>45851</v>
      </c>
      <c r="D116" t="n">
        <v>48</v>
      </c>
      <c r="E116" t="inlineStr">
        <is>
          <t>Circulatory</t>
        </is>
      </c>
      <c r="F116" t="n">
        <v>4</v>
      </c>
      <c r="G116" s="29" t="n">
        <v>63426.39</v>
      </c>
    </row>
    <row r="117">
      <c r="A117" t="inlineStr">
        <is>
          <t>ENC116755</t>
        </is>
      </c>
      <c r="B117" t="inlineStr">
        <is>
          <t>Bluestone Memorial</t>
        </is>
      </c>
      <c r="C117" s="28" t="n">
        <v>45857</v>
      </c>
      <c r="D117" t="n">
        <v>87</v>
      </c>
      <c r="E117" t="inlineStr">
        <is>
          <t>Circulatory</t>
        </is>
      </c>
      <c r="F117" t="n">
        <v>6</v>
      </c>
      <c r="G117" s="29" t="n">
        <v>41446.08</v>
      </c>
    </row>
    <row r="118">
      <c r="A118" t="inlineStr">
        <is>
          <t>ENC116890</t>
        </is>
      </c>
      <c r="B118" t="inlineStr">
        <is>
          <t>Bluestone Memorial</t>
        </is>
      </c>
      <c r="C118" s="28" t="n">
        <v>45859</v>
      </c>
      <c r="D118" t="n">
        <v>58</v>
      </c>
      <c r="E118" t="inlineStr">
        <is>
          <t>Infectious</t>
        </is>
      </c>
      <c r="F118" t="n">
        <v>3</v>
      </c>
      <c r="G118" s="29" t="n">
        <v>18361.87</v>
      </c>
    </row>
    <row r="119">
      <c r="A119" t="inlineStr">
        <is>
          <t>ENC117043</t>
        </is>
      </c>
      <c r="B119" t="inlineStr">
        <is>
          <t>Bluestone Memorial</t>
        </is>
      </c>
      <c r="C119" s="28" t="n">
        <v>45864</v>
      </c>
      <c r="D119" t="n">
        <v>59</v>
      </c>
      <c r="E119" t="inlineStr">
        <is>
          <t>Respiratory</t>
        </is>
      </c>
      <c r="F119" t="n">
        <v>3</v>
      </c>
      <c r="G119" s="29" t="n">
        <v>8030.39</v>
      </c>
    </row>
    <row r="120">
      <c r="A120" t="inlineStr">
        <is>
          <t>ENC117258</t>
        </is>
      </c>
      <c r="B120" t="inlineStr">
        <is>
          <t>Bluestone Memorial</t>
        </is>
      </c>
      <c r="C120" s="28" t="n">
        <v>45870</v>
      </c>
      <c r="D120" t="n">
        <v>2</v>
      </c>
      <c r="E120" t="inlineStr">
        <is>
          <t>Respiratory</t>
        </is>
      </c>
      <c r="F120" t="n">
        <v>2</v>
      </c>
      <c r="G120" s="29" t="n">
        <v>21569.49</v>
      </c>
    </row>
    <row r="121">
      <c r="A121" t="inlineStr">
        <is>
          <t>ENC117151</t>
        </is>
      </c>
      <c r="B121" t="inlineStr">
        <is>
          <t>Bluestone Memorial</t>
        </is>
      </c>
      <c r="C121" s="28" t="n">
        <v>45872</v>
      </c>
      <c r="D121" t="n">
        <v>93</v>
      </c>
      <c r="E121" t="inlineStr">
        <is>
          <t>Respiratory</t>
        </is>
      </c>
      <c r="F121" t="n">
        <v>7</v>
      </c>
      <c r="G121" s="29" t="n">
        <v>21463.53</v>
      </c>
    </row>
    <row r="122">
      <c r="A122" t="inlineStr">
        <is>
          <t>ENC117274</t>
        </is>
      </c>
      <c r="B122" t="inlineStr">
        <is>
          <t>Bluestone Memorial</t>
        </is>
      </c>
      <c r="C122" s="28" t="n">
        <v>45873</v>
      </c>
      <c r="D122" t="n">
        <v>45</v>
      </c>
      <c r="E122" t="inlineStr">
        <is>
          <t>Skin</t>
        </is>
      </c>
      <c r="F122" t="n">
        <v>4</v>
      </c>
      <c r="G122" s="29" t="n">
        <v>22023.24</v>
      </c>
    </row>
    <row r="123">
      <c r="A123" t="inlineStr">
        <is>
          <t>ENC117324</t>
        </is>
      </c>
      <c r="B123" t="inlineStr">
        <is>
          <t>Bluestone Memorial</t>
        </is>
      </c>
      <c r="C123" s="28" t="n">
        <v>45873</v>
      </c>
      <c r="D123" t="n">
        <v>45</v>
      </c>
      <c r="E123" t="inlineStr">
        <is>
          <t>Circulatory</t>
        </is>
      </c>
      <c r="F123" t="n">
        <v>2</v>
      </c>
      <c r="G123" s="29" t="n">
        <v>49274.07</v>
      </c>
    </row>
    <row r="124">
      <c r="A124" t="inlineStr">
        <is>
          <t>ENC117330</t>
        </is>
      </c>
      <c r="B124" t="inlineStr">
        <is>
          <t>Bluestone Memorial</t>
        </is>
      </c>
      <c r="C124" s="28" t="n">
        <v>45874</v>
      </c>
      <c r="D124" t="n">
        <v>78</v>
      </c>
      <c r="E124" t="inlineStr">
        <is>
          <t>Circulatory</t>
        </is>
      </c>
      <c r="F124" t="n">
        <v>3</v>
      </c>
      <c r="G124" s="29" t="n">
        <v>15001.6</v>
      </c>
    </row>
    <row r="125">
      <c r="A125" t="inlineStr">
        <is>
          <t>ENC117461</t>
        </is>
      </c>
      <c r="B125" t="inlineStr">
        <is>
          <t>Bluestone Memorial</t>
        </is>
      </c>
      <c r="C125" s="28" t="n">
        <v>45880</v>
      </c>
      <c r="D125" t="n">
        <v>67</v>
      </c>
      <c r="E125" t="inlineStr">
        <is>
          <t>Circulatory</t>
        </is>
      </c>
      <c r="F125" t="n">
        <v>4</v>
      </c>
      <c r="G125" s="29" t="n">
        <v>17505.58</v>
      </c>
    </row>
    <row r="126">
      <c r="A126" t="inlineStr">
        <is>
          <t>ENC117323</t>
        </is>
      </c>
      <c r="B126" t="inlineStr">
        <is>
          <t>Bluestone Memorial</t>
        </is>
      </c>
      <c r="C126" s="28" t="n">
        <v>45882</v>
      </c>
      <c r="D126" t="n">
        <v>94</v>
      </c>
      <c r="E126" t="inlineStr">
        <is>
          <t>Genitourinary</t>
        </is>
      </c>
      <c r="F126" t="n">
        <v>11</v>
      </c>
      <c r="G126" s="29" t="n">
        <v>43948.17</v>
      </c>
    </row>
    <row r="127">
      <c r="A127" t="inlineStr">
        <is>
          <t>ENC117504</t>
        </is>
      </c>
      <c r="B127" t="inlineStr">
        <is>
          <t>Bluestone Memorial</t>
        </is>
      </c>
      <c r="C127" s="28" t="n">
        <v>45882</v>
      </c>
      <c r="D127" t="n">
        <v>75</v>
      </c>
      <c r="E127" t="inlineStr">
        <is>
          <t>Respiratory</t>
        </is>
      </c>
      <c r="F127" t="n">
        <v>4</v>
      </c>
      <c r="G127" s="29" t="n">
        <v>23236.78</v>
      </c>
    </row>
    <row r="128">
      <c r="A128" t="inlineStr">
        <is>
          <t>ENC117565</t>
        </is>
      </c>
      <c r="B128" t="inlineStr">
        <is>
          <t>Bluestone Memorial</t>
        </is>
      </c>
      <c r="C128" s="28" t="n">
        <v>45883</v>
      </c>
      <c r="D128" t="n">
        <v>65</v>
      </c>
      <c r="E128" t="inlineStr">
        <is>
          <t>Musculoskeletal</t>
        </is>
      </c>
      <c r="F128" t="n">
        <v>2</v>
      </c>
      <c r="G128" s="29" t="n">
        <v>41479.27</v>
      </c>
    </row>
    <row r="129">
      <c r="A129" t="inlineStr">
        <is>
          <t>ENC117530</t>
        </is>
      </c>
      <c r="B129" t="inlineStr">
        <is>
          <t>Bluestone Memorial</t>
        </is>
      </c>
      <c r="C129" s="28" t="n">
        <v>45884</v>
      </c>
      <c r="D129" t="n">
        <v>78</v>
      </c>
      <c r="E129" t="inlineStr">
        <is>
          <t>Respiratory</t>
        </is>
      </c>
      <c r="F129" t="n">
        <v>5</v>
      </c>
      <c r="G129" s="29" t="n">
        <v>18802.14</v>
      </c>
    </row>
    <row r="130">
      <c r="A130" t="inlineStr">
        <is>
          <t>ENC117598</t>
        </is>
      </c>
      <c r="B130" t="inlineStr">
        <is>
          <t>Bluestone Memorial</t>
        </is>
      </c>
      <c r="C130" s="28" t="n">
        <v>45885</v>
      </c>
      <c r="D130" t="n">
        <v>6</v>
      </c>
      <c r="E130" t="inlineStr">
        <is>
          <t>Respiratory</t>
        </is>
      </c>
      <c r="F130" t="n">
        <v>3</v>
      </c>
      <c r="G130" s="29" t="n">
        <v>17875.23</v>
      </c>
    </row>
    <row r="131">
      <c r="A131" t="inlineStr">
        <is>
          <t>ENC117506</t>
        </is>
      </c>
      <c r="B131" t="inlineStr">
        <is>
          <t>Bluestone Memorial</t>
        </is>
      </c>
      <c r="C131" s="28" t="n">
        <v>45889</v>
      </c>
      <c r="D131" t="n">
        <v>74</v>
      </c>
      <c r="E131" t="inlineStr">
        <is>
          <t>Circulatory</t>
        </is>
      </c>
      <c r="F131" t="n">
        <v>11</v>
      </c>
      <c r="G131" s="29" t="n">
        <v>90936.84</v>
      </c>
    </row>
    <row r="132">
      <c r="A132" t="inlineStr">
        <is>
          <t>ENC117682</t>
        </is>
      </c>
      <c r="B132" t="inlineStr">
        <is>
          <t>Bluestone Memorial</t>
        </is>
      </c>
      <c r="C132" s="28" t="n">
        <v>45890</v>
      </c>
      <c r="D132" t="n">
        <v>48</v>
      </c>
      <c r="E132" t="inlineStr">
        <is>
          <t>Neoplasms</t>
        </is>
      </c>
      <c r="F132" t="n">
        <v>6</v>
      </c>
      <c r="G132" s="29" t="n">
        <v>28601.85</v>
      </c>
    </row>
    <row r="133">
      <c r="A133" t="inlineStr">
        <is>
          <t>ENC117713</t>
        </is>
      </c>
      <c r="B133" t="inlineStr">
        <is>
          <t>Bluestone Memorial</t>
        </is>
      </c>
      <c r="C133" s="28" t="n">
        <v>45890</v>
      </c>
      <c r="D133" t="n">
        <v>52</v>
      </c>
      <c r="E133" t="inlineStr">
        <is>
          <t>Respiratory</t>
        </is>
      </c>
      <c r="F133" t="n">
        <v>4</v>
      </c>
      <c r="G133" s="29" t="n">
        <v>63199.66</v>
      </c>
    </row>
    <row r="134">
      <c r="A134" t="inlineStr">
        <is>
          <t>ENC117815</t>
        </is>
      </c>
      <c r="B134" t="inlineStr">
        <is>
          <t>Bluestone Memorial</t>
        </is>
      </c>
      <c r="C134" s="28" t="n">
        <v>45891</v>
      </c>
      <c r="D134" t="n">
        <v>20</v>
      </c>
      <c r="E134" t="inlineStr">
        <is>
          <t>Pregnancy</t>
        </is>
      </c>
      <c r="F134" t="n">
        <v>1</v>
      </c>
      <c r="G134" s="29" t="n">
        <v>18935.66</v>
      </c>
    </row>
    <row r="135">
      <c r="A135" t="inlineStr">
        <is>
          <t>ENC117799</t>
        </is>
      </c>
      <c r="B135" t="inlineStr">
        <is>
          <t>Bluestone Memorial</t>
        </is>
      </c>
      <c r="C135" s="28" t="n">
        <v>45893</v>
      </c>
      <c r="D135" t="n">
        <v>44</v>
      </c>
      <c r="E135" t="inlineStr">
        <is>
          <t>Genitourinary</t>
        </is>
      </c>
      <c r="F135" t="n">
        <v>4</v>
      </c>
      <c r="G135" s="29" t="n">
        <v>28500.83</v>
      </c>
    </row>
    <row r="136">
      <c r="A136" t="inlineStr">
        <is>
          <t>ENC117881</t>
        </is>
      </c>
      <c r="B136" t="inlineStr">
        <is>
          <t>Bluestone Memorial</t>
        </is>
      </c>
      <c r="C136" s="28" t="n">
        <v>45894</v>
      </c>
      <c r="D136" t="n">
        <v>42</v>
      </c>
      <c r="E136" t="inlineStr">
        <is>
          <t>Respiratory</t>
        </is>
      </c>
      <c r="F136" t="n">
        <v>2</v>
      </c>
      <c r="G136" s="29" t="n">
        <v>16517.05</v>
      </c>
    </row>
    <row r="137">
      <c r="A137" t="inlineStr">
        <is>
          <t>ENC117916</t>
        </is>
      </c>
      <c r="B137" t="inlineStr">
        <is>
          <t>Bluestone Memorial</t>
        </is>
      </c>
      <c r="C137" s="28" t="n">
        <v>45897</v>
      </c>
      <c r="D137" t="n">
        <v>42</v>
      </c>
      <c r="E137" t="inlineStr">
        <is>
          <t>Infectious</t>
        </is>
      </c>
      <c r="F137" t="n">
        <v>3</v>
      </c>
      <c r="G137" s="29" t="n">
        <v>42025.93</v>
      </c>
    </row>
    <row r="138">
      <c r="A138" t="inlineStr">
        <is>
          <t>ENC117919</t>
        </is>
      </c>
      <c r="B138" t="inlineStr">
        <is>
          <t>Bluestone Memorial</t>
        </is>
      </c>
      <c r="C138" s="28" t="n">
        <v>45897</v>
      </c>
      <c r="D138" t="n">
        <v>24</v>
      </c>
      <c r="E138" t="inlineStr">
        <is>
          <t>Skin</t>
        </is>
      </c>
      <c r="F138" t="n">
        <v>3</v>
      </c>
      <c r="G138" s="29" t="n">
        <v>22495.08</v>
      </c>
    </row>
    <row r="139">
      <c r="A139" t="inlineStr">
        <is>
          <t>ENC118075</t>
        </is>
      </c>
      <c r="B139" t="inlineStr">
        <is>
          <t>Bluestone Memorial</t>
        </is>
      </c>
      <c r="C139" s="28" t="n">
        <v>45904</v>
      </c>
      <c r="D139" t="n">
        <v>35</v>
      </c>
      <c r="E139" t="inlineStr">
        <is>
          <t>Pregnancy</t>
        </is>
      </c>
      <c r="F139" t="n">
        <v>4</v>
      </c>
      <c r="G139" s="29" t="n">
        <v>35441.02</v>
      </c>
    </row>
    <row r="140">
      <c r="A140" t="inlineStr">
        <is>
          <t>ENC118093</t>
        </is>
      </c>
      <c r="B140" t="inlineStr">
        <is>
          <t>Bluestone Memorial</t>
        </is>
      </c>
      <c r="C140" s="28" t="n">
        <v>45904</v>
      </c>
      <c r="D140" t="n">
        <v>75</v>
      </c>
      <c r="E140" t="inlineStr">
        <is>
          <t>Circulatory</t>
        </is>
      </c>
      <c r="F140" t="n">
        <v>3</v>
      </c>
      <c r="G140" s="29" t="n">
        <v>19004.38</v>
      </c>
    </row>
    <row r="141">
      <c r="A141" t="inlineStr">
        <is>
          <t>ENC118087</t>
        </is>
      </c>
      <c r="B141" t="inlineStr">
        <is>
          <t>Bluestone Memorial</t>
        </is>
      </c>
      <c r="C141" s="28" t="n">
        <v>45906</v>
      </c>
      <c r="D141" t="n">
        <v>81</v>
      </c>
      <c r="E141" t="inlineStr">
        <is>
          <t>Circulatory</t>
        </is>
      </c>
      <c r="F141" t="n">
        <v>5</v>
      </c>
      <c r="G141" s="29" t="n">
        <v>41562.22</v>
      </c>
    </row>
    <row r="142">
      <c r="A142" t="inlineStr">
        <is>
          <t>ENC118181</t>
        </is>
      </c>
      <c r="B142" t="inlineStr">
        <is>
          <t>Bluestone Memorial</t>
        </is>
      </c>
      <c r="C142" s="28" t="n">
        <v>45907</v>
      </c>
      <c r="D142" t="n">
        <v>55</v>
      </c>
      <c r="E142" t="inlineStr">
        <is>
          <t>Genitourinary</t>
        </is>
      </c>
      <c r="F142" t="n">
        <v>4</v>
      </c>
      <c r="G142" s="29" t="n">
        <v>25720.92</v>
      </c>
    </row>
    <row r="143">
      <c r="A143" t="inlineStr">
        <is>
          <t>ENC118201</t>
        </is>
      </c>
      <c r="B143" t="inlineStr">
        <is>
          <t>Bluestone Memorial</t>
        </is>
      </c>
      <c r="C143" s="28" t="n">
        <v>45909</v>
      </c>
      <c r="D143" t="n">
        <v>73</v>
      </c>
      <c r="E143" t="inlineStr">
        <is>
          <t>Digestive</t>
        </is>
      </c>
      <c r="F143" t="n">
        <v>5</v>
      </c>
      <c r="G143" s="29" t="n">
        <v>66800.28</v>
      </c>
    </row>
    <row r="144">
      <c r="A144" t="inlineStr">
        <is>
          <t>ENC118248</t>
        </is>
      </c>
      <c r="B144" t="inlineStr">
        <is>
          <t>Bluestone Memorial</t>
        </is>
      </c>
      <c r="C144" s="28" t="n">
        <v>45909</v>
      </c>
      <c r="D144" t="n">
        <v>64</v>
      </c>
      <c r="E144" t="inlineStr">
        <is>
          <t>Digestive</t>
        </is>
      </c>
      <c r="F144" t="n">
        <v>4</v>
      </c>
      <c r="G144" s="29" t="n">
        <v>47768.73</v>
      </c>
    </row>
    <row r="145">
      <c r="A145" t="inlineStr">
        <is>
          <t>ENC118279</t>
        </is>
      </c>
      <c r="B145" t="inlineStr">
        <is>
          <t>Bluestone Memorial</t>
        </is>
      </c>
      <c r="C145" s="28" t="n">
        <v>45912</v>
      </c>
      <c r="D145" t="n">
        <v>51</v>
      </c>
      <c r="E145" t="inlineStr">
        <is>
          <t>Circulatory</t>
        </is>
      </c>
      <c r="F145" t="n">
        <v>5</v>
      </c>
      <c r="G145" s="29" t="n">
        <v>27368.6</v>
      </c>
    </row>
    <row r="146">
      <c r="A146" t="inlineStr">
        <is>
          <t>ENC118282</t>
        </is>
      </c>
      <c r="B146" t="inlineStr">
        <is>
          <t>Bluestone Memorial</t>
        </is>
      </c>
      <c r="C146" s="28" t="n">
        <v>45912</v>
      </c>
      <c r="D146" t="n">
        <v>46</v>
      </c>
      <c r="E146" t="inlineStr">
        <is>
          <t>Respiratory</t>
        </is>
      </c>
      <c r="F146" t="n">
        <v>5</v>
      </c>
      <c r="G146" s="29" t="n">
        <v>27412.12</v>
      </c>
    </row>
    <row r="147">
      <c r="A147" t="inlineStr">
        <is>
          <t>ENC118368</t>
        </is>
      </c>
      <c r="B147" t="inlineStr">
        <is>
          <t>Bluestone Memorial</t>
        </is>
      </c>
      <c r="C147" s="28" t="n">
        <v>45915</v>
      </c>
      <c r="D147" t="n">
        <v>76</v>
      </c>
      <c r="E147" t="inlineStr">
        <is>
          <t>Blood</t>
        </is>
      </c>
      <c r="F147" t="n">
        <v>5</v>
      </c>
      <c r="G147" s="29" t="n">
        <v>29504.91</v>
      </c>
    </row>
    <row r="148">
      <c r="A148" t="inlineStr">
        <is>
          <t>ENC118347</t>
        </is>
      </c>
      <c r="B148" t="inlineStr">
        <is>
          <t>Bluestone Memorial</t>
        </is>
      </c>
      <c r="C148" s="28" t="n">
        <v>45916</v>
      </c>
      <c r="D148" t="n">
        <v>62</v>
      </c>
      <c r="E148" t="inlineStr">
        <is>
          <t>Circulatory</t>
        </is>
      </c>
      <c r="F148" t="n">
        <v>6</v>
      </c>
      <c r="G148" s="29" t="n">
        <v>32330.39</v>
      </c>
    </row>
    <row r="149">
      <c r="A149" t="inlineStr">
        <is>
          <t>ENC118197</t>
        </is>
      </c>
      <c r="B149" t="inlineStr">
        <is>
          <t>Bluestone Memorial</t>
        </is>
      </c>
      <c r="C149" s="28" t="n">
        <v>45921</v>
      </c>
      <c r="D149" t="n">
        <v>54</v>
      </c>
      <c r="E149" t="inlineStr">
        <is>
          <t>Respiratory</t>
        </is>
      </c>
      <c r="F149" t="n">
        <v>17</v>
      </c>
      <c r="G149" s="29" t="n">
        <v>156787.49</v>
      </c>
    </row>
    <row r="150">
      <c r="A150" t="inlineStr">
        <is>
          <t>ENC118598</t>
        </is>
      </c>
      <c r="B150" t="inlineStr">
        <is>
          <t>Bluestone Memorial</t>
        </is>
      </c>
      <c r="C150" s="28" t="n">
        <v>45921</v>
      </c>
      <c r="D150" t="n">
        <v>23</v>
      </c>
      <c r="E150" t="inlineStr">
        <is>
          <t>Pregnancy</t>
        </is>
      </c>
      <c r="F150" t="n">
        <v>2</v>
      </c>
      <c r="G150" s="29" t="n">
        <v>20899.32</v>
      </c>
    </row>
    <row r="151">
      <c r="A151" t="inlineStr">
        <is>
          <t>ENC118516</t>
        </is>
      </c>
      <c r="B151" t="inlineStr">
        <is>
          <t>Bluestone Memorial</t>
        </is>
      </c>
      <c r="C151" s="28" t="n">
        <v>45922</v>
      </c>
      <c r="D151" t="n">
        <v>55</v>
      </c>
      <c r="E151" t="inlineStr">
        <is>
          <t>Infectious</t>
        </is>
      </c>
      <c r="F151" t="n">
        <v>6</v>
      </c>
      <c r="G151" s="29" t="n">
        <v>51451.05</v>
      </c>
    </row>
    <row r="152">
      <c r="A152" t="inlineStr">
        <is>
          <t>ENC118612</t>
        </is>
      </c>
      <c r="B152" t="inlineStr">
        <is>
          <t>Bluestone Memorial</t>
        </is>
      </c>
      <c r="C152" s="28" t="n">
        <v>45923</v>
      </c>
      <c r="D152" t="n">
        <v>75</v>
      </c>
      <c r="E152" t="inlineStr">
        <is>
          <t>Digestive</t>
        </is>
      </c>
      <c r="F152" t="n">
        <v>3</v>
      </c>
      <c r="G152" s="29" t="n">
        <v>18961.1</v>
      </c>
    </row>
    <row r="153">
      <c r="A153" t="inlineStr">
        <is>
          <t>ENC118636</t>
        </is>
      </c>
      <c r="B153" t="inlineStr">
        <is>
          <t>Bluestone Memorial</t>
        </is>
      </c>
      <c r="C153" s="28" t="n">
        <v>45925</v>
      </c>
      <c r="D153" t="n">
        <v>52</v>
      </c>
      <c r="E153" t="inlineStr">
        <is>
          <t>Genitourinary</t>
        </is>
      </c>
      <c r="F153" t="n">
        <v>4</v>
      </c>
      <c r="G153" s="29" t="n">
        <v>19061.4</v>
      </c>
    </row>
    <row r="154">
      <c r="A154" t="inlineStr">
        <is>
          <t>ENC118629</t>
        </is>
      </c>
      <c r="B154" t="inlineStr">
        <is>
          <t>Bluestone Memorial</t>
        </is>
      </c>
      <c r="C154" s="28" t="n">
        <v>45926</v>
      </c>
      <c r="D154" t="n">
        <v>48</v>
      </c>
      <c r="E154" t="inlineStr">
        <is>
          <t>Respiratory</t>
        </is>
      </c>
      <c r="F154" t="n">
        <v>5</v>
      </c>
      <c r="G154" s="29" t="n">
        <v>20909.85</v>
      </c>
    </row>
    <row r="155">
      <c r="A155" t="inlineStr">
        <is>
          <t>ENC118461</t>
        </is>
      </c>
      <c r="B155" t="inlineStr">
        <is>
          <t>Bluestone Memorial</t>
        </is>
      </c>
      <c r="C155" s="28" t="n">
        <v>45928</v>
      </c>
      <c r="D155" t="n">
        <v>54</v>
      </c>
      <c r="E155" t="inlineStr">
        <is>
          <t>Respiratory</t>
        </is>
      </c>
      <c r="F155" t="n">
        <v>14</v>
      </c>
      <c r="G155" s="29" t="n">
        <v>42820.63</v>
      </c>
    </row>
    <row r="156">
      <c r="A156" t="inlineStr">
        <is>
          <t>ENC118698</t>
        </is>
      </c>
      <c r="B156" t="inlineStr">
        <is>
          <t>Bluestone Memorial</t>
        </is>
      </c>
      <c r="C156" s="28" t="n">
        <v>45928</v>
      </c>
      <c r="D156" t="n">
        <v>14</v>
      </c>
      <c r="E156" t="inlineStr">
        <is>
          <t>Mental &amp; Behavioral</t>
        </is>
      </c>
      <c r="F156" t="n">
        <v>5</v>
      </c>
      <c r="G156" s="29" t="n">
        <v>13047.85</v>
      </c>
    </row>
    <row r="157">
      <c r="A157" t="inlineStr">
        <is>
          <t>ENC118671</t>
        </is>
      </c>
      <c r="B157" t="inlineStr">
        <is>
          <t>Bluestone Memorial</t>
        </is>
      </c>
      <c r="C157" s="28" t="n">
        <v>45930</v>
      </c>
      <c r="D157" t="n">
        <v>41</v>
      </c>
      <c r="E157" t="inlineStr">
        <is>
          <t>Respiratory</t>
        </is>
      </c>
      <c r="F157" t="n">
        <v>8</v>
      </c>
      <c r="G157" s="29" t="n">
        <v>34671.92</v>
      </c>
    </row>
    <row r="158">
      <c r="A158" t="inlineStr">
        <is>
          <t>ENC118785</t>
        </is>
      </c>
      <c r="B158" t="inlineStr">
        <is>
          <t>Bluestone Memorial</t>
        </is>
      </c>
      <c r="C158" s="28" t="n">
        <v>45930</v>
      </c>
      <c r="D158" t="n">
        <v>67</v>
      </c>
      <c r="E158" t="inlineStr">
        <is>
          <t>Respiratory</t>
        </is>
      </c>
      <c r="F158" t="n">
        <v>4</v>
      </c>
      <c r="G158" s="29" t="n">
        <v>27319.47</v>
      </c>
    </row>
    <row r="159">
      <c r="A159" t="inlineStr">
        <is>
          <t>ENC118949</t>
        </is>
      </c>
      <c r="B159" t="inlineStr">
        <is>
          <t>Bluestone Memorial</t>
        </is>
      </c>
      <c r="C159" s="28" t="n">
        <v>45935</v>
      </c>
      <c r="D159" t="n">
        <v>72</v>
      </c>
      <c r="E159" t="inlineStr">
        <is>
          <t>Circulatory</t>
        </is>
      </c>
      <c r="F159" t="n">
        <v>2</v>
      </c>
      <c r="G159" s="29" t="n">
        <v>17345.51</v>
      </c>
    </row>
    <row r="160">
      <c r="A160" t="inlineStr">
        <is>
          <t>ENC118977</t>
        </is>
      </c>
      <c r="B160" t="inlineStr">
        <is>
          <t>Bluestone Memorial</t>
        </is>
      </c>
      <c r="C160" s="28" t="n">
        <v>45937</v>
      </c>
      <c r="D160" t="n">
        <v>75</v>
      </c>
      <c r="E160" t="inlineStr">
        <is>
          <t>Nervous System</t>
        </is>
      </c>
      <c r="F160" t="n">
        <v>4</v>
      </c>
      <c r="G160" s="29" t="n">
        <v>24384.42</v>
      </c>
    </row>
    <row r="161">
      <c r="A161" t="inlineStr">
        <is>
          <t>ENC119128</t>
        </is>
      </c>
      <c r="B161" t="inlineStr">
        <is>
          <t>Bluestone Memorial</t>
        </is>
      </c>
      <c r="C161" s="28" t="n">
        <v>45941</v>
      </c>
      <c r="D161" t="n">
        <v>60</v>
      </c>
      <c r="E161" t="inlineStr">
        <is>
          <t>Musculoskeletal</t>
        </is>
      </c>
      <c r="F161" t="n">
        <v>2</v>
      </c>
      <c r="G161" s="29" t="n">
        <v>52368.24</v>
      </c>
    </row>
    <row r="162">
      <c r="A162" t="inlineStr">
        <is>
          <t>ENC119215</t>
        </is>
      </c>
      <c r="B162" t="inlineStr">
        <is>
          <t>Bluestone Memorial</t>
        </is>
      </c>
      <c r="C162" s="28" t="n">
        <v>45946</v>
      </c>
      <c r="D162" t="n">
        <v>16</v>
      </c>
      <c r="E162" t="inlineStr">
        <is>
          <t>Nervous System</t>
        </is>
      </c>
      <c r="F162" t="n">
        <v>3</v>
      </c>
      <c r="G162" s="29" t="n">
        <v>20400.05</v>
      </c>
    </row>
    <row r="163">
      <c r="A163" t="inlineStr">
        <is>
          <t>ENC119285</t>
        </is>
      </c>
      <c r="B163" t="inlineStr">
        <is>
          <t>Bluestone Memorial</t>
        </is>
      </c>
      <c r="C163" s="28" t="n">
        <v>45950</v>
      </c>
      <c r="D163" t="n">
        <v>61</v>
      </c>
      <c r="E163" t="inlineStr">
        <is>
          <t>Infectious</t>
        </is>
      </c>
      <c r="F163" t="n">
        <v>6</v>
      </c>
      <c r="G163" s="29" t="n">
        <v>66530.28</v>
      </c>
    </row>
    <row r="164">
      <c r="A164" t="inlineStr">
        <is>
          <t>ENC119338</t>
        </is>
      </c>
      <c r="B164" t="inlineStr">
        <is>
          <t>Bluestone Memorial</t>
        </is>
      </c>
      <c r="C164" s="28" t="n">
        <v>45950</v>
      </c>
      <c r="D164" t="n">
        <v>58</v>
      </c>
      <c r="E164" t="inlineStr">
        <is>
          <t>Circulatory</t>
        </is>
      </c>
      <c r="F164" t="n">
        <v>4</v>
      </c>
      <c r="G164" s="29" t="n">
        <v>75961.39</v>
      </c>
    </row>
    <row r="165">
      <c r="A165" t="inlineStr">
        <is>
          <t>ENC119327</t>
        </is>
      </c>
      <c r="B165" t="inlineStr">
        <is>
          <t>Bluestone Memorial</t>
        </is>
      </c>
      <c r="C165" s="28" t="n">
        <v>45951</v>
      </c>
      <c r="D165" t="n">
        <v>18</v>
      </c>
      <c r="E165" t="inlineStr">
        <is>
          <t>Respiratory</t>
        </is>
      </c>
      <c r="F165" t="n">
        <v>5</v>
      </c>
      <c r="G165" s="29" t="n">
        <v>15350.19</v>
      </c>
    </row>
    <row r="166">
      <c r="A166" t="inlineStr">
        <is>
          <t>ENC119351</t>
        </is>
      </c>
      <c r="B166" t="inlineStr">
        <is>
          <t>Bluestone Memorial</t>
        </is>
      </c>
      <c r="C166" s="28" t="n">
        <v>45951</v>
      </c>
      <c r="D166" t="n">
        <v>53</v>
      </c>
      <c r="E166" t="inlineStr">
        <is>
          <t>Infectious</t>
        </is>
      </c>
      <c r="F166" t="n">
        <v>4</v>
      </c>
      <c r="G166" s="29" t="n">
        <v>39547.93</v>
      </c>
    </row>
    <row r="167">
      <c r="A167" t="inlineStr">
        <is>
          <t>ENC119494</t>
        </is>
      </c>
      <c r="B167" t="inlineStr">
        <is>
          <t>Bluestone Memorial</t>
        </is>
      </c>
      <c r="C167" s="28" t="n">
        <v>45956</v>
      </c>
      <c r="D167" t="n">
        <v>78</v>
      </c>
      <c r="E167" t="inlineStr">
        <is>
          <t>Circulatory</t>
        </is>
      </c>
      <c r="F167" t="n">
        <v>4</v>
      </c>
      <c r="G167" s="29" t="n">
        <v>22545.04</v>
      </c>
    </row>
    <row r="168">
      <c r="A168" t="inlineStr">
        <is>
          <t>ENC119592</t>
        </is>
      </c>
      <c r="B168" t="inlineStr">
        <is>
          <t>Bluestone Memorial</t>
        </is>
      </c>
      <c r="C168" s="28" t="n">
        <v>45957</v>
      </c>
      <c r="D168" t="n">
        <v>58</v>
      </c>
      <c r="E168" t="inlineStr">
        <is>
          <t>Circulatory</t>
        </is>
      </c>
      <c r="F168" t="n">
        <v>2</v>
      </c>
      <c r="G168" s="29" t="n">
        <v>19469.24</v>
      </c>
    </row>
    <row r="169">
      <c r="A169" t="inlineStr">
        <is>
          <t>ENC119778</t>
        </is>
      </c>
      <c r="B169" t="inlineStr">
        <is>
          <t>Bluestone Memorial</t>
        </is>
      </c>
      <c r="C169" s="28" t="n">
        <v>45963</v>
      </c>
      <c r="D169" t="n">
        <v>43</v>
      </c>
      <c r="E169" t="inlineStr">
        <is>
          <t>Mental &amp; Behavioral</t>
        </is>
      </c>
      <c r="F169" t="n">
        <v>2</v>
      </c>
      <c r="G169" s="29" t="n">
        <v>7156.13</v>
      </c>
    </row>
    <row r="170">
      <c r="A170" t="inlineStr">
        <is>
          <t>ENC119751</t>
        </is>
      </c>
      <c r="B170" t="inlineStr">
        <is>
          <t>Bluestone Memorial</t>
        </is>
      </c>
      <c r="C170" s="28" t="n">
        <v>45965</v>
      </c>
      <c r="D170" t="n">
        <v>42</v>
      </c>
      <c r="E170" t="inlineStr">
        <is>
          <t>Genitourinary</t>
        </is>
      </c>
      <c r="F170" t="n">
        <v>5</v>
      </c>
      <c r="G170" s="29" t="n">
        <v>18623.01</v>
      </c>
    </row>
    <row r="171">
      <c r="A171" t="inlineStr">
        <is>
          <t>ENC119739</t>
        </is>
      </c>
      <c r="B171" t="inlineStr">
        <is>
          <t>Bluestone Memorial</t>
        </is>
      </c>
      <c r="C171" s="28" t="n">
        <v>45968</v>
      </c>
      <c r="D171" t="n">
        <v>64</v>
      </c>
      <c r="E171" t="inlineStr">
        <is>
          <t>Neoplasms</t>
        </is>
      </c>
      <c r="F171" t="n">
        <v>8</v>
      </c>
      <c r="G171" s="29" t="n">
        <v>27284.74</v>
      </c>
    </row>
    <row r="172">
      <c r="A172" t="inlineStr">
        <is>
          <t>ENC119978</t>
        </is>
      </c>
      <c r="B172" t="inlineStr">
        <is>
          <t>Bluestone Memorial</t>
        </is>
      </c>
      <c r="C172" s="28" t="n">
        <v>45970</v>
      </c>
      <c r="D172" t="n">
        <v>18</v>
      </c>
      <c r="E172" t="inlineStr">
        <is>
          <t>Genitourinary</t>
        </is>
      </c>
      <c r="F172" t="n">
        <v>3</v>
      </c>
      <c r="G172" s="29" t="n">
        <v>12617.53</v>
      </c>
    </row>
    <row r="173">
      <c r="A173" t="inlineStr">
        <is>
          <t>ENC120033</t>
        </is>
      </c>
      <c r="B173" t="inlineStr">
        <is>
          <t>Bluestone Memorial</t>
        </is>
      </c>
      <c r="C173" s="28" t="n">
        <v>45971</v>
      </c>
      <c r="D173" t="n">
        <v>74</v>
      </c>
      <c r="E173" t="inlineStr">
        <is>
          <t>Mental &amp; Behavioral</t>
        </is>
      </c>
      <c r="F173" t="n">
        <v>2</v>
      </c>
      <c r="G173" s="29" t="n">
        <v>13137.55</v>
      </c>
    </row>
    <row r="174">
      <c r="A174" t="inlineStr">
        <is>
          <t>ENC120055</t>
        </is>
      </c>
      <c r="B174" t="inlineStr">
        <is>
          <t>Bluestone Memorial</t>
        </is>
      </c>
      <c r="C174" s="28" t="n">
        <v>45973</v>
      </c>
      <c r="D174" t="n">
        <v>75</v>
      </c>
      <c r="E174" t="inlineStr">
        <is>
          <t>Musculoskeletal</t>
        </is>
      </c>
      <c r="F174" t="n">
        <v>2</v>
      </c>
      <c r="G174" s="29" t="n">
        <v>89046.84</v>
      </c>
    </row>
    <row r="175">
      <c r="A175" t="inlineStr">
        <is>
          <t>ENC119972</t>
        </is>
      </c>
      <c r="B175" t="inlineStr">
        <is>
          <t>Bluestone Memorial</t>
        </is>
      </c>
      <c r="C175" s="28" t="n">
        <v>45975</v>
      </c>
      <c r="D175" t="n">
        <v>75</v>
      </c>
      <c r="E175" t="inlineStr">
        <is>
          <t>Respiratory</t>
        </is>
      </c>
      <c r="F175" t="n">
        <v>8</v>
      </c>
      <c r="G175" s="29" t="n">
        <v>32891.34</v>
      </c>
    </row>
    <row r="176">
      <c r="A176" t="inlineStr">
        <is>
          <t>ENC120051</t>
        </is>
      </c>
      <c r="B176" t="inlineStr">
        <is>
          <t>Bluestone Memorial</t>
        </is>
      </c>
      <c r="C176" s="28" t="n">
        <v>45975</v>
      </c>
      <c r="D176" t="n">
        <v>77</v>
      </c>
      <c r="E176" t="inlineStr">
        <is>
          <t>Respiratory</t>
        </is>
      </c>
      <c r="F176" t="n">
        <v>5</v>
      </c>
      <c r="G176" s="29" t="n">
        <v>19977.46</v>
      </c>
    </row>
    <row r="177">
      <c r="A177" t="inlineStr">
        <is>
          <t>ENC120078</t>
        </is>
      </c>
      <c r="B177" t="inlineStr">
        <is>
          <t>Bluestone Memorial</t>
        </is>
      </c>
      <c r="C177" s="28" t="n">
        <v>45975</v>
      </c>
      <c r="D177" t="n">
        <v>57</v>
      </c>
      <c r="E177" t="inlineStr">
        <is>
          <t>Circulatory</t>
        </is>
      </c>
      <c r="F177" t="n">
        <v>4</v>
      </c>
      <c r="G177" s="29" t="n">
        <v>32148.29</v>
      </c>
    </row>
    <row r="178">
      <c r="A178" t="inlineStr">
        <is>
          <t>ENC120243</t>
        </is>
      </c>
      <c r="B178" t="inlineStr">
        <is>
          <t>Bluestone Memorial</t>
        </is>
      </c>
      <c r="C178" s="28" t="n">
        <v>45977</v>
      </c>
      <c r="D178" t="n">
        <v>29</v>
      </c>
      <c r="E178" t="inlineStr">
        <is>
          <t>Pregnancy</t>
        </is>
      </c>
      <c r="F178" t="n">
        <v>1</v>
      </c>
      <c r="G178" s="29" t="n">
        <v>10411.56</v>
      </c>
    </row>
    <row r="179">
      <c r="A179" t="inlineStr">
        <is>
          <t>ENC120252</t>
        </is>
      </c>
      <c r="B179" t="inlineStr">
        <is>
          <t>Bluestone Memorial</t>
        </is>
      </c>
      <c r="C179" s="28" t="n">
        <v>45981</v>
      </c>
      <c r="D179" t="n">
        <v>77</v>
      </c>
      <c r="E179" t="inlineStr">
        <is>
          <t>Endocrine</t>
        </is>
      </c>
      <c r="F179" t="n">
        <v>5</v>
      </c>
      <c r="G179" s="29" t="n">
        <v>19936.6</v>
      </c>
    </row>
    <row r="180">
      <c r="A180" t="inlineStr">
        <is>
          <t>ENC120340</t>
        </is>
      </c>
      <c r="B180" t="inlineStr">
        <is>
          <t>Bluestone Memorial</t>
        </is>
      </c>
      <c r="C180" s="28" t="n">
        <v>45988</v>
      </c>
      <c r="D180" t="n">
        <v>86</v>
      </c>
      <c r="E180" t="inlineStr">
        <is>
          <t>Infectious</t>
        </is>
      </c>
      <c r="F180" t="n">
        <v>9</v>
      </c>
      <c r="G180" s="29" t="n">
        <v>93158.8</v>
      </c>
    </row>
    <row r="181">
      <c r="A181" t="inlineStr">
        <is>
          <t>ENC120399</t>
        </is>
      </c>
      <c r="B181" t="inlineStr">
        <is>
          <t>Bluestone Memorial</t>
        </is>
      </c>
      <c r="C181" s="28" t="n">
        <v>45989</v>
      </c>
      <c r="D181" t="n">
        <v>98</v>
      </c>
      <c r="E181" t="inlineStr">
        <is>
          <t>Skin</t>
        </is>
      </c>
      <c r="F181" t="n">
        <v>9</v>
      </c>
      <c r="G181" s="29" t="n">
        <v>33382.82</v>
      </c>
    </row>
    <row r="182">
      <c r="A182" t="inlineStr">
        <is>
          <t>ENC120464</t>
        </is>
      </c>
      <c r="B182" t="inlineStr">
        <is>
          <t>Bluestone Memorial</t>
        </is>
      </c>
      <c r="C182" s="28" t="n">
        <v>45989</v>
      </c>
      <c r="D182" t="n">
        <v>58</v>
      </c>
      <c r="E182" t="inlineStr">
        <is>
          <t>Injury</t>
        </is>
      </c>
      <c r="F182" t="n">
        <v>7</v>
      </c>
      <c r="G182" s="29" t="n">
        <v>65616.82000000001</v>
      </c>
    </row>
    <row r="183">
      <c r="A183" t="inlineStr">
        <is>
          <t>ENC120510</t>
        </is>
      </c>
      <c r="B183" t="inlineStr">
        <is>
          <t>Bluestone Memorial</t>
        </is>
      </c>
      <c r="C183" s="28" t="n">
        <v>45989</v>
      </c>
      <c r="D183" t="n">
        <v>47</v>
      </c>
      <c r="E183" t="inlineStr">
        <is>
          <t>Respiratory</t>
        </is>
      </c>
      <c r="F183" t="n">
        <v>5</v>
      </c>
      <c r="G183" s="29" t="n">
        <v>15186.03</v>
      </c>
    </row>
    <row r="184">
      <c r="A184" t="inlineStr">
        <is>
          <t>ENC120602</t>
        </is>
      </c>
      <c r="B184" t="inlineStr">
        <is>
          <t>Bluestone Memorial</t>
        </is>
      </c>
      <c r="C184" s="28" t="n">
        <v>45990</v>
      </c>
      <c r="D184" t="n">
        <v>46</v>
      </c>
      <c r="E184" t="inlineStr">
        <is>
          <t>Respiratory</t>
        </is>
      </c>
      <c r="F184" t="n">
        <v>3</v>
      </c>
      <c r="G184" s="29" t="n">
        <v>18309.48</v>
      </c>
    </row>
    <row r="185">
      <c r="A185" t="inlineStr">
        <is>
          <t>ENC120634</t>
        </is>
      </c>
      <c r="B185" t="inlineStr">
        <is>
          <t>Bluestone Memorial</t>
        </is>
      </c>
      <c r="C185" s="28" t="n">
        <v>45990</v>
      </c>
      <c r="D185" t="n">
        <v>58</v>
      </c>
      <c r="E185" t="inlineStr">
        <is>
          <t>Genitourinary</t>
        </is>
      </c>
      <c r="F185" t="n">
        <v>2</v>
      </c>
      <c r="G185" s="29" t="n">
        <v>7746.3</v>
      </c>
    </row>
    <row r="186">
      <c r="A186" t="inlineStr">
        <is>
          <t>ENC120587</t>
        </is>
      </c>
      <c r="B186" t="inlineStr">
        <is>
          <t>Bluestone Memorial</t>
        </is>
      </c>
      <c r="C186" s="28" t="n">
        <v>45997</v>
      </c>
      <c r="D186" t="n">
        <v>50</v>
      </c>
      <c r="E186" t="inlineStr">
        <is>
          <t>Infectious</t>
        </is>
      </c>
      <c r="F186" t="n">
        <v>11</v>
      </c>
      <c r="G186" s="29" t="n">
        <v>94701.8</v>
      </c>
    </row>
    <row r="187">
      <c r="A187" t="inlineStr">
        <is>
          <t>ENC120719</t>
        </is>
      </c>
      <c r="B187" t="inlineStr">
        <is>
          <t>Bluestone Memorial</t>
        </is>
      </c>
      <c r="C187" s="28" t="n">
        <v>45998</v>
      </c>
      <c r="D187" t="n">
        <v>52</v>
      </c>
      <c r="E187" t="inlineStr">
        <is>
          <t>Blood</t>
        </is>
      </c>
      <c r="F187" t="n">
        <v>7</v>
      </c>
      <c r="G187" s="29" t="n">
        <v>40954.12</v>
      </c>
    </row>
    <row r="188">
      <c r="A188" t="inlineStr">
        <is>
          <t>ENC120636</t>
        </is>
      </c>
      <c r="B188" t="inlineStr">
        <is>
          <t>Bluestone Memorial</t>
        </is>
      </c>
      <c r="C188" s="28" t="n">
        <v>45999</v>
      </c>
      <c r="D188" t="n">
        <v>58</v>
      </c>
      <c r="E188" t="inlineStr">
        <is>
          <t>Mental &amp; Behavioral</t>
        </is>
      </c>
      <c r="F188" t="n">
        <v>11</v>
      </c>
      <c r="G188" s="29" t="n">
        <v>19859.65</v>
      </c>
    </row>
    <row r="189">
      <c r="A189" t="inlineStr">
        <is>
          <t>ENC120964</t>
        </is>
      </c>
      <c r="B189" t="inlineStr">
        <is>
          <t>Bluestone Memorial</t>
        </is>
      </c>
      <c r="C189" s="28" t="n">
        <v>46000</v>
      </c>
      <c r="D189" t="n">
        <v>73</v>
      </c>
      <c r="E189" t="inlineStr">
        <is>
          <t>Skin</t>
        </is>
      </c>
      <c r="F189" t="n">
        <v>3</v>
      </c>
      <c r="G189" s="29" t="n">
        <v>13757.64</v>
      </c>
    </row>
    <row r="190">
      <c r="A190" t="inlineStr">
        <is>
          <t>ENC120908</t>
        </is>
      </c>
      <c r="B190" t="inlineStr">
        <is>
          <t>Bluestone Memorial</t>
        </is>
      </c>
      <c r="C190" s="28" t="n">
        <v>46002</v>
      </c>
      <c r="D190" t="n">
        <v>43</v>
      </c>
      <c r="E190" t="inlineStr">
        <is>
          <t>Pregnancy</t>
        </is>
      </c>
      <c r="F190" t="n">
        <v>7</v>
      </c>
      <c r="G190" s="29" t="n">
        <v>42012.76</v>
      </c>
    </row>
    <row r="191">
      <c r="A191" t="inlineStr">
        <is>
          <t>ENC120955</t>
        </is>
      </c>
      <c r="B191" t="inlineStr">
        <is>
          <t>Bluestone Memorial</t>
        </is>
      </c>
      <c r="C191" s="28" t="n">
        <v>46005</v>
      </c>
      <c r="D191" t="n">
        <v>58</v>
      </c>
      <c r="E191" t="inlineStr">
        <is>
          <t>Mental &amp; Behavioral</t>
        </is>
      </c>
      <c r="F191" t="n">
        <v>8</v>
      </c>
      <c r="G191" s="29" t="n">
        <v>30634.73</v>
      </c>
    </row>
    <row r="192">
      <c r="A192" t="inlineStr">
        <is>
          <t>ENC121199</t>
        </is>
      </c>
      <c r="B192" t="inlineStr">
        <is>
          <t>Bluestone Memorial</t>
        </is>
      </c>
      <c r="C192" s="28" t="n">
        <v>46006</v>
      </c>
      <c r="D192" t="n">
        <v>1</v>
      </c>
      <c r="E192" t="inlineStr">
        <is>
          <t>Respiratory</t>
        </is>
      </c>
      <c r="F192" t="n">
        <v>3</v>
      </c>
      <c r="G192" s="29" t="n">
        <v>11692.28</v>
      </c>
    </row>
    <row r="193">
      <c r="A193" t="inlineStr">
        <is>
          <t>ENC121247</t>
        </is>
      </c>
      <c r="B193" t="inlineStr">
        <is>
          <t>Bluestone Memorial</t>
        </is>
      </c>
      <c r="C193" s="28" t="n">
        <v>46009</v>
      </c>
      <c r="D193" t="n">
        <v>53</v>
      </c>
      <c r="E193" t="inlineStr">
        <is>
          <t>Circulatory</t>
        </is>
      </c>
      <c r="F193" t="n">
        <v>4</v>
      </c>
      <c r="G193" s="29" t="n">
        <v>26730.99</v>
      </c>
    </row>
    <row r="194">
      <c r="A194" t="inlineStr">
        <is>
          <t>ENC121329</t>
        </is>
      </c>
      <c r="B194" t="inlineStr">
        <is>
          <t>Bluestone Memorial</t>
        </is>
      </c>
      <c r="C194" s="28" t="n">
        <v>46010</v>
      </c>
      <c r="D194" t="n">
        <v>20</v>
      </c>
      <c r="E194" t="inlineStr">
        <is>
          <t>Respiratory</t>
        </is>
      </c>
      <c r="F194" t="n">
        <v>3</v>
      </c>
      <c r="G194" s="29" t="n">
        <v>15800.46</v>
      </c>
    </row>
    <row r="195">
      <c r="A195" t="inlineStr">
        <is>
          <t>ENC121401</t>
        </is>
      </c>
      <c r="B195" t="inlineStr">
        <is>
          <t>Bluestone Memorial</t>
        </is>
      </c>
      <c r="C195" s="28" t="n">
        <v>46013</v>
      </c>
      <c r="D195" t="n">
        <v>75</v>
      </c>
      <c r="E195" t="inlineStr">
        <is>
          <t>Injury</t>
        </is>
      </c>
      <c r="F195" t="n">
        <v>4</v>
      </c>
      <c r="G195" s="29" t="n">
        <v>39173.41</v>
      </c>
    </row>
    <row r="196">
      <c r="A196" t="inlineStr">
        <is>
          <t>ENC121500</t>
        </is>
      </c>
      <c r="B196" t="inlineStr">
        <is>
          <t>Bluestone Memorial</t>
        </is>
      </c>
      <c r="C196" s="28" t="n">
        <v>46015</v>
      </c>
      <c r="D196" t="n">
        <v>55</v>
      </c>
      <c r="E196" t="inlineStr">
        <is>
          <t>Circulatory</t>
        </is>
      </c>
      <c r="F196" t="n">
        <v>3</v>
      </c>
      <c r="G196" s="29" t="n">
        <v>25824.97</v>
      </c>
    </row>
    <row r="197">
      <c r="A197" t="inlineStr">
        <is>
          <t>ENC121598</t>
        </is>
      </c>
      <c r="B197" t="inlineStr">
        <is>
          <t>Bluestone Memorial</t>
        </is>
      </c>
      <c r="C197" s="28" t="n">
        <v>46016</v>
      </c>
      <c r="D197" t="n">
        <v>64</v>
      </c>
      <c r="E197" t="inlineStr">
        <is>
          <t>Circulatory</t>
        </is>
      </c>
      <c r="F197" t="n">
        <v>2</v>
      </c>
      <c r="G197" s="29" t="n">
        <v>12852.23</v>
      </c>
    </row>
    <row r="198">
      <c r="A198" t="inlineStr">
        <is>
          <t>ENC121555</t>
        </is>
      </c>
      <c r="B198" t="inlineStr">
        <is>
          <t>Bluestone Memorial</t>
        </is>
      </c>
      <c r="C198" s="28" t="n">
        <v>46020</v>
      </c>
      <c r="D198" t="n">
        <v>58</v>
      </c>
      <c r="E198" t="inlineStr">
        <is>
          <t>Circulatory</t>
        </is>
      </c>
      <c r="F198" t="n">
        <v>7</v>
      </c>
      <c r="G198" s="29" t="n">
        <v>36195.98</v>
      </c>
    </row>
    <row r="199">
      <c r="A199" t="inlineStr">
        <is>
          <t>ENC121645</t>
        </is>
      </c>
      <c r="B199" t="inlineStr">
        <is>
          <t>Bluestone Memorial</t>
        </is>
      </c>
      <c r="C199" s="28" t="n">
        <v>46021</v>
      </c>
      <c r="D199" t="n">
        <v>77</v>
      </c>
      <c r="E199" t="inlineStr">
        <is>
          <t>Genitourinary</t>
        </is>
      </c>
      <c r="F199" t="n">
        <v>5</v>
      </c>
      <c r="G199" s="29" t="n">
        <v>20418.14</v>
      </c>
    </row>
    <row r="200">
      <c r="A200" t="inlineStr">
        <is>
          <t>ENC121738</t>
        </is>
      </c>
      <c r="B200" t="inlineStr">
        <is>
          <t>Bluestone Memorial</t>
        </is>
      </c>
      <c r="C200" s="28" t="n">
        <v>46021</v>
      </c>
      <c r="D200" t="n">
        <v>89</v>
      </c>
      <c r="E200" t="inlineStr">
        <is>
          <t>Circulatory</t>
        </is>
      </c>
      <c r="F200" t="n">
        <v>3</v>
      </c>
      <c r="G200" s="29" t="n">
        <v>24081.61</v>
      </c>
    </row>
    <row r="201">
      <c r="A201" t="inlineStr">
        <is>
          <t>ENC121637</t>
        </is>
      </c>
      <c r="B201" t="inlineStr">
        <is>
          <t>Bluestone Memorial</t>
        </is>
      </c>
      <c r="C201" s="28" t="n">
        <v>46022</v>
      </c>
      <c r="D201" t="n">
        <v>98</v>
      </c>
      <c r="E201" t="inlineStr">
        <is>
          <t>Circulatory</t>
        </is>
      </c>
      <c r="F201" t="n">
        <v>7</v>
      </c>
      <c r="G201" s="29" t="n">
        <v>33910.36</v>
      </c>
    </row>
    <row r="202">
      <c r="A202" t="inlineStr">
        <is>
          <t>ENC110592</t>
        </is>
      </c>
      <c r="B202" t="inlineStr">
        <is>
          <t>Cedar Ridge</t>
        </is>
      </c>
      <c r="C202" s="28" t="n">
        <v>45660</v>
      </c>
      <c r="D202" t="n">
        <v>78</v>
      </c>
      <c r="E202" t="inlineStr">
        <is>
          <t>Digestive</t>
        </is>
      </c>
      <c r="F202" t="n">
        <v>6</v>
      </c>
      <c r="G202" s="29" t="n">
        <v>42255.73</v>
      </c>
    </row>
    <row r="203">
      <c r="A203" t="inlineStr">
        <is>
          <t>ENC110608</t>
        </is>
      </c>
      <c r="B203" t="inlineStr">
        <is>
          <t>Cedar Ridge</t>
        </is>
      </c>
      <c r="C203" s="28" t="n">
        <v>45660</v>
      </c>
      <c r="D203" t="n">
        <v>72</v>
      </c>
      <c r="E203" t="inlineStr">
        <is>
          <t>Infectious</t>
        </is>
      </c>
      <c r="F203" t="n">
        <v>5</v>
      </c>
      <c r="G203" s="29" t="n">
        <v>73228.36</v>
      </c>
    </row>
    <row r="204">
      <c r="A204" t="inlineStr">
        <is>
          <t>ENC110690</t>
        </is>
      </c>
      <c r="B204" t="inlineStr">
        <is>
          <t>Cedar Ridge</t>
        </is>
      </c>
      <c r="C204" s="28" t="n">
        <v>45660</v>
      </c>
      <c r="D204" t="n">
        <v>54</v>
      </c>
      <c r="E204" t="inlineStr">
        <is>
          <t>Genitourinary</t>
        </is>
      </c>
      <c r="F204" t="n">
        <v>3</v>
      </c>
      <c r="G204" s="29" t="n">
        <v>7588.98</v>
      </c>
    </row>
    <row r="205">
      <c r="A205" t="inlineStr">
        <is>
          <t>ENC110628</t>
        </is>
      </c>
      <c r="B205" t="inlineStr">
        <is>
          <t>Cedar Ridge</t>
        </is>
      </c>
      <c r="C205" s="28" t="n">
        <v>45662</v>
      </c>
      <c r="D205" t="n">
        <v>85</v>
      </c>
      <c r="E205" t="inlineStr">
        <is>
          <t>Circulatory</t>
        </is>
      </c>
      <c r="F205" t="n">
        <v>6</v>
      </c>
      <c r="G205" s="29" t="n">
        <v>54996.54</v>
      </c>
    </row>
    <row r="206">
      <c r="A206" t="inlineStr">
        <is>
          <t>ENC110756</t>
        </is>
      </c>
      <c r="B206" t="inlineStr">
        <is>
          <t>Cedar Ridge</t>
        </is>
      </c>
      <c r="C206" s="28" t="n">
        <v>45662</v>
      </c>
      <c r="D206" t="n">
        <v>60</v>
      </c>
      <c r="E206" t="inlineStr">
        <is>
          <t>Respiratory</t>
        </is>
      </c>
      <c r="F206" t="n">
        <v>3</v>
      </c>
      <c r="G206" s="29" t="n">
        <v>10621.58</v>
      </c>
    </row>
    <row r="207">
      <c r="A207" t="inlineStr">
        <is>
          <t>ENC110707</t>
        </is>
      </c>
      <c r="B207" t="inlineStr">
        <is>
          <t>Cedar Ridge</t>
        </is>
      </c>
      <c r="C207" s="28" t="n">
        <v>45664</v>
      </c>
      <c r="D207" t="n">
        <v>26</v>
      </c>
      <c r="E207" t="inlineStr">
        <is>
          <t>Respiratory</t>
        </is>
      </c>
      <c r="F207" t="n">
        <v>7</v>
      </c>
      <c r="G207" s="29" t="n">
        <v>33984.5</v>
      </c>
    </row>
    <row r="208">
      <c r="A208" t="inlineStr">
        <is>
          <t>ENC110866</t>
        </is>
      </c>
      <c r="B208" t="inlineStr">
        <is>
          <t>Cedar Ridge</t>
        </is>
      </c>
      <c r="C208" s="28" t="n">
        <v>45669</v>
      </c>
      <c r="D208" t="n">
        <v>74</v>
      </c>
      <c r="E208" t="inlineStr">
        <is>
          <t>Respiratory</t>
        </is>
      </c>
      <c r="F208" t="n">
        <v>7</v>
      </c>
      <c r="G208" s="29" t="n">
        <v>32912.35</v>
      </c>
    </row>
    <row r="209">
      <c r="A209" t="inlineStr">
        <is>
          <t>ENC110874</t>
        </is>
      </c>
      <c r="B209" t="inlineStr">
        <is>
          <t>Cedar Ridge</t>
        </is>
      </c>
      <c r="C209" s="28" t="n">
        <v>45669</v>
      </c>
      <c r="D209" t="n">
        <v>76</v>
      </c>
      <c r="E209" t="inlineStr">
        <is>
          <t>Respiratory</t>
        </is>
      </c>
      <c r="F209" t="n">
        <v>6</v>
      </c>
      <c r="G209" s="29" t="n">
        <v>29103.37</v>
      </c>
    </row>
    <row r="210">
      <c r="A210" t="inlineStr">
        <is>
          <t>ENC110952</t>
        </is>
      </c>
      <c r="B210" t="inlineStr">
        <is>
          <t>Cedar Ridge</t>
        </is>
      </c>
      <c r="C210" s="28" t="n">
        <v>45669</v>
      </c>
      <c r="D210" t="n">
        <v>96</v>
      </c>
      <c r="E210" t="inlineStr">
        <is>
          <t>Injury</t>
        </is>
      </c>
      <c r="F210" t="n">
        <v>5</v>
      </c>
      <c r="G210" s="29" t="n">
        <v>64067.75</v>
      </c>
    </row>
    <row r="211">
      <c r="A211" t="inlineStr">
        <is>
          <t>ENC111094</t>
        </is>
      </c>
      <c r="B211" t="inlineStr">
        <is>
          <t>Cedar Ridge</t>
        </is>
      </c>
      <c r="C211" s="28" t="n">
        <v>45670</v>
      </c>
      <c r="D211" t="n">
        <v>78</v>
      </c>
      <c r="E211" t="inlineStr">
        <is>
          <t>Endocrine</t>
        </is>
      </c>
      <c r="F211" t="n">
        <v>2</v>
      </c>
      <c r="G211" s="29" t="n">
        <v>9169.120000000001</v>
      </c>
    </row>
    <row r="212">
      <c r="A212" t="inlineStr">
        <is>
          <t>ENC111171</t>
        </is>
      </c>
      <c r="B212" t="inlineStr">
        <is>
          <t>Cedar Ridge</t>
        </is>
      </c>
      <c r="C212" s="28" t="n">
        <v>45672</v>
      </c>
      <c r="D212" t="n">
        <v>67</v>
      </c>
      <c r="E212" t="inlineStr">
        <is>
          <t>Circulatory</t>
        </is>
      </c>
      <c r="F212" t="n">
        <v>2</v>
      </c>
      <c r="G212" s="29" t="n">
        <v>15267.59</v>
      </c>
    </row>
    <row r="213">
      <c r="A213" t="inlineStr">
        <is>
          <t>ENC111109</t>
        </is>
      </c>
      <c r="B213" t="inlineStr">
        <is>
          <t>Cedar Ridge</t>
        </is>
      </c>
      <c r="C213" s="28" t="n">
        <v>45675</v>
      </c>
      <c r="D213" t="n">
        <v>72</v>
      </c>
      <c r="E213" t="inlineStr">
        <is>
          <t>Genitourinary</t>
        </is>
      </c>
      <c r="F213" t="n">
        <v>6</v>
      </c>
      <c r="G213" s="29" t="n">
        <v>25943.27</v>
      </c>
    </row>
    <row r="214">
      <c r="A214" t="inlineStr">
        <is>
          <t>ENC111185</t>
        </is>
      </c>
      <c r="B214" t="inlineStr">
        <is>
          <t>Cedar Ridge</t>
        </is>
      </c>
      <c r="C214" s="28" t="n">
        <v>45675</v>
      </c>
      <c r="D214" t="n">
        <v>85</v>
      </c>
      <c r="E214" t="inlineStr">
        <is>
          <t>Circulatory</t>
        </is>
      </c>
      <c r="F214" t="n">
        <v>5</v>
      </c>
      <c r="G214" s="29" t="n">
        <v>19932.18</v>
      </c>
    </row>
    <row r="215">
      <c r="A215" t="inlineStr">
        <is>
          <t>ENC111114</t>
        </is>
      </c>
      <c r="B215" t="inlineStr">
        <is>
          <t>Cedar Ridge</t>
        </is>
      </c>
      <c r="C215" s="28" t="n">
        <v>45676</v>
      </c>
      <c r="D215" t="n">
        <v>72</v>
      </c>
      <c r="E215" t="inlineStr">
        <is>
          <t>Respiratory</t>
        </is>
      </c>
      <c r="F215" t="n">
        <v>7</v>
      </c>
      <c r="G215" s="29" t="n">
        <v>39804.2</v>
      </c>
    </row>
    <row r="216">
      <c r="A216" t="inlineStr">
        <is>
          <t>ENC111258</t>
        </is>
      </c>
      <c r="B216" t="inlineStr">
        <is>
          <t>Cedar Ridge</t>
        </is>
      </c>
      <c r="C216" s="28" t="n">
        <v>45676</v>
      </c>
      <c r="D216" t="n">
        <v>46</v>
      </c>
      <c r="E216" t="inlineStr">
        <is>
          <t>Infectious</t>
        </is>
      </c>
      <c r="F216" t="n">
        <v>3</v>
      </c>
      <c r="G216" s="29" t="n">
        <v>18753.47</v>
      </c>
    </row>
    <row r="217">
      <c r="A217" t="inlineStr">
        <is>
          <t>ENC111244</t>
        </is>
      </c>
      <c r="B217" t="inlineStr">
        <is>
          <t>Cedar Ridge</t>
        </is>
      </c>
      <c r="C217" s="28" t="n">
        <v>45677</v>
      </c>
      <c r="D217" t="n">
        <v>75</v>
      </c>
      <c r="E217" t="inlineStr">
        <is>
          <t>Respiratory</t>
        </is>
      </c>
      <c r="F217" t="n">
        <v>5</v>
      </c>
      <c r="G217" s="29" t="n">
        <v>22337.29</v>
      </c>
    </row>
    <row r="218">
      <c r="A218" t="inlineStr">
        <is>
          <t>ENC111257</t>
        </is>
      </c>
      <c r="B218" t="inlineStr">
        <is>
          <t>Cedar Ridge</t>
        </is>
      </c>
      <c r="C218" s="28" t="n">
        <v>45678</v>
      </c>
      <c r="D218" t="n">
        <v>69</v>
      </c>
      <c r="E218" t="inlineStr">
        <is>
          <t>Circulatory</t>
        </is>
      </c>
      <c r="F218" t="n">
        <v>5</v>
      </c>
      <c r="G218" s="29" t="n">
        <v>24715</v>
      </c>
    </row>
    <row r="219">
      <c r="A219" t="inlineStr">
        <is>
          <t>ENC111413</t>
        </is>
      </c>
      <c r="B219" t="inlineStr">
        <is>
          <t>Cedar Ridge</t>
        </is>
      </c>
      <c r="C219" s="28" t="n">
        <v>45681</v>
      </c>
      <c r="D219" t="n">
        <v>26</v>
      </c>
      <c r="E219" t="inlineStr">
        <is>
          <t>Respiratory</t>
        </is>
      </c>
      <c r="F219" t="n">
        <v>3</v>
      </c>
      <c r="G219" s="29" t="n">
        <v>11966.9</v>
      </c>
    </row>
    <row r="220">
      <c r="A220" t="inlineStr">
        <is>
          <t>ENC111476</t>
        </is>
      </c>
      <c r="B220" t="inlineStr">
        <is>
          <t>Cedar Ridge</t>
        </is>
      </c>
      <c r="C220" s="28" t="n">
        <v>45682</v>
      </c>
      <c r="D220" t="n">
        <v>97</v>
      </c>
      <c r="E220" t="inlineStr">
        <is>
          <t>Skin</t>
        </is>
      </c>
      <c r="F220" t="n">
        <v>3</v>
      </c>
      <c r="G220" s="29" t="n">
        <v>16840.92</v>
      </c>
    </row>
    <row r="221">
      <c r="A221" t="inlineStr">
        <is>
          <t>ENC111630</t>
        </is>
      </c>
      <c r="B221" t="inlineStr">
        <is>
          <t>Cedar Ridge</t>
        </is>
      </c>
      <c r="C221" s="28" t="n">
        <v>45687</v>
      </c>
      <c r="D221" t="n">
        <v>78</v>
      </c>
      <c r="E221" t="inlineStr">
        <is>
          <t>Endocrine</t>
        </is>
      </c>
      <c r="F221" t="n">
        <v>4</v>
      </c>
      <c r="G221" s="29" t="n">
        <v>23953.88</v>
      </c>
    </row>
    <row r="222">
      <c r="A222" t="inlineStr">
        <is>
          <t>ENC111612</t>
        </is>
      </c>
      <c r="B222" t="inlineStr">
        <is>
          <t>Cedar Ridge</t>
        </is>
      </c>
      <c r="C222" s="28" t="n">
        <v>45689</v>
      </c>
      <c r="D222" t="n">
        <v>65</v>
      </c>
      <c r="E222" t="inlineStr">
        <is>
          <t>Digestive</t>
        </is>
      </c>
      <c r="F222" t="n">
        <v>6</v>
      </c>
      <c r="G222" s="29" t="n">
        <v>69681.38</v>
      </c>
    </row>
    <row r="223">
      <c r="A223" t="inlineStr">
        <is>
          <t>ENC111939</t>
        </is>
      </c>
      <c r="B223" t="inlineStr">
        <is>
          <t>Cedar Ridge</t>
        </is>
      </c>
      <c r="C223" s="28" t="n">
        <v>45695</v>
      </c>
      <c r="D223" t="n">
        <v>24</v>
      </c>
      <c r="E223" t="inlineStr">
        <is>
          <t>Respiratory</t>
        </is>
      </c>
      <c r="F223" t="n">
        <v>3</v>
      </c>
      <c r="G223" s="29" t="n">
        <v>19094.89</v>
      </c>
    </row>
    <row r="224">
      <c r="A224" t="inlineStr">
        <is>
          <t>ENC111742</t>
        </is>
      </c>
      <c r="B224" t="inlineStr">
        <is>
          <t>Cedar Ridge</t>
        </is>
      </c>
      <c r="C224" s="28" t="n">
        <v>45696</v>
      </c>
      <c r="D224" t="n">
        <v>60</v>
      </c>
      <c r="E224" t="inlineStr">
        <is>
          <t>Respiratory</t>
        </is>
      </c>
      <c r="F224" t="n">
        <v>10</v>
      </c>
      <c r="G224" s="29" t="n">
        <v>40963.41</v>
      </c>
    </row>
    <row r="225">
      <c r="A225" t="inlineStr">
        <is>
          <t>ENC111918</t>
        </is>
      </c>
      <c r="B225" t="inlineStr">
        <is>
          <t>Cedar Ridge</t>
        </is>
      </c>
      <c r="C225" s="28" t="n">
        <v>45697</v>
      </c>
      <c r="D225" t="n">
        <v>39</v>
      </c>
      <c r="E225" t="inlineStr">
        <is>
          <t>Digestive</t>
        </is>
      </c>
      <c r="F225" t="n">
        <v>6</v>
      </c>
      <c r="G225" s="29" t="n">
        <v>59377.67</v>
      </c>
    </row>
    <row r="226">
      <c r="A226" t="inlineStr">
        <is>
          <t>ENC111984</t>
        </is>
      </c>
      <c r="B226" t="inlineStr">
        <is>
          <t>Cedar Ridge</t>
        </is>
      </c>
      <c r="C226" s="28" t="n">
        <v>45697</v>
      </c>
      <c r="D226" t="n">
        <v>21</v>
      </c>
      <c r="E226" t="inlineStr">
        <is>
          <t>Genitourinary</t>
        </is>
      </c>
      <c r="F226" t="n">
        <v>5</v>
      </c>
      <c r="G226" s="29" t="n">
        <v>26528.65</v>
      </c>
    </row>
    <row r="227">
      <c r="A227" t="inlineStr">
        <is>
          <t>ENC111998</t>
        </is>
      </c>
      <c r="B227" t="inlineStr">
        <is>
          <t>Cedar Ridge</t>
        </is>
      </c>
      <c r="C227" s="28" t="n">
        <v>45697</v>
      </c>
      <c r="D227" t="n">
        <v>63</v>
      </c>
      <c r="E227" t="inlineStr">
        <is>
          <t>Respiratory</t>
        </is>
      </c>
      <c r="F227" t="n">
        <v>4</v>
      </c>
      <c r="G227" s="29" t="n">
        <v>16331.88</v>
      </c>
    </row>
    <row r="228">
      <c r="A228" t="inlineStr">
        <is>
          <t>ENC112086</t>
        </is>
      </c>
      <c r="B228" t="inlineStr">
        <is>
          <t>Cedar Ridge</t>
        </is>
      </c>
      <c r="C228" s="28" t="n">
        <v>45698</v>
      </c>
      <c r="D228" t="n">
        <v>69</v>
      </c>
      <c r="E228" t="inlineStr">
        <is>
          <t>Musculoskeletal</t>
        </is>
      </c>
      <c r="F228" t="n">
        <v>3</v>
      </c>
      <c r="G228" s="29" t="n">
        <v>65582.95</v>
      </c>
    </row>
    <row r="229">
      <c r="A229" t="inlineStr">
        <is>
          <t>ENC112095</t>
        </is>
      </c>
      <c r="B229" t="inlineStr">
        <is>
          <t>Cedar Ridge</t>
        </is>
      </c>
      <c r="C229" s="28" t="n">
        <v>45698</v>
      </c>
      <c r="D229" t="n">
        <v>69</v>
      </c>
      <c r="E229" t="inlineStr">
        <is>
          <t>Circulatory</t>
        </is>
      </c>
      <c r="F229" t="n">
        <v>3</v>
      </c>
      <c r="G229" s="29" t="n">
        <v>20813.88</v>
      </c>
    </row>
    <row r="230">
      <c r="A230" t="inlineStr">
        <is>
          <t>ENC112083</t>
        </is>
      </c>
      <c r="B230" t="inlineStr">
        <is>
          <t>Cedar Ridge</t>
        </is>
      </c>
      <c r="C230" s="28" t="n">
        <v>45699</v>
      </c>
      <c r="D230" t="n">
        <v>28</v>
      </c>
      <c r="E230" t="inlineStr">
        <is>
          <t>Respiratory</t>
        </is>
      </c>
      <c r="F230" t="n">
        <v>4</v>
      </c>
      <c r="G230" s="29" t="n">
        <v>18730.23</v>
      </c>
    </row>
    <row r="231">
      <c r="A231" t="inlineStr">
        <is>
          <t>ENC112043</t>
        </is>
      </c>
      <c r="B231" t="inlineStr">
        <is>
          <t>Cedar Ridge</t>
        </is>
      </c>
      <c r="C231" s="28" t="n">
        <v>45700</v>
      </c>
      <c r="D231" t="n">
        <v>85</v>
      </c>
      <c r="E231" t="inlineStr">
        <is>
          <t>Circulatory</t>
        </is>
      </c>
      <c r="F231" t="n">
        <v>6</v>
      </c>
      <c r="G231" s="29" t="n">
        <v>29320.53</v>
      </c>
    </row>
    <row r="232">
      <c r="A232" t="inlineStr">
        <is>
          <t>ENC112112</t>
        </is>
      </c>
      <c r="B232" t="inlineStr">
        <is>
          <t>Cedar Ridge</t>
        </is>
      </c>
      <c r="C232" s="28" t="n">
        <v>45700</v>
      </c>
      <c r="D232" t="n">
        <v>78</v>
      </c>
      <c r="E232" t="inlineStr">
        <is>
          <t>Respiratory</t>
        </is>
      </c>
      <c r="F232" t="n">
        <v>5</v>
      </c>
      <c r="G232" s="29" t="n">
        <v>21661.68</v>
      </c>
    </row>
    <row r="233">
      <c r="A233" t="inlineStr">
        <is>
          <t>ENC112114</t>
        </is>
      </c>
      <c r="B233" t="inlineStr">
        <is>
          <t>Cedar Ridge</t>
        </is>
      </c>
      <c r="C233" s="28" t="n">
        <v>45700</v>
      </c>
      <c r="D233" t="n">
        <v>75</v>
      </c>
      <c r="E233" t="inlineStr">
        <is>
          <t>Respiratory</t>
        </is>
      </c>
      <c r="F233" t="n">
        <v>5</v>
      </c>
      <c r="G233" s="29" t="n">
        <v>21205.76</v>
      </c>
    </row>
    <row r="234">
      <c r="A234" t="inlineStr">
        <is>
          <t>ENC112174</t>
        </is>
      </c>
      <c r="B234" t="inlineStr">
        <is>
          <t>Cedar Ridge</t>
        </is>
      </c>
      <c r="C234" s="28" t="n">
        <v>45701</v>
      </c>
      <c r="D234" t="n">
        <v>74</v>
      </c>
      <c r="E234" t="inlineStr">
        <is>
          <t>Digestive</t>
        </is>
      </c>
      <c r="F234" t="n">
        <v>3</v>
      </c>
      <c r="G234" s="29" t="n">
        <v>32973.66</v>
      </c>
    </row>
    <row r="235">
      <c r="A235" t="inlineStr">
        <is>
          <t>ENC112189</t>
        </is>
      </c>
      <c r="B235" t="inlineStr">
        <is>
          <t>Cedar Ridge</t>
        </is>
      </c>
      <c r="C235" s="28" t="n">
        <v>45702</v>
      </c>
      <c r="D235" t="n">
        <v>62</v>
      </c>
      <c r="E235" t="inlineStr">
        <is>
          <t>Genitourinary</t>
        </is>
      </c>
      <c r="F235" t="n">
        <v>4</v>
      </c>
      <c r="G235" s="29" t="n">
        <v>29390.22</v>
      </c>
    </row>
    <row r="236">
      <c r="A236" t="inlineStr">
        <is>
          <t>ENC112202</t>
        </is>
      </c>
      <c r="B236" t="inlineStr">
        <is>
          <t>Cedar Ridge</t>
        </is>
      </c>
      <c r="C236" s="28" t="n">
        <v>45702</v>
      </c>
      <c r="D236" t="n">
        <v>49</v>
      </c>
      <c r="E236" t="inlineStr">
        <is>
          <t>Respiratory</t>
        </is>
      </c>
      <c r="F236" t="n">
        <v>3</v>
      </c>
      <c r="G236" s="29" t="n">
        <v>13292.98</v>
      </c>
    </row>
    <row r="237">
      <c r="A237" t="inlineStr">
        <is>
          <t>ENC111880</t>
        </is>
      </c>
      <c r="B237" t="inlineStr">
        <is>
          <t>Cedar Ridge</t>
        </is>
      </c>
      <c r="C237" s="28" t="n">
        <v>45703</v>
      </c>
      <c r="D237" t="n">
        <v>49</v>
      </c>
      <c r="E237" t="inlineStr">
        <is>
          <t>Infectious</t>
        </is>
      </c>
      <c r="F237" t="n">
        <v>13</v>
      </c>
      <c r="G237" s="29" t="n">
        <v>100929.04</v>
      </c>
    </row>
    <row r="238">
      <c r="A238" t="inlineStr">
        <is>
          <t>ENC112187</t>
        </is>
      </c>
      <c r="B238" t="inlineStr">
        <is>
          <t>Cedar Ridge</t>
        </is>
      </c>
      <c r="C238" s="28" t="n">
        <v>45703</v>
      </c>
      <c r="D238" t="n">
        <v>64</v>
      </c>
      <c r="E238" t="inlineStr">
        <is>
          <t>Respiratory</t>
        </is>
      </c>
      <c r="F238" t="n">
        <v>5</v>
      </c>
      <c r="G238" s="29" t="n">
        <v>9352.469999999999</v>
      </c>
    </row>
    <row r="239">
      <c r="A239" t="inlineStr">
        <is>
          <t>ENC112280</t>
        </is>
      </c>
      <c r="B239" t="inlineStr">
        <is>
          <t>Cedar Ridge</t>
        </is>
      </c>
      <c r="C239" s="28" t="n">
        <v>45705</v>
      </c>
      <c r="D239" t="n">
        <v>93</v>
      </c>
      <c r="E239" t="inlineStr">
        <is>
          <t>Respiratory</t>
        </is>
      </c>
      <c r="F239" t="n">
        <v>4</v>
      </c>
      <c r="G239" s="29" t="n">
        <v>16784.24</v>
      </c>
    </row>
    <row r="240">
      <c r="A240" t="inlineStr">
        <is>
          <t>ENC112310</t>
        </is>
      </c>
      <c r="B240" t="inlineStr">
        <is>
          <t>Cedar Ridge</t>
        </is>
      </c>
      <c r="C240" s="28" t="n">
        <v>45705</v>
      </c>
      <c r="D240" t="n">
        <v>26</v>
      </c>
      <c r="E240" t="inlineStr">
        <is>
          <t>Genitourinary</t>
        </is>
      </c>
      <c r="F240" t="n">
        <v>4</v>
      </c>
      <c r="G240" s="29" t="n">
        <v>25533.7</v>
      </c>
    </row>
    <row r="241">
      <c r="A241" t="inlineStr">
        <is>
          <t>ENC112439</t>
        </is>
      </c>
      <c r="B241" t="inlineStr">
        <is>
          <t>Cedar Ridge</t>
        </is>
      </c>
      <c r="C241" s="28" t="n">
        <v>45707</v>
      </c>
      <c r="D241" t="n">
        <v>61</v>
      </c>
      <c r="E241" t="inlineStr">
        <is>
          <t>Respiratory</t>
        </is>
      </c>
      <c r="F241" t="n">
        <v>2</v>
      </c>
      <c r="G241" s="29" t="n">
        <v>11654.5</v>
      </c>
    </row>
    <row r="242">
      <c r="A242" t="inlineStr">
        <is>
          <t>ENC112374</t>
        </is>
      </c>
      <c r="B242" t="inlineStr">
        <is>
          <t>Cedar Ridge</t>
        </is>
      </c>
      <c r="C242" s="28" t="n">
        <v>45708</v>
      </c>
      <c r="D242" t="n">
        <v>53</v>
      </c>
      <c r="E242" t="inlineStr">
        <is>
          <t>Respiratory</t>
        </is>
      </c>
      <c r="F242" t="n">
        <v>5</v>
      </c>
      <c r="G242" s="29" t="n">
        <v>18673.89</v>
      </c>
    </row>
    <row r="243">
      <c r="A243" t="inlineStr">
        <is>
          <t>ENC112425</t>
        </is>
      </c>
      <c r="B243" t="inlineStr">
        <is>
          <t>Cedar Ridge</t>
        </is>
      </c>
      <c r="C243" s="28" t="n">
        <v>45708</v>
      </c>
      <c r="D243" t="n">
        <v>46</v>
      </c>
      <c r="E243" t="inlineStr">
        <is>
          <t>Respiratory</t>
        </is>
      </c>
      <c r="F243" t="n">
        <v>3</v>
      </c>
      <c r="G243" s="29" t="n">
        <v>13882.72</v>
      </c>
    </row>
    <row r="244">
      <c r="A244" t="inlineStr">
        <is>
          <t>ENC112327</t>
        </is>
      </c>
      <c r="B244" t="inlineStr">
        <is>
          <t>Cedar Ridge</t>
        </is>
      </c>
      <c r="C244" s="28" t="n">
        <v>45709</v>
      </c>
      <c r="D244" t="n">
        <v>27</v>
      </c>
      <c r="E244" t="inlineStr">
        <is>
          <t>Infectious</t>
        </is>
      </c>
      <c r="F244" t="n">
        <v>8</v>
      </c>
      <c r="G244" s="29" t="n">
        <v>59051.46</v>
      </c>
    </row>
    <row r="245">
      <c r="A245" t="inlineStr">
        <is>
          <t>ENC112640</t>
        </is>
      </c>
      <c r="B245" t="inlineStr">
        <is>
          <t>Cedar Ridge</t>
        </is>
      </c>
      <c r="C245" s="28" t="n">
        <v>45715</v>
      </c>
      <c r="D245" t="n">
        <v>67</v>
      </c>
      <c r="E245" t="inlineStr">
        <is>
          <t>Circulatory</t>
        </is>
      </c>
      <c r="F245" t="n">
        <v>4</v>
      </c>
      <c r="G245" s="29" t="n">
        <v>85671.55</v>
      </c>
    </row>
    <row r="246">
      <c r="A246" t="inlineStr">
        <is>
          <t>ENC112879</t>
        </is>
      </c>
      <c r="B246" t="inlineStr">
        <is>
          <t>Cedar Ridge</t>
        </is>
      </c>
      <c r="C246" s="28" t="n">
        <v>45720</v>
      </c>
      <c r="D246" t="n">
        <v>69</v>
      </c>
      <c r="E246" t="inlineStr">
        <is>
          <t>Respiratory</t>
        </is>
      </c>
      <c r="F246" t="n">
        <v>2</v>
      </c>
      <c r="G246" s="29" t="n">
        <v>8174.27</v>
      </c>
    </row>
    <row r="247">
      <c r="A247" t="inlineStr">
        <is>
          <t>ENC112897</t>
        </is>
      </c>
      <c r="B247" t="inlineStr">
        <is>
          <t>Cedar Ridge</t>
        </is>
      </c>
      <c r="C247" s="28" t="n">
        <v>45720</v>
      </c>
      <c r="D247" t="n">
        <v>66</v>
      </c>
      <c r="E247" t="inlineStr">
        <is>
          <t>Musculoskeletal</t>
        </is>
      </c>
      <c r="F247" t="n">
        <v>1</v>
      </c>
      <c r="G247" s="29" t="n">
        <v>53158.98</v>
      </c>
    </row>
    <row r="248">
      <c r="A248" t="inlineStr">
        <is>
          <t>ENC112877</t>
        </is>
      </c>
      <c r="B248" t="inlineStr">
        <is>
          <t>Cedar Ridge</t>
        </is>
      </c>
      <c r="C248" s="28" t="n">
        <v>45722</v>
      </c>
      <c r="D248" t="n">
        <v>83</v>
      </c>
      <c r="E248" t="inlineStr">
        <is>
          <t>Respiratory</t>
        </is>
      </c>
      <c r="F248" t="n">
        <v>4</v>
      </c>
      <c r="G248" s="29" t="n">
        <v>25147.46</v>
      </c>
    </row>
    <row r="249">
      <c r="A249" t="inlineStr">
        <is>
          <t>ENC112896</t>
        </is>
      </c>
      <c r="B249" t="inlineStr">
        <is>
          <t>Cedar Ridge</t>
        </is>
      </c>
      <c r="C249" s="28" t="n">
        <v>45722</v>
      </c>
      <c r="D249" t="n">
        <v>67</v>
      </c>
      <c r="E249" t="inlineStr">
        <is>
          <t>Respiratory</t>
        </is>
      </c>
      <c r="F249" t="n">
        <v>3</v>
      </c>
      <c r="G249" s="29" t="n">
        <v>12754.32</v>
      </c>
    </row>
    <row r="250">
      <c r="A250" t="inlineStr">
        <is>
          <t>ENC112947</t>
        </is>
      </c>
      <c r="B250" t="inlineStr">
        <is>
          <t>Cedar Ridge</t>
        </is>
      </c>
      <c r="C250" s="28" t="n">
        <v>45723</v>
      </c>
      <c r="D250" t="n">
        <v>42</v>
      </c>
      <c r="E250" t="inlineStr">
        <is>
          <t>Genitourinary</t>
        </is>
      </c>
      <c r="F250" t="n">
        <v>3</v>
      </c>
      <c r="G250" s="29" t="n">
        <v>12119.24</v>
      </c>
    </row>
    <row r="251">
      <c r="A251" t="inlineStr">
        <is>
          <t>ENC112860</t>
        </is>
      </c>
      <c r="B251" t="inlineStr">
        <is>
          <t>Cedar Ridge</t>
        </is>
      </c>
      <c r="C251" s="28" t="n">
        <v>45724</v>
      </c>
      <c r="D251" t="n">
        <v>45</v>
      </c>
      <c r="E251" t="inlineStr">
        <is>
          <t>Circulatory</t>
        </is>
      </c>
      <c r="F251" t="n">
        <v>7</v>
      </c>
      <c r="G251" s="29" t="n">
        <v>61046.78</v>
      </c>
    </row>
    <row r="252">
      <c r="A252" t="inlineStr">
        <is>
          <t>ENC112916</t>
        </is>
      </c>
      <c r="B252" t="inlineStr">
        <is>
          <t>Cedar Ridge</t>
        </is>
      </c>
      <c r="C252" s="28" t="n">
        <v>45724</v>
      </c>
      <c r="D252" t="n">
        <v>67</v>
      </c>
      <c r="E252" t="inlineStr">
        <is>
          <t>Mental &amp; Behavioral</t>
        </is>
      </c>
      <c r="F252" t="n">
        <v>5</v>
      </c>
      <c r="G252" s="29" t="n">
        <v>15988.66</v>
      </c>
    </row>
    <row r="253">
      <c r="A253" t="inlineStr">
        <is>
          <t>ENC112958</t>
        </is>
      </c>
      <c r="B253" t="inlineStr">
        <is>
          <t>Cedar Ridge</t>
        </is>
      </c>
      <c r="C253" s="28" t="n">
        <v>45726</v>
      </c>
      <c r="D253" t="n">
        <v>89</v>
      </c>
      <c r="E253" t="inlineStr">
        <is>
          <t>Genitourinary</t>
        </is>
      </c>
      <c r="F253" t="n">
        <v>5</v>
      </c>
      <c r="G253" s="29" t="n">
        <v>18510.73</v>
      </c>
    </row>
    <row r="254">
      <c r="A254" t="inlineStr">
        <is>
          <t>ENC113081</t>
        </is>
      </c>
      <c r="B254" t="inlineStr">
        <is>
          <t>Cedar Ridge</t>
        </is>
      </c>
      <c r="C254" s="28" t="n">
        <v>45729</v>
      </c>
      <c r="D254" t="n">
        <v>34</v>
      </c>
      <c r="E254" t="inlineStr">
        <is>
          <t>Respiratory</t>
        </is>
      </c>
      <c r="F254" t="n">
        <v>4</v>
      </c>
      <c r="G254" s="29" t="n">
        <v>19677.55</v>
      </c>
    </row>
    <row r="255">
      <c r="A255" t="inlineStr">
        <is>
          <t>ENC113070</t>
        </is>
      </c>
      <c r="B255" t="inlineStr">
        <is>
          <t>Cedar Ridge</t>
        </is>
      </c>
      <c r="C255" s="28" t="n">
        <v>45730</v>
      </c>
      <c r="D255" t="n">
        <v>40</v>
      </c>
      <c r="E255" t="inlineStr">
        <is>
          <t>Endocrine</t>
        </is>
      </c>
      <c r="F255" t="n">
        <v>6</v>
      </c>
      <c r="G255" s="29" t="n">
        <v>25944.82</v>
      </c>
    </row>
    <row r="256">
      <c r="A256" t="inlineStr">
        <is>
          <t>ENC113150</t>
        </is>
      </c>
      <c r="B256" t="inlineStr">
        <is>
          <t>Cedar Ridge</t>
        </is>
      </c>
      <c r="C256" s="28" t="n">
        <v>45730</v>
      </c>
      <c r="D256" t="n">
        <v>78</v>
      </c>
      <c r="E256" t="inlineStr">
        <is>
          <t>Endocrine</t>
        </is>
      </c>
      <c r="F256" t="n">
        <v>3</v>
      </c>
      <c r="G256" s="29" t="n">
        <v>18627.42</v>
      </c>
    </row>
    <row r="257">
      <c r="A257" t="inlineStr">
        <is>
          <t>ENC113181</t>
        </is>
      </c>
      <c r="B257" t="inlineStr">
        <is>
          <t>Cedar Ridge</t>
        </is>
      </c>
      <c r="C257" s="28" t="n">
        <v>45731</v>
      </c>
      <c r="D257" t="n">
        <v>52</v>
      </c>
      <c r="E257" t="inlineStr">
        <is>
          <t>Mental &amp; Behavioral</t>
        </is>
      </c>
      <c r="F257" t="n">
        <v>3</v>
      </c>
      <c r="G257" s="29" t="n">
        <v>18049.28</v>
      </c>
    </row>
    <row r="258">
      <c r="A258" t="inlineStr">
        <is>
          <t>ENC113182</t>
        </is>
      </c>
      <c r="B258" t="inlineStr">
        <is>
          <t>Cedar Ridge</t>
        </is>
      </c>
      <c r="C258" s="28" t="n">
        <v>45731</v>
      </c>
      <c r="D258" t="n">
        <v>68</v>
      </c>
      <c r="E258" t="inlineStr">
        <is>
          <t>Endocrine</t>
        </is>
      </c>
      <c r="F258" t="n">
        <v>3</v>
      </c>
      <c r="G258" s="29" t="n">
        <v>8325.09</v>
      </c>
    </row>
    <row r="259">
      <c r="A259" t="inlineStr">
        <is>
          <t>ENC112749</t>
        </is>
      </c>
      <c r="B259" t="inlineStr">
        <is>
          <t>Cedar Ridge</t>
        </is>
      </c>
      <c r="C259" s="28" t="n">
        <v>45733</v>
      </c>
      <c r="D259" t="n">
        <v>63</v>
      </c>
      <c r="E259" t="inlineStr">
        <is>
          <t>Respiratory</t>
        </is>
      </c>
      <c r="F259" t="n">
        <v>19</v>
      </c>
      <c r="G259" s="29" t="n">
        <v>167509.41</v>
      </c>
    </row>
    <row r="260">
      <c r="A260" t="inlineStr">
        <is>
          <t>ENC113210</t>
        </is>
      </c>
      <c r="B260" t="inlineStr">
        <is>
          <t>Cedar Ridge</t>
        </is>
      </c>
      <c r="C260" s="28" t="n">
        <v>45733</v>
      </c>
      <c r="D260" t="n">
        <v>6</v>
      </c>
      <c r="E260" t="inlineStr">
        <is>
          <t>Respiratory</t>
        </is>
      </c>
      <c r="F260" t="n">
        <v>5</v>
      </c>
      <c r="G260" s="29" t="n">
        <v>19938.06</v>
      </c>
    </row>
    <row r="261">
      <c r="A261" t="inlineStr">
        <is>
          <t>ENC113160</t>
        </is>
      </c>
      <c r="B261" t="inlineStr">
        <is>
          <t>Cedar Ridge</t>
        </is>
      </c>
      <c r="C261" s="28" t="n">
        <v>45734</v>
      </c>
      <c r="D261" t="n">
        <v>41</v>
      </c>
      <c r="E261" t="inlineStr">
        <is>
          <t>Genitourinary</t>
        </is>
      </c>
      <c r="F261" t="n">
        <v>7</v>
      </c>
      <c r="G261" s="29" t="n">
        <v>40387.75</v>
      </c>
    </row>
    <row r="262">
      <c r="A262" t="inlineStr">
        <is>
          <t>ENC113212</t>
        </is>
      </c>
      <c r="B262" t="inlineStr">
        <is>
          <t>Cedar Ridge</t>
        </is>
      </c>
      <c r="C262" s="28" t="n">
        <v>45735</v>
      </c>
      <c r="D262" t="n">
        <v>65</v>
      </c>
      <c r="E262" t="inlineStr">
        <is>
          <t>Injury</t>
        </is>
      </c>
      <c r="F262" t="n">
        <v>7</v>
      </c>
      <c r="G262" s="29" t="n">
        <v>74763.66</v>
      </c>
    </row>
    <row r="263">
      <c r="A263" t="inlineStr">
        <is>
          <t>ENC113360</t>
        </is>
      </c>
      <c r="B263" t="inlineStr">
        <is>
          <t>Cedar Ridge</t>
        </is>
      </c>
      <c r="C263" s="28" t="n">
        <v>45737</v>
      </c>
      <c r="D263" t="n">
        <v>67</v>
      </c>
      <c r="E263" t="inlineStr">
        <is>
          <t>Respiratory</t>
        </is>
      </c>
      <c r="F263" t="n">
        <v>4</v>
      </c>
      <c r="G263" s="29" t="n">
        <v>18348.99</v>
      </c>
    </row>
    <row r="264">
      <c r="A264" t="inlineStr">
        <is>
          <t>ENC113184</t>
        </is>
      </c>
      <c r="B264" t="inlineStr">
        <is>
          <t>Cedar Ridge</t>
        </is>
      </c>
      <c r="C264" s="28" t="n">
        <v>45738</v>
      </c>
      <c r="D264" t="n">
        <v>79</v>
      </c>
      <c r="E264" t="inlineStr">
        <is>
          <t>Infectious</t>
        </is>
      </c>
      <c r="F264" t="n">
        <v>10</v>
      </c>
      <c r="G264" s="29" t="n">
        <v>72720.09</v>
      </c>
    </row>
    <row r="265">
      <c r="A265" t="inlineStr">
        <is>
          <t>ENC113406</t>
        </is>
      </c>
      <c r="B265" t="inlineStr">
        <is>
          <t>Cedar Ridge</t>
        </is>
      </c>
      <c r="C265" s="28" t="n">
        <v>45739</v>
      </c>
      <c r="D265" t="n">
        <v>70</v>
      </c>
      <c r="E265" t="inlineStr">
        <is>
          <t>Endocrine</t>
        </is>
      </c>
      <c r="F265" t="n">
        <v>4</v>
      </c>
      <c r="G265" s="29" t="n">
        <v>20629.79</v>
      </c>
    </row>
    <row r="266">
      <c r="A266" t="inlineStr">
        <is>
          <t>ENC113485</t>
        </is>
      </c>
      <c r="B266" t="inlineStr">
        <is>
          <t>Cedar Ridge</t>
        </is>
      </c>
      <c r="C266" s="28" t="n">
        <v>45740</v>
      </c>
      <c r="D266" t="n">
        <v>78</v>
      </c>
      <c r="E266" t="inlineStr">
        <is>
          <t>Infectious</t>
        </is>
      </c>
      <c r="F266" t="n">
        <v>3</v>
      </c>
      <c r="G266" s="29" t="n">
        <v>23886.8</v>
      </c>
    </row>
    <row r="267">
      <c r="A267" t="inlineStr">
        <is>
          <t>ENC113552</t>
        </is>
      </c>
      <c r="B267" t="inlineStr">
        <is>
          <t>Cedar Ridge</t>
        </is>
      </c>
      <c r="C267" s="28" t="n">
        <v>45742</v>
      </c>
      <c r="D267" t="n">
        <v>77</v>
      </c>
      <c r="E267" t="inlineStr">
        <is>
          <t>Endocrine</t>
        </is>
      </c>
      <c r="F267" t="n">
        <v>2</v>
      </c>
      <c r="G267" s="29" t="n">
        <v>18398.1</v>
      </c>
    </row>
    <row r="268">
      <c r="A268" t="inlineStr">
        <is>
          <t>ENC113595</t>
        </is>
      </c>
      <c r="B268" t="inlineStr">
        <is>
          <t>Cedar Ridge</t>
        </is>
      </c>
      <c r="C268" s="28" t="n">
        <v>45748</v>
      </c>
      <c r="D268" t="n">
        <v>67</v>
      </c>
      <c r="E268" t="inlineStr">
        <is>
          <t>Infectious</t>
        </is>
      </c>
      <c r="F268" t="n">
        <v>8</v>
      </c>
      <c r="G268" s="29" t="n">
        <v>58412.34</v>
      </c>
    </row>
    <row r="269">
      <c r="A269" t="inlineStr">
        <is>
          <t>ENC113754</t>
        </is>
      </c>
      <c r="B269" t="inlineStr">
        <is>
          <t>Cedar Ridge</t>
        </is>
      </c>
      <c r="C269" s="28" t="n">
        <v>45748</v>
      </c>
      <c r="D269" t="n">
        <v>77</v>
      </c>
      <c r="E269" t="inlineStr">
        <is>
          <t>Endocrine</t>
        </is>
      </c>
      <c r="F269" t="n">
        <v>3</v>
      </c>
      <c r="G269" s="29" t="n">
        <v>17060.24</v>
      </c>
    </row>
    <row r="270">
      <c r="A270" t="inlineStr">
        <is>
          <t>ENC113837</t>
        </is>
      </c>
      <c r="B270" t="inlineStr">
        <is>
          <t>Cedar Ridge</t>
        </is>
      </c>
      <c r="C270" s="28" t="n">
        <v>45751</v>
      </c>
      <c r="D270" t="n">
        <v>53</v>
      </c>
      <c r="E270" t="inlineStr">
        <is>
          <t>Genitourinary</t>
        </is>
      </c>
      <c r="F270" t="n">
        <v>3</v>
      </c>
      <c r="G270" s="29" t="n">
        <v>13506.34</v>
      </c>
    </row>
    <row r="271">
      <c r="A271" t="inlineStr">
        <is>
          <t>ENC113886</t>
        </is>
      </c>
      <c r="B271" t="inlineStr">
        <is>
          <t>Cedar Ridge</t>
        </is>
      </c>
      <c r="C271" s="28" t="n">
        <v>45751</v>
      </c>
      <c r="D271" t="n">
        <v>69</v>
      </c>
      <c r="E271" t="inlineStr">
        <is>
          <t>Musculoskeletal</t>
        </is>
      </c>
      <c r="F271" t="n">
        <v>1</v>
      </c>
      <c r="G271" s="29" t="n">
        <v>34369.86</v>
      </c>
    </row>
    <row r="272">
      <c r="A272" t="inlineStr">
        <is>
          <t>ENC114010</t>
        </is>
      </c>
      <c r="B272" t="inlineStr">
        <is>
          <t>Cedar Ridge</t>
        </is>
      </c>
      <c r="C272" s="28" t="n">
        <v>45757</v>
      </c>
      <c r="D272" t="n">
        <v>94</v>
      </c>
      <c r="E272" t="inlineStr">
        <is>
          <t>Skin</t>
        </is>
      </c>
      <c r="F272" t="n">
        <v>3</v>
      </c>
      <c r="G272" s="29" t="n">
        <v>9104.09</v>
      </c>
    </row>
    <row r="273">
      <c r="A273" t="inlineStr">
        <is>
          <t>ENC114032</t>
        </is>
      </c>
      <c r="B273" t="inlineStr">
        <is>
          <t>Cedar Ridge</t>
        </is>
      </c>
      <c r="C273" s="28" t="n">
        <v>45759</v>
      </c>
      <c r="D273" t="n">
        <v>70</v>
      </c>
      <c r="E273" t="inlineStr">
        <is>
          <t>Respiratory</t>
        </is>
      </c>
      <c r="F273" t="n">
        <v>4</v>
      </c>
      <c r="G273" s="29" t="n">
        <v>30242.85</v>
      </c>
    </row>
    <row r="274">
      <c r="A274" t="inlineStr">
        <is>
          <t>ENC114160</t>
        </is>
      </c>
      <c r="B274" t="inlineStr">
        <is>
          <t>Cedar Ridge</t>
        </is>
      </c>
      <c r="C274" s="28" t="n">
        <v>45762</v>
      </c>
      <c r="D274" t="n">
        <v>39</v>
      </c>
      <c r="E274" t="inlineStr">
        <is>
          <t>Skin</t>
        </is>
      </c>
      <c r="F274" t="n">
        <v>2</v>
      </c>
      <c r="G274" s="29" t="n">
        <v>12962.8</v>
      </c>
    </row>
    <row r="275">
      <c r="A275" t="inlineStr">
        <is>
          <t>ENC114037</t>
        </is>
      </c>
      <c r="B275" t="inlineStr">
        <is>
          <t>Cedar Ridge</t>
        </is>
      </c>
      <c r="C275" s="28" t="n">
        <v>45763</v>
      </c>
      <c r="D275" t="n">
        <v>69</v>
      </c>
      <c r="E275" t="inlineStr">
        <is>
          <t>Circulatory</t>
        </is>
      </c>
      <c r="F275" t="n">
        <v>8</v>
      </c>
      <c r="G275" s="29" t="n">
        <v>45071.69</v>
      </c>
    </row>
    <row r="276">
      <c r="A276" t="inlineStr">
        <is>
          <t>ENC114057</t>
        </is>
      </c>
      <c r="B276" t="inlineStr">
        <is>
          <t>Cedar Ridge</t>
        </is>
      </c>
      <c r="C276" s="28" t="n">
        <v>45763</v>
      </c>
      <c r="D276" t="n">
        <v>45</v>
      </c>
      <c r="E276" t="inlineStr">
        <is>
          <t>Respiratory</t>
        </is>
      </c>
      <c r="F276" t="n">
        <v>7</v>
      </c>
      <c r="G276" s="29" t="n">
        <v>108791.28</v>
      </c>
    </row>
    <row r="277">
      <c r="A277" t="inlineStr">
        <is>
          <t>ENC114097</t>
        </is>
      </c>
      <c r="B277" t="inlineStr">
        <is>
          <t>Cedar Ridge</t>
        </is>
      </c>
      <c r="C277" s="28" t="n">
        <v>45763</v>
      </c>
      <c r="D277" t="n">
        <v>47</v>
      </c>
      <c r="E277" t="inlineStr">
        <is>
          <t>Digestive</t>
        </is>
      </c>
      <c r="F277" t="n">
        <v>5</v>
      </c>
      <c r="G277" s="29" t="n">
        <v>28998.15</v>
      </c>
    </row>
    <row r="278">
      <c r="A278" t="inlineStr">
        <is>
          <t>ENC114130</t>
        </is>
      </c>
      <c r="B278" t="inlineStr">
        <is>
          <t>Cedar Ridge</t>
        </is>
      </c>
      <c r="C278" s="28" t="n">
        <v>45763</v>
      </c>
      <c r="D278" t="n">
        <v>43</v>
      </c>
      <c r="E278" t="inlineStr">
        <is>
          <t>Circulatory</t>
        </is>
      </c>
      <c r="F278" t="n">
        <v>5</v>
      </c>
      <c r="G278" s="29" t="n">
        <v>58213.41</v>
      </c>
    </row>
    <row r="279">
      <c r="A279" t="inlineStr">
        <is>
          <t>ENC113883</t>
        </is>
      </c>
      <c r="B279" t="inlineStr">
        <is>
          <t>Cedar Ridge</t>
        </is>
      </c>
      <c r="C279" s="28" t="n">
        <v>45764</v>
      </c>
      <c r="D279" t="n">
        <v>17</v>
      </c>
      <c r="E279" t="inlineStr">
        <is>
          <t>Respiratory</t>
        </is>
      </c>
      <c r="F279" t="n">
        <v>14</v>
      </c>
      <c r="G279" s="29" t="n">
        <v>34781.25</v>
      </c>
    </row>
    <row r="280">
      <c r="A280" t="inlineStr">
        <is>
          <t>ENC114133</t>
        </is>
      </c>
      <c r="B280" t="inlineStr">
        <is>
          <t>Cedar Ridge</t>
        </is>
      </c>
      <c r="C280" s="28" t="n">
        <v>45764</v>
      </c>
      <c r="D280" t="n">
        <v>30</v>
      </c>
      <c r="E280" t="inlineStr">
        <is>
          <t>Respiratory</t>
        </is>
      </c>
      <c r="F280" t="n">
        <v>5</v>
      </c>
      <c r="G280" s="29" t="n">
        <v>20910.69</v>
      </c>
    </row>
    <row r="281">
      <c r="A281" t="inlineStr">
        <is>
          <t>ENC114199</t>
        </is>
      </c>
      <c r="B281" t="inlineStr">
        <is>
          <t>Cedar Ridge</t>
        </is>
      </c>
      <c r="C281" s="28" t="n">
        <v>45764</v>
      </c>
      <c r="D281" t="n">
        <v>52</v>
      </c>
      <c r="E281" t="inlineStr">
        <is>
          <t>Digestive</t>
        </is>
      </c>
      <c r="F281" t="n">
        <v>3</v>
      </c>
      <c r="G281" s="29" t="n">
        <v>23441.65</v>
      </c>
    </row>
    <row r="282">
      <c r="A282" t="inlineStr">
        <is>
          <t>ENC114200</t>
        </is>
      </c>
      <c r="B282" t="inlineStr">
        <is>
          <t>Cedar Ridge</t>
        </is>
      </c>
      <c r="C282" s="28" t="n">
        <v>45767</v>
      </c>
      <c r="D282" t="n">
        <v>91</v>
      </c>
      <c r="E282" t="inlineStr">
        <is>
          <t>Circulatory</t>
        </is>
      </c>
      <c r="F282" t="n">
        <v>6</v>
      </c>
      <c r="G282" s="29" t="n">
        <v>31102.22</v>
      </c>
    </row>
    <row r="283">
      <c r="A283" t="inlineStr">
        <is>
          <t>ENC114294</t>
        </is>
      </c>
      <c r="B283" t="inlineStr">
        <is>
          <t>Cedar Ridge</t>
        </is>
      </c>
      <c r="C283" s="28" t="n">
        <v>45767</v>
      </c>
      <c r="D283" t="n">
        <v>48</v>
      </c>
      <c r="E283" t="inlineStr">
        <is>
          <t>Circulatory</t>
        </is>
      </c>
      <c r="F283" t="n">
        <v>3</v>
      </c>
      <c r="G283" s="29" t="n">
        <v>53743.43</v>
      </c>
    </row>
    <row r="284">
      <c r="A284" t="inlineStr">
        <is>
          <t>ENC114305</t>
        </is>
      </c>
      <c r="B284" t="inlineStr">
        <is>
          <t>Cedar Ridge</t>
        </is>
      </c>
      <c r="C284" s="28" t="n">
        <v>45767</v>
      </c>
      <c r="D284" t="n">
        <v>60</v>
      </c>
      <c r="E284" t="inlineStr">
        <is>
          <t>Genitourinary</t>
        </is>
      </c>
      <c r="F284" t="n">
        <v>2</v>
      </c>
      <c r="G284" s="29" t="n">
        <v>10495.25</v>
      </c>
    </row>
    <row r="285">
      <c r="A285" t="inlineStr">
        <is>
          <t>ENC114306</t>
        </is>
      </c>
      <c r="B285" t="inlineStr">
        <is>
          <t>Cedar Ridge</t>
        </is>
      </c>
      <c r="C285" s="28" t="n">
        <v>45768</v>
      </c>
      <c r="D285" t="n">
        <v>60</v>
      </c>
      <c r="E285" t="inlineStr">
        <is>
          <t>Genitourinary</t>
        </is>
      </c>
      <c r="F285" t="n">
        <v>3</v>
      </c>
      <c r="G285" s="29" t="n">
        <v>16428.43</v>
      </c>
    </row>
    <row r="286">
      <c r="A286" t="inlineStr">
        <is>
          <t>ENC114331</t>
        </is>
      </c>
      <c r="B286" t="inlineStr">
        <is>
          <t>Cedar Ridge</t>
        </is>
      </c>
      <c r="C286" s="28" t="n">
        <v>45770</v>
      </c>
      <c r="D286" t="n">
        <v>90</v>
      </c>
      <c r="E286" t="inlineStr">
        <is>
          <t>Circulatory</t>
        </is>
      </c>
      <c r="F286" t="n">
        <v>5</v>
      </c>
      <c r="G286" s="29" t="n">
        <v>54230.09</v>
      </c>
    </row>
    <row r="287">
      <c r="A287" t="inlineStr">
        <is>
          <t>ENC114350</t>
        </is>
      </c>
      <c r="B287" t="inlineStr">
        <is>
          <t>Cedar Ridge</t>
        </is>
      </c>
      <c r="C287" s="28" t="n">
        <v>45770</v>
      </c>
      <c r="D287" t="n">
        <v>48</v>
      </c>
      <c r="E287" t="inlineStr">
        <is>
          <t>Circulatory</t>
        </is>
      </c>
      <c r="F287" t="n">
        <v>3</v>
      </c>
      <c r="G287" s="29" t="n">
        <v>57381.04</v>
      </c>
    </row>
    <row r="288">
      <c r="A288" t="inlineStr">
        <is>
          <t>ENC114381</t>
        </is>
      </c>
      <c r="B288" t="inlineStr">
        <is>
          <t>Cedar Ridge</t>
        </is>
      </c>
      <c r="C288" s="28" t="n">
        <v>45771</v>
      </c>
      <c r="D288" t="n">
        <v>53</v>
      </c>
      <c r="E288" t="inlineStr">
        <is>
          <t>Digestive</t>
        </is>
      </c>
      <c r="F288" t="n">
        <v>3</v>
      </c>
      <c r="G288" s="29" t="n">
        <v>26039.53</v>
      </c>
    </row>
    <row r="289">
      <c r="A289" t="inlineStr">
        <is>
          <t>ENC114348</t>
        </is>
      </c>
      <c r="B289" t="inlineStr">
        <is>
          <t>Cedar Ridge</t>
        </is>
      </c>
      <c r="C289" s="28" t="n">
        <v>45773</v>
      </c>
      <c r="D289" t="n">
        <v>70</v>
      </c>
      <c r="E289" t="inlineStr">
        <is>
          <t>Infectious</t>
        </is>
      </c>
      <c r="F289" t="n">
        <v>6</v>
      </c>
      <c r="G289" s="29" t="n">
        <v>73700.32000000001</v>
      </c>
    </row>
    <row r="290">
      <c r="A290" t="inlineStr">
        <is>
          <t>ENC114455</t>
        </is>
      </c>
      <c r="B290" t="inlineStr">
        <is>
          <t>Cedar Ridge</t>
        </is>
      </c>
      <c r="C290" s="28" t="n">
        <v>45773</v>
      </c>
      <c r="D290" t="n">
        <v>48</v>
      </c>
      <c r="E290" t="inlineStr">
        <is>
          <t>Circulatory</t>
        </is>
      </c>
      <c r="F290" t="n">
        <v>3</v>
      </c>
      <c r="G290" s="29" t="n">
        <v>42195.12</v>
      </c>
    </row>
    <row r="291">
      <c r="A291" t="inlineStr">
        <is>
          <t>ENC114472</t>
        </is>
      </c>
      <c r="B291" t="inlineStr">
        <is>
          <t>Cedar Ridge</t>
        </is>
      </c>
      <c r="C291" s="28" t="n">
        <v>45773</v>
      </c>
      <c r="D291" t="n">
        <v>51</v>
      </c>
      <c r="E291" t="inlineStr">
        <is>
          <t>Endocrine</t>
        </is>
      </c>
      <c r="F291" t="n">
        <v>3</v>
      </c>
      <c r="G291" s="29" t="n">
        <v>17207.92</v>
      </c>
    </row>
    <row r="292">
      <c r="A292" t="inlineStr">
        <is>
          <t>ENC114387</t>
        </is>
      </c>
      <c r="B292" t="inlineStr">
        <is>
          <t>Cedar Ridge</t>
        </is>
      </c>
      <c r="C292" s="28" t="n">
        <v>45774</v>
      </c>
      <c r="D292" t="n">
        <v>75</v>
      </c>
      <c r="E292" t="inlineStr">
        <is>
          <t>Respiratory</t>
        </is>
      </c>
      <c r="F292" t="n">
        <v>6</v>
      </c>
      <c r="G292" s="29" t="n">
        <v>28332.51</v>
      </c>
    </row>
    <row r="293">
      <c r="A293" t="inlineStr">
        <is>
          <t>ENC114445</t>
        </is>
      </c>
      <c r="B293" t="inlineStr">
        <is>
          <t>Cedar Ridge</t>
        </is>
      </c>
      <c r="C293" s="28" t="n">
        <v>45775</v>
      </c>
      <c r="D293" t="n">
        <v>23</v>
      </c>
      <c r="E293" t="inlineStr">
        <is>
          <t>Infectious</t>
        </is>
      </c>
      <c r="F293" t="n">
        <v>5</v>
      </c>
      <c r="G293" s="29" t="n">
        <v>50626.36</v>
      </c>
    </row>
    <row r="294">
      <c r="A294" t="inlineStr">
        <is>
          <t>ENC114492</t>
        </is>
      </c>
      <c r="B294" t="inlineStr">
        <is>
          <t>Cedar Ridge</t>
        </is>
      </c>
      <c r="C294" s="28" t="n">
        <v>45776</v>
      </c>
      <c r="D294" t="n">
        <v>37</v>
      </c>
      <c r="E294" t="inlineStr">
        <is>
          <t>Infectious</t>
        </is>
      </c>
      <c r="F294" t="n">
        <v>5</v>
      </c>
      <c r="G294" s="29" t="n">
        <v>32623.3</v>
      </c>
    </row>
    <row r="295">
      <c r="A295" t="inlineStr">
        <is>
          <t>ENC114544</t>
        </is>
      </c>
      <c r="B295" t="inlineStr">
        <is>
          <t>Cedar Ridge</t>
        </is>
      </c>
      <c r="C295" s="28" t="n">
        <v>45776</v>
      </c>
      <c r="D295" t="n">
        <v>91</v>
      </c>
      <c r="E295" t="inlineStr">
        <is>
          <t>Circulatory</t>
        </is>
      </c>
      <c r="F295" t="n">
        <v>3</v>
      </c>
      <c r="G295" s="29" t="n">
        <v>13416.9</v>
      </c>
    </row>
    <row r="296">
      <c r="A296" t="inlineStr">
        <is>
          <t>ENC114652</t>
        </is>
      </c>
      <c r="B296" t="inlineStr">
        <is>
          <t>Cedar Ridge</t>
        </is>
      </c>
      <c r="C296" s="28" t="n">
        <v>45780</v>
      </c>
      <c r="D296" t="n">
        <v>77</v>
      </c>
      <c r="E296" t="inlineStr">
        <is>
          <t>Genitourinary</t>
        </is>
      </c>
      <c r="F296" t="n">
        <v>2</v>
      </c>
      <c r="G296" s="29" t="n">
        <v>7431.79</v>
      </c>
    </row>
    <row r="297">
      <c r="A297" t="inlineStr">
        <is>
          <t>ENC114437</t>
        </is>
      </c>
      <c r="B297" t="inlineStr">
        <is>
          <t>Cedar Ridge</t>
        </is>
      </c>
      <c r="C297" s="28" t="n">
        <v>45781</v>
      </c>
      <c r="D297" t="n">
        <v>87</v>
      </c>
      <c r="E297" t="inlineStr">
        <is>
          <t>Respiratory</t>
        </is>
      </c>
      <c r="F297" t="n">
        <v>11</v>
      </c>
      <c r="G297" s="29" t="n">
        <v>41297.66</v>
      </c>
    </row>
    <row r="298">
      <c r="A298" t="inlineStr">
        <is>
          <t>ENC114747</t>
        </is>
      </c>
      <c r="B298" t="inlineStr">
        <is>
          <t>Cedar Ridge</t>
        </is>
      </c>
      <c r="C298" s="28" t="n">
        <v>45784</v>
      </c>
      <c r="D298" t="n">
        <v>75</v>
      </c>
      <c r="E298" t="inlineStr">
        <is>
          <t>Respiratory</t>
        </is>
      </c>
      <c r="F298" t="n">
        <v>3</v>
      </c>
      <c r="G298" s="29" t="n">
        <v>14779.55</v>
      </c>
    </row>
    <row r="299">
      <c r="A299" t="inlineStr">
        <is>
          <t>ENC114667</t>
        </is>
      </c>
      <c r="B299" t="inlineStr">
        <is>
          <t>Cedar Ridge</t>
        </is>
      </c>
      <c r="C299" s="28" t="n">
        <v>45785</v>
      </c>
      <c r="D299" t="n">
        <v>93</v>
      </c>
      <c r="E299" t="inlineStr">
        <is>
          <t>Circulatory</t>
        </is>
      </c>
      <c r="F299" t="n">
        <v>7</v>
      </c>
      <c r="G299" s="29" t="n">
        <v>48296.67</v>
      </c>
    </row>
    <row r="300">
      <c r="A300" t="inlineStr">
        <is>
          <t>ENC114745</t>
        </is>
      </c>
      <c r="B300" t="inlineStr">
        <is>
          <t>Cedar Ridge</t>
        </is>
      </c>
      <c r="C300" s="28" t="n">
        <v>45788</v>
      </c>
      <c r="D300" t="n">
        <v>76</v>
      </c>
      <c r="E300" t="inlineStr">
        <is>
          <t>Respiratory</t>
        </is>
      </c>
      <c r="F300" t="n">
        <v>7</v>
      </c>
      <c r="G300" s="29" t="n">
        <v>25360.94</v>
      </c>
    </row>
    <row r="301">
      <c r="A301" t="inlineStr">
        <is>
          <t>ENC114929</t>
        </is>
      </c>
      <c r="B301" t="inlineStr">
        <is>
          <t>Cedar Ridge</t>
        </is>
      </c>
      <c r="C301" s="28" t="n">
        <v>45788</v>
      </c>
      <c r="D301" t="n">
        <v>75</v>
      </c>
      <c r="E301" t="inlineStr">
        <is>
          <t>Skin</t>
        </is>
      </c>
      <c r="F301" t="n">
        <v>2</v>
      </c>
      <c r="G301" s="29" t="n">
        <v>18234.76</v>
      </c>
    </row>
    <row r="302">
      <c r="A302" t="inlineStr">
        <is>
          <t>ENC114976</t>
        </is>
      </c>
      <c r="B302" t="inlineStr">
        <is>
          <t>Cedar Ridge</t>
        </is>
      </c>
      <c r="C302" s="28" t="n">
        <v>45792</v>
      </c>
      <c r="D302" t="n">
        <v>75</v>
      </c>
      <c r="E302" t="inlineStr">
        <is>
          <t>Endocrine</t>
        </is>
      </c>
      <c r="F302" t="n">
        <v>3</v>
      </c>
      <c r="G302" s="29" t="n">
        <v>12253.64</v>
      </c>
    </row>
    <row r="303">
      <c r="A303" t="inlineStr">
        <is>
          <t>ENC115228</t>
        </is>
      </c>
      <c r="B303" t="inlineStr">
        <is>
          <t>Cedar Ridge</t>
        </is>
      </c>
      <c r="C303" s="28" t="n">
        <v>45801</v>
      </c>
      <c r="D303" t="n">
        <v>60</v>
      </c>
      <c r="E303" t="inlineStr">
        <is>
          <t>Circulatory</t>
        </is>
      </c>
      <c r="F303" t="n">
        <v>4</v>
      </c>
      <c r="G303" s="29" t="n">
        <v>19889.6</v>
      </c>
    </row>
    <row r="304">
      <c r="A304" t="inlineStr">
        <is>
          <t>ENC115385</t>
        </is>
      </c>
      <c r="B304" t="inlineStr">
        <is>
          <t>Cedar Ridge</t>
        </is>
      </c>
      <c r="C304" s="28" t="n">
        <v>45806</v>
      </c>
      <c r="D304" t="n">
        <v>77</v>
      </c>
      <c r="E304" t="inlineStr">
        <is>
          <t>Infectious</t>
        </is>
      </c>
      <c r="F304" t="n">
        <v>3</v>
      </c>
      <c r="G304" s="29" t="n">
        <v>10971.39</v>
      </c>
    </row>
    <row r="305">
      <c r="A305" t="inlineStr">
        <is>
          <t>ENC115375</t>
        </is>
      </c>
      <c r="B305" t="inlineStr">
        <is>
          <t>Cedar Ridge</t>
        </is>
      </c>
      <c r="C305" s="28" t="n">
        <v>45807</v>
      </c>
      <c r="D305" t="n">
        <v>72</v>
      </c>
      <c r="E305" t="inlineStr">
        <is>
          <t>Circulatory</t>
        </is>
      </c>
      <c r="F305" t="n">
        <v>4</v>
      </c>
      <c r="G305" s="29" t="n">
        <v>30976.92</v>
      </c>
    </row>
    <row r="306">
      <c r="A306" t="inlineStr">
        <is>
          <t>ENC115351</t>
        </is>
      </c>
      <c r="B306" t="inlineStr">
        <is>
          <t>Cedar Ridge</t>
        </is>
      </c>
      <c r="C306" s="28" t="n">
        <v>45808</v>
      </c>
      <c r="D306" t="n">
        <v>44</v>
      </c>
      <c r="E306" t="inlineStr">
        <is>
          <t>Respiratory</t>
        </is>
      </c>
      <c r="F306" t="n">
        <v>7</v>
      </c>
      <c r="G306" s="29" t="n">
        <v>29729.12</v>
      </c>
    </row>
    <row r="307">
      <c r="A307" t="inlineStr">
        <is>
          <t>ENC115553</t>
        </is>
      </c>
      <c r="B307" t="inlineStr">
        <is>
          <t>Cedar Ridge</t>
        </is>
      </c>
      <c r="C307" s="28" t="n">
        <v>45811</v>
      </c>
      <c r="D307" t="n">
        <v>77</v>
      </c>
      <c r="E307" t="inlineStr">
        <is>
          <t>Circulatory</t>
        </is>
      </c>
      <c r="F307" t="n">
        <v>2</v>
      </c>
      <c r="G307" s="29" t="n">
        <v>12969.78</v>
      </c>
    </row>
    <row r="308">
      <c r="A308" t="inlineStr">
        <is>
          <t>ENC115582</t>
        </is>
      </c>
      <c r="B308" t="inlineStr">
        <is>
          <t>Cedar Ridge</t>
        </is>
      </c>
      <c r="C308" s="28" t="n">
        <v>45814</v>
      </c>
      <c r="D308" t="n">
        <v>81</v>
      </c>
      <c r="E308" t="inlineStr">
        <is>
          <t>Respiratory</t>
        </is>
      </c>
      <c r="F308" t="n">
        <v>3</v>
      </c>
      <c r="G308" s="29" t="n">
        <v>14712.69</v>
      </c>
    </row>
    <row r="309">
      <c r="A309" t="inlineStr">
        <is>
          <t>ENC115658</t>
        </is>
      </c>
      <c r="B309" t="inlineStr">
        <is>
          <t>Cedar Ridge</t>
        </is>
      </c>
      <c r="C309" s="28" t="n">
        <v>45817</v>
      </c>
      <c r="D309" t="n">
        <v>73</v>
      </c>
      <c r="E309" t="inlineStr">
        <is>
          <t>Circulatory</t>
        </is>
      </c>
      <c r="F309" t="n">
        <v>5</v>
      </c>
      <c r="G309" s="29" t="n">
        <v>23375.25</v>
      </c>
    </row>
    <row r="310">
      <c r="A310" t="inlineStr">
        <is>
          <t>ENC115913</t>
        </is>
      </c>
      <c r="B310" t="inlineStr">
        <is>
          <t>Cedar Ridge</t>
        </is>
      </c>
      <c r="C310" s="28" t="n">
        <v>45823</v>
      </c>
      <c r="D310" t="n">
        <v>42</v>
      </c>
      <c r="E310" t="inlineStr">
        <is>
          <t>Genitourinary</t>
        </is>
      </c>
      <c r="F310" t="n">
        <v>2</v>
      </c>
      <c r="G310" s="29" t="n">
        <v>15056.17</v>
      </c>
    </row>
    <row r="311">
      <c r="A311" t="inlineStr">
        <is>
          <t>ENC115928</t>
        </is>
      </c>
      <c r="B311" t="inlineStr">
        <is>
          <t>Cedar Ridge</t>
        </is>
      </c>
      <c r="C311" s="28" t="n">
        <v>45825</v>
      </c>
      <c r="D311" t="n">
        <v>46</v>
      </c>
      <c r="E311" t="inlineStr">
        <is>
          <t>Digestive</t>
        </is>
      </c>
      <c r="F311" t="n">
        <v>3</v>
      </c>
      <c r="G311" s="29" t="n">
        <v>16485.73</v>
      </c>
    </row>
    <row r="312">
      <c r="A312" t="inlineStr">
        <is>
          <t>ENC116092</t>
        </is>
      </c>
      <c r="B312" t="inlineStr">
        <is>
          <t>Cedar Ridge</t>
        </is>
      </c>
      <c r="C312" s="28" t="n">
        <v>45830</v>
      </c>
      <c r="D312" t="n">
        <v>53</v>
      </c>
      <c r="E312" t="inlineStr">
        <is>
          <t>Endocrine</t>
        </is>
      </c>
      <c r="F312" t="n">
        <v>2</v>
      </c>
      <c r="G312" s="29" t="n">
        <v>14637.44</v>
      </c>
    </row>
    <row r="313">
      <c r="A313" t="inlineStr">
        <is>
          <t>ENC116134</t>
        </is>
      </c>
      <c r="B313" t="inlineStr">
        <is>
          <t>Cedar Ridge</t>
        </is>
      </c>
      <c r="C313" s="28" t="n">
        <v>45831</v>
      </c>
      <c r="D313" t="n">
        <v>23</v>
      </c>
      <c r="E313" t="inlineStr">
        <is>
          <t>Digestive</t>
        </is>
      </c>
      <c r="F313" t="n">
        <v>2</v>
      </c>
      <c r="G313" s="29" t="n">
        <v>21772.61</v>
      </c>
    </row>
    <row r="314">
      <c r="A314" t="inlineStr">
        <is>
          <t>ENC116070</t>
        </is>
      </c>
      <c r="B314" t="inlineStr">
        <is>
          <t>Cedar Ridge</t>
        </is>
      </c>
      <c r="C314" s="28" t="n">
        <v>45832</v>
      </c>
      <c r="D314" t="n">
        <v>73</v>
      </c>
      <c r="E314" t="inlineStr">
        <is>
          <t>Infectious</t>
        </is>
      </c>
      <c r="F314" t="n">
        <v>5</v>
      </c>
      <c r="G314" s="29" t="n">
        <v>55943.42</v>
      </c>
    </row>
    <row r="315">
      <c r="A315" t="inlineStr">
        <is>
          <t>ENC116020</t>
        </is>
      </c>
      <c r="B315" t="inlineStr">
        <is>
          <t>Cedar Ridge</t>
        </is>
      </c>
      <c r="C315" s="28" t="n">
        <v>45835</v>
      </c>
      <c r="D315" t="n">
        <v>53</v>
      </c>
      <c r="E315" t="inlineStr">
        <is>
          <t>Digestive</t>
        </is>
      </c>
      <c r="F315" t="n">
        <v>10</v>
      </c>
      <c r="G315" s="29" t="n">
        <v>54267.63</v>
      </c>
    </row>
    <row r="316">
      <c r="A316" t="inlineStr">
        <is>
          <t>ENC116197</t>
        </is>
      </c>
      <c r="B316" t="inlineStr">
        <is>
          <t>Cedar Ridge</t>
        </is>
      </c>
      <c r="C316" s="28" t="n">
        <v>45836</v>
      </c>
      <c r="D316" t="n">
        <v>56</v>
      </c>
      <c r="E316" t="inlineStr">
        <is>
          <t>Infectious</t>
        </is>
      </c>
      <c r="F316" t="n">
        <v>5</v>
      </c>
      <c r="G316" s="29" t="n">
        <v>45852.8</v>
      </c>
    </row>
    <row r="317">
      <c r="A317" t="inlineStr">
        <is>
          <t>ENC116275</t>
        </is>
      </c>
      <c r="B317" t="inlineStr">
        <is>
          <t>Cedar Ridge</t>
        </is>
      </c>
      <c r="C317" s="28" t="n">
        <v>45836</v>
      </c>
      <c r="D317" t="n">
        <v>67</v>
      </c>
      <c r="E317" t="inlineStr">
        <is>
          <t>Digestive</t>
        </is>
      </c>
      <c r="F317" t="n">
        <v>2</v>
      </c>
      <c r="G317" s="29" t="n">
        <v>9851.059999999999</v>
      </c>
    </row>
    <row r="318">
      <c r="A318" t="inlineStr">
        <is>
          <t>ENC116348</t>
        </is>
      </c>
      <c r="B318" t="inlineStr">
        <is>
          <t>Cedar Ridge</t>
        </is>
      </c>
      <c r="C318" s="28" t="n">
        <v>45839</v>
      </c>
      <c r="D318" t="n">
        <v>76</v>
      </c>
      <c r="E318" t="inlineStr">
        <is>
          <t>Endocrine</t>
        </is>
      </c>
      <c r="F318" t="n">
        <v>3</v>
      </c>
      <c r="G318" s="29" t="n">
        <v>19018.42</v>
      </c>
    </row>
    <row r="319">
      <c r="A319" t="inlineStr">
        <is>
          <t>ENC116249</t>
        </is>
      </c>
      <c r="B319" t="inlineStr">
        <is>
          <t>Cedar Ridge</t>
        </is>
      </c>
      <c r="C319" s="28" t="n">
        <v>45840</v>
      </c>
      <c r="D319" t="n">
        <v>91</v>
      </c>
      <c r="E319" t="inlineStr">
        <is>
          <t>Circulatory</t>
        </is>
      </c>
      <c r="F319" t="n">
        <v>7</v>
      </c>
      <c r="G319" s="29" t="n">
        <v>22695.75</v>
      </c>
    </row>
    <row r="320">
      <c r="A320" t="inlineStr">
        <is>
          <t>ENC116265</t>
        </is>
      </c>
      <c r="B320" t="inlineStr">
        <is>
          <t>Cedar Ridge</t>
        </is>
      </c>
      <c r="C320" s="28" t="n">
        <v>45842</v>
      </c>
      <c r="D320" t="n">
        <v>77</v>
      </c>
      <c r="E320" t="inlineStr">
        <is>
          <t>Infectious</t>
        </is>
      </c>
      <c r="F320" t="n">
        <v>8</v>
      </c>
      <c r="G320" s="29" t="n">
        <v>84006.09</v>
      </c>
    </row>
    <row r="321">
      <c r="A321" t="inlineStr">
        <is>
          <t>ENC116442</t>
        </is>
      </c>
      <c r="B321" t="inlineStr">
        <is>
          <t>Cedar Ridge</t>
        </is>
      </c>
      <c r="C321" s="28" t="n">
        <v>45845</v>
      </c>
      <c r="D321" t="n">
        <v>72</v>
      </c>
      <c r="E321" t="inlineStr">
        <is>
          <t>Circulatory</t>
        </is>
      </c>
      <c r="F321" t="n">
        <v>5</v>
      </c>
      <c r="G321" s="29" t="n">
        <v>94705.94</v>
      </c>
    </row>
    <row r="322">
      <c r="A322" t="inlineStr">
        <is>
          <t>ENC116456</t>
        </is>
      </c>
      <c r="B322" t="inlineStr">
        <is>
          <t>Cedar Ridge</t>
        </is>
      </c>
      <c r="C322" s="28" t="n">
        <v>45845</v>
      </c>
      <c r="D322" t="n">
        <v>77</v>
      </c>
      <c r="E322" t="inlineStr">
        <is>
          <t>Endocrine</t>
        </is>
      </c>
      <c r="F322" t="n">
        <v>5</v>
      </c>
      <c r="G322" s="29" t="n">
        <v>16074.14</v>
      </c>
    </row>
    <row r="323">
      <c r="A323" t="inlineStr">
        <is>
          <t>ENC116510</t>
        </is>
      </c>
      <c r="B323" t="inlineStr">
        <is>
          <t>Cedar Ridge</t>
        </is>
      </c>
      <c r="C323" s="28" t="n">
        <v>45845</v>
      </c>
      <c r="D323" t="n">
        <v>90</v>
      </c>
      <c r="E323" t="inlineStr">
        <is>
          <t>Endocrine</t>
        </is>
      </c>
      <c r="F323" t="n">
        <v>3</v>
      </c>
      <c r="G323" s="29" t="n">
        <v>13743.64</v>
      </c>
    </row>
    <row r="324">
      <c r="A324" t="inlineStr">
        <is>
          <t>ENC116543</t>
        </is>
      </c>
      <c r="B324" t="inlineStr">
        <is>
          <t>Cedar Ridge</t>
        </is>
      </c>
      <c r="C324" s="28" t="n">
        <v>45849</v>
      </c>
      <c r="D324" t="n">
        <v>79</v>
      </c>
      <c r="E324" t="inlineStr">
        <is>
          <t>Respiratory</t>
        </is>
      </c>
      <c r="F324" t="n">
        <v>6</v>
      </c>
      <c r="G324" s="29" t="n">
        <v>22195.32</v>
      </c>
    </row>
    <row r="325">
      <c r="A325" t="inlineStr">
        <is>
          <t>ENC116466</t>
        </is>
      </c>
      <c r="B325" t="inlineStr">
        <is>
          <t>Cedar Ridge</t>
        </is>
      </c>
      <c r="C325" s="28" t="n">
        <v>45855</v>
      </c>
      <c r="D325" t="n">
        <v>93</v>
      </c>
      <c r="E325" t="inlineStr">
        <is>
          <t>Injury</t>
        </is>
      </c>
      <c r="F325" t="n">
        <v>14</v>
      </c>
      <c r="G325" s="29" t="n">
        <v>104303.79</v>
      </c>
    </row>
    <row r="326">
      <c r="A326" t="inlineStr">
        <is>
          <t>ENC116668</t>
        </is>
      </c>
      <c r="B326" t="inlineStr">
        <is>
          <t>Cedar Ridge</t>
        </is>
      </c>
      <c r="C326" s="28" t="n">
        <v>45855</v>
      </c>
      <c r="D326" t="n">
        <v>91</v>
      </c>
      <c r="E326" t="inlineStr">
        <is>
          <t>Respiratory</t>
        </is>
      </c>
      <c r="F326" t="n">
        <v>7</v>
      </c>
      <c r="G326" s="29" t="n">
        <v>99761.34</v>
      </c>
    </row>
    <row r="327">
      <c r="A327" t="inlineStr">
        <is>
          <t>ENC116805</t>
        </is>
      </c>
      <c r="B327" t="inlineStr">
        <is>
          <t>Cedar Ridge</t>
        </is>
      </c>
      <c r="C327" s="28" t="n">
        <v>45857</v>
      </c>
      <c r="D327" t="n">
        <v>57</v>
      </c>
      <c r="E327" t="inlineStr">
        <is>
          <t>Circulatory</t>
        </is>
      </c>
      <c r="F327" t="n">
        <v>4</v>
      </c>
      <c r="G327" s="29" t="n">
        <v>25163.49</v>
      </c>
    </row>
    <row r="328">
      <c r="A328" t="inlineStr">
        <is>
          <t>ENC116832</t>
        </is>
      </c>
      <c r="B328" t="inlineStr">
        <is>
          <t>Cedar Ridge</t>
        </is>
      </c>
      <c r="C328" s="28" t="n">
        <v>45860</v>
      </c>
      <c r="D328" t="n">
        <v>26</v>
      </c>
      <c r="E328" t="inlineStr">
        <is>
          <t>Infectious</t>
        </is>
      </c>
      <c r="F328" t="n">
        <v>6</v>
      </c>
      <c r="G328" s="29" t="n">
        <v>67847.60000000001</v>
      </c>
    </row>
    <row r="329">
      <c r="A329" t="inlineStr">
        <is>
          <t>ENC116898</t>
        </is>
      </c>
      <c r="B329" t="inlineStr">
        <is>
          <t>Cedar Ridge</t>
        </is>
      </c>
      <c r="C329" s="28" t="n">
        <v>45862</v>
      </c>
      <c r="D329" t="n">
        <v>62</v>
      </c>
      <c r="E329" t="inlineStr">
        <is>
          <t>Genitourinary</t>
        </is>
      </c>
      <c r="F329" t="n">
        <v>6</v>
      </c>
      <c r="G329" s="29" t="n">
        <v>30722.69</v>
      </c>
    </row>
    <row r="330">
      <c r="A330" t="inlineStr">
        <is>
          <t>ENC116912</t>
        </is>
      </c>
      <c r="B330" t="inlineStr">
        <is>
          <t>Cedar Ridge</t>
        </is>
      </c>
      <c r="C330" s="28" t="n">
        <v>45863</v>
      </c>
      <c r="D330" t="n">
        <v>28</v>
      </c>
      <c r="E330" t="inlineStr">
        <is>
          <t>Infectious</t>
        </is>
      </c>
      <c r="F330" t="n">
        <v>7</v>
      </c>
      <c r="G330" s="29" t="n">
        <v>72492.96000000001</v>
      </c>
    </row>
    <row r="331">
      <c r="A331" t="inlineStr">
        <is>
          <t>ENC117073</t>
        </is>
      </c>
      <c r="B331" t="inlineStr">
        <is>
          <t>Cedar Ridge</t>
        </is>
      </c>
      <c r="C331" s="28" t="n">
        <v>45866</v>
      </c>
      <c r="D331" t="n">
        <v>23</v>
      </c>
      <c r="E331" t="inlineStr">
        <is>
          <t>Respiratory</t>
        </is>
      </c>
      <c r="F331" t="n">
        <v>4</v>
      </c>
      <c r="G331" s="29" t="n">
        <v>16630.33</v>
      </c>
    </row>
    <row r="332">
      <c r="A332" t="inlineStr">
        <is>
          <t>ENC117113</t>
        </is>
      </c>
      <c r="B332" t="inlineStr">
        <is>
          <t>Cedar Ridge</t>
        </is>
      </c>
      <c r="C332" s="28" t="n">
        <v>45867</v>
      </c>
      <c r="D332" t="n">
        <v>50</v>
      </c>
      <c r="E332" t="inlineStr">
        <is>
          <t>Respiratory</t>
        </is>
      </c>
      <c r="F332" t="n">
        <v>4</v>
      </c>
      <c r="G332" s="29" t="n">
        <v>17326.66</v>
      </c>
    </row>
    <row r="333">
      <c r="A333" t="inlineStr">
        <is>
          <t>ENC117098</t>
        </is>
      </c>
      <c r="B333" t="inlineStr">
        <is>
          <t>Cedar Ridge</t>
        </is>
      </c>
      <c r="C333" s="28" t="n">
        <v>45869</v>
      </c>
      <c r="D333" t="n">
        <v>68</v>
      </c>
      <c r="E333" t="inlineStr">
        <is>
          <t>Respiratory</t>
        </is>
      </c>
      <c r="F333" t="n">
        <v>7</v>
      </c>
      <c r="G333" s="29" t="n">
        <v>77752.89999999999</v>
      </c>
    </row>
    <row r="334">
      <c r="A334" t="inlineStr">
        <is>
          <t>ENC117351</t>
        </is>
      </c>
      <c r="B334" t="inlineStr">
        <is>
          <t>Cedar Ridge</t>
        </is>
      </c>
      <c r="C334" s="28" t="n">
        <v>45877</v>
      </c>
      <c r="D334" t="n">
        <v>81</v>
      </c>
      <c r="E334" t="inlineStr">
        <is>
          <t>Injury</t>
        </is>
      </c>
      <c r="F334" t="n">
        <v>5</v>
      </c>
      <c r="G334" s="29" t="n">
        <v>81832.74000000001</v>
      </c>
    </row>
    <row r="335">
      <c r="A335" t="inlineStr">
        <is>
          <t>ENC117119</t>
        </is>
      </c>
      <c r="B335" t="inlineStr">
        <is>
          <t>Cedar Ridge</t>
        </is>
      </c>
      <c r="C335" s="28" t="n">
        <v>45881</v>
      </c>
      <c r="D335" t="n">
        <v>69</v>
      </c>
      <c r="E335" t="inlineStr">
        <is>
          <t>Infectious</t>
        </is>
      </c>
      <c r="F335" t="n">
        <v>18</v>
      </c>
      <c r="G335" s="29" t="n">
        <v>177720.25</v>
      </c>
    </row>
    <row r="336">
      <c r="A336" t="inlineStr">
        <is>
          <t>ENC117468</t>
        </is>
      </c>
      <c r="B336" t="inlineStr">
        <is>
          <t>Cedar Ridge</t>
        </is>
      </c>
      <c r="C336" s="28" t="n">
        <v>45881</v>
      </c>
      <c r="D336" t="n">
        <v>64</v>
      </c>
      <c r="E336" t="inlineStr">
        <is>
          <t>Injury</t>
        </is>
      </c>
      <c r="F336" t="n">
        <v>4</v>
      </c>
      <c r="G336" s="29" t="n">
        <v>62121.76</v>
      </c>
    </row>
    <row r="337">
      <c r="A337" t="inlineStr">
        <is>
          <t>ENC117223</t>
        </is>
      </c>
      <c r="B337" t="inlineStr">
        <is>
          <t>Cedar Ridge</t>
        </is>
      </c>
      <c r="C337" s="28" t="n">
        <v>45882</v>
      </c>
      <c r="D337" t="n">
        <v>54</v>
      </c>
      <c r="E337" t="inlineStr">
        <is>
          <t>Infectious</t>
        </is>
      </c>
      <c r="F337" t="n">
        <v>15</v>
      </c>
      <c r="G337" s="29" t="n">
        <v>237627.21</v>
      </c>
    </row>
    <row r="338">
      <c r="A338" t="inlineStr">
        <is>
          <t>ENC117498</t>
        </is>
      </c>
      <c r="B338" t="inlineStr">
        <is>
          <t>Cedar Ridge</t>
        </is>
      </c>
      <c r="C338" s="28" t="n">
        <v>45882</v>
      </c>
      <c r="D338" t="n">
        <v>75</v>
      </c>
      <c r="E338" t="inlineStr">
        <is>
          <t>Injury</t>
        </is>
      </c>
      <c r="F338" t="n">
        <v>5</v>
      </c>
      <c r="G338" s="29" t="n">
        <v>63758.14</v>
      </c>
    </row>
    <row r="339">
      <c r="A339" t="inlineStr">
        <is>
          <t>ENC117523</t>
        </is>
      </c>
      <c r="B339" t="inlineStr">
        <is>
          <t>Cedar Ridge</t>
        </is>
      </c>
      <c r="C339" s="28" t="n">
        <v>45883</v>
      </c>
      <c r="D339" t="n">
        <v>6</v>
      </c>
      <c r="E339" t="inlineStr">
        <is>
          <t>Respiratory</t>
        </is>
      </c>
      <c r="F339" t="n">
        <v>4</v>
      </c>
      <c r="G339" s="29" t="n">
        <v>19335.42</v>
      </c>
    </row>
    <row r="340">
      <c r="A340" t="inlineStr">
        <is>
          <t>ENC117559</t>
        </is>
      </c>
      <c r="B340" t="inlineStr">
        <is>
          <t>Cedar Ridge</t>
        </is>
      </c>
      <c r="C340" s="28" t="n">
        <v>45883</v>
      </c>
      <c r="D340" t="n">
        <v>58</v>
      </c>
      <c r="E340" t="inlineStr">
        <is>
          <t>Endocrine</t>
        </is>
      </c>
      <c r="F340" t="n">
        <v>2</v>
      </c>
      <c r="G340" s="29" t="n">
        <v>21838.98</v>
      </c>
    </row>
    <row r="341">
      <c r="A341" t="inlineStr">
        <is>
          <t>ENC117602</t>
        </is>
      </c>
      <c r="B341" t="inlineStr">
        <is>
          <t>Cedar Ridge</t>
        </is>
      </c>
      <c r="C341" s="28" t="n">
        <v>45885</v>
      </c>
      <c r="D341" t="n">
        <v>70</v>
      </c>
      <c r="E341" t="inlineStr">
        <is>
          <t>Circulatory</t>
        </is>
      </c>
      <c r="F341" t="n">
        <v>3</v>
      </c>
      <c r="G341" s="29" t="n">
        <v>52096.49</v>
      </c>
    </row>
    <row r="342">
      <c r="A342" t="inlineStr">
        <is>
          <t>ENC117631</t>
        </is>
      </c>
      <c r="B342" t="inlineStr">
        <is>
          <t>Cedar Ridge</t>
        </is>
      </c>
      <c r="C342" s="28" t="n">
        <v>45891</v>
      </c>
      <c r="D342" t="n">
        <v>33</v>
      </c>
      <c r="E342" t="inlineStr">
        <is>
          <t>Infectious</t>
        </is>
      </c>
      <c r="F342" t="n">
        <v>8</v>
      </c>
      <c r="G342" s="29" t="n">
        <v>107839.86</v>
      </c>
    </row>
    <row r="343">
      <c r="A343" t="inlineStr">
        <is>
          <t>ENC117780</t>
        </is>
      </c>
      <c r="B343" t="inlineStr">
        <is>
          <t>Cedar Ridge</t>
        </is>
      </c>
      <c r="C343" s="28" t="n">
        <v>45891</v>
      </c>
      <c r="D343" t="n">
        <v>81</v>
      </c>
      <c r="E343" t="inlineStr">
        <is>
          <t>Genitourinary</t>
        </is>
      </c>
      <c r="F343" t="n">
        <v>2</v>
      </c>
      <c r="G343" s="29" t="n">
        <v>17442.22</v>
      </c>
    </row>
    <row r="344">
      <c r="A344" t="inlineStr">
        <is>
          <t>ENC117727</t>
        </is>
      </c>
      <c r="B344" t="inlineStr">
        <is>
          <t>Cedar Ridge</t>
        </is>
      </c>
      <c r="C344" s="28" t="n">
        <v>45892</v>
      </c>
      <c r="D344" t="n">
        <v>98</v>
      </c>
      <c r="E344" t="inlineStr">
        <is>
          <t>Digestive</t>
        </is>
      </c>
      <c r="F344" t="n">
        <v>5</v>
      </c>
      <c r="G344" s="29" t="n">
        <v>14800.66</v>
      </c>
    </row>
    <row r="345">
      <c r="A345" t="inlineStr">
        <is>
          <t>ENC117873</t>
        </is>
      </c>
      <c r="B345" t="inlineStr">
        <is>
          <t>Cedar Ridge</t>
        </is>
      </c>
      <c r="C345" s="28" t="n">
        <v>45893</v>
      </c>
      <c r="D345" t="n">
        <v>73</v>
      </c>
      <c r="E345" t="inlineStr">
        <is>
          <t>Digestive</t>
        </is>
      </c>
      <c r="F345" t="n">
        <v>2</v>
      </c>
      <c r="G345" s="29" t="n">
        <v>9651.33</v>
      </c>
    </row>
    <row r="346">
      <c r="A346" t="inlineStr">
        <is>
          <t>ENC117683</t>
        </is>
      </c>
      <c r="B346" t="inlineStr">
        <is>
          <t>Cedar Ridge</t>
        </is>
      </c>
      <c r="C346" s="28" t="n">
        <v>45894</v>
      </c>
      <c r="D346" t="n">
        <v>97</v>
      </c>
      <c r="E346" t="inlineStr">
        <is>
          <t>Circulatory</t>
        </is>
      </c>
      <c r="F346" t="n">
        <v>10</v>
      </c>
      <c r="G346" s="29" t="n">
        <v>50079.33</v>
      </c>
    </row>
    <row r="347">
      <c r="A347" t="inlineStr">
        <is>
          <t>ENC118129</t>
        </is>
      </c>
      <c r="B347" t="inlineStr">
        <is>
          <t>Cedar Ridge</t>
        </is>
      </c>
      <c r="C347" s="28" t="n">
        <v>45905</v>
      </c>
      <c r="D347" t="n">
        <v>4</v>
      </c>
      <c r="E347" t="inlineStr">
        <is>
          <t>Genitourinary</t>
        </is>
      </c>
      <c r="F347" t="n">
        <v>3</v>
      </c>
      <c r="G347" s="29" t="n">
        <v>16642.86</v>
      </c>
    </row>
    <row r="348">
      <c r="A348" t="inlineStr">
        <is>
          <t>ENC118237</t>
        </is>
      </c>
      <c r="B348" t="inlineStr">
        <is>
          <t>Cedar Ridge</t>
        </is>
      </c>
      <c r="C348" s="28" t="n">
        <v>45907</v>
      </c>
      <c r="D348" t="n">
        <v>70</v>
      </c>
      <c r="E348" t="inlineStr">
        <is>
          <t>Digestive</t>
        </is>
      </c>
      <c r="F348" t="n">
        <v>2</v>
      </c>
      <c r="G348" s="29" t="n">
        <v>13390.67</v>
      </c>
    </row>
    <row r="349">
      <c r="A349" t="inlineStr">
        <is>
          <t>ENC118456</t>
        </is>
      </c>
      <c r="B349" t="inlineStr">
        <is>
          <t>Cedar Ridge</t>
        </is>
      </c>
      <c r="C349" s="28" t="n">
        <v>45917</v>
      </c>
      <c r="D349" t="n">
        <v>4</v>
      </c>
      <c r="E349" t="inlineStr">
        <is>
          <t>Genitourinary</t>
        </is>
      </c>
      <c r="F349" t="n">
        <v>3</v>
      </c>
      <c r="G349" s="29" t="n">
        <v>17933.18</v>
      </c>
    </row>
    <row r="350">
      <c r="A350" t="inlineStr">
        <is>
          <t>ENC118538</t>
        </is>
      </c>
      <c r="B350" t="inlineStr">
        <is>
          <t>Cedar Ridge</t>
        </is>
      </c>
      <c r="C350" s="28" t="n">
        <v>45920</v>
      </c>
      <c r="D350" t="n">
        <v>65</v>
      </c>
      <c r="E350" t="inlineStr">
        <is>
          <t>Respiratory</t>
        </is>
      </c>
      <c r="F350" t="n">
        <v>3</v>
      </c>
      <c r="G350" s="29" t="n">
        <v>13972.03</v>
      </c>
    </row>
    <row r="351">
      <c r="A351" t="inlineStr">
        <is>
          <t>ENC118622</t>
        </is>
      </c>
      <c r="B351" t="inlineStr">
        <is>
          <t>Cedar Ridge</t>
        </is>
      </c>
      <c r="C351" s="28" t="n">
        <v>45922</v>
      </c>
      <c r="D351" t="n">
        <v>44</v>
      </c>
      <c r="E351" t="inlineStr">
        <is>
          <t>Digestive</t>
        </is>
      </c>
      <c r="F351" t="n">
        <v>2</v>
      </c>
      <c r="G351" s="29" t="n">
        <v>21412.72</v>
      </c>
    </row>
    <row r="352">
      <c r="A352" t="inlineStr">
        <is>
          <t>ENC118647</t>
        </is>
      </c>
      <c r="B352" t="inlineStr">
        <is>
          <t>Cedar Ridge</t>
        </is>
      </c>
      <c r="C352" s="28" t="n">
        <v>45925</v>
      </c>
      <c r="D352" t="n">
        <v>35</v>
      </c>
      <c r="E352" t="inlineStr">
        <is>
          <t>Respiratory</t>
        </is>
      </c>
      <c r="F352" t="n">
        <v>3</v>
      </c>
      <c r="G352" s="29" t="n">
        <v>16971.24</v>
      </c>
    </row>
    <row r="353">
      <c r="A353" t="inlineStr">
        <is>
          <t>ENC118660</t>
        </is>
      </c>
      <c r="B353" t="inlineStr">
        <is>
          <t>Cedar Ridge</t>
        </is>
      </c>
      <c r="C353" s="28" t="n">
        <v>45925</v>
      </c>
      <c r="D353" t="n">
        <v>40</v>
      </c>
      <c r="E353" t="inlineStr">
        <is>
          <t>Digestive</t>
        </is>
      </c>
      <c r="F353" t="n">
        <v>3</v>
      </c>
      <c r="G353" s="29" t="n">
        <v>48486.25</v>
      </c>
    </row>
    <row r="354">
      <c r="A354" t="inlineStr">
        <is>
          <t>ENC118758</t>
        </is>
      </c>
      <c r="B354" t="inlineStr">
        <is>
          <t>Cedar Ridge</t>
        </is>
      </c>
      <c r="C354" s="28" t="n">
        <v>45932</v>
      </c>
      <c r="D354" t="n">
        <v>94</v>
      </c>
      <c r="E354" t="inlineStr">
        <is>
          <t>Infectious</t>
        </is>
      </c>
      <c r="F354" t="n">
        <v>7</v>
      </c>
      <c r="G354" s="29" t="n">
        <v>63619.53</v>
      </c>
    </row>
    <row r="355">
      <c r="A355" t="inlineStr">
        <is>
          <t>ENC118998</t>
        </is>
      </c>
      <c r="B355" t="inlineStr">
        <is>
          <t>Cedar Ridge</t>
        </is>
      </c>
      <c r="C355" s="28" t="n">
        <v>45935</v>
      </c>
      <c r="D355" t="n">
        <v>65</v>
      </c>
      <c r="E355" t="inlineStr">
        <is>
          <t>Digestive</t>
        </is>
      </c>
      <c r="F355" t="n">
        <v>1</v>
      </c>
      <c r="G355" s="29" t="n">
        <v>21051.79</v>
      </c>
    </row>
    <row r="356">
      <c r="A356" t="inlineStr">
        <is>
          <t>ENC118954</t>
        </is>
      </c>
      <c r="B356" t="inlineStr">
        <is>
          <t>Cedar Ridge</t>
        </is>
      </c>
      <c r="C356" s="28" t="n">
        <v>45937</v>
      </c>
      <c r="D356" t="n">
        <v>55</v>
      </c>
      <c r="E356" t="inlineStr">
        <is>
          <t>Genitourinary</t>
        </is>
      </c>
      <c r="F356" t="n">
        <v>4</v>
      </c>
      <c r="G356" s="29" t="n">
        <v>22351.56</v>
      </c>
    </row>
    <row r="357">
      <c r="A357" t="inlineStr">
        <is>
          <t>ENC119087</t>
        </is>
      </c>
      <c r="B357" t="inlineStr">
        <is>
          <t>Cedar Ridge</t>
        </is>
      </c>
      <c r="C357" s="28" t="n">
        <v>45940</v>
      </c>
      <c r="D357" t="n">
        <v>73</v>
      </c>
      <c r="E357" t="inlineStr">
        <is>
          <t>Endocrine</t>
        </is>
      </c>
      <c r="F357" t="n">
        <v>2</v>
      </c>
      <c r="G357" s="29" t="n">
        <v>9196.389999999999</v>
      </c>
    </row>
    <row r="358">
      <c r="A358" t="inlineStr">
        <is>
          <t>ENC119072</t>
        </is>
      </c>
      <c r="B358" t="inlineStr">
        <is>
          <t>Cedar Ridge</t>
        </is>
      </c>
      <c r="C358" s="28" t="n">
        <v>45941</v>
      </c>
      <c r="D358" t="n">
        <v>26</v>
      </c>
      <c r="E358" t="inlineStr">
        <is>
          <t>Endocrine</t>
        </is>
      </c>
      <c r="F358" t="n">
        <v>4</v>
      </c>
      <c r="G358" s="29" t="n">
        <v>21983.01</v>
      </c>
    </row>
    <row r="359">
      <c r="A359" t="inlineStr">
        <is>
          <t>ENC119201</t>
        </is>
      </c>
      <c r="B359" t="inlineStr">
        <is>
          <t>Cedar Ridge</t>
        </is>
      </c>
      <c r="C359" s="28" t="n">
        <v>45945</v>
      </c>
      <c r="D359" t="n">
        <v>55</v>
      </c>
      <c r="E359" t="inlineStr">
        <is>
          <t>Circulatory</t>
        </is>
      </c>
      <c r="F359" t="n">
        <v>3</v>
      </c>
      <c r="G359" s="29" t="n">
        <v>81054.78</v>
      </c>
    </row>
    <row r="360">
      <c r="A360" t="inlineStr">
        <is>
          <t>ENC119375</t>
        </is>
      </c>
      <c r="B360" t="inlineStr">
        <is>
          <t>Cedar Ridge</t>
        </is>
      </c>
      <c r="C360" s="28" t="n">
        <v>45951</v>
      </c>
      <c r="D360" t="n">
        <v>73</v>
      </c>
      <c r="E360" t="inlineStr">
        <is>
          <t>Respiratory</t>
        </is>
      </c>
      <c r="F360" t="n">
        <v>4</v>
      </c>
      <c r="G360" s="29" t="n">
        <v>27361.76</v>
      </c>
    </row>
    <row r="361">
      <c r="A361" t="inlineStr">
        <is>
          <t>ENC119379</t>
        </is>
      </c>
      <c r="B361" t="inlineStr">
        <is>
          <t>Cedar Ridge</t>
        </is>
      </c>
      <c r="C361" s="28" t="n">
        <v>45951</v>
      </c>
      <c r="D361" t="n">
        <v>45</v>
      </c>
      <c r="E361" t="inlineStr">
        <is>
          <t>Circulatory</t>
        </is>
      </c>
      <c r="F361" t="n">
        <v>4</v>
      </c>
      <c r="G361" s="29" t="n">
        <v>23281.2</v>
      </c>
    </row>
    <row r="362">
      <c r="A362" t="inlineStr">
        <is>
          <t>ENC119516</t>
        </is>
      </c>
      <c r="B362" t="inlineStr">
        <is>
          <t>Cedar Ridge</t>
        </is>
      </c>
      <c r="C362" s="28" t="n">
        <v>45955</v>
      </c>
      <c r="D362" t="n">
        <v>99</v>
      </c>
      <c r="E362" t="inlineStr">
        <is>
          <t>Digestive</t>
        </is>
      </c>
      <c r="F362" t="n">
        <v>2</v>
      </c>
      <c r="G362" s="29" t="n">
        <v>12721.05</v>
      </c>
    </row>
    <row r="363">
      <c r="A363" t="inlineStr">
        <is>
          <t>ENC119446</t>
        </is>
      </c>
      <c r="B363" t="inlineStr">
        <is>
          <t>Cedar Ridge</t>
        </is>
      </c>
      <c r="C363" s="28" t="n">
        <v>45956</v>
      </c>
      <c r="D363" t="n">
        <v>66</v>
      </c>
      <c r="E363" t="inlineStr">
        <is>
          <t>Respiratory</t>
        </is>
      </c>
      <c r="F363" t="n">
        <v>6</v>
      </c>
      <c r="G363" s="29" t="n">
        <v>20792.61</v>
      </c>
    </row>
    <row r="364">
      <c r="A364" t="inlineStr">
        <is>
          <t>ENC119521</t>
        </is>
      </c>
      <c r="B364" t="inlineStr">
        <is>
          <t>Cedar Ridge</t>
        </is>
      </c>
      <c r="C364" s="28" t="n">
        <v>45957</v>
      </c>
      <c r="D364" t="n">
        <v>57</v>
      </c>
      <c r="E364" t="inlineStr">
        <is>
          <t>Mental &amp; Behavioral</t>
        </is>
      </c>
      <c r="F364" t="n">
        <v>4</v>
      </c>
      <c r="G364" s="29" t="n">
        <v>26458.11</v>
      </c>
    </row>
    <row r="365">
      <c r="A365" t="inlineStr">
        <is>
          <t>ENC119623</t>
        </is>
      </c>
      <c r="B365" t="inlineStr">
        <is>
          <t>Cedar Ridge</t>
        </is>
      </c>
      <c r="C365" s="28" t="n">
        <v>45959</v>
      </c>
      <c r="D365" t="n">
        <v>47</v>
      </c>
      <c r="E365" t="inlineStr">
        <is>
          <t>Endocrine</t>
        </is>
      </c>
      <c r="F365" t="n">
        <v>2</v>
      </c>
      <c r="G365" s="29" t="n">
        <v>18152.48</v>
      </c>
    </row>
    <row r="366">
      <c r="A366" t="inlineStr">
        <is>
          <t>ENC119626</t>
        </is>
      </c>
      <c r="B366" t="inlineStr">
        <is>
          <t>Cedar Ridge</t>
        </is>
      </c>
      <c r="C366" s="28" t="n">
        <v>45960</v>
      </c>
      <c r="D366" t="n">
        <v>56</v>
      </c>
      <c r="E366" t="inlineStr">
        <is>
          <t>Digestive</t>
        </is>
      </c>
      <c r="F366" t="n">
        <v>3</v>
      </c>
      <c r="G366" s="29" t="n">
        <v>39733.82</v>
      </c>
    </row>
    <row r="367">
      <c r="A367" t="inlineStr">
        <is>
          <t>ENC119703</t>
        </is>
      </c>
      <c r="B367" t="inlineStr">
        <is>
          <t>Cedar Ridge</t>
        </is>
      </c>
      <c r="C367" s="28" t="n">
        <v>45962</v>
      </c>
      <c r="D367" t="n">
        <v>57</v>
      </c>
      <c r="E367" t="inlineStr">
        <is>
          <t>Genitourinary</t>
        </is>
      </c>
      <c r="F367" t="n">
        <v>3</v>
      </c>
      <c r="G367" s="29" t="n">
        <v>13626.09</v>
      </c>
    </row>
    <row r="368">
      <c r="A368" t="inlineStr">
        <is>
          <t>ENC119720</t>
        </is>
      </c>
      <c r="B368" t="inlineStr">
        <is>
          <t>Cedar Ridge</t>
        </is>
      </c>
      <c r="C368" s="28" t="n">
        <v>45962</v>
      </c>
      <c r="D368" t="n">
        <v>77</v>
      </c>
      <c r="E368" t="inlineStr">
        <is>
          <t>Respiratory</t>
        </is>
      </c>
      <c r="F368" t="n">
        <v>3</v>
      </c>
      <c r="G368" s="29" t="n">
        <v>10105.65</v>
      </c>
    </row>
    <row r="369">
      <c r="A369" t="inlineStr">
        <is>
          <t>ENC119683</t>
        </is>
      </c>
      <c r="B369" t="inlineStr">
        <is>
          <t>Cedar Ridge</t>
        </is>
      </c>
      <c r="C369" s="28" t="n">
        <v>45964</v>
      </c>
      <c r="D369" t="n">
        <v>98</v>
      </c>
      <c r="E369" t="inlineStr">
        <is>
          <t>Genitourinary</t>
        </is>
      </c>
      <c r="F369" t="n">
        <v>6</v>
      </c>
      <c r="G369" s="29" t="n">
        <v>23908.34</v>
      </c>
    </row>
    <row r="370">
      <c r="A370" t="inlineStr">
        <is>
          <t>ENC119790</t>
        </is>
      </c>
      <c r="B370" t="inlineStr">
        <is>
          <t>Cedar Ridge</t>
        </is>
      </c>
      <c r="C370" s="28" t="n">
        <v>45964</v>
      </c>
      <c r="D370" t="n">
        <v>77</v>
      </c>
      <c r="E370" t="inlineStr">
        <is>
          <t>Injury</t>
        </is>
      </c>
      <c r="F370" t="n">
        <v>3</v>
      </c>
      <c r="G370" s="29" t="n">
        <v>39473.29</v>
      </c>
    </row>
    <row r="371">
      <c r="A371" t="inlineStr">
        <is>
          <t>ENC119806</t>
        </is>
      </c>
      <c r="B371" t="inlineStr">
        <is>
          <t>Cedar Ridge</t>
        </is>
      </c>
      <c r="C371" s="28" t="n">
        <v>45964</v>
      </c>
      <c r="D371" t="n">
        <v>96</v>
      </c>
      <c r="E371" t="inlineStr">
        <is>
          <t>Digestive</t>
        </is>
      </c>
      <c r="F371" t="n">
        <v>2</v>
      </c>
      <c r="G371" s="29" t="n">
        <v>21105.03</v>
      </c>
    </row>
    <row r="372">
      <c r="A372" t="inlineStr">
        <is>
          <t>ENC119804</t>
        </is>
      </c>
      <c r="B372" t="inlineStr">
        <is>
          <t>Cedar Ridge</t>
        </is>
      </c>
      <c r="C372" s="28" t="n">
        <v>45966</v>
      </c>
      <c r="D372" t="n">
        <v>62</v>
      </c>
      <c r="E372" t="inlineStr">
        <is>
          <t>Respiratory</t>
        </is>
      </c>
      <c r="F372" t="n">
        <v>5</v>
      </c>
      <c r="G372" s="29" t="n">
        <v>27848.13</v>
      </c>
    </row>
    <row r="373">
      <c r="A373" t="inlineStr">
        <is>
          <t>ENC119896</t>
        </is>
      </c>
      <c r="B373" t="inlineStr">
        <is>
          <t>Cedar Ridge</t>
        </is>
      </c>
      <c r="C373" s="28" t="n">
        <v>45967</v>
      </c>
      <c r="D373" t="n">
        <v>63</v>
      </c>
      <c r="E373" t="inlineStr">
        <is>
          <t>Digestive</t>
        </is>
      </c>
      <c r="F373" t="n">
        <v>2</v>
      </c>
      <c r="G373" s="29" t="n">
        <v>19086.22</v>
      </c>
    </row>
    <row r="374">
      <c r="A374" t="inlineStr">
        <is>
          <t>ENC119827</t>
        </is>
      </c>
      <c r="B374" t="inlineStr">
        <is>
          <t>Cedar Ridge</t>
        </is>
      </c>
      <c r="C374" s="28" t="n">
        <v>45968</v>
      </c>
      <c r="D374" t="n">
        <v>73</v>
      </c>
      <c r="E374" t="inlineStr">
        <is>
          <t>Respiratory</t>
        </is>
      </c>
      <c r="F374" t="n">
        <v>5</v>
      </c>
      <c r="G374" s="29" t="n">
        <v>29649.02</v>
      </c>
    </row>
    <row r="375">
      <c r="A375" t="inlineStr">
        <is>
          <t>ENC119705</t>
        </is>
      </c>
      <c r="B375" t="inlineStr">
        <is>
          <t>Cedar Ridge</t>
        </is>
      </c>
      <c r="C375" s="28" t="n">
        <v>45969</v>
      </c>
      <c r="D375" t="n">
        <v>73</v>
      </c>
      <c r="E375" t="inlineStr">
        <is>
          <t>Infectious</t>
        </is>
      </c>
      <c r="F375" t="n">
        <v>10</v>
      </c>
      <c r="G375" s="29" t="n">
        <v>86189.97</v>
      </c>
    </row>
    <row r="376">
      <c r="A376" t="inlineStr">
        <is>
          <t>ENC119973</t>
        </is>
      </c>
      <c r="B376" t="inlineStr">
        <is>
          <t>Cedar Ridge</t>
        </is>
      </c>
      <c r="C376" s="28" t="n">
        <v>45971</v>
      </c>
      <c r="D376" t="n">
        <v>46</v>
      </c>
      <c r="E376" t="inlineStr">
        <is>
          <t>Respiratory</t>
        </is>
      </c>
      <c r="F376" t="n">
        <v>4</v>
      </c>
      <c r="G376" s="29" t="n">
        <v>18362.37</v>
      </c>
    </row>
    <row r="377">
      <c r="A377" t="inlineStr">
        <is>
          <t>ENC120009</t>
        </is>
      </c>
      <c r="B377" t="inlineStr">
        <is>
          <t>Cedar Ridge</t>
        </is>
      </c>
      <c r="C377" s="28" t="n">
        <v>45973</v>
      </c>
      <c r="D377" t="n">
        <v>64</v>
      </c>
      <c r="E377" t="inlineStr">
        <is>
          <t>Respiratory</t>
        </is>
      </c>
      <c r="F377" t="n">
        <v>5</v>
      </c>
      <c r="G377" s="29" t="n">
        <v>23633.97</v>
      </c>
    </row>
    <row r="378">
      <c r="A378" t="inlineStr">
        <is>
          <t>ENC119968</t>
        </is>
      </c>
      <c r="B378" t="inlineStr">
        <is>
          <t>Cedar Ridge</t>
        </is>
      </c>
      <c r="C378" s="28" t="n">
        <v>45974</v>
      </c>
      <c r="D378" t="n">
        <v>58</v>
      </c>
      <c r="E378" t="inlineStr">
        <is>
          <t>Injury</t>
        </is>
      </c>
      <c r="F378" t="n">
        <v>7</v>
      </c>
      <c r="G378" s="29" t="n">
        <v>59838.18</v>
      </c>
    </row>
    <row r="379">
      <c r="A379" t="inlineStr">
        <is>
          <t>ENC120064</t>
        </is>
      </c>
      <c r="B379" t="inlineStr">
        <is>
          <t>Cedar Ridge</t>
        </is>
      </c>
      <c r="C379" s="28" t="n">
        <v>45976</v>
      </c>
      <c r="D379" t="n">
        <v>60</v>
      </c>
      <c r="E379" t="inlineStr">
        <is>
          <t>Genitourinary</t>
        </is>
      </c>
      <c r="F379" t="n">
        <v>5</v>
      </c>
      <c r="G379" s="29" t="n">
        <v>21126.59</v>
      </c>
    </row>
    <row r="380">
      <c r="A380" t="inlineStr">
        <is>
          <t>ENC120212</t>
        </is>
      </c>
      <c r="B380" t="inlineStr">
        <is>
          <t>Cedar Ridge</t>
        </is>
      </c>
      <c r="C380" s="28" t="n">
        <v>45976</v>
      </c>
      <c r="D380" t="n">
        <v>53</v>
      </c>
      <c r="E380" t="inlineStr">
        <is>
          <t>Circulatory</t>
        </is>
      </c>
      <c r="F380" t="n">
        <v>1</v>
      </c>
      <c r="G380" s="29" t="n">
        <v>44532.56</v>
      </c>
    </row>
    <row r="381">
      <c r="A381" t="inlineStr">
        <is>
          <t>ENC120170</t>
        </is>
      </c>
      <c r="B381" t="inlineStr">
        <is>
          <t>Cedar Ridge</t>
        </is>
      </c>
      <c r="C381" s="28" t="n">
        <v>45979</v>
      </c>
      <c r="D381" t="n">
        <v>68</v>
      </c>
      <c r="E381" t="inlineStr">
        <is>
          <t>Digestive</t>
        </is>
      </c>
      <c r="F381" t="n">
        <v>5</v>
      </c>
      <c r="G381" s="29" t="n">
        <v>23372.99</v>
      </c>
    </row>
    <row r="382">
      <c r="A382" t="inlineStr">
        <is>
          <t>ENC120324</t>
        </is>
      </c>
      <c r="B382" t="inlineStr">
        <is>
          <t>Cedar Ridge</t>
        </is>
      </c>
      <c r="C382" s="28" t="n">
        <v>45979</v>
      </c>
      <c r="D382" t="n">
        <v>76</v>
      </c>
      <c r="E382" t="inlineStr">
        <is>
          <t>Musculoskeletal</t>
        </is>
      </c>
      <c r="F382" t="n">
        <v>1</v>
      </c>
      <c r="G382" s="29" t="n">
        <v>43350.27</v>
      </c>
    </row>
    <row r="383">
      <c r="A383" t="inlineStr">
        <is>
          <t>ENC120108</t>
        </is>
      </c>
      <c r="B383" t="inlineStr">
        <is>
          <t>Cedar Ridge</t>
        </is>
      </c>
      <c r="C383" s="28" t="n">
        <v>45980</v>
      </c>
      <c r="D383" t="n">
        <v>50</v>
      </c>
      <c r="E383" t="inlineStr">
        <is>
          <t>Infectious</t>
        </is>
      </c>
      <c r="F383" t="n">
        <v>8</v>
      </c>
      <c r="G383" s="29" t="n">
        <v>109816.98</v>
      </c>
    </row>
    <row r="384">
      <c r="A384" t="inlineStr">
        <is>
          <t>ENC120277</t>
        </is>
      </c>
      <c r="B384" t="inlineStr">
        <is>
          <t>Cedar Ridge</t>
        </is>
      </c>
      <c r="C384" s="28" t="n">
        <v>45981</v>
      </c>
      <c r="D384" t="n">
        <v>77</v>
      </c>
      <c r="E384" t="inlineStr">
        <is>
          <t>Digestive</t>
        </is>
      </c>
      <c r="F384" t="n">
        <v>3</v>
      </c>
      <c r="G384" s="29" t="n">
        <v>30895.23</v>
      </c>
    </row>
    <row r="385">
      <c r="A385" t="inlineStr">
        <is>
          <t>ENC120486</t>
        </is>
      </c>
      <c r="B385" t="inlineStr">
        <is>
          <t>Cedar Ridge</t>
        </is>
      </c>
      <c r="C385" s="28" t="n">
        <v>45986</v>
      </c>
      <c r="D385" t="n">
        <v>23</v>
      </c>
      <c r="E385" t="inlineStr">
        <is>
          <t>Digestive</t>
        </is>
      </c>
      <c r="F385" t="n">
        <v>3</v>
      </c>
      <c r="G385" s="29" t="n">
        <v>34534.37</v>
      </c>
    </row>
    <row r="386">
      <c r="A386" t="inlineStr">
        <is>
          <t>ENC120535</t>
        </is>
      </c>
      <c r="B386" t="inlineStr">
        <is>
          <t>Cedar Ridge</t>
        </is>
      </c>
      <c r="C386" s="28" t="n">
        <v>45988</v>
      </c>
      <c r="D386" t="n">
        <v>57</v>
      </c>
      <c r="E386" t="inlineStr">
        <is>
          <t>Respiratory</t>
        </is>
      </c>
      <c r="F386" t="n">
        <v>3</v>
      </c>
      <c r="G386" s="29" t="n">
        <v>19446.16</v>
      </c>
    </row>
    <row r="387">
      <c r="A387" t="inlineStr">
        <is>
          <t>ENC120815</t>
        </is>
      </c>
      <c r="B387" t="inlineStr">
        <is>
          <t>Cedar Ridge</t>
        </is>
      </c>
      <c r="C387" s="28" t="n">
        <v>45996</v>
      </c>
      <c r="D387" t="n">
        <v>60</v>
      </c>
      <c r="E387" t="inlineStr">
        <is>
          <t>Injury</t>
        </is>
      </c>
      <c r="F387" t="n">
        <v>3</v>
      </c>
      <c r="G387" s="29" t="n">
        <v>46456.88</v>
      </c>
    </row>
    <row r="388">
      <c r="A388" t="inlineStr">
        <is>
          <t>ENC120832</t>
        </is>
      </c>
      <c r="B388" t="inlineStr">
        <is>
          <t>Cedar Ridge</t>
        </is>
      </c>
      <c r="C388" s="28" t="n">
        <v>45997</v>
      </c>
      <c r="D388" t="n">
        <v>65</v>
      </c>
      <c r="E388" t="inlineStr">
        <is>
          <t>Respiratory</t>
        </is>
      </c>
      <c r="F388" t="n">
        <v>3</v>
      </c>
      <c r="G388" s="29" t="n">
        <v>7130.02</v>
      </c>
    </row>
    <row r="389">
      <c r="A389" t="inlineStr">
        <is>
          <t>ENC120751</t>
        </is>
      </c>
      <c r="B389" t="inlineStr">
        <is>
          <t>Cedar Ridge</t>
        </is>
      </c>
      <c r="C389" s="28" t="n">
        <v>45998</v>
      </c>
      <c r="D389" t="n">
        <v>47</v>
      </c>
      <c r="E389" t="inlineStr">
        <is>
          <t>Respiratory</t>
        </is>
      </c>
      <c r="F389" t="n">
        <v>6</v>
      </c>
      <c r="G389" s="29" t="n">
        <v>23667.85</v>
      </c>
    </row>
    <row r="390">
      <c r="A390" t="inlineStr">
        <is>
          <t>ENC120991</t>
        </is>
      </c>
      <c r="B390" t="inlineStr">
        <is>
          <t>Cedar Ridge</t>
        </is>
      </c>
      <c r="C390" s="28" t="n">
        <v>46001</v>
      </c>
      <c r="D390" t="n">
        <v>24</v>
      </c>
      <c r="E390" t="inlineStr">
        <is>
          <t>Respiratory</t>
        </is>
      </c>
      <c r="F390" t="n">
        <v>3</v>
      </c>
      <c r="G390" s="29" t="n">
        <v>14029.79</v>
      </c>
    </row>
    <row r="391">
      <c r="A391" t="inlineStr">
        <is>
          <t>ENC121060</t>
        </is>
      </c>
      <c r="B391" t="inlineStr">
        <is>
          <t>Cedar Ridge</t>
        </is>
      </c>
      <c r="C391" s="28" t="n">
        <v>46001</v>
      </c>
      <c r="D391" t="n">
        <v>68</v>
      </c>
      <c r="E391" t="inlineStr">
        <is>
          <t>Digestive</t>
        </is>
      </c>
      <c r="F391" t="n">
        <v>1</v>
      </c>
      <c r="G391" s="29" t="n">
        <v>25758.46</v>
      </c>
    </row>
    <row r="392">
      <c r="A392" t="inlineStr">
        <is>
          <t>ENC120960</t>
        </is>
      </c>
      <c r="B392" t="inlineStr">
        <is>
          <t>Cedar Ridge</t>
        </is>
      </c>
      <c r="C392" s="28" t="n">
        <v>46003</v>
      </c>
      <c r="D392" t="n">
        <v>93</v>
      </c>
      <c r="E392" t="inlineStr">
        <is>
          <t>Respiratory</t>
        </is>
      </c>
      <c r="F392" t="n">
        <v>6</v>
      </c>
      <c r="G392" s="29" t="n">
        <v>22387.41</v>
      </c>
    </row>
    <row r="393">
      <c r="A393" t="inlineStr">
        <is>
          <t>ENC121044</t>
        </is>
      </c>
      <c r="B393" t="inlineStr">
        <is>
          <t>Cedar Ridge</t>
        </is>
      </c>
      <c r="C393" s="28" t="n">
        <v>46007</v>
      </c>
      <c r="D393" t="n">
        <v>92</v>
      </c>
      <c r="E393" t="inlineStr">
        <is>
          <t>Circulatory</t>
        </is>
      </c>
      <c r="F393" t="n">
        <v>7</v>
      </c>
      <c r="G393" s="29" t="n">
        <v>35394.82</v>
      </c>
    </row>
    <row r="394">
      <c r="A394" t="inlineStr">
        <is>
          <t>ENC121208</t>
        </is>
      </c>
      <c r="B394" t="inlineStr">
        <is>
          <t>Cedar Ridge</t>
        </is>
      </c>
      <c r="C394" s="28" t="n">
        <v>46007</v>
      </c>
      <c r="D394" t="n">
        <v>44</v>
      </c>
      <c r="E394" t="inlineStr">
        <is>
          <t>Circulatory</t>
        </is>
      </c>
      <c r="F394" t="n">
        <v>4</v>
      </c>
      <c r="G394" s="29" t="n">
        <v>94173.35000000001</v>
      </c>
    </row>
    <row r="395">
      <c r="A395" t="inlineStr">
        <is>
          <t>ENC121176</t>
        </is>
      </c>
      <c r="B395" t="inlineStr">
        <is>
          <t>Cedar Ridge</t>
        </is>
      </c>
      <c r="C395" s="28" t="n">
        <v>46008</v>
      </c>
      <c r="D395" t="n">
        <v>24</v>
      </c>
      <c r="E395" t="inlineStr">
        <is>
          <t>Genitourinary</t>
        </is>
      </c>
      <c r="F395" t="n">
        <v>5</v>
      </c>
      <c r="G395" s="29" t="n">
        <v>27429.55</v>
      </c>
    </row>
    <row r="396">
      <c r="A396" t="inlineStr">
        <is>
          <t>ENC121218</t>
        </is>
      </c>
      <c r="B396" t="inlineStr">
        <is>
          <t>Cedar Ridge</t>
        </is>
      </c>
      <c r="C396" s="28" t="n">
        <v>46008</v>
      </c>
      <c r="D396" t="n">
        <v>76</v>
      </c>
      <c r="E396" t="inlineStr">
        <is>
          <t>Circulatory</t>
        </is>
      </c>
      <c r="F396" t="n">
        <v>4</v>
      </c>
      <c r="G396" s="29" t="n">
        <v>20848.01</v>
      </c>
    </row>
    <row r="397">
      <c r="A397" t="inlineStr">
        <is>
          <t>ENC121287</t>
        </is>
      </c>
      <c r="B397" t="inlineStr">
        <is>
          <t>Cedar Ridge</t>
        </is>
      </c>
      <c r="C397" s="28" t="n">
        <v>46010</v>
      </c>
      <c r="D397" t="n">
        <v>21</v>
      </c>
      <c r="E397" t="inlineStr">
        <is>
          <t>Digestive</t>
        </is>
      </c>
      <c r="F397" t="n">
        <v>4</v>
      </c>
      <c r="G397" s="29" t="n">
        <v>35873.97</v>
      </c>
    </row>
    <row r="398">
      <c r="A398" t="inlineStr">
        <is>
          <t>ENC121334</t>
        </is>
      </c>
      <c r="B398" t="inlineStr">
        <is>
          <t>Cedar Ridge</t>
        </is>
      </c>
      <c r="C398" s="28" t="n">
        <v>46011</v>
      </c>
      <c r="D398" t="n">
        <v>63</v>
      </c>
      <c r="E398" t="inlineStr">
        <is>
          <t>Circulatory</t>
        </is>
      </c>
      <c r="F398" t="n">
        <v>4</v>
      </c>
      <c r="G398" s="29" t="n">
        <v>19715.09</v>
      </c>
    </row>
    <row r="399">
      <c r="A399" t="inlineStr">
        <is>
          <t>ENC121606</t>
        </is>
      </c>
      <c r="B399" t="inlineStr">
        <is>
          <t>Cedar Ridge</t>
        </is>
      </c>
      <c r="C399" s="28" t="n">
        <v>46016</v>
      </c>
      <c r="D399" t="n">
        <v>67</v>
      </c>
      <c r="E399" t="inlineStr">
        <is>
          <t>Genitourinary</t>
        </is>
      </c>
      <c r="F399" t="n">
        <v>1</v>
      </c>
      <c r="G399" s="29" t="n">
        <v>7703.45</v>
      </c>
    </row>
    <row r="400">
      <c r="A400" t="inlineStr">
        <is>
          <t>ENC121489</t>
        </is>
      </c>
      <c r="B400" t="inlineStr">
        <is>
          <t>Cedar Ridge</t>
        </is>
      </c>
      <c r="C400" s="28" t="n">
        <v>46020</v>
      </c>
      <c r="D400" t="n">
        <v>94</v>
      </c>
      <c r="E400" t="inlineStr">
        <is>
          <t>Circulatory</t>
        </is>
      </c>
      <c r="F400" t="n">
        <v>8</v>
      </c>
      <c r="G400" s="29" t="n">
        <v>35772.47</v>
      </c>
    </row>
    <row r="401">
      <c r="A401" t="inlineStr">
        <is>
          <t>ENC121693</t>
        </is>
      </c>
      <c r="B401" t="inlineStr">
        <is>
          <t>Cedar Ridge</t>
        </is>
      </c>
      <c r="C401" s="28" t="n">
        <v>46020</v>
      </c>
      <c r="D401" t="n">
        <v>62</v>
      </c>
      <c r="E401" t="inlineStr">
        <is>
          <t>Circulatory</t>
        </is>
      </c>
      <c r="F401" t="n">
        <v>3</v>
      </c>
      <c r="G401" s="29" t="n">
        <v>27034.35</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10"/>
  <sheetViews>
    <sheetView tabSelected="0" workbookViewId="0">
      <pane ySplit="3" topLeftCell="A4" activePane="bottomLeft" state="frozen"/>
      <selection pane="bottomLeft" activeCell="A1" sqref="A1"/>
    </sheetView>
  </sheetViews>
  <sheetFormatPr baseColWidth="8" defaultRowHeight="15"/>
  <cols>
    <col width="10" customWidth="1" min="1" max="1"/>
  </cols>
  <sheetData>
    <row r="1">
      <c r="A1" s="30" t="inlineStr">
        <is>
          <t>Bin range for the LOS histogram (Task 2)</t>
        </is>
      </c>
    </row>
    <row r="2">
      <c r="A2" s="31" t="inlineStr">
        <is>
          <t>Bin upper limits. Use A4:A10 with FREQUENCY, or start the Histogram tool from this sheet (see the guide).</t>
        </is>
      </c>
    </row>
    <row r="3">
      <c r="A3" s="27" t="inlineStr">
        <is>
          <t>LOSBin</t>
        </is>
      </c>
    </row>
    <row r="4">
      <c r="A4" t="n">
        <v>2</v>
      </c>
    </row>
    <row r="5">
      <c r="A5" t="n">
        <v>4</v>
      </c>
    </row>
    <row r="6">
      <c r="A6" t="n">
        <v>6</v>
      </c>
    </row>
    <row r="7">
      <c r="A7" t="n">
        <v>8</v>
      </c>
    </row>
    <row r="8">
      <c r="A8" t="n">
        <v>10</v>
      </c>
    </row>
    <row r="9">
      <c r="A9" t="n">
        <v>12</v>
      </c>
    </row>
    <row r="10">
      <c r="A10" t="n">
        <v>14</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629"/>
  <sheetViews>
    <sheetView tabSelected="0" workbookViewId="0">
      <pane ySplit="1" topLeftCell="A2" activePane="bottomLeft" state="frozen"/>
      <selection pane="bottomLeft" activeCell="A1" sqref="A1"/>
    </sheetView>
  </sheetViews>
  <sheetFormatPr baseColWidth="8" defaultRowHeight="15"/>
  <cols>
    <col width="11" customWidth="1" min="1" max="1"/>
    <col width="21" customWidth="1" min="2" max="2"/>
    <col width="17" customWidth="1" min="3" max="3"/>
    <col width="10" customWidth="1" min="4" max="4"/>
    <col width="19" customWidth="1" min="5" max="5"/>
  </cols>
  <sheetData>
    <row r="1">
      <c r="A1" s="27" t="inlineStr">
        <is>
          <t>EDVisitID</t>
        </is>
      </c>
      <c r="B1" s="27" t="inlineStr">
        <is>
          <t>Facility</t>
        </is>
      </c>
      <c r="C1" s="27" t="inlineStr">
        <is>
          <t>ArrivalDateTime</t>
        </is>
      </c>
      <c r="D1" s="27" t="inlineStr">
        <is>
          <t>ESILevel</t>
        </is>
      </c>
      <c r="E1" s="27" t="inlineStr">
        <is>
          <t>DoorToProviderMin</t>
        </is>
      </c>
    </row>
    <row r="2">
      <c r="A2" t="inlineStr">
        <is>
          <t>ED210665</t>
        </is>
      </c>
      <c r="B2" t="inlineStr">
        <is>
          <t>Bluestone Memorial</t>
        </is>
      </c>
      <c r="C2" s="32" t="n">
        <v>45931.13402777778</v>
      </c>
      <c r="D2" t="n">
        <v>3</v>
      </c>
      <c r="E2" t="n">
        <v>52</v>
      </c>
    </row>
    <row r="3">
      <c r="A3" t="inlineStr">
        <is>
          <t>ED210666</t>
        </is>
      </c>
      <c r="B3" t="inlineStr">
        <is>
          <t>Bluestone Memorial</t>
        </is>
      </c>
      <c r="C3" s="32" t="n">
        <v>45931.36041666667</v>
      </c>
      <c r="D3" t="n">
        <v>4</v>
      </c>
      <c r="E3" t="n">
        <v>33</v>
      </c>
    </row>
    <row r="4">
      <c r="A4" t="inlineStr">
        <is>
          <t>ED210667</t>
        </is>
      </c>
      <c r="B4" t="inlineStr">
        <is>
          <t>Bluestone Memorial</t>
        </is>
      </c>
      <c r="C4" s="32" t="n">
        <v>45931.38125</v>
      </c>
      <c r="D4" t="n">
        <v>3</v>
      </c>
      <c r="E4" t="n">
        <v>52</v>
      </c>
    </row>
    <row r="5">
      <c r="A5" t="inlineStr">
        <is>
          <t>ED210668</t>
        </is>
      </c>
      <c r="B5" t="inlineStr">
        <is>
          <t>Bluestone Memorial</t>
        </is>
      </c>
      <c r="C5" s="32" t="n">
        <v>45931.41805555556</v>
      </c>
      <c r="D5" t="n">
        <v>3</v>
      </c>
      <c r="E5" t="n">
        <v>61</v>
      </c>
    </row>
    <row r="6">
      <c r="A6" t="inlineStr">
        <is>
          <t>ED210670</t>
        </is>
      </c>
      <c r="B6" t="inlineStr">
        <is>
          <t>Bluestone Memorial</t>
        </is>
      </c>
      <c r="C6" s="32" t="n">
        <v>45931.43611111111</v>
      </c>
      <c r="D6" t="n">
        <v>3</v>
      </c>
      <c r="E6" t="n">
        <v>105</v>
      </c>
    </row>
    <row r="7">
      <c r="A7" t="inlineStr">
        <is>
          <t>ED210671</t>
        </is>
      </c>
      <c r="B7" t="inlineStr">
        <is>
          <t>Bluestone Memorial</t>
        </is>
      </c>
      <c r="C7" s="32" t="n">
        <v>45931.50694444445</v>
      </c>
      <c r="D7" t="n">
        <v>4</v>
      </c>
      <c r="E7" t="n">
        <v>74</v>
      </c>
    </row>
    <row r="8">
      <c r="A8" t="inlineStr">
        <is>
          <t>ED210672</t>
        </is>
      </c>
      <c r="B8" t="inlineStr">
        <is>
          <t>Bluestone Memorial</t>
        </is>
      </c>
      <c r="C8" s="32" t="n">
        <v>45931.53819444445</v>
      </c>
      <c r="D8" t="n">
        <v>4</v>
      </c>
      <c r="E8" t="n">
        <v>36</v>
      </c>
    </row>
    <row r="9">
      <c r="A9" t="inlineStr">
        <is>
          <t>ED210673</t>
        </is>
      </c>
      <c r="B9" t="inlineStr">
        <is>
          <t>Bluestone Memorial</t>
        </is>
      </c>
      <c r="C9" s="32" t="n">
        <v>45931.55694444444</v>
      </c>
      <c r="D9" t="n">
        <v>4</v>
      </c>
      <c r="E9" t="n">
        <v>38</v>
      </c>
    </row>
    <row r="10">
      <c r="A10" t="inlineStr">
        <is>
          <t>ED210675</t>
        </is>
      </c>
      <c r="B10" t="inlineStr">
        <is>
          <t>Bluestone Memorial</t>
        </is>
      </c>
      <c r="C10" s="32" t="n">
        <v>45931.69583333333</v>
      </c>
      <c r="D10" t="n">
        <v>2</v>
      </c>
      <c r="E10" t="n">
        <v>25</v>
      </c>
    </row>
    <row r="11">
      <c r="A11" t="inlineStr">
        <is>
          <t>ED210678</t>
        </is>
      </c>
      <c r="B11" t="inlineStr">
        <is>
          <t>Bluestone Memorial</t>
        </is>
      </c>
      <c r="C11" s="32" t="n">
        <v>45931.81597222222</v>
      </c>
      <c r="D11" t="n">
        <v>3</v>
      </c>
      <c r="E11" t="n">
        <v>114</v>
      </c>
    </row>
    <row r="12">
      <c r="A12" t="inlineStr">
        <is>
          <t>ED210679</t>
        </is>
      </c>
      <c r="B12" t="inlineStr">
        <is>
          <t>Bluestone Memorial</t>
        </is>
      </c>
      <c r="C12" s="32" t="n">
        <v>45932.03680555556</v>
      </c>
      <c r="D12" t="n">
        <v>3</v>
      </c>
      <c r="E12" t="n">
        <v>51</v>
      </c>
    </row>
    <row r="13">
      <c r="A13" t="inlineStr">
        <is>
          <t>ED210680</t>
        </is>
      </c>
      <c r="B13" t="inlineStr">
        <is>
          <t>Bluestone Memorial</t>
        </is>
      </c>
      <c r="C13" s="32" t="n">
        <v>45932.29027777778</v>
      </c>
      <c r="D13" t="n">
        <v>2</v>
      </c>
      <c r="E13" t="n">
        <v>31</v>
      </c>
    </row>
    <row r="14">
      <c r="A14" t="inlineStr">
        <is>
          <t>ED210682</t>
        </is>
      </c>
      <c r="B14" t="inlineStr">
        <is>
          <t>Bluestone Memorial</t>
        </is>
      </c>
      <c r="C14" s="32" t="n">
        <v>45932.34583333333</v>
      </c>
      <c r="D14" t="n">
        <v>3</v>
      </c>
      <c r="E14" t="n">
        <v>28</v>
      </c>
    </row>
    <row r="15">
      <c r="A15" t="inlineStr">
        <is>
          <t>ED210683</t>
        </is>
      </c>
      <c r="B15" t="inlineStr">
        <is>
          <t>Bluestone Memorial</t>
        </is>
      </c>
      <c r="C15" s="32" t="n">
        <v>45932.42222222222</v>
      </c>
      <c r="D15" t="n">
        <v>5</v>
      </c>
      <c r="E15" t="n">
        <v>18</v>
      </c>
    </row>
    <row r="16">
      <c r="A16" t="inlineStr">
        <is>
          <t>ED210685</t>
        </is>
      </c>
      <c r="B16" t="inlineStr">
        <is>
          <t>Bluestone Memorial</t>
        </is>
      </c>
      <c r="C16" s="32" t="n">
        <v>45932.55972222222</v>
      </c>
      <c r="D16" t="n">
        <v>3</v>
      </c>
      <c r="E16" t="n">
        <v>86</v>
      </c>
    </row>
    <row r="17">
      <c r="A17" t="inlineStr">
        <is>
          <t>ED210686</t>
        </is>
      </c>
      <c r="B17" t="inlineStr">
        <is>
          <t>Bluestone Memorial</t>
        </is>
      </c>
      <c r="C17" s="32" t="n">
        <v>45932.56666666667</v>
      </c>
      <c r="D17" t="n">
        <v>5</v>
      </c>
      <c r="E17" t="n">
        <v>210</v>
      </c>
    </row>
    <row r="18">
      <c r="A18" t="inlineStr">
        <is>
          <t>ED210688</t>
        </is>
      </c>
      <c r="B18" t="inlineStr">
        <is>
          <t>Bluestone Memorial</t>
        </is>
      </c>
      <c r="C18" s="32" t="n">
        <v>45932.69930555556</v>
      </c>
      <c r="D18" t="n">
        <v>3</v>
      </c>
      <c r="E18" t="n">
        <v>77</v>
      </c>
    </row>
    <row r="19">
      <c r="A19" t="inlineStr">
        <is>
          <t>ED210689</t>
        </is>
      </c>
      <c r="B19" t="inlineStr">
        <is>
          <t>Bluestone Memorial</t>
        </is>
      </c>
      <c r="C19" s="32" t="n">
        <v>45932.70138888889</v>
      </c>
      <c r="D19" t="n">
        <v>3</v>
      </c>
      <c r="E19" t="n">
        <v>44</v>
      </c>
    </row>
    <row r="20">
      <c r="A20" t="inlineStr">
        <is>
          <t>ED210692</t>
        </is>
      </c>
      <c r="B20" t="inlineStr">
        <is>
          <t>Bluestone Memorial</t>
        </is>
      </c>
      <c r="C20" s="32" t="n">
        <v>45932.93055555555</v>
      </c>
      <c r="D20" t="n">
        <v>3</v>
      </c>
      <c r="E20" t="n">
        <v>57</v>
      </c>
    </row>
    <row r="21">
      <c r="A21" t="inlineStr">
        <is>
          <t>ED210693</t>
        </is>
      </c>
      <c r="B21" t="inlineStr">
        <is>
          <t>Bluestone Memorial</t>
        </is>
      </c>
      <c r="C21" s="32" t="n">
        <v>45933.10347222222</v>
      </c>
      <c r="D21" t="n">
        <v>3</v>
      </c>
      <c r="E21" t="n">
        <v>18</v>
      </c>
    </row>
    <row r="22">
      <c r="A22" t="inlineStr">
        <is>
          <t>ED210694</t>
        </is>
      </c>
      <c r="B22" t="inlineStr">
        <is>
          <t>Bluestone Memorial</t>
        </is>
      </c>
      <c r="C22" s="32" t="n">
        <v>45933.11875</v>
      </c>
      <c r="D22" t="n">
        <v>4</v>
      </c>
      <c r="E22" t="n">
        <v>44</v>
      </c>
    </row>
    <row r="23">
      <c r="A23" t="inlineStr">
        <is>
          <t>ED210695</t>
        </is>
      </c>
      <c r="B23" t="inlineStr">
        <is>
          <t>Bluestone Memorial</t>
        </is>
      </c>
      <c r="C23" s="32" t="n">
        <v>45933.2125</v>
      </c>
      <c r="D23" t="n">
        <v>3</v>
      </c>
      <c r="E23" t="n">
        <v>36</v>
      </c>
    </row>
    <row r="24">
      <c r="A24" t="inlineStr">
        <is>
          <t>ED210698</t>
        </is>
      </c>
      <c r="B24" t="inlineStr">
        <is>
          <t>Bluestone Memorial</t>
        </is>
      </c>
      <c r="C24" s="32" t="n">
        <v>45933.36736111111</v>
      </c>
      <c r="D24" t="n">
        <v>1</v>
      </c>
      <c r="E24" t="n">
        <v>3</v>
      </c>
    </row>
    <row r="25">
      <c r="A25" t="inlineStr">
        <is>
          <t>ED210700</t>
        </is>
      </c>
      <c r="B25" t="inlineStr">
        <is>
          <t>Bluestone Memorial</t>
        </is>
      </c>
      <c r="C25" s="32" t="n">
        <v>45933.42916666667</v>
      </c>
      <c r="D25" t="n">
        <v>4</v>
      </c>
      <c r="E25" t="n">
        <v>56</v>
      </c>
    </row>
    <row r="26">
      <c r="A26" t="inlineStr">
        <is>
          <t>ED210703</t>
        </is>
      </c>
      <c r="B26" t="inlineStr">
        <is>
          <t>Bluestone Memorial</t>
        </is>
      </c>
      <c r="C26" s="32" t="n">
        <v>45933.54444444444</v>
      </c>
      <c r="D26" t="n">
        <v>3</v>
      </c>
      <c r="E26" t="n">
        <v>36</v>
      </c>
    </row>
    <row r="27">
      <c r="A27" t="inlineStr">
        <is>
          <t>ED210704</t>
        </is>
      </c>
      <c r="B27" t="inlineStr">
        <is>
          <t>Bluestone Memorial</t>
        </is>
      </c>
      <c r="C27" s="32" t="n">
        <v>45933.575</v>
      </c>
      <c r="D27" t="n">
        <v>4</v>
      </c>
      <c r="E27" t="n">
        <v>95</v>
      </c>
    </row>
    <row r="28">
      <c r="A28" t="inlineStr">
        <is>
          <t>ED210705</t>
        </is>
      </c>
      <c r="B28" t="inlineStr">
        <is>
          <t>Bluestone Memorial</t>
        </is>
      </c>
      <c r="C28" s="32" t="n">
        <v>45933.59444444445</v>
      </c>
      <c r="D28" t="n">
        <v>2</v>
      </c>
      <c r="E28" t="n">
        <v>22</v>
      </c>
    </row>
    <row r="29">
      <c r="A29" t="inlineStr">
        <is>
          <t>ED210708</t>
        </is>
      </c>
      <c r="B29" t="inlineStr">
        <is>
          <t>Bluestone Memorial</t>
        </is>
      </c>
      <c r="C29" s="32" t="n">
        <v>45933.73402777778</v>
      </c>
      <c r="D29" t="n">
        <v>3</v>
      </c>
      <c r="E29" t="n">
        <v>22</v>
      </c>
    </row>
    <row r="30">
      <c r="A30" t="inlineStr">
        <is>
          <t>ED210709</t>
        </is>
      </c>
      <c r="B30" t="inlineStr">
        <is>
          <t>Bluestone Memorial</t>
        </is>
      </c>
      <c r="C30" s="32" t="n">
        <v>45933.86041666667</v>
      </c>
      <c r="D30" t="n">
        <v>4</v>
      </c>
      <c r="E30" t="n">
        <v>190</v>
      </c>
    </row>
    <row r="31">
      <c r="A31" t="inlineStr">
        <is>
          <t>ED210710</t>
        </is>
      </c>
      <c r="B31" t="inlineStr">
        <is>
          <t>Bluestone Memorial</t>
        </is>
      </c>
      <c r="C31" s="32" t="n">
        <v>45933.91597222222</v>
      </c>
      <c r="D31" t="n">
        <v>4</v>
      </c>
      <c r="E31" t="n">
        <v>88</v>
      </c>
    </row>
    <row r="32">
      <c r="A32" t="inlineStr">
        <is>
          <t>ED210712</t>
        </is>
      </c>
      <c r="B32" t="inlineStr">
        <is>
          <t>Bluestone Memorial</t>
        </is>
      </c>
      <c r="C32" s="32" t="n">
        <v>45934.04930555556</v>
      </c>
      <c r="D32" t="n">
        <v>1</v>
      </c>
      <c r="E32" t="n">
        <v>3</v>
      </c>
    </row>
    <row r="33">
      <c r="A33" t="inlineStr">
        <is>
          <t>ED210714</t>
        </is>
      </c>
      <c r="B33" t="inlineStr">
        <is>
          <t>Bluestone Memorial</t>
        </is>
      </c>
      <c r="C33" s="32" t="n">
        <v>45934.15277777778</v>
      </c>
      <c r="D33" t="n">
        <v>2</v>
      </c>
      <c r="E33" t="n">
        <v>17</v>
      </c>
    </row>
    <row r="34">
      <c r="A34" t="inlineStr">
        <is>
          <t>ED210715</t>
        </is>
      </c>
      <c r="B34" t="inlineStr">
        <is>
          <t>Bluestone Memorial</t>
        </is>
      </c>
      <c r="C34" s="32" t="n">
        <v>45934.20555555556</v>
      </c>
      <c r="D34" t="n">
        <v>4</v>
      </c>
      <c r="E34" t="n">
        <v>39</v>
      </c>
    </row>
    <row r="35">
      <c r="A35" t="inlineStr">
        <is>
          <t>ED210716</t>
        </is>
      </c>
      <c r="B35" t="inlineStr">
        <is>
          <t>Bluestone Memorial</t>
        </is>
      </c>
      <c r="C35" s="32" t="n">
        <v>45934.27847222222</v>
      </c>
      <c r="D35" t="n">
        <v>4</v>
      </c>
      <c r="E35" t="n">
        <v>30</v>
      </c>
    </row>
    <row r="36">
      <c r="A36" t="inlineStr">
        <is>
          <t>ED210717</t>
        </is>
      </c>
      <c r="B36" t="inlineStr">
        <is>
          <t>Bluestone Memorial</t>
        </is>
      </c>
      <c r="C36" s="32" t="n">
        <v>45934.37708333333</v>
      </c>
      <c r="D36" t="n">
        <v>4</v>
      </c>
    </row>
    <row r="37">
      <c r="A37" t="inlineStr">
        <is>
          <t>ED210719</t>
        </is>
      </c>
      <c r="B37" t="inlineStr">
        <is>
          <t>Bluestone Memorial</t>
        </is>
      </c>
      <c r="C37" s="32" t="n">
        <v>45934.50694444445</v>
      </c>
      <c r="D37" t="n">
        <v>3</v>
      </c>
      <c r="E37" t="n">
        <v>65</v>
      </c>
    </row>
    <row r="38">
      <c r="A38" t="inlineStr">
        <is>
          <t>ED210720</t>
        </is>
      </c>
      <c r="B38" t="inlineStr">
        <is>
          <t>Bluestone Memorial</t>
        </is>
      </c>
      <c r="C38" s="32" t="n">
        <v>45934.59444444445</v>
      </c>
      <c r="D38" t="n">
        <v>3</v>
      </c>
      <c r="E38" t="n">
        <v>85</v>
      </c>
    </row>
    <row r="39">
      <c r="A39" t="inlineStr">
        <is>
          <t>ED210721</t>
        </is>
      </c>
      <c r="B39" t="inlineStr">
        <is>
          <t>Bluestone Memorial</t>
        </is>
      </c>
      <c r="C39" s="32" t="n">
        <v>45934.62708333333</v>
      </c>
      <c r="D39" t="n">
        <v>2</v>
      </c>
      <c r="E39" t="n">
        <v>42</v>
      </c>
    </row>
    <row r="40">
      <c r="A40" t="inlineStr">
        <is>
          <t>ED210722</t>
        </is>
      </c>
      <c r="B40" t="inlineStr">
        <is>
          <t>Bluestone Memorial</t>
        </is>
      </c>
      <c r="C40" s="32" t="n">
        <v>45934.68333333333</v>
      </c>
      <c r="D40" t="n">
        <v>1</v>
      </c>
      <c r="E40" t="n">
        <v>3</v>
      </c>
    </row>
    <row r="41">
      <c r="A41" t="inlineStr">
        <is>
          <t>ED210723</t>
        </is>
      </c>
      <c r="B41" t="inlineStr">
        <is>
          <t>Bluestone Memorial</t>
        </is>
      </c>
      <c r="C41" s="32" t="n">
        <v>45934.71944444445</v>
      </c>
      <c r="D41" t="n">
        <v>4</v>
      </c>
      <c r="E41" t="n">
        <v>136</v>
      </c>
    </row>
    <row r="42">
      <c r="A42" t="inlineStr">
        <is>
          <t>ED210724</t>
        </is>
      </c>
      <c r="B42" t="inlineStr">
        <is>
          <t>Bluestone Memorial</t>
        </is>
      </c>
      <c r="C42" s="32" t="n">
        <v>45934.72013888889</v>
      </c>
      <c r="D42" t="n">
        <v>3</v>
      </c>
      <c r="E42" t="n">
        <v>99</v>
      </c>
    </row>
    <row r="43">
      <c r="A43" t="inlineStr">
        <is>
          <t>ED210725</t>
        </is>
      </c>
      <c r="B43" t="inlineStr">
        <is>
          <t>Bluestone Memorial</t>
        </is>
      </c>
      <c r="C43" s="32" t="n">
        <v>45934.73819444444</v>
      </c>
      <c r="D43" t="n">
        <v>4</v>
      </c>
      <c r="E43" t="n">
        <v>40</v>
      </c>
    </row>
    <row r="44">
      <c r="A44" t="inlineStr">
        <is>
          <t>ED210726</t>
        </is>
      </c>
      <c r="B44" t="inlineStr">
        <is>
          <t>Bluestone Memorial</t>
        </is>
      </c>
      <c r="C44" s="32" t="n">
        <v>45934.77083333334</v>
      </c>
      <c r="D44" t="n">
        <v>3</v>
      </c>
      <c r="E44" t="n">
        <v>96</v>
      </c>
    </row>
    <row r="45">
      <c r="A45" t="inlineStr">
        <is>
          <t>ED210727</t>
        </is>
      </c>
      <c r="B45" t="inlineStr">
        <is>
          <t>Bluestone Memorial</t>
        </is>
      </c>
      <c r="C45" s="32" t="n">
        <v>45934.77708333333</v>
      </c>
      <c r="D45" t="n">
        <v>3</v>
      </c>
      <c r="E45" t="n">
        <v>88</v>
      </c>
    </row>
    <row r="46">
      <c r="A46" t="inlineStr">
        <is>
          <t>ED210728</t>
        </is>
      </c>
      <c r="B46" t="inlineStr">
        <is>
          <t>Bluestone Memorial</t>
        </is>
      </c>
      <c r="C46" s="32" t="n">
        <v>45934.79097222222</v>
      </c>
      <c r="D46" t="n">
        <v>4</v>
      </c>
      <c r="E46" t="n">
        <v>40</v>
      </c>
    </row>
    <row r="47">
      <c r="A47" t="inlineStr">
        <is>
          <t>ED210730</t>
        </is>
      </c>
      <c r="B47" t="inlineStr">
        <is>
          <t>Bluestone Memorial</t>
        </is>
      </c>
      <c r="C47" s="32" t="n">
        <v>45934.86736111111</v>
      </c>
      <c r="D47" t="n">
        <v>5</v>
      </c>
      <c r="E47" t="n">
        <v>86</v>
      </c>
    </row>
    <row r="48">
      <c r="A48" t="inlineStr">
        <is>
          <t>ED210731</t>
        </is>
      </c>
      <c r="B48" t="inlineStr">
        <is>
          <t>Bluestone Memorial</t>
        </is>
      </c>
      <c r="C48" s="32" t="n">
        <v>45934.93263888889</v>
      </c>
      <c r="D48" t="n">
        <v>5</v>
      </c>
      <c r="E48" t="n">
        <v>87</v>
      </c>
    </row>
    <row r="49">
      <c r="A49" t="inlineStr">
        <is>
          <t>ED210732</t>
        </is>
      </c>
      <c r="B49" t="inlineStr">
        <is>
          <t>Bluestone Memorial</t>
        </is>
      </c>
      <c r="C49" s="32" t="n">
        <v>45935.41666666666</v>
      </c>
      <c r="D49" t="n">
        <v>3</v>
      </c>
      <c r="E49" t="n">
        <v>67</v>
      </c>
    </row>
    <row r="50">
      <c r="A50" t="inlineStr">
        <is>
          <t>ED210733</t>
        </is>
      </c>
      <c r="B50" t="inlineStr">
        <is>
          <t>Bluestone Memorial</t>
        </is>
      </c>
      <c r="C50" s="32" t="n">
        <v>45935.50833333333</v>
      </c>
      <c r="D50" t="n">
        <v>3</v>
      </c>
      <c r="E50" t="n">
        <v>14</v>
      </c>
    </row>
    <row r="51">
      <c r="A51" t="inlineStr">
        <is>
          <t>ED210734</t>
        </is>
      </c>
      <c r="B51" t="inlineStr">
        <is>
          <t>Bluestone Memorial</t>
        </is>
      </c>
      <c r="C51" s="32" t="n">
        <v>45935.525</v>
      </c>
      <c r="D51" t="n">
        <v>4</v>
      </c>
      <c r="E51" t="n">
        <v>38</v>
      </c>
    </row>
    <row r="52">
      <c r="A52" t="inlineStr">
        <is>
          <t>ED210736</t>
        </is>
      </c>
      <c r="B52" t="inlineStr">
        <is>
          <t>Bluestone Memorial</t>
        </is>
      </c>
      <c r="C52" s="32" t="n">
        <v>45935.5875</v>
      </c>
      <c r="D52" t="n">
        <v>2</v>
      </c>
      <c r="E52" t="n">
        <v>10</v>
      </c>
    </row>
    <row r="53">
      <c r="A53" t="inlineStr">
        <is>
          <t>ED210737</t>
        </is>
      </c>
      <c r="B53" t="inlineStr">
        <is>
          <t>Bluestone Memorial</t>
        </is>
      </c>
      <c r="C53" s="32" t="n">
        <v>45935.60694444444</v>
      </c>
      <c r="D53" t="n">
        <v>3</v>
      </c>
      <c r="E53" t="n">
        <v>82</v>
      </c>
    </row>
    <row r="54">
      <c r="A54" t="inlineStr">
        <is>
          <t>ED210738</t>
        </is>
      </c>
      <c r="B54" t="inlineStr">
        <is>
          <t>Bluestone Memorial</t>
        </is>
      </c>
      <c r="C54" s="32" t="n">
        <v>45935.6625</v>
      </c>
      <c r="D54" t="n">
        <v>4</v>
      </c>
      <c r="E54" t="n">
        <v>48</v>
      </c>
    </row>
    <row r="55">
      <c r="A55" t="inlineStr">
        <is>
          <t>ED210739</t>
        </is>
      </c>
      <c r="B55" t="inlineStr">
        <is>
          <t>Bluestone Memorial</t>
        </is>
      </c>
      <c r="C55" s="32" t="n">
        <v>45935.69305555556</v>
      </c>
      <c r="D55" t="n">
        <v>3</v>
      </c>
      <c r="E55" t="n">
        <v>38</v>
      </c>
    </row>
    <row r="56">
      <c r="A56" t="inlineStr">
        <is>
          <t>ED210741</t>
        </is>
      </c>
      <c r="B56" t="inlineStr">
        <is>
          <t>Bluestone Memorial</t>
        </is>
      </c>
      <c r="C56" s="32" t="n">
        <v>45935.74444444444</v>
      </c>
      <c r="D56" t="n">
        <v>3</v>
      </c>
      <c r="E56" t="n">
        <v>12</v>
      </c>
    </row>
    <row r="57">
      <c r="A57" t="inlineStr">
        <is>
          <t>ED210744</t>
        </is>
      </c>
      <c r="B57" t="inlineStr">
        <is>
          <t>Bluestone Memorial</t>
        </is>
      </c>
      <c r="C57" s="32" t="n">
        <v>45935.82013888889</v>
      </c>
      <c r="D57" t="n">
        <v>4</v>
      </c>
      <c r="E57" t="n">
        <v>87</v>
      </c>
    </row>
    <row r="58">
      <c r="A58" t="inlineStr">
        <is>
          <t>ED210745</t>
        </is>
      </c>
      <c r="B58" t="inlineStr">
        <is>
          <t>Bluestone Memorial</t>
        </is>
      </c>
      <c r="C58" s="32" t="n">
        <v>45936.16111111111</v>
      </c>
      <c r="D58" t="n">
        <v>1</v>
      </c>
      <c r="E58" t="n">
        <v>2</v>
      </c>
    </row>
    <row r="59">
      <c r="A59" t="inlineStr">
        <is>
          <t>ED210748</t>
        </is>
      </c>
      <c r="B59" t="inlineStr">
        <is>
          <t>Bluestone Memorial</t>
        </is>
      </c>
      <c r="C59" s="32" t="n">
        <v>45936.39722222222</v>
      </c>
      <c r="D59" t="n">
        <v>1</v>
      </c>
      <c r="E59" t="n">
        <v>3</v>
      </c>
    </row>
    <row r="60">
      <c r="A60" t="inlineStr">
        <is>
          <t>ED210749</t>
        </is>
      </c>
      <c r="B60" t="inlineStr">
        <is>
          <t>Bluestone Memorial</t>
        </is>
      </c>
      <c r="C60" s="32" t="n">
        <v>45936.44236111111</v>
      </c>
      <c r="D60" t="n">
        <v>3</v>
      </c>
      <c r="E60" t="n">
        <v>78</v>
      </c>
    </row>
    <row r="61">
      <c r="A61" t="inlineStr">
        <is>
          <t>ED210750</t>
        </is>
      </c>
      <c r="B61" t="inlineStr">
        <is>
          <t>Bluestone Memorial</t>
        </is>
      </c>
      <c r="C61" s="32" t="n">
        <v>45936.44652777778</v>
      </c>
      <c r="D61" t="n">
        <v>4</v>
      </c>
      <c r="E61" t="n">
        <v>59</v>
      </c>
    </row>
    <row r="62">
      <c r="A62" t="inlineStr">
        <is>
          <t>ED210752</t>
        </is>
      </c>
      <c r="B62" t="inlineStr">
        <is>
          <t>Bluestone Memorial</t>
        </is>
      </c>
      <c r="C62" s="32" t="n">
        <v>45936.50833333333</v>
      </c>
      <c r="D62" t="n">
        <v>3</v>
      </c>
      <c r="E62" t="n">
        <v>108</v>
      </c>
    </row>
    <row r="63">
      <c r="A63" t="inlineStr">
        <is>
          <t>ED210754</t>
        </is>
      </c>
      <c r="B63" t="inlineStr">
        <is>
          <t>Bluestone Memorial</t>
        </is>
      </c>
      <c r="C63" s="32" t="n">
        <v>45936.53402777778</v>
      </c>
      <c r="D63" t="n">
        <v>2</v>
      </c>
      <c r="E63" t="n">
        <v>20</v>
      </c>
    </row>
    <row r="64">
      <c r="A64" t="inlineStr">
        <is>
          <t>ED210756</t>
        </is>
      </c>
      <c r="B64" t="inlineStr">
        <is>
          <t>Bluestone Memorial</t>
        </is>
      </c>
      <c r="C64" s="32" t="n">
        <v>45936.61319444444</v>
      </c>
      <c r="D64" t="n">
        <v>2</v>
      </c>
      <c r="E64" t="n">
        <v>29</v>
      </c>
    </row>
    <row r="65">
      <c r="A65" t="inlineStr">
        <is>
          <t>ED210757</t>
        </is>
      </c>
      <c r="B65" t="inlineStr">
        <is>
          <t>Bluestone Memorial</t>
        </is>
      </c>
      <c r="C65" s="32" t="n">
        <v>45936.61666666667</v>
      </c>
      <c r="D65" t="n">
        <v>3</v>
      </c>
      <c r="E65" t="n">
        <v>113</v>
      </c>
    </row>
    <row r="66">
      <c r="A66" t="inlineStr">
        <is>
          <t>ED210758</t>
        </is>
      </c>
      <c r="B66" t="inlineStr">
        <is>
          <t>Bluestone Memorial</t>
        </is>
      </c>
      <c r="C66" s="32" t="n">
        <v>45936.63125</v>
      </c>
      <c r="D66" t="n">
        <v>2</v>
      </c>
      <c r="E66" t="n">
        <v>38</v>
      </c>
    </row>
    <row r="67">
      <c r="A67" t="inlineStr">
        <is>
          <t>ED210760</t>
        </is>
      </c>
      <c r="B67" t="inlineStr">
        <is>
          <t>Bluestone Memorial</t>
        </is>
      </c>
      <c r="C67" s="32" t="n">
        <v>45936.64444444444</v>
      </c>
      <c r="D67" t="n">
        <v>4</v>
      </c>
      <c r="E67" t="n">
        <v>88</v>
      </c>
    </row>
    <row r="68">
      <c r="A68" t="inlineStr">
        <is>
          <t>ED210761</t>
        </is>
      </c>
      <c r="B68" t="inlineStr">
        <is>
          <t>Bluestone Memorial</t>
        </is>
      </c>
      <c r="C68" s="32" t="n">
        <v>45936.66805555556</v>
      </c>
      <c r="D68" t="n">
        <v>3</v>
      </c>
      <c r="E68" t="n">
        <v>22</v>
      </c>
    </row>
    <row r="69">
      <c r="A69" t="inlineStr">
        <is>
          <t>ED210762</t>
        </is>
      </c>
      <c r="B69" t="inlineStr">
        <is>
          <t>Bluestone Memorial</t>
        </is>
      </c>
      <c r="C69" s="32" t="n">
        <v>45936.68611111111</v>
      </c>
      <c r="D69" t="n">
        <v>3</v>
      </c>
      <c r="E69" t="n">
        <v>34</v>
      </c>
    </row>
    <row r="70">
      <c r="A70" t="inlineStr">
        <is>
          <t>ED210763</t>
        </is>
      </c>
      <c r="B70" t="inlineStr">
        <is>
          <t>Bluestone Memorial</t>
        </is>
      </c>
      <c r="C70" s="32" t="n">
        <v>45936.72222222222</v>
      </c>
      <c r="D70" t="n">
        <v>4</v>
      </c>
      <c r="E70" t="n">
        <v>154</v>
      </c>
    </row>
    <row r="71">
      <c r="A71" t="inlineStr">
        <is>
          <t>ED210764</t>
        </is>
      </c>
      <c r="B71" t="inlineStr">
        <is>
          <t>Bluestone Memorial</t>
        </is>
      </c>
      <c r="C71" s="32" t="n">
        <v>45936.75763888889</v>
      </c>
      <c r="D71" t="n">
        <v>3</v>
      </c>
      <c r="E71" t="n">
        <v>31</v>
      </c>
    </row>
    <row r="72">
      <c r="A72" t="inlineStr">
        <is>
          <t>ED210765</t>
        </is>
      </c>
      <c r="B72" t="inlineStr">
        <is>
          <t>Bluestone Memorial</t>
        </is>
      </c>
      <c r="C72" s="32" t="n">
        <v>45936.78194444445</v>
      </c>
      <c r="D72" t="n">
        <v>3</v>
      </c>
    </row>
    <row r="73">
      <c r="A73" t="inlineStr">
        <is>
          <t>ED210766</t>
        </is>
      </c>
      <c r="B73" t="inlineStr">
        <is>
          <t>Bluestone Memorial</t>
        </is>
      </c>
      <c r="C73" s="32" t="n">
        <v>45936.90763888889</v>
      </c>
      <c r="D73" t="n">
        <v>2</v>
      </c>
      <c r="E73" t="n">
        <v>18</v>
      </c>
    </row>
    <row r="74">
      <c r="A74" t="inlineStr">
        <is>
          <t>ED210767</t>
        </is>
      </c>
      <c r="B74" t="inlineStr">
        <is>
          <t>Bluestone Memorial</t>
        </is>
      </c>
      <c r="C74" s="32" t="n">
        <v>45936.95138888889</v>
      </c>
      <c r="D74" t="n">
        <v>5</v>
      </c>
      <c r="E74" t="n">
        <v>41</v>
      </c>
    </row>
    <row r="75">
      <c r="A75" t="inlineStr">
        <is>
          <t>ED210768</t>
        </is>
      </c>
      <c r="B75" t="inlineStr">
        <is>
          <t>Bluestone Memorial</t>
        </is>
      </c>
      <c r="C75" s="32" t="n">
        <v>45937.02152777778</v>
      </c>
      <c r="D75" t="n">
        <v>5</v>
      </c>
      <c r="E75" t="n">
        <v>81</v>
      </c>
    </row>
    <row r="76">
      <c r="A76" t="inlineStr">
        <is>
          <t>ED210769</t>
        </is>
      </c>
      <c r="B76" t="inlineStr">
        <is>
          <t>Bluestone Memorial</t>
        </is>
      </c>
      <c r="C76" s="32" t="n">
        <v>45937.06388888889</v>
      </c>
      <c r="D76" t="n">
        <v>3</v>
      </c>
      <c r="E76" t="n">
        <v>21</v>
      </c>
    </row>
    <row r="77">
      <c r="A77" t="inlineStr">
        <is>
          <t>ED210770</t>
        </is>
      </c>
      <c r="B77" t="inlineStr">
        <is>
          <t>Bluestone Memorial</t>
        </is>
      </c>
      <c r="C77" s="32" t="n">
        <v>45937.21875</v>
      </c>
      <c r="D77" t="n">
        <v>4</v>
      </c>
      <c r="E77" t="n">
        <v>22</v>
      </c>
    </row>
    <row r="78">
      <c r="A78" t="inlineStr">
        <is>
          <t>ED210771</t>
        </is>
      </c>
      <c r="B78" t="inlineStr">
        <is>
          <t>Bluestone Memorial</t>
        </is>
      </c>
      <c r="C78" s="32" t="n">
        <v>45937.34722222222</v>
      </c>
      <c r="D78" t="n">
        <v>5</v>
      </c>
      <c r="E78" t="n">
        <v>45</v>
      </c>
    </row>
    <row r="79">
      <c r="A79" t="inlineStr">
        <is>
          <t>ED210776</t>
        </is>
      </c>
      <c r="B79" t="inlineStr">
        <is>
          <t>Bluestone Memorial</t>
        </is>
      </c>
      <c r="C79" s="32" t="n">
        <v>45937.68402777778</v>
      </c>
      <c r="D79" t="n">
        <v>2</v>
      </c>
      <c r="E79" t="n">
        <v>18</v>
      </c>
    </row>
    <row r="80">
      <c r="A80" t="inlineStr">
        <is>
          <t>ED210777</t>
        </is>
      </c>
      <c r="B80" t="inlineStr">
        <is>
          <t>Bluestone Memorial</t>
        </is>
      </c>
      <c r="C80" s="32" t="n">
        <v>45937.69305555556</v>
      </c>
      <c r="D80" t="n">
        <v>5</v>
      </c>
      <c r="E80" t="n">
        <v>67</v>
      </c>
    </row>
    <row r="81">
      <c r="A81" t="inlineStr">
        <is>
          <t>ED210778</t>
        </is>
      </c>
      <c r="B81" t="inlineStr">
        <is>
          <t>Bluestone Memorial</t>
        </is>
      </c>
      <c r="C81" s="32" t="n">
        <v>45937.69791666666</v>
      </c>
      <c r="D81" t="n">
        <v>3</v>
      </c>
      <c r="E81" t="n">
        <v>16</v>
      </c>
    </row>
    <row r="82">
      <c r="A82" t="inlineStr">
        <is>
          <t>ED210779</t>
        </is>
      </c>
      <c r="B82" t="inlineStr">
        <is>
          <t>Bluestone Memorial</t>
        </is>
      </c>
      <c r="C82" s="32" t="n">
        <v>45937.70416666667</v>
      </c>
      <c r="D82" t="n">
        <v>2</v>
      </c>
      <c r="E82" t="n">
        <v>29</v>
      </c>
    </row>
    <row r="83">
      <c r="A83" t="inlineStr">
        <is>
          <t>ED210780</t>
        </is>
      </c>
      <c r="B83" t="inlineStr">
        <is>
          <t>Bluestone Memorial</t>
        </is>
      </c>
      <c r="C83" s="32" t="n">
        <v>45937.86111111111</v>
      </c>
      <c r="D83" t="n">
        <v>2</v>
      </c>
      <c r="E83" t="n">
        <v>10</v>
      </c>
    </row>
    <row r="84">
      <c r="A84" t="inlineStr">
        <is>
          <t>ED210781</t>
        </is>
      </c>
      <c r="B84" t="inlineStr">
        <is>
          <t>Bluestone Memorial</t>
        </is>
      </c>
      <c r="C84" s="32" t="n">
        <v>45937.87291666667</v>
      </c>
      <c r="D84" t="n">
        <v>3</v>
      </c>
      <c r="E84" t="n">
        <v>61</v>
      </c>
    </row>
    <row r="85">
      <c r="A85" t="inlineStr">
        <is>
          <t>ED210782</t>
        </is>
      </c>
      <c r="B85" t="inlineStr">
        <is>
          <t>Bluestone Memorial</t>
        </is>
      </c>
      <c r="C85" s="32" t="n">
        <v>45938.125</v>
      </c>
      <c r="D85" t="n">
        <v>4</v>
      </c>
      <c r="E85" t="n">
        <v>49</v>
      </c>
    </row>
    <row r="86">
      <c r="A86" t="inlineStr">
        <is>
          <t>ED210786</t>
        </is>
      </c>
      <c r="B86" t="inlineStr">
        <is>
          <t>Bluestone Memorial</t>
        </is>
      </c>
      <c r="C86" s="32" t="n">
        <v>45938.35277777778</v>
      </c>
      <c r="D86" t="n">
        <v>2</v>
      </c>
      <c r="E86" t="n">
        <v>21</v>
      </c>
    </row>
    <row r="87">
      <c r="A87" t="inlineStr">
        <is>
          <t>ED210787</t>
        </is>
      </c>
      <c r="B87" t="inlineStr">
        <is>
          <t>Bluestone Memorial</t>
        </is>
      </c>
      <c r="C87" s="32" t="n">
        <v>45938.425</v>
      </c>
      <c r="D87" t="n">
        <v>3</v>
      </c>
      <c r="E87" t="n">
        <v>17</v>
      </c>
    </row>
    <row r="88">
      <c r="A88" t="inlineStr">
        <is>
          <t>ED210788</t>
        </is>
      </c>
      <c r="B88" t="inlineStr">
        <is>
          <t>Bluestone Memorial</t>
        </is>
      </c>
      <c r="C88" s="32" t="n">
        <v>45938.45625</v>
      </c>
      <c r="D88" t="n">
        <v>4</v>
      </c>
      <c r="E88" t="n">
        <v>82</v>
      </c>
    </row>
    <row r="89">
      <c r="A89" t="inlineStr">
        <is>
          <t>ED210789</t>
        </is>
      </c>
      <c r="B89" t="inlineStr">
        <is>
          <t>Bluestone Memorial</t>
        </is>
      </c>
      <c r="C89" s="32" t="n">
        <v>45938.5625</v>
      </c>
      <c r="D89" t="n">
        <v>4</v>
      </c>
      <c r="E89" t="n">
        <v>49</v>
      </c>
    </row>
    <row r="90">
      <c r="A90" t="inlineStr">
        <is>
          <t>ED210791</t>
        </is>
      </c>
      <c r="B90" t="inlineStr">
        <is>
          <t>Bluestone Memorial</t>
        </is>
      </c>
      <c r="C90" s="32" t="n">
        <v>45938.60277777778</v>
      </c>
      <c r="D90" t="n">
        <v>4</v>
      </c>
      <c r="E90" t="n">
        <v>118</v>
      </c>
    </row>
    <row r="91">
      <c r="A91" t="inlineStr">
        <is>
          <t>ED210793</t>
        </is>
      </c>
      <c r="B91" t="inlineStr">
        <is>
          <t>Bluestone Memorial</t>
        </is>
      </c>
      <c r="C91" s="32" t="n">
        <v>45938.63472222222</v>
      </c>
      <c r="D91" t="n">
        <v>1</v>
      </c>
      <c r="E91" t="n">
        <v>4</v>
      </c>
    </row>
    <row r="92">
      <c r="A92" t="inlineStr">
        <is>
          <t>ED210794</t>
        </is>
      </c>
      <c r="B92" t="inlineStr">
        <is>
          <t>Bluestone Memorial</t>
        </is>
      </c>
      <c r="C92" s="32" t="n">
        <v>45938.64166666667</v>
      </c>
      <c r="D92" t="n">
        <v>2</v>
      </c>
      <c r="E92" t="n">
        <v>13</v>
      </c>
    </row>
    <row r="93">
      <c r="A93" t="inlineStr">
        <is>
          <t>ED210797</t>
        </is>
      </c>
      <c r="B93" t="inlineStr">
        <is>
          <t>Bluestone Memorial</t>
        </is>
      </c>
      <c r="C93" s="32" t="n">
        <v>45938.69236111111</v>
      </c>
      <c r="D93" t="n">
        <v>4</v>
      </c>
      <c r="E93" t="n">
        <v>32</v>
      </c>
    </row>
    <row r="94">
      <c r="A94" t="inlineStr">
        <is>
          <t>ED210798</t>
        </is>
      </c>
      <c r="B94" t="inlineStr">
        <is>
          <t>Bluestone Memorial</t>
        </is>
      </c>
      <c r="C94" s="32" t="n">
        <v>45938.70694444444</v>
      </c>
      <c r="D94" t="n">
        <v>2</v>
      </c>
      <c r="E94" t="n">
        <v>25</v>
      </c>
    </row>
    <row r="95">
      <c r="A95" t="inlineStr">
        <is>
          <t>ED210800</t>
        </is>
      </c>
      <c r="B95" t="inlineStr">
        <is>
          <t>Bluestone Memorial</t>
        </is>
      </c>
      <c r="C95" s="32" t="n">
        <v>45938.83333333334</v>
      </c>
      <c r="D95" t="n">
        <v>2</v>
      </c>
      <c r="E95" t="n">
        <v>9</v>
      </c>
    </row>
    <row r="96">
      <c r="A96" t="inlineStr">
        <is>
          <t>ED210802</t>
        </is>
      </c>
      <c r="B96" t="inlineStr">
        <is>
          <t>Bluestone Memorial</t>
        </is>
      </c>
      <c r="C96" s="32" t="n">
        <v>45938.93888888889</v>
      </c>
      <c r="D96" t="n">
        <v>4</v>
      </c>
      <c r="E96" t="n">
        <v>55</v>
      </c>
    </row>
    <row r="97">
      <c r="A97" t="inlineStr">
        <is>
          <t>ED210805</t>
        </is>
      </c>
      <c r="B97" t="inlineStr">
        <is>
          <t>Bluestone Memorial</t>
        </is>
      </c>
      <c r="C97" s="32" t="n">
        <v>45939.275</v>
      </c>
      <c r="D97" t="n">
        <v>2</v>
      </c>
      <c r="E97" t="n">
        <v>13</v>
      </c>
    </row>
    <row r="98">
      <c r="A98" t="inlineStr">
        <is>
          <t>ED210807</t>
        </is>
      </c>
      <c r="B98" t="inlineStr">
        <is>
          <t>Bluestone Memorial</t>
        </is>
      </c>
      <c r="C98" s="32" t="n">
        <v>45939.37847222222</v>
      </c>
      <c r="D98" t="n">
        <v>5</v>
      </c>
      <c r="E98" t="n">
        <v>14</v>
      </c>
    </row>
    <row r="99">
      <c r="A99" t="inlineStr">
        <is>
          <t>ED210809</t>
        </is>
      </c>
      <c r="B99" t="inlineStr">
        <is>
          <t>Bluestone Memorial</t>
        </is>
      </c>
      <c r="C99" s="32" t="n">
        <v>45939.61597222222</v>
      </c>
      <c r="D99" t="n">
        <v>2</v>
      </c>
      <c r="E99" t="n">
        <v>21</v>
      </c>
    </row>
    <row r="100">
      <c r="A100" t="inlineStr">
        <is>
          <t>ED210811</t>
        </is>
      </c>
      <c r="B100" t="inlineStr">
        <is>
          <t>Bluestone Memorial</t>
        </is>
      </c>
      <c r="C100" s="32" t="n">
        <v>45939.65</v>
      </c>
      <c r="D100" t="n">
        <v>3</v>
      </c>
      <c r="E100" t="n">
        <v>35</v>
      </c>
    </row>
    <row r="101">
      <c r="A101" t="inlineStr">
        <is>
          <t>ED210812</t>
        </is>
      </c>
      <c r="B101" t="inlineStr">
        <is>
          <t>Bluestone Memorial</t>
        </is>
      </c>
      <c r="C101" s="32" t="n">
        <v>45939.70347222222</v>
      </c>
      <c r="D101" t="n">
        <v>5</v>
      </c>
      <c r="E101" t="n">
        <v>88</v>
      </c>
    </row>
    <row r="102">
      <c r="A102" t="inlineStr">
        <is>
          <t>ED210813</t>
        </is>
      </c>
      <c r="B102" t="inlineStr">
        <is>
          <t>Bluestone Memorial</t>
        </is>
      </c>
      <c r="C102" s="32" t="n">
        <v>45939.76944444444</v>
      </c>
      <c r="D102" t="n">
        <v>4</v>
      </c>
      <c r="E102" t="n">
        <v>104</v>
      </c>
    </row>
    <row r="103">
      <c r="A103" t="inlineStr">
        <is>
          <t>ED210815</t>
        </is>
      </c>
      <c r="B103" t="inlineStr">
        <is>
          <t>Bluestone Memorial</t>
        </is>
      </c>
      <c r="C103" s="32" t="n">
        <v>45939.975</v>
      </c>
      <c r="D103" t="n">
        <v>3</v>
      </c>
      <c r="E103" t="n">
        <v>32</v>
      </c>
    </row>
    <row r="104">
      <c r="A104" t="inlineStr">
        <is>
          <t>ED210816</t>
        </is>
      </c>
      <c r="B104" t="inlineStr">
        <is>
          <t>Bluestone Memorial</t>
        </is>
      </c>
      <c r="C104" s="32" t="n">
        <v>45940.02013888889</v>
      </c>
      <c r="D104" t="n">
        <v>5</v>
      </c>
      <c r="E104" t="n">
        <v>30</v>
      </c>
    </row>
    <row r="105">
      <c r="A105" t="inlineStr">
        <is>
          <t>ED210817</t>
        </is>
      </c>
      <c r="B105" t="inlineStr">
        <is>
          <t>Bluestone Memorial</t>
        </is>
      </c>
      <c r="C105" s="32" t="n">
        <v>45940.03958333333</v>
      </c>
      <c r="D105" t="n">
        <v>4</v>
      </c>
      <c r="E105" t="n">
        <v>18</v>
      </c>
    </row>
    <row r="106">
      <c r="A106" t="inlineStr">
        <is>
          <t>ED210818</t>
        </is>
      </c>
      <c r="B106" t="inlineStr">
        <is>
          <t>Bluestone Memorial</t>
        </is>
      </c>
      <c r="C106" s="32" t="n">
        <v>45940.37916666667</v>
      </c>
      <c r="D106" t="n">
        <v>2</v>
      </c>
      <c r="E106" t="n">
        <v>51</v>
      </c>
    </row>
    <row r="107">
      <c r="A107" t="inlineStr">
        <is>
          <t>ED210820</t>
        </is>
      </c>
      <c r="B107" t="inlineStr">
        <is>
          <t>Bluestone Memorial</t>
        </is>
      </c>
      <c r="C107" s="32" t="n">
        <v>45940.48333333333</v>
      </c>
      <c r="D107" t="n">
        <v>3</v>
      </c>
      <c r="E107" t="n">
        <v>50</v>
      </c>
    </row>
    <row r="108">
      <c r="A108" t="inlineStr">
        <is>
          <t>ED210822</t>
        </is>
      </c>
      <c r="B108" t="inlineStr">
        <is>
          <t>Bluestone Memorial</t>
        </is>
      </c>
      <c r="C108" s="32" t="n">
        <v>45940.60069444445</v>
      </c>
      <c r="D108" t="n">
        <v>4</v>
      </c>
      <c r="E108" t="n">
        <v>84</v>
      </c>
    </row>
    <row r="109">
      <c r="A109" t="inlineStr">
        <is>
          <t>ED210823</t>
        </is>
      </c>
      <c r="B109" t="inlineStr">
        <is>
          <t>Bluestone Memorial</t>
        </is>
      </c>
      <c r="C109" s="32" t="n">
        <v>45940.62986111111</v>
      </c>
      <c r="D109" t="n">
        <v>2</v>
      </c>
      <c r="E109" t="n">
        <v>30</v>
      </c>
    </row>
    <row r="110">
      <c r="A110" t="inlineStr">
        <is>
          <t>ED210824</t>
        </is>
      </c>
      <c r="B110" t="inlineStr">
        <is>
          <t>Bluestone Memorial</t>
        </is>
      </c>
      <c r="C110" s="32" t="n">
        <v>45940.67291666667</v>
      </c>
      <c r="D110" t="n">
        <v>3</v>
      </c>
      <c r="E110" t="n">
        <v>60</v>
      </c>
    </row>
    <row r="111">
      <c r="A111" t="inlineStr">
        <is>
          <t>ED210827</t>
        </is>
      </c>
      <c r="B111" t="inlineStr">
        <is>
          <t>Bluestone Memorial</t>
        </is>
      </c>
      <c r="C111" s="32" t="n">
        <v>45940.69861111111</v>
      </c>
      <c r="D111" t="n">
        <v>2</v>
      </c>
      <c r="E111" t="n">
        <v>5</v>
      </c>
    </row>
    <row r="112">
      <c r="A112" t="inlineStr">
        <is>
          <t>ED210828</t>
        </is>
      </c>
      <c r="B112" t="inlineStr">
        <is>
          <t>Bluestone Memorial</t>
        </is>
      </c>
      <c r="C112" s="32" t="n">
        <v>45940.75763888889</v>
      </c>
      <c r="D112" t="n">
        <v>3</v>
      </c>
      <c r="E112" t="n">
        <v>78</v>
      </c>
    </row>
    <row r="113">
      <c r="A113" t="inlineStr">
        <is>
          <t>ED210829</t>
        </is>
      </c>
      <c r="B113" t="inlineStr">
        <is>
          <t>Bluestone Memorial</t>
        </is>
      </c>
      <c r="C113" s="32" t="n">
        <v>45940.76180555556</v>
      </c>
      <c r="D113" t="n">
        <v>4</v>
      </c>
      <c r="E113" t="n">
        <v>74</v>
      </c>
    </row>
    <row r="114">
      <c r="A114" t="inlineStr">
        <is>
          <t>ED210830</t>
        </is>
      </c>
      <c r="B114" t="inlineStr">
        <is>
          <t>Bluestone Memorial</t>
        </is>
      </c>
      <c r="C114" s="32" t="n">
        <v>45940.82638888889</v>
      </c>
      <c r="D114" t="n">
        <v>4</v>
      </c>
      <c r="E114" t="n">
        <v>112</v>
      </c>
    </row>
    <row r="115">
      <c r="A115" t="inlineStr">
        <is>
          <t>ED210831</t>
        </is>
      </c>
      <c r="B115" t="inlineStr">
        <is>
          <t>Bluestone Memorial</t>
        </is>
      </c>
      <c r="C115" s="32" t="n">
        <v>45940.86666666667</v>
      </c>
      <c r="D115" t="n">
        <v>3</v>
      </c>
      <c r="E115" t="n">
        <v>29</v>
      </c>
    </row>
    <row r="116">
      <c r="A116" t="inlineStr">
        <is>
          <t>ED210832</t>
        </is>
      </c>
      <c r="B116" t="inlineStr">
        <is>
          <t>Bluestone Memorial</t>
        </is>
      </c>
      <c r="C116" s="32" t="n">
        <v>45940.97569444445</v>
      </c>
      <c r="D116" t="n">
        <v>4</v>
      </c>
      <c r="E116" t="n">
        <v>59</v>
      </c>
    </row>
    <row r="117">
      <c r="A117" t="inlineStr">
        <is>
          <t>ED210833</t>
        </is>
      </c>
      <c r="B117" t="inlineStr">
        <is>
          <t>Bluestone Memorial</t>
        </is>
      </c>
      <c r="C117" s="32" t="n">
        <v>45941.05486111111</v>
      </c>
      <c r="D117" t="n">
        <v>3</v>
      </c>
      <c r="E117" t="n">
        <v>16</v>
      </c>
    </row>
    <row r="118">
      <c r="A118" t="inlineStr">
        <is>
          <t>ED210834</t>
        </is>
      </c>
      <c r="B118" t="inlineStr">
        <is>
          <t>Bluestone Memorial</t>
        </is>
      </c>
      <c r="C118" s="32" t="n">
        <v>45941.32152777778</v>
      </c>
      <c r="D118" t="n">
        <v>3</v>
      </c>
      <c r="E118" t="n">
        <v>52</v>
      </c>
    </row>
    <row r="119">
      <c r="A119" t="inlineStr">
        <is>
          <t>ED210835</t>
        </is>
      </c>
      <c r="B119" t="inlineStr">
        <is>
          <t>Bluestone Memorial</t>
        </is>
      </c>
      <c r="C119" s="32" t="n">
        <v>45941.49444444444</v>
      </c>
      <c r="D119" t="n">
        <v>5</v>
      </c>
      <c r="E119" t="n">
        <v>76</v>
      </c>
    </row>
    <row r="120">
      <c r="A120" t="inlineStr">
        <is>
          <t>ED210837</t>
        </is>
      </c>
      <c r="B120" t="inlineStr">
        <is>
          <t>Bluestone Memorial</t>
        </is>
      </c>
      <c r="C120" s="32" t="n">
        <v>45941.50902777778</v>
      </c>
      <c r="D120" t="n">
        <v>3</v>
      </c>
      <c r="E120" t="n">
        <v>46</v>
      </c>
    </row>
    <row r="121">
      <c r="A121" t="inlineStr">
        <is>
          <t>ED210838</t>
        </is>
      </c>
      <c r="B121" t="inlineStr">
        <is>
          <t>Bluestone Memorial</t>
        </is>
      </c>
      <c r="C121" s="32" t="n">
        <v>45941.54722222222</v>
      </c>
      <c r="D121" t="n">
        <v>3</v>
      </c>
      <c r="E121" t="n">
        <v>30</v>
      </c>
    </row>
    <row r="122">
      <c r="A122" t="inlineStr">
        <is>
          <t>ED210839</t>
        </is>
      </c>
      <c r="B122" t="inlineStr">
        <is>
          <t>Bluestone Memorial</t>
        </is>
      </c>
      <c r="C122" s="32" t="n">
        <v>45941.55416666667</v>
      </c>
      <c r="D122" t="n">
        <v>3</v>
      </c>
      <c r="E122" t="n">
        <v>28</v>
      </c>
    </row>
    <row r="123">
      <c r="A123" t="inlineStr">
        <is>
          <t>ED210840</t>
        </is>
      </c>
      <c r="B123" t="inlineStr">
        <is>
          <t>Bluestone Memorial</t>
        </is>
      </c>
      <c r="C123" s="32" t="n">
        <v>45941.56319444445</v>
      </c>
      <c r="D123" t="n">
        <v>3</v>
      </c>
      <c r="E123" t="n">
        <v>51</v>
      </c>
    </row>
    <row r="124">
      <c r="A124" t="inlineStr">
        <is>
          <t>ED210842</t>
        </is>
      </c>
      <c r="B124" t="inlineStr">
        <is>
          <t>Bluestone Memorial</t>
        </is>
      </c>
      <c r="C124" s="32" t="n">
        <v>45941.65902777778</v>
      </c>
      <c r="D124" t="n">
        <v>3</v>
      </c>
      <c r="E124" t="n">
        <v>44</v>
      </c>
    </row>
    <row r="125">
      <c r="A125" t="inlineStr">
        <is>
          <t>ED210843</t>
        </is>
      </c>
      <c r="B125" t="inlineStr">
        <is>
          <t>Bluestone Memorial</t>
        </is>
      </c>
      <c r="C125" s="32" t="n">
        <v>45941.74236111111</v>
      </c>
      <c r="D125" t="n">
        <v>3</v>
      </c>
      <c r="E125" t="n">
        <v>42</v>
      </c>
    </row>
    <row r="126">
      <c r="A126" t="inlineStr">
        <is>
          <t>ED210844</t>
        </is>
      </c>
      <c r="B126" t="inlineStr">
        <is>
          <t>Bluestone Memorial</t>
        </is>
      </c>
      <c r="C126" s="32" t="n">
        <v>45941.75833333333</v>
      </c>
      <c r="D126" t="n">
        <v>2</v>
      </c>
      <c r="E126" t="n">
        <v>20</v>
      </c>
    </row>
    <row r="127">
      <c r="A127" t="inlineStr">
        <is>
          <t>ED210848</t>
        </is>
      </c>
      <c r="B127" t="inlineStr">
        <is>
          <t>Bluestone Memorial</t>
        </is>
      </c>
      <c r="C127" s="32" t="n">
        <v>45942.36388888889</v>
      </c>
      <c r="D127" t="n">
        <v>4</v>
      </c>
      <c r="E127" t="n">
        <v>46</v>
      </c>
    </row>
    <row r="128">
      <c r="A128" t="inlineStr">
        <is>
          <t>ED210850</t>
        </is>
      </c>
      <c r="B128" t="inlineStr">
        <is>
          <t>Bluestone Memorial</t>
        </is>
      </c>
      <c r="C128" s="32" t="n">
        <v>45942.44791666666</v>
      </c>
      <c r="D128" t="n">
        <v>2</v>
      </c>
      <c r="E128" t="n">
        <v>13</v>
      </c>
    </row>
    <row r="129">
      <c r="A129" t="inlineStr">
        <is>
          <t>ED210851</t>
        </is>
      </c>
      <c r="B129" t="inlineStr">
        <is>
          <t>Bluestone Memorial</t>
        </is>
      </c>
      <c r="C129" s="32" t="n">
        <v>45942.52430555555</v>
      </c>
      <c r="D129" t="n">
        <v>3</v>
      </c>
      <c r="E129" t="n">
        <v>20</v>
      </c>
    </row>
    <row r="130">
      <c r="A130" t="inlineStr">
        <is>
          <t>ED210852</t>
        </is>
      </c>
      <c r="B130" t="inlineStr">
        <is>
          <t>Bluestone Memorial</t>
        </is>
      </c>
      <c r="C130" s="32" t="n">
        <v>45942.55625</v>
      </c>
      <c r="D130" t="n">
        <v>3</v>
      </c>
      <c r="E130" t="n">
        <v>66</v>
      </c>
    </row>
    <row r="131">
      <c r="A131" t="inlineStr">
        <is>
          <t>ED210853</t>
        </is>
      </c>
      <c r="B131" t="inlineStr">
        <is>
          <t>Bluestone Memorial</t>
        </is>
      </c>
      <c r="C131" s="32" t="n">
        <v>45942.56319444445</v>
      </c>
      <c r="D131" t="n">
        <v>3</v>
      </c>
      <c r="E131" t="n">
        <v>88</v>
      </c>
    </row>
    <row r="132">
      <c r="A132" t="inlineStr">
        <is>
          <t>ED210854</t>
        </is>
      </c>
      <c r="B132" t="inlineStr">
        <is>
          <t>Bluestone Memorial</t>
        </is>
      </c>
      <c r="C132" s="32" t="n">
        <v>45942.57847222222</v>
      </c>
      <c r="D132" t="n">
        <v>2</v>
      </c>
      <c r="E132" t="n">
        <v>55</v>
      </c>
    </row>
    <row r="133">
      <c r="A133" t="inlineStr">
        <is>
          <t>ED210855</t>
        </is>
      </c>
      <c r="B133" t="inlineStr">
        <is>
          <t>Bluestone Memorial</t>
        </is>
      </c>
      <c r="C133" s="32" t="n">
        <v>45942.62986111111</v>
      </c>
      <c r="D133" t="n">
        <v>4</v>
      </c>
      <c r="E133" t="n">
        <v>123</v>
      </c>
    </row>
    <row r="134">
      <c r="A134" t="inlineStr">
        <is>
          <t>ED210856</t>
        </is>
      </c>
      <c r="B134" t="inlineStr">
        <is>
          <t>Bluestone Memorial</t>
        </is>
      </c>
      <c r="C134" s="32" t="n">
        <v>45942.76875</v>
      </c>
      <c r="D134" t="n">
        <v>3</v>
      </c>
      <c r="E134" t="n">
        <v>16</v>
      </c>
    </row>
    <row r="135">
      <c r="A135" t="inlineStr">
        <is>
          <t>ED210857</t>
        </is>
      </c>
      <c r="B135" t="inlineStr">
        <is>
          <t>Bluestone Memorial</t>
        </is>
      </c>
      <c r="C135" s="32" t="n">
        <v>45942.97777777778</v>
      </c>
      <c r="D135" t="n">
        <v>5</v>
      </c>
      <c r="E135" t="n">
        <v>46</v>
      </c>
    </row>
    <row r="136">
      <c r="A136" t="inlineStr">
        <is>
          <t>ED210858</t>
        </is>
      </c>
      <c r="B136" t="inlineStr">
        <is>
          <t>Bluestone Memorial</t>
        </is>
      </c>
      <c r="C136" s="32" t="n">
        <v>45943.04791666667</v>
      </c>
      <c r="D136" t="n">
        <v>3</v>
      </c>
      <c r="E136" t="n">
        <v>30</v>
      </c>
    </row>
    <row r="137">
      <c r="A137" t="inlineStr">
        <is>
          <t>ED210859</t>
        </is>
      </c>
      <c r="B137" t="inlineStr">
        <is>
          <t>Bluestone Memorial</t>
        </is>
      </c>
      <c r="C137" s="32" t="n">
        <v>45943.10902777778</v>
      </c>
      <c r="D137" t="n">
        <v>3</v>
      </c>
      <c r="E137" t="n">
        <v>40</v>
      </c>
    </row>
    <row r="138">
      <c r="A138" t="inlineStr">
        <is>
          <t>ED210860</t>
        </is>
      </c>
      <c r="B138" t="inlineStr">
        <is>
          <t>Bluestone Memorial</t>
        </is>
      </c>
      <c r="C138" s="32" t="n">
        <v>45943.16875</v>
      </c>
      <c r="D138" t="n">
        <v>3</v>
      </c>
      <c r="E138" t="n">
        <v>41</v>
      </c>
    </row>
    <row r="139">
      <c r="A139" t="inlineStr">
        <is>
          <t>ED210863</t>
        </is>
      </c>
      <c r="B139" t="inlineStr">
        <is>
          <t>Bluestone Memorial</t>
        </is>
      </c>
      <c r="C139" s="32" t="n">
        <v>45943.54583333333</v>
      </c>
      <c r="D139" t="n">
        <v>3</v>
      </c>
      <c r="E139" t="n">
        <v>35</v>
      </c>
    </row>
    <row r="140">
      <c r="A140" t="inlineStr">
        <is>
          <t>ED210864</t>
        </is>
      </c>
      <c r="B140" t="inlineStr">
        <is>
          <t>Bluestone Memorial</t>
        </is>
      </c>
      <c r="C140" s="32" t="n">
        <v>45943.66458333333</v>
      </c>
      <c r="D140" t="n">
        <v>2</v>
      </c>
      <c r="E140" t="n">
        <v>10</v>
      </c>
    </row>
    <row r="141">
      <c r="A141" t="inlineStr">
        <is>
          <t>ED210866</t>
        </is>
      </c>
      <c r="B141" t="inlineStr">
        <is>
          <t>Bluestone Memorial</t>
        </is>
      </c>
      <c r="C141" s="32" t="n">
        <v>45943.68680555555</v>
      </c>
      <c r="D141" t="n">
        <v>4</v>
      </c>
      <c r="E141" t="n">
        <v>40</v>
      </c>
    </row>
    <row r="142">
      <c r="A142" t="inlineStr">
        <is>
          <t>ED210867</t>
        </is>
      </c>
      <c r="B142" t="inlineStr">
        <is>
          <t>Bluestone Memorial</t>
        </is>
      </c>
      <c r="C142" s="32" t="n">
        <v>45943.73333333333</v>
      </c>
      <c r="D142" t="n">
        <v>4</v>
      </c>
      <c r="E142" t="n">
        <v>87</v>
      </c>
    </row>
    <row r="143">
      <c r="A143" t="inlineStr">
        <is>
          <t>ED210868</t>
        </is>
      </c>
      <c r="B143" t="inlineStr">
        <is>
          <t>Bluestone Memorial</t>
        </is>
      </c>
      <c r="C143" s="32" t="n">
        <v>45943.77916666667</v>
      </c>
      <c r="D143" t="n">
        <v>3</v>
      </c>
      <c r="E143" t="n">
        <v>89</v>
      </c>
    </row>
    <row r="144">
      <c r="A144" t="inlineStr">
        <is>
          <t>ED210869</t>
        </is>
      </c>
      <c r="B144" t="inlineStr">
        <is>
          <t>Bluestone Memorial</t>
        </is>
      </c>
      <c r="C144" s="32" t="n">
        <v>45943.80347222222</v>
      </c>
      <c r="D144" t="n">
        <v>2</v>
      </c>
      <c r="E144" t="n">
        <v>9</v>
      </c>
    </row>
    <row r="145">
      <c r="A145" t="inlineStr">
        <is>
          <t>ED210870</t>
        </is>
      </c>
      <c r="B145" t="inlineStr">
        <is>
          <t>Bluestone Memorial</t>
        </is>
      </c>
      <c r="C145" s="32" t="n">
        <v>45943.84305555555</v>
      </c>
      <c r="D145" t="n">
        <v>3</v>
      </c>
      <c r="E145" t="n">
        <v>44</v>
      </c>
    </row>
    <row r="146">
      <c r="A146" t="inlineStr">
        <is>
          <t>ED210871</t>
        </is>
      </c>
      <c r="B146" t="inlineStr">
        <is>
          <t>Bluestone Memorial</t>
        </is>
      </c>
      <c r="C146" s="32" t="n">
        <v>45943.88888888889</v>
      </c>
      <c r="D146" t="n">
        <v>3</v>
      </c>
      <c r="E146" t="n">
        <v>31</v>
      </c>
    </row>
    <row r="147">
      <c r="A147" t="inlineStr">
        <is>
          <t>ED210872</t>
        </is>
      </c>
      <c r="B147" t="inlineStr">
        <is>
          <t>Bluestone Memorial</t>
        </is>
      </c>
      <c r="C147" s="32" t="n">
        <v>45943.90347222222</v>
      </c>
      <c r="D147" t="n">
        <v>2</v>
      </c>
      <c r="E147" t="n">
        <v>42</v>
      </c>
    </row>
    <row r="148">
      <c r="A148" t="inlineStr">
        <is>
          <t>ED210873</t>
        </is>
      </c>
      <c r="B148" t="inlineStr">
        <is>
          <t>Bluestone Memorial</t>
        </is>
      </c>
      <c r="C148" s="32" t="n">
        <v>45943.90902777778</v>
      </c>
      <c r="D148" t="n">
        <v>3</v>
      </c>
      <c r="E148" t="n">
        <v>56</v>
      </c>
    </row>
    <row r="149">
      <c r="A149" t="inlineStr">
        <is>
          <t>ED210874</t>
        </is>
      </c>
      <c r="B149" t="inlineStr">
        <is>
          <t>Bluestone Memorial</t>
        </is>
      </c>
      <c r="C149" s="32" t="n">
        <v>45943.99027777778</v>
      </c>
      <c r="D149" t="n">
        <v>4</v>
      </c>
      <c r="E149" t="n">
        <v>20</v>
      </c>
    </row>
    <row r="150">
      <c r="A150" t="inlineStr">
        <is>
          <t>ED210875</t>
        </is>
      </c>
      <c r="B150" t="inlineStr">
        <is>
          <t>Bluestone Memorial</t>
        </is>
      </c>
      <c r="C150" s="32" t="n">
        <v>45944.0125</v>
      </c>
      <c r="D150" t="n">
        <v>3</v>
      </c>
      <c r="E150" t="n">
        <v>12</v>
      </c>
    </row>
    <row r="151">
      <c r="A151" t="inlineStr">
        <is>
          <t>ED210878</t>
        </is>
      </c>
      <c r="B151" t="inlineStr">
        <is>
          <t>Bluestone Memorial</t>
        </is>
      </c>
      <c r="C151" s="32" t="n">
        <v>45944.43541666667</v>
      </c>
      <c r="D151" t="n">
        <v>3</v>
      </c>
      <c r="E151" t="n">
        <v>63</v>
      </c>
    </row>
    <row r="152">
      <c r="A152" t="inlineStr">
        <is>
          <t>ED210879</t>
        </is>
      </c>
      <c r="B152" t="inlineStr">
        <is>
          <t>Bluestone Memorial</t>
        </is>
      </c>
      <c r="C152" s="32" t="n">
        <v>45944.47986111111</v>
      </c>
      <c r="D152" t="n">
        <v>5</v>
      </c>
    </row>
    <row r="153">
      <c r="A153" t="inlineStr">
        <is>
          <t>ED210880</t>
        </is>
      </c>
      <c r="B153" t="inlineStr">
        <is>
          <t>Bluestone Memorial</t>
        </is>
      </c>
      <c r="C153" s="32" t="n">
        <v>45944.55138888889</v>
      </c>
      <c r="D153" t="n">
        <v>3</v>
      </c>
      <c r="E153" t="n">
        <v>90</v>
      </c>
    </row>
    <row r="154">
      <c r="A154" t="inlineStr">
        <is>
          <t>ED210881</t>
        </is>
      </c>
      <c r="B154" t="inlineStr">
        <is>
          <t>Bluestone Memorial</t>
        </is>
      </c>
      <c r="C154" s="32" t="n">
        <v>45944.57430555556</v>
      </c>
      <c r="D154" t="n">
        <v>3</v>
      </c>
      <c r="E154" t="n">
        <v>30</v>
      </c>
    </row>
    <row r="155">
      <c r="A155" t="inlineStr">
        <is>
          <t>ED210882</t>
        </is>
      </c>
      <c r="B155" t="inlineStr">
        <is>
          <t>Bluestone Memorial</t>
        </is>
      </c>
      <c r="C155" s="32" t="n">
        <v>45944.60138888889</v>
      </c>
      <c r="D155" t="n">
        <v>5</v>
      </c>
      <c r="E155" t="n">
        <v>64</v>
      </c>
    </row>
    <row r="156">
      <c r="A156" t="inlineStr">
        <is>
          <t>ED210883</t>
        </is>
      </c>
      <c r="B156" t="inlineStr">
        <is>
          <t>Bluestone Memorial</t>
        </is>
      </c>
      <c r="C156" s="32" t="n">
        <v>45944.61527777778</v>
      </c>
      <c r="D156" t="n">
        <v>4</v>
      </c>
      <c r="E156" t="n">
        <v>75</v>
      </c>
    </row>
    <row r="157">
      <c r="A157" t="inlineStr">
        <is>
          <t>ED210885</t>
        </is>
      </c>
      <c r="B157" t="inlineStr">
        <is>
          <t>Bluestone Memorial</t>
        </is>
      </c>
      <c r="C157" s="32" t="n">
        <v>45944.70277777778</v>
      </c>
      <c r="D157" t="n">
        <v>5</v>
      </c>
      <c r="E157" t="n">
        <v>24</v>
      </c>
    </row>
    <row r="158">
      <c r="A158" t="inlineStr">
        <is>
          <t>ED210888</t>
        </is>
      </c>
      <c r="B158" t="inlineStr">
        <is>
          <t>Bluestone Memorial</t>
        </is>
      </c>
      <c r="C158" s="32" t="n">
        <v>45944.85</v>
      </c>
      <c r="D158" t="n">
        <v>2</v>
      </c>
      <c r="E158" t="n">
        <v>13</v>
      </c>
    </row>
    <row r="159">
      <c r="A159" t="inlineStr">
        <is>
          <t>ED210889</t>
        </is>
      </c>
      <c r="B159" t="inlineStr">
        <is>
          <t>Bluestone Memorial</t>
        </is>
      </c>
      <c r="C159" s="32" t="n">
        <v>45944.85972222222</v>
      </c>
      <c r="D159" t="n">
        <v>3</v>
      </c>
      <c r="E159" t="n">
        <v>34</v>
      </c>
    </row>
    <row r="160">
      <c r="A160" t="inlineStr">
        <is>
          <t>ED210890</t>
        </is>
      </c>
      <c r="B160" t="inlineStr">
        <is>
          <t>Bluestone Memorial</t>
        </is>
      </c>
      <c r="C160" s="32" t="n">
        <v>45944.88888888889</v>
      </c>
      <c r="D160" t="n">
        <v>2</v>
      </c>
      <c r="E160" t="n">
        <v>15</v>
      </c>
    </row>
    <row r="161">
      <c r="A161" t="inlineStr">
        <is>
          <t>ED210891</t>
        </is>
      </c>
      <c r="B161" t="inlineStr">
        <is>
          <t>Bluestone Memorial</t>
        </is>
      </c>
      <c r="C161" s="32" t="n">
        <v>45944.90902777778</v>
      </c>
      <c r="D161" t="n">
        <v>3</v>
      </c>
      <c r="E161" t="n">
        <v>60</v>
      </c>
    </row>
    <row r="162">
      <c r="A162" t="inlineStr">
        <is>
          <t>ED210892</t>
        </is>
      </c>
      <c r="B162" t="inlineStr">
        <is>
          <t>Bluestone Memorial</t>
        </is>
      </c>
      <c r="C162" s="32" t="n">
        <v>45945.02708333333</v>
      </c>
      <c r="D162" t="n">
        <v>3</v>
      </c>
      <c r="E162" t="n">
        <v>29</v>
      </c>
    </row>
    <row r="163">
      <c r="A163" t="inlineStr">
        <is>
          <t>ED210895</t>
        </is>
      </c>
      <c r="B163" t="inlineStr">
        <is>
          <t>Bluestone Memorial</t>
        </is>
      </c>
      <c r="C163" s="32" t="n">
        <v>45945.42847222222</v>
      </c>
      <c r="D163" t="n">
        <v>4</v>
      </c>
      <c r="E163" t="n">
        <v>37</v>
      </c>
    </row>
    <row r="164">
      <c r="A164" t="inlineStr">
        <is>
          <t>ED210896</t>
        </is>
      </c>
      <c r="B164" t="inlineStr">
        <is>
          <t>Bluestone Memorial</t>
        </is>
      </c>
      <c r="C164" s="32" t="n">
        <v>45945.45277777778</v>
      </c>
      <c r="D164" t="n">
        <v>2</v>
      </c>
      <c r="E164" t="n">
        <v>16</v>
      </c>
    </row>
    <row r="165">
      <c r="A165" t="inlineStr">
        <is>
          <t>ED210897</t>
        </is>
      </c>
      <c r="B165" t="inlineStr">
        <is>
          <t>Bluestone Memorial</t>
        </is>
      </c>
      <c r="C165" s="32" t="n">
        <v>45945.46041666667</v>
      </c>
      <c r="D165" t="n">
        <v>2</v>
      </c>
      <c r="E165" t="n">
        <v>24</v>
      </c>
    </row>
    <row r="166">
      <c r="A166" t="inlineStr">
        <is>
          <t>ED210898</t>
        </is>
      </c>
      <c r="B166" t="inlineStr">
        <is>
          <t>Bluestone Memorial</t>
        </is>
      </c>
      <c r="C166" s="32" t="n">
        <v>45945.55763888889</v>
      </c>
      <c r="D166" t="n">
        <v>3</v>
      </c>
      <c r="E166" t="n">
        <v>160</v>
      </c>
    </row>
    <row r="167">
      <c r="A167" t="inlineStr">
        <is>
          <t>ED210899</t>
        </is>
      </c>
      <c r="B167" t="inlineStr">
        <is>
          <t>Bluestone Memorial</t>
        </is>
      </c>
      <c r="C167" s="32" t="n">
        <v>45945.56388888889</v>
      </c>
      <c r="D167" t="n">
        <v>3</v>
      </c>
      <c r="E167" t="n">
        <v>88</v>
      </c>
    </row>
    <row r="168">
      <c r="A168" t="inlineStr">
        <is>
          <t>ED210901</t>
        </is>
      </c>
      <c r="B168" t="inlineStr">
        <is>
          <t>Bluestone Memorial</t>
        </is>
      </c>
      <c r="C168" s="32" t="n">
        <v>45945.63055555556</v>
      </c>
      <c r="D168" t="n">
        <v>5</v>
      </c>
      <c r="E168" t="n">
        <v>91</v>
      </c>
    </row>
    <row r="169">
      <c r="A169" t="inlineStr">
        <is>
          <t>ED210902</t>
        </is>
      </c>
      <c r="B169" t="inlineStr">
        <is>
          <t>Bluestone Memorial</t>
        </is>
      </c>
      <c r="C169" s="32" t="n">
        <v>45945.74861111111</v>
      </c>
      <c r="D169" t="n">
        <v>3</v>
      </c>
      <c r="E169" t="n">
        <v>28</v>
      </c>
    </row>
    <row r="170">
      <c r="A170" t="inlineStr">
        <is>
          <t>ED210903</t>
        </is>
      </c>
      <c r="B170" t="inlineStr">
        <is>
          <t>Bluestone Memorial</t>
        </is>
      </c>
      <c r="C170" s="32" t="n">
        <v>45945.90833333333</v>
      </c>
      <c r="D170" t="n">
        <v>5</v>
      </c>
      <c r="E170" t="n">
        <v>62</v>
      </c>
    </row>
    <row r="171">
      <c r="A171" t="inlineStr">
        <is>
          <t>ED210904</t>
        </is>
      </c>
      <c r="B171" t="inlineStr">
        <is>
          <t>Bluestone Memorial</t>
        </is>
      </c>
      <c r="C171" s="32" t="n">
        <v>45945.94583333333</v>
      </c>
      <c r="D171" t="n">
        <v>3</v>
      </c>
      <c r="E171" t="n">
        <v>40</v>
      </c>
    </row>
    <row r="172">
      <c r="A172" t="inlineStr">
        <is>
          <t>ED210905</t>
        </is>
      </c>
      <c r="B172" t="inlineStr">
        <is>
          <t>Bluestone Memorial</t>
        </is>
      </c>
      <c r="C172" s="32" t="n">
        <v>45945.99583333333</v>
      </c>
      <c r="D172" t="n">
        <v>3</v>
      </c>
      <c r="E172" t="n">
        <v>34</v>
      </c>
    </row>
    <row r="173">
      <c r="A173" t="inlineStr">
        <is>
          <t>ED210906</t>
        </is>
      </c>
      <c r="B173" t="inlineStr">
        <is>
          <t>Bluestone Memorial</t>
        </is>
      </c>
      <c r="C173" s="32" t="n">
        <v>45946.02222222222</v>
      </c>
      <c r="D173" t="n">
        <v>3</v>
      </c>
      <c r="E173" t="n">
        <v>35</v>
      </c>
    </row>
    <row r="174">
      <c r="A174" t="inlineStr">
        <is>
          <t>ED210907</t>
        </is>
      </c>
      <c r="B174" t="inlineStr">
        <is>
          <t>Bluestone Memorial</t>
        </is>
      </c>
      <c r="C174" s="32" t="n">
        <v>45946.275</v>
      </c>
      <c r="D174" t="n">
        <v>4</v>
      </c>
      <c r="E174" t="n">
        <v>18</v>
      </c>
    </row>
    <row r="175">
      <c r="A175" t="inlineStr">
        <is>
          <t>ED210908</t>
        </is>
      </c>
      <c r="B175" t="inlineStr">
        <is>
          <t>Bluestone Memorial</t>
        </is>
      </c>
      <c r="C175" s="32" t="n">
        <v>45946.34722222222</v>
      </c>
      <c r="D175" t="n">
        <v>2</v>
      </c>
      <c r="E175" t="n">
        <v>23</v>
      </c>
    </row>
    <row r="176">
      <c r="A176" t="inlineStr">
        <is>
          <t>ED210909</t>
        </is>
      </c>
      <c r="B176" t="inlineStr">
        <is>
          <t>Bluestone Memorial</t>
        </is>
      </c>
      <c r="C176" s="32" t="n">
        <v>45946.46111111111</v>
      </c>
      <c r="D176" t="n">
        <v>3</v>
      </c>
      <c r="E176" t="n">
        <v>40</v>
      </c>
    </row>
    <row r="177">
      <c r="A177" t="inlineStr">
        <is>
          <t>ED210910</t>
        </is>
      </c>
      <c r="B177" t="inlineStr">
        <is>
          <t>Bluestone Memorial</t>
        </is>
      </c>
      <c r="C177" s="32" t="n">
        <v>45946.49722222222</v>
      </c>
      <c r="D177" t="n">
        <v>3</v>
      </c>
      <c r="E177" t="n">
        <v>88</v>
      </c>
    </row>
    <row r="178">
      <c r="A178" t="inlineStr">
        <is>
          <t>ED210911</t>
        </is>
      </c>
      <c r="B178" t="inlineStr">
        <is>
          <t>Bluestone Memorial</t>
        </is>
      </c>
      <c r="C178" s="32" t="n">
        <v>45946.50833333333</v>
      </c>
      <c r="D178" t="n">
        <v>3</v>
      </c>
      <c r="E178" t="n">
        <v>22</v>
      </c>
    </row>
    <row r="179">
      <c r="A179" t="inlineStr">
        <is>
          <t>ED210912</t>
        </is>
      </c>
      <c r="B179" t="inlineStr">
        <is>
          <t>Bluestone Memorial</t>
        </is>
      </c>
      <c r="C179" s="32" t="n">
        <v>45946.55694444444</v>
      </c>
      <c r="D179" t="n">
        <v>2</v>
      </c>
      <c r="E179" t="n">
        <v>32</v>
      </c>
    </row>
    <row r="180">
      <c r="A180" t="inlineStr">
        <is>
          <t>ED210913</t>
        </is>
      </c>
      <c r="B180" t="inlineStr">
        <is>
          <t>Bluestone Memorial</t>
        </is>
      </c>
      <c r="C180" s="32" t="n">
        <v>45946.58958333333</v>
      </c>
      <c r="D180" t="n">
        <v>2</v>
      </c>
      <c r="E180" t="n">
        <v>21</v>
      </c>
    </row>
    <row r="181">
      <c r="A181" t="inlineStr">
        <is>
          <t>ED210914</t>
        </is>
      </c>
      <c r="B181" t="inlineStr">
        <is>
          <t>Bluestone Memorial</t>
        </is>
      </c>
      <c r="C181" s="32" t="n">
        <v>45946.61527777778</v>
      </c>
      <c r="D181" t="n">
        <v>2</v>
      </c>
      <c r="E181" t="n">
        <v>11</v>
      </c>
    </row>
    <row r="182">
      <c r="A182" t="inlineStr">
        <is>
          <t>ED210915</t>
        </is>
      </c>
      <c r="B182" t="inlineStr">
        <is>
          <t>Bluestone Memorial</t>
        </is>
      </c>
      <c r="C182" s="32" t="n">
        <v>45946.68055555555</v>
      </c>
      <c r="D182" t="n">
        <v>4</v>
      </c>
      <c r="E182" t="n">
        <v>140</v>
      </c>
    </row>
    <row r="183">
      <c r="A183" t="inlineStr">
        <is>
          <t>ED210916</t>
        </is>
      </c>
      <c r="B183" t="inlineStr">
        <is>
          <t>Bluestone Memorial</t>
        </is>
      </c>
      <c r="C183" s="32" t="n">
        <v>45946.71180555555</v>
      </c>
      <c r="D183" t="n">
        <v>4</v>
      </c>
      <c r="E183" t="n">
        <v>66</v>
      </c>
    </row>
    <row r="184">
      <c r="A184" t="inlineStr">
        <is>
          <t>ED210917</t>
        </is>
      </c>
      <c r="B184" t="inlineStr">
        <is>
          <t>Bluestone Memorial</t>
        </is>
      </c>
      <c r="C184" s="32" t="n">
        <v>45946.77291666667</v>
      </c>
      <c r="D184" t="n">
        <v>4</v>
      </c>
      <c r="E184" t="n">
        <v>118</v>
      </c>
    </row>
    <row r="185">
      <c r="A185" t="inlineStr">
        <is>
          <t>ED210918</t>
        </is>
      </c>
      <c r="B185" t="inlineStr">
        <is>
          <t>Bluestone Memorial</t>
        </is>
      </c>
      <c r="C185" s="32" t="n">
        <v>45946.80833333333</v>
      </c>
      <c r="D185" t="n">
        <v>4</v>
      </c>
      <c r="E185" t="n">
        <v>87</v>
      </c>
    </row>
    <row r="186">
      <c r="A186" t="inlineStr">
        <is>
          <t>ED210919</t>
        </is>
      </c>
      <c r="B186" t="inlineStr">
        <is>
          <t>Bluestone Memorial</t>
        </is>
      </c>
      <c r="C186" s="32" t="n">
        <v>45946.88055555556</v>
      </c>
      <c r="D186" t="n">
        <v>3</v>
      </c>
      <c r="E186" t="n">
        <v>25</v>
      </c>
    </row>
    <row r="187">
      <c r="A187" t="inlineStr">
        <is>
          <t>ED210920</t>
        </is>
      </c>
      <c r="B187" t="inlineStr">
        <is>
          <t>Bluestone Memorial</t>
        </is>
      </c>
      <c r="C187" s="32" t="n">
        <v>45946.9</v>
      </c>
      <c r="D187" t="n">
        <v>2</v>
      </c>
      <c r="E187" t="n">
        <v>9</v>
      </c>
    </row>
    <row r="188">
      <c r="A188" t="inlineStr">
        <is>
          <t>ED210921</t>
        </is>
      </c>
      <c r="B188" t="inlineStr">
        <is>
          <t>Bluestone Memorial</t>
        </is>
      </c>
      <c r="C188" s="32" t="n">
        <v>45946.91041666667</v>
      </c>
      <c r="D188" t="n">
        <v>2</v>
      </c>
      <c r="E188" t="n">
        <v>32</v>
      </c>
    </row>
    <row r="189">
      <c r="A189" t="inlineStr">
        <is>
          <t>ED210922</t>
        </is>
      </c>
      <c r="B189" t="inlineStr">
        <is>
          <t>Bluestone Memorial</t>
        </is>
      </c>
      <c r="C189" s="32" t="n">
        <v>45946.99027777778</v>
      </c>
      <c r="D189" t="n">
        <v>1</v>
      </c>
      <c r="E189" t="n">
        <v>5</v>
      </c>
    </row>
    <row r="190">
      <c r="A190" t="inlineStr">
        <is>
          <t>ED210923</t>
        </is>
      </c>
      <c r="B190" t="inlineStr">
        <is>
          <t>Bluestone Memorial</t>
        </is>
      </c>
      <c r="C190" s="32" t="n">
        <v>45947.21597222222</v>
      </c>
      <c r="D190" t="n">
        <v>5</v>
      </c>
      <c r="E190" t="n">
        <v>57</v>
      </c>
    </row>
    <row r="191">
      <c r="A191" t="inlineStr">
        <is>
          <t>ED210924</t>
        </is>
      </c>
      <c r="B191" t="inlineStr">
        <is>
          <t>Bluestone Memorial</t>
        </is>
      </c>
      <c r="C191" s="32" t="n">
        <v>45947.23333333333</v>
      </c>
      <c r="D191" t="n">
        <v>2</v>
      </c>
      <c r="E191" t="n">
        <v>12</v>
      </c>
    </row>
    <row r="192">
      <c r="A192" t="inlineStr">
        <is>
          <t>ED210925</t>
        </is>
      </c>
      <c r="B192" t="inlineStr">
        <is>
          <t>Bluestone Memorial</t>
        </is>
      </c>
      <c r="C192" s="32" t="n">
        <v>45947.23333333333</v>
      </c>
      <c r="D192" t="n">
        <v>3</v>
      </c>
      <c r="E192" t="n">
        <v>52</v>
      </c>
    </row>
    <row r="193">
      <c r="A193" t="inlineStr">
        <is>
          <t>ED210926</t>
        </is>
      </c>
      <c r="B193" t="inlineStr">
        <is>
          <t>Bluestone Memorial</t>
        </is>
      </c>
      <c r="C193" s="32" t="n">
        <v>45947.30416666667</v>
      </c>
      <c r="D193" t="n">
        <v>3</v>
      </c>
      <c r="E193" t="n">
        <v>161</v>
      </c>
    </row>
    <row r="194">
      <c r="A194" t="inlineStr">
        <is>
          <t>ED210927</t>
        </is>
      </c>
      <c r="B194" t="inlineStr">
        <is>
          <t>Bluestone Memorial</t>
        </is>
      </c>
      <c r="C194" s="32" t="n">
        <v>45947.31041666667</v>
      </c>
      <c r="D194" t="n">
        <v>3</v>
      </c>
      <c r="E194" t="n">
        <v>35</v>
      </c>
    </row>
    <row r="195">
      <c r="A195" t="inlineStr">
        <is>
          <t>ED210928</t>
        </is>
      </c>
      <c r="B195" t="inlineStr">
        <is>
          <t>Bluestone Memorial</t>
        </is>
      </c>
      <c r="C195" s="32" t="n">
        <v>45947.35</v>
      </c>
      <c r="D195" t="n">
        <v>4</v>
      </c>
      <c r="E195" t="n">
        <v>30</v>
      </c>
    </row>
    <row r="196">
      <c r="A196" t="inlineStr">
        <is>
          <t>ED210929</t>
        </is>
      </c>
      <c r="B196" t="inlineStr">
        <is>
          <t>Bluestone Memorial</t>
        </is>
      </c>
      <c r="C196" s="32" t="n">
        <v>45947.53333333333</v>
      </c>
      <c r="D196" t="n">
        <v>3</v>
      </c>
    </row>
    <row r="197">
      <c r="A197" t="inlineStr">
        <is>
          <t>ED210930</t>
        </is>
      </c>
      <c r="B197" t="inlineStr">
        <is>
          <t>Bluestone Memorial</t>
        </is>
      </c>
      <c r="C197" s="32" t="n">
        <v>45947.57013888889</v>
      </c>
      <c r="D197" t="n">
        <v>4</v>
      </c>
      <c r="E197" t="n">
        <v>34</v>
      </c>
    </row>
    <row r="198">
      <c r="A198" t="inlineStr">
        <is>
          <t>ED210931</t>
        </is>
      </c>
      <c r="B198" t="inlineStr">
        <is>
          <t>Bluestone Memorial</t>
        </is>
      </c>
      <c r="C198" s="32" t="n">
        <v>45947.58333333334</v>
      </c>
      <c r="D198" t="n">
        <v>3</v>
      </c>
      <c r="E198" t="n">
        <v>25</v>
      </c>
    </row>
    <row r="199">
      <c r="A199" t="inlineStr">
        <is>
          <t>ED210935</t>
        </is>
      </c>
      <c r="B199" t="inlineStr">
        <is>
          <t>Bluestone Memorial</t>
        </is>
      </c>
      <c r="C199" s="32" t="n">
        <v>45947.78680555556</v>
      </c>
      <c r="D199" t="n">
        <v>3</v>
      </c>
      <c r="E199" t="n">
        <v>82</v>
      </c>
    </row>
    <row r="200">
      <c r="A200" t="inlineStr">
        <is>
          <t>ED210937</t>
        </is>
      </c>
      <c r="B200" t="inlineStr">
        <is>
          <t>Bluestone Memorial</t>
        </is>
      </c>
      <c r="C200" s="32" t="n">
        <v>45947.82777777778</v>
      </c>
      <c r="D200" t="n">
        <v>2</v>
      </c>
      <c r="E200" t="n">
        <v>18</v>
      </c>
    </row>
    <row r="201">
      <c r="A201" t="inlineStr">
        <is>
          <t>ED210938</t>
        </is>
      </c>
      <c r="B201" t="inlineStr">
        <is>
          <t>Bluestone Memorial</t>
        </is>
      </c>
      <c r="C201" s="32" t="n">
        <v>45947.83263888889</v>
      </c>
      <c r="D201" t="n">
        <v>3</v>
      </c>
      <c r="E201" t="n">
        <v>46</v>
      </c>
    </row>
    <row r="202">
      <c r="A202" t="inlineStr">
        <is>
          <t>ED210940</t>
        </is>
      </c>
      <c r="B202" t="inlineStr">
        <is>
          <t>Bluestone Memorial</t>
        </is>
      </c>
      <c r="C202" s="32" t="n">
        <v>45947.94791666666</v>
      </c>
      <c r="D202" t="n">
        <v>2</v>
      </c>
      <c r="E202" t="n">
        <v>14</v>
      </c>
    </row>
    <row r="203">
      <c r="A203" t="inlineStr">
        <is>
          <t>ED210942</t>
        </is>
      </c>
      <c r="B203" t="inlineStr">
        <is>
          <t>Bluestone Memorial</t>
        </is>
      </c>
      <c r="C203" s="32" t="n">
        <v>45947.96805555555</v>
      </c>
      <c r="D203" t="n">
        <v>2</v>
      </c>
      <c r="E203" t="n">
        <v>16</v>
      </c>
    </row>
    <row r="204">
      <c r="A204" t="inlineStr">
        <is>
          <t>ED210944</t>
        </is>
      </c>
      <c r="B204" t="inlineStr">
        <is>
          <t>Bluestone Memorial</t>
        </is>
      </c>
      <c r="C204" s="32" t="n">
        <v>45948.07708333333</v>
      </c>
      <c r="D204" t="n">
        <v>2</v>
      </c>
      <c r="E204" t="n">
        <v>16</v>
      </c>
    </row>
    <row r="205">
      <c r="A205" t="inlineStr">
        <is>
          <t>ED210945</t>
        </is>
      </c>
      <c r="B205" t="inlineStr">
        <is>
          <t>Bluestone Memorial</t>
        </is>
      </c>
      <c r="C205" s="32" t="n">
        <v>45948.15277777778</v>
      </c>
      <c r="D205" t="n">
        <v>2</v>
      </c>
      <c r="E205" t="n">
        <v>7</v>
      </c>
    </row>
    <row r="206">
      <c r="A206" t="inlineStr">
        <is>
          <t>ED210946</t>
        </is>
      </c>
      <c r="B206" t="inlineStr">
        <is>
          <t>Bluestone Memorial</t>
        </is>
      </c>
      <c r="C206" s="32" t="n">
        <v>45948.30763888889</v>
      </c>
      <c r="D206" t="n">
        <v>4</v>
      </c>
      <c r="E206" t="n">
        <v>33</v>
      </c>
    </row>
    <row r="207">
      <c r="A207" t="inlineStr">
        <is>
          <t>ED210947</t>
        </is>
      </c>
      <c r="B207" t="inlineStr">
        <is>
          <t>Bluestone Memorial</t>
        </is>
      </c>
      <c r="C207" s="32" t="n">
        <v>45948.40833333333</v>
      </c>
      <c r="D207" t="n">
        <v>4</v>
      </c>
      <c r="E207" t="n">
        <v>53</v>
      </c>
    </row>
    <row r="208">
      <c r="A208" t="inlineStr">
        <is>
          <t>ED210948</t>
        </is>
      </c>
      <c r="B208" t="inlineStr">
        <is>
          <t>Bluestone Memorial</t>
        </is>
      </c>
      <c r="C208" s="32" t="n">
        <v>45948.55486111111</v>
      </c>
      <c r="D208" t="n">
        <v>2</v>
      </c>
      <c r="E208" t="n">
        <v>10</v>
      </c>
    </row>
    <row r="209">
      <c r="A209" t="inlineStr">
        <is>
          <t>ED210949</t>
        </is>
      </c>
      <c r="B209" t="inlineStr">
        <is>
          <t>Bluestone Memorial</t>
        </is>
      </c>
      <c r="C209" s="32" t="n">
        <v>45948.59583333333</v>
      </c>
      <c r="D209" t="n">
        <v>3</v>
      </c>
      <c r="E209" t="n">
        <v>37</v>
      </c>
    </row>
    <row r="210">
      <c r="A210" t="inlineStr">
        <is>
          <t>ED210950</t>
        </is>
      </c>
      <c r="B210" t="inlineStr">
        <is>
          <t>Bluestone Memorial</t>
        </is>
      </c>
      <c r="C210" s="32" t="n">
        <v>45948.69166666667</v>
      </c>
      <c r="D210" t="n">
        <v>4</v>
      </c>
      <c r="E210" t="n">
        <v>95</v>
      </c>
    </row>
    <row r="211">
      <c r="A211" t="inlineStr">
        <is>
          <t>ED210951</t>
        </is>
      </c>
      <c r="B211" t="inlineStr">
        <is>
          <t>Bluestone Memorial</t>
        </is>
      </c>
      <c r="C211" s="32" t="n">
        <v>45948.73472222222</v>
      </c>
      <c r="D211" t="n">
        <v>2</v>
      </c>
      <c r="E211" t="n">
        <v>19</v>
      </c>
    </row>
    <row r="212">
      <c r="A212" t="inlineStr">
        <is>
          <t>ED210953</t>
        </is>
      </c>
      <c r="B212" t="inlineStr">
        <is>
          <t>Bluestone Memorial</t>
        </is>
      </c>
      <c r="C212" s="32" t="n">
        <v>45948.93333333333</v>
      </c>
      <c r="D212" t="n">
        <v>4</v>
      </c>
      <c r="E212" t="n">
        <v>71</v>
      </c>
    </row>
    <row r="213">
      <c r="A213" t="inlineStr">
        <is>
          <t>ED210954</t>
        </is>
      </c>
      <c r="B213" t="inlineStr">
        <is>
          <t>Bluestone Memorial</t>
        </is>
      </c>
      <c r="C213" s="32" t="n">
        <v>45949.0375</v>
      </c>
      <c r="D213" t="n">
        <v>2</v>
      </c>
      <c r="E213" t="n">
        <v>19</v>
      </c>
    </row>
    <row r="214">
      <c r="A214" t="inlineStr">
        <is>
          <t>ED210955</t>
        </is>
      </c>
      <c r="B214" t="inlineStr">
        <is>
          <t>Bluestone Memorial</t>
        </is>
      </c>
      <c r="C214" s="32" t="n">
        <v>45949.12430555555</v>
      </c>
      <c r="D214" t="n">
        <v>1</v>
      </c>
      <c r="E214" t="n">
        <v>5</v>
      </c>
    </row>
    <row r="215">
      <c r="A215" t="inlineStr">
        <is>
          <t>ED210962</t>
        </is>
      </c>
      <c r="B215" t="inlineStr">
        <is>
          <t>Bluestone Memorial</t>
        </is>
      </c>
      <c r="C215" s="32" t="n">
        <v>45949.78194444445</v>
      </c>
      <c r="D215" t="n">
        <v>3</v>
      </c>
      <c r="E215" t="n">
        <v>190</v>
      </c>
    </row>
    <row r="216">
      <c r="A216" t="inlineStr">
        <is>
          <t>ED210963</t>
        </is>
      </c>
      <c r="B216" t="inlineStr">
        <is>
          <t>Bluestone Memorial</t>
        </is>
      </c>
      <c r="C216" s="32" t="n">
        <v>45949.84305555555</v>
      </c>
      <c r="D216" t="n">
        <v>3</v>
      </c>
      <c r="E216" t="n">
        <v>89</v>
      </c>
    </row>
    <row r="217">
      <c r="A217" t="inlineStr">
        <is>
          <t>ED210964</t>
        </is>
      </c>
      <c r="B217" t="inlineStr">
        <is>
          <t>Bluestone Memorial</t>
        </is>
      </c>
      <c r="C217" s="32" t="n">
        <v>45949.87916666667</v>
      </c>
      <c r="D217" t="n">
        <v>4</v>
      </c>
      <c r="E217" t="n">
        <v>64</v>
      </c>
    </row>
    <row r="218">
      <c r="A218" t="inlineStr">
        <is>
          <t>ED210965</t>
        </is>
      </c>
      <c r="B218" t="inlineStr">
        <is>
          <t>Bluestone Memorial</t>
        </is>
      </c>
      <c r="C218" s="32" t="n">
        <v>45949.93541666667</v>
      </c>
      <c r="D218" t="n">
        <v>3</v>
      </c>
      <c r="E218" t="n">
        <v>25</v>
      </c>
    </row>
    <row r="219">
      <c r="A219" t="inlineStr">
        <is>
          <t>ED210966</t>
        </is>
      </c>
      <c r="B219" t="inlineStr">
        <is>
          <t>Bluestone Memorial</t>
        </is>
      </c>
      <c r="C219" s="32" t="n">
        <v>45949.95069444444</v>
      </c>
      <c r="D219" t="n">
        <v>3</v>
      </c>
      <c r="E219" t="n">
        <v>47</v>
      </c>
    </row>
    <row r="220">
      <c r="A220" t="inlineStr">
        <is>
          <t>ED210968</t>
        </is>
      </c>
      <c r="B220" t="inlineStr">
        <is>
          <t>Bluestone Memorial</t>
        </is>
      </c>
      <c r="C220" s="32" t="n">
        <v>45950.07152777778</v>
      </c>
      <c r="D220" t="n">
        <v>5</v>
      </c>
      <c r="E220" t="n">
        <v>56</v>
      </c>
    </row>
    <row r="221">
      <c r="A221" t="inlineStr">
        <is>
          <t>ED210969</t>
        </is>
      </c>
      <c r="B221" t="inlineStr">
        <is>
          <t>Bluestone Memorial</t>
        </is>
      </c>
      <c r="C221" s="32" t="n">
        <v>45950.08194444444</v>
      </c>
      <c r="D221" t="n">
        <v>2</v>
      </c>
      <c r="E221" t="n">
        <v>40</v>
      </c>
    </row>
    <row r="222">
      <c r="A222" t="inlineStr">
        <is>
          <t>ED210970</t>
        </is>
      </c>
      <c r="B222" t="inlineStr">
        <is>
          <t>Bluestone Memorial</t>
        </is>
      </c>
      <c r="C222" s="32" t="n">
        <v>45950.34444444445</v>
      </c>
      <c r="D222" t="n">
        <v>2</v>
      </c>
      <c r="E222" t="n">
        <v>11</v>
      </c>
    </row>
    <row r="223">
      <c r="A223" t="inlineStr">
        <is>
          <t>ED210971</t>
        </is>
      </c>
      <c r="B223" t="inlineStr">
        <is>
          <t>Bluestone Memorial</t>
        </is>
      </c>
      <c r="C223" s="32" t="n">
        <v>45950.41458333333</v>
      </c>
      <c r="D223" t="n">
        <v>3</v>
      </c>
      <c r="E223" t="n">
        <v>82</v>
      </c>
    </row>
    <row r="224">
      <c r="A224" t="inlineStr">
        <is>
          <t>ED210972</t>
        </is>
      </c>
      <c r="B224" t="inlineStr">
        <is>
          <t>Bluestone Memorial</t>
        </is>
      </c>
      <c r="C224" s="32" t="n">
        <v>45950.41597222222</v>
      </c>
      <c r="D224" t="n">
        <v>3</v>
      </c>
      <c r="E224" t="n">
        <v>16</v>
      </c>
    </row>
    <row r="225">
      <c r="A225" t="inlineStr">
        <is>
          <t>ED210973</t>
        </is>
      </c>
      <c r="B225" t="inlineStr">
        <is>
          <t>Bluestone Memorial</t>
        </is>
      </c>
      <c r="C225" s="32" t="n">
        <v>45950.49236111111</v>
      </c>
      <c r="D225" t="n">
        <v>4</v>
      </c>
      <c r="E225" t="n">
        <v>109</v>
      </c>
    </row>
    <row r="226">
      <c r="A226" t="inlineStr">
        <is>
          <t>ED210975</t>
        </is>
      </c>
      <c r="B226" t="inlineStr">
        <is>
          <t>Bluestone Memorial</t>
        </is>
      </c>
      <c r="C226" s="32" t="n">
        <v>45950.56111111111</v>
      </c>
      <c r="D226" t="n">
        <v>3</v>
      </c>
      <c r="E226" t="n">
        <v>50</v>
      </c>
    </row>
    <row r="227">
      <c r="A227" t="inlineStr">
        <is>
          <t>ED210976</t>
        </is>
      </c>
      <c r="B227" t="inlineStr">
        <is>
          <t>Bluestone Memorial</t>
        </is>
      </c>
      <c r="C227" s="32" t="n">
        <v>45950.5625</v>
      </c>
      <c r="D227" t="n">
        <v>2</v>
      </c>
      <c r="E227" t="n">
        <v>11</v>
      </c>
    </row>
    <row r="228">
      <c r="A228" t="inlineStr">
        <is>
          <t>ED210977</t>
        </is>
      </c>
      <c r="B228" t="inlineStr">
        <is>
          <t>Bluestone Memorial</t>
        </is>
      </c>
      <c r="C228" s="32" t="n">
        <v>45950.60277777778</v>
      </c>
      <c r="D228" t="n">
        <v>3</v>
      </c>
      <c r="E228" t="n">
        <v>40</v>
      </c>
    </row>
    <row r="229">
      <c r="A229" t="inlineStr">
        <is>
          <t>ED210978</t>
        </is>
      </c>
      <c r="B229" t="inlineStr">
        <is>
          <t>Bluestone Memorial</t>
        </is>
      </c>
      <c r="C229" s="32" t="n">
        <v>45950.83680555555</v>
      </c>
      <c r="D229" t="n">
        <v>4</v>
      </c>
      <c r="E229" t="n">
        <v>19</v>
      </c>
    </row>
    <row r="230">
      <c r="A230" t="inlineStr">
        <is>
          <t>ED210979</t>
        </is>
      </c>
      <c r="B230" t="inlineStr">
        <is>
          <t>Bluestone Memorial</t>
        </is>
      </c>
      <c r="C230" s="32" t="n">
        <v>45950.99027777778</v>
      </c>
      <c r="D230" t="n">
        <v>2</v>
      </c>
      <c r="E230" t="n">
        <v>6</v>
      </c>
    </row>
    <row r="231">
      <c r="A231" t="inlineStr">
        <is>
          <t>ED210981</t>
        </is>
      </c>
      <c r="B231" t="inlineStr">
        <is>
          <t>Bluestone Memorial</t>
        </is>
      </c>
      <c r="C231" s="32" t="n">
        <v>45951.0125</v>
      </c>
      <c r="D231" t="n">
        <v>2</v>
      </c>
      <c r="E231" t="n">
        <v>13</v>
      </c>
    </row>
    <row r="232">
      <c r="A232" t="inlineStr">
        <is>
          <t>ED210982</t>
        </is>
      </c>
      <c r="B232" t="inlineStr">
        <is>
          <t>Bluestone Memorial</t>
        </is>
      </c>
      <c r="C232" s="32" t="n">
        <v>45951.16458333333</v>
      </c>
      <c r="D232" t="n">
        <v>4</v>
      </c>
      <c r="E232" t="n">
        <v>18</v>
      </c>
    </row>
    <row r="233">
      <c r="A233" t="inlineStr">
        <is>
          <t>ED210983</t>
        </is>
      </c>
      <c r="B233" t="inlineStr">
        <is>
          <t>Bluestone Memorial</t>
        </is>
      </c>
      <c r="C233" s="32" t="n">
        <v>45951.34375</v>
      </c>
      <c r="D233" t="n">
        <v>2</v>
      </c>
      <c r="E233" t="n">
        <v>25</v>
      </c>
    </row>
    <row r="234">
      <c r="A234" t="inlineStr">
        <is>
          <t>ED210984</t>
        </is>
      </c>
      <c r="B234" t="inlineStr">
        <is>
          <t>Bluestone Memorial</t>
        </is>
      </c>
      <c r="C234" s="32" t="n">
        <v>45951.39513888889</v>
      </c>
      <c r="D234" t="n">
        <v>3</v>
      </c>
      <c r="E234" t="n">
        <v>41</v>
      </c>
    </row>
    <row r="235">
      <c r="A235" t="inlineStr">
        <is>
          <t>ED210985</t>
        </is>
      </c>
      <c r="B235" t="inlineStr">
        <is>
          <t>Bluestone Memorial</t>
        </is>
      </c>
      <c r="C235" s="32" t="n">
        <v>45951.40972222222</v>
      </c>
      <c r="D235" t="n">
        <v>3</v>
      </c>
      <c r="E235" t="n">
        <v>37</v>
      </c>
    </row>
    <row r="236">
      <c r="A236" t="inlineStr">
        <is>
          <t>ED210986</t>
        </is>
      </c>
      <c r="B236" t="inlineStr">
        <is>
          <t>Bluestone Memorial</t>
        </is>
      </c>
      <c r="C236" s="32" t="n">
        <v>45951.44375</v>
      </c>
      <c r="D236" t="n">
        <v>2</v>
      </c>
      <c r="E236" t="n">
        <v>19</v>
      </c>
    </row>
    <row r="237">
      <c r="A237" t="inlineStr">
        <is>
          <t>ED210987</t>
        </is>
      </c>
      <c r="B237" t="inlineStr">
        <is>
          <t>Bluestone Memorial</t>
        </is>
      </c>
      <c r="C237" s="32" t="n">
        <v>45951.47916666666</v>
      </c>
      <c r="D237" t="n">
        <v>3</v>
      </c>
      <c r="E237" t="n">
        <v>56</v>
      </c>
    </row>
    <row r="238">
      <c r="A238" t="inlineStr">
        <is>
          <t>ED210988</t>
        </is>
      </c>
      <c r="B238" t="inlineStr">
        <is>
          <t>Bluestone Memorial</t>
        </is>
      </c>
      <c r="C238" s="32" t="n">
        <v>45951.64722222222</v>
      </c>
      <c r="D238" t="n">
        <v>3</v>
      </c>
      <c r="E238" t="n">
        <v>92</v>
      </c>
    </row>
    <row r="239">
      <c r="A239" t="inlineStr">
        <is>
          <t>ED210989</t>
        </is>
      </c>
      <c r="B239" t="inlineStr">
        <is>
          <t>Bluestone Memorial</t>
        </is>
      </c>
      <c r="C239" s="32" t="n">
        <v>45951.64791666667</v>
      </c>
      <c r="D239" t="n">
        <v>1</v>
      </c>
      <c r="E239" t="n">
        <v>3</v>
      </c>
    </row>
    <row r="240">
      <c r="A240" t="inlineStr">
        <is>
          <t>ED210990</t>
        </is>
      </c>
      <c r="B240" t="inlineStr">
        <is>
          <t>Bluestone Memorial</t>
        </is>
      </c>
      <c r="C240" s="32" t="n">
        <v>45951.75555555556</v>
      </c>
      <c r="D240" t="n">
        <v>4</v>
      </c>
      <c r="E240" t="n">
        <v>37</v>
      </c>
    </row>
    <row r="241">
      <c r="A241" t="inlineStr">
        <is>
          <t>ED210991</t>
        </is>
      </c>
      <c r="B241" t="inlineStr">
        <is>
          <t>Bluestone Memorial</t>
        </is>
      </c>
      <c r="C241" s="32" t="n">
        <v>45951.82847222222</v>
      </c>
      <c r="D241" t="n">
        <v>3</v>
      </c>
      <c r="E241" t="n">
        <v>88</v>
      </c>
    </row>
    <row r="242">
      <c r="A242" t="inlineStr">
        <is>
          <t>ED210992</t>
        </is>
      </c>
      <c r="B242" t="inlineStr">
        <is>
          <t>Bluestone Memorial</t>
        </is>
      </c>
      <c r="C242" s="32" t="n">
        <v>45951.92152777778</v>
      </c>
      <c r="D242" t="n">
        <v>3</v>
      </c>
      <c r="E242" t="n">
        <v>55</v>
      </c>
    </row>
    <row r="243">
      <c r="A243" t="inlineStr">
        <is>
          <t>ED210993</t>
        </is>
      </c>
      <c r="B243" t="inlineStr">
        <is>
          <t>Bluestone Memorial</t>
        </is>
      </c>
      <c r="C243" s="32" t="n">
        <v>45951.93125</v>
      </c>
      <c r="D243" t="n">
        <v>2</v>
      </c>
      <c r="E243" t="n">
        <v>22</v>
      </c>
    </row>
    <row r="244">
      <c r="A244" t="inlineStr">
        <is>
          <t>ED210994</t>
        </is>
      </c>
      <c r="B244" t="inlineStr">
        <is>
          <t>Bluestone Memorial</t>
        </is>
      </c>
      <c r="C244" s="32" t="n">
        <v>45952.06736111111</v>
      </c>
      <c r="D244" t="n">
        <v>2</v>
      </c>
      <c r="E244" t="n">
        <v>10</v>
      </c>
    </row>
    <row r="245">
      <c r="A245" t="inlineStr">
        <is>
          <t>ED210995</t>
        </is>
      </c>
      <c r="B245" t="inlineStr">
        <is>
          <t>Bluestone Memorial</t>
        </is>
      </c>
      <c r="C245" s="32" t="n">
        <v>45952.09236111111</v>
      </c>
      <c r="D245" t="n">
        <v>2</v>
      </c>
      <c r="E245" t="n">
        <v>19</v>
      </c>
    </row>
    <row r="246">
      <c r="A246" t="inlineStr">
        <is>
          <t>ED210996</t>
        </is>
      </c>
      <c r="B246" t="inlineStr">
        <is>
          <t>Bluestone Memorial</t>
        </is>
      </c>
      <c r="C246" s="32" t="n">
        <v>45952.32430555556</v>
      </c>
      <c r="D246" t="n">
        <v>3</v>
      </c>
      <c r="E246" t="n">
        <v>46</v>
      </c>
    </row>
    <row r="247">
      <c r="A247" t="inlineStr">
        <is>
          <t>ED210997</t>
        </is>
      </c>
      <c r="B247" t="inlineStr">
        <is>
          <t>Bluestone Memorial</t>
        </is>
      </c>
      <c r="C247" s="32" t="n">
        <v>45952.3625</v>
      </c>
      <c r="D247" t="n">
        <v>4</v>
      </c>
      <c r="E247" t="n">
        <v>48</v>
      </c>
    </row>
    <row r="248">
      <c r="A248" t="inlineStr">
        <is>
          <t>ED210998</t>
        </is>
      </c>
      <c r="B248" t="inlineStr">
        <is>
          <t>Bluestone Memorial</t>
        </is>
      </c>
      <c r="C248" s="32" t="n">
        <v>45952.40069444444</v>
      </c>
      <c r="D248" t="n">
        <v>2</v>
      </c>
      <c r="E248" t="n">
        <v>17</v>
      </c>
    </row>
    <row r="249">
      <c r="A249" t="inlineStr">
        <is>
          <t>ED210999</t>
        </is>
      </c>
      <c r="B249" t="inlineStr">
        <is>
          <t>Bluestone Memorial</t>
        </is>
      </c>
      <c r="C249" s="32" t="n">
        <v>45952.43194444444</v>
      </c>
      <c r="D249" t="n">
        <v>2</v>
      </c>
      <c r="E249" t="n">
        <v>54</v>
      </c>
    </row>
    <row r="250">
      <c r="A250" t="inlineStr">
        <is>
          <t>ED211000</t>
        </is>
      </c>
      <c r="B250" t="inlineStr">
        <is>
          <t>Bluestone Memorial</t>
        </is>
      </c>
      <c r="C250" s="32" t="n">
        <v>45952.52430555555</v>
      </c>
      <c r="D250" t="n">
        <v>2</v>
      </c>
      <c r="E250" t="n">
        <v>60</v>
      </c>
    </row>
    <row r="251">
      <c r="A251" t="inlineStr">
        <is>
          <t>ED211001</t>
        </is>
      </c>
      <c r="B251" t="inlineStr">
        <is>
          <t>Bluestone Memorial</t>
        </is>
      </c>
      <c r="C251" s="32" t="n">
        <v>45952.5375</v>
      </c>
      <c r="D251" t="n">
        <v>3</v>
      </c>
      <c r="E251" t="n">
        <v>143</v>
      </c>
    </row>
    <row r="252">
      <c r="A252" t="inlineStr">
        <is>
          <t>ED211002</t>
        </is>
      </c>
      <c r="B252" t="inlineStr">
        <is>
          <t>Bluestone Memorial</t>
        </is>
      </c>
      <c r="C252" s="32" t="n">
        <v>45952.59583333333</v>
      </c>
      <c r="D252" t="n">
        <v>3</v>
      </c>
      <c r="E252" t="n">
        <v>24</v>
      </c>
    </row>
    <row r="253">
      <c r="A253" t="inlineStr">
        <is>
          <t>ED211004</t>
        </is>
      </c>
      <c r="B253" t="inlineStr">
        <is>
          <t>Bluestone Memorial</t>
        </is>
      </c>
      <c r="C253" s="32" t="n">
        <v>45952.66666666666</v>
      </c>
      <c r="D253" t="n">
        <v>2</v>
      </c>
      <c r="E253" t="n">
        <v>38</v>
      </c>
    </row>
    <row r="254">
      <c r="A254" t="inlineStr">
        <is>
          <t>ED211005</t>
        </is>
      </c>
      <c r="B254" t="inlineStr">
        <is>
          <t>Bluestone Memorial</t>
        </is>
      </c>
      <c r="C254" s="32" t="n">
        <v>45952.70972222222</v>
      </c>
      <c r="D254" t="n">
        <v>5</v>
      </c>
      <c r="E254" t="n">
        <v>53</v>
      </c>
    </row>
    <row r="255">
      <c r="A255" t="inlineStr">
        <is>
          <t>ED211007</t>
        </is>
      </c>
      <c r="B255" t="inlineStr">
        <is>
          <t>Bluestone Memorial</t>
        </is>
      </c>
      <c r="C255" s="32" t="n">
        <v>45952.83055555556</v>
      </c>
      <c r="D255" t="n">
        <v>4</v>
      </c>
      <c r="E255" t="n">
        <v>46</v>
      </c>
    </row>
    <row r="256">
      <c r="A256" t="inlineStr">
        <is>
          <t>ED211008</t>
        </is>
      </c>
      <c r="B256" t="inlineStr">
        <is>
          <t>Bluestone Memorial</t>
        </is>
      </c>
      <c r="C256" s="32" t="n">
        <v>45952.84861111111</v>
      </c>
      <c r="D256" t="n">
        <v>1</v>
      </c>
      <c r="E256" t="n">
        <v>3</v>
      </c>
    </row>
    <row r="257">
      <c r="A257" t="inlineStr">
        <is>
          <t>ED211009</t>
        </is>
      </c>
      <c r="B257" t="inlineStr">
        <is>
          <t>Bluestone Memorial</t>
        </is>
      </c>
      <c r="C257" s="32" t="n">
        <v>45952.93541666667</v>
      </c>
      <c r="D257" t="n">
        <v>3</v>
      </c>
      <c r="E257" t="n">
        <v>17</v>
      </c>
    </row>
    <row r="258">
      <c r="A258" t="inlineStr">
        <is>
          <t>ED211014</t>
        </is>
      </c>
      <c r="B258" t="inlineStr">
        <is>
          <t>Bluestone Memorial</t>
        </is>
      </c>
      <c r="C258" s="32" t="n">
        <v>45953.41805555556</v>
      </c>
      <c r="D258" t="n">
        <v>4</v>
      </c>
      <c r="E258" t="n">
        <v>26</v>
      </c>
    </row>
    <row r="259">
      <c r="A259" t="inlineStr">
        <is>
          <t>ED211015</t>
        </is>
      </c>
      <c r="B259" t="inlineStr">
        <is>
          <t>Bluestone Memorial</t>
        </is>
      </c>
      <c r="C259" s="32" t="n">
        <v>45953.44861111111</v>
      </c>
      <c r="D259" t="n">
        <v>4</v>
      </c>
      <c r="E259" t="n">
        <v>49</v>
      </c>
    </row>
    <row r="260">
      <c r="A260" t="inlineStr">
        <is>
          <t>ED211016</t>
        </is>
      </c>
      <c r="B260" t="inlineStr">
        <is>
          <t>Bluestone Memorial</t>
        </is>
      </c>
      <c r="C260" s="32" t="n">
        <v>45953.45972222222</v>
      </c>
      <c r="D260" t="n">
        <v>2</v>
      </c>
      <c r="E260" t="n">
        <v>20</v>
      </c>
    </row>
    <row r="261">
      <c r="A261" t="inlineStr">
        <is>
          <t>ED211017</t>
        </is>
      </c>
      <c r="B261" t="inlineStr">
        <is>
          <t>Bluestone Memorial</t>
        </is>
      </c>
      <c r="C261" s="32" t="n">
        <v>45953.46736111111</v>
      </c>
      <c r="D261" t="n">
        <v>5</v>
      </c>
      <c r="E261" t="n">
        <v>20</v>
      </c>
    </row>
    <row r="262">
      <c r="A262" t="inlineStr">
        <is>
          <t>ED211018</t>
        </is>
      </c>
      <c r="B262" t="inlineStr">
        <is>
          <t>Bluestone Memorial</t>
        </is>
      </c>
      <c r="C262" s="32" t="n">
        <v>45953.58194444444</v>
      </c>
      <c r="D262" t="n">
        <v>3</v>
      </c>
      <c r="E262" t="n">
        <v>73</v>
      </c>
    </row>
    <row r="263">
      <c r="A263" t="inlineStr">
        <is>
          <t>ED211019</t>
        </is>
      </c>
      <c r="B263" t="inlineStr">
        <is>
          <t>Bluestone Memorial</t>
        </is>
      </c>
      <c r="C263" s="32" t="n">
        <v>45953.58819444444</v>
      </c>
      <c r="D263" t="n">
        <v>3</v>
      </c>
      <c r="E263" t="n">
        <v>63</v>
      </c>
    </row>
    <row r="264">
      <c r="A264" t="inlineStr">
        <is>
          <t>ED211020</t>
        </is>
      </c>
      <c r="B264" t="inlineStr">
        <is>
          <t>Bluestone Memorial</t>
        </is>
      </c>
      <c r="C264" s="32" t="n">
        <v>45953.62291666667</v>
      </c>
      <c r="D264" t="n">
        <v>4</v>
      </c>
      <c r="E264" t="n">
        <v>74</v>
      </c>
    </row>
    <row r="265">
      <c r="A265" t="inlineStr">
        <is>
          <t>ED211022</t>
        </is>
      </c>
      <c r="B265" t="inlineStr">
        <is>
          <t>Bluestone Memorial</t>
        </is>
      </c>
      <c r="C265" s="32" t="n">
        <v>45953.67916666667</v>
      </c>
      <c r="D265" t="n">
        <v>5</v>
      </c>
      <c r="E265" t="n">
        <v>66</v>
      </c>
    </row>
    <row r="266">
      <c r="A266" t="inlineStr">
        <is>
          <t>ED211023</t>
        </is>
      </c>
      <c r="B266" t="inlineStr">
        <is>
          <t>Bluestone Memorial</t>
        </is>
      </c>
      <c r="C266" s="32" t="n">
        <v>45953.69861111111</v>
      </c>
      <c r="D266" t="n">
        <v>5</v>
      </c>
      <c r="E266" t="n">
        <v>43</v>
      </c>
    </row>
    <row r="267">
      <c r="A267" t="inlineStr">
        <is>
          <t>ED211025</t>
        </is>
      </c>
      <c r="B267" t="inlineStr">
        <is>
          <t>Bluestone Memorial</t>
        </is>
      </c>
      <c r="C267" s="32" t="n">
        <v>45953.81527777778</v>
      </c>
      <c r="D267" t="n">
        <v>3</v>
      </c>
      <c r="E267" t="n">
        <v>49</v>
      </c>
    </row>
    <row r="268">
      <c r="A268" t="inlineStr">
        <is>
          <t>ED211026</t>
        </is>
      </c>
      <c r="B268" t="inlineStr">
        <is>
          <t>Bluestone Memorial</t>
        </is>
      </c>
      <c r="C268" s="32" t="n">
        <v>45953.83055555556</v>
      </c>
      <c r="D268" t="n">
        <v>2</v>
      </c>
      <c r="E268" t="n">
        <v>7</v>
      </c>
    </row>
    <row r="269">
      <c r="A269" t="inlineStr">
        <is>
          <t>ED211027</t>
        </is>
      </c>
      <c r="B269" t="inlineStr">
        <is>
          <t>Bluestone Memorial</t>
        </is>
      </c>
      <c r="C269" s="32" t="n">
        <v>45953.83402777778</v>
      </c>
      <c r="D269" t="n">
        <v>2</v>
      </c>
      <c r="E269" t="n">
        <v>23</v>
      </c>
    </row>
    <row r="270">
      <c r="A270" t="inlineStr">
        <is>
          <t>ED211028</t>
        </is>
      </c>
      <c r="B270" t="inlineStr">
        <is>
          <t>Bluestone Memorial</t>
        </is>
      </c>
      <c r="C270" s="32" t="n">
        <v>45953.875</v>
      </c>
      <c r="D270" t="n">
        <v>3</v>
      </c>
      <c r="E270" t="n">
        <v>72</v>
      </c>
    </row>
    <row r="271">
      <c r="A271" t="inlineStr">
        <is>
          <t>ED211029</t>
        </is>
      </c>
      <c r="B271" t="inlineStr">
        <is>
          <t>Bluestone Memorial</t>
        </is>
      </c>
      <c r="C271" s="32" t="n">
        <v>45953.89861111111</v>
      </c>
      <c r="D271" t="n">
        <v>3</v>
      </c>
      <c r="E271" t="n">
        <v>20</v>
      </c>
    </row>
    <row r="272">
      <c r="A272" t="inlineStr">
        <is>
          <t>ED211030</t>
        </is>
      </c>
      <c r="B272" t="inlineStr">
        <is>
          <t>Bluestone Memorial</t>
        </is>
      </c>
      <c r="C272" s="32" t="n">
        <v>45953.94722222222</v>
      </c>
      <c r="D272" t="n">
        <v>4</v>
      </c>
      <c r="E272" t="n">
        <v>46</v>
      </c>
    </row>
    <row r="273">
      <c r="A273" t="inlineStr">
        <is>
          <t>ED211031</t>
        </is>
      </c>
      <c r="B273" t="inlineStr">
        <is>
          <t>Bluestone Memorial</t>
        </is>
      </c>
      <c r="C273" s="32" t="n">
        <v>45953.95486111111</v>
      </c>
      <c r="D273" t="n">
        <v>5</v>
      </c>
      <c r="E273" t="n">
        <v>52</v>
      </c>
    </row>
    <row r="274">
      <c r="A274" t="inlineStr">
        <is>
          <t>ED211032</t>
        </is>
      </c>
      <c r="B274" t="inlineStr">
        <is>
          <t>Bluestone Memorial</t>
        </is>
      </c>
      <c r="C274" s="32" t="n">
        <v>45953.99097222222</v>
      </c>
      <c r="D274" t="n">
        <v>3</v>
      </c>
      <c r="E274" t="n">
        <v>35</v>
      </c>
    </row>
    <row r="275">
      <c r="A275" t="inlineStr">
        <is>
          <t>ED211033</t>
        </is>
      </c>
      <c r="B275" t="inlineStr">
        <is>
          <t>Bluestone Memorial</t>
        </is>
      </c>
      <c r="C275" s="32" t="n">
        <v>45954.47847222222</v>
      </c>
      <c r="D275" t="n">
        <v>5</v>
      </c>
      <c r="E275" t="n">
        <v>42</v>
      </c>
    </row>
    <row r="276">
      <c r="A276" t="inlineStr">
        <is>
          <t>ED211035</t>
        </is>
      </c>
      <c r="B276" t="inlineStr">
        <is>
          <t>Bluestone Memorial</t>
        </is>
      </c>
      <c r="C276" s="32" t="n">
        <v>45954.55486111111</v>
      </c>
      <c r="D276" t="n">
        <v>3</v>
      </c>
      <c r="E276" t="n">
        <v>23</v>
      </c>
    </row>
    <row r="277">
      <c r="A277" t="inlineStr">
        <is>
          <t>ED211036</t>
        </is>
      </c>
      <c r="B277" t="inlineStr">
        <is>
          <t>Bluestone Memorial</t>
        </is>
      </c>
      <c r="C277" s="32" t="n">
        <v>45954.56736111111</v>
      </c>
      <c r="D277" t="n">
        <v>4</v>
      </c>
      <c r="E277" t="n">
        <v>255</v>
      </c>
    </row>
    <row r="278">
      <c r="A278" t="inlineStr">
        <is>
          <t>ED211040</t>
        </is>
      </c>
      <c r="B278" t="inlineStr">
        <is>
          <t>Bluestone Memorial</t>
        </is>
      </c>
      <c r="C278" s="32" t="n">
        <v>45954.60347222222</v>
      </c>
      <c r="D278" t="n">
        <v>5</v>
      </c>
      <c r="E278" t="n">
        <v>96</v>
      </c>
    </row>
    <row r="279">
      <c r="A279" t="inlineStr">
        <is>
          <t>ED211041</t>
        </is>
      </c>
      <c r="B279" t="inlineStr">
        <is>
          <t>Bluestone Memorial</t>
        </is>
      </c>
      <c r="C279" s="32" t="n">
        <v>45954.69652777778</v>
      </c>
      <c r="D279" t="n">
        <v>4</v>
      </c>
      <c r="E279" t="n">
        <v>16</v>
      </c>
    </row>
    <row r="280">
      <c r="A280" t="inlineStr">
        <is>
          <t>ED211042</t>
        </is>
      </c>
      <c r="B280" t="inlineStr">
        <is>
          <t>Bluestone Memorial</t>
        </is>
      </c>
      <c r="C280" s="32" t="n">
        <v>45954.75486111111</v>
      </c>
      <c r="D280" t="n">
        <v>3</v>
      </c>
      <c r="E280" t="n">
        <v>43</v>
      </c>
    </row>
    <row r="281">
      <c r="A281" t="inlineStr">
        <is>
          <t>ED211043</t>
        </is>
      </c>
      <c r="B281" t="inlineStr">
        <is>
          <t>Bluestone Memorial</t>
        </is>
      </c>
      <c r="C281" s="32" t="n">
        <v>45954.81458333333</v>
      </c>
      <c r="D281" t="n">
        <v>4</v>
      </c>
      <c r="E281" t="n">
        <v>43</v>
      </c>
    </row>
    <row r="282">
      <c r="A282" t="inlineStr">
        <is>
          <t>ED211044</t>
        </is>
      </c>
      <c r="B282" t="inlineStr">
        <is>
          <t>Bluestone Memorial</t>
        </is>
      </c>
      <c r="C282" s="32" t="n">
        <v>45954.93819444445</v>
      </c>
      <c r="D282" t="n">
        <v>3</v>
      </c>
      <c r="E282" t="n">
        <v>20</v>
      </c>
    </row>
    <row r="283">
      <c r="A283" t="inlineStr">
        <is>
          <t>ED211050</t>
        </is>
      </c>
      <c r="B283" t="inlineStr">
        <is>
          <t>Bluestone Memorial</t>
        </is>
      </c>
      <c r="C283" s="32" t="n">
        <v>45955.69375</v>
      </c>
      <c r="D283" t="n">
        <v>1</v>
      </c>
      <c r="E283" t="n">
        <v>4</v>
      </c>
    </row>
    <row r="284">
      <c r="A284" t="inlineStr">
        <is>
          <t>ED211051</t>
        </is>
      </c>
      <c r="B284" t="inlineStr">
        <is>
          <t>Bluestone Memorial</t>
        </is>
      </c>
      <c r="C284" s="32" t="n">
        <v>45955.85972222222</v>
      </c>
      <c r="D284" t="n">
        <v>2</v>
      </c>
      <c r="E284" t="n">
        <v>10</v>
      </c>
    </row>
    <row r="285">
      <c r="A285" t="inlineStr">
        <is>
          <t>ED211052</t>
        </is>
      </c>
      <c r="B285" t="inlineStr">
        <is>
          <t>Bluestone Memorial</t>
        </is>
      </c>
      <c r="C285" s="32" t="n">
        <v>45955.86666666667</v>
      </c>
      <c r="D285" t="n">
        <v>5</v>
      </c>
      <c r="E285" t="n">
        <v>96</v>
      </c>
    </row>
    <row r="286">
      <c r="A286" t="inlineStr">
        <is>
          <t>ED211053</t>
        </is>
      </c>
      <c r="B286" t="inlineStr">
        <is>
          <t>Bluestone Memorial</t>
        </is>
      </c>
      <c r="C286" s="32" t="n">
        <v>45956.04375</v>
      </c>
      <c r="D286" t="n">
        <v>5</v>
      </c>
      <c r="E286" t="n">
        <v>28</v>
      </c>
    </row>
    <row r="287">
      <c r="A287" t="inlineStr">
        <is>
          <t>ED211054</t>
        </is>
      </c>
      <c r="B287" t="inlineStr">
        <is>
          <t>Bluestone Memorial</t>
        </is>
      </c>
      <c r="C287" s="32" t="n">
        <v>45956.05833333333</v>
      </c>
      <c r="D287" t="n">
        <v>4</v>
      </c>
      <c r="E287" t="n">
        <v>56</v>
      </c>
    </row>
    <row r="288">
      <c r="A288" t="inlineStr">
        <is>
          <t>ED211055</t>
        </is>
      </c>
      <c r="B288" t="inlineStr">
        <is>
          <t>Bluestone Memorial</t>
        </is>
      </c>
      <c r="C288" s="32" t="n">
        <v>45956.09583333333</v>
      </c>
      <c r="D288" t="n">
        <v>2</v>
      </c>
      <c r="E288" t="n">
        <v>10</v>
      </c>
    </row>
    <row r="289">
      <c r="A289" t="inlineStr">
        <is>
          <t>ED211057</t>
        </is>
      </c>
      <c r="B289" t="inlineStr">
        <is>
          <t>Bluestone Memorial</t>
        </is>
      </c>
      <c r="C289" s="32" t="n">
        <v>45956.60069444445</v>
      </c>
      <c r="D289" t="n">
        <v>4</v>
      </c>
      <c r="E289" t="n">
        <v>81</v>
      </c>
    </row>
    <row r="290">
      <c r="A290" t="inlineStr">
        <is>
          <t>ED211058</t>
        </is>
      </c>
      <c r="B290" t="inlineStr">
        <is>
          <t>Bluestone Memorial</t>
        </is>
      </c>
      <c r="C290" s="32" t="n">
        <v>45956.60277777778</v>
      </c>
      <c r="D290" t="n">
        <v>2</v>
      </c>
      <c r="E290" t="n">
        <v>9</v>
      </c>
    </row>
    <row r="291">
      <c r="A291" t="inlineStr">
        <is>
          <t>ED211059</t>
        </is>
      </c>
      <c r="B291" t="inlineStr">
        <is>
          <t>Bluestone Memorial</t>
        </is>
      </c>
      <c r="C291" s="32" t="n">
        <v>45956.61805555555</v>
      </c>
      <c r="D291" t="n">
        <v>2</v>
      </c>
      <c r="E291" t="n">
        <v>10</v>
      </c>
    </row>
    <row r="292">
      <c r="A292" t="inlineStr">
        <is>
          <t>ED211061</t>
        </is>
      </c>
      <c r="B292" t="inlineStr">
        <is>
          <t>Bluestone Memorial</t>
        </is>
      </c>
      <c r="C292" s="32" t="n">
        <v>45956.62708333333</v>
      </c>
      <c r="D292" t="n">
        <v>2</v>
      </c>
      <c r="E292" t="n">
        <v>35</v>
      </c>
    </row>
    <row r="293">
      <c r="A293" t="inlineStr">
        <is>
          <t>ED211062</t>
        </is>
      </c>
      <c r="B293" t="inlineStr">
        <is>
          <t>Bluestone Memorial</t>
        </is>
      </c>
      <c r="C293" s="32" t="n">
        <v>45956.65</v>
      </c>
      <c r="D293" t="n">
        <v>3</v>
      </c>
      <c r="E293" t="n">
        <v>79</v>
      </c>
    </row>
    <row r="294">
      <c r="A294" t="inlineStr">
        <is>
          <t>ED211063</t>
        </is>
      </c>
      <c r="B294" t="inlineStr">
        <is>
          <t>Bluestone Memorial</t>
        </is>
      </c>
      <c r="C294" s="32" t="n">
        <v>45956.7375</v>
      </c>
      <c r="D294" t="n">
        <v>3</v>
      </c>
      <c r="E294" t="n">
        <v>22</v>
      </c>
    </row>
    <row r="295">
      <c r="A295" t="inlineStr">
        <is>
          <t>ED211064</t>
        </is>
      </c>
      <c r="B295" t="inlineStr">
        <is>
          <t>Bluestone Memorial</t>
        </is>
      </c>
      <c r="C295" s="32" t="n">
        <v>45956.80833333333</v>
      </c>
      <c r="D295" t="n">
        <v>4</v>
      </c>
      <c r="E295" t="n">
        <v>139</v>
      </c>
    </row>
    <row r="296">
      <c r="A296" t="inlineStr">
        <is>
          <t>ED211065</t>
        </is>
      </c>
      <c r="B296" t="inlineStr">
        <is>
          <t>Bluestone Memorial</t>
        </is>
      </c>
      <c r="C296" s="32" t="n">
        <v>45956.82569444444</v>
      </c>
      <c r="D296" t="n">
        <v>3</v>
      </c>
      <c r="E296" t="n">
        <v>43</v>
      </c>
    </row>
    <row r="297">
      <c r="A297" t="inlineStr">
        <is>
          <t>ED211066</t>
        </is>
      </c>
      <c r="B297" t="inlineStr">
        <is>
          <t>Bluestone Memorial</t>
        </is>
      </c>
      <c r="C297" s="32" t="n">
        <v>45956.85069444445</v>
      </c>
      <c r="D297" t="n">
        <v>3</v>
      </c>
      <c r="E297" t="n">
        <v>12</v>
      </c>
    </row>
    <row r="298">
      <c r="A298" t="inlineStr">
        <is>
          <t>ED211068</t>
        </is>
      </c>
      <c r="B298" t="inlineStr">
        <is>
          <t>Bluestone Memorial</t>
        </is>
      </c>
      <c r="C298" s="32" t="n">
        <v>45956.94166666667</v>
      </c>
      <c r="D298" t="n">
        <v>3</v>
      </c>
      <c r="E298" t="n">
        <v>68</v>
      </c>
    </row>
    <row r="299">
      <c r="A299" t="inlineStr">
        <is>
          <t>ED211069</t>
        </is>
      </c>
      <c r="B299" t="inlineStr">
        <is>
          <t>Bluestone Memorial</t>
        </is>
      </c>
      <c r="C299" s="32" t="n">
        <v>45956.96180555555</v>
      </c>
      <c r="D299" t="n">
        <v>3</v>
      </c>
      <c r="E299" t="n">
        <v>22</v>
      </c>
    </row>
    <row r="300">
      <c r="A300" t="inlineStr">
        <is>
          <t>ED211071</t>
        </is>
      </c>
      <c r="B300" t="inlineStr">
        <is>
          <t>Bluestone Memorial</t>
        </is>
      </c>
      <c r="C300" s="32" t="n">
        <v>45957.00138888889</v>
      </c>
      <c r="D300" t="n">
        <v>4</v>
      </c>
      <c r="E300" t="n">
        <v>95</v>
      </c>
    </row>
    <row r="301">
      <c r="A301" t="inlineStr">
        <is>
          <t>ED211072</t>
        </is>
      </c>
      <c r="B301" t="inlineStr">
        <is>
          <t>Bluestone Memorial</t>
        </is>
      </c>
      <c r="C301" s="32" t="n">
        <v>45957.30486111111</v>
      </c>
      <c r="D301" t="n">
        <v>4</v>
      </c>
      <c r="E301" t="n">
        <v>83</v>
      </c>
    </row>
    <row r="302">
      <c r="A302" t="inlineStr">
        <is>
          <t>ED211073</t>
        </is>
      </c>
      <c r="B302" t="inlineStr">
        <is>
          <t>Bluestone Memorial</t>
        </is>
      </c>
      <c r="C302" s="32" t="n">
        <v>45957.3375</v>
      </c>
      <c r="D302" t="n">
        <v>2</v>
      </c>
      <c r="E302" t="n">
        <v>10</v>
      </c>
    </row>
    <row r="303">
      <c r="A303" t="inlineStr">
        <is>
          <t>ED211075</t>
        </is>
      </c>
      <c r="B303" t="inlineStr">
        <is>
          <t>Bluestone Memorial</t>
        </is>
      </c>
      <c r="C303" s="32" t="n">
        <v>45957.42569444444</v>
      </c>
      <c r="D303" t="n">
        <v>2</v>
      </c>
      <c r="E303" t="n">
        <v>22</v>
      </c>
    </row>
    <row r="304">
      <c r="A304" t="inlineStr">
        <is>
          <t>ED211077</t>
        </is>
      </c>
      <c r="B304" t="inlineStr">
        <is>
          <t>Bluestone Memorial</t>
        </is>
      </c>
      <c r="C304" s="32" t="n">
        <v>45957.45069444444</v>
      </c>
      <c r="D304" t="n">
        <v>2</v>
      </c>
      <c r="E304" t="n">
        <v>16</v>
      </c>
    </row>
    <row r="305">
      <c r="A305" t="inlineStr">
        <is>
          <t>ED211078</t>
        </is>
      </c>
      <c r="B305" t="inlineStr">
        <is>
          <t>Bluestone Memorial</t>
        </is>
      </c>
      <c r="C305" s="32" t="n">
        <v>45957.45833333334</v>
      </c>
      <c r="D305" t="n">
        <v>2</v>
      </c>
      <c r="E305" t="n">
        <v>38</v>
      </c>
    </row>
    <row r="306">
      <c r="A306" t="inlineStr">
        <is>
          <t>ED211079</t>
        </is>
      </c>
      <c r="B306" t="inlineStr">
        <is>
          <t>Bluestone Memorial</t>
        </is>
      </c>
      <c r="C306" s="32" t="n">
        <v>45957.50208333333</v>
      </c>
      <c r="D306" t="n">
        <v>3</v>
      </c>
      <c r="E306" t="n">
        <v>32</v>
      </c>
    </row>
    <row r="307">
      <c r="A307" t="inlineStr">
        <is>
          <t>ED211081</t>
        </is>
      </c>
      <c r="B307" t="inlineStr">
        <is>
          <t>Bluestone Memorial</t>
        </is>
      </c>
      <c r="C307" s="32" t="n">
        <v>45957.52361111111</v>
      </c>
      <c r="D307" t="n">
        <v>2</v>
      </c>
      <c r="E307" t="n">
        <v>16</v>
      </c>
    </row>
    <row r="308">
      <c r="A308" t="inlineStr">
        <is>
          <t>ED211082</t>
        </is>
      </c>
      <c r="B308" t="inlineStr">
        <is>
          <t>Bluestone Memorial</t>
        </is>
      </c>
      <c r="C308" s="32" t="n">
        <v>45957.53194444445</v>
      </c>
      <c r="D308" t="n">
        <v>5</v>
      </c>
      <c r="E308" t="n">
        <v>45</v>
      </c>
    </row>
    <row r="309">
      <c r="A309" t="inlineStr">
        <is>
          <t>ED211083</t>
        </is>
      </c>
      <c r="B309" t="inlineStr">
        <is>
          <t>Bluestone Memorial</t>
        </is>
      </c>
      <c r="C309" s="32" t="n">
        <v>45957.53472222222</v>
      </c>
      <c r="D309" t="n">
        <v>3</v>
      </c>
      <c r="E309" t="n">
        <v>119</v>
      </c>
    </row>
    <row r="310">
      <c r="A310" t="inlineStr">
        <is>
          <t>ED211084</t>
        </is>
      </c>
      <c r="B310" t="inlineStr">
        <is>
          <t>Bluestone Memorial</t>
        </is>
      </c>
      <c r="C310" s="32" t="n">
        <v>45957.72847222222</v>
      </c>
      <c r="D310" t="n">
        <v>4</v>
      </c>
      <c r="E310" t="n">
        <v>57</v>
      </c>
    </row>
    <row r="311">
      <c r="A311" t="inlineStr">
        <is>
          <t>ED211085</t>
        </is>
      </c>
      <c r="B311" t="inlineStr">
        <is>
          <t>Bluestone Memorial</t>
        </is>
      </c>
      <c r="C311" s="32" t="n">
        <v>45957.75416666667</v>
      </c>
      <c r="D311" t="n">
        <v>3</v>
      </c>
      <c r="E311" t="n">
        <v>27</v>
      </c>
    </row>
    <row r="312">
      <c r="A312" t="inlineStr">
        <is>
          <t>ED211087</t>
        </is>
      </c>
      <c r="B312" t="inlineStr">
        <is>
          <t>Bluestone Memorial</t>
        </is>
      </c>
      <c r="C312" s="32" t="n">
        <v>45957.85208333333</v>
      </c>
      <c r="D312" t="n">
        <v>3</v>
      </c>
      <c r="E312" t="n">
        <v>82</v>
      </c>
    </row>
    <row r="313">
      <c r="A313" t="inlineStr">
        <is>
          <t>ED211088</t>
        </is>
      </c>
      <c r="B313" t="inlineStr">
        <is>
          <t>Bluestone Memorial</t>
        </is>
      </c>
      <c r="C313" s="32" t="n">
        <v>45957.90486111111</v>
      </c>
      <c r="D313" t="n">
        <v>4</v>
      </c>
      <c r="E313" t="n">
        <v>36</v>
      </c>
    </row>
    <row r="314">
      <c r="A314" t="inlineStr">
        <is>
          <t>ED211090</t>
        </is>
      </c>
      <c r="B314" t="inlineStr">
        <is>
          <t>Bluestone Memorial</t>
        </is>
      </c>
      <c r="C314" s="32" t="n">
        <v>45958.15833333333</v>
      </c>
      <c r="D314" t="n">
        <v>2</v>
      </c>
      <c r="E314" t="n">
        <v>29</v>
      </c>
    </row>
    <row r="315">
      <c r="A315" t="inlineStr">
        <is>
          <t>ED211091</t>
        </is>
      </c>
      <c r="B315" t="inlineStr">
        <is>
          <t>Bluestone Memorial</t>
        </is>
      </c>
      <c r="C315" s="32" t="n">
        <v>45958.30347222222</v>
      </c>
      <c r="D315" t="n">
        <v>3</v>
      </c>
      <c r="E315" t="n">
        <v>45</v>
      </c>
    </row>
    <row r="316">
      <c r="A316" t="inlineStr">
        <is>
          <t>ED211092</t>
        </is>
      </c>
      <c r="B316" t="inlineStr">
        <is>
          <t>Bluestone Memorial</t>
        </is>
      </c>
      <c r="C316" s="32" t="n">
        <v>45958.36736111111</v>
      </c>
      <c r="D316" t="n">
        <v>4</v>
      </c>
      <c r="E316" t="n">
        <v>47</v>
      </c>
    </row>
    <row r="317">
      <c r="A317" t="inlineStr">
        <is>
          <t>ED211094</t>
        </is>
      </c>
      <c r="B317" t="inlineStr">
        <is>
          <t>Bluestone Memorial</t>
        </is>
      </c>
      <c r="C317" s="32" t="n">
        <v>45958.41944444444</v>
      </c>
      <c r="D317" t="n">
        <v>2</v>
      </c>
      <c r="E317" t="n">
        <v>16</v>
      </c>
    </row>
    <row r="318">
      <c r="A318" t="inlineStr">
        <is>
          <t>ED211096</t>
        </is>
      </c>
      <c r="B318" t="inlineStr">
        <is>
          <t>Bluestone Memorial</t>
        </is>
      </c>
      <c r="C318" s="32" t="n">
        <v>45958.46388888889</v>
      </c>
      <c r="D318" t="n">
        <v>3</v>
      </c>
      <c r="E318" t="n">
        <v>165</v>
      </c>
    </row>
    <row r="319">
      <c r="A319" t="inlineStr">
        <is>
          <t>ED211097</t>
        </is>
      </c>
      <c r="B319" t="inlineStr">
        <is>
          <t>Bluestone Memorial</t>
        </is>
      </c>
      <c r="C319" s="32" t="n">
        <v>45958.47083333333</v>
      </c>
      <c r="D319" t="n">
        <v>4</v>
      </c>
      <c r="E319" t="n">
        <v>80</v>
      </c>
    </row>
    <row r="320">
      <c r="A320" t="inlineStr">
        <is>
          <t>ED211100</t>
        </is>
      </c>
      <c r="B320" t="inlineStr">
        <is>
          <t>Bluestone Memorial</t>
        </is>
      </c>
      <c r="C320" s="32" t="n">
        <v>45958.66180555556</v>
      </c>
      <c r="D320" t="n">
        <v>5</v>
      </c>
      <c r="E320" t="n">
        <v>88</v>
      </c>
    </row>
    <row r="321">
      <c r="A321" t="inlineStr">
        <is>
          <t>ED211101</t>
        </is>
      </c>
      <c r="B321" t="inlineStr">
        <is>
          <t>Bluestone Memorial</t>
        </is>
      </c>
      <c r="C321" s="32" t="n">
        <v>45958.68958333333</v>
      </c>
      <c r="D321" t="n">
        <v>2</v>
      </c>
      <c r="E321" t="n">
        <v>58</v>
      </c>
    </row>
    <row r="322">
      <c r="A322" t="inlineStr">
        <is>
          <t>ED211102</t>
        </is>
      </c>
      <c r="B322" t="inlineStr">
        <is>
          <t>Bluestone Memorial</t>
        </is>
      </c>
      <c r="C322" s="32" t="n">
        <v>45958.69861111111</v>
      </c>
      <c r="D322" t="n">
        <v>3</v>
      </c>
      <c r="E322" t="n">
        <v>234</v>
      </c>
    </row>
    <row r="323">
      <c r="A323" t="inlineStr">
        <is>
          <t>ED211104</t>
        </is>
      </c>
      <c r="B323" t="inlineStr">
        <is>
          <t>Bluestone Memorial</t>
        </is>
      </c>
      <c r="C323" s="32" t="n">
        <v>45958.70763888889</v>
      </c>
      <c r="D323" t="n">
        <v>4</v>
      </c>
      <c r="E323" t="n">
        <v>47</v>
      </c>
    </row>
    <row r="324">
      <c r="A324" t="inlineStr">
        <is>
          <t>ED211105</t>
        </is>
      </c>
      <c r="B324" t="inlineStr">
        <is>
          <t>Bluestone Memorial</t>
        </is>
      </c>
      <c r="C324" s="32" t="n">
        <v>45958.72152777778</v>
      </c>
      <c r="D324" t="n">
        <v>3</v>
      </c>
      <c r="E324" t="n">
        <v>33</v>
      </c>
    </row>
    <row r="325">
      <c r="A325" t="inlineStr">
        <is>
          <t>ED211106</t>
        </is>
      </c>
      <c r="B325" t="inlineStr">
        <is>
          <t>Bluestone Memorial</t>
        </is>
      </c>
      <c r="C325" s="32" t="n">
        <v>45958.73472222222</v>
      </c>
      <c r="D325" t="n">
        <v>3</v>
      </c>
      <c r="E325" t="n">
        <v>62</v>
      </c>
    </row>
    <row r="326">
      <c r="A326" t="inlineStr">
        <is>
          <t>ED211109</t>
        </is>
      </c>
      <c r="B326" t="inlineStr">
        <is>
          <t>Bluestone Memorial</t>
        </is>
      </c>
      <c r="C326" s="32" t="n">
        <v>45958.76041666666</v>
      </c>
      <c r="D326" t="n">
        <v>2</v>
      </c>
      <c r="E326" t="n">
        <v>10</v>
      </c>
    </row>
    <row r="327">
      <c r="A327" t="inlineStr">
        <is>
          <t>ED211110</t>
        </is>
      </c>
      <c r="B327" t="inlineStr">
        <is>
          <t>Bluestone Memorial</t>
        </is>
      </c>
      <c r="C327" s="32" t="n">
        <v>45958.83472222222</v>
      </c>
      <c r="D327" t="n">
        <v>2</v>
      </c>
      <c r="E327" t="n">
        <v>12</v>
      </c>
    </row>
    <row r="328">
      <c r="A328" t="inlineStr">
        <is>
          <t>ED211112</t>
        </is>
      </c>
      <c r="B328" t="inlineStr">
        <is>
          <t>Bluestone Memorial</t>
        </is>
      </c>
      <c r="C328" s="32" t="n">
        <v>45958.88194444445</v>
      </c>
      <c r="D328" t="n">
        <v>2</v>
      </c>
      <c r="E328" t="n">
        <v>13</v>
      </c>
    </row>
    <row r="329">
      <c r="A329" t="inlineStr">
        <is>
          <t>ED211113</t>
        </is>
      </c>
      <c r="B329" t="inlineStr">
        <is>
          <t>Bluestone Memorial</t>
        </is>
      </c>
      <c r="C329" s="32" t="n">
        <v>45958.91111111111</v>
      </c>
      <c r="D329" t="n">
        <v>3</v>
      </c>
      <c r="E329" t="n">
        <v>26</v>
      </c>
    </row>
    <row r="330">
      <c r="A330" t="inlineStr">
        <is>
          <t>ED211114</t>
        </is>
      </c>
      <c r="B330" t="inlineStr">
        <is>
          <t>Bluestone Memorial</t>
        </is>
      </c>
      <c r="C330" s="32" t="n">
        <v>45958.92430555556</v>
      </c>
      <c r="D330" t="n">
        <v>5</v>
      </c>
      <c r="E330" t="n">
        <v>31</v>
      </c>
    </row>
    <row r="331">
      <c r="A331" t="inlineStr">
        <is>
          <t>ED211116</t>
        </is>
      </c>
      <c r="B331" t="inlineStr">
        <is>
          <t>Bluestone Memorial</t>
        </is>
      </c>
      <c r="C331" s="32" t="n">
        <v>45959.11041666667</v>
      </c>
      <c r="D331" t="n">
        <v>3</v>
      </c>
      <c r="E331" t="n">
        <v>41</v>
      </c>
    </row>
    <row r="332">
      <c r="A332" t="inlineStr">
        <is>
          <t>ED211117</t>
        </is>
      </c>
      <c r="B332" t="inlineStr">
        <is>
          <t>Bluestone Memorial</t>
        </is>
      </c>
      <c r="C332" s="32" t="n">
        <v>45959.22083333333</v>
      </c>
      <c r="D332" t="n">
        <v>3</v>
      </c>
      <c r="E332" t="n">
        <v>14</v>
      </c>
    </row>
    <row r="333">
      <c r="A333" t="inlineStr">
        <is>
          <t>ED211118</t>
        </is>
      </c>
      <c r="B333" t="inlineStr">
        <is>
          <t>Bluestone Memorial</t>
        </is>
      </c>
      <c r="C333" s="32" t="n">
        <v>45959.43888888889</v>
      </c>
      <c r="D333" t="n">
        <v>2</v>
      </c>
      <c r="E333" t="n">
        <v>38</v>
      </c>
    </row>
    <row r="334">
      <c r="A334" t="inlineStr">
        <is>
          <t>ED211120</t>
        </is>
      </c>
      <c r="B334" t="inlineStr">
        <is>
          <t>Bluestone Memorial</t>
        </is>
      </c>
      <c r="C334" s="32" t="n">
        <v>45959.48472222222</v>
      </c>
      <c r="D334" t="n">
        <v>2</v>
      </c>
      <c r="E334" t="n">
        <v>20</v>
      </c>
    </row>
    <row r="335">
      <c r="A335" t="inlineStr">
        <is>
          <t>ED211122</t>
        </is>
      </c>
      <c r="B335" t="inlineStr">
        <is>
          <t>Bluestone Memorial</t>
        </is>
      </c>
      <c r="C335" s="32" t="n">
        <v>45959.52083333334</v>
      </c>
      <c r="D335" t="n">
        <v>4</v>
      </c>
      <c r="E335" t="n">
        <v>128</v>
      </c>
    </row>
    <row r="336">
      <c r="A336" t="inlineStr">
        <is>
          <t>ED211123</t>
        </is>
      </c>
      <c r="B336" t="inlineStr">
        <is>
          <t>Bluestone Memorial</t>
        </is>
      </c>
      <c r="C336" s="32" t="n">
        <v>45959.52708333333</v>
      </c>
      <c r="D336" t="n">
        <v>3</v>
      </c>
      <c r="E336" t="n">
        <v>94</v>
      </c>
    </row>
    <row r="337">
      <c r="A337" t="inlineStr">
        <is>
          <t>ED211124</t>
        </is>
      </c>
      <c r="B337" t="inlineStr">
        <is>
          <t>Bluestone Memorial</t>
        </is>
      </c>
      <c r="C337" s="32" t="n">
        <v>45959.5875</v>
      </c>
      <c r="D337" t="n">
        <v>3</v>
      </c>
      <c r="E337" t="n">
        <v>28</v>
      </c>
    </row>
    <row r="338">
      <c r="A338" t="inlineStr">
        <is>
          <t>ED211127</t>
        </is>
      </c>
      <c r="B338" t="inlineStr">
        <is>
          <t>Bluestone Memorial</t>
        </is>
      </c>
      <c r="C338" s="32" t="n">
        <v>45959.74166666667</v>
      </c>
      <c r="D338" t="n">
        <v>2</v>
      </c>
      <c r="E338" t="n">
        <v>27</v>
      </c>
    </row>
    <row r="339">
      <c r="A339" t="inlineStr">
        <is>
          <t>ED211128</t>
        </is>
      </c>
      <c r="B339" t="inlineStr">
        <is>
          <t>Bluestone Memorial</t>
        </is>
      </c>
      <c r="C339" s="32" t="n">
        <v>45959.75972222222</v>
      </c>
      <c r="D339" t="n">
        <v>2</v>
      </c>
      <c r="E339" t="n">
        <v>13</v>
      </c>
    </row>
    <row r="340">
      <c r="A340" t="inlineStr">
        <is>
          <t>ED211130</t>
        </is>
      </c>
      <c r="B340" t="inlineStr">
        <is>
          <t>Bluestone Memorial</t>
        </is>
      </c>
      <c r="C340" s="32" t="n">
        <v>45959.77638888889</v>
      </c>
      <c r="D340" t="n">
        <v>3</v>
      </c>
      <c r="E340" t="n">
        <v>50</v>
      </c>
    </row>
    <row r="341">
      <c r="A341" t="inlineStr">
        <is>
          <t>ED211131</t>
        </is>
      </c>
      <c r="B341" t="inlineStr">
        <is>
          <t>Bluestone Memorial</t>
        </is>
      </c>
      <c r="C341" s="32" t="n">
        <v>45959.88472222222</v>
      </c>
      <c r="D341" t="n">
        <v>3</v>
      </c>
      <c r="E341" t="n">
        <v>16</v>
      </c>
    </row>
    <row r="342">
      <c r="A342" t="inlineStr">
        <is>
          <t>ED211133</t>
        </is>
      </c>
      <c r="B342" t="inlineStr">
        <is>
          <t>Bluestone Memorial</t>
        </is>
      </c>
      <c r="C342" s="32" t="n">
        <v>45960.01041666666</v>
      </c>
      <c r="D342" t="n">
        <v>3</v>
      </c>
      <c r="E342" t="n">
        <v>7</v>
      </c>
    </row>
    <row r="343">
      <c r="A343" t="inlineStr">
        <is>
          <t>ED211134</t>
        </is>
      </c>
      <c r="B343" t="inlineStr">
        <is>
          <t>Bluestone Memorial</t>
        </is>
      </c>
      <c r="C343" s="32" t="n">
        <v>45960.36805555555</v>
      </c>
      <c r="D343" t="n">
        <v>3</v>
      </c>
      <c r="E343" t="n">
        <v>62</v>
      </c>
    </row>
    <row r="344">
      <c r="A344" t="inlineStr">
        <is>
          <t>ED211135</t>
        </is>
      </c>
      <c r="B344" t="inlineStr">
        <is>
          <t>Bluestone Memorial</t>
        </is>
      </c>
      <c r="C344" s="32" t="n">
        <v>45960.39305555556</v>
      </c>
      <c r="D344" t="n">
        <v>3</v>
      </c>
      <c r="E344" t="n">
        <v>53</v>
      </c>
    </row>
    <row r="345">
      <c r="A345" t="inlineStr">
        <is>
          <t>ED211137</t>
        </is>
      </c>
      <c r="B345" t="inlineStr">
        <is>
          <t>Bluestone Memorial</t>
        </is>
      </c>
      <c r="C345" s="32" t="n">
        <v>45960.41944444444</v>
      </c>
      <c r="D345" t="n">
        <v>3</v>
      </c>
      <c r="E345" t="n">
        <v>18</v>
      </c>
    </row>
    <row r="346">
      <c r="A346" t="inlineStr">
        <is>
          <t>ED211138</t>
        </is>
      </c>
      <c r="B346" t="inlineStr">
        <is>
          <t>Bluestone Memorial</t>
        </is>
      </c>
      <c r="C346" s="32" t="n">
        <v>45960.44861111111</v>
      </c>
      <c r="D346" t="n">
        <v>4</v>
      </c>
      <c r="E346" t="n">
        <v>100</v>
      </c>
    </row>
    <row r="347">
      <c r="A347" t="inlineStr">
        <is>
          <t>ED211139</t>
        </is>
      </c>
      <c r="B347" t="inlineStr">
        <is>
          <t>Bluestone Memorial</t>
        </is>
      </c>
      <c r="C347" s="32" t="n">
        <v>45960.46875</v>
      </c>
      <c r="D347" t="n">
        <v>3</v>
      </c>
      <c r="E347" t="n">
        <v>46</v>
      </c>
    </row>
    <row r="348">
      <c r="A348" t="inlineStr">
        <is>
          <t>ED211140</t>
        </is>
      </c>
      <c r="B348" t="inlineStr">
        <is>
          <t>Bluestone Memorial</t>
        </is>
      </c>
      <c r="C348" s="32" t="n">
        <v>45960.49236111111</v>
      </c>
      <c r="D348" t="n">
        <v>3</v>
      </c>
      <c r="E348" t="n">
        <v>51</v>
      </c>
    </row>
    <row r="349">
      <c r="A349" t="inlineStr">
        <is>
          <t>ED211141</t>
        </is>
      </c>
      <c r="B349" t="inlineStr">
        <is>
          <t>Bluestone Memorial</t>
        </is>
      </c>
      <c r="C349" s="32" t="n">
        <v>45960.50277777778</v>
      </c>
      <c r="D349" t="n">
        <v>2</v>
      </c>
      <c r="E349" t="n">
        <v>17</v>
      </c>
    </row>
    <row r="350">
      <c r="A350" t="inlineStr">
        <is>
          <t>ED211142</t>
        </is>
      </c>
      <c r="B350" t="inlineStr">
        <is>
          <t>Bluestone Memorial</t>
        </is>
      </c>
      <c r="C350" s="32" t="n">
        <v>45960.52777777778</v>
      </c>
      <c r="D350" t="n">
        <v>3</v>
      </c>
      <c r="E350" t="n">
        <v>55</v>
      </c>
    </row>
    <row r="351">
      <c r="A351" t="inlineStr">
        <is>
          <t>ED211143</t>
        </is>
      </c>
      <c r="B351" t="inlineStr">
        <is>
          <t>Bluestone Memorial</t>
        </is>
      </c>
      <c r="C351" s="32" t="n">
        <v>45960.59722222222</v>
      </c>
      <c r="D351" t="n">
        <v>3</v>
      </c>
      <c r="E351" t="n">
        <v>60</v>
      </c>
    </row>
    <row r="352">
      <c r="A352" t="inlineStr">
        <is>
          <t>ED211144</t>
        </is>
      </c>
      <c r="B352" t="inlineStr">
        <is>
          <t>Bluestone Memorial</t>
        </is>
      </c>
      <c r="C352" s="32" t="n">
        <v>45960.61736111111</v>
      </c>
      <c r="D352" t="n">
        <v>3</v>
      </c>
      <c r="E352" t="n">
        <v>43</v>
      </c>
    </row>
    <row r="353">
      <c r="A353" t="inlineStr">
        <is>
          <t>ED211145</t>
        </is>
      </c>
      <c r="B353" t="inlineStr">
        <is>
          <t>Bluestone Memorial</t>
        </is>
      </c>
      <c r="C353" s="32" t="n">
        <v>45960.66388888889</v>
      </c>
      <c r="D353" t="n">
        <v>3</v>
      </c>
      <c r="E353" t="n">
        <v>94</v>
      </c>
    </row>
    <row r="354">
      <c r="A354" t="inlineStr">
        <is>
          <t>ED211146</t>
        </is>
      </c>
      <c r="B354" t="inlineStr">
        <is>
          <t>Bluestone Memorial</t>
        </is>
      </c>
      <c r="C354" s="32" t="n">
        <v>45960.66527777778</v>
      </c>
      <c r="D354" t="n">
        <v>3</v>
      </c>
      <c r="E354" t="n">
        <v>215</v>
      </c>
    </row>
    <row r="355">
      <c r="A355" t="inlineStr">
        <is>
          <t>ED211148</t>
        </is>
      </c>
      <c r="B355" t="inlineStr">
        <is>
          <t>Bluestone Memorial</t>
        </is>
      </c>
      <c r="C355" s="32" t="n">
        <v>45960.66805555556</v>
      </c>
      <c r="D355" t="n">
        <v>5</v>
      </c>
      <c r="E355" t="n">
        <v>105</v>
      </c>
    </row>
    <row r="356">
      <c r="A356" t="inlineStr">
        <is>
          <t>ED211149</t>
        </is>
      </c>
      <c r="B356" t="inlineStr">
        <is>
          <t>Bluestone Memorial</t>
        </is>
      </c>
      <c r="C356" s="32" t="n">
        <v>45960.72986111111</v>
      </c>
      <c r="D356" t="n">
        <v>4</v>
      </c>
      <c r="E356" t="n">
        <v>76</v>
      </c>
    </row>
    <row r="357">
      <c r="A357" t="inlineStr">
        <is>
          <t>ED211150</t>
        </is>
      </c>
      <c r="B357" t="inlineStr">
        <is>
          <t>Bluestone Memorial</t>
        </is>
      </c>
      <c r="C357" s="32" t="n">
        <v>45960.87083333333</v>
      </c>
      <c r="D357" t="n">
        <v>5</v>
      </c>
      <c r="E357" t="n">
        <v>18</v>
      </c>
    </row>
    <row r="358">
      <c r="A358" t="inlineStr">
        <is>
          <t>ED211151</t>
        </is>
      </c>
      <c r="B358" t="inlineStr">
        <is>
          <t>Bluestone Memorial</t>
        </is>
      </c>
      <c r="C358" s="32" t="n">
        <v>45960.92083333333</v>
      </c>
      <c r="D358" t="n">
        <v>2</v>
      </c>
      <c r="E358" t="n">
        <v>25</v>
      </c>
    </row>
    <row r="359">
      <c r="A359" t="inlineStr">
        <is>
          <t>ED211152</t>
        </is>
      </c>
      <c r="B359" t="inlineStr">
        <is>
          <t>Bluestone Memorial</t>
        </is>
      </c>
      <c r="C359" s="32" t="n">
        <v>45961.10416666666</v>
      </c>
      <c r="D359" t="n">
        <v>3</v>
      </c>
      <c r="E359" t="n">
        <v>25</v>
      </c>
    </row>
    <row r="360">
      <c r="A360" t="inlineStr">
        <is>
          <t>ED211153</t>
        </is>
      </c>
      <c r="B360" t="inlineStr">
        <is>
          <t>Bluestone Memorial</t>
        </is>
      </c>
      <c r="C360" s="32" t="n">
        <v>45961.11805555555</v>
      </c>
      <c r="D360" t="n">
        <v>3</v>
      </c>
      <c r="E360" t="n">
        <v>75</v>
      </c>
    </row>
    <row r="361">
      <c r="A361" t="inlineStr">
        <is>
          <t>ED211154</t>
        </is>
      </c>
      <c r="B361" t="inlineStr">
        <is>
          <t>Bluestone Memorial</t>
        </is>
      </c>
      <c r="C361" s="32" t="n">
        <v>45961.24722222222</v>
      </c>
      <c r="D361" t="n">
        <v>1</v>
      </c>
      <c r="E361" t="n">
        <v>1</v>
      </c>
    </row>
    <row r="362">
      <c r="A362" t="inlineStr">
        <is>
          <t>ED211157</t>
        </is>
      </c>
      <c r="B362" t="inlineStr">
        <is>
          <t>Bluestone Memorial</t>
        </is>
      </c>
      <c r="C362" s="32" t="n">
        <v>45961.4</v>
      </c>
      <c r="D362" t="n">
        <v>3</v>
      </c>
      <c r="E362" t="n">
        <v>63</v>
      </c>
    </row>
    <row r="363">
      <c r="A363" t="inlineStr">
        <is>
          <t>ED211159</t>
        </is>
      </c>
      <c r="B363" t="inlineStr">
        <is>
          <t>Bluestone Memorial</t>
        </is>
      </c>
      <c r="C363" s="32" t="n">
        <v>45961.55</v>
      </c>
      <c r="D363" t="n">
        <v>3</v>
      </c>
      <c r="E363" t="n">
        <v>47</v>
      </c>
    </row>
    <row r="364">
      <c r="A364" t="inlineStr">
        <is>
          <t>ED211162</t>
        </is>
      </c>
      <c r="B364" t="inlineStr">
        <is>
          <t>Bluestone Memorial</t>
        </is>
      </c>
      <c r="C364" s="32" t="n">
        <v>45961.59513888889</v>
      </c>
      <c r="D364" t="n">
        <v>1</v>
      </c>
      <c r="E364" t="n">
        <v>5</v>
      </c>
    </row>
    <row r="365">
      <c r="A365" t="inlineStr">
        <is>
          <t>ED211165</t>
        </is>
      </c>
      <c r="B365" t="inlineStr">
        <is>
          <t>Bluestone Memorial</t>
        </is>
      </c>
      <c r="C365" s="32" t="n">
        <v>45961.65486111111</v>
      </c>
      <c r="D365" t="n">
        <v>2</v>
      </c>
      <c r="E365" t="n">
        <v>32</v>
      </c>
    </row>
    <row r="366">
      <c r="A366" t="inlineStr">
        <is>
          <t>ED211166</t>
        </is>
      </c>
      <c r="B366" t="inlineStr">
        <is>
          <t>Bluestone Memorial</t>
        </is>
      </c>
      <c r="C366" s="32" t="n">
        <v>45961.66458333333</v>
      </c>
      <c r="D366" t="n">
        <v>3</v>
      </c>
      <c r="E366" t="n">
        <v>126</v>
      </c>
    </row>
    <row r="367">
      <c r="A367" t="inlineStr">
        <is>
          <t>ED211167</t>
        </is>
      </c>
      <c r="B367" t="inlineStr">
        <is>
          <t>Bluestone Memorial</t>
        </is>
      </c>
      <c r="C367" s="32" t="n">
        <v>45961.68958333333</v>
      </c>
      <c r="D367" t="n">
        <v>2</v>
      </c>
      <c r="E367" t="n">
        <v>35</v>
      </c>
    </row>
    <row r="368">
      <c r="A368" t="inlineStr">
        <is>
          <t>ED211169</t>
        </is>
      </c>
      <c r="B368" t="inlineStr">
        <is>
          <t>Bluestone Memorial</t>
        </is>
      </c>
      <c r="C368" s="32" t="n">
        <v>45961.76388888889</v>
      </c>
      <c r="D368" t="n">
        <v>2</v>
      </c>
      <c r="E368" t="n">
        <v>15</v>
      </c>
    </row>
    <row r="369">
      <c r="A369" t="inlineStr">
        <is>
          <t>ED211170</t>
        </is>
      </c>
      <c r="B369" t="inlineStr">
        <is>
          <t>Bluestone Memorial</t>
        </is>
      </c>
      <c r="C369" s="32" t="n">
        <v>45961.78333333333</v>
      </c>
      <c r="D369" t="n">
        <v>4</v>
      </c>
    </row>
    <row r="370">
      <c r="A370" t="inlineStr">
        <is>
          <t>ED211171</t>
        </is>
      </c>
      <c r="B370" t="inlineStr">
        <is>
          <t>Bluestone Memorial</t>
        </is>
      </c>
      <c r="C370" s="32" t="n">
        <v>45961.78611111111</v>
      </c>
      <c r="D370" t="n">
        <v>3</v>
      </c>
      <c r="E370" t="n">
        <v>55</v>
      </c>
    </row>
    <row r="371">
      <c r="A371" t="inlineStr">
        <is>
          <t>ED211172</t>
        </is>
      </c>
      <c r="B371" t="inlineStr">
        <is>
          <t>Bluestone Memorial</t>
        </is>
      </c>
      <c r="C371" s="32" t="n">
        <v>45961.79930555556</v>
      </c>
      <c r="D371" t="n">
        <v>5</v>
      </c>
      <c r="E371" t="n">
        <v>46</v>
      </c>
    </row>
    <row r="372">
      <c r="A372" t="inlineStr">
        <is>
          <t>ED211175</t>
        </is>
      </c>
      <c r="B372" t="inlineStr">
        <is>
          <t>Bluestone Memorial</t>
        </is>
      </c>
      <c r="C372" s="32" t="n">
        <v>45961.94652777778</v>
      </c>
      <c r="D372" t="n">
        <v>4</v>
      </c>
      <c r="E372" t="n">
        <v>33</v>
      </c>
    </row>
    <row r="373">
      <c r="A373" t="inlineStr">
        <is>
          <t>ED211176</t>
        </is>
      </c>
      <c r="B373" t="inlineStr">
        <is>
          <t>Bluestone Memorial</t>
        </is>
      </c>
      <c r="C373" s="32" t="n">
        <v>45962.03680555556</v>
      </c>
      <c r="D373" t="n">
        <v>3</v>
      </c>
      <c r="E373" t="n">
        <v>23</v>
      </c>
    </row>
    <row r="374">
      <c r="A374" t="inlineStr">
        <is>
          <t>ED211178</t>
        </is>
      </c>
      <c r="B374" t="inlineStr">
        <is>
          <t>Bluestone Memorial</t>
        </is>
      </c>
      <c r="C374" s="32" t="n">
        <v>45962.27847222222</v>
      </c>
      <c r="D374" t="n">
        <v>3</v>
      </c>
      <c r="E374" t="n">
        <v>28</v>
      </c>
    </row>
    <row r="375">
      <c r="A375" t="inlineStr">
        <is>
          <t>ED211180</t>
        </is>
      </c>
      <c r="B375" t="inlineStr">
        <is>
          <t>Bluestone Memorial</t>
        </is>
      </c>
      <c r="C375" s="32" t="n">
        <v>45962.39722222222</v>
      </c>
      <c r="D375" t="n">
        <v>2</v>
      </c>
      <c r="E375" t="n">
        <v>35</v>
      </c>
    </row>
    <row r="376">
      <c r="A376" t="inlineStr">
        <is>
          <t>ED211182</t>
        </is>
      </c>
      <c r="B376" t="inlineStr">
        <is>
          <t>Bluestone Memorial</t>
        </is>
      </c>
      <c r="C376" s="32" t="n">
        <v>45962.53125</v>
      </c>
      <c r="D376" t="n">
        <v>3</v>
      </c>
      <c r="E376" t="n">
        <v>109</v>
      </c>
    </row>
    <row r="377">
      <c r="A377" t="inlineStr">
        <is>
          <t>ED211184</t>
        </is>
      </c>
      <c r="B377" t="inlineStr">
        <is>
          <t>Bluestone Memorial</t>
        </is>
      </c>
      <c r="C377" s="32" t="n">
        <v>45962.56180555555</v>
      </c>
      <c r="D377" t="n">
        <v>2</v>
      </c>
      <c r="E377" t="n">
        <v>20</v>
      </c>
    </row>
    <row r="378">
      <c r="A378" t="inlineStr">
        <is>
          <t>ED211185</t>
        </is>
      </c>
      <c r="B378" t="inlineStr">
        <is>
          <t>Bluestone Memorial</t>
        </is>
      </c>
      <c r="C378" s="32" t="n">
        <v>45962.58333333334</v>
      </c>
      <c r="D378" t="n">
        <v>5</v>
      </c>
      <c r="E378" t="n">
        <v>54</v>
      </c>
    </row>
    <row r="379">
      <c r="A379" t="inlineStr">
        <is>
          <t>ED211187</t>
        </is>
      </c>
      <c r="B379" t="inlineStr">
        <is>
          <t>Bluestone Memorial</t>
        </is>
      </c>
      <c r="C379" s="32" t="n">
        <v>45962.76944444444</v>
      </c>
      <c r="D379" t="n">
        <v>4</v>
      </c>
      <c r="E379" t="n">
        <v>45</v>
      </c>
    </row>
    <row r="380">
      <c r="A380" t="inlineStr">
        <is>
          <t>ED211188</t>
        </is>
      </c>
      <c r="B380" t="inlineStr">
        <is>
          <t>Bluestone Memorial</t>
        </is>
      </c>
      <c r="C380" s="32" t="n">
        <v>45963.23472222222</v>
      </c>
      <c r="D380" t="n">
        <v>4</v>
      </c>
      <c r="E380" t="n">
        <v>23</v>
      </c>
    </row>
    <row r="381">
      <c r="A381" t="inlineStr">
        <is>
          <t>ED211190</t>
        </is>
      </c>
      <c r="B381" t="inlineStr">
        <is>
          <t>Bluestone Memorial</t>
        </is>
      </c>
      <c r="C381" s="32" t="n">
        <v>45963.41458333333</v>
      </c>
      <c r="D381" t="n">
        <v>3</v>
      </c>
      <c r="E381" t="n">
        <v>21</v>
      </c>
    </row>
    <row r="382">
      <c r="A382" t="inlineStr">
        <is>
          <t>ED211192</t>
        </is>
      </c>
      <c r="B382" t="inlineStr">
        <is>
          <t>Bluestone Memorial</t>
        </is>
      </c>
      <c r="C382" s="32" t="n">
        <v>45963.48194444444</v>
      </c>
      <c r="D382" t="n">
        <v>3</v>
      </c>
      <c r="E382" t="n">
        <v>115</v>
      </c>
    </row>
    <row r="383">
      <c r="A383" t="inlineStr">
        <is>
          <t>ED211195</t>
        </is>
      </c>
      <c r="B383" t="inlineStr">
        <is>
          <t>Bluestone Memorial</t>
        </is>
      </c>
      <c r="C383" s="32" t="n">
        <v>45963.59861111111</v>
      </c>
      <c r="D383" t="n">
        <v>2</v>
      </c>
      <c r="E383" t="n">
        <v>15</v>
      </c>
    </row>
    <row r="384">
      <c r="A384" t="inlineStr">
        <is>
          <t>ED211196</t>
        </is>
      </c>
      <c r="B384" t="inlineStr">
        <is>
          <t>Bluestone Memorial</t>
        </is>
      </c>
      <c r="C384" s="32" t="n">
        <v>45963.63541666666</v>
      </c>
      <c r="D384" t="n">
        <v>3</v>
      </c>
      <c r="E384" t="n">
        <v>130</v>
      </c>
    </row>
    <row r="385">
      <c r="A385" t="inlineStr">
        <is>
          <t>ED211197</t>
        </is>
      </c>
      <c r="B385" t="inlineStr">
        <is>
          <t>Bluestone Memorial</t>
        </is>
      </c>
      <c r="C385" s="32" t="n">
        <v>45963.65138888889</v>
      </c>
      <c r="D385" t="n">
        <v>5</v>
      </c>
      <c r="E385" t="n">
        <v>52</v>
      </c>
    </row>
    <row r="386">
      <c r="A386" t="inlineStr">
        <is>
          <t>ED211199</t>
        </is>
      </c>
      <c r="B386" t="inlineStr">
        <is>
          <t>Bluestone Memorial</t>
        </is>
      </c>
      <c r="C386" s="32" t="n">
        <v>45963.95625</v>
      </c>
      <c r="D386" t="n">
        <v>4</v>
      </c>
      <c r="E386" t="n">
        <v>13</v>
      </c>
    </row>
    <row r="387">
      <c r="A387" t="inlineStr">
        <is>
          <t>ED211200</t>
        </is>
      </c>
      <c r="B387" t="inlineStr">
        <is>
          <t>Bluestone Memorial</t>
        </is>
      </c>
      <c r="C387" s="32" t="n">
        <v>45964.01388888889</v>
      </c>
      <c r="D387" t="n">
        <v>4</v>
      </c>
      <c r="E387" t="n">
        <v>37</v>
      </c>
    </row>
    <row r="388">
      <c r="A388" t="inlineStr">
        <is>
          <t>ED211201</t>
        </is>
      </c>
      <c r="B388" t="inlineStr">
        <is>
          <t>Bluestone Memorial</t>
        </is>
      </c>
      <c r="C388" s="32" t="n">
        <v>45964.02083333334</v>
      </c>
      <c r="D388" t="n">
        <v>3</v>
      </c>
      <c r="E388" t="n">
        <v>29</v>
      </c>
    </row>
    <row r="389">
      <c r="A389" t="inlineStr">
        <is>
          <t>ED211203</t>
        </is>
      </c>
      <c r="B389" t="inlineStr">
        <is>
          <t>Bluestone Memorial</t>
        </is>
      </c>
      <c r="C389" s="32" t="n">
        <v>45964.10833333333</v>
      </c>
      <c r="D389" t="n">
        <v>2</v>
      </c>
      <c r="E389" t="n">
        <v>15</v>
      </c>
    </row>
    <row r="390">
      <c r="A390" t="inlineStr">
        <is>
          <t>ED211204</t>
        </is>
      </c>
      <c r="B390" t="inlineStr">
        <is>
          <t>Bluestone Memorial</t>
        </is>
      </c>
      <c r="C390" s="32" t="n">
        <v>45964.14166666667</v>
      </c>
      <c r="D390" t="n">
        <v>3</v>
      </c>
      <c r="E390" t="n">
        <v>26</v>
      </c>
    </row>
    <row r="391">
      <c r="A391" t="inlineStr">
        <is>
          <t>ED211205</t>
        </is>
      </c>
      <c r="B391" t="inlineStr">
        <is>
          <t>Bluestone Memorial</t>
        </is>
      </c>
      <c r="C391" s="32" t="n">
        <v>45964.15625</v>
      </c>
      <c r="D391" t="n">
        <v>2</v>
      </c>
      <c r="E391" t="n">
        <v>6</v>
      </c>
    </row>
    <row r="392">
      <c r="A392" t="inlineStr">
        <is>
          <t>ED211206</t>
        </is>
      </c>
      <c r="B392" t="inlineStr">
        <is>
          <t>Bluestone Memorial</t>
        </is>
      </c>
      <c r="C392" s="32" t="n">
        <v>45964.15833333333</v>
      </c>
      <c r="D392" t="n">
        <v>3</v>
      </c>
      <c r="E392" t="n">
        <v>22</v>
      </c>
    </row>
    <row r="393">
      <c r="A393" t="inlineStr">
        <is>
          <t>ED211207</t>
        </is>
      </c>
      <c r="B393" t="inlineStr">
        <is>
          <t>Bluestone Memorial</t>
        </is>
      </c>
      <c r="C393" s="32" t="n">
        <v>45964.29305555556</v>
      </c>
      <c r="D393" t="n">
        <v>3</v>
      </c>
      <c r="E393" t="n">
        <v>34</v>
      </c>
    </row>
    <row r="394">
      <c r="A394" t="inlineStr">
        <is>
          <t>ED211208</t>
        </is>
      </c>
      <c r="B394" t="inlineStr">
        <is>
          <t>Bluestone Memorial</t>
        </is>
      </c>
      <c r="C394" s="32" t="n">
        <v>45964.38611111111</v>
      </c>
      <c r="D394" t="n">
        <v>3</v>
      </c>
      <c r="E394" t="n">
        <v>47</v>
      </c>
    </row>
    <row r="395">
      <c r="A395" t="inlineStr">
        <is>
          <t>ED211209</t>
        </is>
      </c>
      <c r="B395" t="inlineStr">
        <is>
          <t>Bluestone Memorial</t>
        </is>
      </c>
      <c r="C395" s="32" t="n">
        <v>45964.39791666667</v>
      </c>
      <c r="D395" t="n">
        <v>5</v>
      </c>
      <c r="E395" t="n">
        <v>123</v>
      </c>
    </row>
    <row r="396">
      <c r="A396" t="inlineStr">
        <is>
          <t>ED211210</t>
        </is>
      </c>
      <c r="B396" t="inlineStr">
        <is>
          <t>Bluestone Memorial</t>
        </is>
      </c>
      <c r="C396" s="32" t="n">
        <v>45964.4</v>
      </c>
      <c r="D396" t="n">
        <v>4</v>
      </c>
      <c r="E396" t="n">
        <v>97</v>
      </c>
    </row>
    <row r="397">
      <c r="A397" t="inlineStr">
        <is>
          <t>ED211211</t>
        </is>
      </c>
      <c r="B397" t="inlineStr">
        <is>
          <t>Bluestone Memorial</t>
        </is>
      </c>
      <c r="C397" s="32" t="n">
        <v>45964.40277777778</v>
      </c>
      <c r="D397" t="n">
        <v>5</v>
      </c>
      <c r="E397" t="n">
        <v>33</v>
      </c>
    </row>
    <row r="398">
      <c r="A398" t="inlineStr">
        <is>
          <t>ED211213</t>
        </is>
      </c>
      <c r="B398" t="inlineStr">
        <is>
          <t>Bluestone Memorial</t>
        </is>
      </c>
      <c r="C398" s="32" t="n">
        <v>45964.44791666666</v>
      </c>
      <c r="D398" t="n">
        <v>4</v>
      </c>
      <c r="E398" t="n">
        <v>77</v>
      </c>
    </row>
    <row r="399">
      <c r="A399" t="inlineStr">
        <is>
          <t>ED211214</t>
        </is>
      </c>
      <c r="B399" t="inlineStr">
        <is>
          <t>Bluestone Memorial</t>
        </is>
      </c>
      <c r="C399" s="32" t="n">
        <v>45964.46666666667</v>
      </c>
      <c r="D399" t="n">
        <v>3</v>
      </c>
      <c r="E399" t="n">
        <v>211</v>
      </c>
    </row>
    <row r="400">
      <c r="A400" t="inlineStr">
        <is>
          <t>ED211217</t>
        </is>
      </c>
      <c r="B400" t="inlineStr">
        <is>
          <t>Bluestone Memorial</t>
        </is>
      </c>
      <c r="C400" s="32" t="n">
        <v>45964.57361111111</v>
      </c>
      <c r="D400" t="n">
        <v>4</v>
      </c>
      <c r="E400" t="n">
        <v>142</v>
      </c>
    </row>
    <row r="401">
      <c r="A401" t="inlineStr">
        <is>
          <t>ED211218</t>
        </is>
      </c>
      <c r="B401" t="inlineStr">
        <is>
          <t>Bluestone Memorial</t>
        </is>
      </c>
      <c r="C401" s="32" t="n">
        <v>45964.60069444445</v>
      </c>
      <c r="D401" t="n">
        <v>4</v>
      </c>
    </row>
    <row r="402">
      <c r="A402" t="inlineStr">
        <is>
          <t>ED211219</t>
        </is>
      </c>
      <c r="B402" t="inlineStr">
        <is>
          <t>Bluestone Memorial</t>
        </is>
      </c>
      <c r="C402" s="32" t="n">
        <v>45964.63194444445</v>
      </c>
      <c r="D402" t="n">
        <v>2</v>
      </c>
      <c r="E402" t="n">
        <v>59</v>
      </c>
    </row>
    <row r="403">
      <c r="A403" t="inlineStr">
        <is>
          <t>ED211220</t>
        </is>
      </c>
      <c r="B403" t="inlineStr">
        <is>
          <t>Bluestone Memorial</t>
        </is>
      </c>
      <c r="C403" s="32" t="n">
        <v>45964.65555555555</v>
      </c>
      <c r="D403" t="n">
        <v>2</v>
      </c>
      <c r="E403" t="n">
        <v>13</v>
      </c>
    </row>
    <row r="404">
      <c r="A404" t="inlineStr">
        <is>
          <t>ED211221</t>
        </is>
      </c>
      <c r="B404" t="inlineStr">
        <is>
          <t>Bluestone Memorial</t>
        </is>
      </c>
      <c r="C404" s="32" t="n">
        <v>45964.65902777778</v>
      </c>
      <c r="D404" t="n">
        <v>3</v>
      </c>
      <c r="E404" t="n">
        <v>31</v>
      </c>
    </row>
    <row r="405">
      <c r="A405" t="inlineStr">
        <is>
          <t>ED211224</t>
        </is>
      </c>
      <c r="B405" t="inlineStr">
        <is>
          <t>Bluestone Memorial</t>
        </is>
      </c>
      <c r="C405" s="32" t="n">
        <v>45964.79791666667</v>
      </c>
      <c r="D405" t="n">
        <v>4</v>
      </c>
      <c r="E405" t="n">
        <v>36</v>
      </c>
    </row>
    <row r="406">
      <c r="A406" t="inlineStr">
        <is>
          <t>ED211225</t>
        </is>
      </c>
      <c r="B406" t="inlineStr">
        <is>
          <t>Bluestone Memorial</t>
        </is>
      </c>
      <c r="C406" s="32" t="n">
        <v>45964.86319444444</v>
      </c>
      <c r="D406" t="n">
        <v>4</v>
      </c>
      <c r="E406" t="n">
        <v>66</v>
      </c>
    </row>
    <row r="407">
      <c r="A407" t="inlineStr">
        <is>
          <t>ED211226</t>
        </is>
      </c>
      <c r="B407" t="inlineStr">
        <is>
          <t>Bluestone Memorial</t>
        </is>
      </c>
      <c r="C407" s="32" t="n">
        <v>45964.90972222222</v>
      </c>
      <c r="D407" t="n">
        <v>2</v>
      </c>
      <c r="E407" t="n">
        <v>23</v>
      </c>
    </row>
    <row r="408">
      <c r="A408" t="inlineStr">
        <is>
          <t>ED211227</t>
        </is>
      </c>
      <c r="B408" t="inlineStr">
        <is>
          <t>Bluestone Memorial</t>
        </is>
      </c>
      <c r="C408" s="32" t="n">
        <v>45964.93819444445</v>
      </c>
      <c r="D408" t="n">
        <v>3</v>
      </c>
      <c r="E408" t="n">
        <v>83</v>
      </c>
    </row>
    <row r="409">
      <c r="A409" t="inlineStr">
        <is>
          <t>ED211228</t>
        </is>
      </c>
      <c r="B409" t="inlineStr">
        <is>
          <t>Bluestone Memorial</t>
        </is>
      </c>
      <c r="C409" s="32" t="n">
        <v>45965.075</v>
      </c>
      <c r="D409" t="n">
        <v>3</v>
      </c>
      <c r="E409" t="n">
        <v>23</v>
      </c>
    </row>
    <row r="410">
      <c r="A410" t="inlineStr">
        <is>
          <t>ED211229</t>
        </is>
      </c>
      <c r="B410" t="inlineStr">
        <is>
          <t>Bluestone Memorial</t>
        </is>
      </c>
      <c r="C410" s="32" t="n">
        <v>45965.12013888889</v>
      </c>
      <c r="D410" t="n">
        <v>4</v>
      </c>
      <c r="E410" t="n">
        <v>28</v>
      </c>
    </row>
    <row r="411">
      <c r="A411" t="inlineStr">
        <is>
          <t>ED211230</t>
        </is>
      </c>
      <c r="B411" t="inlineStr">
        <is>
          <t>Bluestone Memorial</t>
        </is>
      </c>
      <c r="C411" s="32" t="n">
        <v>45965.29027777778</v>
      </c>
      <c r="D411" t="n">
        <v>3</v>
      </c>
      <c r="E411" t="n">
        <v>28</v>
      </c>
    </row>
    <row r="412">
      <c r="A412" t="inlineStr">
        <is>
          <t>ED211231</t>
        </is>
      </c>
      <c r="B412" t="inlineStr">
        <is>
          <t>Bluestone Memorial</t>
        </is>
      </c>
      <c r="C412" s="32" t="n">
        <v>45965.33333333334</v>
      </c>
      <c r="D412" t="n">
        <v>2</v>
      </c>
      <c r="E412" t="n">
        <v>13</v>
      </c>
    </row>
    <row r="413">
      <c r="A413" t="inlineStr">
        <is>
          <t>ED211232</t>
        </is>
      </c>
      <c r="B413" t="inlineStr">
        <is>
          <t>Bluestone Memorial</t>
        </is>
      </c>
      <c r="C413" s="32" t="n">
        <v>45965.34166666667</v>
      </c>
      <c r="D413" t="n">
        <v>3</v>
      </c>
      <c r="E413" t="n">
        <v>20</v>
      </c>
    </row>
    <row r="414">
      <c r="A414" t="inlineStr">
        <is>
          <t>ED211234</t>
        </is>
      </c>
      <c r="B414" t="inlineStr">
        <is>
          <t>Bluestone Memorial</t>
        </is>
      </c>
      <c r="C414" s="32" t="n">
        <v>45965.49305555555</v>
      </c>
      <c r="D414" t="n">
        <v>3</v>
      </c>
      <c r="E414" t="n">
        <v>72</v>
      </c>
    </row>
    <row r="415">
      <c r="A415" t="inlineStr">
        <is>
          <t>ED211237</t>
        </is>
      </c>
      <c r="B415" t="inlineStr">
        <is>
          <t>Bluestone Memorial</t>
        </is>
      </c>
      <c r="C415" s="32" t="n">
        <v>45965.55416666667</v>
      </c>
      <c r="D415" t="n">
        <v>3</v>
      </c>
      <c r="E415" t="n">
        <v>64</v>
      </c>
    </row>
    <row r="416">
      <c r="A416" t="inlineStr">
        <is>
          <t>ED211239</t>
        </is>
      </c>
      <c r="B416" t="inlineStr">
        <is>
          <t>Bluestone Memorial</t>
        </is>
      </c>
      <c r="C416" s="32" t="n">
        <v>45965.61111111111</v>
      </c>
      <c r="D416" t="n">
        <v>2</v>
      </c>
      <c r="E416" t="n">
        <v>12</v>
      </c>
    </row>
    <row r="417">
      <c r="A417" t="inlineStr">
        <is>
          <t>ED211240</t>
        </is>
      </c>
      <c r="B417" t="inlineStr">
        <is>
          <t>Bluestone Memorial</t>
        </is>
      </c>
      <c r="C417" s="32" t="n">
        <v>45965.62152777778</v>
      </c>
      <c r="D417" t="n">
        <v>3</v>
      </c>
      <c r="E417" t="n">
        <v>112</v>
      </c>
    </row>
    <row r="418">
      <c r="A418" t="inlineStr">
        <is>
          <t>ED211242</t>
        </is>
      </c>
      <c r="B418" t="inlineStr">
        <is>
          <t>Bluestone Memorial</t>
        </is>
      </c>
      <c r="C418" s="32" t="n">
        <v>45965.76041666666</v>
      </c>
      <c r="D418" t="n">
        <v>3</v>
      </c>
      <c r="E418" t="n">
        <v>31</v>
      </c>
    </row>
    <row r="419">
      <c r="A419" t="inlineStr">
        <is>
          <t>ED211245</t>
        </is>
      </c>
      <c r="B419" t="inlineStr">
        <is>
          <t>Bluestone Memorial</t>
        </is>
      </c>
      <c r="C419" s="32" t="n">
        <v>45966.09583333333</v>
      </c>
      <c r="D419" t="n">
        <v>5</v>
      </c>
      <c r="E419" t="n">
        <v>24</v>
      </c>
    </row>
    <row r="420">
      <c r="A420" t="inlineStr">
        <is>
          <t>ED211246</t>
        </is>
      </c>
      <c r="B420" t="inlineStr">
        <is>
          <t>Bluestone Memorial</t>
        </is>
      </c>
      <c r="C420" s="32" t="n">
        <v>45966.10833333333</v>
      </c>
      <c r="D420" t="n">
        <v>2</v>
      </c>
      <c r="E420" t="n">
        <v>12</v>
      </c>
    </row>
    <row r="421">
      <c r="A421" t="inlineStr">
        <is>
          <t>ED211247</t>
        </is>
      </c>
      <c r="B421" t="inlineStr">
        <is>
          <t>Bluestone Memorial</t>
        </is>
      </c>
      <c r="C421" s="32" t="n">
        <v>45966.12013888889</v>
      </c>
      <c r="D421" t="n">
        <v>4</v>
      </c>
      <c r="E421" t="n">
        <v>26</v>
      </c>
    </row>
    <row r="422">
      <c r="A422" t="inlineStr">
        <is>
          <t>ED211248</t>
        </is>
      </c>
      <c r="B422" t="inlineStr">
        <is>
          <t>Bluestone Memorial</t>
        </is>
      </c>
      <c r="C422" s="32" t="n">
        <v>45966.25555555556</v>
      </c>
      <c r="D422" t="n">
        <v>3</v>
      </c>
      <c r="E422" t="n">
        <v>38</v>
      </c>
    </row>
    <row r="423">
      <c r="A423" t="inlineStr">
        <is>
          <t>ED211249</t>
        </is>
      </c>
      <c r="B423" t="inlineStr">
        <is>
          <t>Bluestone Memorial</t>
        </is>
      </c>
      <c r="C423" s="32" t="n">
        <v>45966.34513888889</v>
      </c>
      <c r="D423" t="n">
        <v>3</v>
      </c>
      <c r="E423" t="n">
        <v>31</v>
      </c>
    </row>
    <row r="424">
      <c r="A424" t="inlineStr">
        <is>
          <t>ED211250</t>
        </is>
      </c>
      <c r="B424" t="inlineStr">
        <is>
          <t>Bluestone Memorial</t>
        </is>
      </c>
      <c r="C424" s="32" t="n">
        <v>45966.41458333333</v>
      </c>
      <c r="D424" t="n">
        <v>4</v>
      </c>
    </row>
    <row r="425">
      <c r="A425" t="inlineStr">
        <is>
          <t>ED211252</t>
        </is>
      </c>
      <c r="B425" t="inlineStr">
        <is>
          <t>Bluestone Memorial</t>
        </is>
      </c>
      <c r="C425" s="32" t="n">
        <v>45966.42986111111</v>
      </c>
      <c r="D425" t="n">
        <v>4</v>
      </c>
      <c r="E425" t="n">
        <v>28</v>
      </c>
    </row>
    <row r="426">
      <c r="A426" t="inlineStr">
        <is>
          <t>ED211253</t>
        </is>
      </c>
      <c r="B426" t="inlineStr">
        <is>
          <t>Bluestone Memorial</t>
        </is>
      </c>
      <c r="C426" s="32" t="n">
        <v>45966.44305555556</v>
      </c>
      <c r="D426" t="n">
        <v>3</v>
      </c>
      <c r="E426" t="n">
        <v>59</v>
      </c>
    </row>
    <row r="427">
      <c r="A427" t="inlineStr">
        <is>
          <t>ED211254</t>
        </is>
      </c>
      <c r="B427" t="inlineStr">
        <is>
          <t>Bluestone Memorial</t>
        </is>
      </c>
      <c r="C427" s="32" t="n">
        <v>45966.46041666667</v>
      </c>
      <c r="D427" t="n">
        <v>3</v>
      </c>
      <c r="E427" t="n">
        <v>43</v>
      </c>
    </row>
    <row r="428">
      <c r="A428" t="inlineStr">
        <is>
          <t>ED211255</t>
        </is>
      </c>
      <c r="B428" t="inlineStr">
        <is>
          <t>Bluestone Memorial</t>
        </is>
      </c>
      <c r="C428" s="32" t="n">
        <v>45966.525</v>
      </c>
      <c r="D428" t="n">
        <v>4</v>
      </c>
      <c r="E428" t="n">
        <v>68</v>
      </c>
    </row>
    <row r="429">
      <c r="A429" t="inlineStr">
        <is>
          <t>ED211256</t>
        </is>
      </c>
      <c r="B429" t="inlineStr">
        <is>
          <t>Bluestone Memorial</t>
        </is>
      </c>
      <c r="C429" s="32" t="n">
        <v>45966.53472222222</v>
      </c>
      <c r="D429" t="n">
        <v>3</v>
      </c>
      <c r="E429" t="n">
        <v>75</v>
      </c>
    </row>
    <row r="430">
      <c r="A430" t="inlineStr">
        <is>
          <t>ED211260</t>
        </is>
      </c>
      <c r="B430" t="inlineStr">
        <is>
          <t>Bluestone Memorial</t>
        </is>
      </c>
      <c r="C430" s="32" t="n">
        <v>45966.75902777778</v>
      </c>
      <c r="D430" t="n">
        <v>3</v>
      </c>
      <c r="E430" t="n">
        <v>27</v>
      </c>
    </row>
    <row r="431">
      <c r="A431" t="inlineStr">
        <is>
          <t>ED211262</t>
        </is>
      </c>
      <c r="B431" t="inlineStr">
        <is>
          <t>Bluestone Memorial</t>
        </is>
      </c>
      <c r="C431" s="32" t="n">
        <v>45966.8375</v>
      </c>
      <c r="D431" t="n">
        <v>1</v>
      </c>
      <c r="E431" t="n">
        <v>4</v>
      </c>
    </row>
    <row r="432">
      <c r="A432" t="inlineStr">
        <is>
          <t>ED211263</t>
        </is>
      </c>
      <c r="B432" t="inlineStr">
        <is>
          <t>Bluestone Memorial</t>
        </is>
      </c>
      <c r="C432" s="32" t="n">
        <v>45966.85416666666</v>
      </c>
      <c r="D432" t="n">
        <v>4</v>
      </c>
      <c r="E432" t="n">
        <v>47</v>
      </c>
    </row>
    <row r="433">
      <c r="A433" t="inlineStr">
        <is>
          <t>ED211265</t>
        </is>
      </c>
      <c r="B433" t="inlineStr">
        <is>
          <t>Bluestone Memorial</t>
        </is>
      </c>
      <c r="C433" s="32" t="n">
        <v>45967.08611111111</v>
      </c>
      <c r="D433" t="n">
        <v>5</v>
      </c>
      <c r="E433" t="n">
        <v>15</v>
      </c>
    </row>
    <row r="434">
      <c r="A434" t="inlineStr">
        <is>
          <t>ED211267</t>
        </is>
      </c>
      <c r="B434" t="inlineStr">
        <is>
          <t>Bluestone Memorial</t>
        </is>
      </c>
      <c r="C434" s="32" t="n">
        <v>45967.42986111111</v>
      </c>
      <c r="D434" t="n">
        <v>3</v>
      </c>
      <c r="E434" t="n">
        <v>28</v>
      </c>
    </row>
    <row r="435">
      <c r="A435" t="inlineStr">
        <is>
          <t>ED211268</t>
        </is>
      </c>
      <c r="B435" t="inlineStr">
        <is>
          <t>Bluestone Memorial</t>
        </is>
      </c>
      <c r="C435" s="32" t="n">
        <v>45967.46736111111</v>
      </c>
      <c r="D435" t="n">
        <v>3</v>
      </c>
      <c r="E435" t="n">
        <v>40</v>
      </c>
    </row>
    <row r="436">
      <c r="A436" t="inlineStr">
        <is>
          <t>ED211270</t>
        </is>
      </c>
      <c r="B436" t="inlineStr">
        <is>
          <t>Bluestone Memorial</t>
        </is>
      </c>
      <c r="C436" s="32" t="n">
        <v>45967.47777777778</v>
      </c>
      <c r="D436" t="n">
        <v>2</v>
      </c>
      <c r="E436" t="n">
        <v>10</v>
      </c>
    </row>
    <row r="437">
      <c r="A437" t="inlineStr">
        <is>
          <t>ED211271</t>
        </is>
      </c>
      <c r="B437" t="inlineStr">
        <is>
          <t>Bluestone Memorial</t>
        </is>
      </c>
      <c r="C437" s="32" t="n">
        <v>45967.57291666666</v>
      </c>
      <c r="D437" t="n">
        <v>4</v>
      </c>
      <c r="E437" t="n">
        <v>36</v>
      </c>
    </row>
    <row r="438">
      <c r="A438" t="inlineStr">
        <is>
          <t>ED211272</t>
        </is>
      </c>
      <c r="B438" t="inlineStr">
        <is>
          <t>Bluestone Memorial</t>
        </is>
      </c>
      <c r="C438" s="32" t="n">
        <v>45967.58402777778</v>
      </c>
      <c r="D438" t="n">
        <v>4</v>
      </c>
      <c r="E438" t="n">
        <v>82</v>
      </c>
    </row>
    <row r="439">
      <c r="A439" t="inlineStr">
        <is>
          <t>ED211275</t>
        </is>
      </c>
      <c r="B439" t="inlineStr">
        <is>
          <t>Bluestone Memorial</t>
        </is>
      </c>
      <c r="C439" s="32" t="n">
        <v>45967.72222222222</v>
      </c>
      <c r="D439" t="n">
        <v>2</v>
      </c>
      <c r="E439" t="n">
        <v>26</v>
      </c>
    </row>
    <row r="440">
      <c r="A440" t="inlineStr">
        <is>
          <t>ED211276</t>
        </is>
      </c>
      <c r="B440" t="inlineStr">
        <is>
          <t>Bluestone Memorial</t>
        </is>
      </c>
      <c r="C440" s="32" t="n">
        <v>45967.76805555556</v>
      </c>
      <c r="D440" t="n">
        <v>2</v>
      </c>
      <c r="E440" t="n">
        <v>10</v>
      </c>
    </row>
    <row r="441">
      <c r="A441" t="inlineStr">
        <is>
          <t>ED211277</t>
        </is>
      </c>
      <c r="B441" t="inlineStr">
        <is>
          <t>Bluestone Memorial</t>
        </is>
      </c>
      <c r="C441" s="32" t="n">
        <v>45967.825</v>
      </c>
      <c r="D441" t="n">
        <v>2</v>
      </c>
      <c r="E441" t="n">
        <v>33</v>
      </c>
    </row>
    <row r="442">
      <c r="A442" t="inlineStr">
        <is>
          <t>ED211278</t>
        </is>
      </c>
      <c r="B442" t="inlineStr">
        <is>
          <t>Bluestone Memorial</t>
        </is>
      </c>
      <c r="C442" s="32" t="n">
        <v>45967.85972222222</v>
      </c>
      <c r="D442" t="n">
        <v>2</v>
      </c>
      <c r="E442" t="n">
        <v>7</v>
      </c>
    </row>
    <row r="443">
      <c r="A443" t="inlineStr">
        <is>
          <t>ED211279</t>
        </is>
      </c>
      <c r="B443" t="inlineStr">
        <is>
          <t>Bluestone Memorial</t>
        </is>
      </c>
      <c r="C443" s="32" t="n">
        <v>45967.87986111111</v>
      </c>
      <c r="D443" t="n">
        <v>3</v>
      </c>
      <c r="E443" t="n">
        <v>61</v>
      </c>
    </row>
    <row r="444">
      <c r="A444" t="inlineStr">
        <is>
          <t>ED211280</t>
        </is>
      </c>
      <c r="B444" t="inlineStr">
        <is>
          <t>Bluestone Memorial</t>
        </is>
      </c>
      <c r="C444" s="32" t="n">
        <v>45967.91805555556</v>
      </c>
      <c r="D444" t="n">
        <v>3</v>
      </c>
      <c r="E444" t="n">
        <v>16</v>
      </c>
    </row>
    <row r="445">
      <c r="A445" t="inlineStr">
        <is>
          <t>ED211282</t>
        </is>
      </c>
      <c r="B445" t="inlineStr">
        <is>
          <t>Bluestone Memorial</t>
        </is>
      </c>
      <c r="C445" s="32" t="n">
        <v>45968.23125</v>
      </c>
      <c r="D445" t="n">
        <v>4</v>
      </c>
      <c r="E445" t="n">
        <v>56</v>
      </c>
    </row>
    <row r="446">
      <c r="A446" t="inlineStr">
        <is>
          <t>ED211283</t>
        </is>
      </c>
      <c r="B446" t="inlineStr">
        <is>
          <t>Bluestone Memorial</t>
        </is>
      </c>
      <c r="C446" s="32" t="n">
        <v>45968.42222222222</v>
      </c>
      <c r="D446" t="n">
        <v>3</v>
      </c>
      <c r="E446" t="n">
        <v>41</v>
      </c>
    </row>
    <row r="447">
      <c r="A447" t="inlineStr">
        <is>
          <t>ED211284</t>
        </is>
      </c>
      <c r="B447" t="inlineStr">
        <is>
          <t>Bluestone Memorial</t>
        </is>
      </c>
      <c r="C447" s="32" t="n">
        <v>45968.43402777778</v>
      </c>
      <c r="D447" t="n">
        <v>4</v>
      </c>
      <c r="E447" t="n">
        <v>66</v>
      </c>
    </row>
    <row r="448">
      <c r="A448" t="inlineStr">
        <is>
          <t>ED211285</t>
        </is>
      </c>
      <c r="B448" t="inlineStr">
        <is>
          <t>Bluestone Memorial</t>
        </is>
      </c>
      <c r="C448" s="32" t="n">
        <v>45968.52916666667</v>
      </c>
      <c r="D448" t="n">
        <v>2</v>
      </c>
      <c r="E448" t="n">
        <v>9</v>
      </c>
    </row>
    <row r="449">
      <c r="A449" t="inlineStr">
        <is>
          <t>ED211286</t>
        </is>
      </c>
      <c r="B449" t="inlineStr">
        <is>
          <t>Bluestone Memorial</t>
        </is>
      </c>
      <c r="C449" s="32" t="n">
        <v>45968.53263888889</v>
      </c>
      <c r="D449" t="n">
        <v>4</v>
      </c>
      <c r="E449" t="n">
        <v>48</v>
      </c>
    </row>
    <row r="450">
      <c r="A450" t="inlineStr">
        <is>
          <t>ED211287</t>
        </is>
      </c>
      <c r="B450" t="inlineStr">
        <is>
          <t>Bluestone Memorial</t>
        </is>
      </c>
      <c r="C450" s="32" t="n">
        <v>45968.57847222222</v>
      </c>
      <c r="D450" t="n">
        <v>3</v>
      </c>
      <c r="E450" t="n">
        <v>146</v>
      </c>
    </row>
    <row r="451">
      <c r="A451" t="inlineStr">
        <is>
          <t>ED211289</t>
        </is>
      </c>
      <c r="B451" t="inlineStr">
        <is>
          <t>Bluestone Memorial</t>
        </is>
      </c>
      <c r="C451" s="32" t="n">
        <v>45968.63888888889</v>
      </c>
      <c r="D451" t="n">
        <v>3</v>
      </c>
      <c r="E451" t="n">
        <v>54</v>
      </c>
    </row>
    <row r="452">
      <c r="A452" t="inlineStr">
        <is>
          <t>ED211291</t>
        </is>
      </c>
      <c r="B452" t="inlineStr">
        <is>
          <t>Bluestone Memorial</t>
        </is>
      </c>
      <c r="C452" s="32" t="n">
        <v>45968.68333333333</v>
      </c>
      <c r="D452" t="n">
        <v>2</v>
      </c>
      <c r="E452" t="n">
        <v>41</v>
      </c>
    </row>
    <row r="453">
      <c r="A453" t="inlineStr">
        <is>
          <t>ED211292</t>
        </is>
      </c>
      <c r="B453" t="inlineStr">
        <is>
          <t>Bluestone Memorial</t>
        </is>
      </c>
      <c r="C453" s="32" t="n">
        <v>45968.69236111111</v>
      </c>
      <c r="D453" t="n">
        <v>3</v>
      </c>
      <c r="E453" t="n">
        <v>49</v>
      </c>
    </row>
    <row r="454">
      <c r="A454" t="inlineStr">
        <is>
          <t>ED211293</t>
        </is>
      </c>
      <c r="B454" t="inlineStr">
        <is>
          <t>Bluestone Memorial</t>
        </is>
      </c>
      <c r="C454" s="32" t="n">
        <v>45968.76319444444</v>
      </c>
      <c r="D454" t="n">
        <v>3</v>
      </c>
      <c r="E454" t="n">
        <v>67</v>
      </c>
    </row>
    <row r="455">
      <c r="A455" t="inlineStr">
        <is>
          <t>ED211295</t>
        </is>
      </c>
      <c r="B455" t="inlineStr">
        <is>
          <t>Bluestone Memorial</t>
        </is>
      </c>
      <c r="C455" s="32" t="n">
        <v>45968.87638888889</v>
      </c>
      <c r="D455" t="n">
        <v>2</v>
      </c>
      <c r="E455" t="n">
        <v>18</v>
      </c>
    </row>
    <row r="456">
      <c r="A456" t="inlineStr">
        <is>
          <t>ED211296</t>
        </is>
      </c>
      <c r="B456" t="inlineStr">
        <is>
          <t>Bluestone Memorial</t>
        </is>
      </c>
      <c r="C456" s="32" t="n">
        <v>45968.88263888889</v>
      </c>
      <c r="D456" t="n">
        <v>2</v>
      </c>
      <c r="E456" t="n">
        <v>6</v>
      </c>
    </row>
    <row r="457">
      <c r="A457" t="inlineStr">
        <is>
          <t>ED211297</t>
        </is>
      </c>
      <c r="B457" t="inlineStr">
        <is>
          <t>Bluestone Memorial</t>
        </is>
      </c>
      <c r="C457" s="32" t="n">
        <v>45968.93819444445</v>
      </c>
      <c r="D457" t="n">
        <v>3</v>
      </c>
      <c r="E457" t="n">
        <v>31</v>
      </c>
    </row>
    <row r="458">
      <c r="A458" t="inlineStr">
        <is>
          <t>ED211299</t>
        </is>
      </c>
      <c r="B458" t="inlineStr">
        <is>
          <t>Bluestone Memorial</t>
        </is>
      </c>
      <c r="C458" s="32" t="n">
        <v>45969.20138888889</v>
      </c>
      <c r="D458" t="n">
        <v>2</v>
      </c>
      <c r="E458" t="n">
        <v>12</v>
      </c>
    </row>
    <row r="459">
      <c r="A459" t="inlineStr">
        <is>
          <t>ED211300</t>
        </is>
      </c>
      <c r="B459" t="inlineStr">
        <is>
          <t>Bluestone Memorial</t>
        </is>
      </c>
      <c r="C459" s="32" t="n">
        <v>45969.27291666667</v>
      </c>
      <c r="D459" t="n">
        <v>3</v>
      </c>
      <c r="E459" t="n">
        <v>88</v>
      </c>
    </row>
    <row r="460">
      <c r="A460" t="inlineStr">
        <is>
          <t>ED211302</t>
        </is>
      </c>
      <c r="B460" t="inlineStr">
        <is>
          <t>Bluestone Memorial</t>
        </is>
      </c>
      <c r="C460" s="32" t="n">
        <v>45969.35833333333</v>
      </c>
      <c r="D460" t="n">
        <v>3</v>
      </c>
      <c r="E460" t="n">
        <v>21</v>
      </c>
    </row>
    <row r="461">
      <c r="A461" t="inlineStr">
        <is>
          <t>ED211304</t>
        </is>
      </c>
      <c r="B461" t="inlineStr">
        <is>
          <t>Bluestone Memorial</t>
        </is>
      </c>
      <c r="C461" s="32" t="n">
        <v>45969.45555555556</v>
      </c>
      <c r="D461" t="n">
        <v>3</v>
      </c>
      <c r="E461" t="n">
        <v>37</v>
      </c>
    </row>
    <row r="462">
      <c r="A462" t="inlineStr">
        <is>
          <t>ED211305</t>
        </is>
      </c>
      <c r="B462" t="inlineStr">
        <is>
          <t>Bluestone Memorial</t>
        </is>
      </c>
      <c r="C462" s="32" t="n">
        <v>45969.48472222222</v>
      </c>
      <c r="D462" t="n">
        <v>5</v>
      </c>
      <c r="E462" t="n">
        <v>173</v>
      </c>
    </row>
    <row r="463">
      <c r="A463" t="inlineStr">
        <is>
          <t>ED211306</t>
        </is>
      </c>
      <c r="B463" t="inlineStr">
        <is>
          <t>Bluestone Memorial</t>
        </is>
      </c>
      <c r="C463" s="32" t="n">
        <v>45969.53402777778</v>
      </c>
      <c r="D463" t="n">
        <v>2</v>
      </c>
      <c r="E463" t="n">
        <v>21</v>
      </c>
    </row>
    <row r="464">
      <c r="A464" t="inlineStr">
        <is>
          <t>ED211307</t>
        </is>
      </c>
      <c r="B464" t="inlineStr">
        <is>
          <t>Bluestone Memorial</t>
        </is>
      </c>
      <c r="C464" s="32" t="n">
        <v>45969.57291666666</v>
      </c>
      <c r="D464" t="n">
        <v>4</v>
      </c>
      <c r="E464" t="n">
        <v>115</v>
      </c>
    </row>
    <row r="465">
      <c r="A465" t="inlineStr">
        <is>
          <t>ED211308</t>
        </is>
      </c>
      <c r="B465" t="inlineStr">
        <is>
          <t>Bluestone Memorial</t>
        </is>
      </c>
      <c r="C465" s="32" t="n">
        <v>45969.5875</v>
      </c>
      <c r="D465" t="n">
        <v>2</v>
      </c>
      <c r="E465" t="n">
        <v>12</v>
      </c>
    </row>
    <row r="466">
      <c r="A466" t="inlineStr">
        <is>
          <t>ED211309</t>
        </is>
      </c>
      <c r="B466" t="inlineStr">
        <is>
          <t>Bluestone Memorial</t>
        </is>
      </c>
      <c r="C466" s="32" t="n">
        <v>45969.65902777778</v>
      </c>
      <c r="D466" t="n">
        <v>2</v>
      </c>
      <c r="E466" t="n">
        <v>8</v>
      </c>
    </row>
    <row r="467">
      <c r="A467" t="inlineStr">
        <is>
          <t>ED211311</t>
        </is>
      </c>
      <c r="B467" t="inlineStr">
        <is>
          <t>Bluestone Memorial</t>
        </is>
      </c>
      <c r="C467" s="32" t="n">
        <v>45969.7</v>
      </c>
      <c r="D467" t="n">
        <v>3</v>
      </c>
      <c r="E467" t="n">
        <v>91</v>
      </c>
    </row>
    <row r="468">
      <c r="A468" t="inlineStr">
        <is>
          <t>ED211313</t>
        </is>
      </c>
      <c r="B468" t="inlineStr">
        <is>
          <t>Bluestone Memorial</t>
        </is>
      </c>
      <c r="C468" s="32" t="n">
        <v>45969.79722222222</v>
      </c>
      <c r="D468" t="n">
        <v>3</v>
      </c>
      <c r="E468" t="n">
        <v>32</v>
      </c>
    </row>
    <row r="469">
      <c r="A469" t="inlineStr">
        <is>
          <t>ED211314</t>
        </is>
      </c>
      <c r="B469" t="inlineStr">
        <is>
          <t>Bluestone Memorial</t>
        </is>
      </c>
      <c r="C469" s="32" t="n">
        <v>45969.84097222222</v>
      </c>
      <c r="D469" t="n">
        <v>2</v>
      </c>
      <c r="E469" t="n">
        <v>16</v>
      </c>
    </row>
    <row r="470">
      <c r="A470" t="inlineStr">
        <is>
          <t>ED211315</t>
        </is>
      </c>
      <c r="B470" t="inlineStr">
        <is>
          <t>Bluestone Memorial</t>
        </is>
      </c>
      <c r="C470" s="32" t="n">
        <v>45969.84652777778</v>
      </c>
      <c r="D470" t="n">
        <v>2</v>
      </c>
      <c r="E470" t="n">
        <v>25</v>
      </c>
    </row>
    <row r="471">
      <c r="A471" t="inlineStr">
        <is>
          <t>ED211317</t>
        </is>
      </c>
      <c r="B471" t="inlineStr">
        <is>
          <t>Bluestone Memorial</t>
        </is>
      </c>
      <c r="C471" s="32" t="n">
        <v>45969.95972222222</v>
      </c>
      <c r="D471" t="n">
        <v>3</v>
      </c>
      <c r="E471" t="n">
        <v>17</v>
      </c>
    </row>
    <row r="472">
      <c r="A472" t="inlineStr">
        <is>
          <t>ED211319</t>
        </is>
      </c>
      <c r="B472" t="inlineStr">
        <is>
          <t>Bluestone Memorial</t>
        </is>
      </c>
      <c r="C472" s="32" t="n">
        <v>45970.025</v>
      </c>
      <c r="D472" t="n">
        <v>3</v>
      </c>
      <c r="E472" t="n">
        <v>16</v>
      </c>
    </row>
    <row r="473">
      <c r="A473" t="inlineStr">
        <is>
          <t>ED211320</t>
        </is>
      </c>
      <c r="B473" t="inlineStr">
        <is>
          <t>Bluestone Memorial</t>
        </is>
      </c>
      <c r="C473" s="32" t="n">
        <v>45970.225</v>
      </c>
      <c r="D473" t="n">
        <v>3</v>
      </c>
      <c r="E473" t="n">
        <v>34</v>
      </c>
    </row>
    <row r="474">
      <c r="A474" t="inlineStr">
        <is>
          <t>ED211321</t>
        </is>
      </c>
      <c r="B474" t="inlineStr">
        <is>
          <t>Bluestone Memorial</t>
        </is>
      </c>
      <c r="C474" s="32" t="n">
        <v>45970.2625</v>
      </c>
      <c r="D474" t="n">
        <v>2</v>
      </c>
      <c r="E474" t="n">
        <v>15</v>
      </c>
    </row>
    <row r="475">
      <c r="A475" t="inlineStr">
        <is>
          <t>ED211323</t>
        </is>
      </c>
      <c r="B475" t="inlineStr">
        <is>
          <t>Bluestone Memorial</t>
        </is>
      </c>
      <c r="C475" s="32" t="n">
        <v>45970.44375</v>
      </c>
      <c r="D475" t="n">
        <v>3</v>
      </c>
      <c r="E475" t="n">
        <v>54</v>
      </c>
    </row>
    <row r="476">
      <c r="A476" t="inlineStr">
        <is>
          <t>ED211325</t>
        </is>
      </c>
      <c r="B476" t="inlineStr">
        <is>
          <t>Bluestone Memorial</t>
        </is>
      </c>
      <c r="C476" s="32" t="n">
        <v>45970.56180555555</v>
      </c>
      <c r="D476" t="n">
        <v>3</v>
      </c>
      <c r="E476" t="n">
        <v>15</v>
      </c>
    </row>
    <row r="477">
      <c r="A477" t="inlineStr">
        <is>
          <t>ED211326</t>
        </is>
      </c>
      <c r="B477" t="inlineStr">
        <is>
          <t>Bluestone Memorial</t>
        </is>
      </c>
      <c r="C477" s="32" t="n">
        <v>45970.57847222222</v>
      </c>
      <c r="D477" t="n">
        <v>4</v>
      </c>
      <c r="E477" t="n">
        <v>46</v>
      </c>
    </row>
    <row r="478">
      <c r="A478" t="inlineStr">
        <is>
          <t>ED211327</t>
        </is>
      </c>
      <c r="B478" t="inlineStr">
        <is>
          <t>Bluestone Memorial</t>
        </is>
      </c>
      <c r="C478" s="32" t="n">
        <v>45970.74791666667</v>
      </c>
      <c r="D478" t="n">
        <v>4</v>
      </c>
      <c r="E478" t="n">
        <v>86</v>
      </c>
    </row>
    <row r="479">
      <c r="A479" t="inlineStr">
        <is>
          <t>ED211328</t>
        </is>
      </c>
      <c r="B479" t="inlineStr">
        <is>
          <t>Bluestone Memorial</t>
        </is>
      </c>
      <c r="C479" s="32" t="n">
        <v>45970.79444444444</v>
      </c>
      <c r="D479" t="n">
        <v>2</v>
      </c>
      <c r="E479" t="n">
        <v>17</v>
      </c>
    </row>
    <row r="480">
      <c r="A480" t="inlineStr">
        <is>
          <t>ED211330</t>
        </is>
      </c>
      <c r="B480" t="inlineStr">
        <is>
          <t>Bluestone Memorial</t>
        </is>
      </c>
      <c r="C480" s="32" t="n">
        <v>45971.42083333333</v>
      </c>
      <c r="D480" t="n">
        <v>3</v>
      </c>
      <c r="E480" t="n">
        <v>19</v>
      </c>
    </row>
    <row r="481">
      <c r="A481" t="inlineStr">
        <is>
          <t>ED211332</t>
        </is>
      </c>
      <c r="B481" t="inlineStr">
        <is>
          <t>Bluestone Memorial</t>
        </is>
      </c>
      <c r="C481" s="32" t="n">
        <v>45971.53472222222</v>
      </c>
      <c r="D481" t="n">
        <v>2</v>
      </c>
      <c r="E481" t="n">
        <v>35</v>
      </c>
    </row>
    <row r="482">
      <c r="A482" t="inlineStr">
        <is>
          <t>ED211333</t>
        </is>
      </c>
      <c r="B482" t="inlineStr">
        <is>
          <t>Bluestone Memorial</t>
        </is>
      </c>
      <c r="C482" s="32" t="n">
        <v>45971.53611111111</v>
      </c>
      <c r="D482" t="n">
        <v>4</v>
      </c>
      <c r="E482" t="n">
        <v>151</v>
      </c>
    </row>
    <row r="483">
      <c r="A483" t="inlineStr">
        <is>
          <t>ED211334</t>
        </is>
      </c>
      <c r="B483" t="inlineStr">
        <is>
          <t>Bluestone Memorial</t>
        </is>
      </c>
      <c r="C483" s="32" t="n">
        <v>45971.54236111111</v>
      </c>
      <c r="D483" t="n">
        <v>2</v>
      </c>
      <c r="E483" t="n">
        <v>19</v>
      </c>
    </row>
    <row r="484">
      <c r="A484" t="inlineStr">
        <is>
          <t>ED211335</t>
        </is>
      </c>
      <c r="B484" t="inlineStr">
        <is>
          <t>Bluestone Memorial</t>
        </is>
      </c>
      <c r="C484" s="32" t="n">
        <v>45971.56597222222</v>
      </c>
      <c r="D484" t="n">
        <v>2</v>
      </c>
      <c r="E484" t="n">
        <v>15</v>
      </c>
    </row>
    <row r="485">
      <c r="A485" t="inlineStr">
        <is>
          <t>ED211336</t>
        </is>
      </c>
      <c r="B485" t="inlineStr">
        <is>
          <t>Bluestone Memorial</t>
        </is>
      </c>
      <c r="C485" s="32" t="n">
        <v>45971.59444444445</v>
      </c>
      <c r="D485" t="n">
        <v>2</v>
      </c>
      <c r="E485" t="n">
        <v>90</v>
      </c>
    </row>
    <row r="486">
      <c r="A486" t="inlineStr">
        <is>
          <t>ED211337</t>
        </is>
      </c>
      <c r="B486" t="inlineStr">
        <is>
          <t>Bluestone Memorial</t>
        </is>
      </c>
      <c r="C486" s="32" t="n">
        <v>45971.60208333333</v>
      </c>
      <c r="D486" t="n">
        <v>5</v>
      </c>
      <c r="E486" t="n">
        <v>57</v>
      </c>
    </row>
    <row r="487">
      <c r="A487" t="inlineStr">
        <is>
          <t>ED211341</t>
        </is>
      </c>
      <c r="B487" t="inlineStr">
        <is>
          <t>Bluestone Memorial</t>
        </is>
      </c>
      <c r="C487" s="32" t="n">
        <v>45971.75138888889</v>
      </c>
      <c r="D487" t="n">
        <v>3</v>
      </c>
      <c r="E487" t="n">
        <v>74</v>
      </c>
    </row>
    <row r="488">
      <c r="A488" t="inlineStr">
        <is>
          <t>ED211342</t>
        </is>
      </c>
      <c r="B488" t="inlineStr">
        <is>
          <t>Bluestone Memorial</t>
        </is>
      </c>
      <c r="C488" s="32" t="n">
        <v>45971.76111111111</v>
      </c>
      <c r="D488" t="n">
        <v>3</v>
      </c>
      <c r="E488" t="n">
        <v>87</v>
      </c>
    </row>
    <row r="489">
      <c r="A489" t="inlineStr">
        <is>
          <t>ED211343</t>
        </is>
      </c>
      <c r="B489" t="inlineStr">
        <is>
          <t>Bluestone Memorial</t>
        </is>
      </c>
      <c r="C489" s="32" t="n">
        <v>45971.85</v>
      </c>
      <c r="D489" t="n">
        <v>4</v>
      </c>
      <c r="E489" t="n">
        <v>31</v>
      </c>
    </row>
    <row r="490">
      <c r="A490" t="inlineStr">
        <is>
          <t>ED211344</t>
        </is>
      </c>
      <c r="B490" t="inlineStr">
        <is>
          <t>Bluestone Memorial</t>
        </is>
      </c>
      <c r="C490" s="32" t="n">
        <v>45971.90208333333</v>
      </c>
      <c r="D490" t="n">
        <v>2</v>
      </c>
      <c r="E490" t="n">
        <v>6</v>
      </c>
    </row>
    <row r="491">
      <c r="A491" t="inlineStr">
        <is>
          <t>ED211345</t>
        </is>
      </c>
      <c r="B491" t="inlineStr">
        <is>
          <t>Bluestone Memorial</t>
        </is>
      </c>
      <c r="C491" s="32" t="n">
        <v>45971.96805555555</v>
      </c>
      <c r="D491" t="n">
        <v>5</v>
      </c>
      <c r="E491" t="n">
        <v>90</v>
      </c>
    </row>
    <row r="492">
      <c r="A492" t="inlineStr">
        <is>
          <t>ED211346</t>
        </is>
      </c>
      <c r="B492" t="inlineStr">
        <is>
          <t>Bluestone Memorial</t>
        </is>
      </c>
      <c r="C492" s="32" t="n">
        <v>45971.99097222222</v>
      </c>
      <c r="D492" t="n">
        <v>5</v>
      </c>
      <c r="E492" t="n">
        <v>24</v>
      </c>
    </row>
    <row r="493">
      <c r="A493" t="inlineStr">
        <is>
          <t>ED211351</t>
        </is>
      </c>
      <c r="B493" t="inlineStr">
        <is>
          <t>Bluestone Memorial</t>
        </is>
      </c>
      <c r="C493" s="32" t="n">
        <v>45972.44722222222</v>
      </c>
      <c r="D493" t="n">
        <v>3</v>
      </c>
      <c r="E493" t="n">
        <v>39</v>
      </c>
    </row>
    <row r="494">
      <c r="A494" t="inlineStr">
        <is>
          <t>ED211352</t>
        </is>
      </c>
      <c r="B494" t="inlineStr">
        <is>
          <t>Bluestone Memorial</t>
        </is>
      </c>
      <c r="C494" s="32" t="n">
        <v>45972.45625</v>
      </c>
      <c r="D494" t="n">
        <v>5</v>
      </c>
      <c r="E494" t="n">
        <v>66</v>
      </c>
    </row>
    <row r="495">
      <c r="A495" t="inlineStr">
        <is>
          <t>ED211353</t>
        </is>
      </c>
      <c r="B495" t="inlineStr">
        <is>
          <t>Bluestone Memorial</t>
        </is>
      </c>
      <c r="C495" s="32" t="n">
        <v>45972.4625</v>
      </c>
      <c r="D495" t="n">
        <v>3</v>
      </c>
      <c r="E495" t="n">
        <v>20</v>
      </c>
    </row>
    <row r="496">
      <c r="A496" t="inlineStr">
        <is>
          <t>ED211354</t>
        </is>
      </c>
      <c r="B496" t="inlineStr">
        <is>
          <t>Bluestone Memorial</t>
        </is>
      </c>
      <c r="C496" s="32" t="n">
        <v>45972.47222222222</v>
      </c>
      <c r="D496" t="n">
        <v>3</v>
      </c>
      <c r="E496" t="n">
        <v>64</v>
      </c>
    </row>
    <row r="497">
      <c r="A497" t="inlineStr">
        <is>
          <t>ED211355</t>
        </is>
      </c>
      <c r="B497" t="inlineStr">
        <is>
          <t>Bluestone Memorial</t>
        </is>
      </c>
      <c r="C497" s="32" t="n">
        <v>45972.49791666667</v>
      </c>
      <c r="D497" t="n">
        <v>4</v>
      </c>
      <c r="E497" t="n">
        <v>67</v>
      </c>
    </row>
    <row r="498">
      <c r="A498" t="inlineStr">
        <is>
          <t>ED211357</t>
        </is>
      </c>
      <c r="B498" t="inlineStr">
        <is>
          <t>Bluestone Memorial</t>
        </is>
      </c>
      <c r="C498" s="32" t="n">
        <v>45972.52430555555</v>
      </c>
      <c r="D498" t="n">
        <v>3</v>
      </c>
      <c r="E498" t="n">
        <v>31</v>
      </c>
    </row>
    <row r="499">
      <c r="A499" t="inlineStr">
        <is>
          <t>ED211358</t>
        </is>
      </c>
      <c r="B499" t="inlineStr">
        <is>
          <t>Bluestone Memorial</t>
        </is>
      </c>
      <c r="C499" s="32" t="n">
        <v>45972.52916666667</v>
      </c>
      <c r="D499" t="n">
        <v>4</v>
      </c>
      <c r="E499" t="n">
        <v>36</v>
      </c>
    </row>
    <row r="500">
      <c r="A500" t="inlineStr">
        <is>
          <t>ED211359</t>
        </is>
      </c>
      <c r="B500" t="inlineStr">
        <is>
          <t>Bluestone Memorial</t>
        </is>
      </c>
      <c r="C500" s="32" t="n">
        <v>45972.53958333333</v>
      </c>
      <c r="D500" t="n">
        <v>3</v>
      </c>
      <c r="E500" t="n">
        <v>63</v>
      </c>
    </row>
    <row r="501">
      <c r="A501" t="inlineStr">
        <is>
          <t>ED211360</t>
        </is>
      </c>
      <c r="B501" t="inlineStr">
        <is>
          <t>Bluestone Memorial</t>
        </is>
      </c>
      <c r="C501" s="32" t="n">
        <v>45972.54166666666</v>
      </c>
      <c r="D501" t="n">
        <v>4</v>
      </c>
      <c r="E501" t="n">
        <v>40</v>
      </c>
    </row>
    <row r="502">
      <c r="A502" t="inlineStr">
        <is>
          <t>ED211362</t>
        </is>
      </c>
      <c r="B502" t="inlineStr">
        <is>
          <t>Bluestone Memorial</t>
        </is>
      </c>
      <c r="C502" s="32" t="n">
        <v>45972.65069444444</v>
      </c>
      <c r="D502" t="n">
        <v>3</v>
      </c>
      <c r="E502" t="n">
        <v>51</v>
      </c>
    </row>
    <row r="503">
      <c r="A503" t="inlineStr">
        <is>
          <t>ED211363</t>
        </is>
      </c>
      <c r="B503" t="inlineStr">
        <is>
          <t>Bluestone Memorial</t>
        </is>
      </c>
      <c r="C503" s="32" t="n">
        <v>45972.66875</v>
      </c>
      <c r="D503" t="n">
        <v>2</v>
      </c>
      <c r="E503" t="n">
        <v>27</v>
      </c>
    </row>
    <row r="504">
      <c r="A504" t="inlineStr">
        <is>
          <t>ED211364</t>
        </is>
      </c>
      <c r="B504" t="inlineStr">
        <is>
          <t>Bluestone Memorial</t>
        </is>
      </c>
      <c r="C504" s="32" t="n">
        <v>45972.68888888889</v>
      </c>
      <c r="D504" t="n">
        <v>4</v>
      </c>
      <c r="E504" t="n">
        <v>72</v>
      </c>
    </row>
    <row r="505">
      <c r="A505" t="inlineStr">
        <is>
          <t>ED211365</t>
        </is>
      </c>
      <c r="B505" t="inlineStr">
        <is>
          <t>Bluestone Memorial</t>
        </is>
      </c>
      <c r="C505" s="32" t="n">
        <v>45972.77013888889</v>
      </c>
      <c r="D505" t="n">
        <v>4</v>
      </c>
      <c r="E505" t="n">
        <v>62</v>
      </c>
    </row>
    <row r="506">
      <c r="A506" t="inlineStr">
        <is>
          <t>ED211366</t>
        </is>
      </c>
      <c r="B506" t="inlineStr">
        <is>
          <t>Bluestone Memorial</t>
        </is>
      </c>
      <c r="C506" s="32" t="n">
        <v>45972.82430555556</v>
      </c>
      <c r="D506" t="n">
        <v>5</v>
      </c>
      <c r="E506" t="n">
        <v>54</v>
      </c>
    </row>
    <row r="507">
      <c r="A507" t="inlineStr">
        <is>
          <t>ED211368</t>
        </is>
      </c>
      <c r="B507" t="inlineStr">
        <is>
          <t>Bluestone Memorial</t>
        </is>
      </c>
      <c r="C507" s="32" t="n">
        <v>45973.07361111111</v>
      </c>
      <c r="D507" t="n">
        <v>4</v>
      </c>
      <c r="E507" t="n">
        <v>48</v>
      </c>
    </row>
    <row r="508">
      <c r="A508" t="inlineStr">
        <is>
          <t>ED211369</t>
        </is>
      </c>
      <c r="B508" t="inlineStr">
        <is>
          <t>Bluestone Memorial</t>
        </is>
      </c>
      <c r="C508" s="32" t="n">
        <v>45973.12361111111</v>
      </c>
      <c r="D508" t="n">
        <v>2</v>
      </c>
      <c r="E508" t="n">
        <v>7</v>
      </c>
    </row>
    <row r="509">
      <c r="A509" t="inlineStr">
        <is>
          <t>ED211370</t>
        </is>
      </c>
      <c r="B509" t="inlineStr">
        <is>
          <t>Bluestone Memorial</t>
        </is>
      </c>
      <c r="C509" s="32" t="n">
        <v>45973.12847222222</v>
      </c>
      <c r="D509" t="n">
        <v>3</v>
      </c>
      <c r="E509" t="n">
        <v>20</v>
      </c>
    </row>
    <row r="510">
      <c r="A510" t="inlineStr">
        <is>
          <t>ED211371</t>
        </is>
      </c>
      <c r="B510" t="inlineStr">
        <is>
          <t>Bluestone Memorial</t>
        </is>
      </c>
      <c r="C510" s="32" t="n">
        <v>45973.15486111111</v>
      </c>
      <c r="D510" t="n">
        <v>4</v>
      </c>
      <c r="E510" t="n">
        <v>31</v>
      </c>
    </row>
    <row r="511">
      <c r="A511" t="inlineStr">
        <is>
          <t>ED211372</t>
        </is>
      </c>
      <c r="B511" t="inlineStr">
        <is>
          <t>Bluestone Memorial</t>
        </is>
      </c>
      <c r="C511" s="32" t="n">
        <v>45973.34791666667</v>
      </c>
      <c r="D511" t="n">
        <v>2</v>
      </c>
      <c r="E511" t="n">
        <v>18</v>
      </c>
    </row>
    <row r="512">
      <c r="A512" t="inlineStr">
        <is>
          <t>ED211377</t>
        </is>
      </c>
      <c r="B512" t="inlineStr">
        <is>
          <t>Bluestone Memorial</t>
        </is>
      </c>
      <c r="C512" s="32" t="n">
        <v>45973.55902777778</v>
      </c>
      <c r="D512" t="n">
        <v>3</v>
      </c>
    </row>
    <row r="513">
      <c r="A513" t="inlineStr">
        <is>
          <t>ED211378</t>
        </is>
      </c>
      <c r="B513" t="inlineStr">
        <is>
          <t>Bluestone Memorial</t>
        </is>
      </c>
      <c r="C513" s="32" t="n">
        <v>45973.58402777778</v>
      </c>
      <c r="D513" t="n">
        <v>2</v>
      </c>
      <c r="E513" t="n">
        <v>15</v>
      </c>
    </row>
    <row r="514">
      <c r="A514" t="inlineStr">
        <is>
          <t>ED211380</t>
        </is>
      </c>
      <c r="B514" t="inlineStr">
        <is>
          <t>Bluestone Memorial</t>
        </is>
      </c>
      <c r="C514" s="32" t="n">
        <v>45973.65486111111</v>
      </c>
      <c r="D514" t="n">
        <v>3</v>
      </c>
      <c r="E514" t="n">
        <v>30</v>
      </c>
    </row>
    <row r="515">
      <c r="A515" t="inlineStr">
        <is>
          <t>ED211381</t>
        </is>
      </c>
      <c r="B515" t="inlineStr">
        <is>
          <t>Bluestone Memorial</t>
        </is>
      </c>
      <c r="C515" s="32" t="n">
        <v>45973.7125</v>
      </c>
      <c r="D515" t="n">
        <v>2</v>
      </c>
      <c r="E515" t="n">
        <v>35</v>
      </c>
    </row>
    <row r="516">
      <c r="A516" t="inlineStr">
        <is>
          <t>ED211382</t>
        </is>
      </c>
      <c r="B516" t="inlineStr">
        <is>
          <t>Bluestone Memorial</t>
        </is>
      </c>
      <c r="C516" s="32" t="n">
        <v>45973.76597222222</v>
      </c>
      <c r="D516" t="n">
        <v>2</v>
      </c>
      <c r="E516" t="n">
        <v>20</v>
      </c>
    </row>
    <row r="517">
      <c r="A517" t="inlineStr">
        <is>
          <t>ED211387</t>
        </is>
      </c>
      <c r="B517" t="inlineStr">
        <is>
          <t>Bluestone Memorial</t>
        </is>
      </c>
      <c r="C517" s="32" t="n">
        <v>45974.31111111111</v>
      </c>
      <c r="D517" t="n">
        <v>3</v>
      </c>
      <c r="E517" t="n">
        <v>23</v>
      </c>
    </row>
    <row r="518">
      <c r="A518" t="inlineStr">
        <is>
          <t>ED211388</t>
        </is>
      </c>
      <c r="B518" t="inlineStr">
        <is>
          <t>Bluestone Memorial</t>
        </is>
      </c>
      <c r="C518" s="32" t="n">
        <v>45974.34236111111</v>
      </c>
      <c r="D518" t="n">
        <v>2</v>
      </c>
      <c r="E518" t="n">
        <v>6</v>
      </c>
    </row>
    <row r="519">
      <c r="A519" t="inlineStr">
        <is>
          <t>ED211389</t>
        </is>
      </c>
      <c r="B519" t="inlineStr">
        <is>
          <t>Bluestone Memorial</t>
        </is>
      </c>
      <c r="C519" s="32" t="n">
        <v>45974.35277777778</v>
      </c>
      <c r="D519" t="n">
        <v>2</v>
      </c>
      <c r="E519" t="n">
        <v>14</v>
      </c>
    </row>
    <row r="520">
      <c r="A520" t="inlineStr">
        <is>
          <t>ED211390</t>
        </is>
      </c>
      <c r="B520" t="inlineStr">
        <is>
          <t>Bluestone Memorial</t>
        </is>
      </c>
      <c r="C520" s="32" t="n">
        <v>45974.40486111111</v>
      </c>
      <c r="D520" t="n">
        <v>3</v>
      </c>
      <c r="E520" t="n">
        <v>30</v>
      </c>
    </row>
    <row r="521">
      <c r="A521" t="inlineStr">
        <is>
          <t>ED211392</t>
        </is>
      </c>
      <c r="B521" t="inlineStr">
        <is>
          <t>Bluestone Memorial</t>
        </is>
      </c>
      <c r="C521" s="32" t="n">
        <v>45974.41805555556</v>
      </c>
      <c r="D521" t="n">
        <v>3</v>
      </c>
      <c r="E521" t="n">
        <v>18</v>
      </c>
    </row>
    <row r="522">
      <c r="A522" t="inlineStr">
        <is>
          <t>ED211394</t>
        </is>
      </c>
      <c r="B522" t="inlineStr">
        <is>
          <t>Bluestone Memorial</t>
        </is>
      </c>
      <c r="C522" s="32" t="n">
        <v>45974.47222222222</v>
      </c>
      <c r="D522" t="n">
        <v>2</v>
      </c>
      <c r="E522" t="n">
        <v>31</v>
      </c>
    </row>
    <row r="523">
      <c r="A523" t="inlineStr">
        <is>
          <t>ED211395</t>
        </is>
      </c>
      <c r="B523" t="inlineStr">
        <is>
          <t>Bluestone Memorial</t>
        </is>
      </c>
      <c r="C523" s="32" t="n">
        <v>45974.51388888889</v>
      </c>
      <c r="D523" t="n">
        <v>5</v>
      </c>
      <c r="E523" t="n">
        <v>59</v>
      </c>
    </row>
    <row r="524">
      <c r="A524" t="inlineStr">
        <is>
          <t>ED211396</t>
        </is>
      </c>
      <c r="B524" t="inlineStr">
        <is>
          <t>Bluestone Memorial</t>
        </is>
      </c>
      <c r="C524" s="32" t="n">
        <v>45974.58402777778</v>
      </c>
      <c r="D524" t="n">
        <v>3</v>
      </c>
      <c r="E524" t="n">
        <v>38</v>
      </c>
    </row>
    <row r="525">
      <c r="A525" t="inlineStr">
        <is>
          <t>ED211397</t>
        </is>
      </c>
      <c r="B525" t="inlineStr">
        <is>
          <t>Bluestone Memorial</t>
        </is>
      </c>
      <c r="C525" s="32" t="n">
        <v>45974.60833333333</v>
      </c>
      <c r="D525" t="n">
        <v>3</v>
      </c>
      <c r="E525" t="n">
        <v>69</v>
      </c>
    </row>
    <row r="526">
      <c r="A526" t="inlineStr">
        <is>
          <t>ED211398</t>
        </is>
      </c>
      <c r="B526" t="inlineStr">
        <is>
          <t>Bluestone Memorial</t>
        </is>
      </c>
      <c r="C526" s="32" t="n">
        <v>45974.62916666667</v>
      </c>
      <c r="D526" t="n">
        <v>3</v>
      </c>
      <c r="E526" t="n">
        <v>25</v>
      </c>
    </row>
    <row r="527">
      <c r="A527" t="inlineStr">
        <is>
          <t>ED211399</t>
        </is>
      </c>
      <c r="B527" t="inlineStr">
        <is>
          <t>Bluestone Memorial</t>
        </is>
      </c>
      <c r="C527" s="32" t="n">
        <v>45974.64027777778</v>
      </c>
      <c r="D527" t="n">
        <v>2</v>
      </c>
      <c r="E527" t="n">
        <v>13</v>
      </c>
    </row>
    <row r="528">
      <c r="A528" t="inlineStr">
        <is>
          <t>ED211400</t>
        </is>
      </c>
      <c r="B528" t="inlineStr">
        <is>
          <t>Bluestone Memorial</t>
        </is>
      </c>
      <c r="C528" s="32" t="n">
        <v>45974.67222222222</v>
      </c>
      <c r="D528" t="n">
        <v>4</v>
      </c>
      <c r="E528" t="n">
        <v>103</v>
      </c>
    </row>
    <row r="529">
      <c r="A529" t="inlineStr">
        <is>
          <t>ED211401</t>
        </is>
      </c>
      <c r="B529" t="inlineStr">
        <is>
          <t>Bluestone Memorial</t>
        </is>
      </c>
      <c r="C529" s="32" t="n">
        <v>45974.75972222222</v>
      </c>
      <c r="D529" t="n">
        <v>3</v>
      </c>
      <c r="E529" t="n">
        <v>126</v>
      </c>
    </row>
    <row r="530">
      <c r="A530" t="inlineStr">
        <is>
          <t>ED211402</t>
        </is>
      </c>
      <c r="B530" t="inlineStr">
        <is>
          <t>Bluestone Memorial</t>
        </is>
      </c>
      <c r="C530" s="32" t="n">
        <v>45974.80069444444</v>
      </c>
      <c r="D530" t="n">
        <v>2</v>
      </c>
      <c r="E530" t="n">
        <v>18</v>
      </c>
    </row>
    <row r="531">
      <c r="A531" t="inlineStr">
        <is>
          <t>ED211404</t>
        </is>
      </c>
      <c r="B531" t="inlineStr">
        <is>
          <t>Bluestone Memorial</t>
        </is>
      </c>
      <c r="C531" s="32" t="n">
        <v>45974.86111111111</v>
      </c>
      <c r="D531" t="n">
        <v>2</v>
      </c>
      <c r="E531" t="n">
        <v>14</v>
      </c>
    </row>
    <row r="532">
      <c r="A532" t="inlineStr">
        <is>
          <t>ED211405</t>
        </is>
      </c>
      <c r="B532" t="inlineStr">
        <is>
          <t>Bluestone Memorial</t>
        </is>
      </c>
      <c r="C532" s="32" t="n">
        <v>45975.46666666667</v>
      </c>
      <c r="D532" t="n">
        <v>3</v>
      </c>
      <c r="E532" t="n">
        <v>35</v>
      </c>
    </row>
    <row r="533">
      <c r="A533" t="inlineStr">
        <is>
          <t>ED211408</t>
        </is>
      </c>
      <c r="B533" t="inlineStr">
        <is>
          <t>Bluestone Memorial</t>
        </is>
      </c>
      <c r="C533" s="32" t="n">
        <v>45975.78333333333</v>
      </c>
      <c r="D533" t="n">
        <v>2</v>
      </c>
      <c r="E533" t="n">
        <v>20</v>
      </c>
    </row>
    <row r="534">
      <c r="A534" t="inlineStr">
        <is>
          <t>ED211409</t>
        </is>
      </c>
      <c r="B534" t="inlineStr">
        <is>
          <t>Bluestone Memorial</t>
        </is>
      </c>
      <c r="C534" s="32" t="n">
        <v>45975.82777777778</v>
      </c>
      <c r="D534" t="n">
        <v>2</v>
      </c>
      <c r="E534" t="n">
        <v>26</v>
      </c>
    </row>
    <row r="535">
      <c r="A535" t="inlineStr">
        <is>
          <t>ED211410</t>
        </is>
      </c>
      <c r="B535" t="inlineStr">
        <is>
          <t>Bluestone Memorial</t>
        </is>
      </c>
      <c r="C535" s="32" t="n">
        <v>45975.90694444445</v>
      </c>
      <c r="D535" t="n">
        <v>3</v>
      </c>
      <c r="E535" t="n">
        <v>20</v>
      </c>
    </row>
    <row r="536">
      <c r="A536" t="inlineStr">
        <is>
          <t>ED211411</t>
        </is>
      </c>
      <c r="B536" t="inlineStr">
        <is>
          <t>Bluestone Memorial</t>
        </is>
      </c>
      <c r="C536" s="32" t="n">
        <v>45975.92916666667</v>
      </c>
      <c r="D536" t="n">
        <v>3</v>
      </c>
      <c r="E536" t="n">
        <v>15</v>
      </c>
    </row>
    <row r="537">
      <c r="A537" t="inlineStr">
        <is>
          <t>ED211413</t>
        </is>
      </c>
      <c r="B537" t="inlineStr">
        <is>
          <t>Bluestone Memorial</t>
        </is>
      </c>
      <c r="C537" s="32" t="n">
        <v>45976.18888888889</v>
      </c>
      <c r="D537" t="n">
        <v>3</v>
      </c>
      <c r="E537" t="n">
        <v>22</v>
      </c>
    </row>
    <row r="538">
      <c r="A538" t="inlineStr">
        <is>
          <t>ED211415</t>
        </is>
      </c>
      <c r="B538" t="inlineStr">
        <is>
          <t>Bluestone Memorial</t>
        </is>
      </c>
      <c r="C538" s="32" t="n">
        <v>45976.37083333333</v>
      </c>
      <c r="D538" t="n">
        <v>2</v>
      </c>
      <c r="E538" t="n">
        <v>12</v>
      </c>
    </row>
    <row r="539">
      <c r="A539" t="inlineStr">
        <is>
          <t>ED211416</t>
        </is>
      </c>
      <c r="B539" t="inlineStr">
        <is>
          <t>Bluestone Memorial</t>
        </is>
      </c>
      <c r="C539" s="32" t="n">
        <v>45976.43958333333</v>
      </c>
      <c r="D539" t="n">
        <v>4</v>
      </c>
      <c r="E539" t="n">
        <v>39</v>
      </c>
    </row>
    <row r="540">
      <c r="A540" t="inlineStr">
        <is>
          <t>ED211417</t>
        </is>
      </c>
      <c r="B540" t="inlineStr">
        <is>
          <t>Bluestone Memorial</t>
        </is>
      </c>
      <c r="C540" s="32" t="n">
        <v>45976.44305555556</v>
      </c>
      <c r="D540" t="n">
        <v>4</v>
      </c>
      <c r="E540" t="n">
        <v>63</v>
      </c>
    </row>
    <row r="541">
      <c r="A541" t="inlineStr">
        <is>
          <t>ED211418</t>
        </is>
      </c>
      <c r="B541" t="inlineStr">
        <is>
          <t>Bluestone Memorial</t>
        </is>
      </c>
      <c r="C541" s="32" t="n">
        <v>45976.51944444444</v>
      </c>
      <c r="D541" t="n">
        <v>2</v>
      </c>
      <c r="E541" t="n">
        <v>22</v>
      </c>
    </row>
    <row r="542">
      <c r="A542" t="inlineStr">
        <is>
          <t>ED211419</t>
        </is>
      </c>
      <c r="B542" t="inlineStr">
        <is>
          <t>Bluestone Memorial</t>
        </is>
      </c>
      <c r="C542" s="32" t="n">
        <v>45976.52152777778</v>
      </c>
      <c r="D542" t="n">
        <v>3</v>
      </c>
      <c r="E542" t="n">
        <v>137</v>
      </c>
    </row>
    <row r="543">
      <c r="A543" t="inlineStr">
        <is>
          <t>ED211420</t>
        </is>
      </c>
      <c r="B543" t="inlineStr">
        <is>
          <t>Bluestone Memorial</t>
        </is>
      </c>
      <c r="C543" s="32" t="n">
        <v>45976.67083333333</v>
      </c>
      <c r="D543" t="n">
        <v>2</v>
      </c>
      <c r="E543" t="n">
        <v>29</v>
      </c>
    </row>
    <row r="544">
      <c r="A544" t="inlineStr">
        <is>
          <t>ED211422</t>
        </is>
      </c>
      <c r="B544" t="inlineStr">
        <is>
          <t>Bluestone Memorial</t>
        </is>
      </c>
      <c r="C544" s="32" t="n">
        <v>45976.73055555556</v>
      </c>
      <c r="D544" t="n">
        <v>2</v>
      </c>
      <c r="E544" t="n">
        <v>19</v>
      </c>
    </row>
    <row r="545">
      <c r="A545" t="inlineStr">
        <is>
          <t>ED211423</t>
        </is>
      </c>
      <c r="B545" t="inlineStr">
        <is>
          <t>Bluestone Memorial</t>
        </is>
      </c>
      <c r="C545" s="32" t="n">
        <v>45976.76319444444</v>
      </c>
      <c r="D545" t="n">
        <v>3</v>
      </c>
      <c r="E545" t="n">
        <v>23</v>
      </c>
    </row>
    <row r="546">
      <c r="A546" t="inlineStr">
        <is>
          <t>ED211424</t>
        </is>
      </c>
      <c r="B546" t="inlineStr">
        <is>
          <t>Bluestone Memorial</t>
        </is>
      </c>
      <c r="C546" s="32" t="n">
        <v>45976.92222222222</v>
      </c>
      <c r="D546" t="n">
        <v>3</v>
      </c>
      <c r="E546" t="n">
        <v>39</v>
      </c>
    </row>
    <row r="547">
      <c r="A547" t="inlineStr">
        <is>
          <t>ED211425</t>
        </is>
      </c>
      <c r="B547" t="inlineStr">
        <is>
          <t>Bluestone Memorial</t>
        </is>
      </c>
      <c r="C547" s="32" t="n">
        <v>45976.92847222222</v>
      </c>
      <c r="D547" t="n">
        <v>3</v>
      </c>
      <c r="E547" t="n">
        <v>33</v>
      </c>
    </row>
    <row r="548">
      <c r="A548" t="inlineStr">
        <is>
          <t>ED211426</t>
        </is>
      </c>
      <c r="B548" t="inlineStr">
        <is>
          <t>Bluestone Memorial</t>
        </is>
      </c>
      <c r="C548" s="32" t="n">
        <v>45976.9375</v>
      </c>
      <c r="D548" t="n">
        <v>3</v>
      </c>
      <c r="E548" t="n">
        <v>54</v>
      </c>
    </row>
    <row r="549">
      <c r="A549" t="inlineStr">
        <is>
          <t>ED211427</t>
        </is>
      </c>
      <c r="B549" t="inlineStr">
        <is>
          <t>Bluestone Memorial</t>
        </is>
      </c>
      <c r="C549" s="32" t="n">
        <v>45976.96805555555</v>
      </c>
      <c r="D549" t="n">
        <v>4</v>
      </c>
      <c r="E549" t="n">
        <v>28</v>
      </c>
    </row>
    <row r="550">
      <c r="A550" t="inlineStr">
        <is>
          <t>ED211430</t>
        </is>
      </c>
      <c r="B550" t="inlineStr">
        <is>
          <t>Bluestone Memorial</t>
        </is>
      </c>
      <c r="C550" s="32" t="n">
        <v>45977.27083333334</v>
      </c>
      <c r="D550" t="n">
        <v>3</v>
      </c>
      <c r="E550" t="n">
        <v>7</v>
      </c>
    </row>
    <row r="551">
      <c r="A551" t="inlineStr">
        <is>
          <t>ED211431</t>
        </is>
      </c>
      <c r="B551" t="inlineStr">
        <is>
          <t>Bluestone Memorial</t>
        </is>
      </c>
      <c r="C551" s="32" t="n">
        <v>45977.30833333333</v>
      </c>
      <c r="D551" t="n">
        <v>3</v>
      </c>
      <c r="E551" t="n">
        <v>99</v>
      </c>
    </row>
    <row r="552">
      <c r="A552" t="inlineStr">
        <is>
          <t>ED211432</t>
        </is>
      </c>
      <c r="B552" t="inlineStr">
        <is>
          <t>Bluestone Memorial</t>
        </is>
      </c>
      <c r="C552" s="32" t="n">
        <v>45977.33125</v>
      </c>
      <c r="D552" t="n">
        <v>3</v>
      </c>
      <c r="E552" t="n">
        <v>27</v>
      </c>
    </row>
    <row r="553">
      <c r="A553" t="inlineStr">
        <is>
          <t>ED211433</t>
        </is>
      </c>
      <c r="B553" t="inlineStr">
        <is>
          <t>Bluestone Memorial</t>
        </is>
      </c>
      <c r="C553" s="32" t="n">
        <v>45977.39027777778</v>
      </c>
      <c r="D553" t="n">
        <v>4</v>
      </c>
      <c r="E553" t="n">
        <v>27</v>
      </c>
    </row>
    <row r="554">
      <c r="A554" t="inlineStr">
        <is>
          <t>ED211435</t>
        </is>
      </c>
      <c r="B554" t="inlineStr">
        <is>
          <t>Bluestone Memorial</t>
        </is>
      </c>
      <c r="C554" s="32" t="n">
        <v>45977.5125</v>
      </c>
      <c r="D554" t="n">
        <v>2</v>
      </c>
      <c r="E554" t="n">
        <v>10</v>
      </c>
    </row>
    <row r="555">
      <c r="A555" t="inlineStr">
        <is>
          <t>ED211436</t>
        </is>
      </c>
      <c r="B555" t="inlineStr">
        <is>
          <t>Bluestone Memorial</t>
        </is>
      </c>
      <c r="C555" s="32" t="n">
        <v>45977.51527777778</v>
      </c>
      <c r="D555" t="n">
        <v>3</v>
      </c>
      <c r="E555" t="n">
        <v>80</v>
      </c>
    </row>
    <row r="556">
      <c r="A556" t="inlineStr">
        <is>
          <t>ED211437</t>
        </is>
      </c>
      <c r="B556" t="inlineStr">
        <is>
          <t>Bluestone Memorial</t>
        </is>
      </c>
      <c r="C556" s="32" t="n">
        <v>45977.57847222222</v>
      </c>
      <c r="D556" t="n">
        <v>3</v>
      </c>
      <c r="E556" t="n">
        <v>73</v>
      </c>
    </row>
    <row r="557">
      <c r="A557" t="inlineStr">
        <is>
          <t>ED211438</t>
        </is>
      </c>
      <c r="B557" t="inlineStr">
        <is>
          <t>Bluestone Memorial</t>
        </is>
      </c>
      <c r="C557" s="32" t="n">
        <v>45977.60625</v>
      </c>
      <c r="D557" t="n">
        <v>2</v>
      </c>
      <c r="E557" t="n">
        <v>30</v>
      </c>
    </row>
    <row r="558">
      <c r="A558" t="inlineStr">
        <is>
          <t>ED211439</t>
        </is>
      </c>
      <c r="B558" t="inlineStr">
        <is>
          <t>Bluestone Memorial</t>
        </is>
      </c>
      <c r="C558" s="32" t="n">
        <v>45977.6125</v>
      </c>
      <c r="D558" t="n">
        <v>3</v>
      </c>
      <c r="E558" t="n">
        <v>108</v>
      </c>
    </row>
    <row r="559">
      <c r="A559" t="inlineStr">
        <is>
          <t>ED211440</t>
        </is>
      </c>
      <c r="B559" t="inlineStr">
        <is>
          <t>Bluestone Memorial</t>
        </is>
      </c>
      <c r="C559" s="32" t="n">
        <v>45977.67569444444</v>
      </c>
      <c r="D559" t="n">
        <v>3</v>
      </c>
      <c r="E559" t="n">
        <v>79</v>
      </c>
    </row>
    <row r="560">
      <c r="A560" t="inlineStr">
        <is>
          <t>ED211441</t>
        </is>
      </c>
      <c r="B560" t="inlineStr">
        <is>
          <t>Bluestone Memorial</t>
        </is>
      </c>
      <c r="C560" s="32" t="n">
        <v>45977.67708333334</v>
      </c>
      <c r="D560" t="n">
        <v>2</v>
      </c>
      <c r="E560" t="n">
        <v>36</v>
      </c>
    </row>
    <row r="561">
      <c r="A561" t="inlineStr">
        <is>
          <t>ED211442</t>
        </is>
      </c>
      <c r="B561" t="inlineStr">
        <is>
          <t>Bluestone Memorial</t>
        </is>
      </c>
      <c r="C561" s="32" t="n">
        <v>45977.71111111111</v>
      </c>
      <c r="D561" t="n">
        <v>4</v>
      </c>
      <c r="E561" t="n">
        <v>117</v>
      </c>
    </row>
    <row r="562">
      <c r="A562" t="inlineStr">
        <is>
          <t>ED211446</t>
        </is>
      </c>
      <c r="B562" t="inlineStr">
        <is>
          <t>Bluestone Memorial</t>
        </is>
      </c>
      <c r="C562" s="32" t="n">
        <v>45977.92152777778</v>
      </c>
      <c r="D562" t="n">
        <v>4</v>
      </c>
      <c r="E562" t="n">
        <v>19</v>
      </c>
    </row>
    <row r="563">
      <c r="A563" t="inlineStr">
        <is>
          <t>ED211448</t>
        </is>
      </c>
      <c r="B563" t="inlineStr">
        <is>
          <t>Bluestone Memorial</t>
        </is>
      </c>
      <c r="C563" s="32" t="n">
        <v>45978.01666666667</v>
      </c>
      <c r="D563" t="n">
        <v>2</v>
      </c>
      <c r="E563" t="n">
        <v>28</v>
      </c>
    </row>
    <row r="564">
      <c r="A564" t="inlineStr">
        <is>
          <t>ED211449</t>
        </is>
      </c>
      <c r="B564" t="inlineStr">
        <is>
          <t>Bluestone Memorial</t>
        </is>
      </c>
      <c r="C564" s="32" t="n">
        <v>45978.09722222222</v>
      </c>
      <c r="D564" t="n">
        <v>3</v>
      </c>
      <c r="E564" t="n">
        <v>22</v>
      </c>
    </row>
    <row r="565">
      <c r="A565" t="inlineStr">
        <is>
          <t>ED211451</t>
        </is>
      </c>
      <c r="B565" t="inlineStr">
        <is>
          <t>Bluestone Memorial</t>
        </is>
      </c>
      <c r="C565" s="32" t="n">
        <v>45978.19583333333</v>
      </c>
      <c r="D565" t="n">
        <v>3</v>
      </c>
      <c r="E565" t="n">
        <v>16</v>
      </c>
    </row>
    <row r="566">
      <c r="A566" t="inlineStr">
        <is>
          <t>ED211452</t>
        </is>
      </c>
      <c r="B566" t="inlineStr">
        <is>
          <t>Bluestone Memorial</t>
        </is>
      </c>
      <c r="C566" s="32" t="n">
        <v>45978.24930555555</v>
      </c>
      <c r="D566" t="n">
        <v>4</v>
      </c>
      <c r="E566" t="n">
        <v>74</v>
      </c>
    </row>
    <row r="567">
      <c r="A567" t="inlineStr">
        <is>
          <t>ED211453</t>
        </is>
      </c>
      <c r="B567" t="inlineStr">
        <is>
          <t>Bluestone Memorial</t>
        </is>
      </c>
      <c r="C567" s="32" t="n">
        <v>45978.28333333333</v>
      </c>
      <c r="D567" t="n">
        <v>4</v>
      </c>
      <c r="E567" t="n">
        <v>22</v>
      </c>
    </row>
    <row r="568">
      <c r="A568" t="inlineStr">
        <is>
          <t>ED211455</t>
        </is>
      </c>
      <c r="B568" t="inlineStr">
        <is>
          <t>Bluestone Memorial</t>
        </is>
      </c>
      <c r="C568" s="32" t="n">
        <v>45978.36111111111</v>
      </c>
      <c r="D568" t="n">
        <v>4</v>
      </c>
      <c r="E568" t="n">
        <v>127</v>
      </c>
    </row>
    <row r="569">
      <c r="A569" t="inlineStr">
        <is>
          <t>ED211456</t>
        </is>
      </c>
      <c r="B569" t="inlineStr">
        <is>
          <t>Bluestone Memorial</t>
        </is>
      </c>
      <c r="C569" s="32" t="n">
        <v>45978.39583333334</v>
      </c>
      <c r="D569" t="n">
        <v>3</v>
      </c>
      <c r="E569" t="n">
        <v>34</v>
      </c>
    </row>
    <row r="570">
      <c r="A570" t="inlineStr">
        <is>
          <t>ED211457</t>
        </is>
      </c>
      <c r="B570" t="inlineStr">
        <is>
          <t>Bluestone Memorial</t>
        </is>
      </c>
      <c r="C570" s="32" t="n">
        <v>45978.40694444445</v>
      </c>
      <c r="D570" t="n">
        <v>2</v>
      </c>
      <c r="E570" t="n">
        <v>17</v>
      </c>
    </row>
    <row r="571">
      <c r="A571" t="inlineStr">
        <is>
          <t>ED211458</t>
        </is>
      </c>
      <c r="B571" t="inlineStr">
        <is>
          <t>Bluestone Memorial</t>
        </is>
      </c>
      <c r="C571" s="32" t="n">
        <v>45978.44444444445</v>
      </c>
      <c r="D571" t="n">
        <v>4</v>
      </c>
      <c r="E571" t="n">
        <v>39</v>
      </c>
    </row>
    <row r="572">
      <c r="A572" t="inlineStr">
        <is>
          <t>ED211459</t>
        </is>
      </c>
      <c r="B572" t="inlineStr">
        <is>
          <t>Bluestone Memorial</t>
        </is>
      </c>
      <c r="C572" s="32" t="n">
        <v>45978.45625</v>
      </c>
      <c r="D572" t="n">
        <v>3</v>
      </c>
      <c r="E572" t="n">
        <v>72</v>
      </c>
    </row>
    <row r="573">
      <c r="A573" t="inlineStr">
        <is>
          <t>ED211462</t>
        </is>
      </c>
      <c r="B573" t="inlineStr">
        <is>
          <t>Bluestone Memorial</t>
        </is>
      </c>
      <c r="C573" s="32" t="n">
        <v>45978.58125</v>
      </c>
      <c r="D573" t="n">
        <v>3</v>
      </c>
      <c r="E573" t="n">
        <v>139</v>
      </c>
    </row>
    <row r="574">
      <c r="A574" t="inlineStr">
        <is>
          <t>ED211465</t>
        </is>
      </c>
      <c r="B574" t="inlineStr">
        <is>
          <t>Bluestone Memorial</t>
        </is>
      </c>
      <c r="C574" s="32" t="n">
        <v>45978.76944444444</v>
      </c>
      <c r="D574" t="n">
        <v>3</v>
      </c>
      <c r="E574" t="n">
        <v>59</v>
      </c>
    </row>
    <row r="575">
      <c r="A575" t="inlineStr">
        <is>
          <t>ED211466</t>
        </is>
      </c>
      <c r="B575" t="inlineStr">
        <is>
          <t>Bluestone Memorial</t>
        </is>
      </c>
      <c r="C575" s="32" t="n">
        <v>45978.86319444444</v>
      </c>
      <c r="D575" t="n">
        <v>3</v>
      </c>
      <c r="E575" t="n">
        <v>28</v>
      </c>
    </row>
    <row r="576">
      <c r="A576" t="inlineStr">
        <is>
          <t>ED211468</t>
        </is>
      </c>
      <c r="B576" t="inlineStr">
        <is>
          <t>Bluestone Memorial</t>
        </is>
      </c>
      <c r="C576" s="32" t="n">
        <v>45978.93541666667</v>
      </c>
      <c r="D576" t="n">
        <v>4</v>
      </c>
      <c r="E576" t="n">
        <v>44</v>
      </c>
    </row>
    <row r="577">
      <c r="A577" t="inlineStr">
        <is>
          <t>ED211469</t>
        </is>
      </c>
      <c r="B577" t="inlineStr">
        <is>
          <t>Bluestone Memorial</t>
        </is>
      </c>
      <c r="C577" s="32" t="n">
        <v>45978.94583333333</v>
      </c>
      <c r="D577" t="n">
        <v>2</v>
      </c>
      <c r="E577" t="n">
        <v>13</v>
      </c>
    </row>
    <row r="578">
      <c r="A578" t="inlineStr">
        <is>
          <t>ED211471</t>
        </is>
      </c>
      <c r="B578" t="inlineStr">
        <is>
          <t>Bluestone Memorial</t>
        </is>
      </c>
      <c r="C578" s="32" t="n">
        <v>45979.03333333333</v>
      </c>
      <c r="D578" t="n">
        <v>4</v>
      </c>
      <c r="E578" t="n">
        <v>27</v>
      </c>
    </row>
    <row r="579">
      <c r="A579" t="inlineStr">
        <is>
          <t>ED211472</t>
        </is>
      </c>
      <c r="B579" t="inlineStr">
        <is>
          <t>Bluestone Memorial</t>
        </is>
      </c>
      <c r="C579" s="32" t="n">
        <v>45979.32222222222</v>
      </c>
      <c r="D579" t="n">
        <v>3</v>
      </c>
      <c r="E579" t="n">
        <v>39</v>
      </c>
    </row>
    <row r="580">
      <c r="A580" t="inlineStr">
        <is>
          <t>ED211474</t>
        </is>
      </c>
      <c r="B580" t="inlineStr">
        <is>
          <t>Bluestone Memorial</t>
        </is>
      </c>
      <c r="C580" s="32" t="n">
        <v>45979.43125</v>
      </c>
      <c r="D580" t="n">
        <v>3</v>
      </c>
      <c r="E580" t="n">
        <v>58</v>
      </c>
    </row>
    <row r="581">
      <c r="A581" t="inlineStr">
        <is>
          <t>ED211475</t>
        </is>
      </c>
      <c r="B581" t="inlineStr">
        <is>
          <t>Bluestone Memorial</t>
        </is>
      </c>
      <c r="C581" s="32" t="n">
        <v>45979.45486111111</v>
      </c>
      <c r="D581" t="n">
        <v>4</v>
      </c>
      <c r="E581" t="n">
        <v>39</v>
      </c>
    </row>
    <row r="582">
      <c r="A582" t="inlineStr">
        <is>
          <t>ED211476</t>
        </is>
      </c>
      <c r="B582" t="inlineStr">
        <is>
          <t>Bluestone Memorial</t>
        </is>
      </c>
      <c r="C582" s="32" t="n">
        <v>45979.45902777778</v>
      </c>
      <c r="D582" t="n">
        <v>2</v>
      </c>
      <c r="E582" t="n">
        <v>5</v>
      </c>
    </row>
    <row r="583">
      <c r="A583" t="inlineStr">
        <is>
          <t>ED211477</t>
        </is>
      </c>
      <c r="B583" t="inlineStr">
        <is>
          <t>Bluestone Memorial</t>
        </is>
      </c>
      <c r="C583" s="32" t="n">
        <v>45979.51875</v>
      </c>
      <c r="D583" t="n">
        <v>4</v>
      </c>
      <c r="E583" t="n">
        <v>37</v>
      </c>
    </row>
    <row r="584">
      <c r="A584" t="inlineStr">
        <is>
          <t>ED211478</t>
        </is>
      </c>
      <c r="B584" t="inlineStr">
        <is>
          <t>Bluestone Memorial</t>
        </is>
      </c>
      <c r="C584" s="32" t="n">
        <v>45979.55138888889</v>
      </c>
      <c r="D584" t="n">
        <v>2</v>
      </c>
      <c r="E584" t="n">
        <v>12</v>
      </c>
    </row>
    <row r="585">
      <c r="A585" t="inlineStr">
        <is>
          <t>ED211479</t>
        </is>
      </c>
      <c r="B585" t="inlineStr">
        <is>
          <t>Bluestone Memorial</t>
        </is>
      </c>
      <c r="C585" s="32" t="n">
        <v>45979.62638888889</v>
      </c>
      <c r="D585" t="n">
        <v>3</v>
      </c>
      <c r="E585" t="n">
        <v>94</v>
      </c>
    </row>
    <row r="586">
      <c r="A586" t="inlineStr">
        <is>
          <t>ED211481</t>
        </is>
      </c>
      <c r="B586" t="inlineStr">
        <is>
          <t>Bluestone Memorial</t>
        </is>
      </c>
      <c r="C586" s="32" t="n">
        <v>45979.65555555555</v>
      </c>
      <c r="D586" t="n">
        <v>2</v>
      </c>
      <c r="E586" t="n">
        <v>17</v>
      </c>
    </row>
    <row r="587">
      <c r="A587" t="inlineStr">
        <is>
          <t>ED211482</t>
        </is>
      </c>
      <c r="B587" t="inlineStr">
        <is>
          <t>Bluestone Memorial</t>
        </is>
      </c>
      <c r="C587" s="32" t="n">
        <v>45979.65763888889</v>
      </c>
      <c r="D587" t="n">
        <v>2</v>
      </c>
      <c r="E587" t="n">
        <v>16</v>
      </c>
    </row>
    <row r="588">
      <c r="A588" t="inlineStr">
        <is>
          <t>ED211483</t>
        </is>
      </c>
      <c r="B588" t="inlineStr">
        <is>
          <t>Bluestone Memorial</t>
        </is>
      </c>
      <c r="C588" s="32" t="n">
        <v>45979.66736111111</v>
      </c>
      <c r="D588" t="n">
        <v>2</v>
      </c>
      <c r="E588" t="n">
        <v>15</v>
      </c>
    </row>
    <row r="589">
      <c r="A589" t="inlineStr">
        <is>
          <t>ED211484</t>
        </is>
      </c>
      <c r="B589" t="inlineStr">
        <is>
          <t>Bluestone Memorial</t>
        </is>
      </c>
      <c r="C589" s="32" t="n">
        <v>45979.69652777778</v>
      </c>
      <c r="D589" t="n">
        <v>2</v>
      </c>
      <c r="E589" t="n">
        <v>15</v>
      </c>
    </row>
    <row r="590">
      <c r="A590" t="inlineStr">
        <is>
          <t>ED211485</t>
        </is>
      </c>
      <c r="B590" t="inlineStr">
        <is>
          <t>Bluestone Memorial</t>
        </is>
      </c>
      <c r="C590" s="32" t="n">
        <v>45979.73958333334</v>
      </c>
      <c r="D590" t="n">
        <v>3</v>
      </c>
      <c r="E590" t="n">
        <v>27</v>
      </c>
    </row>
    <row r="591">
      <c r="A591" t="inlineStr">
        <is>
          <t>ED211486</t>
        </is>
      </c>
      <c r="B591" t="inlineStr">
        <is>
          <t>Bluestone Memorial</t>
        </is>
      </c>
      <c r="C591" s="32" t="n">
        <v>45979.73958333334</v>
      </c>
      <c r="D591" t="n">
        <v>2</v>
      </c>
      <c r="E591" t="n">
        <v>27</v>
      </c>
    </row>
    <row r="592">
      <c r="A592" t="inlineStr">
        <is>
          <t>ED211487</t>
        </is>
      </c>
      <c r="B592" t="inlineStr">
        <is>
          <t>Bluestone Memorial</t>
        </is>
      </c>
      <c r="C592" s="32" t="n">
        <v>45979.75694444445</v>
      </c>
      <c r="D592" t="n">
        <v>5</v>
      </c>
      <c r="E592" t="n">
        <v>155</v>
      </c>
    </row>
    <row r="593">
      <c r="A593" t="inlineStr">
        <is>
          <t>ED211488</t>
        </is>
      </c>
      <c r="B593" t="inlineStr">
        <is>
          <t>Bluestone Memorial</t>
        </is>
      </c>
      <c r="C593" s="32" t="n">
        <v>45979.81805555556</v>
      </c>
      <c r="D593" t="n">
        <v>1</v>
      </c>
      <c r="E593" t="n">
        <v>3</v>
      </c>
    </row>
    <row r="594">
      <c r="A594" t="inlineStr">
        <is>
          <t>ED211489</t>
        </is>
      </c>
      <c r="B594" t="inlineStr">
        <is>
          <t>Bluestone Memorial</t>
        </is>
      </c>
      <c r="C594" s="32" t="n">
        <v>45979.85069444445</v>
      </c>
      <c r="D594" t="n">
        <v>4</v>
      </c>
      <c r="E594" t="n">
        <v>88</v>
      </c>
    </row>
    <row r="595">
      <c r="A595" t="inlineStr">
        <is>
          <t>ED211490</t>
        </is>
      </c>
      <c r="B595" t="inlineStr">
        <is>
          <t>Bluestone Memorial</t>
        </is>
      </c>
      <c r="C595" s="32" t="n">
        <v>45979.96388888889</v>
      </c>
      <c r="D595" t="n">
        <v>2</v>
      </c>
      <c r="E595" t="n">
        <v>13</v>
      </c>
    </row>
    <row r="596">
      <c r="A596" t="inlineStr">
        <is>
          <t>ED211491</t>
        </is>
      </c>
      <c r="B596" t="inlineStr">
        <is>
          <t>Bluestone Memorial</t>
        </is>
      </c>
      <c r="C596" s="32" t="n">
        <v>45980.12430555555</v>
      </c>
      <c r="D596" t="n">
        <v>4</v>
      </c>
      <c r="E596" t="n">
        <v>44</v>
      </c>
    </row>
    <row r="597">
      <c r="A597" t="inlineStr">
        <is>
          <t>ED211492</t>
        </is>
      </c>
      <c r="B597" t="inlineStr">
        <is>
          <t>Bluestone Memorial</t>
        </is>
      </c>
      <c r="C597" s="32" t="n">
        <v>45980.23333333333</v>
      </c>
      <c r="D597" t="n">
        <v>3</v>
      </c>
      <c r="E597" t="n">
        <v>25</v>
      </c>
    </row>
    <row r="598">
      <c r="A598" t="inlineStr">
        <is>
          <t>ED211493</t>
        </is>
      </c>
      <c r="B598" t="inlineStr">
        <is>
          <t>Bluestone Memorial</t>
        </is>
      </c>
      <c r="C598" s="32" t="n">
        <v>45980.29930555556</v>
      </c>
      <c r="D598" t="n">
        <v>5</v>
      </c>
      <c r="E598" t="n">
        <v>26</v>
      </c>
    </row>
    <row r="599">
      <c r="A599" t="inlineStr">
        <is>
          <t>ED211497</t>
        </is>
      </c>
      <c r="B599" t="inlineStr">
        <is>
          <t>Bluestone Memorial</t>
        </is>
      </c>
      <c r="C599" s="32" t="n">
        <v>45980.36736111111</v>
      </c>
      <c r="D599" t="n">
        <v>2</v>
      </c>
      <c r="E599" t="n">
        <v>15</v>
      </c>
    </row>
    <row r="600">
      <c r="A600" t="inlineStr">
        <is>
          <t>ED211500</t>
        </is>
      </c>
      <c r="B600" t="inlineStr">
        <is>
          <t>Bluestone Memorial</t>
        </is>
      </c>
      <c r="C600" s="32" t="n">
        <v>45980.5375</v>
      </c>
      <c r="D600" t="n">
        <v>4</v>
      </c>
      <c r="E600" t="n">
        <v>100</v>
      </c>
    </row>
    <row r="601">
      <c r="A601" t="inlineStr">
        <is>
          <t>ED211501</t>
        </is>
      </c>
      <c r="B601" t="inlineStr">
        <is>
          <t>Bluestone Memorial</t>
        </is>
      </c>
      <c r="C601" s="32" t="n">
        <v>45980.57708333333</v>
      </c>
      <c r="D601" t="n">
        <v>3</v>
      </c>
      <c r="E601" t="n">
        <v>36</v>
      </c>
    </row>
    <row r="602">
      <c r="A602" t="inlineStr">
        <is>
          <t>ED211502</t>
        </is>
      </c>
      <c r="B602" t="inlineStr">
        <is>
          <t>Bluestone Memorial</t>
        </is>
      </c>
      <c r="C602" s="32" t="n">
        <v>45980.57986111111</v>
      </c>
      <c r="D602" t="n">
        <v>3</v>
      </c>
      <c r="E602" t="n">
        <v>119</v>
      </c>
    </row>
    <row r="603">
      <c r="A603" t="inlineStr">
        <is>
          <t>ED211503</t>
        </is>
      </c>
      <c r="B603" t="inlineStr">
        <is>
          <t>Bluestone Memorial</t>
        </is>
      </c>
      <c r="C603" s="32" t="n">
        <v>45980.59375</v>
      </c>
      <c r="D603" t="n">
        <v>3</v>
      </c>
      <c r="E603" t="n">
        <v>51</v>
      </c>
    </row>
    <row r="604">
      <c r="A604" t="inlineStr">
        <is>
          <t>ED211505</t>
        </is>
      </c>
      <c r="B604" t="inlineStr">
        <is>
          <t>Bluestone Memorial</t>
        </is>
      </c>
      <c r="C604" s="32" t="n">
        <v>45980.65416666667</v>
      </c>
      <c r="D604" t="n">
        <v>3</v>
      </c>
      <c r="E604" t="n">
        <v>43</v>
      </c>
    </row>
    <row r="605">
      <c r="A605" t="inlineStr">
        <is>
          <t>ED211506</t>
        </is>
      </c>
      <c r="B605" t="inlineStr">
        <is>
          <t>Bluestone Memorial</t>
        </is>
      </c>
      <c r="C605" s="32" t="n">
        <v>45980.675</v>
      </c>
      <c r="D605" t="n">
        <v>4</v>
      </c>
      <c r="E605" t="n">
        <v>58</v>
      </c>
    </row>
    <row r="606">
      <c r="A606" t="inlineStr">
        <is>
          <t>ED211507</t>
        </is>
      </c>
      <c r="B606" t="inlineStr">
        <is>
          <t>Bluestone Memorial</t>
        </is>
      </c>
      <c r="C606" s="32" t="n">
        <v>45980.68055555555</v>
      </c>
      <c r="D606" t="n">
        <v>2</v>
      </c>
      <c r="E606" t="n">
        <v>16</v>
      </c>
    </row>
    <row r="607">
      <c r="A607" t="inlineStr">
        <is>
          <t>ED211510</t>
        </is>
      </c>
      <c r="B607" t="inlineStr">
        <is>
          <t>Bluestone Memorial</t>
        </is>
      </c>
      <c r="C607" s="32" t="n">
        <v>45980.87708333333</v>
      </c>
      <c r="D607" t="n">
        <v>4</v>
      </c>
      <c r="E607" t="n">
        <v>34</v>
      </c>
    </row>
    <row r="608">
      <c r="A608" t="inlineStr">
        <is>
          <t>ED211513</t>
        </is>
      </c>
      <c r="B608" t="inlineStr">
        <is>
          <t>Bluestone Memorial</t>
        </is>
      </c>
      <c r="C608" s="32" t="n">
        <v>45981.00347222222</v>
      </c>
      <c r="D608" t="n">
        <v>4</v>
      </c>
      <c r="E608" t="n">
        <v>22</v>
      </c>
    </row>
    <row r="609">
      <c r="A609" t="inlineStr">
        <is>
          <t>ED211514</t>
        </is>
      </c>
      <c r="B609" t="inlineStr">
        <is>
          <t>Bluestone Memorial</t>
        </is>
      </c>
      <c r="C609" s="32" t="n">
        <v>45981.13680555556</v>
      </c>
      <c r="D609" t="n">
        <v>3</v>
      </c>
      <c r="E609" t="n">
        <v>21</v>
      </c>
    </row>
    <row r="610">
      <c r="A610" t="inlineStr">
        <is>
          <t>ED211515</t>
        </is>
      </c>
      <c r="B610" t="inlineStr">
        <is>
          <t>Bluestone Memorial</t>
        </is>
      </c>
      <c r="C610" s="32" t="n">
        <v>45981.18819444445</v>
      </c>
      <c r="D610" t="n">
        <v>3</v>
      </c>
      <c r="E610" t="n">
        <v>20</v>
      </c>
    </row>
    <row r="611">
      <c r="A611" t="inlineStr">
        <is>
          <t>ED211517</t>
        </is>
      </c>
      <c r="B611" t="inlineStr">
        <is>
          <t>Bluestone Memorial</t>
        </is>
      </c>
      <c r="C611" s="32" t="n">
        <v>45981.33611111111</v>
      </c>
      <c r="D611" t="n">
        <v>4</v>
      </c>
      <c r="E611" t="n">
        <v>68</v>
      </c>
    </row>
    <row r="612">
      <c r="A612" t="inlineStr">
        <is>
          <t>ED211520</t>
        </is>
      </c>
      <c r="B612" t="inlineStr">
        <is>
          <t>Bluestone Memorial</t>
        </is>
      </c>
      <c r="C612" s="32" t="n">
        <v>45981.42291666667</v>
      </c>
      <c r="D612" t="n">
        <v>3</v>
      </c>
      <c r="E612" t="n">
        <v>36</v>
      </c>
    </row>
    <row r="613">
      <c r="A613" t="inlineStr">
        <is>
          <t>ED211523</t>
        </is>
      </c>
      <c r="B613" t="inlineStr">
        <is>
          <t>Bluestone Memorial</t>
        </is>
      </c>
      <c r="C613" s="32" t="n">
        <v>45981.45833333334</v>
      </c>
      <c r="D613" t="n">
        <v>3</v>
      </c>
      <c r="E613" t="n">
        <v>33</v>
      </c>
    </row>
    <row r="614">
      <c r="A614" t="inlineStr">
        <is>
          <t>ED211524</t>
        </is>
      </c>
      <c r="B614" t="inlineStr">
        <is>
          <t>Bluestone Memorial</t>
        </is>
      </c>
      <c r="C614" s="32" t="n">
        <v>45981.47569444445</v>
      </c>
      <c r="D614" t="n">
        <v>2</v>
      </c>
      <c r="E614" t="n">
        <v>14</v>
      </c>
    </row>
    <row r="615">
      <c r="A615" t="inlineStr">
        <is>
          <t>ED211525</t>
        </is>
      </c>
      <c r="B615" t="inlineStr">
        <is>
          <t>Bluestone Memorial</t>
        </is>
      </c>
      <c r="C615" s="32" t="n">
        <v>45981.49444444444</v>
      </c>
      <c r="D615" t="n">
        <v>3</v>
      </c>
      <c r="E615" t="n">
        <v>31</v>
      </c>
    </row>
    <row r="616">
      <c r="A616" t="inlineStr">
        <is>
          <t>ED211526</t>
        </is>
      </c>
      <c r="B616" t="inlineStr">
        <is>
          <t>Bluestone Memorial</t>
        </is>
      </c>
      <c r="C616" s="32" t="n">
        <v>45981.52777777778</v>
      </c>
      <c r="D616" t="n">
        <v>2</v>
      </c>
      <c r="E616" t="n">
        <v>18</v>
      </c>
    </row>
    <row r="617">
      <c r="A617" t="inlineStr">
        <is>
          <t>ED211527</t>
        </is>
      </c>
      <c r="B617" t="inlineStr">
        <is>
          <t>Bluestone Memorial</t>
        </is>
      </c>
      <c r="C617" s="32" t="n">
        <v>45981.52916666667</v>
      </c>
      <c r="D617" t="n">
        <v>4</v>
      </c>
    </row>
    <row r="618">
      <c r="A618" t="inlineStr">
        <is>
          <t>ED211528</t>
        </is>
      </c>
      <c r="B618" t="inlineStr">
        <is>
          <t>Bluestone Memorial</t>
        </is>
      </c>
      <c r="C618" s="32" t="n">
        <v>45981.56388888889</v>
      </c>
      <c r="D618" t="n">
        <v>2</v>
      </c>
      <c r="E618" t="n">
        <v>24</v>
      </c>
    </row>
    <row r="619">
      <c r="A619" t="inlineStr">
        <is>
          <t>ED211529</t>
        </is>
      </c>
      <c r="B619" t="inlineStr">
        <is>
          <t>Bluestone Memorial</t>
        </is>
      </c>
      <c r="C619" s="32" t="n">
        <v>45981.57916666667</v>
      </c>
      <c r="D619" t="n">
        <v>4</v>
      </c>
      <c r="E619" t="n">
        <v>68</v>
      </c>
    </row>
    <row r="620">
      <c r="A620" t="inlineStr">
        <is>
          <t>ED211530</t>
        </is>
      </c>
      <c r="B620" t="inlineStr">
        <is>
          <t>Bluestone Memorial</t>
        </is>
      </c>
      <c r="C620" s="32" t="n">
        <v>45981.66041666667</v>
      </c>
      <c r="D620" t="n">
        <v>2</v>
      </c>
      <c r="E620" t="n">
        <v>12</v>
      </c>
    </row>
    <row r="621">
      <c r="A621" t="inlineStr">
        <is>
          <t>ED211531</t>
        </is>
      </c>
      <c r="B621" t="inlineStr">
        <is>
          <t>Bluestone Memorial</t>
        </is>
      </c>
      <c r="C621" s="32" t="n">
        <v>45981.67777777778</v>
      </c>
      <c r="D621" t="n">
        <v>2</v>
      </c>
      <c r="E621" t="n">
        <v>31</v>
      </c>
    </row>
    <row r="622">
      <c r="A622" t="inlineStr">
        <is>
          <t>ED211532</t>
        </is>
      </c>
      <c r="B622" t="inlineStr">
        <is>
          <t>Bluestone Memorial</t>
        </is>
      </c>
      <c r="C622" s="32" t="n">
        <v>45981.75416666667</v>
      </c>
      <c r="D622" t="n">
        <v>4</v>
      </c>
      <c r="E622" t="n">
        <v>126</v>
      </c>
    </row>
    <row r="623">
      <c r="A623" t="inlineStr">
        <is>
          <t>ED211533</t>
        </is>
      </c>
      <c r="B623" t="inlineStr">
        <is>
          <t>Bluestone Memorial</t>
        </is>
      </c>
      <c r="C623" s="32" t="n">
        <v>45981.77361111111</v>
      </c>
      <c r="D623" t="n">
        <v>3</v>
      </c>
      <c r="E623" t="n">
        <v>21</v>
      </c>
    </row>
    <row r="624">
      <c r="A624" t="inlineStr">
        <is>
          <t>ED211534</t>
        </is>
      </c>
      <c r="B624" t="inlineStr">
        <is>
          <t>Bluestone Memorial</t>
        </is>
      </c>
      <c r="C624" s="32" t="n">
        <v>45981.89513888889</v>
      </c>
      <c r="D624" t="n">
        <v>3</v>
      </c>
      <c r="E624" t="n">
        <v>40</v>
      </c>
    </row>
    <row r="625">
      <c r="A625" t="inlineStr">
        <is>
          <t>ED211538</t>
        </is>
      </c>
      <c r="B625" t="inlineStr">
        <is>
          <t>Bluestone Memorial</t>
        </is>
      </c>
      <c r="C625" s="32" t="n">
        <v>45982.51875</v>
      </c>
      <c r="D625" t="n">
        <v>3</v>
      </c>
      <c r="E625" t="n">
        <v>33</v>
      </c>
    </row>
    <row r="626">
      <c r="A626" t="inlineStr">
        <is>
          <t>ED211540</t>
        </is>
      </c>
      <c r="B626" t="inlineStr">
        <is>
          <t>Bluestone Memorial</t>
        </is>
      </c>
      <c r="C626" s="32" t="n">
        <v>45982.59305555555</v>
      </c>
      <c r="D626" t="n">
        <v>1</v>
      </c>
      <c r="E626" t="n">
        <v>5</v>
      </c>
    </row>
    <row r="627">
      <c r="A627" t="inlineStr">
        <is>
          <t>ED211541</t>
        </is>
      </c>
      <c r="B627" t="inlineStr">
        <is>
          <t>Bluestone Memorial</t>
        </is>
      </c>
      <c r="C627" s="32" t="n">
        <v>45982.60208333333</v>
      </c>
      <c r="D627" t="n">
        <v>2</v>
      </c>
      <c r="E627" t="n">
        <v>17</v>
      </c>
    </row>
    <row r="628">
      <c r="A628" t="inlineStr">
        <is>
          <t>ED211542</t>
        </is>
      </c>
      <c r="B628" t="inlineStr">
        <is>
          <t>Bluestone Memorial</t>
        </is>
      </c>
      <c r="C628" s="32" t="n">
        <v>45982.65347222222</v>
      </c>
      <c r="D628" t="n">
        <v>4</v>
      </c>
      <c r="E628" t="n">
        <v>193</v>
      </c>
    </row>
    <row r="629">
      <c r="A629" t="inlineStr">
        <is>
          <t>ED211543</t>
        </is>
      </c>
      <c r="B629" t="inlineStr">
        <is>
          <t>Bluestone Memorial</t>
        </is>
      </c>
      <c r="C629" s="32" t="n">
        <v>45982.65902777778</v>
      </c>
      <c r="D629" t="n">
        <v>2</v>
      </c>
      <c r="E629" t="n">
        <v>47</v>
      </c>
    </row>
    <row r="630">
      <c r="A630" t="inlineStr">
        <is>
          <t>ED211546</t>
        </is>
      </c>
      <c r="B630" t="inlineStr">
        <is>
          <t>Bluestone Memorial</t>
        </is>
      </c>
      <c r="C630" s="32" t="n">
        <v>45982.79027777778</v>
      </c>
      <c r="D630" t="n">
        <v>4</v>
      </c>
      <c r="E630" t="n">
        <v>34</v>
      </c>
    </row>
    <row r="631">
      <c r="A631" t="inlineStr">
        <is>
          <t>ED211548</t>
        </is>
      </c>
      <c r="B631" t="inlineStr">
        <is>
          <t>Bluestone Memorial</t>
        </is>
      </c>
      <c r="C631" s="32" t="n">
        <v>45982.90277777778</v>
      </c>
      <c r="D631" t="n">
        <v>2</v>
      </c>
      <c r="E631" t="n">
        <v>46</v>
      </c>
    </row>
    <row r="632">
      <c r="A632" t="inlineStr">
        <is>
          <t>ED211549</t>
        </is>
      </c>
      <c r="B632" t="inlineStr">
        <is>
          <t>Bluestone Memorial</t>
        </is>
      </c>
      <c r="C632" s="32" t="n">
        <v>45982.91597222222</v>
      </c>
      <c r="D632" t="n">
        <v>3</v>
      </c>
      <c r="E632" t="n">
        <v>35</v>
      </c>
    </row>
    <row r="633">
      <c r="A633" t="inlineStr">
        <is>
          <t>ED211550</t>
        </is>
      </c>
      <c r="B633" t="inlineStr">
        <is>
          <t>Bluestone Memorial</t>
        </is>
      </c>
      <c r="C633" s="32" t="n">
        <v>45982.94097222222</v>
      </c>
      <c r="D633" t="n">
        <v>5</v>
      </c>
      <c r="E633" t="n">
        <v>49</v>
      </c>
    </row>
    <row r="634">
      <c r="A634" t="inlineStr">
        <is>
          <t>ED211552</t>
        </is>
      </c>
      <c r="B634" t="inlineStr">
        <is>
          <t>Bluestone Memorial</t>
        </is>
      </c>
      <c r="C634" s="32" t="n">
        <v>45983.15972222222</v>
      </c>
      <c r="D634" t="n">
        <v>2</v>
      </c>
      <c r="E634" t="n">
        <v>8</v>
      </c>
    </row>
    <row r="635">
      <c r="A635" t="inlineStr">
        <is>
          <t>ED211553</t>
        </is>
      </c>
      <c r="B635" t="inlineStr">
        <is>
          <t>Bluestone Memorial</t>
        </is>
      </c>
      <c r="C635" s="32" t="n">
        <v>45983.24861111111</v>
      </c>
      <c r="D635" t="n">
        <v>4</v>
      </c>
      <c r="E635" t="n">
        <v>12</v>
      </c>
    </row>
    <row r="636">
      <c r="A636" t="inlineStr">
        <is>
          <t>ED211554</t>
        </is>
      </c>
      <c r="B636" t="inlineStr">
        <is>
          <t>Bluestone Memorial</t>
        </is>
      </c>
      <c r="C636" s="32" t="n">
        <v>45983.34930555556</v>
      </c>
      <c r="D636" t="n">
        <v>2</v>
      </c>
      <c r="E636" t="n">
        <v>37</v>
      </c>
    </row>
    <row r="637">
      <c r="A637" t="inlineStr">
        <is>
          <t>ED211555</t>
        </is>
      </c>
      <c r="B637" t="inlineStr">
        <is>
          <t>Bluestone Memorial</t>
        </is>
      </c>
      <c r="C637" s="32" t="n">
        <v>45983.48333333333</v>
      </c>
      <c r="D637" t="n">
        <v>4</v>
      </c>
      <c r="E637" t="n">
        <v>64</v>
      </c>
    </row>
    <row r="638">
      <c r="A638" t="inlineStr">
        <is>
          <t>ED211556</t>
        </is>
      </c>
      <c r="B638" t="inlineStr">
        <is>
          <t>Bluestone Memorial</t>
        </is>
      </c>
      <c r="C638" s="32" t="n">
        <v>45983.54236111111</v>
      </c>
      <c r="D638" t="n">
        <v>3</v>
      </c>
      <c r="E638" t="n">
        <v>23</v>
      </c>
    </row>
    <row r="639">
      <c r="A639" t="inlineStr">
        <is>
          <t>ED211557</t>
        </is>
      </c>
      <c r="B639" t="inlineStr">
        <is>
          <t>Bluestone Memorial</t>
        </is>
      </c>
      <c r="C639" s="32" t="n">
        <v>45983.63055555556</v>
      </c>
      <c r="D639" t="n">
        <v>4</v>
      </c>
      <c r="E639" t="n">
        <v>129</v>
      </c>
    </row>
    <row r="640">
      <c r="A640" t="inlineStr">
        <is>
          <t>ED211559</t>
        </is>
      </c>
      <c r="B640" t="inlineStr">
        <is>
          <t>Bluestone Memorial</t>
        </is>
      </c>
      <c r="C640" s="32" t="n">
        <v>45983.79444444444</v>
      </c>
      <c r="D640" t="n">
        <v>3</v>
      </c>
      <c r="E640" t="n">
        <v>61</v>
      </c>
    </row>
    <row r="641">
      <c r="A641" t="inlineStr">
        <is>
          <t>ED211560</t>
        </is>
      </c>
      <c r="B641" t="inlineStr">
        <is>
          <t>Bluestone Memorial</t>
        </is>
      </c>
      <c r="C641" s="32" t="n">
        <v>45983.81041666667</v>
      </c>
      <c r="D641" t="n">
        <v>3</v>
      </c>
    </row>
    <row r="642">
      <c r="A642" t="inlineStr">
        <is>
          <t>ED211561</t>
        </is>
      </c>
      <c r="B642" t="inlineStr">
        <is>
          <t>Bluestone Memorial</t>
        </is>
      </c>
      <c r="C642" s="32" t="n">
        <v>45983.81805555556</v>
      </c>
      <c r="D642" t="n">
        <v>3</v>
      </c>
      <c r="E642" t="n">
        <v>100</v>
      </c>
    </row>
    <row r="643">
      <c r="A643" t="inlineStr">
        <is>
          <t>ED211562</t>
        </is>
      </c>
      <c r="B643" t="inlineStr">
        <is>
          <t>Bluestone Memorial</t>
        </is>
      </c>
      <c r="C643" s="32" t="n">
        <v>45983.88680555556</v>
      </c>
      <c r="D643" t="n">
        <v>2</v>
      </c>
      <c r="E643" t="n">
        <v>8</v>
      </c>
    </row>
    <row r="644">
      <c r="A644" t="inlineStr">
        <is>
          <t>ED211564</t>
        </is>
      </c>
      <c r="B644" t="inlineStr">
        <is>
          <t>Bluestone Memorial</t>
        </is>
      </c>
      <c r="C644" s="32" t="n">
        <v>45983.91597222222</v>
      </c>
      <c r="D644" t="n">
        <v>5</v>
      </c>
      <c r="E644" t="n">
        <v>132</v>
      </c>
    </row>
    <row r="645">
      <c r="A645" t="inlineStr">
        <is>
          <t>ED211565</t>
        </is>
      </c>
      <c r="B645" t="inlineStr">
        <is>
          <t>Bluestone Memorial</t>
        </is>
      </c>
      <c r="C645" s="32" t="n">
        <v>45984.28611111111</v>
      </c>
      <c r="D645" t="n">
        <v>5</v>
      </c>
      <c r="E645" t="n">
        <v>45</v>
      </c>
    </row>
    <row r="646">
      <c r="A646" t="inlineStr">
        <is>
          <t>ED211566</t>
        </is>
      </c>
      <c r="B646" t="inlineStr">
        <is>
          <t>Bluestone Memorial</t>
        </is>
      </c>
      <c r="C646" s="32" t="n">
        <v>45984.44513888889</v>
      </c>
      <c r="D646" t="n">
        <v>2</v>
      </c>
      <c r="E646" t="n">
        <v>86</v>
      </c>
    </row>
    <row r="647">
      <c r="A647" t="inlineStr">
        <is>
          <t>ED211568</t>
        </is>
      </c>
      <c r="B647" t="inlineStr">
        <is>
          <t>Bluestone Memorial</t>
        </is>
      </c>
      <c r="C647" s="32" t="n">
        <v>45984.55208333334</v>
      </c>
      <c r="D647" t="n">
        <v>3</v>
      </c>
      <c r="E647" t="n">
        <v>32</v>
      </c>
    </row>
    <row r="648">
      <c r="A648" t="inlineStr">
        <is>
          <t>ED211570</t>
        </is>
      </c>
      <c r="B648" t="inlineStr">
        <is>
          <t>Bluestone Memorial</t>
        </is>
      </c>
      <c r="C648" s="32" t="n">
        <v>45984.64444444444</v>
      </c>
      <c r="D648" t="n">
        <v>2</v>
      </c>
      <c r="E648" t="n">
        <v>12</v>
      </c>
    </row>
    <row r="649">
      <c r="A649" t="inlineStr">
        <is>
          <t>ED211571</t>
        </is>
      </c>
      <c r="B649" t="inlineStr">
        <is>
          <t>Bluestone Memorial</t>
        </is>
      </c>
      <c r="C649" s="32" t="n">
        <v>45984.65555555555</v>
      </c>
      <c r="D649" t="n">
        <v>3</v>
      </c>
      <c r="E649" t="n">
        <v>81</v>
      </c>
    </row>
    <row r="650">
      <c r="A650" t="inlineStr">
        <is>
          <t>ED211574</t>
        </is>
      </c>
      <c r="B650" t="inlineStr">
        <is>
          <t>Bluestone Memorial</t>
        </is>
      </c>
      <c r="C650" s="32" t="n">
        <v>45984.69583333333</v>
      </c>
      <c r="D650" t="n">
        <v>2</v>
      </c>
      <c r="E650" t="n">
        <v>19</v>
      </c>
    </row>
    <row r="651">
      <c r="A651" t="inlineStr">
        <is>
          <t>ED211577</t>
        </is>
      </c>
      <c r="B651" t="inlineStr">
        <is>
          <t>Bluestone Memorial</t>
        </is>
      </c>
      <c r="C651" s="32" t="n">
        <v>45984.85277777778</v>
      </c>
      <c r="D651" t="n">
        <v>2</v>
      </c>
      <c r="E651" t="n">
        <v>21</v>
      </c>
    </row>
    <row r="652">
      <c r="A652" t="inlineStr">
        <is>
          <t>ED211578</t>
        </is>
      </c>
      <c r="B652" t="inlineStr">
        <is>
          <t>Bluestone Memorial</t>
        </is>
      </c>
      <c r="C652" s="32" t="n">
        <v>45984.88472222222</v>
      </c>
      <c r="D652" t="n">
        <v>3</v>
      </c>
      <c r="E652" t="n">
        <v>41</v>
      </c>
    </row>
    <row r="653">
      <c r="A653" t="inlineStr">
        <is>
          <t>ED211579</t>
        </is>
      </c>
      <c r="B653" t="inlineStr">
        <is>
          <t>Bluestone Memorial</t>
        </is>
      </c>
      <c r="C653" s="32" t="n">
        <v>45984.94027777778</v>
      </c>
      <c r="D653" t="n">
        <v>3</v>
      </c>
      <c r="E653" t="n">
        <v>14</v>
      </c>
    </row>
    <row r="654">
      <c r="A654" t="inlineStr">
        <is>
          <t>ED211581</t>
        </is>
      </c>
      <c r="B654" t="inlineStr">
        <is>
          <t>Bluestone Memorial</t>
        </is>
      </c>
      <c r="C654" s="32" t="n">
        <v>45985.04652777778</v>
      </c>
      <c r="D654" t="n">
        <v>4</v>
      </c>
      <c r="E654" t="n">
        <v>57</v>
      </c>
    </row>
    <row r="655">
      <c r="A655" t="inlineStr">
        <is>
          <t>ED211582</t>
        </is>
      </c>
      <c r="B655" t="inlineStr">
        <is>
          <t>Bluestone Memorial</t>
        </is>
      </c>
      <c r="C655" s="32" t="n">
        <v>45985.04722222222</v>
      </c>
      <c r="D655" t="n">
        <v>2</v>
      </c>
      <c r="E655" t="n">
        <v>43</v>
      </c>
    </row>
    <row r="656">
      <c r="A656" t="inlineStr">
        <is>
          <t>ED211583</t>
        </is>
      </c>
      <c r="B656" t="inlineStr">
        <is>
          <t>Bluestone Memorial</t>
        </is>
      </c>
      <c r="C656" s="32" t="n">
        <v>45985.13194444445</v>
      </c>
      <c r="D656" t="n">
        <v>4</v>
      </c>
      <c r="E656" t="n">
        <v>45</v>
      </c>
    </row>
    <row r="657">
      <c r="A657" t="inlineStr">
        <is>
          <t>ED211584</t>
        </is>
      </c>
      <c r="B657" t="inlineStr">
        <is>
          <t>Bluestone Memorial</t>
        </is>
      </c>
      <c r="C657" s="32" t="n">
        <v>45985.14444444444</v>
      </c>
      <c r="D657" t="n">
        <v>3</v>
      </c>
      <c r="E657" t="n">
        <v>16</v>
      </c>
    </row>
    <row r="658">
      <c r="A658" t="inlineStr">
        <is>
          <t>ED211586</t>
        </is>
      </c>
      <c r="B658" t="inlineStr">
        <is>
          <t>Bluestone Memorial</t>
        </is>
      </c>
      <c r="C658" s="32" t="n">
        <v>45985.30347222222</v>
      </c>
      <c r="D658" t="n">
        <v>4</v>
      </c>
      <c r="E658" t="n">
        <v>43</v>
      </c>
    </row>
    <row r="659">
      <c r="A659" t="inlineStr">
        <is>
          <t>ED211587</t>
        </is>
      </c>
      <c r="B659" t="inlineStr">
        <is>
          <t>Bluestone Memorial</t>
        </is>
      </c>
      <c r="C659" s="32" t="n">
        <v>45985.39236111111</v>
      </c>
      <c r="D659" t="n">
        <v>5</v>
      </c>
      <c r="E659" t="n">
        <v>36</v>
      </c>
    </row>
    <row r="660">
      <c r="A660" t="inlineStr">
        <is>
          <t>ED211588</t>
        </is>
      </c>
      <c r="B660" t="inlineStr">
        <is>
          <t>Bluestone Memorial</t>
        </is>
      </c>
      <c r="C660" s="32" t="n">
        <v>45985.4</v>
      </c>
      <c r="D660" t="n">
        <v>3</v>
      </c>
      <c r="E660" t="n">
        <v>61</v>
      </c>
    </row>
    <row r="661">
      <c r="A661" t="inlineStr">
        <is>
          <t>ED211592</t>
        </is>
      </c>
      <c r="B661" t="inlineStr">
        <is>
          <t>Bluestone Memorial</t>
        </is>
      </c>
      <c r="C661" s="32" t="n">
        <v>45985.64791666667</v>
      </c>
      <c r="D661" t="n">
        <v>3</v>
      </c>
      <c r="E661" t="n">
        <v>45</v>
      </c>
    </row>
    <row r="662">
      <c r="A662" t="inlineStr">
        <is>
          <t>ED211593</t>
        </is>
      </c>
      <c r="B662" t="inlineStr">
        <is>
          <t>Bluestone Memorial</t>
        </is>
      </c>
      <c r="C662" s="32" t="n">
        <v>45985.66111111111</v>
      </c>
      <c r="D662" t="n">
        <v>3</v>
      </c>
      <c r="E662" t="n">
        <v>55</v>
      </c>
    </row>
    <row r="663">
      <c r="A663" t="inlineStr">
        <is>
          <t>ED211594</t>
        </is>
      </c>
      <c r="B663" t="inlineStr">
        <is>
          <t>Bluestone Memorial</t>
        </is>
      </c>
      <c r="C663" s="32" t="n">
        <v>45985.68541666667</v>
      </c>
      <c r="D663" t="n">
        <v>4</v>
      </c>
      <c r="E663" t="n">
        <v>276</v>
      </c>
    </row>
    <row r="664">
      <c r="A664" t="inlineStr">
        <is>
          <t>ED211598</t>
        </is>
      </c>
      <c r="B664" t="inlineStr">
        <is>
          <t>Bluestone Memorial</t>
        </is>
      </c>
      <c r="C664" s="32" t="n">
        <v>45985.77152777778</v>
      </c>
      <c r="D664" t="n">
        <v>3</v>
      </c>
      <c r="E664" t="n">
        <v>50</v>
      </c>
    </row>
    <row r="665">
      <c r="A665" t="inlineStr">
        <is>
          <t>ED211599</t>
        </is>
      </c>
      <c r="B665" t="inlineStr">
        <is>
          <t>Bluestone Memorial</t>
        </is>
      </c>
      <c r="C665" s="32" t="n">
        <v>45986.00555555556</v>
      </c>
      <c r="D665" t="n">
        <v>4</v>
      </c>
      <c r="E665" t="n">
        <v>86</v>
      </c>
    </row>
    <row r="666">
      <c r="A666" t="inlineStr">
        <is>
          <t>ED211601</t>
        </is>
      </c>
      <c r="B666" t="inlineStr">
        <is>
          <t>Bluestone Memorial</t>
        </is>
      </c>
      <c r="C666" s="32" t="n">
        <v>45986.3375</v>
      </c>
      <c r="D666" t="n">
        <v>1</v>
      </c>
      <c r="E666" t="n">
        <v>3</v>
      </c>
    </row>
    <row r="667">
      <c r="A667" t="inlineStr">
        <is>
          <t>ED211603</t>
        </is>
      </c>
      <c r="B667" t="inlineStr">
        <is>
          <t>Bluestone Memorial</t>
        </is>
      </c>
      <c r="C667" s="32" t="n">
        <v>45986.36041666667</v>
      </c>
      <c r="D667" t="n">
        <v>2</v>
      </c>
      <c r="E667" t="n">
        <v>35</v>
      </c>
    </row>
    <row r="668">
      <c r="A668" t="inlineStr">
        <is>
          <t>ED211604</t>
        </is>
      </c>
      <c r="B668" t="inlineStr">
        <is>
          <t>Bluestone Memorial</t>
        </is>
      </c>
      <c r="C668" s="32" t="n">
        <v>45986.42708333334</v>
      </c>
      <c r="D668" t="n">
        <v>3</v>
      </c>
      <c r="E668" t="n">
        <v>18</v>
      </c>
    </row>
    <row r="669">
      <c r="A669" t="inlineStr">
        <is>
          <t>ED211606</t>
        </is>
      </c>
      <c r="B669" t="inlineStr">
        <is>
          <t>Bluestone Memorial</t>
        </is>
      </c>
      <c r="C669" s="32" t="n">
        <v>45986.43541666667</v>
      </c>
      <c r="D669" t="n">
        <v>4</v>
      </c>
      <c r="E669" t="n">
        <v>89</v>
      </c>
    </row>
    <row r="670">
      <c r="A670" t="inlineStr">
        <is>
          <t>ED211609</t>
        </is>
      </c>
      <c r="B670" t="inlineStr">
        <is>
          <t>Bluestone Memorial</t>
        </is>
      </c>
      <c r="C670" s="32" t="n">
        <v>45986.49791666667</v>
      </c>
      <c r="D670" t="n">
        <v>1</v>
      </c>
      <c r="E670" t="n">
        <v>3</v>
      </c>
    </row>
    <row r="671">
      <c r="A671" t="inlineStr">
        <is>
          <t>ED211610</t>
        </is>
      </c>
      <c r="B671" t="inlineStr">
        <is>
          <t>Bluestone Memorial</t>
        </is>
      </c>
      <c r="C671" s="32" t="n">
        <v>45986.53194444445</v>
      </c>
      <c r="D671" t="n">
        <v>3</v>
      </c>
      <c r="E671" t="n">
        <v>96</v>
      </c>
    </row>
    <row r="672">
      <c r="A672" t="inlineStr">
        <is>
          <t>ED211611</t>
        </is>
      </c>
      <c r="B672" t="inlineStr">
        <is>
          <t>Bluestone Memorial</t>
        </is>
      </c>
      <c r="C672" s="32" t="n">
        <v>45986.53472222222</v>
      </c>
      <c r="D672" t="n">
        <v>3</v>
      </c>
      <c r="E672" t="n">
        <v>92</v>
      </c>
    </row>
    <row r="673">
      <c r="A673" t="inlineStr">
        <is>
          <t>ED211613</t>
        </is>
      </c>
      <c r="B673" t="inlineStr">
        <is>
          <t>Bluestone Memorial</t>
        </is>
      </c>
      <c r="C673" s="32" t="n">
        <v>45986.72013888889</v>
      </c>
      <c r="D673" t="n">
        <v>2</v>
      </c>
      <c r="E673" t="n">
        <v>10</v>
      </c>
    </row>
    <row r="674">
      <c r="A674" t="inlineStr">
        <is>
          <t>ED211614</t>
        </is>
      </c>
      <c r="B674" t="inlineStr">
        <is>
          <t>Bluestone Memorial</t>
        </is>
      </c>
      <c r="C674" s="32" t="n">
        <v>45986.81736111111</v>
      </c>
      <c r="D674" t="n">
        <v>4</v>
      </c>
      <c r="E674" t="n">
        <v>26</v>
      </c>
    </row>
    <row r="675">
      <c r="A675" t="inlineStr">
        <is>
          <t>ED211615</t>
        </is>
      </c>
      <c r="B675" t="inlineStr">
        <is>
          <t>Bluestone Memorial</t>
        </is>
      </c>
      <c r="C675" s="32" t="n">
        <v>45986.92708333334</v>
      </c>
      <c r="D675" t="n">
        <v>2</v>
      </c>
      <c r="E675" t="n">
        <v>32</v>
      </c>
    </row>
    <row r="676">
      <c r="A676" t="inlineStr">
        <is>
          <t>ED211618</t>
        </is>
      </c>
      <c r="B676" t="inlineStr">
        <is>
          <t>Bluestone Memorial</t>
        </is>
      </c>
      <c r="C676" s="32" t="n">
        <v>45987.575</v>
      </c>
      <c r="D676" t="n">
        <v>3</v>
      </c>
      <c r="E676" t="n">
        <v>119</v>
      </c>
    </row>
    <row r="677">
      <c r="A677" t="inlineStr">
        <is>
          <t>ED211619</t>
        </is>
      </c>
      <c r="B677" t="inlineStr">
        <is>
          <t>Bluestone Memorial</t>
        </is>
      </c>
      <c r="C677" s="32" t="n">
        <v>45987.60138888889</v>
      </c>
      <c r="D677" t="n">
        <v>2</v>
      </c>
      <c r="E677" t="n">
        <v>49</v>
      </c>
    </row>
    <row r="678">
      <c r="A678" t="inlineStr">
        <is>
          <t>ED211620</t>
        </is>
      </c>
      <c r="B678" t="inlineStr">
        <is>
          <t>Bluestone Memorial</t>
        </is>
      </c>
      <c r="C678" s="32" t="n">
        <v>45987.60972222222</v>
      </c>
      <c r="D678" t="n">
        <v>2</v>
      </c>
      <c r="E678" t="n">
        <v>40</v>
      </c>
    </row>
    <row r="679">
      <c r="A679" t="inlineStr">
        <is>
          <t>ED211622</t>
        </is>
      </c>
      <c r="B679" t="inlineStr">
        <is>
          <t>Bluestone Memorial</t>
        </is>
      </c>
      <c r="C679" s="32" t="n">
        <v>45987.71666666667</v>
      </c>
      <c r="D679" t="n">
        <v>3</v>
      </c>
      <c r="E679" t="n">
        <v>44</v>
      </c>
    </row>
    <row r="680">
      <c r="A680" t="inlineStr">
        <is>
          <t>ED211623</t>
        </is>
      </c>
      <c r="B680" t="inlineStr">
        <is>
          <t>Bluestone Memorial</t>
        </is>
      </c>
      <c r="C680" s="32" t="n">
        <v>45987.83680555555</v>
      </c>
      <c r="D680" t="n">
        <v>2</v>
      </c>
      <c r="E680" t="n">
        <v>42</v>
      </c>
    </row>
    <row r="681">
      <c r="A681" t="inlineStr">
        <is>
          <t>ED211624</t>
        </is>
      </c>
      <c r="B681" t="inlineStr">
        <is>
          <t>Bluestone Memorial</t>
        </is>
      </c>
      <c r="C681" s="32" t="n">
        <v>45987.95902777778</v>
      </c>
      <c r="D681" t="n">
        <v>5</v>
      </c>
      <c r="E681" t="n">
        <v>26</v>
      </c>
    </row>
    <row r="682">
      <c r="A682" t="inlineStr">
        <is>
          <t>ED211626</t>
        </is>
      </c>
      <c r="B682" t="inlineStr">
        <is>
          <t>Bluestone Memorial</t>
        </is>
      </c>
      <c r="C682" s="32" t="n">
        <v>45988.15416666667</v>
      </c>
      <c r="D682" t="n">
        <v>3</v>
      </c>
      <c r="E682" t="n">
        <v>27</v>
      </c>
    </row>
    <row r="683">
      <c r="A683" t="inlineStr">
        <is>
          <t>ED211627</t>
        </is>
      </c>
      <c r="B683" t="inlineStr">
        <is>
          <t>Bluestone Memorial</t>
        </is>
      </c>
      <c r="C683" s="32" t="n">
        <v>45988.225</v>
      </c>
      <c r="D683" t="n">
        <v>1</v>
      </c>
      <c r="E683" t="n">
        <v>4</v>
      </c>
    </row>
    <row r="684">
      <c r="A684" t="inlineStr">
        <is>
          <t>ED211628</t>
        </is>
      </c>
      <c r="B684" t="inlineStr">
        <is>
          <t>Bluestone Memorial</t>
        </is>
      </c>
      <c r="C684" s="32" t="n">
        <v>45988.29166666666</v>
      </c>
      <c r="D684" t="n">
        <v>2</v>
      </c>
      <c r="E684" t="n">
        <v>9</v>
      </c>
    </row>
    <row r="685">
      <c r="A685" t="inlineStr">
        <is>
          <t>ED211629</t>
        </is>
      </c>
      <c r="B685" t="inlineStr">
        <is>
          <t>Bluestone Memorial</t>
        </is>
      </c>
      <c r="C685" s="32" t="n">
        <v>45988.34791666667</v>
      </c>
      <c r="D685" t="n">
        <v>4</v>
      </c>
      <c r="E685" t="n">
        <v>43</v>
      </c>
    </row>
    <row r="686">
      <c r="A686" t="inlineStr">
        <is>
          <t>ED211630</t>
        </is>
      </c>
      <c r="B686" t="inlineStr">
        <is>
          <t>Bluestone Memorial</t>
        </is>
      </c>
      <c r="C686" s="32" t="n">
        <v>45988.56597222222</v>
      </c>
      <c r="D686" t="n">
        <v>3</v>
      </c>
      <c r="E686" t="n">
        <v>14</v>
      </c>
    </row>
    <row r="687">
      <c r="A687" t="inlineStr">
        <is>
          <t>ED211632</t>
        </is>
      </c>
      <c r="B687" t="inlineStr">
        <is>
          <t>Bluestone Memorial</t>
        </is>
      </c>
      <c r="C687" s="32" t="n">
        <v>45988.63958333333</v>
      </c>
      <c r="D687" t="n">
        <v>3</v>
      </c>
      <c r="E687" t="n">
        <v>32</v>
      </c>
    </row>
    <row r="688">
      <c r="A688" t="inlineStr">
        <is>
          <t>ED211634</t>
        </is>
      </c>
      <c r="B688" t="inlineStr">
        <is>
          <t>Bluestone Memorial</t>
        </is>
      </c>
      <c r="C688" s="32" t="n">
        <v>45988.67291666667</v>
      </c>
      <c r="D688" t="n">
        <v>3</v>
      </c>
      <c r="E688" t="n">
        <v>57</v>
      </c>
    </row>
    <row r="689">
      <c r="A689" t="inlineStr">
        <is>
          <t>ED211635</t>
        </is>
      </c>
      <c r="B689" t="inlineStr">
        <is>
          <t>Bluestone Memorial</t>
        </is>
      </c>
      <c r="C689" s="32" t="n">
        <v>45988.71041666667</v>
      </c>
      <c r="D689" t="n">
        <v>3</v>
      </c>
      <c r="E689" t="n">
        <v>33</v>
      </c>
    </row>
    <row r="690">
      <c r="A690" t="inlineStr">
        <is>
          <t>ED211636</t>
        </is>
      </c>
      <c r="B690" t="inlineStr">
        <is>
          <t>Bluestone Memorial</t>
        </is>
      </c>
      <c r="C690" s="32" t="n">
        <v>45988.77013888889</v>
      </c>
      <c r="D690" t="n">
        <v>2</v>
      </c>
      <c r="E690" t="n">
        <v>61</v>
      </c>
    </row>
    <row r="691">
      <c r="A691" t="inlineStr">
        <is>
          <t>ED211637</t>
        </is>
      </c>
      <c r="B691" t="inlineStr">
        <is>
          <t>Bluestone Memorial</t>
        </is>
      </c>
      <c r="C691" s="32" t="n">
        <v>45988.78125</v>
      </c>
      <c r="D691" t="n">
        <v>3</v>
      </c>
      <c r="E691" t="n">
        <v>106</v>
      </c>
    </row>
    <row r="692">
      <c r="A692" t="inlineStr">
        <is>
          <t>ED211638</t>
        </is>
      </c>
      <c r="B692" t="inlineStr">
        <is>
          <t>Bluestone Memorial</t>
        </is>
      </c>
      <c r="C692" s="32" t="n">
        <v>45988.78611111111</v>
      </c>
      <c r="D692" t="n">
        <v>3</v>
      </c>
      <c r="E692" t="n">
        <v>55</v>
      </c>
    </row>
    <row r="693">
      <c r="A693" t="inlineStr">
        <is>
          <t>ED211639</t>
        </is>
      </c>
      <c r="B693" t="inlineStr">
        <is>
          <t>Bluestone Memorial</t>
        </is>
      </c>
      <c r="C693" s="32" t="n">
        <v>45988.81388888889</v>
      </c>
      <c r="D693" t="n">
        <v>3</v>
      </c>
      <c r="E693" t="n">
        <v>17</v>
      </c>
    </row>
    <row r="694">
      <c r="A694" t="inlineStr">
        <is>
          <t>ED211640</t>
        </is>
      </c>
      <c r="B694" t="inlineStr">
        <is>
          <t>Bluestone Memorial</t>
        </is>
      </c>
      <c r="C694" s="32" t="n">
        <v>45988.89513888889</v>
      </c>
      <c r="D694" t="n">
        <v>5</v>
      </c>
      <c r="E694" t="n">
        <v>120</v>
      </c>
    </row>
    <row r="695">
      <c r="A695" t="inlineStr">
        <is>
          <t>ED211642</t>
        </is>
      </c>
      <c r="B695" t="inlineStr">
        <is>
          <t>Bluestone Memorial</t>
        </is>
      </c>
      <c r="C695" s="32" t="n">
        <v>45988.90208333333</v>
      </c>
      <c r="D695" t="n">
        <v>3</v>
      </c>
      <c r="E695" t="n">
        <v>25</v>
      </c>
    </row>
    <row r="696">
      <c r="A696" t="inlineStr">
        <is>
          <t>ED211643</t>
        </is>
      </c>
      <c r="B696" t="inlineStr">
        <is>
          <t>Bluestone Memorial</t>
        </is>
      </c>
      <c r="C696" s="32" t="n">
        <v>45988.92777777778</v>
      </c>
      <c r="D696" t="n">
        <v>5</v>
      </c>
      <c r="E696" t="n">
        <v>18</v>
      </c>
    </row>
    <row r="697">
      <c r="A697" t="inlineStr">
        <is>
          <t>ED211644</t>
        </is>
      </c>
      <c r="B697" t="inlineStr">
        <is>
          <t>Bluestone Memorial</t>
        </is>
      </c>
      <c r="C697" s="32" t="n">
        <v>45989.05902777778</v>
      </c>
      <c r="D697" t="n">
        <v>5</v>
      </c>
      <c r="E697" t="n">
        <v>37</v>
      </c>
    </row>
    <row r="698">
      <c r="A698" t="inlineStr">
        <is>
          <t>ED211645</t>
        </is>
      </c>
      <c r="B698" t="inlineStr">
        <is>
          <t>Bluestone Memorial</t>
        </is>
      </c>
      <c r="C698" s="32" t="n">
        <v>45989.06875</v>
      </c>
      <c r="D698" t="n">
        <v>5</v>
      </c>
      <c r="E698" t="n">
        <v>35</v>
      </c>
    </row>
    <row r="699">
      <c r="A699" t="inlineStr">
        <is>
          <t>ED211646</t>
        </is>
      </c>
      <c r="B699" t="inlineStr">
        <is>
          <t>Bluestone Memorial</t>
        </is>
      </c>
      <c r="C699" s="32" t="n">
        <v>45989.16944444444</v>
      </c>
      <c r="D699" t="n">
        <v>1</v>
      </c>
      <c r="E699" t="n">
        <v>2</v>
      </c>
    </row>
    <row r="700">
      <c r="A700" t="inlineStr">
        <is>
          <t>ED211647</t>
        </is>
      </c>
      <c r="B700" t="inlineStr">
        <is>
          <t>Bluestone Memorial</t>
        </is>
      </c>
      <c r="C700" s="32" t="n">
        <v>45989.24375</v>
      </c>
      <c r="D700" t="n">
        <v>2</v>
      </c>
      <c r="E700" t="n">
        <v>18</v>
      </c>
    </row>
    <row r="701">
      <c r="A701" t="inlineStr">
        <is>
          <t>ED211648</t>
        </is>
      </c>
      <c r="B701" t="inlineStr">
        <is>
          <t>Bluestone Memorial</t>
        </is>
      </c>
      <c r="C701" s="32" t="n">
        <v>45989.43333333333</v>
      </c>
      <c r="D701" t="n">
        <v>5</v>
      </c>
      <c r="E701" t="n">
        <v>99</v>
      </c>
    </row>
    <row r="702">
      <c r="A702" t="inlineStr">
        <is>
          <t>ED211649</t>
        </is>
      </c>
      <c r="B702" t="inlineStr">
        <is>
          <t>Bluestone Memorial</t>
        </is>
      </c>
      <c r="C702" s="32" t="n">
        <v>45989.43680555555</v>
      </c>
      <c r="D702" t="n">
        <v>3</v>
      </c>
      <c r="E702" t="n">
        <v>31</v>
      </c>
    </row>
    <row r="703">
      <c r="A703" t="inlineStr">
        <is>
          <t>ED211652</t>
        </is>
      </c>
      <c r="B703" t="inlineStr">
        <is>
          <t>Bluestone Memorial</t>
        </is>
      </c>
      <c r="C703" s="32" t="n">
        <v>45989.57569444444</v>
      </c>
      <c r="D703" t="n">
        <v>4</v>
      </c>
      <c r="E703" t="n">
        <v>76</v>
      </c>
    </row>
    <row r="704">
      <c r="A704" t="inlineStr">
        <is>
          <t>ED211653</t>
        </is>
      </c>
      <c r="B704" t="inlineStr">
        <is>
          <t>Bluestone Memorial</t>
        </is>
      </c>
      <c r="C704" s="32" t="n">
        <v>45989.63472222222</v>
      </c>
      <c r="D704" t="n">
        <v>2</v>
      </c>
      <c r="E704" t="n">
        <v>59</v>
      </c>
    </row>
    <row r="705">
      <c r="A705" t="inlineStr">
        <is>
          <t>ED211654</t>
        </is>
      </c>
      <c r="B705" t="inlineStr">
        <is>
          <t>Bluestone Memorial</t>
        </is>
      </c>
      <c r="C705" s="32" t="n">
        <v>45989.67222222222</v>
      </c>
      <c r="D705" t="n">
        <v>2</v>
      </c>
      <c r="E705" t="n">
        <v>36</v>
      </c>
    </row>
    <row r="706">
      <c r="A706" t="inlineStr">
        <is>
          <t>ED211655</t>
        </is>
      </c>
      <c r="B706" t="inlineStr">
        <is>
          <t>Bluestone Memorial</t>
        </is>
      </c>
      <c r="C706" s="32" t="n">
        <v>45989.67430555556</v>
      </c>
      <c r="D706" t="n">
        <v>3</v>
      </c>
      <c r="E706" t="n">
        <v>63</v>
      </c>
    </row>
    <row r="707">
      <c r="A707" t="inlineStr">
        <is>
          <t>ED211657</t>
        </is>
      </c>
      <c r="B707" t="inlineStr">
        <is>
          <t>Bluestone Memorial</t>
        </is>
      </c>
      <c r="C707" s="32" t="n">
        <v>45989.72083333333</v>
      </c>
      <c r="D707" t="n">
        <v>3</v>
      </c>
      <c r="E707" t="n">
        <v>18</v>
      </c>
    </row>
    <row r="708">
      <c r="A708" t="inlineStr">
        <is>
          <t>ED211658</t>
        </is>
      </c>
      <c r="B708" t="inlineStr">
        <is>
          <t>Bluestone Memorial</t>
        </is>
      </c>
      <c r="C708" s="32" t="n">
        <v>45989.74166666667</v>
      </c>
      <c r="D708" t="n">
        <v>2</v>
      </c>
      <c r="E708" t="n">
        <v>25</v>
      </c>
    </row>
    <row r="709">
      <c r="A709" t="inlineStr">
        <is>
          <t>ED211660</t>
        </is>
      </c>
      <c r="B709" t="inlineStr">
        <is>
          <t>Bluestone Memorial</t>
        </is>
      </c>
      <c r="C709" s="32" t="n">
        <v>45989.79513888889</v>
      </c>
      <c r="D709" t="n">
        <v>3</v>
      </c>
      <c r="E709" t="n">
        <v>34</v>
      </c>
    </row>
    <row r="710">
      <c r="A710" t="inlineStr">
        <is>
          <t>ED211661</t>
        </is>
      </c>
      <c r="B710" t="inlineStr">
        <is>
          <t>Bluestone Memorial</t>
        </is>
      </c>
      <c r="C710" s="32" t="n">
        <v>45989.82777777778</v>
      </c>
      <c r="D710" t="n">
        <v>2</v>
      </c>
      <c r="E710" t="n">
        <v>22</v>
      </c>
    </row>
    <row r="711">
      <c r="A711" t="inlineStr">
        <is>
          <t>ED211664</t>
        </is>
      </c>
      <c r="B711" t="inlineStr">
        <is>
          <t>Bluestone Memorial</t>
        </is>
      </c>
      <c r="C711" s="32" t="n">
        <v>45990.29722222222</v>
      </c>
      <c r="D711" t="n">
        <v>3</v>
      </c>
      <c r="E711" t="n">
        <v>41</v>
      </c>
    </row>
    <row r="712">
      <c r="A712" t="inlineStr">
        <is>
          <t>ED211665</t>
        </is>
      </c>
      <c r="B712" t="inlineStr">
        <is>
          <t>Bluestone Memorial</t>
        </is>
      </c>
      <c r="C712" s="32" t="n">
        <v>45990.36875</v>
      </c>
      <c r="D712" t="n">
        <v>4</v>
      </c>
      <c r="E712" t="n">
        <v>39</v>
      </c>
    </row>
    <row r="713">
      <c r="A713" t="inlineStr">
        <is>
          <t>ED211666</t>
        </is>
      </c>
      <c r="B713" t="inlineStr">
        <is>
          <t>Bluestone Memorial</t>
        </is>
      </c>
      <c r="C713" s="32" t="n">
        <v>45990.40902777778</v>
      </c>
      <c r="D713" t="n">
        <v>3</v>
      </c>
      <c r="E713" t="n">
        <v>32</v>
      </c>
    </row>
    <row r="714">
      <c r="A714" t="inlineStr">
        <is>
          <t>ED211667</t>
        </is>
      </c>
      <c r="B714" t="inlineStr">
        <is>
          <t>Bluestone Memorial</t>
        </is>
      </c>
      <c r="C714" s="32" t="n">
        <v>45990.42986111111</v>
      </c>
      <c r="D714" t="n">
        <v>3</v>
      </c>
      <c r="E714" t="n">
        <v>10</v>
      </c>
    </row>
    <row r="715">
      <c r="A715" t="inlineStr">
        <is>
          <t>ED211668</t>
        </is>
      </c>
      <c r="B715" t="inlineStr">
        <is>
          <t>Bluestone Memorial</t>
        </is>
      </c>
      <c r="C715" s="32" t="n">
        <v>45990.43125</v>
      </c>
      <c r="D715" t="n">
        <v>3</v>
      </c>
      <c r="E715" t="n">
        <v>33</v>
      </c>
    </row>
    <row r="716">
      <c r="A716" t="inlineStr">
        <is>
          <t>ED211670</t>
        </is>
      </c>
      <c r="B716" t="inlineStr">
        <is>
          <t>Bluestone Memorial</t>
        </is>
      </c>
      <c r="C716" s="32" t="n">
        <v>45990.45416666667</v>
      </c>
      <c r="D716" t="n">
        <v>3</v>
      </c>
      <c r="E716" t="n">
        <v>22</v>
      </c>
    </row>
    <row r="717">
      <c r="A717" t="inlineStr">
        <is>
          <t>ED211674</t>
        </is>
      </c>
      <c r="B717" t="inlineStr">
        <is>
          <t>Bluestone Memorial</t>
        </is>
      </c>
      <c r="C717" s="32" t="n">
        <v>45990.74930555555</v>
      </c>
      <c r="D717" t="n">
        <v>3</v>
      </c>
      <c r="E717" t="n">
        <v>45</v>
      </c>
    </row>
    <row r="718">
      <c r="A718" t="inlineStr">
        <is>
          <t>ED211675</t>
        </is>
      </c>
      <c r="B718" t="inlineStr">
        <is>
          <t>Bluestone Memorial</t>
        </is>
      </c>
      <c r="C718" s="32" t="n">
        <v>45990.78194444445</v>
      </c>
      <c r="D718" t="n">
        <v>3</v>
      </c>
      <c r="E718" t="n">
        <v>36</v>
      </c>
    </row>
    <row r="719">
      <c r="A719" t="inlineStr">
        <is>
          <t>ED211676</t>
        </is>
      </c>
      <c r="B719" t="inlineStr">
        <is>
          <t>Bluestone Memorial</t>
        </is>
      </c>
      <c r="C719" s="32" t="n">
        <v>45990.79861111111</v>
      </c>
      <c r="D719" t="n">
        <v>4</v>
      </c>
      <c r="E719" t="n">
        <v>106</v>
      </c>
    </row>
    <row r="720">
      <c r="A720" t="inlineStr">
        <is>
          <t>ED211677</t>
        </is>
      </c>
      <c r="B720" t="inlineStr">
        <is>
          <t>Bluestone Memorial</t>
        </is>
      </c>
      <c r="C720" s="32" t="n">
        <v>45990.84722222222</v>
      </c>
      <c r="D720" t="n">
        <v>5</v>
      </c>
      <c r="E720" t="n">
        <v>134</v>
      </c>
    </row>
    <row r="721">
      <c r="A721" t="inlineStr">
        <is>
          <t>ED211678</t>
        </is>
      </c>
      <c r="B721" t="inlineStr">
        <is>
          <t>Bluestone Memorial</t>
        </is>
      </c>
      <c r="C721" s="32" t="n">
        <v>45990.99513888889</v>
      </c>
      <c r="D721" t="n">
        <v>3</v>
      </c>
      <c r="E721" t="n">
        <v>19</v>
      </c>
    </row>
    <row r="722">
      <c r="A722" t="inlineStr">
        <is>
          <t>ED211679</t>
        </is>
      </c>
      <c r="B722" t="inlineStr">
        <is>
          <t>Bluestone Memorial</t>
        </is>
      </c>
      <c r="C722" s="32" t="n">
        <v>45991.15555555555</v>
      </c>
      <c r="D722" t="n">
        <v>4</v>
      </c>
      <c r="E722" t="n">
        <v>29</v>
      </c>
    </row>
    <row r="723">
      <c r="A723" t="inlineStr">
        <is>
          <t>ED211681</t>
        </is>
      </c>
      <c r="B723" t="inlineStr">
        <is>
          <t>Bluestone Memorial</t>
        </is>
      </c>
      <c r="C723" s="32" t="n">
        <v>45991.28958333333</v>
      </c>
      <c r="D723" t="n">
        <v>3</v>
      </c>
      <c r="E723" t="n">
        <v>31</v>
      </c>
    </row>
    <row r="724">
      <c r="A724" t="inlineStr">
        <is>
          <t>ED211682</t>
        </is>
      </c>
      <c r="B724" t="inlineStr">
        <is>
          <t>Bluestone Memorial</t>
        </is>
      </c>
      <c r="C724" s="32" t="n">
        <v>45991.43194444444</v>
      </c>
      <c r="D724" t="n">
        <v>3</v>
      </c>
      <c r="E724" t="n">
        <v>18</v>
      </c>
    </row>
    <row r="725">
      <c r="A725" t="inlineStr">
        <is>
          <t>ED211683</t>
        </is>
      </c>
      <c r="B725" t="inlineStr">
        <is>
          <t>Bluestone Memorial</t>
        </is>
      </c>
      <c r="C725" s="32" t="n">
        <v>45991.44375</v>
      </c>
      <c r="D725" t="n">
        <v>3</v>
      </c>
      <c r="E725" t="n">
        <v>18</v>
      </c>
    </row>
    <row r="726">
      <c r="A726" t="inlineStr">
        <is>
          <t>ED211685</t>
        </is>
      </c>
      <c r="B726" t="inlineStr">
        <is>
          <t>Bluestone Memorial</t>
        </is>
      </c>
      <c r="C726" s="32" t="n">
        <v>45991.54027777778</v>
      </c>
      <c r="D726" t="n">
        <v>4</v>
      </c>
      <c r="E726" t="n">
        <v>57</v>
      </c>
    </row>
    <row r="727">
      <c r="A727" t="inlineStr">
        <is>
          <t>ED211687</t>
        </is>
      </c>
      <c r="B727" t="inlineStr">
        <is>
          <t>Bluestone Memorial</t>
        </is>
      </c>
      <c r="C727" s="32" t="n">
        <v>45991.59861111111</v>
      </c>
      <c r="D727" t="n">
        <v>4</v>
      </c>
      <c r="E727" t="n">
        <v>118</v>
      </c>
    </row>
    <row r="728">
      <c r="A728" t="inlineStr">
        <is>
          <t>ED211690</t>
        </is>
      </c>
      <c r="B728" t="inlineStr">
        <is>
          <t>Bluestone Memorial</t>
        </is>
      </c>
      <c r="C728" s="32" t="n">
        <v>45991.70416666667</v>
      </c>
      <c r="D728" t="n">
        <v>5</v>
      </c>
      <c r="E728" t="n">
        <v>17</v>
      </c>
    </row>
    <row r="729">
      <c r="A729" t="inlineStr">
        <is>
          <t>ED211691</t>
        </is>
      </c>
      <c r="B729" t="inlineStr">
        <is>
          <t>Bluestone Memorial</t>
        </is>
      </c>
      <c r="C729" s="32" t="n">
        <v>45991.72013888889</v>
      </c>
      <c r="D729" t="n">
        <v>3</v>
      </c>
      <c r="E729" t="n">
        <v>39</v>
      </c>
    </row>
    <row r="730">
      <c r="A730" t="inlineStr">
        <is>
          <t>ED211692</t>
        </is>
      </c>
      <c r="B730" t="inlineStr">
        <is>
          <t>Bluestone Memorial</t>
        </is>
      </c>
      <c r="C730" s="32" t="n">
        <v>45991.72291666667</v>
      </c>
      <c r="D730" t="n">
        <v>3</v>
      </c>
      <c r="E730" t="n">
        <v>99</v>
      </c>
    </row>
    <row r="731">
      <c r="A731" t="inlineStr">
        <is>
          <t>ED211694</t>
        </is>
      </c>
      <c r="B731" t="inlineStr">
        <is>
          <t>Bluestone Memorial</t>
        </is>
      </c>
      <c r="C731" s="32" t="n">
        <v>45991.73611111111</v>
      </c>
      <c r="D731" t="n">
        <v>3</v>
      </c>
      <c r="E731" t="n">
        <v>113</v>
      </c>
    </row>
    <row r="732">
      <c r="A732" t="inlineStr">
        <is>
          <t>ED211695</t>
        </is>
      </c>
      <c r="B732" t="inlineStr">
        <is>
          <t>Bluestone Memorial</t>
        </is>
      </c>
      <c r="C732" s="32" t="n">
        <v>45991.80277777778</v>
      </c>
      <c r="D732" t="n">
        <v>3</v>
      </c>
      <c r="E732" t="n">
        <v>34</v>
      </c>
    </row>
    <row r="733">
      <c r="A733" t="inlineStr">
        <is>
          <t>ED211696</t>
        </is>
      </c>
      <c r="B733" t="inlineStr">
        <is>
          <t>Bluestone Memorial</t>
        </is>
      </c>
      <c r="C733" s="32" t="n">
        <v>45991.87361111111</v>
      </c>
      <c r="D733" t="n">
        <v>3</v>
      </c>
      <c r="E733" t="n">
        <v>45</v>
      </c>
    </row>
    <row r="734">
      <c r="A734" t="inlineStr">
        <is>
          <t>ED211697</t>
        </is>
      </c>
      <c r="B734" t="inlineStr">
        <is>
          <t>Bluestone Memorial</t>
        </is>
      </c>
      <c r="C734" s="32" t="n">
        <v>45991.90694444445</v>
      </c>
      <c r="D734" t="n">
        <v>4</v>
      </c>
      <c r="E734" t="n">
        <v>102</v>
      </c>
    </row>
    <row r="735">
      <c r="A735" t="inlineStr">
        <is>
          <t>ED211698</t>
        </is>
      </c>
      <c r="B735" t="inlineStr">
        <is>
          <t>Bluestone Memorial</t>
        </is>
      </c>
      <c r="C735" s="32" t="n">
        <v>45992.12291666667</v>
      </c>
      <c r="D735" t="n">
        <v>3</v>
      </c>
      <c r="E735" t="n">
        <v>54</v>
      </c>
    </row>
    <row r="736">
      <c r="A736" t="inlineStr">
        <is>
          <t>ED211699</t>
        </is>
      </c>
      <c r="B736" t="inlineStr">
        <is>
          <t>Bluestone Memorial</t>
        </is>
      </c>
      <c r="C736" s="32" t="n">
        <v>45992.34027777778</v>
      </c>
      <c r="D736" t="n">
        <v>3</v>
      </c>
      <c r="E736" t="n">
        <v>78</v>
      </c>
    </row>
    <row r="737">
      <c r="A737" t="inlineStr">
        <is>
          <t>ED211700</t>
        </is>
      </c>
      <c r="B737" t="inlineStr">
        <is>
          <t>Bluestone Memorial</t>
        </is>
      </c>
      <c r="C737" s="32" t="n">
        <v>45992.35763888889</v>
      </c>
      <c r="D737" t="n">
        <v>3</v>
      </c>
      <c r="E737" t="n">
        <v>8</v>
      </c>
    </row>
    <row r="738">
      <c r="A738" t="inlineStr">
        <is>
          <t>ED211701</t>
        </is>
      </c>
      <c r="B738" t="inlineStr">
        <is>
          <t>Bluestone Memorial</t>
        </is>
      </c>
      <c r="C738" s="32" t="n">
        <v>45992.37430555555</v>
      </c>
      <c r="D738" t="n">
        <v>4</v>
      </c>
      <c r="E738" t="n">
        <v>55</v>
      </c>
    </row>
    <row r="739">
      <c r="A739" t="inlineStr">
        <is>
          <t>ED211703</t>
        </is>
      </c>
      <c r="B739" t="inlineStr">
        <is>
          <t>Bluestone Memorial</t>
        </is>
      </c>
      <c r="C739" s="32" t="n">
        <v>45992.48611111111</v>
      </c>
      <c r="D739" t="n">
        <v>4</v>
      </c>
    </row>
    <row r="740">
      <c r="A740" t="inlineStr">
        <is>
          <t>ED211704</t>
        </is>
      </c>
      <c r="B740" t="inlineStr">
        <is>
          <t>Bluestone Memorial</t>
        </is>
      </c>
      <c r="C740" s="32" t="n">
        <v>45992.49375</v>
      </c>
      <c r="D740" t="n">
        <v>1</v>
      </c>
      <c r="E740" t="n">
        <v>3</v>
      </c>
    </row>
    <row r="741">
      <c r="A741" t="inlineStr">
        <is>
          <t>ED211705</t>
        </is>
      </c>
      <c r="B741" t="inlineStr">
        <is>
          <t>Bluestone Memorial</t>
        </is>
      </c>
      <c r="C741" s="32" t="n">
        <v>45992.5</v>
      </c>
      <c r="D741" t="n">
        <v>4</v>
      </c>
      <c r="E741" t="n">
        <v>162</v>
      </c>
    </row>
    <row r="742">
      <c r="A742" t="inlineStr">
        <is>
          <t>ED211707</t>
        </is>
      </c>
      <c r="B742" t="inlineStr">
        <is>
          <t>Bluestone Memorial</t>
        </is>
      </c>
      <c r="C742" s="32" t="n">
        <v>45992.55138888889</v>
      </c>
      <c r="D742" t="n">
        <v>3</v>
      </c>
      <c r="E742" t="n">
        <v>71</v>
      </c>
    </row>
    <row r="743">
      <c r="A743" t="inlineStr">
        <is>
          <t>ED211709</t>
        </is>
      </c>
      <c r="B743" t="inlineStr">
        <is>
          <t>Bluestone Memorial</t>
        </is>
      </c>
      <c r="C743" s="32" t="n">
        <v>45992.64097222222</v>
      </c>
      <c r="D743" t="n">
        <v>3</v>
      </c>
      <c r="E743" t="n">
        <v>33</v>
      </c>
    </row>
    <row r="744">
      <c r="A744" t="inlineStr">
        <is>
          <t>ED211710</t>
        </is>
      </c>
      <c r="B744" t="inlineStr">
        <is>
          <t>Bluestone Memorial</t>
        </is>
      </c>
      <c r="C744" s="32" t="n">
        <v>45992.69236111111</v>
      </c>
      <c r="D744" t="n">
        <v>3</v>
      </c>
      <c r="E744" t="n">
        <v>52</v>
      </c>
    </row>
    <row r="745">
      <c r="A745" t="inlineStr">
        <is>
          <t>ED211713</t>
        </is>
      </c>
      <c r="B745" t="inlineStr">
        <is>
          <t>Bluestone Memorial</t>
        </is>
      </c>
      <c r="C745" s="32" t="n">
        <v>45992.83472222222</v>
      </c>
      <c r="D745" t="n">
        <v>3</v>
      </c>
      <c r="E745" t="n">
        <v>31</v>
      </c>
    </row>
    <row r="746">
      <c r="A746" t="inlineStr">
        <is>
          <t>ED211716</t>
        </is>
      </c>
      <c r="B746" t="inlineStr">
        <is>
          <t>Bluestone Memorial</t>
        </is>
      </c>
      <c r="C746" s="32" t="n">
        <v>45992.89097222222</v>
      </c>
      <c r="D746" t="n">
        <v>4</v>
      </c>
      <c r="E746" t="n">
        <v>66</v>
      </c>
    </row>
    <row r="747">
      <c r="A747" t="inlineStr">
        <is>
          <t>ED211717</t>
        </is>
      </c>
      <c r="B747" t="inlineStr">
        <is>
          <t>Bluestone Memorial</t>
        </is>
      </c>
      <c r="C747" s="32" t="n">
        <v>45992.92083333333</v>
      </c>
      <c r="D747" t="n">
        <v>5</v>
      </c>
      <c r="E747" t="n">
        <v>53</v>
      </c>
    </row>
    <row r="748">
      <c r="A748" t="inlineStr">
        <is>
          <t>ED211718</t>
        </is>
      </c>
      <c r="B748" t="inlineStr">
        <is>
          <t>Bluestone Memorial</t>
        </is>
      </c>
      <c r="C748" s="32" t="n">
        <v>45992.95347222222</v>
      </c>
      <c r="D748" t="n">
        <v>2</v>
      </c>
      <c r="E748" t="n">
        <v>19</v>
      </c>
    </row>
    <row r="749">
      <c r="A749" t="inlineStr">
        <is>
          <t>ED211719</t>
        </is>
      </c>
      <c r="B749" t="inlineStr">
        <is>
          <t>Bluestone Memorial</t>
        </is>
      </c>
      <c r="C749" s="32" t="n">
        <v>45993.19236111111</v>
      </c>
      <c r="D749" t="n">
        <v>3</v>
      </c>
      <c r="E749" t="n">
        <v>13</v>
      </c>
    </row>
    <row r="750">
      <c r="A750" t="inlineStr">
        <is>
          <t>ED211720</t>
        </is>
      </c>
      <c r="B750" t="inlineStr">
        <is>
          <t>Bluestone Memorial</t>
        </is>
      </c>
      <c r="C750" s="32" t="n">
        <v>45993.23055555556</v>
      </c>
      <c r="D750" t="n">
        <v>3</v>
      </c>
      <c r="E750" t="n">
        <v>38</v>
      </c>
    </row>
    <row r="751">
      <c r="A751" t="inlineStr">
        <is>
          <t>ED211721</t>
        </is>
      </c>
      <c r="B751" t="inlineStr">
        <is>
          <t>Bluestone Memorial</t>
        </is>
      </c>
      <c r="C751" s="32" t="n">
        <v>45993.32708333333</v>
      </c>
      <c r="D751" t="n">
        <v>4</v>
      </c>
      <c r="E751" t="n">
        <v>47</v>
      </c>
    </row>
    <row r="752">
      <c r="A752" t="inlineStr">
        <is>
          <t>ED211723</t>
        </is>
      </c>
      <c r="B752" t="inlineStr">
        <is>
          <t>Bluestone Memorial</t>
        </is>
      </c>
      <c r="C752" s="32" t="n">
        <v>45993.425</v>
      </c>
      <c r="D752" t="n">
        <v>3</v>
      </c>
      <c r="E752" t="n">
        <v>127</v>
      </c>
    </row>
    <row r="753">
      <c r="A753" t="inlineStr">
        <is>
          <t>ED211724</t>
        </is>
      </c>
      <c r="B753" t="inlineStr">
        <is>
          <t>Bluestone Memorial</t>
        </is>
      </c>
      <c r="C753" s="32" t="n">
        <v>45993.46736111111</v>
      </c>
      <c r="D753" t="n">
        <v>1</v>
      </c>
      <c r="E753" t="n">
        <v>3</v>
      </c>
    </row>
    <row r="754">
      <c r="A754" t="inlineStr">
        <is>
          <t>ED211725</t>
        </is>
      </c>
      <c r="B754" t="inlineStr">
        <is>
          <t>Bluestone Memorial</t>
        </is>
      </c>
      <c r="C754" s="32" t="n">
        <v>45993.48541666667</v>
      </c>
      <c r="D754" t="n">
        <v>5</v>
      </c>
      <c r="E754" t="n">
        <v>146</v>
      </c>
    </row>
    <row r="755">
      <c r="A755" t="inlineStr">
        <is>
          <t>ED211726</t>
        </is>
      </c>
      <c r="B755" t="inlineStr">
        <is>
          <t>Bluestone Memorial</t>
        </is>
      </c>
      <c r="C755" s="32" t="n">
        <v>45993.48888888889</v>
      </c>
      <c r="D755" t="n">
        <v>2</v>
      </c>
      <c r="E755" t="n">
        <v>30</v>
      </c>
    </row>
    <row r="756">
      <c r="A756" t="inlineStr">
        <is>
          <t>ED211727</t>
        </is>
      </c>
      <c r="B756" t="inlineStr">
        <is>
          <t>Bluestone Memorial</t>
        </is>
      </c>
      <c r="C756" s="32" t="n">
        <v>45993.56736111111</v>
      </c>
      <c r="D756" t="n">
        <v>2</v>
      </c>
      <c r="E756" t="n">
        <v>28</v>
      </c>
    </row>
    <row r="757">
      <c r="A757" t="inlineStr">
        <is>
          <t>ED211728</t>
        </is>
      </c>
      <c r="B757" t="inlineStr">
        <is>
          <t>Bluestone Memorial</t>
        </is>
      </c>
      <c r="C757" s="32" t="n">
        <v>45993.58888888889</v>
      </c>
      <c r="D757" t="n">
        <v>5</v>
      </c>
      <c r="E757" t="n">
        <v>44</v>
      </c>
    </row>
    <row r="758">
      <c r="A758" t="inlineStr">
        <is>
          <t>ED211729</t>
        </is>
      </c>
      <c r="B758" t="inlineStr">
        <is>
          <t>Bluestone Memorial</t>
        </is>
      </c>
      <c r="C758" s="32" t="n">
        <v>45993.60902777778</v>
      </c>
      <c r="D758" t="n">
        <v>3</v>
      </c>
      <c r="E758" t="n">
        <v>39</v>
      </c>
    </row>
    <row r="759">
      <c r="A759" t="inlineStr">
        <is>
          <t>ED211732</t>
        </is>
      </c>
      <c r="B759" t="inlineStr">
        <is>
          <t>Bluestone Memorial</t>
        </is>
      </c>
      <c r="C759" s="32" t="n">
        <v>45993.68194444444</v>
      </c>
      <c r="D759" t="n">
        <v>3</v>
      </c>
      <c r="E759" t="n">
        <v>23</v>
      </c>
    </row>
    <row r="760">
      <c r="A760" t="inlineStr">
        <is>
          <t>ED211733</t>
        </is>
      </c>
      <c r="B760" t="inlineStr">
        <is>
          <t>Bluestone Memorial</t>
        </is>
      </c>
      <c r="C760" s="32" t="n">
        <v>45993.68541666667</v>
      </c>
      <c r="D760" t="n">
        <v>3</v>
      </c>
      <c r="E760" t="n">
        <v>74</v>
      </c>
    </row>
    <row r="761">
      <c r="A761" t="inlineStr">
        <is>
          <t>ED211734</t>
        </is>
      </c>
      <c r="B761" t="inlineStr">
        <is>
          <t>Bluestone Memorial</t>
        </is>
      </c>
      <c r="C761" s="32" t="n">
        <v>45993.74375</v>
      </c>
      <c r="D761" t="n">
        <v>3</v>
      </c>
      <c r="E761" t="n">
        <v>40</v>
      </c>
    </row>
    <row r="762">
      <c r="A762" t="inlineStr">
        <is>
          <t>ED211736</t>
        </is>
      </c>
      <c r="B762" t="inlineStr">
        <is>
          <t>Bluestone Memorial</t>
        </is>
      </c>
      <c r="C762" s="32" t="n">
        <v>45993.82847222222</v>
      </c>
      <c r="D762" t="n">
        <v>3</v>
      </c>
      <c r="E762" t="n">
        <v>20</v>
      </c>
    </row>
    <row r="763">
      <c r="A763" t="inlineStr">
        <is>
          <t>ED211737</t>
        </is>
      </c>
      <c r="B763" t="inlineStr">
        <is>
          <t>Bluestone Memorial</t>
        </is>
      </c>
      <c r="C763" s="32" t="n">
        <v>45993.83402777778</v>
      </c>
      <c r="D763" t="n">
        <v>4</v>
      </c>
      <c r="E763" t="n">
        <v>49</v>
      </c>
    </row>
    <row r="764">
      <c r="A764" t="inlineStr">
        <is>
          <t>ED211738</t>
        </is>
      </c>
      <c r="B764" t="inlineStr">
        <is>
          <t>Bluestone Memorial</t>
        </is>
      </c>
      <c r="C764" s="32" t="n">
        <v>45993.92708333334</v>
      </c>
      <c r="D764" t="n">
        <v>1</v>
      </c>
      <c r="E764" t="n">
        <v>1</v>
      </c>
    </row>
    <row r="765">
      <c r="A765" t="inlineStr">
        <is>
          <t>ED211741</t>
        </is>
      </c>
      <c r="B765" t="inlineStr">
        <is>
          <t>Bluestone Memorial</t>
        </is>
      </c>
      <c r="C765" s="32" t="n">
        <v>45994.19513888889</v>
      </c>
      <c r="D765" t="n">
        <v>3</v>
      </c>
      <c r="E765" t="n">
        <v>28</v>
      </c>
    </row>
    <row r="766">
      <c r="A766" t="inlineStr">
        <is>
          <t>ED211743</t>
        </is>
      </c>
      <c r="B766" t="inlineStr">
        <is>
          <t>Bluestone Memorial</t>
        </is>
      </c>
      <c r="C766" s="32" t="n">
        <v>45994.42291666667</v>
      </c>
      <c r="D766" t="n">
        <v>3</v>
      </c>
      <c r="E766" t="n">
        <v>43</v>
      </c>
    </row>
    <row r="767">
      <c r="A767" t="inlineStr">
        <is>
          <t>ED211745</t>
        </is>
      </c>
      <c r="B767" t="inlineStr">
        <is>
          <t>Bluestone Memorial</t>
        </is>
      </c>
      <c r="C767" s="32" t="n">
        <v>45994.46458333333</v>
      </c>
      <c r="D767" t="n">
        <v>3</v>
      </c>
      <c r="E767" t="n">
        <v>103</v>
      </c>
    </row>
    <row r="768">
      <c r="A768" t="inlineStr">
        <is>
          <t>ED211748</t>
        </is>
      </c>
      <c r="B768" t="inlineStr">
        <is>
          <t>Bluestone Memorial</t>
        </is>
      </c>
      <c r="C768" s="32" t="n">
        <v>45994.55833333333</v>
      </c>
      <c r="D768" t="n">
        <v>3</v>
      </c>
      <c r="E768" t="n">
        <v>74</v>
      </c>
    </row>
    <row r="769">
      <c r="A769" t="inlineStr">
        <is>
          <t>ED211750</t>
        </is>
      </c>
      <c r="B769" t="inlineStr">
        <is>
          <t>Bluestone Memorial</t>
        </is>
      </c>
      <c r="C769" s="32" t="n">
        <v>45994.58819444444</v>
      </c>
      <c r="D769" t="n">
        <v>3</v>
      </c>
      <c r="E769" t="n">
        <v>79</v>
      </c>
    </row>
    <row r="770">
      <c r="A770" t="inlineStr">
        <is>
          <t>ED211751</t>
        </is>
      </c>
      <c r="B770" t="inlineStr">
        <is>
          <t>Bluestone Memorial</t>
        </is>
      </c>
      <c r="C770" s="32" t="n">
        <v>45994.68263888889</v>
      </c>
      <c r="D770" t="n">
        <v>2</v>
      </c>
      <c r="E770" t="n">
        <v>5</v>
      </c>
    </row>
    <row r="771">
      <c r="A771" t="inlineStr">
        <is>
          <t>ED211754</t>
        </is>
      </c>
      <c r="B771" t="inlineStr">
        <is>
          <t>Bluestone Memorial</t>
        </is>
      </c>
      <c r="C771" s="32" t="n">
        <v>45994.80833333333</v>
      </c>
      <c r="D771" t="n">
        <v>3</v>
      </c>
      <c r="E771" t="n">
        <v>55</v>
      </c>
    </row>
    <row r="772">
      <c r="A772" t="inlineStr">
        <is>
          <t>ED211755</t>
        </is>
      </c>
      <c r="B772" t="inlineStr">
        <is>
          <t>Bluestone Memorial</t>
        </is>
      </c>
      <c r="C772" s="32" t="n">
        <v>45994.82569444444</v>
      </c>
      <c r="D772" t="n">
        <v>4</v>
      </c>
      <c r="E772" t="n">
        <v>156</v>
      </c>
    </row>
    <row r="773">
      <c r="A773" t="inlineStr">
        <is>
          <t>ED211756</t>
        </is>
      </c>
      <c r="B773" t="inlineStr">
        <is>
          <t>Bluestone Memorial</t>
        </is>
      </c>
      <c r="C773" s="32" t="n">
        <v>45994.99861111111</v>
      </c>
      <c r="D773" t="n">
        <v>4</v>
      </c>
      <c r="E773" t="n">
        <v>32</v>
      </c>
    </row>
    <row r="774">
      <c r="A774" t="inlineStr">
        <is>
          <t>ED211757</t>
        </is>
      </c>
      <c r="B774" t="inlineStr">
        <is>
          <t>Bluestone Memorial</t>
        </is>
      </c>
      <c r="C774" s="32" t="n">
        <v>45995.04583333333</v>
      </c>
      <c r="D774" t="n">
        <v>3</v>
      </c>
      <c r="E774" t="n">
        <v>22</v>
      </c>
    </row>
    <row r="775">
      <c r="A775" t="inlineStr">
        <is>
          <t>ED211758</t>
        </is>
      </c>
      <c r="B775" t="inlineStr">
        <is>
          <t>Bluestone Memorial</t>
        </is>
      </c>
      <c r="C775" s="32" t="n">
        <v>45995.125</v>
      </c>
      <c r="D775" t="n">
        <v>2</v>
      </c>
      <c r="E775" t="n">
        <v>5</v>
      </c>
    </row>
    <row r="776">
      <c r="A776" t="inlineStr">
        <is>
          <t>ED211761</t>
        </is>
      </c>
      <c r="B776" t="inlineStr">
        <is>
          <t>Bluestone Memorial</t>
        </is>
      </c>
      <c r="C776" s="32" t="n">
        <v>45995.31458333333</v>
      </c>
      <c r="D776" t="n">
        <v>3</v>
      </c>
      <c r="E776" t="n">
        <v>11</v>
      </c>
    </row>
    <row r="777">
      <c r="A777" t="inlineStr">
        <is>
          <t>ED211762</t>
        </is>
      </c>
      <c r="B777" t="inlineStr">
        <is>
          <t>Bluestone Memorial</t>
        </is>
      </c>
      <c r="C777" s="32" t="n">
        <v>45995.37986111111</v>
      </c>
      <c r="D777" t="n">
        <v>3</v>
      </c>
      <c r="E777" t="n">
        <v>64</v>
      </c>
    </row>
    <row r="778">
      <c r="A778" t="inlineStr">
        <is>
          <t>ED211763</t>
        </is>
      </c>
      <c r="B778" t="inlineStr">
        <is>
          <t>Bluestone Memorial</t>
        </is>
      </c>
      <c r="C778" s="32" t="n">
        <v>45995.42222222222</v>
      </c>
      <c r="D778" t="n">
        <v>3</v>
      </c>
      <c r="E778" t="n">
        <v>22</v>
      </c>
    </row>
    <row r="779">
      <c r="A779" t="inlineStr">
        <is>
          <t>ED211766</t>
        </is>
      </c>
      <c r="B779" t="inlineStr">
        <is>
          <t>Bluestone Memorial</t>
        </is>
      </c>
      <c r="C779" s="32" t="n">
        <v>45995.50625</v>
      </c>
      <c r="D779" t="n">
        <v>3</v>
      </c>
      <c r="E779" t="n">
        <v>111</v>
      </c>
    </row>
    <row r="780">
      <c r="A780" t="inlineStr">
        <is>
          <t>ED211768</t>
        </is>
      </c>
      <c r="B780" t="inlineStr">
        <is>
          <t>Bluestone Memorial</t>
        </is>
      </c>
      <c r="C780" s="32" t="n">
        <v>45995.53958333333</v>
      </c>
      <c r="D780" t="n">
        <v>2</v>
      </c>
      <c r="E780" t="n">
        <v>44</v>
      </c>
    </row>
    <row r="781">
      <c r="A781" t="inlineStr">
        <is>
          <t>ED211769</t>
        </is>
      </c>
      <c r="B781" t="inlineStr">
        <is>
          <t>Bluestone Memorial</t>
        </is>
      </c>
      <c r="C781" s="32" t="n">
        <v>45995.56111111111</v>
      </c>
      <c r="D781" t="n">
        <v>3</v>
      </c>
      <c r="E781" t="n">
        <v>140</v>
      </c>
    </row>
    <row r="782">
      <c r="A782" t="inlineStr">
        <is>
          <t>ED211770</t>
        </is>
      </c>
      <c r="B782" t="inlineStr">
        <is>
          <t>Bluestone Memorial</t>
        </is>
      </c>
      <c r="C782" s="32" t="n">
        <v>45995.59166666667</v>
      </c>
      <c r="D782" t="n">
        <v>3</v>
      </c>
      <c r="E782" t="n">
        <v>36</v>
      </c>
    </row>
    <row r="783">
      <c r="A783" t="inlineStr">
        <is>
          <t>ED211772</t>
        </is>
      </c>
      <c r="B783" t="inlineStr">
        <is>
          <t>Bluestone Memorial</t>
        </is>
      </c>
      <c r="C783" s="32" t="n">
        <v>45995.72152777778</v>
      </c>
      <c r="D783" t="n">
        <v>3</v>
      </c>
      <c r="E783" t="n">
        <v>36</v>
      </c>
    </row>
    <row r="784">
      <c r="A784" t="inlineStr">
        <is>
          <t>ED211773</t>
        </is>
      </c>
      <c r="B784" t="inlineStr">
        <is>
          <t>Bluestone Memorial</t>
        </is>
      </c>
      <c r="C784" s="32" t="n">
        <v>45995.79027777778</v>
      </c>
      <c r="D784" t="n">
        <v>2</v>
      </c>
      <c r="E784" t="n">
        <v>33</v>
      </c>
    </row>
    <row r="785">
      <c r="A785" t="inlineStr">
        <is>
          <t>ED211774</t>
        </is>
      </c>
      <c r="B785" t="inlineStr">
        <is>
          <t>Bluestone Memorial</t>
        </is>
      </c>
      <c r="C785" s="32" t="n">
        <v>45995.79166666666</v>
      </c>
      <c r="D785" t="n">
        <v>4</v>
      </c>
      <c r="E785" t="n">
        <v>72</v>
      </c>
    </row>
    <row r="786">
      <c r="A786" t="inlineStr">
        <is>
          <t>ED211775</t>
        </is>
      </c>
      <c r="B786" t="inlineStr">
        <is>
          <t>Bluestone Memorial</t>
        </is>
      </c>
      <c r="C786" s="32" t="n">
        <v>45995.80416666667</v>
      </c>
      <c r="D786" t="n">
        <v>3</v>
      </c>
      <c r="E786" t="n">
        <v>117</v>
      </c>
    </row>
    <row r="787">
      <c r="A787" t="inlineStr">
        <is>
          <t>ED211776</t>
        </is>
      </c>
      <c r="B787" t="inlineStr">
        <is>
          <t>Bluestone Memorial</t>
        </is>
      </c>
      <c r="C787" s="32" t="n">
        <v>45995.81180555555</v>
      </c>
      <c r="D787" t="n">
        <v>2</v>
      </c>
      <c r="E787" t="n">
        <v>29</v>
      </c>
    </row>
    <row r="788">
      <c r="A788" t="inlineStr">
        <is>
          <t>ED211777</t>
        </is>
      </c>
      <c r="B788" t="inlineStr">
        <is>
          <t>Bluestone Memorial</t>
        </is>
      </c>
      <c r="C788" s="32" t="n">
        <v>45995.86597222222</v>
      </c>
      <c r="D788" t="n">
        <v>4</v>
      </c>
      <c r="E788" t="n">
        <v>81</v>
      </c>
    </row>
    <row r="789">
      <c r="A789" t="inlineStr">
        <is>
          <t>ED211778</t>
        </is>
      </c>
      <c r="B789" t="inlineStr">
        <is>
          <t>Bluestone Memorial</t>
        </is>
      </c>
      <c r="C789" s="32" t="n">
        <v>45995.94513888889</v>
      </c>
      <c r="D789" t="n">
        <v>5</v>
      </c>
      <c r="E789" t="n">
        <v>90</v>
      </c>
    </row>
    <row r="790">
      <c r="A790" t="inlineStr">
        <is>
          <t>ED211779</t>
        </is>
      </c>
      <c r="B790" t="inlineStr">
        <is>
          <t>Bluestone Memorial</t>
        </is>
      </c>
      <c r="C790" s="32" t="n">
        <v>45996.25069444445</v>
      </c>
      <c r="D790" t="n">
        <v>4</v>
      </c>
      <c r="E790" t="n">
        <v>18</v>
      </c>
    </row>
    <row r="791">
      <c r="A791" t="inlineStr">
        <is>
          <t>ED211780</t>
        </is>
      </c>
      <c r="B791" t="inlineStr">
        <is>
          <t>Bluestone Memorial</t>
        </is>
      </c>
      <c r="C791" s="32" t="n">
        <v>45996.30833333333</v>
      </c>
      <c r="D791" t="n">
        <v>3</v>
      </c>
      <c r="E791" t="n">
        <v>139</v>
      </c>
    </row>
    <row r="792">
      <c r="A792" t="inlineStr">
        <is>
          <t>ED211781</t>
        </is>
      </c>
      <c r="B792" t="inlineStr">
        <is>
          <t>Bluestone Memorial</t>
        </is>
      </c>
      <c r="C792" s="32" t="n">
        <v>45996.33958333333</v>
      </c>
      <c r="D792" t="n">
        <v>3</v>
      </c>
      <c r="E792" t="n">
        <v>39</v>
      </c>
    </row>
    <row r="793">
      <c r="A793" t="inlineStr">
        <is>
          <t>ED211782</t>
        </is>
      </c>
      <c r="B793" t="inlineStr">
        <is>
          <t>Bluestone Memorial</t>
        </is>
      </c>
      <c r="C793" s="32" t="n">
        <v>45996.40902777778</v>
      </c>
      <c r="D793" t="n">
        <v>2</v>
      </c>
      <c r="E793" t="n">
        <v>16</v>
      </c>
    </row>
    <row r="794">
      <c r="A794" t="inlineStr">
        <is>
          <t>ED211783</t>
        </is>
      </c>
      <c r="B794" t="inlineStr">
        <is>
          <t>Bluestone Memorial</t>
        </is>
      </c>
      <c r="C794" s="32" t="n">
        <v>45996.42291666667</v>
      </c>
      <c r="D794" t="n">
        <v>4</v>
      </c>
      <c r="E794" t="n">
        <v>39</v>
      </c>
    </row>
    <row r="795">
      <c r="A795" t="inlineStr">
        <is>
          <t>ED211784</t>
        </is>
      </c>
      <c r="B795" t="inlineStr">
        <is>
          <t>Bluestone Memorial</t>
        </is>
      </c>
      <c r="C795" s="32" t="n">
        <v>45996.43819444445</v>
      </c>
      <c r="D795" t="n">
        <v>3</v>
      </c>
      <c r="E795" t="n">
        <v>28</v>
      </c>
    </row>
    <row r="796">
      <c r="A796" t="inlineStr">
        <is>
          <t>ED211785</t>
        </is>
      </c>
      <c r="B796" t="inlineStr">
        <is>
          <t>Bluestone Memorial</t>
        </is>
      </c>
      <c r="C796" s="32" t="n">
        <v>45996.44027777778</v>
      </c>
      <c r="D796" t="n">
        <v>2</v>
      </c>
      <c r="E796" t="n">
        <v>26</v>
      </c>
    </row>
    <row r="797">
      <c r="A797" t="inlineStr">
        <is>
          <t>ED211786</t>
        </is>
      </c>
      <c r="B797" t="inlineStr">
        <is>
          <t>Bluestone Memorial</t>
        </is>
      </c>
      <c r="C797" s="32" t="n">
        <v>45996.45486111111</v>
      </c>
      <c r="D797" t="n">
        <v>3</v>
      </c>
      <c r="E797" t="n">
        <v>25</v>
      </c>
    </row>
    <row r="798">
      <c r="A798" t="inlineStr">
        <is>
          <t>ED211787</t>
        </is>
      </c>
      <c r="B798" t="inlineStr">
        <is>
          <t>Bluestone Memorial</t>
        </is>
      </c>
      <c r="C798" s="32" t="n">
        <v>45996.45555555556</v>
      </c>
      <c r="D798" t="n">
        <v>4</v>
      </c>
      <c r="E798" t="n">
        <v>40</v>
      </c>
    </row>
    <row r="799">
      <c r="A799" t="inlineStr">
        <is>
          <t>ED211788</t>
        </is>
      </c>
      <c r="B799" t="inlineStr">
        <is>
          <t>Bluestone Memorial</t>
        </is>
      </c>
      <c r="C799" s="32" t="n">
        <v>45996.54583333333</v>
      </c>
      <c r="D799" t="n">
        <v>4</v>
      </c>
      <c r="E799" t="n">
        <v>43</v>
      </c>
    </row>
    <row r="800">
      <c r="A800" t="inlineStr">
        <is>
          <t>ED211790</t>
        </is>
      </c>
      <c r="B800" t="inlineStr">
        <is>
          <t>Bluestone Memorial</t>
        </is>
      </c>
      <c r="C800" s="32" t="n">
        <v>45996.65416666667</v>
      </c>
      <c r="D800" t="n">
        <v>4</v>
      </c>
      <c r="E800" t="n">
        <v>86</v>
      </c>
    </row>
    <row r="801">
      <c r="A801" t="inlineStr">
        <is>
          <t>ED211791</t>
        </is>
      </c>
      <c r="B801" t="inlineStr">
        <is>
          <t>Bluestone Memorial</t>
        </is>
      </c>
      <c r="C801" s="32" t="n">
        <v>45996.65486111111</v>
      </c>
      <c r="D801" t="n">
        <v>2</v>
      </c>
      <c r="E801" t="n">
        <v>29</v>
      </c>
    </row>
    <row r="802">
      <c r="A802" t="inlineStr">
        <is>
          <t>ED211792</t>
        </is>
      </c>
      <c r="B802" t="inlineStr">
        <is>
          <t>Bluestone Memorial</t>
        </is>
      </c>
      <c r="C802" s="32" t="n">
        <v>45996.69444444445</v>
      </c>
      <c r="D802" t="n">
        <v>4</v>
      </c>
      <c r="E802" t="n">
        <v>72</v>
      </c>
    </row>
    <row r="803">
      <c r="A803" t="inlineStr">
        <is>
          <t>ED211793</t>
        </is>
      </c>
      <c r="B803" t="inlineStr">
        <is>
          <t>Bluestone Memorial</t>
        </is>
      </c>
      <c r="C803" s="32" t="n">
        <v>45996.69861111111</v>
      </c>
      <c r="D803" t="n">
        <v>4</v>
      </c>
      <c r="E803" t="n">
        <v>59</v>
      </c>
    </row>
    <row r="804">
      <c r="A804" t="inlineStr">
        <is>
          <t>ED211794</t>
        </is>
      </c>
      <c r="B804" t="inlineStr">
        <is>
          <t>Bluestone Memorial</t>
        </is>
      </c>
      <c r="C804" s="32" t="n">
        <v>45996.70555555556</v>
      </c>
      <c r="D804" t="n">
        <v>4</v>
      </c>
      <c r="E804" t="n">
        <v>73</v>
      </c>
    </row>
    <row r="805">
      <c r="A805" t="inlineStr">
        <is>
          <t>ED211795</t>
        </is>
      </c>
      <c r="B805" t="inlineStr">
        <is>
          <t>Bluestone Memorial</t>
        </is>
      </c>
      <c r="C805" s="32" t="n">
        <v>45996.76388888889</v>
      </c>
      <c r="D805" t="n">
        <v>4</v>
      </c>
      <c r="E805" t="n">
        <v>81</v>
      </c>
    </row>
    <row r="806">
      <c r="A806" t="inlineStr">
        <is>
          <t>ED211796</t>
        </is>
      </c>
      <c r="B806" t="inlineStr">
        <is>
          <t>Bluestone Memorial</t>
        </is>
      </c>
      <c r="C806" s="32" t="n">
        <v>45996.82361111111</v>
      </c>
      <c r="D806" t="n">
        <v>3</v>
      </c>
      <c r="E806" t="n">
        <v>136</v>
      </c>
    </row>
    <row r="807">
      <c r="A807" t="inlineStr">
        <is>
          <t>ED211797</t>
        </is>
      </c>
      <c r="B807" t="inlineStr">
        <is>
          <t>Bluestone Memorial</t>
        </is>
      </c>
      <c r="C807" s="32" t="n">
        <v>45996.93125</v>
      </c>
      <c r="D807" t="n">
        <v>4</v>
      </c>
      <c r="E807" t="n">
        <v>56</v>
      </c>
    </row>
    <row r="808">
      <c r="A808" t="inlineStr">
        <is>
          <t>ED211798</t>
        </is>
      </c>
      <c r="B808" t="inlineStr">
        <is>
          <t>Bluestone Memorial</t>
        </is>
      </c>
      <c r="C808" s="32" t="n">
        <v>45996.94652777778</v>
      </c>
      <c r="D808" t="n">
        <v>4</v>
      </c>
      <c r="E808" t="n">
        <v>44</v>
      </c>
    </row>
    <row r="809">
      <c r="A809" t="inlineStr">
        <is>
          <t>ED211799</t>
        </is>
      </c>
      <c r="B809" t="inlineStr">
        <is>
          <t>Bluestone Memorial</t>
        </is>
      </c>
      <c r="C809" s="32" t="n">
        <v>45996.98472222222</v>
      </c>
      <c r="D809" t="n">
        <v>3</v>
      </c>
      <c r="E809" t="n">
        <v>42</v>
      </c>
    </row>
    <row r="810">
      <c r="A810" t="inlineStr">
        <is>
          <t>ED211801</t>
        </is>
      </c>
      <c r="B810" t="inlineStr">
        <is>
          <t>Bluestone Memorial</t>
        </is>
      </c>
      <c r="C810" s="32" t="n">
        <v>45997.13402777778</v>
      </c>
      <c r="D810" t="n">
        <v>4</v>
      </c>
      <c r="E810" t="n">
        <v>100</v>
      </c>
    </row>
    <row r="811">
      <c r="A811" t="inlineStr">
        <is>
          <t>ED211802</t>
        </is>
      </c>
      <c r="B811" t="inlineStr">
        <is>
          <t>Bluestone Memorial</t>
        </is>
      </c>
      <c r="C811" s="32" t="n">
        <v>45997.24722222222</v>
      </c>
      <c r="D811" t="n">
        <v>3</v>
      </c>
      <c r="E811" t="n">
        <v>23</v>
      </c>
    </row>
    <row r="812">
      <c r="A812" t="inlineStr">
        <is>
          <t>ED211804</t>
        </is>
      </c>
      <c r="B812" t="inlineStr">
        <is>
          <t>Bluestone Memorial</t>
        </is>
      </c>
      <c r="C812" s="32" t="n">
        <v>45997.31319444445</v>
      </c>
      <c r="D812" t="n">
        <v>5</v>
      </c>
      <c r="E812" t="n">
        <v>61</v>
      </c>
    </row>
    <row r="813">
      <c r="A813" t="inlineStr">
        <is>
          <t>ED211805</t>
        </is>
      </c>
      <c r="B813" t="inlineStr">
        <is>
          <t>Bluestone Memorial</t>
        </is>
      </c>
      <c r="C813" s="32" t="n">
        <v>45997.39236111111</v>
      </c>
      <c r="D813" t="n">
        <v>3</v>
      </c>
      <c r="E813" t="n">
        <v>96</v>
      </c>
    </row>
    <row r="814">
      <c r="A814" t="inlineStr">
        <is>
          <t>ED211806</t>
        </is>
      </c>
      <c r="B814" t="inlineStr">
        <is>
          <t>Bluestone Memorial</t>
        </is>
      </c>
      <c r="C814" s="32" t="n">
        <v>45997.40486111111</v>
      </c>
      <c r="D814" t="n">
        <v>3</v>
      </c>
      <c r="E814" t="n">
        <v>34</v>
      </c>
    </row>
    <row r="815">
      <c r="A815" t="inlineStr">
        <is>
          <t>ED211807</t>
        </is>
      </c>
      <c r="B815" t="inlineStr">
        <is>
          <t>Bluestone Memorial</t>
        </is>
      </c>
      <c r="C815" s="32" t="n">
        <v>45997.4125</v>
      </c>
      <c r="D815" t="n">
        <v>4</v>
      </c>
      <c r="E815" t="n">
        <v>68</v>
      </c>
    </row>
    <row r="816">
      <c r="A816" t="inlineStr">
        <is>
          <t>ED211808</t>
        </is>
      </c>
      <c r="B816" t="inlineStr">
        <is>
          <t>Bluestone Memorial</t>
        </is>
      </c>
      <c r="C816" s="32" t="n">
        <v>45997.47291666667</v>
      </c>
      <c r="D816" t="n">
        <v>3</v>
      </c>
      <c r="E816" t="n">
        <v>86</v>
      </c>
    </row>
    <row r="817">
      <c r="A817" t="inlineStr">
        <is>
          <t>ED211809</t>
        </is>
      </c>
      <c r="B817" t="inlineStr">
        <is>
          <t>Bluestone Memorial</t>
        </is>
      </c>
      <c r="C817" s="32" t="n">
        <v>45997.47777777778</v>
      </c>
      <c r="D817" t="n">
        <v>4</v>
      </c>
      <c r="E817" t="n">
        <v>26</v>
      </c>
    </row>
    <row r="818">
      <c r="A818" t="inlineStr">
        <is>
          <t>ED211811</t>
        </is>
      </c>
      <c r="B818" t="inlineStr">
        <is>
          <t>Bluestone Memorial</t>
        </is>
      </c>
      <c r="C818" s="32" t="n">
        <v>45997.67986111111</v>
      </c>
      <c r="D818" t="n">
        <v>4</v>
      </c>
      <c r="E818" t="n">
        <v>104</v>
      </c>
    </row>
    <row r="819">
      <c r="A819" t="inlineStr">
        <is>
          <t>ED211813</t>
        </is>
      </c>
      <c r="B819" t="inlineStr">
        <is>
          <t>Bluestone Memorial</t>
        </is>
      </c>
      <c r="C819" s="32" t="n">
        <v>45997.75138888889</v>
      </c>
      <c r="D819" t="n">
        <v>5</v>
      </c>
      <c r="E819" t="n">
        <v>25</v>
      </c>
    </row>
    <row r="820">
      <c r="A820" t="inlineStr">
        <is>
          <t>ED211815</t>
        </is>
      </c>
      <c r="B820" t="inlineStr">
        <is>
          <t>Bluestone Memorial</t>
        </is>
      </c>
      <c r="C820" s="32" t="n">
        <v>45997.80277777778</v>
      </c>
      <c r="D820" t="n">
        <v>2</v>
      </c>
      <c r="E820" t="n">
        <v>25</v>
      </c>
    </row>
    <row r="821">
      <c r="A821" t="inlineStr">
        <is>
          <t>ED211819</t>
        </is>
      </c>
      <c r="B821" t="inlineStr">
        <is>
          <t>Bluestone Memorial</t>
        </is>
      </c>
      <c r="C821" s="32" t="n">
        <v>45998.28541666667</v>
      </c>
      <c r="D821" t="n">
        <v>2</v>
      </c>
      <c r="E821" t="n">
        <v>22</v>
      </c>
    </row>
    <row r="822">
      <c r="A822" t="inlineStr">
        <is>
          <t>ED211820</t>
        </is>
      </c>
      <c r="B822" t="inlineStr">
        <is>
          <t>Bluestone Memorial</t>
        </is>
      </c>
      <c r="C822" s="32" t="n">
        <v>45998.39097222222</v>
      </c>
      <c r="D822" t="n">
        <v>5</v>
      </c>
      <c r="E822" t="n">
        <v>105</v>
      </c>
    </row>
    <row r="823">
      <c r="A823" t="inlineStr">
        <is>
          <t>ED211821</t>
        </is>
      </c>
      <c r="B823" t="inlineStr">
        <is>
          <t>Bluestone Memorial</t>
        </is>
      </c>
      <c r="C823" s="32" t="n">
        <v>45998.39097222222</v>
      </c>
      <c r="D823" t="n">
        <v>3</v>
      </c>
      <c r="E823" t="n">
        <v>44</v>
      </c>
    </row>
    <row r="824">
      <c r="A824" t="inlineStr">
        <is>
          <t>ED211823</t>
        </is>
      </c>
      <c r="B824" t="inlineStr">
        <is>
          <t>Bluestone Memorial</t>
        </is>
      </c>
      <c r="C824" s="32" t="n">
        <v>45998.45416666667</v>
      </c>
      <c r="D824" t="n">
        <v>3</v>
      </c>
      <c r="E824" t="n">
        <v>68</v>
      </c>
    </row>
    <row r="825">
      <c r="A825" t="inlineStr">
        <is>
          <t>ED211828</t>
        </is>
      </c>
      <c r="B825" t="inlineStr">
        <is>
          <t>Bluestone Memorial</t>
        </is>
      </c>
      <c r="C825" s="32" t="n">
        <v>45998.85902777778</v>
      </c>
      <c r="D825" t="n">
        <v>3</v>
      </c>
      <c r="E825" t="n">
        <v>35</v>
      </c>
    </row>
    <row r="826">
      <c r="A826" t="inlineStr">
        <is>
          <t>ED211830</t>
        </is>
      </c>
      <c r="B826" t="inlineStr">
        <is>
          <t>Bluestone Memorial</t>
        </is>
      </c>
      <c r="C826" s="32" t="n">
        <v>45999.08125</v>
      </c>
      <c r="D826" t="n">
        <v>5</v>
      </c>
      <c r="E826" t="n">
        <v>144</v>
      </c>
    </row>
    <row r="827">
      <c r="A827" t="inlineStr">
        <is>
          <t>ED211832</t>
        </is>
      </c>
      <c r="B827" t="inlineStr">
        <is>
          <t>Bluestone Memorial</t>
        </is>
      </c>
      <c r="C827" s="32" t="n">
        <v>45999.20277777778</v>
      </c>
      <c r="D827" t="n">
        <v>3</v>
      </c>
      <c r="E827" t="n">
        <v>16</v>
      </c>
    </row>
    <row r="828">
      <c r="A828" t="inlineStr">
        <is>
          <t>ED211833</t>
        </is>
      </c>
      <c r="B828" t="inlineStr">
        <is>
          <t>Bluestone Memorial</t>
        </is>
      </c>
      <c r="C828" s="32" t="n">
        <v>45999.31319444445</v>
      </c>
      <c r="D828" t="n">
        <v>3</v>
      </c>
      <c r="E828" t="n">
        <v>62</v>
      </c>
    </row>
    <row r="829">
      <c r="A829" t="inlineStr">
        <is>
          <t>ED211834</t>
        </is>
      </c>
      <c r="B829" t="inlineStr">
        <is>
          <t>Bluestone Memorial</t>
        </is>
      </c>
      <c r="C829" s="32" t="n">
        <v>45999.31388888889</v>
      </c>
      <c r="D829" t="n">
        <v>3</v>
      </c>
      <c r="E829" t="n">
        <v>38</v>
      </c>
    </row>
    <row r="830">
      <c r="A830" t="inlineStr">
        <is>
          <t>ED211835</t>
        </is>
      </c>
      <c r="B830" t="inlineStr">
        <is>
          <t>Bluestone Memorial</t>
        </is>
      </c>
      <c r="C830" s="32" t="n">
        <v>45999.40277777778</v>
      </c>
      <c r="D830" t="n">
        <v>3</v>
      </c>
      <c r="E830" t="n">
        <v>37</v>
      </c>
    </row>
    <row r="831">
      <c r="A831" t="inlineStr">
        <is>
          <t>ED211836</t>
        </is>
      </c>
      <c r="B831" t="inlineStr">
        <is>
          <t>Bluestone Memorial</t>
        </is>
      </c>
      <c r="C831" s="32" t="n">
        <v>45999.40763888889</v>
      </c>
      <c r="D831" t="n">
        <v>5</v>
      </c>
      <c r="E831" t="n">
        <v>68</v>
      </c>
    </row>
    <row r="832">
      <c r="A832" t="inlineStr">
        <is>
          <t>ED211838</t>
        </is>
      </c>
      <c r="B832" t="inlineStr">
        <is>
          <t>Bluestone Memorial</t>
        </is>
      </c>
      <c r="C832" s="32" t="n">
        <v>45999.47152777778</v>
      </c>
      <c r="D832" t="n">
        <v>4</v>
      </c>
      <c r="E832" t="n">
        <v>25</v>
      </c>
    </row>
    <row r="833">
      <c r="A833" t="inlineStr">
        <is>
          <t>ED211839</t>
        </is>
      </c>
      <c r="B833" t="inlineStr">
        <is>
          <t>Bluestone Memorial</t>
        </is>
      </c>
      <c r="C833" s="32" t="n">
        <v>45999.47569444445</v>
      </c>
      <c r="D833" t="n">
        <v>2</v>
      </c>
      <c r="E833" t="n">
        <v>28</v>
      </c>
    </row>
    <row r="834">
      <c r="A834" t="inlineStr">
        <is>
          <t>ED211840</t>
        </is>
      </c>
      <c r="B834" t="inlineStr">
        <is>
          <t>Bluestone Memorial</t>
        </is>
      </c>
      <c r="C834" s="32" t="n">
        <v>45999.51597222222</v>
      </c>
      <c r="D834" t="n">
        <v>3</v>
      </c>
      <c r="E834" t="n">
        <v>53</v>
      </c>
    </row>
    <row r="835">
      <c r="A835" t="inlineStr">
        <is>
          <t>ED211841</t>
        </is>
      </c>
      <c r="B835" t="inlineStr">
        <is>
          <t>Bluestone Memorial</t>
        </is>
      </c>
      <c r="C835" s="32" t="n">
        <v>45999.53125</v>
      </c>
      <c r="D835" t="n">
        <v>4</v>
      </c>
      <c r="E835" t="n">
        <v>90</v>
      </c>
    </row>
    <row r="836">
      <c r="A836" t="inlineStr">
        <is>
          <t>ED211842</t>
        </is>
      </c>
      <c r="B836" t="inlineStr">
        <is>
          <t>Bluestone Memorial</t>
        </is>
      </c>
      <c r="C836" s="32" t="n">
        <v>45999.54097222222</v>
      </c>
      <c r="D836" t="n">
        <v>3</v>
      </c>
      <c r="E836" t="n">
        <v>74</v>
      </c>
    </row>
    <row r="837">
      <c r="A837" t="inlineStr">
        <is>
          <t>ED211843</t>
        </is>
      </c>
      <c r="B837" t="inlineStr">
        <is>
          <t>Bluestone Memorial</t>
        </is>
      </c>
      <c r="C837" s="32" t="n">
        <v>45999.55277777778</v>
      </c>
      <c r="D837" t="n">
        <v>2</v>
      </c>
      <c r="E837" t="n">
        <v>27</v>
      </c>
    </row>
    <row r="838">
      <c r="A838" t="inlineStr">
        <is>
          <t>ED211844</t>
        </is>
      </c>
      <c r="B838" t="inlineStr">
        <is>
          <t>Bluestone Memorial</t>
        </is>
      </c>
      <c r="C838" s="32" t="n">
        <v>45999.56041666667</v>
      </c>
      <c r="D838" t="n">
        <v>2</v>
      </c>
      <c r="E838" t="n">
        <v>22</v>
      </c>
    </row>
    <row r="839">
      <c r="A839" t="inlineStr">
        <is>
          <t>ED211845</t>
        </is>
      </c>
      <c r="B839" t="inlineStr">
        <is>
          <t>Bluestone Memorial</t>
        </is>
      </c>
      <c r="C839" s="32" t="n">
        <v>45999.58819444444</v>
      </c>
      <c r="D839" t="n">
        <v>5</v>
      </c>
      <c r="E839" t="n">
        <v>68</v>
      </c>
    </row>
    <row r="840">
      <c r="A840" t="inlineStr">
        <is>
          <t>ED211847</t>
        </is>
      </c>
      <c r="B840" t="inlineStr">
        <is>
          <t>Bluestone Memorial</t>
        </is>
      </c>
      <c r="C840" s="32" t="n">
        <v>45999.60138888889</v>
      </c>
      <c r="D840" t="n">
        <v>3</v>
      </c>
      <c r="E840" t="n">
        <v>87</v>
      </c>
    </row>
    <row r="841">
      <c r="A841" t="inlineStr">
        <is>
          <t>ED211848</t>
        </is>
      </c>
      <c r="B841" t="inlineStr">
        <is>
          <t>Bluestone Memorial</t>
        </is>
      </c>
      <c r="C841" s="32" t="n">
        <v>45999.60694444444</v>
      </c>
      <c r="D841" t="n">
        <v>3</v>
      </c>
      <c r="E841" t="n">
        <v>45</v>
      </c>
    </row>
    <row r="842">
      <c r="A842" t="inlineStr">
        <is>
          <t>ED211850</t>
        </is>
      </c>
      <c r="B842" t="inlineStr">
        <is>
          <t>Bluestone Memorial</t>
        </is>
      </c>
      <c r="C842" s="32" t="n">
        <v>45999.61388888889</v>
      </c>
      <c r="D842" t="n">
        <v>3</v>
      </c>
      <c r="E842" t="n">
        <v>102</v>
      </c>
    </row>
    <row r="843">
      <c r="A843" t="inlineStr">
        <is>
          <t>ED211851</t>
        </is>
      </c>
      <c r="B843" t="inlineStr">
        <is>
          <t>Bluestone Memorial</t>
        </is>
      </c>
      <c r="C843" s="32" t="n">
        <v>45999.68055555555</v>
      </c>
      <c r="D843" t="n">
        <v>4</v>
      </c>
      <c r="E843" t="n">
        <v>87</v>
      </c>
    </row>
    <row r="844">
      <c r="A844" t="inlineStr">
        <is>
          <t>ED211852</t>
        </is>
      </c>
      <c r="B844" t="inlineStr">
        <is>
          <t>Bluestone Memorial</t>
        </is>
      </c>
      <c r="C844" s="32" t="n">
        <v>45999.72291666667</v>
      </c>
      <c r="D844" t="n">
        <v>2</v>
      </c>
      <c r="E844" t="n">
        <v>32</v>
      </c>
    </row>
    <row r="845">
      <c r="A845" t="inlineStr">
        <is>
          <t>ED211853</t>
        </is>
      </c>
      <c r="B845" t="inlineStr">
        <is>
          <t>Bluestone Memorial</t>
        </is>
      </c>
      <c r="C845" s="32" t="n">
        <v>45999.80069444444</v>
      </c>
      <c r="D845" t="n">
        <v>4</v>
      </c>
      <c r="E845" t="n">
        <v>55</v>
      </c>
    </row>
    <row r="846">
      <c r="A846" t="inlineStr">
        <is>
          <t>ED211854</t>
        </is>
      </c>
      <c r="B846" t="inlineStr">
        <is>
          <t>Bluestone Memorial</t>
        </is>
      </c>
      <c r="C846" s="32" t="n">
        <v>45999.82708333333</v>
      </c>
      <c r="D846" t="n">
        <v>3</v>
      </c>
      <c r="E846" t="n">
        <v>62</v>
      </c>
    </row>
    <row r="847">
      <c r="A847" t="inlineStr">
        <is>
          <t>ED211855</t>
        </is>
      </c>
      <c r="B847" t="inlineStr">
        <is>
          <t>Bluestone Memorial</t>
        </is>
      </c>
      <c r="C847" s="32" t="n">
        <v>45999.84583333333</v>
      </c>
      <c r="D847" t="n">
        <v>2</v>
      </c>
      <c r="E847" t="n">
        <v>10</v>
      </c>
    </row>
    <row r="848">
      <c r="A848" t="inlineStr">
        <is>
          <t>ED211857</t>
        </is>
      </c>
      <c r="B848" t="inlineStr">
        <is>
          <t>Bluestone Memorial</t>
        </is>
      </c>
      <c r="C848" s="32" t="n">
        <v>45999.88263888889</v>
      </c>
      <c r="D848" t="n">
        <v>2</v>
      </c>
      <c r="E848" t="n">
        <v>13</v>
      </c>
    </row>
    <row r="849">
      <c r="A849" t="inlineStr">
        <is>
          <t>ED211859</t>
        </is>
      </c>
      <c r="B849" t="inlineStr">
        <is>
          <t>Bluestone Memorial</t>
        </is>
      </c>
      <c r="C849" s="32" t="n">
        <v>45999.99722222222</v>
      </c>
      <c r="D849" t="n">
        <v>4</v>
      </c>
      <c r="E849" t="n">
        <v>73</v>
      </c>
    </row>
    <row r="850">
      <c r="A850" t="inlineStr">
        <is>
          <t>ED211861</t>
        </is>
      </c>
      <c r="B850" t="inlineStr">
        <is>
          <t>Bluestone Memorial</t>
        </is>
      </c>
      <c r="C850" s="32" t="n">
        <v>46000.12013888889</v>
      </c>
      <c r="D850" t="n">
        <v>2</v>
      </c>
      <c r="E850" t="n">
        <v>6</v>
      </c>
    </row>
    <row r="851">
      <c r="A851" t="inlineStr">
        <is>
          <t>ED211862</t>
        </is>
      </c>
      <c r="B851" t="inlineStr">
        <is>
          <t>Bluestone Memorial</t>
        </is>
      </c>
      <c r="C851" s="32" t="n">
        <v>46000.2125</v>
      </c>
      <c r="D851" t="n">
        <v>3</v>
      </c>
      <c r="E851" t="n">
        <v>22</v>
      </c>
    </row>
    <row r="852">
      <c r="A852" t="inlineStr">
        <is>
          <t>ED211863</t>
        </is>
      </c>
      <c r="B852" t="inlineStr">
        <is>
          <t>Bluestone Memorial</t>
        </is>
      </c>
      <c r="C852" s="32" t="n">
        <v>46000.36597222222</v>
      </c>
      <c r="D852" t="n">
        <v>2</v>
      </c>
      <c r="E852" t="n">
        <v>13</v>
      </c>
    </row>
    <row r="853">
      <c r="A853" t="inlineStr">
        <is>
          <t>ED211865</t>
        </is>
      </c>
      <c r="B853" t="inlineStr">
        <is>
          <t>Bluestone Memorial</t>
        </is>
      </c>
      <c r="C853" s="32" t="n">
        <v>46000.39861111111</v>
      </c>
      <c r="D853" t="n">
        <v>4</v>
      </c>
      <c r="E853" t="n">
        <v>62</v>
      </c>
    </row>
    <row r="854">
      <c r="A854" t="inlineStr">
        <is>
          <t>ED211867</t>
        </is>
      </c>
      <c r="B854" t="inlineStr">
        <is>
          <t>Bluestone Memorial</t>
        </is>
      </c>
      <c r="C854" s="32" t="n">
        <v>46000.42708333334</v>
      </c>
      <c r="D854" t="n">
        <v>2</v>
      </c>
      <c r="E854" t="n">
        <v>14</v>
      </c>
    </row>
    <row r="855">
      <c r="A855" t="inlineStr">
        <is>
          <t>ED211868</t>
        </is>
      </c>
      <c r="B855" t="inlineStr">
        <is>
          <t>Bluestone Memorial</t>
        </is>
      </c>
      <c r="C855" s="32" t="n">
        <v>46000.42847222222</v>
      </c>
      <c r="D855" t="n">
        <v>3</v>
      </c>
      <c r="E855" t="n">
        <v>174</v>
      </c>
    </row>
    <row r="856">
      <c r="A856" t="inlineStr">
        <is>
          <t>ED211869</t>
        </is>
      </c>
      <c r="B856" t="inlineStr">
        <is>
          <t>Bluestone Memorial</t>
        </is>
      </c>
      <c r="C856" s="32" t="n">
        <v>46000.45138888889</v>
      </c>
      <c r="D856" t="n">
        <v>3</v>
      </c>
      <c r="E856" t="n">
        <v>77</v>
      </c>
    </row>
    <row r="857">
      <c r="A857" t="inlineStr">
        <is>
          <t>ED211870</t>
        </is>
      </c>
      <c r="B857" t="inlineStr">
        <is>
          <t>Bluestone Memorial</t>
        </is>
      </c>
      <c r="C857" s="32" t="n">
        <v>46000.45277777778</v>
      </c>
      <c r="D857" t="n">
        <v>2</v>
      </c>
      <c r="E857" t="n">
        <v>20</v>
      </c>
    </row>
    <row r="858">
      <c r="A858" t="inlineStr">
        <is>
          <t>ED211871</t>
        </is>
      </c>
      <c r="B858" t="inlineStr">
        <is>
          <t>Bluestone Memorial</t>
        </is>
      </c>
      <c r="C858" s="32" t="n">
        <v>46000.45347222222</v>
      </c>
      <c r="D858" t="n">
        <v>3</v>
      </c>
      <c r="E858" t="n">
        <v>59</v>
      </c>
    </row>
    <row r="859">
      <c r="A859" t="inlineStr">
        <is>
          <t>ED211872</t>
        </is>
      </c>
      <c r="B859" t="inlineStr">
        <is>
          <t>Bluestone Memorial</t>
        </is>
      </c>
      <c r="C859" s="32" t="n">
        <v>46000.48402777778</v>
      </c>
      <c r="D859" t="n">
        <v>3</v>
      </c>
      <c r="E859" t="n">
        <v>123</v>
      </c>
    </row>
    <row r="860">
      <c r="A860" t="inlineStr">
        <is>
          <t>ED211873</t>
        </is>
      </c>
      <c r="B860" t="inlineStr">
        <is>
          <t>Bluestone Memorial</t>
        </is>
      </c>
      <c r="C860" s="32" t="n">
        <v>46000.53263888889</v>
      </c>
      <c r="D860" t="n">
        <v>4</v>
      </c>
      <c r="E860" t="n">
        <v>95</v>
      </c>
    </row>
    <row r="861">
      <c r="A861" t="inlineStr">
        <is>
          <t>ED211875</t>
        </is>
      </c>
      <c r="B861" t="inlineStr">
        <is>
          <t>Bluestone Memorial</t>
        </is>
      </c>
      <c r="C861" s="32" t="n">
        <v>46000.62152777778</v>
      </c>
      <c r="D861" t="n">
        <v>4</v>
      </c>
      <c r="E861" t="n">
        <v>43</v>
      </c>
    </row>
    <row r="862">
      <c r="A862" t="inlineStr">
        <is>
          <t>ED211876</t>
        </is>
      </c>
      <c r="B862" t="inlineStr">
        <is>
          <t>Bluestone Memorial</t>
        </is>
      </c>
      <c r="C862" s="32" t="n">
        <v>46000.65069444444</v>
      </c>
      <c r="D862" t="n">
        <v>3</v>
      </c>
      <c r="E862" t="n">
        <v>23</v>
      </c>
    </row>
    <row r="863">
      <c r="A863" t="inlineStr">
        <is>
          <t>ED211877</t>
        </is>
      </c>
      <c r="B863" t="inlineStr">
        <is>
          <t>Bluestone Memorial</t>
        </is>
      </c>
      <c r="C863" s="32" t="n">
        <v>46000.67916666667</v>
      </c>
      <c r="D863" t="n">
        <v>2</v>
      </c>
      <c r="E863" t="n">
        <v>19</v>
      </c>
    </row>
    <row r="864">
      <c r="A864" t="inlineStr">
        <is>
          <t>ED211879</t>
        </is>
      </c>
      <c r="B864" t="inlineStr">
        <is>
          <t>Bluestone Memorial</t>
        </is>
      </c>
      <c r="C864" s="32" t="n">
        <v>46000.70208333333</v>
      </c>
      <c r="D864" t="n">
        <v>4</v>
      </c>
      <c r="E864" t="n">
        <v>88</v>
      </c>
    </row>
    <row r="865">
      <c r="A865" t="inlineStr">
        <is>
          <t>ED211880</t>
        </is>
      </c>
      <c r="B865" t="inlineStr">
        <is>
          <t>Bluestone Memorial</t>
        </is>
      </c>
      <c r="C865" s="32" t="n">
        <v>46000.72013888889</v>
      </c>
      <c r="D865" t="n">
        <v>2</v>
      </c>
      <c r="E865" t="n">
        <v>14</v>
      </c>
    </row>
    <row r="866">
      <c r="A866" t="inlineStr">
        <is>
          <t>ED211881</t>
        </is>
      </c>
      <c r="B866" t="inlineStr">
        <is>
          <t>Bluestone Memorial</t>
        </is>
      </c>
      <c r="C866" s="32" t="n">
        <v>46000.72638888889</v>
      </c>
      <c r="D866" t="n">
        <v>4</v>
      </c>
      <c r="E866" t="n">
        <v>160</v>
      </c>
    </row>
    <row r="867">
      <c r="A867" t="inlineStr">
        <is>
          <t>ED211882</t>
        </is>
      </c>
      <c r="B867" t="inlineStr">
        <is>
          <t>Bluestone Memorial</t>
        </is>
      </c>
      <c r="C867" s="32" t="n">
        <v>46000.74930555555</v>
      </c>
      <c r="D867" t="n">
        <v>3</v>
      </c>
      <c r="E867" t="n">
        <v>11</v>
      </c>
    </row>
    <row r="868">
      <c r="A868" t="inlineStr">
        <is>
          <t>ED211884</t>
        </is>
      </c>
      <c r="B868" t="inlineStr">
        <is>
          <t>Bluestone Memorial</t>
        </is>
      </c>
      <c r="C868" s="32" t="n">
        <v>46000.96041666667</v>
      </c>
      <c r="D868" t="n">
        <v>3</v>
      </c>
      <c r="E868" t="n">
        <v>10</v>
      </c>
    </row>
    <row r="869">
      <c r="A869" t="inlineStr">
        <is>
          <t>ED211885</t>
        </is>
      </c>
      <c r="B869" t="inlineStr">
        <is>
          <t>Bluestone Memorial</t>
        </is>
      </c>
      <c r="C869" s="32" t="n">
        <v>46001.17777777778</v>
      </c>
      <c r="D869" t="n">
        <v>3</v>
      </c>
      <c r="E869" t="n">
        <v>40</v>
      </c>
    </row>
    <row r="870">
      <c r="A870" t="inlineStr">
        <is>
          <t>ED211889</t>
        </is>
      </c>
      <c r="B870" t="inlineStr">
        <is>
          <t>Bluestone Memorial</t>
        </is>
      </c>
      <c r="C870" s="32" t="n">
        <v>46001.50972222222</v>
      </c>
      <c r="D870" t="n">
        <v>4</v>
      </c>
    </row>
    <row r="871">
      <c r="A871" t="inlineStr">
        <is>
          <t>ED211890</t>
        </is>
      </c>
      <c r="B871" t="inlineStr">
        <is>
          <t>Bluestone Memorial</t>
        </is>
      </c>
      <c r="C871" s="32" t="n">
        <v>46001.5625</v>
      </c>
      <c r="D871" t="n">
        <v>4</v>
      </c>
      <c r="E871" t="n">
        <v>28</v>
      </c>
    </row>
    <row r="872">
      <c r="A872" t="inlineStr">
        <is>
          <t>ED211892</t>
        </is>
      </c>
      <c r="B872" t="inlineStr">
        <is>
          <t>Bluestone Memorial</t>
        </is>
      </c>
      <c r="C872" s="32" t="n">
        <v>46001.60763888889</v>
      </c>
      <c r="D872" t="n">
        <v>3</v>
      </c>
      <c r="E872" t="n">
        <v>95</v>
      </c>
    </row>
    <row r="873">
      <c r="A873" t="inlineStr">
        <is>
          <t>ED211895</t>
        </is>
      </c>
      <c r="B873" t="inlineStr">
        <is>
          <t>Bluestone Memorial</t>
        </is>
      </c>
      <c r="C873" s="32" t="n">
        <v>46001.66319444445</v>
      </c>
      <c r="D873" t="n">
        <v>4</v>
      </c>
      <c r="E873" t="n">
        <v>97</v>
      </c>
    </row>
    <row r="874">
      <c r="A874" t="inlineStr">
        <is>
          <t>ED211896</t>
        </is>
      </c>
      <c r="B874" t="inlineStr">
        <is>
          <t>Bluestone Memorial</t>
        </is>
      </c>
      <c r="C874" s="32" t="n">
        <v>46001.66736111111</v>
      </c>
      <c r="D874" t="n">
        <v>3</v>
      </c>
      <c r="E874" t="n">
        <v>105</v>
      </c>
    </row>
    <row r="875">
      <c r="A875" t="inlineStr">
        <is>
          <t>ED211898</t>
        </is>
      </c>
      <c r="B875" t="inlineStr">
        <is>
          <t>Bluestone Memorial</t>
        </is>
      </c>
      <c r="C875" s="32" t="n">
        <v>46001.68402777778</v>
      </c>
      <c r="D875" t="n">
        <v>4</v>
      </c>
      <c r="E875" t="n">
        <v>51</v>
      </c>
    </row>
    <row r="876">
      <c r="A876" t="inlineStr">
        <is>
          <t>ED211899</t>
        </is>
      </c>
      <c r="B876" t="inlineStr">
        <is>
          <t>Bluestone Memorial</t>
        </is>
      </c>
      <c r="C876" s="32" t="n">
        <v>46001.7125</v>
      </c>
      <c r="D876" t="n">
        <v>4</v>
      </c>
    </row>
    <row r="877">
      <c r="A877" t="inlineStr">
        <is>
          <t>ED211900</t>
        </is>
      </c>
      <c r="B877" t="inlineStr">
        <is>
          <t>Bluestone Memorial</t>
        </is>
      </c>
      <c r="C877" s="32" t="n">
        <v>46001.81180555555</v>
      </c>
      <c r="D877" t="n">
        <v>4</v>
      </c>
      <c r="E877" t="n">
        <v>85</v>
      </c>
    </row>
    <row r="878">
      <c r="A878" t="inlineStr">
        <is>
          <t>ED211902</t>
        </is>
      </c>
      <c r="B878" t="inlineStr">
        <is>
          <t>Bluestone Memorial</t>
        </is>
      </c>
      <c r="C878" s="32" t="n">
        <v>46001.82638888889</v>
      </c>
      <c r="D878" t="n">
        <v>3</v>
      </c>
      <c r="E878" t="n">
        <v>26</v>
      </c>
    </row>
    <row r="879">
      <c r="A879" t="inlineStr">
        <is>
          <t>ED211903</t>
        </is>
      </c>
      <c r="B879" t="inlineStr">
        <is>
          <t>Bluestone Memorial</t>
        </is>
      </c>
      <c r="C879" s="32" t="n">
        <v>46001.83472222222</v>
      </c>
      <c r="D879" t="n">
        <v>1</v>
      </c>
      <c r="E879" t="n">
        <v>4</v>
      </c>
    </row>
    <row r="880">
      <c r="A880" t="inlineStr">
        <is>
          <t>ED211904</t>
        </is>
      </c>
      <c r="B880" t="inlineStr">
        <is>
          <t>Bluestone Memorial</t>
        </is>
      </c>
      <c r="C880" s="32" t="n">
        <v>46001.93472222222</v>
      </c>
      <c r="D880" t="n">
        <v>4</v>
      </c>
      <c r="E880" t="n">
        <v>34</v>
      </c>
    </row>
    <row r="881">
      <c r="A881" t="inlineStr">
        <is>
          <t>ED211906</t>
        </is>
      </c>
      <c r="B881" t="inlineStr">
        <is>
          <t>Bluestone Memorial</t>
        </is>
      </c>
      <c r="C881" s="32" t="n">
        <v>46002.38333333333</v>
      </c>
      <c r="D881" t="n">
        <v>1</v>
      </c>
      <c r="E881" t="n">
        <v>5</v>
      </c>
    </row>
    <row r="882">
      <c r="A882" t="inlineStr">
        <is>
          <t>ED211907</t>
        </is>
      </c>
      <c r="B882" t="inlineStr">
        <is>
          <t>Bluestone Memorial</t>
        </is>
      </c>
      <c r="C882" s="32" t="n">
        <v>46002.39027777778</v>
      </c>
      <c r="D882" t="n">
        <v>4</v>
      </c>
      <c r="E882" t="n">
        <v>86</v>
      </c>
    </row>
    <row r="883">
      <c r="A883" t="inlineStr">
        <is>
          <t>ED211910</t>
        </is>
      </c>
      <c r="B883" t="inlineStr">
        <is>
          <t>Bluestone Memorial</t>
        </is>
      </c>
      <c r="C883" s="32" t="n">
        <v>46002.4625</v>
      </c>
      <c r="D883" t="n">
        <v>4</v>
      </c>
      <c r="E883" t="n">
        <v>133</v>
      </c>
    </row>
    <row r="884">
      <c r="A884" t="inlineStr">
        <is>
          <t>ED211911</t>
        </is>
      </c>
      <c r="B884" t="inlineStr">
        <is>
          <t>Bluestone Memorial</t>
        </is>
      </c>
      <c r="C884" s="32" t="n">
        <v>46002.55625</v>
      </c>
      <c r="D884" t="n">
        <v>4</v>
      </c>
    </row>
    <row r="885">
      <c r="A885" t="inlineStr">
        <is>
          <t>ED211912</t>
        </is>
      </c>
      <c r="B885" t="inlineStr">
        <is>
          <t>Bluestone Memorial</t>
        </is>
      </c>
      <c r="C885" s="32" t="n">
        <v>46002.62569444445</v>
      </c>
      <c r="D885" t="n">
        <v>1</v>
      </c>
      <c r="E885" t="n">
        <v>3</v>
      </c>
    </row>
    <row r="886">
      <c r="A886" t="inlineStr">
        <is>
          <t>ED211913</t>
        </is>
      </c>
      <c r="B886" t="inlineStr">
        <is>
          <t>Bluestone Memorial</t>
        </is>
      </c>
      <c r="C886" s="32" t="n">
        <v>46002.65069444444</v>
      </c>
      <c r="D886" t="n">
        <v>5</v>
      </c>
      <c r="E886" t="n">
        <v>56</v>
      </c>
    </row>
    <row r="887">
      <c r="A887" t="inlineStr">
        <is>
          <t>ED211914</t>
        </is>
      </c>
      <c r="B887" t="inlineStr">
        <is>
          <t>Bluestone Memorial</t>
        </is>
      </c>
      <c r="C887" s="32" t="n">
        <v>46002.71736111111</v>
      </c>
      <c r="D887" t="n">
        <v>4</v>
      </c>
      <c r="E887" t="n">
        <v>56</v>
      </c>
    </row>
    <row r="888">
      <c r="A888" t="inlineStr">
        <is>
          <t>ED211915</t>
        </is>
      </c>
      <c r="B888" t="inlineStr">
        <is>
          <t>Bluestone Memorial</t>
        </is>
      </c>
      <c r="C888" s="32" t="n">
        <v>46002.73333333333</v>
      </c>
      <c r="D888" t="n">
        <v>3</v>
      </c>
      <c r="E888" t="n">
        <v>18</v>
      </c>
    </row>
    <row r="889">
      <c r="A889" t="inlineStr">
        <is>
          <t>ED211916</t>
        </is>
      </c>
      <c r="B889" t="inlineStr">
        <is>
          <t>Bluestone Memorial</t>
        </is>
      </c>
      <c r="C889" s="32" t="n">
        <v>46002.84444444445</v>
      </c>
      <c r="D889" t="n">
        <v>3</v>
      </c>
      <c r="E889" t="n">
        <v>95</v>
      </c>
    </row>
    <row r="890">
      <c r="A890" t="inlineStr">
        <is>
          <t>ED211917</t>
        </is>
      </c>
      <c r="B890" t="inlineStr">
        <is>
          <t>Bluestone Memorial</t>
        </is>
      </c>
      <c r="C890" s="32" t="n">
        <v>46002.90555555555</v>
      </c>
      <c r="D890" t="n">
        <v>3</v>
      </c>
      <c r="E890" t="n">
        <v>17</v>
      </c>
    </row>
    <row r="891">
      <c r="A891" t="inlineStr">
        <is>
          <t>ED211920</t>
        </is>
      </c>
      <c r="B891" t="inlineStr">
        <is>
          <t>Bluestone Memorial</t>
        </is>
      </c>
      <c r="C891" s="32" t="n">
        <v>46003.33819444444</v>
      </c>
      <c r="D891" t="n">
        <v>3</v>
      </c>
      <c r="E891" t="n">
        <v>74</v>
      </c>
    </row>
    <row r="892">
      <c r="A892" t="inlineStr">
        <is>
          <t>ED211921</t>
        </is>
      </c>
      <c r="B892" t="inlineStr">
        <is>
          <t>Bluestone Memorial</t>
        </is>
      </c>
      <c r="C892" s="32" t="n">
        <v>46003.46319444444</v>
      </c>
      <c r="D892" t="n">
        <v>3</v>
      </c>
      <c r="E892" t="n">
        <v>14</v>
      </c>
    </row>
    <row r="893">
      <c r="A893" t="inlineStr">
        <is>
          <t>ED211923</t>
        </is>
      </c>
      <c r="B893" t="inlineStr">
        <is>
          <t>Bluestone Memorial</t>
        </is>
      </c>
      <c r="C893" s="32" t="n">
        <v>46003.52569444444</v>
      </c>
      <c r="D893" t="n">
        <v>4</v>
      </c>
      <c r="E893" t="n">
        <v>79</v>
      </c>
    </row>
    <row r="894">
      <c r="A894" t="inlineStr">
        <is>
          <t>ED211924</t>
        </is>
      </c>
      <c r="B894" t="inlineStr">
        <is>
          <t>Bluestone Memorial</t>
        </is>
      </c>
      <c r="C894" s="32" t="n">
        <v>46003.54652777778</v>
      </c>
      <c r="D894" t="n">
        <v>2</v>
      </c>
      <c r="E894" t="n">
        <v>9</v>
      </c>
    </row>
    <row r="895">
      <c r="A895" t="inlineStr">
        <is>
          <t>ED211925</t>
        </is>
      </c>
      <c r="B895" t="inlineStr">
        <is>
          <t>Bluestone Memorial</t>
        </is>
      </c>
      <c r="C895" s="32" t="n">
        <v>46003.625</v>
      </c>
      <c r="D895" t="n">
        <v>4</v>
      </c>
      <c r="E895" t="n">
        <v>47</v>
      </c>
    </row>
    <row r="896">
      <c r="A896" t="inlineStr">
        <is>
          <t>ED211926</t>
        </is>
      </c>
      <c r="B896" t="inlineStr">
        <is>
          <t>Bluestone Memorial</t>
        </is>
      </c>
      <c r="C896" s="32" t="n">
        <v>46003.62569444445</v>
      </c>
      <c r="D896" t="n">
        <v>2</v>
      </c>
      <c r="E896" t="n">
        <v>28</v>
      </c>
    </row>
    <row r="897">
      <c r="A897" t="inlineStr">
        <is>
          <t>ED211927</t>
        </is>
      </c>
      <c r="B897" t="inlineStr">
        <is>
          <t>Bluestone Memorial</t>
        </is>
      </c>
      <c r="C897" s="32" t="n">
        <v>46003.62708333333</v>
      </c>
      <c r="D897" t="n">
        <v>3</v>
      </c>
      <c r="E897" t="n">
        <v>41</v>
      </c>
    </row>
    <row r="898">
      <c r="A898" t="inlineStr">
        <is>
          <t>ED211930</t>
        </is>
      </c>
      <c r="B898" t="inlineStr">
        <is>
          <t>Bluestone Memorial</t>
        </is>
      </c>
      <c r="C898" s="32" t="n">
        <v>46003.74930555555</v>
      </c>
      <c r="D898" t="n">
        <v>3</v>
      </c>
      <c r="E898" t="n">
        <v>109</v>
      </c>
    </row>
    <row r="899">
      <c r="A899" t="inlineStr">
        <is>
          <t>ED211931</t>
        </is>
      </c>
      <c r="B899" t="inlineStr">
        <is>
          <t>Bluestone Memorial</t>
        </is>
      </c>
      <c r="C899" s="32" t="n">
        <v>46003.75902777778</v>
      </c>
      <c r="D899" t="n">
        <v>4</v>
      </c>
      <c r="E899" t="n">
        <v>95</v>
      </c>
    </row>
    <row r="900">
      <c r="A900" t="inlineStr">
        <is>
          <t>ED211932</t>
        </is>
      </c>
      <c r="B900" t="inlineStr">
        <is>
          <t>Bluestone Memorial</t>
        </is>
      </c>
      <c r="C900" s="32" t="n">
        <v>46003.78125</v>
      </c>
      <c r="D900" t="n">
        <v>3</v>
      </c>
      <c r="E900" t="n">
        <v>41</v>
      </c>
    </row>
    <row r="901">
      <c r="A901" t="inlineStr">
        <is>
          <t>ED211933</t>
        </is>
      </c>
      <c r="B901" t="inlineStr">
        <is>
          <t>Bluestone Memorial</t>
        </is>
      </c>
      <c r="C901" s="32" t="n">
        <v>46003.85138888889</v>
      </c>
      <c r="D901" t="n">
        <v>5</v>
      </c>
      <c r="E901" t="n">
        <v>24</v>
      </c>
    </row>
    <row r="902">
      <c r="A902" t="inlineStr">
        <is>
          <t>ED211934</t>
        </is>
      </c>
      <c r="B902" t="inlineStr">
        <is>
          <t>Bluestone Memorial</t>
        </is>
      </c>
      <c r="C902" s="32" t="n">
        <v>46003.85694444444</v>
      </c>
      <c r="D902" t="n">
        <v>2</v>
      </c>
      <c r="E902" t="n">
        <v>20</v>
      </c>
    </row>
    <row r="903">
      <c r="A903" t="inlineStr">
        <is>
          <t>ED211935</t>
        </is>
      </c>
      <c r="B903" t="inlineStr">
        <is>
          <t>Bluestone Memorial</t>
        </is>
      </c>
      <c r="C903" s="32" t="n">
        <v>46004.17013888889</v>
      </c>
      <c r="D903" t="n">
        <v>5</v>
      </c>
      <c r="E903" t="n">
        <v>43</v>
      </c>
    </row>
    <row r="904">
      <c r="A904" t="inlineStr">
        <is>
          <t>ED211936</t>
        </is>
      </c>
      <c r="B904" t="inlineStr">
        <is>
          <t>Bluestone Memorial</t>
        </is>
      </c>
      <c r="C904" s="32" t="n">
        <v>46004.20277777778</v>
      </c>
      <c r="D904" t="n">
        <v>2</v>
      </c>
      <c r="E904" t="n">
        <v>10</v>
      </c>
    </row>
    <row r="905">
      <c r="A905" t="inlineStr">
        <is>
          <t>ED211938</t>
        </is>
      </c>
      <c r="B905" t="inlineStr">
        <is>
          <t>Bluestone Memorial</t>
        </is>
      </c>
      <c r="C905" s="32" t="n">
        <v>46004.31875</v>
      </c>
      <c r="D905" t="n">
        <v>2</v>
      </c>
      <c r="E905" t="n">
        <v>13</v>
      </c>
    </row>
    <row r="906">
      <c r="A906" t="inlineStr">
        <is>
          <t>ED211939</t>
        </is>
      </c>
      <c r="B906" t="inlineStr">
        <is>
          <t>Bluestone Memorial</t>
        </is>
      </c>
      <c r="C906" s="32" t="n">
        <v>46004.41458333333</v>
      </c>
      <c r="D906" t="n">
        <v>5</v>
      </c>
      <c r="E906" t="n">
        <v>39</v>
      </c>
    </row>
    <row r="907">
      <c r="A907" t="inlineStr">
        <is>
          <t>ED211940</t>
        </is>
      </c>
      <c r="B907" t="inlineStr">
        <is>
          <t>Bluestone Memorial</t>
        </is>
      </c>
      <c r="C907" s="32" t="n">
        <v>46004.42916666667</v>
      </c>
      <c r="D907" t="n">
        <v>2</v>
      </c>
      <c r="E907" t="n">
        <v>19</v>
      </c>
    </row>
    <row r="908">
      <c r="A908" t="inlineStr">
        <is>
          <t>ED211942</t>
        </is>
      </c>
      <c r="B908" t="inlineStr">
        <is>
          <t>Bluestone Memorial</t>
        </is>
      </c>
      <c r="C908" s="32" t="n">
        <v>46004.48055555556</v>
      </c>
      <c r="D908" t="n">
        <v>2</v>
      </c>
      <c r="E908" t="n">
        <v>12</v>
      </c>
    </row>
    <row r="909">
      <c r="A909" t="inlineStr">
        <is>
          <t>ED211944</t>
        </is>
      </c>
      <c r="B909" t="inlineStr">
        <is>
          <t>Bluestone Memorial</t>
        </is>
      </c>
      <c r="C909" s="32" t="n">
        <v>46004.56944444445</v>
      </c>
      <c r="D909" t="n">
        <v>4</v>
      </c>
      <c r="E909" t="n">
        <v>32</v>
      </c>
    </row>
    <row r="910">
      <c r="A910" t="inlineStr">
        <is>
          <t>ED211947</t>
        </is>
      </c>
      <c r="B910" t="inlineStr">
        <is>
          <t>Bluestone Memorial</t>
        </is>
      </c>
      <c r="C910" s="32" t="n">
        <v>46004.72430555556</v>
      </c>
      <c r="D910" t="n">
        <v>5</v>
      </c>
      <c r="E910" t="n">
        <v>41</v>
      </c>
    </row>
    <row r="911">
      <c r="A911" t="inlineStr">
        <is>
          <t>ED211948</t>
        </is>
      </c>
      <c r="B911" t="inlineStr">
        <is>
          <t>Bluestone Memorial</t>
        </is>
      </c>
      <c r="C911" s="32" t="n">
        <v>46004.72916666666</v>
      </c>
      <c r="D911" t="n">
        <v>5</v>
      </c>
      <c r="E911" t="n">
        <v>74</v>
      </c>
    </row>
    <row r="912">
      <c r="A912" t="inlineStr">
        <is>
          <t>ED211950</t>
        </is>
      </c>
      <c r="B912" t="inlineStr">
        <is>
          <t>Bluestone Memorial</t>
        </is>
      </c>
      <c r="C912" s="32" t="n">
        <v>46004.88541666666</v>
      </c>
      <c r="D912" t="n">
        <v>2</v>
      </c>
      <c r="E912" t="n">
        <v>10</v>
      </c>
    </row>
    <row r="913">
      <c r="A913" t="inlineStr">
        <is>
          <t>ED211951</t>
        </is>
      </c>
      <c r="B913" t="inlineStr">
        <is>
          <t>Bluestone Memorial</t>
        </is>
      </c>
      <c r="C913" s="32" t="n">
        <v>46004.90486111111</v>
      </c>
      <c r="D913" t="n">
        <v>2</v>
      </c>
      <c r="E913" t="n">
        <v>15</v>
      </c>
    </row>
    <row r="914">
      <c r="A914" t="inlineStr">
        <is>
          <t>ED211952</t>
        </is>
      </c>
      <c r="B914" t="inlineStr">
        <is>
          <t>Bluestone Memorial</t>
        </is>
      </c>
      <c r="C914" s="32" t="n">
        <v>46004.93402777778</v>
      </c>
      <c r="D914" t="n">
        <v>2</v>
      </c>
      <c r="E914" t="n">
        <v>14</v>
      </c>
    </row>
    <row r="915">
      <c r="A915" t="inlineStr">
        <is>
          <t>ED211953</t>
        </is>
      </c>
      <c r="B915" t="inlineStr">
        <is>
          <t>Bluestone Memorial</t>
        </is>
      </c>
      <c r="C915" s="32" t="n">
        <v>46005.31111111111</v>
      </c>
      <c r="D915" t="n">
        <v>3</v>
      </c>
      <c r="E915" t="n">
        <v>58</v>
      </c>
    </row>
    <row r="916">
      <c r="A916" t="inlineStr">
        <is>
          <t>ED211954</t>
        </is>
      </c>
      <c r="B916" t="inlineStr">
        <is>
          <t>Bluestone Memorial</t>
        </is>
      </c>
      <c r="C916" s="32" t="n">
        <v>46005.39375</v>
      </c>
      <c r="D916" t="n">
        <v>3</v>
      </c>
      <c r="E916" t="n">
        <v>27</v>
      </c>
    </row>
    <row r="917">
      <c r="A917" t="inlineStr">
        <is>
          <t>ED211955</t>
        </is>
      </c>
      <c r="B917" t="inlineStr">
        <is>
          <t>Bluestone Memorial</t>
        </is>
      </c>
      <c r="C917" s="32" t="n">
        <v>46005.40416666667</v>
      </c>
      <c r="D917" t="n">
        <v>2</v>
      </c>
      <c r="E917" t="n">
        <v>17</v>
      </c>
    </row>
    <row r="918">
      <c r="A918" t="inlineStr">
        <is>
          <t>ED211956</t>
        </is>
      </c>
      <c r="B918" t="inlineStr">
        <is>
          <t>Bluestone Memorial</t>
        </is>
      </c>
      <c r="C918" s="32" t="n">
        <v>46005.48888888889</v>
      </c>
      <c r="D918" t="n">
        <v>3</v>
      </c>
      <c r="E918" t="n">
        <v>101</v>
      </c>
    </row>
    <row r="919">
      <c r="A919" t="inlineStr">
        <is>
          <t>ED211957</t>
        </is>
      </c>
      <c r="B919" t="inlineStr">
        <is>
          <t>Bluestone Memorial</t>
        </is>
      </c>
      <c r="C919" s="32" t="n">
        <v>46005.57222222222</v>
      </c>
      <c r="D919" t="n">
        <v>3</v>
      </c>
      <c r="E919" t="n">
        <v>50</v>
      </c>
    </row>
    <row r="920">
      <c r="A920" t="inlineStr">
        <is>
          <t>ED211959</t>
        </is>
      </c>
      <c r="B920" t="inlineStr">
        <is>
          <t>Bluestone Memorial</t>
        </is>
      </c>
      <c r="C920" s="32" t="n">
        <v>46005.65208333333</v>
      </c>
      <c r="D920" t="n">
        <v>2</v>
      </c>
      <c r="E920" t="n">
        <v>10</v>
      </c>
    </row>
    <row r="921">
      <c r="A921" t="inlineStr">
        <is>
          <t>ED211961</t>
        </is>
      </c>
      <c r="B921" t="inlineStr">
        <is>
          <t>Bluestone Memorial</t>
        </is>
      </c>
      <c r="C921" s="32" t="n">
        <v>46005.79166666666</v>
      </c>
      <c r="D921" t="n">
        <v>4</v>
      </c>
      <c r="E921" t="n">
        <v>94</v>
      </c>
    </row>
    <row r="922">
      <c r="A922" t="inlineStr">
        <is>
          <t>ED211962</t>
        </is>
      </c>
      <c r="B922" t="inlineStr">
        <is>
          <t>Bluestone Memorial</t>
        </is>
      </c>
      <c r="C922" s="32" t="n">
        <v>46005.84791666667</v>
      </c>
      <c r="D922" t="n">
        <v>4</v>
      </c>
      <c r="E922" t="n">
        <v>64</v>
      </c>
    </row>
    <row r="923">
      <c r="A923" t="inlineStr">
        <is>
          <t>ED211963</t>
        </is>
      </c>
      <c r="B923" t="inlineStr">
        <is>
          <t>Bluestone Memorial</t>
        </is>
      </c>
      <c r="C923" s="32" t="n">
        <v>46005.87083333333</v>
      </c>
      <c r="D923" t="n">
        <v>1</v>
      </c>
      <c r="E923" t="n">
        <v>1</v>
      </c>
    </row>
    <row r="924">
      <c r="A924" t="inlineStr">
        <is>
          <t>ED211964</t>
        </is>
      </c>
      <c r="B924" t="inlineStr">
        <is>
          <t>Bluestone Memorial</t>
        </is>
      </c>
      <c r="C924" s="32" t="n">
        <v>46005.96111111111</v>
      </c>
      <c r="D924" t="n">
        <v>2</v>
      </c>
      <c r="E924" t="n">
        <v>21</v>
      </c>
    </row>
    <row r="925">
      <c r="A925" t="inlineStr">
        <is>
          <t>ED211965</t>
        </is>
      </c>
      <c r="B925" t="inlineStr">
        <is>
          <t>Bluestone Memorial</t>
        </is>
      </c>
      <c r="C925" s="32" t="n">
        <v>46005.97222222222</v>
      </c>
      <c r="D925" t="n">
        <v>4</v>
      </c>
      <c r="E925" t="n">
        <v>44</v>
      </c>
    </row>
    <row r="926">
      <c r="A926" t="inlineStr">
        <is>
          <t>ED211966</t>
        </is>
      </c>
      <c r="B926" t="inlineStr">
        <is>
          <t>Bluestone Memorial</t>
        </is>
      </c>
      <c r="C926" s="32" t="n">
        <v>46006.10625</v>
      </c>
      <c r="D926" t="n">
        <v>3</v>
      </c>
      <c r="E926" t="n">
        <v>41</v>
      </c>
    </row>
    <row r="927">
      <c r="A927" t="inlineStr">
        <is>
          <t>ED211967</t>
        </is>
      </c>
      <c r="B927" t="inlineStr">
        <is>
          <t>Bluestone Memorial</t>
        </is>
      </c>
      <c r="C927" s="32" t="n">
        <v>46006.10694444444</v>
      </c>
      <c r="D927" t="n">
        <v>5</v>
      </c>
      <c r="E927" t="n">
        <v>176</v>
      </c>
    </row>
    <row r="928">
      <c r="A928" t="inlineStr">
        <is>
          <t>ED211968</t>
        </is>
      </c>
      <c r="B928" t="inlineStr">
        <is>
          <t>Bluestone Memorial</t>
        </is>
      </c>
      <c r="C928" s="32" t="n">
        <v>46006.13333333333</v>
      </c>
      <c r="D928" t="n">
        <v>3</v>
      </c>
      <c r="E928" t="n">
        <v>28</v>
      </c>
    </row>
    <row r="929">
      <c r="A929" t="inlineStr">
        <is>
          <t>ED211969</t>
        </is>
      </c>
      <c r="B929" t="inlineStr">
        <is>
          <t>Bluestone Memorial</t>
        </is>
      </c>
      <c r="C929" s="32" t="n">
        <v>46006.19444444445</v>
      </c>
      <c r="D929" t="n">
        <v>2</v>
      </c>
      <c r="E929" t="n">
        <v>5</v>
      </c>
    </row>
    <row r="930">
      <c r="A930" t="inlineStr">
        <is>
          <t>ED211970</t>
        </is>
      </c>
      <c r="B930" t="inlineStr">
        <is>
          <t>Bluestone Memorial</t>
        </is>
      </c>
      <c r="C930" s="32" t="n">
        <v>46006.22569444445</v>
      </c>
      <c r="D930" t="n">
        <v>4</v>
      </c>
      <c r="E930" t="n">
        <v>63</v>
      </c>
    </row>
    <row r="931">
      <c r="A931" t="inlineStr">
        <is>
          <t>ED211971</t>
        </is>
      </c>
      <c r="B931" t="inlineStr">
        <is>
          <t>Bluestone Memorial</t>
        </is>
      </c>
      <c r="C931" s="32" t="n">
        <v>46006.30625</v>
      </c>
      <c r="D931" t="n">
        <v>3</v>
      </c>
      <c r="E931" t="n">
        <v>117</v>
      </c>
    </row>
    <row r="932">
      <c r="A932" t="inlineStr">
        <is>
          <t>ED211973</t>
        </is>
      </c>
      <c r="B932" t="inlineStr">
        <is>
          <t>Bluestone Memorial</t>
        </is>
      </c>
      <c r="C932" s="32" t="n">
        <v>46006.37222222222</v>
      </c>
      <c r="D932" t="n">
        <v>3</v>
      </c>
    </row>
    <row r="933">
      <c r="A933" t="inlineStr">
        <is>
          <t>ED211974</t>
        </is>
      </c>
      <c r="B933" t="inlineStr">
        <is>
          <t>Bluestone Memorial</t>
        </is>
      </c>
      <c r="C933" s="32" t="n">
        <v>46006.40416666667</v>
      </c>
      <c r="D933" t="n">
        <v>5</v>
      </c>
    </row>
    <row r="934">
      <c r="A934" t="inlineStr">
        <is>
          <t>ED211976</t>
        </is>
      </c>
      <c r="B934" t="inlineStr">
        <is>
          <t>Bluestone Memorial</t>
        </is>
      </c>
      <c r="C934" s="32" t="n">
        <v>46006.42986111111</v>
      </c>
      <c r="D934" t="n">
        <v>3</v>
      </c>
      <c r="E934" t="n">
        <v>22</v>
      </c>
    </row>
    <row r="935">
      <c r="A935" t="inlineStr">
        <is>
          <t>ED211978</t>
        </is>
      </c>
      <c r="B935" t="inlineStr">
        <is>
          <t>Bluestone Memorial</t>
        </is>
      </c>
      <c r="C935" s="32" t="n">
        <v>46006.45416666667</v>
      </c>
      <c r="D935" t="n">
        <v>1</v>
      </c>
      <c r="E935" t="n">
        <v>1</v>
      </c>
    </row>
    <row r="936">
      <c r="A936" t="inlineStr">
        <is>
          <t>ED211979</t>
        </is>
      </c>
      <c r="B936" t="inlineStr">
        <is>
          <t>Bluestone Memorial</t>
        </is>
      </c>
      <c r="C936" s="32" t="n">
        <v>46006.46875</v>
      </c>
      <c r="D936" t="n">
        <v>5</v>
      </c>
      <c r="E936" t="n">
        <v>57</v>
      </c>
    </row>
    <row r="937">
      <c r="A937" t="inlineStr">
        <is>
          <t>ED211980</t>
        </is>
      </c>
      <c r="B937" t="inlineStr">
        <is>
          <t>Bluestone Memorial</t>
        </is>
      </c>
      <c r="C937" s="32" t="n">
        <v>46006.50972222222</v>
      </c>
      <c r="D937" t="n">
        <v>3</v>
      </c>
      <c r="E937" t="n">
        <v>28</v>
      </c>
    </row>
    <row r="938">
      <c r="A938" t="inlineStr">
        <is>
          <t>ED211984</t>
        </is>
      </c>
      <c r="B938" t="inlineStr">
        <is>
          <t>Bluestone Memorial</t>
        </is>
      </c>
      <c r="C938" s="32" t="n">
        <v>46006.73194444444</v>
      </c>
      <c r="D938" t="n">
        <v>5</v>
      </c>
      <c r="E938" t="n">
        <v>102</v>
      </c>
    </row>
    <row r="939">
      <c r="A939" t="inlineStr">
        <is>
          <t>ED211986</t>
        </is>
      </c>
      <c r="B939" t="inlineStr">
        <is>
          <t>Bluestone Memorial</t>
        </is>
      </c>
      <c r="C939" s="32" t="n">
        <v>46006.79722222222</v>
      </c>
      <c r="D939" t="n">
        <v>3</v>
      </c>
      <c r="E939" t="n">
        <v>46</v>
      </c>
    </row>
    <row r="940">
      <c r="A940" t="inlineStr">
        <is>
          <t>ED211987</t>
        </is>
      </c>
      <c r="B940" t="inlineStr">
        <is>
          <t>Bluestone Memorial</t>
        </is>
      </c>
      <c r="C940" s="32" t="n">
        <v>46006.80208333334</v>
      </c>
      <c r="D940" t="n">
        <v>1</v>
      </c>
      <c r="E940" t="n">
        <v>3</v>
      </c>
    </row>
    <row r="941">
      <c r="A941" t="inlineStr">
        <is>
          <t>ED211989</t>
        </is>
      </c>
      <c r="B941" t="inlineStr">
        <is>
          <t>Bluestone Memorial</t>
        </is>
      </c>
      <c r="C941" s="32" t="n">
        <v>46006.95486111111</v>
      </c>
      <c r="D941" t="n">
        <v>3</v>
      </c>
      <c r="E941" t="n">
        <v>106</v>
      </c>
    </row>
    <row r="942">
      <c r="A942" t="inlineStr">
        <is>
          <t>ED211990</t>
        </is>
      </c>
      <c r="B942" t="inlineStr">
        <is>
          <t>Bluestone Memorial</t>
        </is>
      </c>
      <c r="C942" s="32" t="n">
        <v>46007.09166666667</v>
      </c>
      <c r="D942" t="n">
        <v>2</v>
      </c>
      <c r="E942" t="n">
        <v>8</v>
      </c>
    </row>
    <row r="943">
      <c r="A943" t="inlineStr">
        <is>
          <t>ED211991</t>
        </is>
      </c>
      <c r="B943" t="inlineStr">
        <is>
          <t>Bluestone Memorial</t>
        </is>
      </c>
      <c r="C943" s="32" t="n">
        <v>46007.19722222222</v>
      </c>
      <c r="D943" t="n">
        <v>5</v>
      </c>
      <c r="E943" t="n">
        <v>137</v>
      </c>
    </row>
    <row r="944">
      <c r="A944" t="inlineStr">
        <is>
          <t>ED211992</t>
        </is>
      </c>
      <c r="B944" t="inlineStr">
        <is>
          <t>Bluestone Memorial</t>
        </is>
      </c>
      <c r="C944" s="32" t="n">
        <v>46007.24861111111</v>
      </c>
      <c r="D944" t="n">
        <v>2</v>
      </c>
      <c r="E944" t="n">
        <v>9</v>
      </c>
    </row>
    <row r="945">
      <c r="A945" t="inlineStr">
        <is>
          <t>ED211993</t>
        </is>
      </c>
      <c r="B945" t="inlineStr">
        <is>
          <t>Bluestone Memorial</t>
        </is>
      </c>
      <c r="C945" s="32" t="n">
        <v>46007.35347222222</v>
      </c>
      <c r="D945" t="n">
        <v>4</v>
      </c>
      <c r="E945" t="n">
        <v>75</v>
      </c>
    </row>
    <row r="946">
      <c r="A946" t="inlineStr">
        <is>
          <t>ED211995</t>
        </is>
      </c>
      <c r="B946" t="inlineStr">
        <is>
          <t>Bluestone Memorial</t>
        </is>
      </c>
      <c r="C946" s="32" t="n">
        <v>46007.42152777778</v>
      </c>
      <c r="D946" t="n">
        <v>3</v>
      </c>
      <c r="E946" t="n">
        <v>42</v>
      </c>
    </row>
    <row r="947">
      <c r="A947" t="inlineStr">
        <is>
          <t>ED211996</t>
        </is>
      </c>
      <c r="B947" t="inlineStr">
        <is>
          <t>Bluestone Memorial</t>
        </is>
      </c>
      <c r="C947" s="32" t="n">
        <v>46007.43958333333</v>
      </c>
      <c r="D947" t="n">
        <v>4</v>
      </c>
      <c r="E947" t="n">
        <v>71</v>
      </c>
    </row>
    <row r="948">
      <c r="A948" t="inlineStr">
        <is>
          <t>ED211998</t>
        </is>
      </c>
      <c r="B948" t="inlineStr">
        <is>
          <t>Bluestone Memorial</t>
        </is>
      </c>
      <c r="C948" s="32" t="n">
        <v>46007.46597222222</v>
      </c>
      <c r="D948" t="n">
        <v>2</v>
      </c>
      <c r="E948" t="n">
        <v>26</v>
      </c>
    </row>
    <row r="949">
      <c r="A949" t="inlineStr">
        <is>
          <t>ED212000</t>
        </is>
      </c>
      <c r="B949" t="inlineStr">
        <is>
          <t>Bluestone Memorial</t>
        </is>
      </c>
      <c r="C949" s="32" t="n">
        <v>46007.57083333333</v>
      </c>
      <c r="D949" t="n">
        <v>3</v>
      </c>
      <c r="E949" t="n">
        <v>38</v>
      </c>
    </row>
    <row r="950">
      <c r="A950" t="inlineStr">
        <is>
          <t>ED212001</t>
        </is>
      </c>
      <c r="B950" t="inlineStr">
        <is>
          <t>Bluestone Memorial</t>
        </is>
      </c>
      <c r="C950" s="32" t="n">
        <v>46007.675</v>
      </c>
      <c r="D950" t="n">
        <v>2</v>
      </c>
      <c r="E950" t="n">
        <v>19</v>
      </c>
    </row>
    <row r="951">
      <c r="A951" t="inlineStr">
        <is>
          <t>ED212003</t>
        </is>
      </c>
      <c r="B951" t="inlineStr">
        <is>
          <t>Bluestone Memorial</t>
        </is>
      </c>
      <c r="C951" s="32" t="n">
        <v>46007.74027777778</v>
      </c>
      <c r="D951" t="n">
        <v>2</v>
      </c>
      <c r="E951" t="n">
        <v>16</v>
      </c>
    </row>
    <row r="952">
      <c r="A952" t="inlineStr">
        <is>
          <t>ED212004</t>
        </is>
      </c>
      <c r="B952" t="inlineStr">
        <is>
          <t>Bluestone Memorial</t>
        </is>
      </c>
      <c r="C952" s="32" t="n">
        <v>46007.74791666667</v>
      </c>
      <c r="D952" t="n">
        <v>3</v>
      </c>
      <c r="E952" t="n">
        <v>89</v>
      </c>
    </row>
    <row r="953">
      <c r="A953" t="inlineStr">
        <is>
          <t>ED212005</t>
        </is>
      </c>
      <c r="B953" t="inlineStr">
        <is>
          <t>Bluestone Memorial</t>
        </is>
      </c>
      <c r="C953" s="32" t="n">
        <v>46007.75277777778</v>
      </c>
      <c r="D953" t="n">
        <v>3</v>
      </c>
      <c r="E953" t="n">
        <v>136</v>
      </c>
    </row>
    <row r="954">
      <c r="A954" t="inlineStr">
        <is>
          <t>ED212006</t>
        </is>
      </c>
      <c r="B954" t="inlineStr">
        <is>
          <t>Bluestone Memorial</t>
        </is>
      </c>
      <c r="C954" s="32" t="n">
        <v>46007.75277777778</v>
      </c>
      <c r="D954" t="n">
        <v>2</v>
      </c>
      <c r="E954" t="n">
        <v>7</v>
      </c>
    </row>
    <row r="955">
      <c r="A955" t="inlineStr">
        <is>
          <t>ED212007</t>
        </is>
      </c>
      <c r="B955" t="inlineStr">
        <is>
          <t>Bluestone Memorial</t>
        </is>
      </c>
      <c r="C955" s="32" t="n">
        <v>46007.76319444444</v>
      </c>
      <c r="D955" t="n">
        <v>4</v>
      </c>
      <c r="E955" t="n">
        <v>110</v>
      </c>
    </row>
    <row r="956">
      <c r="A956" t="inlineStr">
        <is>
          <t>ED212008</t>
        </is>
      </c>
      <c r="B956" t="inlineStr">
        <is>
          <t>Bluestone Memorial</t>
        </is>
      </c>
      <c r="C956" s="32" t="n">
        <v>46007.76527777778</v>
      </c>
      <c r="D956" t="n">
        <v>4</v>
      </c>
      <c r="E956" t="n">
        <v>72</v>
      </c>
    </row>
    <row r="957">
      <c r="A957" t="inlineStr">
        <is>
          <t>ED212011</t>
        </is>
      </c>
      <c r="B957" t="inlineStr">
        <is>
          <t>Bluestone Memorial</t>
        </is>
      </c>
      <c r="C957" s="32" t="n">
        <v>46007.80902777778</v>
      </c>
      <c r="D957" t="n">
        <v>3</v>
      </c>
      <c r="E957" t="n">
        <v>70</v>
      </c>
    </row>
    <row r="958">
      <c r="A958" t="inlineStr">
        <is>
          <t>ED212013</t>
        </is>
      </c>
      <c r="B958" t="inlineStr">
        <is>
          <t>Bluestone Memorial</t>
        </is>
      </c>
      <c r="C958" s="32" t="n">
        <v>46007.86180555556</v>
      </c>
      <c r="D958" t="n">
        <v>4</v>
      </c>
      <c r="E958" t="n">
        <v>163</v>
      </c>
    </row>
    <row r="959">
      <c r="A959" t="inlineStr">
        <is>
          <t>ED212015</t>
        </is>
      </c>
      <c r="B959" t="inlineStr">
        <is>
          <t>Bluestone Memorial</t>
        </is>
      </c>
      <c r="C959" s="32" t="n">
        <v>46007.90138888889</v>
      </c>
      <c r="D959" t="n">
        <v>3</v>
      </c>
      <c r="E959" t="n">
        <v>136</v>
      </c>
    </row>
    <row r="960">
      <c r="A960" t="inlineStr">
        <is>
          <t>ED212017</t>
        </is>
      </c>
      <c r="B960" t="inlineStr">
        <is>
          <t>Bluestone Memorial</t>
        </is>
      </c>
      <c r="C960" s="32" t="n">
        <v>46008.10902777778</v>
      </c>
      <c r="D960" t="n">
        <v>1</v>
      </c>
      <c r="E960" t="n">
        <v>3</v>
      </c>
    </row>
    <row r="961">
      <c r="A961" t="inlineStr">
        <is>
          <t>ED212018</t>
        </is>
      </c>
      <c r="B961" t="inlineStr">
        <is>
          <t>Bluestone Memorial</t>
        </is>
      </c>
      <c r="C961" s="32" t="n">
        <v>46008.38402777778</v>
      </c>
      <c r="D961" t="n">
        <v>5</v>
      </c>
      <c r="E961" t="n">
        <v>183</v>
      </c>
    </row>
    <row r="962">
      <c r="A962" t="inlineStr">
        <is>
          <t>ED212019</t>
        </is>
      </c>
      <c r="B962" t="inlineStr">
        <is>
          <t>Bluestone Memorial</t>
        </is>
      </c>
      <c r="C962" s="32" t="n">
        <v>46008.38472222222</v>
      </c>
      <c r="D962" t="n">
        <v>3</v>
      </c>
      <c r="E962" t="n">
        <v>43</v>
      </c>
    </row>
    <row r="963">
      <c r="A963" t="inlineStr">
        <is>
          <t>ED212020</t>
        </is>
      </c>
      <c r="B963" t="inlineStr">
        <is>
          <t>Bluestone Memorial</t>
        </is>
      </c>
      <c r="C963" s="32" t="n">
        <v>46008.43541666667</v>
      </c>
      <c r="D963" t="n">
        <v>3</v>
      </c>
      <c r="E963" t="n">
        <v>49</v>
      </c>
    </row>
    <row r="964">
      <c r="A964" t="inlineStr">
        <is>
          <t>ED212021</t>
        </is>
      </c>
      <c r="B964" t="inlineStr">
        <is>
          <t>Bluestone Memorial</t>
        </is>
      </c>
      <c r="C964" s="32" t="n">
        <v>46008.45069444444</v>
      </c>
      <c r="D964" t="n">
        <v>3</v>
      </c>
      <c r="E964" t="n">
        <v>52</v>
      </c>
    </row>
    <row r="965">
      <c r="A965" t="inlineStr">
        <is>
          <t>ED212022</t>
        </is>
      </c>
      <c r="B965" t="inlineStr">
        <is>
          <t>Bluestone Memorial</t>
        </is>
      </c>
      <c r="C965" s="32" t="n">
        <v>46008.46527777778</v>
      </c>
      <c r="D965" t="n">
        <v>4</v>
      </c>
      <c r="E965" t="n">
        <v>15</v>
      </c>
    </row>
    <row r="966">
      <c r="A966" t="inlineStr">
        <is>
          <t>ED212023</t>
        </is>
      </c>
      <c r="B966" t="inlineStr">
        <is>
          <t>Bluestone Memorial</t>
        </is>
      </c>
      <c r="C966" s="32" t="n">
        <v>46008.48958333334</v>
      </c>
      <c r="D966" t="n">
        <v>4</v>
      </c>
      <c r="E966" t="n">
        <v>140</v>
      </c>
    </row>
    <row r="967">
      <c r="A967" t="inlineStr">
        <is>
          <t>ED212024</t>
        </is>
      </c>
      <c r="B967" t="inlineStr">
        <is>
          <t>Bluestone Memorial</t>
        </is>
      </c>
      <c r="C967" s="32" t="n">
        <v>46008.49444444444</v>
      </c>
      <c r="D967" t="n">
        <v>3</v>
      </c>
      <c r="E967" t="n">
        <v>63</v>
      </c>
    </row>
    <row r="968">
      <c r="A968" t="inlineStr">
        <is>
          <t>ED212025</t>
        </is>
      </c>
      <c r="B968" t="inlineStr">
        <is>
          <t>Bluestone Memorial</t>
        </is>
      </c>
      <c r="C968" s="32" t="n">
        <v>46008.52291666667</v>
      </c>
      <c r="D968" t="n">
        <v>4</v>
      </c>
      <c r="E968" t="n">
        <v>101</v>
      </c>
    </row>
    <row r="969">
      <c r="A969" t="inlineStr">
        <is>
          <t>ED212026</t>
        </is>
      </c>
      <c r="B969" t="inlineStr">
        <is>
          <t>Bluestone Memorial</t>
        </is>
      </c>
      <c r="C969" s="32" t="n">
        <v>46008.56875</v>
      </c>
      <c r="D969" t="n">
        <v>3</v>
      </c>
      <c r="E969" t="n">
        <v>77</v>
      </c>
    </row>
    <row r="970">
      <c r="A970" t="inlineStr">
        <is>
          <t>ED212027</t>
        </is>
      </c>
      <c r="B970" t="inlineStr">
        <is>
          <t>Bluestone Memorial</t>
        </is>
      </c>
      <c r="C970" s="32" t="n">
        <v>46008.65347222222</v>
      </c>
      <c r="D970" t="n">
        <v>3</v>
      </c>
      <c r="E970" t="n">
        <v>84</v>
      </c>
    </row>
    <row r="971">
      <c r="A971" t="inlineStr">
        <is>
          <t>ED212028</t>
        </is>
      </c>
      <c r="B971" t="inlineStr">
        <is>
          <t>Bluestone Memorial</t>
        </is>
      </c>
      <c r="C971" s="32" t="n">
        <v>46008.66666666666</v>
      </c>
      <c r="D971" t="n">
        <v>5</v>
      </c>
      <c r="E971" t="n">
        <v>84</v>
      </c>
    </row>
    <row r="972">
      <c r="A972" t="inlineStr">
        <is>
          <t>ED212030</t>
        </is>
      </c>
      <c r="B972" t="inlineStr">
        <is>
          <t>Bluestone Memorial</t>
        </is>
      </c>
      <c r="C972" s="32" t="n">
        <v>46008.69583333333</v>
      </c>
      <c r="D972" t="n">
        <v>2</v>
      </c>
      <c r="E972" t="n">
        <v>11</v>
      </c>
    </row>
    <row r="973">
      <c r="A973" t="inlineStr">
        <is>
          <t>ED212032</t>
        </is>
      </c>
      <c r="B973" t="inlineStr">
        <is>
          <t>Bluestone Memorial</t>
        </is>
      </c>
      <c r="C973" s="32" t="n">
        <v>46008.73402777778</v>
      </c>
      <c r="D973" t="n">
        <v>4</v>
      </c>
      <c r="E973" t="n">
        <v>94</v>
      </c>
    </row>
    <row r="974">
      <c r="A974" t="inlineStr">
        <is>
          <t>ED212033</t>
        </is>
      </c>
      <c r="B974" t="inlineStr">
        <is>
          <t>Bluestone Memorial</t>
        </is>
      </c>
      <c r="C974" s="32" t="n">
        <v>46008.85694444444</v>
      </c>
      <c r="D974" t="n">
        <v>4</v>
      </c>
      <c r="E974" t="n">
        <v>116</v>
      </c>
    </row>
    <row r="975">
      <c r="A975" t="inlineStr">
        <is>
          <t>ED212034</t>
        </is>
      </c>
      <c r="B975" t="inlineStr">
        <is>
          <t>Bluestone Memorial</t>
        </is>
      </c>
      <c r="C975" s="32" t="n">
        <v>46008.86388888889</v>
      </c>
      <c r="D975" t="n">
        <v>4</v>
      </c>
      <c r="E975" t="n">
        <v>79</v>
      </c>
    </row>
    <row r="976">
      <c r="A976" t="inlineStr">
        <is>
          <t>ED212036</t>
        </is>
      </c>
      <c r="B976" t="inlineStr">
        <is>
          <t>Bluestone Memorial</t>
        </is>
      </c>
      <c r="C976" s="32" t="n">
        <v>46008.90555555555</v>
      </c>
      <c r="D976" t="n">
        <v>4</v>
      </c>
      <c r="E976" t="n">
        <v>63</v>
      </c>
    </row>
    <row r="977">
      <c r="A977" t="inlineStr">
        <is>
          <t>ED212037</t>
        </is>
      </c>
      <c r="B977" t="inlineStr">
        <is>
          <t>Bluestone Memorial</t>
        </is>
      </c>
      <c r="C977" s="32" t="n">
        <v>46008.9125</v>
      </c>
      <c r="D977" t="n">
        <v>5</v>
      </c>
      <c r="E977" t="n">
        <v>17</v>
      </c>
    </row>
    <row r="978">
      <c r="A978" t="inlineStr">
        <is>
          <t>ED212038</t>
        </is>
      </c>
      <c r="B978" t="inlineStr">
        <is>
          <t>Bluestone Memorial</t>
        </is>
      </c>
      <c r="C978" s="32" t="n">
        <v>46008.94652777778</v>
      </c>
      <c r="D978" t="n">
        <v>5</v>
      </c>
      <c r="E978" t="n">
        <v>14</v>
      </c>
    </row>
    <row r="979">
      <c r="A979" t="inlineStr">
        <is>
          <t>ED212039</t>
        </is>
      </c>
      <c r="B979" t="inlineStr">
        <is>
          <t>Bluestone Memorial</t>
        </is>
      </c>
      <c r="C979" s="32" t="n">
        <v>46008.95069444444</v>
      </c>
      <c r="D979" t="n">
        <v>3</v>
      </c>
      <c r="E979" t="n">
        <v>8</v>
      </c>
    </row>
    <row r="980">
      <c r="A980" t="inlineStr">
        <is>
          <t>ED212040</t>
        </is>
      </c>
      <c r="B980" t="inlineStr">
        <is>
          <t>Bluestone Memorial</t>
        </is>
      </c>
      <c r="C980" s="32" t="n">
        <v>46009.00138888889</v>
      </c>
      <c r="D980" t="n">
        <v>2</v>
      </c>
      <c r="E980" t="n">
        <v>12</v>
      </c>
    </row>
    <row r="981">
      <c r="A981" t="inlineStr">
        <is>
          <t>ED212042</t>
        </is>
      </c>
      <c r="B981" t="inlineStr">
        <is>
          <t>Bluestone Memorial</t>
        </is>
      </c>
      <c r="C981" s="32" t="n">
        <v>46009.08611111111</v>
      </c>
      <c r="D981" t="n">
        <v>3</v>
      </c>
      <c r="E981" t="n">
        <v>25</v>
      </c>
    </row>
    <row r="982">
      <c r="A982" t="inlineStr">
        <is>
          <t>ED212044</t>
        </is>
      </c>
      <c r="B982" t="inlineStr">
        <is>
          <t>Bluestone Memorial</t>
        </is>
      </c>
      <c r="C982" s="32" t="n">
        <v>46009.15277777778</v>
      </c>
      <c r="D982" t="n">
        <v>2</v>
      </c>
      <c r="E982" t="n">
        <v>12</v>
      </c>
    </row>
    <row r="983">
      <c r="A983" t="inlineStr">
        <is>
          <t>ED212045</t>
        </is>
      </c>
      <c r="B983" t="inlineStr">
        <is>
          <t>Bluestone Memorial</t>
        </is>
      </c>
      <c r="C983" s="32" t="n">
        <v>46009.23819444444</v>
      </c>
      <c r="D983" t="n">
        <v>3</v>
      </c>
      <c r="E983" t="n">
        <v>19</v>
      </c>
    </row>
    <row r="984">
      <c r="A984" t="inlineStr">
        <is>
          <t>ED212046</t>
        </is>
      </c>
      <c r="B984" t="inlineStr">
        <is>
          <t>Bluestone Memorial</t>
        </is>
      </c>
      <c r="C984" s="32" t="n">
        <v>46009.35555555556</v>
      </c>
      <c r="D984" t="n">
        <v>1</v>
      </c>
      <c r="E984" t="n">
        <v>4</v>
      </c>
    </row>
    <row r="985">
      <c r="A985" t="inlineStr">
        <is>
          <t>ED212048</t>
        </is>
      </c>
      <c r="B985" t="inlineStr">
        <is>
          <t>Bluestone Memorial</t>
        </is>
      </c>
      <c r="C985" s="32" t="n">
        <v>46009.40694444445</v>
      </c>
      <c r="D985" t="n">
        <v>2</v>
      </c>
      <c r="E985" t="n">
        <v>21</v>
      </c>
    </row>
    <row r="986">
      <c r="A986" t="inlineStr">
        <is>
          <t>ED212049</t>
        </is>
      </c>
      <c r="B986" t="inlineStr">
        <is>
          <t>Bluestone Memorial</t>
        </is>
      </c>
      <c r="C986" s="32" t="n">
        <v>46009.43333333333</v>
      </c>
      <c r="D986" t="n">
        <v>3</v>
      </c>
      <c r="E986" t="n">
        <v>87</v>
      </c>
    </row>
    <row r="987">
      <c r="A987" t="inlineStr">
        <is>
          <t>ED212050</t>
        </is>
      </c>
      <c r="B987" t="inlineStr">
        <is>
          <t>Bluestone Memorial</t>
        </is>
      </c>
      <c r="C987" s="32" t="n">
        <v>46009.43888888889</v>
      </c>
      <c r="D987" t="n">
        <v>3</v>
      </c>
      <c r="E987" t="n">
        <v>32</v>
      </c>
    </row>
    <row r="988">
      <c r="A988" t="inlineStr">
        <is>
          <t>ED212052</t>
        </is>
      </c>
      <c r="B988" t="inlineStr">
        <is>
          <t>Bluestone Memorial</t>
        </is>
      </c>
      <c r="C988" s="32" t="n">
        <v>46009.50833333333</v>
      </c>
      <c r="D988" t="n">
        <v>4</v>
      </c>
      <c r="E988" t="n">
        <v>59</v>
      </c>
    </row>
    <row r="989">
      <c r="A989" t="inlineStr">
        <is>
          <t>ED212054</t>
        </is>
      </c>
      <c r="B989" t="inlineStr">
        <is>
          <t>Bluestone Memorial</t>
        </is>
      </c>
      <c r="C989" s="32" t="n">
        <v>46009.58194444444</v>
      </c>
      <c r="D989" t="n">
        <v>2</v>
      </c>
      <c r="E989" t="n">
        <v>10</v>
      </c>
    </row>
    <row r="990">
      <c r="A990" t="inlineStr">
        <is>
          <t>ED212055</t>
        </is>
      </c>
      <c r="B990" t="inlineStr">
        <is>
          <t>Bluestone Memorial</t>
        </is>
      </c>
      <c r="C990" s="32" t="n">
        <v>46009.59027777778</v>
      </c>
      <c r="D990" t="n">
        <v>4</v>
      </c>
      <c r="E990" t="n">
        <v>19</v>
      </c>
    </row>
    <row r="991">
      <c r="A991" t="inlineStr">
        <is>
          <t>ED212056</t>
        </is>
      </c>
      <c r="B991" t="inlineStr">
        <is>
          <t>Bluestone Memorial</t>
        </is>
      </c>
      <c r="C991" s="32" t="n">
        <v>46009.67013888889</v>
      </c>
      <c r="D991" t="n">
        <v>2</v>
      </c>
      <c r="E991" t="n">
        <v>29</v>
      </c>
    </row>
    <row r="992">
      <c r="A992" t="inlineStr">
        <is>
          <t>ED212057</t>
        </is>
      </c>
      <c r="B992" t="inlineStr">
        <is>
          <t>Bluestone Memorial</t>
        </is>
      </c>
      <c r="C992" s="32" t="n">
        <v>46009.72361111111</v>
      </c>
      <c r="D992" t="n">
        <v>3</v>
      </c>
      <c r="E992" t="n">
        <v>89</v>
      </c>
    </row>
    <row r="993">
      <c r="A993" t="inlineStr">
        <is>
          <t>ED212059</t>
        </is>
      </c>
      <c r="B993" t="inlineStr">
        <is>
          <t>Bluestone Memorial</t>
        </is>
      </c>
      <c r="C993" s="32" t="n">
        <v>46009.87222222222</v>
      </c>
      <c r="D993" t="n">
        <v>2</v>
      </c>
      <c r="E993" t="n">
        <v>26</v>
      </c>
    </row>
    <row r="994">
      <c r="A994" t="inlineStr">
        <is>
          <t>ED212061</t>
        </is>
      </c>
      <c r="B994" t="inlineStr">
        <is>
          <t>Bluestone Memorial</t>
        </is>
      </c>
      <c r="C994" s="32" t="n">
        <v>46009.8875</v>
      </c>
      <c r="D994" t="n">
        <v>3</v>
      </c>
      <c r="E994" t="n">
        <v>55</v>
      </c>
    </row>
    <row r="995">
      <c r="A995" t="inlineStr">
        <is>
          <t>ED212062</t>
        </is>
      </c>
      <c r="B995" t="inlineStr">
        <is>
          <t>Bluestone Memorial</t>
        </is>
      </c>
      <c r="C995" s="32" t="n">
        <v>46009.95277777778</v>
      </c>
      <c r="D995" t="n">
        <v>2</v>
      </c>
      <c r="E995" t="n">
        <v>11</v>
      </c>
    </row>
    <row r="996">
      <c r="A996" t="inlineStr">
        <is>
          <t>ED212064</t>
        </is>
      </c>
      <c r="B996" t="inlineStr">
        <is>
          <t>Bluestone Memorial</t>
        </is>
      </c>
      <c r="C996" s="32" t="n">
        <v>46010.29375</v>
      </c>
      <c r="D996" t="n">
        <v>3</v>
      </c>
      <c r="E996" t="n">
        <v>182</v>
      </c>
    </row>
    <row r="997">
      <c r="A997" t="inlineStr">
        <is>
          <t>ED212067</t>
        </is>
      </c>
      <c r="B997" t="inlineStr">
        <is>
          <t>Bluestone Memorial</t>
        </is>
      </c>
      <c r="C997" s="32" t="n">
        <v>46010.48194444444</v>
      </c>
      <c r="D997" t="n">
        <v>3</v>
      </c>
      <c r="E997" t="n">
        <v>66</v>
      </c>
    </row>
    <row r="998">
      <c r="A998" t="inlineStr">
        <is>
          <t>ED212068</t>
        </is>
      </c>
      <c r="B998" t="inlineStr">
        <is>
          <t>Bluestone Memorial</t>
        </is>
      </c>
      <c r="C998" s="32" t="n">
        <v>46010.53194444445</v>
      </c>
      <c r="D998" t="n">
        <v>2</v>
      </c>
      <c r="E998" t="n">
        <v>61</v>
      </c>
    </row>
    <row r="999">
      <c r="A999" t="inlineStr">
        <is>
          <t>ED212069</t>
        </is>
      </c>
      <c r="B999" t="inlineStr">
        <is>
          <t>Bluestone Memorial</t>
        </is>
      </c>
      <c r="C999" s="32" t="n">
        <v>46010.54722222222</v>
      </c>
      <c r="D999" t="n">
        <v>4</v>
      </c>
    </row>
    <row r="1000">
      <c r="A1000" t="inlineStr">
        <is>
          <t>ED212072</t>
        </is>
      </c>
      <c r="B1000" t="inlineStr">
        <is>
          <t>Bluestone Memorial</t>
        </is>
      </c>
      <c r="C1000" s="32" t="n">
        <v>46010.66944444444</v>
      </c>
      <c r="D1000" t="n">
        <v>5</v>
      </c>
      <c r="E1000" t="n">
        <v>81</v>
      </c>
    </row>
    <row r="1001">
      <c r="A1001" t="inlineStr">
        <is>
          <t>ED212075</t>
        </is>
      </c>
      <c r="B1001" t="inlineStr">
        <is>
          <t>Bluestone Memorial</t>
        </is>
      </c>
      <c r="C1001" s="32" t="n">
        <v>46010.725</v>
      </c>
      <c r="D1001" t="n">
        <v>3</v>
      </c>
      <c r="E1001" t="n">
        <v>75</v>
      </c>
    </row>
    <row r="1002">
      <c r="A1002" t="inlineStr">
        <is>
          <t>ED212076</t>
        </is>
      </c>
      <c r="B1002" t="inlineStr">
        <is>
          <t>Bluestone Memorial</t>
        </is>
      </c>
      <c r="C1002" s="32" t="n">
        <v>46010.78680555556</v>
      </c>
      <c r="D1002" t="n">
        <v>3</v>
      </c>
      <c r="E1002" t="n">
        <v>65</v>
      </c>
    </row>
    <row r="1003">
      <c r="A1003" t="inlineStr">
        <is>
          <t>ED212078</t>
        </is>
      </c>
      <c r="B1003" t="inlineStr">
        <is>
          <t>Bluestone Memorial</t>
        </is>
      </c>
      <c r="C1003" s="32" t="n">
        <v>46010.80555555555</v>
      </c>
      <c r="D1003" t="n">
        <v>3</v>
      </c>
      <c r="E1003" t="n">
        <v>27</v>
      </c>
    </row>
    <row r="1004">
      <c r="A1004" t="inlineStr">
        <is>
          <t>ED212082</t>
        </is>
      </c>
      <c r="B1004" t="inlineStr">
        <is>
          <t>Bluestone Memorial</t>
        </is>
      </c>
      <c r="C1004" s="32" t="n">
        <v>46010.89236111111</v>
      </c>
      <c r="D1004" t="n">
        <v>5</v>
      </c>
      <c r="E1004" t="n">
        <v>47</v>
      </c>
    </row>
    <row r="1005">
      <c r="A1005" t="inlineStr">
        <is>
          <t>ED212083</t>
        </is>
      </c>
      <c r="B1005" t="inlineStr">
        <is>
          <t>Bluestone Memorial</t>
        </is>
      </c>
      <c r="C1005" s="32" t="n">
        <v>46011.02708333333</v>
      </c>
      <c r="D1005" t="n">
        <v>3</v>
      </c>
      <c r="E1005" t="n">
        <v>71</v>
      </c>
    </row>
    <row r="1006">
      <c r="A1006" t="inlineStr">
        <is>
          <t>ED212084</t>
        </is>
      </c>
      <c r="B1006" t="inlineStr">
        <is>
          <t>Bluestone Memorial</t>
        </is>
      </c>
      <c r="C1006" s="32" t="n">
        <v>46011.04513888889</v>
      </c>
      <c r="D1006" t="n">
        <v>3</v>
      </c>
      <c r="E1006" t="n">
        <v>29</v>
      </c>
    </row>
    <row r="1007">
      <c r="A1007" t="inlineStr">
        <is>
          <t>ED212085</t>
        </is>
      </c>
      <c r="B1007" t="inlineStr">
        <is>
          <t>Bluestone Memorial</t>
        </is>
      </c>
      <c r="C1007" s="32" t="n">
        <v>46011.22222222222</v>
      </c>
      <c r="D1007" t="n">
        <v>4</v>
      </c>
      <c r="E1007" t="n">
        <v>15</v>
      </c>
    </row>
    <row r="1008">
      <c r="A1008" t="inlineStr">
        <is>
          <t>ED212087</t>
        </is>
      </c>
      <c r="B1008" t="inlineStr">
        <is>
          <t>Bluestone Memorial</t>
        </is>
      </c>
      <c r="C1008" s="32" t="n">
        <v>46011.46875</v>
      </c>
      <c r="D1008" t="n">
        <v>2</v>
      </c>
      <c r="E1008" t="n">
        <v>17</v>
      </c>
    </row>
    <row r="1009">
      <c r="A1009" t="inlineStr">
        <is>
          <t>ED212088</t>
        </is>
      </c>
      <c r="B1009" t="inlineStr">
        <is>
          <t>Bluestone Memorial</t>
        </is>
      </c>
      <c r="C1009" s="32" t="n">
        <v>46011.49444444444</v>
      </c>
      <c r="D1009" t="n">
        <v>3</v>
      </c>
      <c r="E1009" t="n">
        <v>46</v>
      </c>
    </row>
    <row r="1010">
      <c r="A1010" t="inlineStr">
        <is>
          <t>ED212090</t>
        </is>
      </c>
      <c r="B1010" t="inlineStr">
        <is>
          <t>Bluestone Memorial</t>
        </is>
      </c>
      <c r="C1010" s="32" t="n">
        <v>46011.52430555555</v>
      </c>
      <c r="D1010" t="n">
        <v>4</v>
      </c>
      <c r="E1010" t="n">
        <v>20</v>
      </c>
    </row>
    <row r="1011">
      <c r="A1011" t="inlineStr">
        <is>
          <t>ED212092</t>
        </is>
      </c>
      <c r="B1011" t="inlineStr">
        <is>
          <t>Bluestone Memorial</t>
        </is>
      </c>
      <c r="C1011" s="32" t="n">
        <v>46011.53888888889</v>
      </c>
      <c r="D1011" t="n">
        <v>3</v>
      </c>
      <c r="E1011" t="n">
        <v>60</v>
      </c>
    </row>
    <row r="1012">
      <c r="A1012" t="inlineStr">
        <is>
          <t>ED212093</t>
        </is>
      </c>
      <c r="B1012" t="inlineStr">
        <is>
          <t>Bluestone Memorial</t>
        </is>
      </c>
      <c r="C1012" s="32" t="n">
        <v>46011.54930555556</v>
      </c>
      <c r="D1012" t="n">
        <v>2</v>
      </c>
      <c r="E1012" t="n">
        <v>28</v>
      </c>
    </row>
    <row r="1013">
      <c r="A1013" t="inlineStr">
        <is>
          <t>ED212094</t>
        </is>
      </c>
      <c r="B1013" t="inlineStr">
        <is>
          <t>Bluestone Memorial</t>
        </is>
      </c>
      <c r="C1013" s="32" t="n">
        <v>46011.79305555556</v>
      </c>
      <c r="D1013" t="n">
        <v>4</v>
      </c>
      <c r="E1013" t="n">
        <v>63</v>
      </c>
    </row>
    <row r="1014">
      <c r="A1014" t="inlineStr">
        <is>
          <t>ED212095</t>
        </is>
      </c>
      <c r="B1014" t="inlineStr">
        <is>
          <t>Bluestone Memorial</t>
        </is>
      </c>
      <c r="C1014" s="32" t="n">
        <v>46011.87638888889</v>
      </c>
      <c r="D1014" t="n">
        <v>3</v>
      </c>
      <c r="E1014" t="n">
        <v>71</v>
      </c>
    </row>
    <row r="1015">
      <c r="A1015" t="inlineStr">
        <is>
          <t>ED212096</t>
        </is>
      </c>
      <c r="B1015" t="inlineStr">
        <is>
          <t>Bluestone Memorial</t>
        </is>
      </c>
      <c r="C1015" s="32" t="n">
        <v>46011.91805555556</v>
      </c>
      <c r="D1015" t="n">
        <v>4</v>
      </c>
      <c r="E1015" t="n">
        <v>42</v>
      </c>
    </row>
    <row r="1016">
      <c r="A1016" t="inlineStr">
        <is>
          <t>ED212097</t>
        </is>
      </c>
      <c r="B1016" t="inlineStr">
        <is>
          <t>Bluestone Memorial</t>
        </is>
      </c>
      <c r="C1016" s="32" t="n">
        <v>46011.97152777778</v>
      </c>
      <c r="D1016" t="n">
        <v>5</v>
      </c>
      <c r="E1016" t="n">
        <v>101</v>
      </c>
    </row>
    <row r="1017">
      <c r="A1017" t="inlineStr">
        <is>
          <t>ED212099</t>
        </is>
      </c>
      <c r="B1017" t="inlineStr">
        <is>
          <t>Bluestone Memorial</t>
        </is>
      </c>
      <c r="C1017" s="32" t="n">
        <v>46011.98888888889</v>
      </c>
      <c r="D1017" t="n">
        <v>4</v>
      </c>
      <c r="E1017" t="n">
        <v>147</v>
      </c>
    </row>
    <row r="1018">
      <c r="A1018" t="inlineStr">
        <is>
          <t>ED212100</t>
        </is>
      </c>
      <c r="B1018" t="inlineStr">
        <is>
          <t>Bluestone Memorial</t>
        </is>
      </c>
      <c r="C1018" s="32" t="n">
        <v>46012.27916666667</v>
      </c>
      <c r="D1018" t="n">
        <v>4</v>
      </c>
      <c r="E1018" t="n">
        <v>32</v>
      </c>
    </row>
    <row r="1019">
      <c r="A1019" t="inlineStr">
        <is>
          <t>ED212102</t>
        </is>
      </c>
      <c r="B1019" t="inlineStr">
        <is>
          <t>Bluestone Memorial</t>
        </is>
      </c>
      <c r="C1019" s="32" t="n">
        <v>46012.37569444445</v>
      </c>
      <c r="D1019" t="n">
        <v>4</v>
      </c>
    </row>
    <row r="1020">
      <c r="A1020" t="inlineStr">
        <is>
          <t>ED212106</t>
        </is>
      </c>
      <c r="B1020" t="inlineStr">
        <is>
          <t>Bluestone Memorial</t>
        </is>
      </c>
      <c r="C1020" s="32" t="n">
        <v>46012.50694444445</v>
      </c>
      <c r="D1020" t="n">
        <v>3</v>
      </c>
      <c r="E1020" t="n">
        <v>96</v>
      </c>
    </row>
    <row r="1021">
      <c r="A1021" t="inlineStr">
        <is>
          <t>ED212108</t>
        </is>
      </c>
      <c r="B1021" t="inlineStr">
        <is>
          <t>Bluestone Memorial</t>
        </is>
      </c>
      <c r="C1021" s="32" t="n">
        <v>46012.51111111111</v>
      </c>
      <c r="D1021" t="n">
        <v>4</v>
      </c>
      <c r="E1021" t="n">
        <v>102</v>
      </c>
    </row>
    <row r="1022">
      <c r="A1022" t="inlineStr">
        <is>
          <t>ED212109</t>
        </is>
      </c>
      <c r="B1022" t="inlineStr">
        <is>
          <t>Bluestone Memorial</t>
        </is>
      </c>
      <c r="C1022" s="32" t="n">
        <v>46012.54236111111</v>
      </c>
      <c r="D1022" t="n">
        <v>3</v>
      </c>
      <c r="E1022" t="n">
        <v>44</v>
      </c>
    </row>
    <row r="1023">
      <c r="A1023" t="inlineStr">
        <is>
          <t>ED212110</t>
        </is>
      </c>
      <c r="B1023" t="inlineStr">
        <is>
          <t>Bluestone Memorial</t>
        </is>
      </c>
      <c r="C1023" s="32" t="n">
        <v>46012.58611111111</v>
      </c>
      <c r="D1023" t="n">
        <v>4</v>
      </c>
      <c r="E1023" t="n">
        <v>64</v>
      </c>
    </row>
    <row r="1024">
      <c r="A1024" t="inlineStr">
        <is>
          <t>ED212111</t>
        </is>
      </c>
      <c r="B1024" t="inlineStr">
        <is>
          <t>Bluestone Memorial</t>
        </is>
      </c>
      <c r="C1024" s="32" t="n">
        <v>46012.59513888889</v>
      </c>
      <c r="D1024" t="n">
        <v>2</v>
      </c>
      <c r="E1024" t="n">
        <v>13</v>
      </c>
    </row>
    <row r="1025">
      <c r="A1025" t="inlineStr">
        <is>
          <t>ED212112</t>
        </is>
      </c>
      <c r="B1025" t="inlineStr">
        <is>
          <t>Bluestone Memorial</t>
        </is>
      </c>
      <c r="C1025" s="32" t="n">
        <v>46012.66458333333</v>
      </c>
      <c r="D1025" t="n">
        <v>4</v>
      </c>
      <c r="E1025" t="n">
        <v>79</v>
      </c>
    </row>
    <row r="1026">
      <c r="A1026" t="inlineStr">
        <is>
          <t>ED212113</t>
        </is>
      </c>
      <c r="B1026" t="inlineStr">
        <is>
          <t>Bluestone Memorial</t>
        </is>
      </c>
      <c r="C1026" s="32" t="n">
        <v>46012.70972222222</v>
      </c>
      <c r="D1026" t="n">
        <v>4</v>
      </c>
      <c r="E1026" t="n">
        <v>101</v>
      </c>
    </row>
    <row r="1027">
      <c r="A1027" t="inlineStr">
        <is>
          <t>ED212114</t>
        </is>
      </c>
      <c r="B1027" t="inlineStr">
        <is>
          <t>Bluestone Memorial</t>
        </is>
      </c>
      <c r="C1027" s="32" t="n">
        <v>46012.78194444445</v>
      </c>
      <c r="D1027" t="n">
        <v>4</v>
      </c>
      <c r="E1027" t="n">
        <v>31</v>
      </c>
    </row>
    <row r="1028">
      <c r="A1028" t="inlineStr">
        <is>
          <t>ED212115</t>
        </is>
      </c>
      <c r="B1028" t="inlineStr">
        <is>
          <t>Bluestone Memorial</t>
        </is>
      </c>
      <c r="C1028" s="32" t="n">
        <v>46012.95069444444</v>
      </c>
      <c r="D1028" t="n">
        <v>3</v>
      </c>
      <c r="E1028" t="n">
        <v>40</v>
      </c>
    </row>
    <row r="1029">
      <c r="A1029" t="inlineStr">
        <is>
          <t>ED212116</t>
        </is>
      </c>
      <c r="B1029" t="inlineStr">
        <is>
          <t>Bluestone Memorial</t>
        </is>
      </c>
      <c r="C1029" s="32" t="n">
        <v>46013.08055555556</v>
      </c>
      <c r="D1029" t="n">
        <v>3</v>
      </c>
      <c r="E1029" t="n">
        <v>17</v>
      </c>
    </row>
    <row r="1030">
      <c r="A1030" t="inlineStr">
        <is>
          <t>ED212117</t>
        </is>
      </c>
      <c r="B1030" t="inlineStr">
        <is>
          <t>Bluestone Memorial</t>
        </is>
      </c>
      <c r="C1030" s="32" t="n">
        <v>46013.13194444445</v>
      </c>
      <c r="D1030" t="n">
        <v>3</v>
      </c>
      <c r="E1030" t="n">
        <v>18</v>
      </c>
    </row>
    <row r="1031">
      <c r="A1031" t="inlineStr">
        <is>
          <t>ED212120</t>
        </is>
      </c>
      <c r="B1031" t="inlineStr">
        <is>
          <t>Bluestone Memorial</t>
        </is>
      </c>
      <c r="C1031" s="32" t="n">
        <v>46013.41597222222</v>
      </c>
      <c r="D1031" t="n">
        <v>3</v>
      </c>
      <c r="E1031" t="n">
        <v>43</v>
      </c>
    </row>
    <row r="1032">
      <c r="A1032" t="inlineStr">
        <is>
          <t>ED212123</t>
        </is>
      </c>
      <c r="B1032" t="inlineStr">
        <is>
          <t>Bluestone Memorial</t>
        </is>
      </c>
      <c r="C1032" s="32" t="n">
        <v>46013.53819444445</v>
      </c>
      <c r="D1032" t="n">
        <v>2</v>
      </c>
      <c r="E1032" t="n">
        <v>11</v>
      </c>
    </row>
    <row r="1033">
      <c r="A1033" t="inlineStr">
        <is>
          <t>ED212124</t>
        </is>
      </c>
      <c r="B1033" t="inlineStr">
        <is>
          <t>Bluestone Memorial</t>
        </is>
      </c>
      <c r="C1033" s="32" t="n">
        <v>46013.54722222222</v>
      </c>
      <c r="D1033" t="n">
        <v>2</v>
      </c>
      <c r="E1033" t="n">
        <v>13</v>
      </c>
    </row>
    <row r="1034">
      <c r="A1034" t="inlineStr">
        <is>
          <t>ED212125</t>
        </is>
      </c>
      <c r="B1034" t="inlineStr">
        <is>
          <t>Bluestone Memorial</t>
        </is>
      </c>
      <c r="C1034" s="32" t="n">
        <v>46013.55138888889</v>
      </c>
      <c r="D1034" t="n">
        <v>3</v>
      </c>
      <c r="E1034" t="n">
        <v>57</v>
      </c>
    </row>
    <row r="1035">
      <c r="A1035" t="inlineStr">
        <is>
          <t>ED212126</t>
        </is>
      </c>
      <c r="B1035" t="inlineStr">
        <is>
          <t>Bluestone Memorial</t>
        </is>
      </c>
      <c r="C1035" s="32" t="n">
        <v>46013.58680555555</v>
      </c>
      <c r="D1035" t="n">
        <v>4</v>
      </c>
      <c r="E1035" t="n">
        <v>51</v>
      </c>
    </row>
    <row r="1036">
      <c r="A1036" t="inlineStr">
        <is>
          <t>ED212127</t>
        </is>
      </c>
      <c r="B1036" t="inlineStr">
        <is>
          <t>Bluestone Memorial</t>
        </is>
      </c>
      <c r="C1036" s="32" t="n">
        <v>46013.59930555556</v>
      </c>
      <c r="D1036" t="n">
        <v>5</v>
      </c>
      <c r="E1036" t="n">
        <v>47</v>
      </c>
    </row>
    <row r="1037">
      <c r="A1037" t="inlineStr">
        <is>
          <t>ED212128</t>
        </is>
      </c>
      <c r="B1037" t="inlineStr">
        <is>
          <t>Bluestone Memorial</t>
        </is>
      </c>
      <c r="C1037" s="32" t="n">
        <v>46013.61527777778</v>
      </c>
      <c r="D1037" t="n">
        <v>5</v>
      </c>
      <c r="E1037" t="n">
        <v>78</v>
      </c>
    </row>
    <row r="1038">
      <c r="A1038" t="inlineStr">
        <is>
          <t>ED212129</t>
        </is>
      </c>
      <c r="B1038" t="inlineStr">
        <is>
          <t>Bluestone Memorial</t>
        </is>
      </c>
      <c r="C1038" s="32" t="n">
        <v>46013.67361111111</v>
      </c>
      <c r="D1038" t="n">
        <v>3</v>
      </c>
      <c r="E1038" t="n">
        <v>80</v>
      </c>
    </row>
    <row r="1039">
      <c r="A1039" t="inlineStr">
        <is>
          <t>ED212130</t>
        </is>
      </c>
      <c r="B1039" t="inlineStr">
        <is>
          <t>Bluestone Memorial</t>
        </is>
      </c>
      <c r="C1039" s="32" t="n">
        <v>46013.67986111111</v>
      </c>
      <c r="D1039" t="n">
        <v>3</v>
      </c>
      <c r="E1039" t="n">
        <v>25</v>
      </c>
    </row>
    <row r="1040">
      <c r="A1040" t="inlineStr">
        <is>
          <t>ED212133</t>
        </is>
      </c>
      <c r="B1040" t="inlineStr">
        <is>
          <t>Bluestone Memorial</t>
        </is>
      </c>
      <c r="C1040" s="32" t="n">
        <v>46013.73263888889</v>
      </c>
      <c r="D1040" t="n">
        <v>3</v>
      </c>
      <c r="E1040" t="n">
        <v>70</v>
      </c>
    </row>
    <row r="1041">
      <c r="A1041" t="inlineStr">
        <is>
          <t>ED212134</t>
        </is>
      </c>
      <c r="B1041" t="inlineStr">
        <is>
          <t>Bluestone Memorial</t>
        </is>
      </c>
      <c r="C1041" s="32" t="n">
        <v>46013.77916666667</v>
      </c>
      <c r="D1041" t="n">
        <v>2</v>
      </c>
      <c r="E1041" t="n">
        <v>9</v>
      </c>
    </row>
    <row r="1042">
      <c r="A1042" t="inlineStr">
        <is>
          <t>ED212136</t>
        </is>
      </c>
      <c r="B1042" t="inlineStr">
        <is>
          <t>Bluestone Memorial</t>
        </is>
      </c>
      <c r="C1042" s="32" t="n">
        <v>46013.82638888889</v>
      </c>
      <c r="D1042" t="n">
        <v>3</v>
      </c>
      <c r="E1042" t="n">
        <v>104</v>
      </c>
    </row>
    <row r="1043">
      <c r="A1043" t="inlineStr">
        <is>
          <t>ED212137</t>
        </is>
      </c>
      <c r="B1043" t="inlineStr">
        <is>
          <t>Bluestone Memorial</t>
        </is>
      </c>
      <c r="C1043" s="32" t="n">
        <v>46013.88194444445</v>
      </c>
      <c r="D1043" t="n">
        <v>3</v>
      </c>
      <c r="E1043" t="n">
        <v>56</v>
      </c>
    </row>
    <row r="1044">
      <c r="A1044" t="inlineStr">
        <is>
          <t>ED212138</t>
        </is>
      </c>
      <c r="B1044" t="inlineStr">
        <is>
          <t>Bluestone Memorial</t>
        </is>
      </c>
      <c r="C1044" s="32" t="n">
        <v>46014.14375</v>
      </c>
      <c r="D1044" t="n">
        <v>4</v>
      </c>
      <c r="E1044" t="n">
        <v>49</v>
      </c>
    </row>
    <row r="1045">
      <c r="A1045" t="inlineStr">
        <is>
          <t>ED212139</t>
        </is>
      </c>
      <c r="B1045" t="inlineStr">
        <is>
          <t>Bluestone Memorial</t>
        </is>
      </c>
      <c r="C1045" s="32" t="n">
        <v>46014.32708333333</v>
      </c>
      <c r="D1045" t="n">
        <v>2</v>
      </c>
      <c r="E1045" t="n">
        <v>22</v>
      </c>
    </row>
    <row r="1046">
      <c r="A1046" t="inlineStr">
        <is>
          <t>ED212140</t>
        </is>
      </c>
      <c r="B1046" t="inlineStr">
        <is>
          <t>Bluestone Memorial</t>
        </is>
      </c>
      <c r="C1046" s="32" t="n">
        <v>46014.44097222222</v>
      </c>
      <c r="D1046" t="n">
        <v>2</v>
      </c>
      <c r="E1046" t="n">
        <v>15</v>
      </c>
    </row>
    <row r="1047">
      <c r="A1047" t="inlineStr">
        <is>
          <t>ED212141</t>
        </is>
      </c>
      <c r="B1047" t="inlineStr">
        <is>
          <t>Bluestone Memorial</t>
        </is>
      </c>
      <c r="C1047" s="32" t="n">
        <v>46014.44375</v>
      </c>
      <c r="D1047" t="n">
        <v>3</v>
      </c>
      <c r="E1047" t="n">
        <v>99</v>
      </c>
    </row>
    <row r="1048">
      <c r="A1048" t="inlineStr">
        <is>
          <t>ED212142</t>
        </is>
      </c>
      <c r="B1048" t="inlineStr">
        <is>
          <t>Bluestone Memorial</t>
        </is>
      </c>
      <c r="C1048" s="32" t="n">
        <v>46014.46458333333</v>
      </c>
      <c r="D1048" t="n">
        <v>3</v>
      </c>
      <c r="E1048" t="n">
        <v>62</v>
      </c>
    </row>
    <row r="1049">
      <c r="A1049" t="inlineStr">
        <is>
          <t>ED212143</t>
        </is>
      </c>
      <c r="B1049" t="inlineStr">
        <is>
          <t>Bluestone Memorial</t>
        </is>
      </c>
      <c r="C1049" s="32" t="n">
        <v>46014.46666666667</v>
      </c>
      <c r="D1049" t="n">
        <v>3</v>
      </c>
      <c r="E1049" t="n">
        <v>44</v>
      </c>
    </row>
    <row r="1050">
      <c r="A1050" t="inlineStr">
        <is>
          <t>ED212144</t>
        </is>
      </c>
      <c r="B1050" t="inlineStr">
        <is>
          <t>Bluestone Memorial</t>
        </is>
      </c>
      <c r="C1050" s="32" t="n">
        <v>46014.50486111111</v>
      </c>
      <c r="D1050" t="n">
        <v>5</v>
      </c>
      <c r="E1050" t="n">
        <v>86</v>
      </c>
    </row>
    <row r="1051">
      <c r="A1051" t="inlineStr">
        <is>
          <t>ED212145</t>
        </is>
      </c>
      <c r="B1051" t="inlineStr">
        <is>
          <t>Bluestone Memorial</t>
        </is>
      </c>
      <c r="C1051" s="32" t="n">
        <v>46014.50763888889</v>
      </c>
      <c r="D1051" t="n">
        <v>3</v>
      </c>
      <c r="E1051" t="n">
        <v>43</v>
      </c>
    </row>
    <row r="1052">
      <c r="A1052" t="inlineStr">
        <is>
          <t>ED212146</t>
        </is>
      </c>
      <c r="B1052" t="inlineStr">
        <is>
          <t>Bluestone Memorial</t>
        </is>
      </c>
      <c r="C1052" s="32" t="n">
        <v>46014.5125</v>
      </c>
      <c r="D1052" t="n">
        <v>4</v>
      </c>
      <c r="E1052" t="n">
        <v>49</v>
      </c>
    </row>
    <row r="1053">
      <c r="A1053" t="inlineStr">
        <is>
          <t>ED212147</t>
        </is>
      </c>
      <c r="B1053" t="inlineStr">
        <is>
          <t>Bluestone Memorial</t>
        </is>
      </c>
      <c r="C1053" s="32" t="n">
        <v>46014.53541666667</v>
      </c>
      <c r="D1053" t="n">
        <v>3</v>
      </c>
      <c r="E1053" t="n">
        <v>78</v>
      </c>
    </row>
    <row r="1054">
      <c r="A1054" t="inlineStr">
        <is>
          <t>ED212148</t>
        </is>
      </c>
      <c r="B1054" t="inlineStr">
        <is>
          <t>Bluestone Memorial</t>
        </is>
      </c>
      <c r="C1054" s="32" t="n">
        <v>46014.54861111111</v>
      </c>
      <c r="D1054" t="n">
        <v>2</v>
      </c>
      <c r="E1054" t="n">
        <v>16</v>
      </c>
    </row>
    <row r="1055">
      <c r="A1055" t="inlineStr">
        <is>
          <t>ED212149</t>
        </is>
      </c>
      <c r="B1055" t="inlineStr">
        <is>
          <t>Bluestone Memorial</t>
        </is>
      </c>
      <c r="C1055" s="32" t="n">
        <v>46014.55972222222</v>
      </c>
      <c r="D1055" t="n">
        <v>4</v>
      </c>
      <c r="E1055" t="n">
        <v>114</v>
      </c>
    </row>
    <row r="1056">
      <c r="A1056" t="inlineStr">
        <is>
          <t>ED212150</t>
        </is>
      </c>
      <c r="B1056" t="inlineStr">
        <is>
          <t>Bluestone Memorial</t>
        </is>
      </c>
      <c r="C1056" s="32" t="n">
        <v>46014.575</v>
      </c>
      <c r="D1056" t="n">
        <v>2</v>
      </c>
      <c r="E1056" t="n">
        <v>47</v>
      </c>
    </row>
    <row r="1057">
      <c r="A1057" t="inlineStr">
        <is>
          <t>ED212151</t>
        </is>
      </c>
      <c r="B1057" t="inlineStr">
        <is>
          <t>Bluestone Memorial</t>
        </is>
      </c>
      <c r="C1057" s="32" t="n">
        <v>46014.62638888889</v>
      </c>
      <c r="D1057" t="n">
        <v>3</v>
      </c>
      <c r="E1057" t="n">
        <v>59</v>
      </c>
    </row>
    <row r="1058">
      <c r="A1058" t="inlineStr">
        <is>
          <t>ED212152</t>
        </is>
      </c>
      <c r="B1058" t="inlineStr">
        <is>
          <t>Bluestone Memorial</t>
        </is>
      </c>
      <c r="C1058" s="32" t="n">
        <v>46014.62847222222</v>
      </c>
      <c r="D1058" t="n">
        <v>3</v>
      </c>
      <c r="E1058" t="n">
        <v>51</v>
      </c>
    </row>
    <row r="1059">
      <c r="A1059" t="inlineStr">
        <is>
          <t>ED212154</t>
        </is>
      </c>
      <c r="B1059" t="inlineStr">
        <is>
          <t>Bluestone Memorial</t>
        </is>
      </c>
      <c r="C1059" s="32" t="n">
        <v>46014.67291666667</v>
      </c>
      <c r="D1059" t="n">
        <v>4</v>
      </c>
    </row>
    <row r="1060">
      <c r="A1060" t="inlineStr">
        <is>
          <t>ED212156</t>
        </is>
      </c>
      <c r="B1060" t="inlineStr">
        <is>
          <t>Bluestone Memorial</t>
        </is>
      </c>
      <c r="C1060" s="32" t="n">
        <v>46014.69861111111</v>
      </c>
      <c r="D1060" t="n">
        <v>1</v>
      </c>
      <c r="E1060" t="n">
        <v>5</v>
      </c>
    </row>
    <row r="1061">
      <c r="A1061" t="inlineStr">
        <is>
          <t>ED212157</t>
        </is>
      </c>
      <c r="B1061" t="inlineStr">
        <is>
          <t>Bluestone Memorial</t>
        </is>
      </c>
      <c r="C1061" s="32" t="n">
        <v>46014.7625</v>
      </c>
      <c r="D1061" t="n">
        <v>3</v>
      </c>
      <c r="E1061" t="n">
        <v>33</v>
      </c>
    </row>
    <row r="1062">
      <c r="A1062" t="inlineStr">
        <is>
          <t>ED212158</t>
        </is>
      </c>
      <c r="B1062" t="inlineStr">
        <is>
          <t>Bluestone Memorial</t>
        </is>
      </c>
      <c r="C1062" s="32" t="n">
        <v>46014.77986111111</v>
      </c>
      <c r="D1062" t="n">
        <v>3</v>
      </c>
      <c r="E1062" t="n">
        <v>66</v>
      </c>
    </row>
    <row r="1063">
      <c r="A1063" t="inlineStr">
        <is>
          <t>ED212160</t>
        </is>
      </c>
      <c r="B1063" t="inlineStr">
        <is>
          <t>Bluestone Memorial</t>
        </is>
      </c>
      <c r="C1063" s="32" t="n">
        <v>46014.83611111111</v>
      </c>
      <c r="D1063" t="n">
        <v>3</v>
      </c>
    </row>
    <row r="1064">
      <c r="A1064" t="inlineStr">
        <is>
          <t>ED212162</t>
        </is>
      </c>
      <c r="B1064" t="inlineStr">
        <is>
          <t>Bluestone Memorial</t>
        </is>
      </c>
      <c r="C1064" s="32" t="n">
        <v>46014.86527777778</v>
      </c>
      <c r="D1064" t="n">
        <v>4</v>
      </c>
      <c r="E1064" t="n">
        <v>103</v>
      </c>
    </row>
    <row r="1065">
      <c r="A1065" t="inlineStr">
        <is>
          <t>ED212163</t>
        </is>
      </c>
      <c r="B1065" t="inlineStr">
        <is>
          <t>Bluestone Memorial</t>
        </is>
      </c>
      <c r="C1065" s="32" t="n">
        <v>46014.86597222222</v>
      </c>
      <c r="D1065" t="n">
        <v>3</v>
      </c>
      <c r="E1065" t="n">
        <v>19</v>
      </c>
    </row>
    <row r="1066">
      <c r="A1066" t="inlineStr">
        <is>
          <t>ED212165</t>
        </is>
      </c>
      <c r="B1066" t="inlineStr">
        <is>
          <t>Bluestone Memorial</t>
        </is>
      </c>
      <c r="C1066" s="32" t="n">
        <v>46014.89791666667</v>
      </c>
      <c r="D1066" t="n">
        <v>3</v>
      </c>
      <c r="E1066" t="n">
        <v>68</v>
      </c>
    </row>
    <row r="1067">
      <c r="A1067" t="inlineStr">
        <is>
          <t>ED212167</t>
        </is>
      </c>
      <c r="B1067" t="inlineStr">
        <is>
          <t>Bluestone Memorial</t>
        </is>
      </c>
      <c r="C1067" s="32" t="n">
        <v>46015.02291666667</v>
      </c>
      <c r="D1067" t="n">
        <v>3</v>
      </c>
      <c r="E1067" t="n">
        <v>28</v>
      </c>
    </row>
    <row r="1068">
      <c r="A1068" t="inlineStr">
        <is>
          <t>ED212168</t>
        </is>
      </c>
      <c r="B1068" t="inlineStr">
        <is>
          <t>Bluestone Memorial</t>
        </is>
      </c>
      <c r="C1068" s="32" t="n">
        <v>46015.27708333333</v>
      </c>
      <c r="D1068" t="n">
        <v>3</v>
      </c>
      <c r="E1068" t="n">
        <v>17</v>
      </c>
    </row>
    <row r="1069">
      <c r="A1069" t="inlineStr">
        <is>
          <t>ED212169</t>
        </is>
      </c>
      <c r="B1069" t="inlineStr">
        <is>
          <t>Bluestone Memorial</t>
        </is>
      </c>
      <c r="C1069" s="32" t="n">
        <v>46015.27916666667</v>
      </c>
      <c r="D1069" t="n">
        <v>3</v>
      </c>
      <c r="E1069" t="n">
        <v>34</v>
      </c>
    </row>
    <row r="1070">
      <c r="A1070" t="inlineStr">
        <is>
          <t>ED212171</t>
        </is>
      </c>
      <c r="B1070" t="inlineStr">
        <is>
          <t>Bluestone Memorial</t>
        </is>
      </c>
      <c r="C1070" s="32" t="n">
        <v>46015.41805555556</v>
      </c>
      <c r="D1070" t="n">
        <v>3</v>
      </c>
      <c r="E1070" t="n">
        <v>32</v>
      </c>
    </row>
    <row r="1071">
      <c r="A1071" t="inlineStr">
        <is>
          <t>ED212172</t>
        </is>
      </c>
      <c r="B1071" t="inlineStr">
        <is>
          <t>Bluestone Memorial</t>
        </is>
      </c>
      <c r="C1071" s="32" t="n">
        <v>46015.425</v>
      </c>
      <c r="D1071" t="n">
        <v>4</v>
      </c>
      <c r="E1071" t="n">
        <v>23</v>
      </c>
    </row>
    <row r="1072">
      <c r="A1072" t="inlineStr">
        <is>
          <t>ED212173</t>
        </is>
      </c>
      <c r="B1072" t="inlineStr">
        <is>
          <t>Bluestone Memorial</t>
        </is>
      </c>
      <c r="C1072" s="32" t="n">
        <v>46015.50138888889</v>
      </c>
      <c r="D1072" t="n">
        <v>2</v>
      </c>
      <c r="E1072" t="n">
        <v>21</v>
      </c>
    </row>
    <row r="1073">
      <c r="A1073" t="inlineStr">
        <is>
          <t>ED212174</t>
        </is>
      </c>
      <c r="B1073" t="inlineStr">
        <is>
          <t>Bluestone Memorial</t>
        </is>
      </c>
      <c r="C1073" s="32" t="n">
        <v>46015.56458333333</v>
      </c>
      <c r="D1073" t="n">
        <v>4</v>
      </c>
      <c r="E1073" t="n">
        <v>54</v>
      </c>
    </row>
    <row r="1074">
      <c r="A1074" t="inlineStr">
        <is>
          <t>ED212176</t>
        </is>
      </c>
      <c r="B1074" t="inlineStr">
        <is>
          <t>Bluestone Memorial</t>
        </is>
      </c>
      <c r="C1074" s="32" t="n">
        <v>46015.61180555556</v>
      </c>
      <c r="D1074" t="n">
        <v>2</v>
      </c>
      <c r="E1074" t="n">
        <v>52</v>
      </c>
    </row>
    <row r="1075">
      <c r="A1075" t="inlineStr">
        <is>
          <t>ED212177</t>
        </is>
      </c>
      <c r="B1075" t="inlineStr">
        <is>
          <t>Bluestone Memorial</t>
        </is>
      </c>
      <c r="C1075" s="32" t="n">
        <v>46015.63888888889</v>
      </c>
      <c r="D1075" t="n">
        <v>2</v>
      </c>
      <c r="E1075" t="n">
        <v>21</v>
      </c>
    </row>
    <row r="1076">
      <c r="A1076" t="inlineStr">
        <is>
          <t>ED212178</t>
        </is>
      </c>
      <c r="B1076" t="inlineStr">
        <is>
          <t>Bluestone Memorial</t>
        </is>
      </c>
      <c r="C1076" s="32" t="n">
        <v>46015.71319444444</v>
      </c>
      <c r="D1076" t="n">
        <v>1</v>
      </c>
      <c r="E1076" t="n">
        <v>5</v>
      </c>
    </row>
    <row r="1077">
      <c r="A1077" t="inlineStr">
        <is>
          <t>ED212179</t>
        </is>
      </c>
      <c r="B1077" t="inlineStr">
        <is>
          <t>Bluestone Memorial</t>
        </is>
      </c>
      <c r="C1077" s="32" t="n">
        <v>46015.72638888889</v>
      </c>
      <c r="D1077" t="n">
        <v>2</v>
      </c>
      <c r="E1077" t="n">
        <v>23</v>
      </c>
    </row>
    <row r="1078">
      <c r="A1078" t="inlineStr">
        <is>
          <t>ED212180</t>
        </is>
      </c>
      <c r="B1078" t="inlineStr">
        <is>
          <t>Bluestone Memorial</t>
        </is>
      </c>
      <c r="C1078" s="32" t="n">
        <v>46015.73888888889</v>
      </c>
      <c r="D1078" t="n">
        <v>3</v>
      </c>
      <c r="E1078" t="n">
        <v>57</v>
      </c>
    </row>
    <row r="1079">
      <c r="A1079" t="inlineStr">
        <is>
          <t>ED212181</t>
        </is>
      </c>
      <c r="B1079" t="inlineStr">
        <is>
          <t>Bluestone Memorial</t>
        </is>
      </c>
      <c r="C1079" s="32" t="n">
        <v>46015.76111111111</v>
      </c>
      <c r="D1079" t="n">
        <v>3</v>
      </c>
      <c r="E1079" t="n">
        <v>37</v>
      </c>
    </row>
    <row r="1080">
      <c r="A1080" t="inlineStr">
        <is>
          <t>ED212184</t>
        </is>
      </c>
      <c r="B1080" t="inlineStr">
        <is>
          <t>Bluestone Memorial</t>
        </is>
      </c>
      <c r="C1080" s="32" t="n">
        <v>46016.11388888889</v>
      </c>
      <c r="D1080" t="n">
        <v>3</v>
      </c>
      <c r="E1080" t="n">
        <v>36</v>
      </c>
    </row>
    <row r="1081">
      <c r="A1081" t="inlineStr">
        <is>
          <t>ED212186</t>
        </is>
      </c>
      <c r="B1081" t="inlineStr">
        <is>
          <t>Bluestone Memorial</t>
        </is>
      </c>
      <c r="C1081" s="32" t="n">
        <v>46016.29097222222</v>
      </c>
      <c r="D1081" t="n">
        <v>2</v>
      </c>
      <c r="E1081" t="n">
        <v>14</v>
      </c>
    </row>
    <row r="1082">
      <c r="A1082" t="inlineStr">
        <is>
          <t>ED212187</t>
        </is>
      </c>
      <c r="B1082" t="inlineStr">
        <is>
          <t>Bluestone Memorial</t>
        </is>
      </c>
      <c r="C1082" s="32" t="n">
        <v>46016.30833333333</v>
      </c>
      <c r="D1082" t="n">
        <v>3</v>
      </c>
      <c r="E1082" t="n">
        <v>49</v>
      </c>
    </row>
    <row r="1083">
      <c r="A1083" t="inlineStr">
        <is>
          <t>ED212189</t>
        </is>
      </c>
      <c r="B1083" t="inlineStr">
        <is>
          <t>Bluestone Memorial</t>
        </is>
      </c>
      <c r="C1083" s="32" t="n">
        <v>46016.37777777778</v>
      </c>
      <c r="D1083" t="n">
        <v>4</v>
      </c>
      <c r="E1083" t="n">
        <v>116</v>
      </c>
    </row>
    <row r="1084">
      <c r="A1084" t="inlineStr">
        <is>
          <t>ED212191</t>
        </is>
      </c>
      <c r="B1084" t="inlineStr">
        <is>
          <t>Bluestone Memorial</t>
        </is>
      </c>
      <c r="C1084" s="32" t="n">
        <v>46016.39722222222</v>
      </c>
      <c r="D1084" t="n">
        <v>2</v>
      </c>
      <c r="E1084" t="n">
        <v>8</v>
      </c>
    </row>
    <row r="1085">
      <c r="A1085" t="inlineStr">
        <is>
          <t>ED212192</t>
        </is>
      </c>
      <c r="B1085" t="inlineStr">
        <is>
          <t>Bluestone Memorial</t>
        </is>
      </c>
      <c r="C1085" s="32" t="n">
        <v>46016.41388888889</v>
      </c>
      <c r="D1085" t="n">
        <v>4</v>
      </c>
      <c r="E1085" t="n">
        <v>17</v>
      </c>
    </row>
    <row r="1086">
      <c r="A1086" t="inlineStr">
        <is>
          <t>ED212193</t>
        </is>
      </c>
      <c r="B1086" t="inlineStr">
        <is>
          <t>Bluestone Memorial</t>
        </is>
      </c>
      <c r="C1086" s="32" t="n">
        <v>46016.45416666667</v>
      </c>
      <c r="D1086" t="n">
        <v>4</v>
      </c>
      <c r="E1086" t="n">
        <v>95</v>
      </c>
    </row>
    <row r="1087">
      <c r="A1087" t="inlineStr">
        <is>
          <t>ED212194</t>
        </is>
      </c>
      <c r="B1087" t="inlineStr">
        <is>
          <t>Bluestone Memorial</t>
        </is>
      </c>
      <c r="C1087" s="32" t="n">
        <v>46016.475</v>
      </c>
      <c r="D1087" t="n">
        <v>2</v>
      </c>
      <c r="E1087" t="n">
        <v>20</v>
      </c>
    </row>
    <row r="1088">
      <c r="A1088" t="inlineStr">
        <is>
          <t>ED212196</t>
        </is>
      </c>
      <c r="B1088" t="inlineStr">
        <is>
          <t>Bluestone Memorial</t>
        </is>
      </c>
      <c r="C1088" s="32" t="n">
        <v>46016.55208333334</v>
      </c>
      <c r="D1088" t="n">
        <v>3</v>
      </c>
      <c r="E1088" t="n">
        <v>21</v>
      </c>
    </row>
    <row r="1089">
      <c r="A1089" t="inlineStr">
        <is>
          <t>ED212197</t>
        </is>
      </c>
      <c r="B1089" t="inlineStr">
        <is>
          <t>Bluestone Memorial</t>
        </is>
      </c>
      <c r="C1089" s="32" t="n">
        <v>46016.60833333333</v>
      </c>
      <c r="D1089" t="n">
        <v>4</v>
      </c>
      <c r="E1089" t="n">
        <v>65</v>
      </c>
    </row>
    <row r="1090">
      <c r="A1090" t="inlineStr">
        <is>
          <t>ED212200</t>
        </is>
      </c>
      <c r="B1090" t="inlineStr">
        <is>
          <t>Bluestone Memorial</t>
        </is>
      </c>
      <c r="C1090" s="32" t="n">
        <v>46016.64444444444</v>
      </c>
      <c r="D1090" t="n">
        <v>2</v>
      </c>
      <c r="E1090" t="n">
        <v>16</v>
      </c>
    </row>
    <row r="1091">
      <c r="A1091" t="inlineStr">
        <is>
          <t>ED212203</t>
        </is>
      </c>
      <c r="B1091" t="inlineStr">
        <is>
          <t>Bluestone Memorial</t>
        </is>
      </c>
      <c r="C1091" s="32" t="n">
        <v>46016.68541666667</v>
      </c>
      <c r="D1091" t="n">
        <v>2</v>
      </c>
      <c r="E1091" t="n">
        <v>27</v>
      </c>
    </row>
    <row r="1092">
      <c r="A1092" t="inlineStr">
        <is>
          <t>ED212204</t>
        </is>
      </c>
      <c r="B1092" t="inlineStr">
        <is>
          <t>Bluestone Memorial</t>
        </is>
      </c>
      <c r="C1092" s="32" t="n">
        <v>46016.69236111111</v>
      </c>
      <c r="D1092" t="n">
        <v>4</v>
      </c>
      <c r="E1092" t="n">
        <v>56</v>
      </c>
    </row>
    <row r="1093">
      <c r="A1093" t="inlineStr">
        <is>
          <t>ED212205</t>
        </is>
      </c>
      <c r="B1093" t="inlineStr">
        <is>
          <t>Bluestone Memorial</t>
        </is>
      </c>
      <c r="C1093" s="32" t="n">
        <v>46016.71805555555</v>
      </c>
      <c r="D1093" t="n">
        <v>3</v>
      </c>
      <c r="E1093" t="n">
        <v>79</v>
      </c>
    </row>
    <row r="1094">
      <c r="A1094" t="inlineStr">
        <is>
          <t>ED212206</t>
        </is>
      </c>
      <c r="B1094" t="inlineStr">
        <is>
          <t>Bluestone Memorial</t>
        </is>
      </c>
      <c r="C1094" s="32" t="n">
        <v>46016.77152777778</v>
      </c>
      <c r="D1094" t="n">
        <v>3</v>
      </c>
      <c r="E1094" t="n">
        <v>42</v>
      </c>
    </row>
    <row r="1095">
      <c r="A1095" t="inlineStr">
        <is>
          <t>ED212207</t>
        </is>
      </c>
      <c r="B1095" t="inlineStr">
        <is>
          <t>Bluestone Memorial</t>
        </is>
      </c>
      <c r="C1095" s="32" t="n">
        <v>46016.86180555556</v>
      </c>
      <c r="D1095" t="n">
        <v>3</v>
      </c>
      <c r="E1095" t="n">
        <v>42</v>
      </c>
    </row>
    <row r="1096">
      <c r="A1096" t="inlineStr">
        <is>
          <t>ED212208</t>
        </is>
      </c>
      <c r="B1096" t="inlineStr">
        <is>
          <t>Bluestone Memorial</t>
        </is>
      </c>
      <c r="C1096" s="32" t="n">
        <v>46016.92013888889</v>
      </c>
      <c r="D1096" t="n">
        <v>2</v>
      </c>
      <c r="E1096" t="n">
        <v>51</v>
      </c>
    </row>
    <row r="1097">
      <c r="A1097" t="inlineStr">
        <is>
          <t>ED212211</t>
        </is>
      </c>
      <c r="B1097" t="inlineStr">
        <is>
          <t>Bluestone Memorial</t>
        </is>
      </c>
      <c r="C1097" s="32" t="n">
        <v>46017.33194444444</v>
      </c>
      <c r="D1097" t="n">
        <v>5</v>
      </c>
      <c r="E1097" t="n">
        <v>98</v>
      </c>
    </row>
    <row r="1098">
      <c r="A1098" t="inlineStr">
        <is>
          <t>ED212212</t>
        </is>
      </c>
      <c r="B1098" t="inlineStr">
        <is>
          <t>Bluestone Memorial</t>
        </is>
      </c>
      <c r="C1098" s="32" t="n">
        <v>46017.34375</v>
      </c>
      <c r="D1098" t="n">
        <v>2</v>
      </c>
      <c r="E1098" t="n">
        <v>34</v>
      </c>
    </row>
    <row r="1099">
      <c r="A1099" t="inlineStr">
        <is>
          <t>ED212215</t>
        </is>
      </c>
      <c r="B1099" t="inlineStr">
        <is>
          <t>Bluestone Memorial</t>
        </is>
      </c>
      <c r="C1099" s="32" t="n">
        <v>46017.59166666667</v>
      </c>
      <c r="D1099" t="n">
        <v>4</v>
      </c>
      <c r="E1099" t="n">
        <v>196</v>
      </c>
    </row>
    <row r="1100">
      <c r="A1100" t="inlineStr">
        <is>
          <t>ED212217</t>
        </is>
      </c>
      <c r="B1100" t="inlineStr">
        <is>
          <t>Bluestone Memorial</t>
        </is>
      </c>
      <c r="C1100" s="32" t="n">
        <v>46017.78958333333</v>
      </c>
      <c r="D1100" t="n">
        <v>2</v>
      </c>
      <c r="E1100" t="n">
        <v>24</v>
      </c>
    </row>
    <row r="1101">
      <c r="A1101" t="inlineStr">
        <is>
          <t>ED212219</t>
        </is>
      </c>
      <c r="B1101" t="inlineStr">
        <is>
          <t>Bluestone Memorial</t>
        </is>
      </c>
      <c r="C1101" s="32" t="n">
        <v>46017.89027777778</v>
      </c>
      <c r="D1101" t="n">
        <v>4</v>
      </c>
      <c r="E1101" t="n">
        <v>55</v>
      </c>
    </row>
    <row r="1102">
      <c r="A1102" t="inlineStr">
        <is>
          <t>ED212220</t>
        </is>
      </c>
      <c r="B1102" t="inlineStr">
        <is>
          <t>Bluestone Memorial</t>
        </is>
      </c>
      <c r="C1102" s="32" t="n">
        <v>46017.91388888889</v>
      </c>
      <c r="D1102" t="n">
        <v>3</v>
      </c>
      <c r="E1102" t="n">
        <v>95</v>
      </c>
    </row>
    <row r="1103">
      <c r="A1103" t="inlineStr">
        <is>
          <t>ED212221</t>
        </is>
      </c>
      <c r="B1103" t="inlineStr">
        <is>
          <t>Bluestone Memorial</t>
        </is>
      </c>
      <c r="C1103" s="32" t="n">
        <v>46017.95625</v>
      </c>
      <c r="D1103" t="n">
        <v>2</v>
      </c>
      <c r="E1103" t="n">
        <v>7</v>
      </c>
    </row>
    <row r="1104">
      <c r="A1104" t="inlineStr">
        <is>
          <t>ED212223</t>
        </is>
      </c>
      <c r="B1104" t="inlineStr">
        <is>
          <t>Bluestone Memorial</t>
        </is>
      </c>
      <c r="C1104" s="32" t="n">
        <v>46018.11666666667</v>
      </c>
      <c r="D1104" t="n">
        <v>4</v>
      </c>
      <c r="E1104" t="n">
        <v>29</v>
      </c>
    </row>
    <row r="1105">
      <c r="A1105" t="inlineStr">
        <is>
          <t>ED212224</t>
        </is>
      </c>
      <c r="B1105" t="inlineStr">
        <is>
          <t>Bluestone Memorial</t>
        </is>
      </c>
      <c r="C1105" s="32" t="n">
        <v>46018.14583333334</v>
      </c>
      <c r="D1105" t="n">
        <v>3</v>
      </c>
      <c r="E1105" t="n">
        <v>35</v>
      </c>
    </row>
    <row r="1106">
      <c r="A1106" t="inlineStr">
        <is>
          <t>ED212226</t>
        </is>
      </c>
      <c r="B1106" t="inlineStr">
        <is>
          <t>Bluestone Memorial</t>
        </is>
      </c>
      <c r="C1106" s="32" t="n">
        <v>46018.325</v>
      </c>
      <c r="D1106" t="n">
        <v>4</v>
      </c>
      <c r="E1106" t="n">
        <v>51</v>
      </c>
    </row>
    <row r="1107">
      <c r="A1107" t="inlineStr">
        <is>
          <t>ED212227</t>
        </is>
      </c>
      <c r="B1107" t="inlineStr">
        <is>
          <t>Bluestone Memorial</t>
        </is>
      </c>
      <c r="C1107" s="32" t="n">
        <v>46018.32916666667</v>
      </c>
      <c r="D1107" t="n">
        <v>3</v>
      </c>
      <c r="E1107" t="n">
        <v>54</v>
      </c>
    </row>
    <row r="1108">
      <c r="A1108" t="inlineStr">
        <is>
          <t>ED212228</t>
        </is>
      </c>
      <c r="B1108" t="inlineStr">
        <is>
          <t>Bluestone Memorial</t>
        </is>
      </c>
      <c r="C1108" s="32" t="n">
        <v>46018.33611111111</v>
      </c>
      <c r="D1108" t="n">
        <v>5</v>
      </c>
      <c r="E1108" t="n">
        <v>56</v>
      </c>
    </row>
    <row r="1109">
      <c r="A1109" t="inlineStr">
        <is>
          <t>ED212229</t>
        </is>
      </c>
      <c r="B1109" t="inlineStr">
        <is>
          <t>Bluestone Memorial</t>
        </is>
      </c>
      <c r="C1109" s="32" t="n">
        <v>46018.39236111111</v>
      </c>
      <c r="D1109" t="n">
        <v>4</v>
      </c>
      <c r="E1109" t="n">
        <v>22</v>
      </c>
    </row>
    <row r="1110">
      <c r="A1110" t="inlineStr">
        <is>
          <t>ED212230</t>
        </is>
      </c>
      <c r="B1110" t="inlineStr">
        <is>
          <t>Bluestone Memorial</t>
        </is>
      </c>
      <c r="C1110" s="32" t="n">
        <v>46018.42013888889</v>
      </c>
      <c r="D1110" t="n">
        <v>4</v>
      </c>
      <c r="E1110" t="n">
        <v>66</v>
      </c>
    </row>
    <row r="1111">
      <c r="A1111" t="inlineStr">
        <is>
          <t>ED212231</t>
        </is>
      </c>
      <c r="B1111" t="inlineStr">
        <is>
          <t>Bluestone Memorial</t>
        </is>
      </c>
      <c r="C1111" s="32" t="n">
        <v>46018.43125</v>
      </c>
      <c r="D1111" t="n">
        <v>3</v>
      </c>
      <c r="E1111" t="n">
        <v>76</v>
      </c>
    </row>
    <row r="1112">
      <c r="A1112" t="inlineStr">
        <is>
          <t>ED212232</t>
        </is>
      </c>
      <c r="B1112" t="inlineStr">
        <is>
          <t>Bluestone Memorial</t>
        </is>
      </c>
      <c r="C1112" s="32" t="n">
        <v>46018.575</v>
      </c>
      <c r="D1112" t="n">
        <v>2</v>
      </c>
      <c r="E1112" t="n">
        <v>18</v>
      </c>
    </row>
    <row r="1113">
      <c r="A1113" t="inlineStr">
        <is>
          <t>ED212234</t>
        </is>
      </c>
      <c r="B1113" t="inlineStr">
        <is>
          <t>Bluestone Memorial</t>
        </is>
      </c>
      <c r="C1113" s="32" t="n">
        <v>46018.67638888889</v>
      </c>
      <c r="D1113" t="n">
        <v>3</v>
      </c>
      <c r="E1113" t="n">
        <v>67</v>
      </c>
    </row>
    <row r="1114">
      <c r="A1114" t="inlineStr">
        <is>
          <t>ED212235</t>
        </is>
      </c>
      <c r="B1114" t="inlineStr">
        <is>
          <t>Bluestone Memorial</t>
        </is>
      </c>
      <c r="C1114" s="32" t="n">
        <v>46018.71111111111</v>
      </c>
      <c r="D1114" t="n">
        <v>2</v>
      </c>
      <c r="E1114" t="n">
        <v>38</v>
      </c>
    </row>
    <row r="1115">
      <c r="A1115" t="inlineStr">
        <is>
          <t>ED212236</t>
        </is>
      </c>
      <c r="B1115" t="inlineStr">
        <is>
          <t>Bluestone Memorial</t>
        </is>
      </c>
      <c r="C1115" s="32" t="n">
        <v>46018.93263888889</v>
      </c>
      <c r="D1115" t="n">
        <v>2</v>
      </c>
      <c r="E1115" t="n">
        <v>22</v>
      </c>
    </row>
    <row r="1116">
      <c r="A1116" t="inlineStr">
        <is>
          <t>ED212237</t>
        </is>
      </c>
      <c r="B1116" t="inlineStr">
        <is>
          <t>Bluestone Memorial</t>
        </is>
      </c>
      <c r="C1116" s="32" t="n">
        <v>46019.01388888889</v>
      </c>
      <c r="D1116" t="n">
        <v>4</v>
      </c>
      <c r="E1116" t="n">
        <v>52</v>
      </c>
    </row>
    <row r="1117">
      <c r="A1117" t="inlineStr">
        <is>
          <t>ED212238</t>
        </is>
      </c>
      <c r="B1117" t="inlineStr">
        <is>
          <t>Bluestone Memorial</t>
        </is>
      </c>
      <c r="C1117" s="32" t="n">
        <v>46019.18541666667</v>
      </c>
      <c r="D1117" t="n">
        <v>5</v>
      </c>
      <c r="E1117" t="n">
        <v>37</v>
      </c>
    </row>
    <row r="1118">
      <c r="A1118" t="inlineStr">
        <is>
          <t>ED212240</t>
        </is>
      </c>
      <c r="B1118" t="inlineStr">
        <is>
          <t>Bluestone Memorial</t>
        </is>
      </c>
      <c r="C1118" s="32" t="n">
        <v>46019.41180555556</v>
      </c>
      <c r="D1118" t="n">
        <v>2</v>
      </c>
      <c r="E1118" t="n">
        <v>5</v>
      </c>
    </row>
    <row r="1119">
      <c r="A1119" t="inlineStr">
        <is>
          <t>ED212241</t>
        </is>
      </c>
      <c r="B1119" t="inlineStr">
        <is>
          <t>Bluestone Memorial</t>
        </is>
      </c>
      <c r="C1119" s="32" t="n">
        <v>46019.42986111111</v>
      </c>
      <c r="D1119" t="n">
        <v>4</v>
      </c>
      <c r="E1119" t="n">
        <v>121</v>
      </c>
    </row>
    <row r="1120">
      <c r="A1120" t="inlineStr">
        <is>
          <t>ED212243</t>
        </is>
      </c>
      <c r="B1120" t="inlineStr">
        <is>
          <t>Bluestone Memorial</t>
        </is>
      </c>
      <c r="C1120" s="32" t="n">
        <v>46019.59097222222</v>
      </c>
      <c r="D1120" t="n">
        <v>3</v>
      </c>
      <c r="E1120" t="n">
        <v>18</v>
      </c>
    </row>
    <row r="1121">
      <c r="A1121" t="inlineStr">
        <is>
          <t>ED212244</t>
        </is>
      </c>
      <c r="B1121" t="inlineStr">
        <is>
          <t>Bluestone Memorial</t>
        </is>
      </c>
      <c r="C1121" s="32" t="n">
        <v>46019.65972222222</v>
      </c>
      <c r="D1121" t="n">
        <v>2</v>
      </c>
      <c r="E1121" t="n">
        <v>8</v>
      </c>
    </row>
    <row r="1122">
      <c r="A1122" t="inlineStr">
        <is>
          <t>ED212245</t>
        </is>
      </c>
      <c r="B1122" t="inlineStr">
        <is>
          <t>Bluestone Memorial</t>
        </is>
      </c>
      <c r="C1122" s="32" t="n">
        <v>46019.68680555555</v>
      </c>
      <c r="D1122" t="n">
        <v>3</v>
      </c>
      <c r="E1122" t="n">
        <v>52</v>
      </c>
    </row>
    <row r="1123">
      <c r="A1123" t="inlineStr">
        <is>
          <t>ED212247</t>
        </is>
      </c>
      <c r="B1123" t="inlineStr">
        <is>
          <t>Bluestone Memorial</t>
        </is>
      </c>
      <c r="C1123" s="32" t="n">
        <v>46019.78472222222</v>
      </c>
      <c r="D1123" t="n">
        <v>3</v>
      </c>
      <c r="E1123" t="n">
        <v>40</v>
      </c>
    </row>
    <row r="1124">
      <c r="A1124" t="inlineStr">
        <is>
          <t>ED212248</t>
        </is>
      </c>
      <c r="B1124" t="inlineStr">
        <is>
          <t>Bluestone Memorial</t>
        </is>
      </c>
      <c r="C1124" s="32" t="n">
        <v>46019.79861111111</v>
      </c>
      <c r="D1124" t="n">
        <v>5</v>
      </c>
    </row>
    <row r="1125">
      <c r="A1125" t="inlineStr">
        <is>
          <t>ED212249</t>
        </is>
      </c>
      <c r="B1125" t="inlineStr">
        <is>
          <t>Bluestone Memorial</t>
        </is>
      </c>
      <c r="C1125" s="32" t="n">
        <v>46019.975</v>
      </c>
      <c r="D1125" t="n">
        <v>3</v>
      </c>
      <c r="E1125" t="n">
        <v>28</v>
      </c>
    </row>
    <row r="1126">
      <c r="A1126" t="inlineStr">
        <is>
          <t>ED212250</t>
        </is>
      </c>
      <c r="B1126" t="inlineStr">
        <is>
          <t>Bluestone Memorial</t>
        </is>
      </c>
      <c r="C1126" s="32" t="n">
        <v>46020.11319444444</v>
      </c>
      <c r="D1126" t="n">
        <v>3</v>
      </c>
      <c r="E1126" t="n">
        <v>83</v>
      </c>
    </row>
    <row r="1127">
      <c r="A1127" t="inlineStr">
        <is>
          <t>ED212251</t>
        </is>
      </c>
      <c r="B1127" t="inlineStr">
        <is>
          <t>Bluestone Memorial</t>
        </is>
      </c>
      <c r="C1127" s="32" t="n">
        <v>46020.32361111111</v>
      </c>
      <c r="D1127" t="n">
        <v>2</v>
      </c>
      <c r="E1127" t="n">
        <v>37</v>
      </c>
    </row>
    <row r="1128">
      <c r="A1128" t="inlineStr">
        <is>
          <t>ED212253</t>
        </is>
      </c>
      <c r="B1128" t="inlineStr">
        <is>
          <t>Bluestone Memorial</t>
        </is>
      </c>
      <c r="C1128" s="32" t="n">
        <v>46020.42569444444</v>
      </c>
      <c r="D1128" t="n">
        <v>3</v>
      </c>
      <c r="E1128" t="n">
        <v>77</v>
      </c>
    </row>
    <row r="1129">
      <c r="A1129" t="inlineStr">
        <is>
          <t>ED212255</t>
        </is>
      </c>
      <c r="B1129" t="inlineStr">
        <is>
          <t>Bluestone Memorial</t>
        </is>
      </c>
      <c r="C1129" s="32" t="n">
        <v>46020.64097222222</v>
      </c>
      <c r="D1129" t="n">
        <v>2</v>
      </c>
      <c r="E1129" t="n">
        <v>16</v>
      </c>
    </row>
    <row r="1130">
      <c r="A1130" t="inlineStr">
        <is>
          <t>ED212258</t>
        </is>
      </c>
      <c r="B1130" t="inlineStr">
        <is>
          <t>Bluestone Memorial</t>
        </is>
      </c>
      <c r="C1130" s="32" t="n">
        <v>46020.70972222222</v>
      </c>
      <c r="D1130" t="n">
        <v>3</v>
      </c>
      <c r="E1130" t="n">
        <v>19</v>
      </c>
    </row>
    <row r="1131">
      <c r="A1131" t="inlineStr">
        <is>
          <t>ED212259</t>
        </is>
      </c>
      <c r="B1131" t="inlineStr">
        <is>
          <t>Bluestone Memorial</t>
        </is>
      </c>
      <c r="C1131" s="32" t="n">
        <v>46020.71944444445</v>
      </c>
      <c r="D1131" t="n">
        <v>4</v>
      </c>
      <c r="E1131" t="n">
        <v>50</v>
      </c>
    </row>
    <row r="1132">
      <c r="A1132" t="inlineStr">
        <is>
          <t>ED212260</t>
        </is>
      </c>
      <c r="B1132" t="inlineStr">
        <is>
          <t>Bluestone Memorial</t>
        </is>
      </c>
      <c r="C1132" s="32" t="n">
        <v>46020.80625</v>
      </c>
      <c r="D1132" t="n">
        <v>5</v>
      </c>
      <c r="E1132" t="n">
        <v>45</v>
      </c>
    </row>
    <row r="1133">
      <c r="A1133" t="inlineStr">
        <is>
          <t>ED212261</t>
        </is>
      </c>
      <c r="B1133" t="inlineStr">
        <is>
          <t>Bluestone Memorial</t>
        </is>
      </c>
      <c r="C1133" s="32" t="n">
        <v>46020.81041666667</v>
      </c>
      <c r="D1133" t="n">
        <v>3</v>
      </c>
      <c r="E1133" t="n">
        <v>45</v>
      </c>
    </row>
    <row r="1134">
      <c r="A1134" t="inlineStr">
        <is>
          <t>ED212262</t>
        </is>
      </c>
      <c r="B1134" t="inlineStr">
        <is>
          <t>Bluestone Memorial</t>
        </is>
      </c>
      <c r="C1134" s="32" t="n">
        <v>46020.82430555556</v>
      </c>
      <c r="D1134" t="n">
        <v>5</v>
      </c>
      <c r="E1134" t="n">
        <v>90</v>
      </c>
    </row>
    <row r="1135">
      <c r="A1135" t="inlineStr">
        <is>
          <t>ED212263</t>
        </is>
      </c>
      <c r="B1135" t="inlineStr">
        <is>
          <t>Bluestone Memorial</t>
        </is>
      </c>
      <c r="C1135" s="32" t="n">
        <v>46020.84305555555</v>
      </c>
      <c r="D1135" t="n">
        <v>3</v>
      </c>
      <c r="E1135" t="n">
        <v>88</v>
      </c>
    </row>
    <row r="1136">
      <c r="A1136" t="inlineStr">
        <is>
          <t>ED212265</t>
        </is>
      </c>
      <c r="B1136" t="inlineStr">
        <is>
          <t>Bluestone Memorial</t>
        </is>
      </c>
      <c r="C1136" s="32" t="n">
        <v>46020.88611111111</v>
      </c>
      <c r="D1136" t="n">
        <v>3</v>
      </c>
      <c r="E1136" t="n">
        <v>35</v>
      </c>
    </row>
    <row r="1137">
      <c r="A1137" t="inlineStr">
        <is>
          <t>ED212266</t>
        </is>
      </c>
      <c r="B1137" t="inlineStr">
        <is>
          <t>Bluestone Memorial</t>
        </is>
      </c>
      <c r="C1137" s="32" t="n">
        <v>46020.93402777778</v>
      </c>
      <c r="D1137" t="n">
        <v>2</v>
      </c>
      <c r="E1137" t="n">
        <v>23</v>
      </c>
    </row>
    <row r="1138">
      <c r="A1138" t="inlineStr">
        <is>
          <t>ED212267</t>
        </is>
      </c>
      <c r="B1138" t="inlineStr">
        <is>
          <t>Bluestone Memorial</t>
        </is>
      </c>
      <c r="C1138" s="32" t="n">
        <v>46021.04583333333</v>
      </c>
      <c r="D1138" t="n">
        <v>3</v>
      </c>
      <c r="E1138" t="n">
        <v>41</v>
      </c>
    </row>
    <row r="1139">
      <c r="A1139" t="inlineStr">
        <is>
          <t>ED212268</t>
        </is>
      </c>
      <c r="B1139" t="inlineStr">
        <is>
          <t>Bluestone Memorial</t>
        </is>
      </c>
      <c r="C1139" s="32" t="n">
        <v>46021.34444444445</v>
      </c>
      <c r="D1139" t="n">
        <v>3</v>
      </c>
      <c r="E1139" t="n">
        <v>19</v>
      </c>
    </row>
    <row r="1140">
      <c r="A1140" t="inlineStr">
        <is>
          <t>ED212269</t>
        </is>
      </c>
      <c r="B1140" t="inlineStr">
        <is>
          <t>Bluestone Memorial</t>
        </is>
      </c>
      <c r="C1140" s="32" t="n">
        <v>46021.37916666667</v>
      </c>
      <c r="D1140" t="n">
        <v>4</v>
      </c>
      <c r="E1140" t="n">
        <v>109</v>
      </c>
    </row>
    <row r="1141">
      <c r="A1141" t="inlineStr">
        <is>
          <t>ED212270</t>
        </is>
      </c>
      <c r="B1141" t="inlineStr">
        <is>
          <t>Bluestone Memorial</t>
        </is>
      </c>
      <c r="C1141" s="32" t="n">
        <v>46021.41458333333</v>
      </c>
      <c r="D1141" t="n">
        <v>3</v>
      </c>
      <c r="E1141" t="n">
        <v>140</v>
      </c>
    </row>
    <row r="1142">
      <c r="A1142" t="inlineStr">
        <is>
          <t>ED212271</t>
        </is>
      </c>
      <c r="B1142" t="inlineStr">
        <is>
          <t>Bluestone Memorial</t>
        </is>
      </c>
      <c r="C1142" s="32" t="n">
        <v>46021.47708333333</v>
      </c>
      <c r="D1142" t="n">
        <v>4</v>
      </c>
      <c r="E1142" t="n">
        <v>67</v>
      </c>
    </row>
    <row r="1143">
      <c r="A1143" t="inlineStr">
        <is>
          <t>ED212273</t>
        </is>
      </c>
      <c r="B1143" t="inlineStr">
        <is>
          <t>Bluestone Memorial</t>
        </is>
      </c>
      <c r="C1143" s="32" t="n">
        <v>46021.49305555555</v>
      </c>
      <c r="D1143" t="n">
        <v>4</v>
      </c>
      <c r="E1143" t="n">
        <v>69</v>
      </c>
    </row>
    <row r="1144">
      <c r="A1144" t="inlineStr">
        <is>
          <t>ED212274</t>
        </is>
      </c>
      <c r="B1144" t="inlineStr">
        <is>
          <t>Bluestone Memorial</t>
        </is>
      </c>
      <c r="C1144" s="32" t="n">
        <v>46021.67847222222</v>
      </c>
      <c r="D1144" t="n">
        <v>4</v>
      </c>
      <c r="E1144" t="n">
        <v>86</v>
      </c>
    </row>
    <row r="1145">
      <c r="A1145" t="inlineStr">
        <is>
          <t>ED212277</t>
        </is>
      </c>
      <c r="B1145" t="inlineStr">
        <is>
          <t>Bluestone Memorial</t>
        </is>
      </c>
      <c r="C1145" s="32" t="n">
        <v>46021.88611111111</v>
      </c>
      <c r="D1145" t="n">
        <v>3</v>
      </c>
      <c r="E1145" t="n">
        <v>52</v>
      </c>
    </row>
    <row r="1146">
      <c r="A1146" t="inlineStr">
        <is>
          <t>ED212278</t>
        </is>
      </c>
      <c r="B1146" t="inlineStr">
        <is>
          <t>Bluestone Memorial</t>
        </is>
      </c>
      <c r="C1146" s="32" t="n">
        <v>46022.30208333334</v>
      </c>
      <c r="D1146" t="n">
        <v>3</v>
      </c>
      <c r="E1146" t="n">
        <v>18</v>
      </c>
    </row>
    <row r="1147">
      <c r="A1147" t="inlineStr">
        <is>
          <t>ED212279</t>
        </is>
      </c>
      <c r="B1147" t="inlineStr">
        <is>
          <t>Bluestone Memorial</t>
        </is>
      </c>
      <c r="C1147" s="32" t="n">
        <v>46022.40208333333</v>
      </c>
      <c r="D1147" t="n">
        <v>4</v>
      </c>
      <c r="E1147" t="n">
        <v>44</v>
      </c>
    </row>
    <row r="1148">
      <c r="A1148" t="inlineStr">
        <is>
          <t>ED212281</t>
        </is>
      </c>
      <c r="B1148" t="inlineStr">
        <is>
          <t>Bluestone Memorial</t>
        </is>
      </c>
      <c r="C1148" s="32" t="n">
        <v>46022.46041666667</v>
      </c>
      <c r="D1148" t="n">
        <v>3</v>
      </c>
      <c r="E1148" t="n">
        <v>97</v>
      </c>
    </row>
    <row r="1149">
      <c r="A1149" t="inlineStr">
        <is>
          <t>ED212282</t>
        </is>
      </c>
      <c r="B1149" t="inlineStr">
        <is>
          <t>Bluestone Memorial</t>
        </is>
      </c>
      <c r="C1149" s="32" t="n">
        <v>46022.48680555556</v>
      </c>
      <c r="D1149" t="n">
        <v>3</v>
      </c>
      <c r="E1149" t="n">
        <v>36</v>
      </c>
    </row>
    <row r="1150">
      <c r="A1150" t="inlineStr">
        <is>
          <t>ED212283</t>
        </is>
      </c>
      <c r="B1150" t="inlineStr">
        <is>
          <t>Bluestone Memorial</t>
        </is>
      </c>
      <c r="C1150" s="32" t="n">
        <v>46022.48888888889</v>
      </c>
      <c r="D1150" t="n">
        <v>4</v>
      </c>
      <c r="E1150" t="n">
        <v>33</v>
      </c>
    </row>
    <row r="1151">
      <c r="A1151" t="inlineStr">
        <is>
          <t>ED212284</t>
        </is>
      </c>
      <c r="B1151" t="inlineStr">
        <is>
          <t>Bluestone Memorial</t>
        </is>
      </c>
      <c r="C1151" s="32" t="n">
        <v>46022.49444444444</v>
      </c>
      <c r="D1151" t="n">
        <v>2</v>
      </c>
      <c r="E1151" t="n">
        <v>17</v>
      </c>
    </row>
    <row r="1152">
      <c r="A1152" t="inlineStr">
        <is>
          <t>ED212286</t>
        </is>
      </c>
      <c r="B1152" t="inlineStr">
        <is>
          <t>Bluestone Memorial</t>
        </is>
      </c>
      <c r="C1152" s="32" t="n">
        <v>46022.57430555556</v>
      </c>
      <c r="D1152" t="n">
        <v>4</v>
      </c>
      <c r="E1152" t="n">
        <v>62</v>
      </c>
    </row>
    <row r="1153">
      <c r="A1153" t="inlineStr">
        <is>
          <t>ED212287</t>
        </is>
      </c>
      <c r="B1153" t="inlineStr">
        <is>
          <t>Bluestone Memorial</t>
        </is>
      </c>
      <c r="C1153" s="32" t="n">
        <v>46022.61319444444</v>
      </c>
      <c r="D1153" t="n">
        <v>3</v>
      </c>
      <c r="E1153" t="n">
        <v>33</v>
      </c>
    </row>
    <row r="1154">
      <c r="A1154" t="inlineStr">
        <is>
          <t>ED212288</t>
        </is>
      </c>
      <c r="B1154" t="inlineStr">
        <is>
          <t>Bluestone Memorial</t>
        </is>
      </c>
      <c r="C1154" s="32" t="n">
        <v>46022.62222222222</v>
      </c>
      <c r="D1154" t="n">
        <v>4</v>
      </c>
      <c r="E1154" t="n">
        <v>123</v>
      </c>
    </row>
    <row r="1155">
      <c r="A1155" t="inlineStr">
        <is>
          <t>ED212290</t>
        </is>
      </c>
      <c r="B1155" t="inlineStr">
        <is>
          <t>Bluestone Memorial</t>
        </is>
      </c>
      <c r="C1155" s="32" t="n">
        <v>46022.67777777778</v>
      </c>
      <c r="D1155" t="n">
        <v>3</v>
      </c>
      <c r="E1155" t="n">
        <v>40</v>
      </c>
    </row>
    <row r="1156">
      <c r="A1156" t="inlineStr">
        <is>
          <t>ED212291</t>
        </is>
      </c>
      <c r="B1156" t="inlineStr">
        <is>
          <t>Bluestone Memorial</t>
        </is>
      </c>
      <c r="C1156" s="32" t="n">
        <v>46022.68402777778</v>
      </c>
      <c r="D1156" t="n">
        <v>2</v>
      </c>
      <c r="E1156" t="n">
        <v>17</v>
      </c>
    </row>
    <row r="1157">
      <c r="A1157" t="inlineStr">
        <is>
          <t>ED212292</t>
        </is>
      </c>
      <c r="B1157" t="inlineStr">
        <is>
          <t>Bluestone Memorial</t>
        </is>
      </c>
      <c r="C1157" s="32" t="n">
        <v>46022.74722222222</v>
      </c>
      <c r="D1157" t="n">
        <v>4</v>
      </c>
      <c r="E1157" t="n">
        <v>133</v>
      </c>
    </row>
    <row r="1158">
      <c r="A1158" t="inlineStr">
        <is>
          <t>ED210677</t>
        </is>
      </c>
      <c r="B1158" t="inlineStr">
        <is>
          <t>Ashby Falls</t>
        </is>
      </c>
      <c r="C1158" s="32" t="n">
        <v>45931.78611111111</v>
      </c>
      <c r="D1158" t="n">
        <v>3</v>
      </c>
      <c r="E1158" t="n">
        <v>36</v>
      </c>
    </row>
    <row r="1159">
      <c r="A1159" t="inlineStr">
        <is>
          <t>ED210681</t>
        </is>
      </c>
      <c r="B1159" t="inlineStr">
        <is>
          <t>Ashby Falls</t>
        </is>
      </c>
      <c r="C1159" s="32" t="n">
        <v>45932.33819444444</v>
      </c>
      <c r="D1159" t="n">
        <v>3</v>
      </c>
      <c r="E1159" t="n">
        <v>34</v>
      </c>
    </row>
    <row r="1160">
      <c r="A1160" t="inlineStr">
        <is>
          <t>ED210691</t>
        </is>
      </c>
      <c r="B1160" t="inlineStr">
        <is>
          <t>Ashby Falls</t>
        </is>
      </c>
      <c r="C1160" s="32" t="n">
        <v>45932.85277777778</v>
      </c>
      <c r="D1160" t="n">
        <v>4</v>
      </c>
      <c r="E1160" t="n">
        <v>38</v>
      </c>
    </row>
    <row r="1161">
      <c r="A1161" t="inlineStr">
        <is>
          <t>ED210696</t>
        </is>
      </c>
      <c r="B1161" t="inlineStr">
        <is>
          <t>Ashby Falls</t>
        </is>
      </c>
      <c r="C1161" s="32" t="n">
        <v>45933.24513888889</v>
      </c>
      <c r="D1161" t="n">
        <v>2</v>
      </c>
      <c r="E1161" t="n">
        <v>11</v>
      </c>
    </row>
    <row r="1162">
      <c r="A1162" t="inlineStr">
        <is>
          <t>ED210702</t>
        </is>
      </c>
      <c r="B1162" t="inlineStr">
        <is>
          <t>Ashby Falls</t>
        </is>
      </c>
      <c r="C1162" s="32" t="n">
        <v>45933.50555555556</v>
      </c>
      <c r="D1162" t="n">
        <v>2</v>
      </c>
      <c r="E1162" t="n">
        <v>18</v>
      </c>
    </row>
    <row r="1163">
      <c r="A1163" t="inlineStr">
        <is>
          <t>ED210706</t>
        </is>
      </c>
      <c r="B1163" t="inlineStr">
        <is>
          <t>Ashby Falls</t>
        </is>
      </c>
      <c r="C1163" s="32" t="n">
        <v>45933.61388888889</v>
      </c>
      <c r="D1163" t="n">
        <v>3</v>
      </c>
      <c r="E1163" t="n">
        <v>35</v>
      </c>
    </row>
    <row r="1164">
      <c r="A1164" t="inlineStr">
        <is>
          <t>ED210707</t>
        </is>
      </c>
      <c r="B1164" t="inlineStr">
        <is>
          <t>Ashby Falls</t>
        </is>
      </c>
      <c r="C1164" s="32" t="n">
        <v>45933.69930555556</v>
      </c>
      <c r="D1164" t="n">
        <v>4</v>
      </c>
      <c r="E1164" t="n">
        <v>23</v>
      </c>
    </row>
    <row r="1165">
      <c r="A1165" t="inlineStr">
        <is>
          <t>ED210713</t>
        </is>
      </c>
      <c r="B1165" t="inlineStr">
        <is>
          <t>Ashby Falls</t>
        </is>
      </c>
      <c r="C1165" s="32" t="n">
        <v>45934.12152777778</v>
      </c>
      <c r="D1165" t="n">
        <v>2</v>
      </c>
      <c r="E1165" t="n">
        <v>9</v>
      </c>
    </row>
    <row r="1166">
      <c r="A1166" t="inlineStr">
        <is>
          <t>ED210746</t>
        </is>
      </c>
      <c r="B1166" t="inlineStr">
        <is>
          <t>Ashby Falls</t>
        </is>
      </c>
      <c r="C1166" s="32" t="n">
        <v>45936.22847222222</v>
      </c>
      <c r="D1166" t="n">
        <v>2</v>
      </c>
      <c r="E1166" t="n">
        <v>16</v>
      </c>
    </row>
    <row r="1167">
      <c r="A1167" t="inlineStr">
        <is>
          <t>ED210753</t>
        </is>
      </c>
      <c r="B1167" t="inlineStr">
        <is>
          <t>Ashby Falls</t>
        </is>
      </c>
      <c r="C1167" s="32" t="n">
        <v>45936.51597222222</v>
      </c>
      <c r="D1167" t="n">
        <v>2</v>
      </c>
      <c r="E1167" t="n">
        <v>44</v>
      </c>
    </row>
    <row r="1168">
      <c r="A1168" t="inlineStr">
        <is>
          <t>ED210759</t>
        </is>
      </c>
      <c r="B1168" t="inlineStr">
        <is>
          <t>Ashby Falls</t>
        </is>
      </c>
      <c r="C1168" s="32" t="n">
        <v>45936.63888888889</v>
      </c>
      <c r="D1168" t="n">
        <v>2</v>
      </c>
      <c r="E1168" t="n">
        <v>21</v>
      </c>
    </row>
    <row r="1169">
      <c r="A1169" t="inlineStr">
        <is>
          <t>ED210775</t>
        </is>
      </c>
      <c r="B1169" t="inlineStr">
        <is>
          <t>Ashby Falls</t>
        </is>
      </c>
      <c r="C1169" s="32" t="n">
        <v>45937.65486111111</v>
      </c>
      <c r="D1169" t="n">
        <v>3</v>
      </c>
      <c r="E1169" t="n">
        <v>18</v>
      </c>
    </row>
    <row r="1170">
      <c r="A1170" t="inlineStr">
        <is>
          <t>ED210783</t>
        </is>
      </c>
      <c r="B1170" t="inlineStr">
        <is>
          <t>Ashby Falls</t>
        </is>
      </c>
      <c r="C1170" s="32" t="n">
        <v>45938.15277777778</v>
      </c>
      <c r="D1170" t="n">
        <v>2</v>
      </c>
      <c r="E1170" t="n">
        <v>9</v>
      </c>
    </row>
    <row r="1171">
      <c r="A1171" t="inlineStr">
        <is>
          <t>ED210784</t>
        </is>
      </c>
      <c r="B1171" t="inlineStr">
        <is>
          <t>Ashby Falls</t>
        </is>
      </c>
      <c r="C1171" s="32" t="n">
        <v>45938.19583333333</v>
      </c>
      <c r="D1171" t="n">
        <v>4</v>
      </c>
      <c r="E1171" t="n">
        <v>60</v>
      </c>
    </row>
    <row r="1172">
      <c r="A1172" t="inlineStr">
        <is>
          <t>ED210795</t>
        </is>
      </c>
      <c r="B1172" t="inlineStr">
        <is>
          <t>Ashby Falls</t>
        </is>
      </c>
      <c r="C1172" s="32" t="n">
        <v>45938.64930555555</v>
      </c>
      <c r="D1172" t="n">
        <v>3</v>
      </c>
      <c r="E1172" t="n">
        <v>69</v>
      </c>
    </row>
    <row r="1173">
      <c r="A1173" t="inlineStr">
        <is>
          <t>ED210796</t>
        </is>
      </c>
      <c r="B1173" t="inlineStr">
        <is>
          <t>Ashby Falls</t>
        </is>
      </c>
      <c r="C1173" s="32" t="n">
        <v>45938.65208333333</v>
      </c>
      <c r="D1173" t="n">
        <v>2</v>
      </c>
      <c r="E1173" t="n">
        <v>11</v>
      </c>
    </row>
    <row r="1174">
      <c r="A1174" t="inlineStr">
        <is>
          <t>ED210799</t>
        </is>
      </c>
      <c r="B1174" t="inlineStr">
        <is>
          <t>Ashby Falls</t>
        </is>
      </c>
      <c r="C1174" s="32" t="n">
        <v>45938.72430555556</v>
      </c>
      <c r="D1174" t="n">
        <v>4</v>
      </c>
      <c r="E1174" t="n">
        <v>45</v>
      </c>
    </row>
    <row r="1175">
      <c r="A1175" t="inlineStr">
        <is>
          <t>ED210801</t>
        </is>
      </c>
      <c r="B1175" t="inlineStr">
        <is>
          <t>Ashby Falls</t>
        </is>
      </c>
      <c r="C1175" s="32" t="n">
        <v>45938.86111111111</v>
      </c>
      <c r="D1175" t="n">
        <v>2</v>
      </c>
      <c r="E1175" t="n">
        <v>27</v>
      </c>
    </row>
    <row r="1176">
      <c r="A1176" t="inlineStr">
        <is>
          <t>ED210806</t>
        </is>
      </c>
      <c r="B1176" t="inlineStr">
        <is>
          <t>Ashby Falls</t>
        </is>
      </c>
      <c r="C1176" s="32" t="n">
        <v>45939.30972222222</v>
      </c>
      <c r="D1176" t="n">
        <v>5</v>
      </c>
      <c r="E1176" t="n">
        <v>81</v>
      </c>
    </row>
    <row r="1177">
      <c r="A1177" t="inlineStr">
        <is>
          <t>ED210808</t>
        </is>
      </c>
      <c r="B1177" t="inlineStr">
        <is>
          <t>Ashby Falls</t>
        </is>
      </c>
      <c r="C1177" s="32" t="n">
        <v>45939.55625</v>
      </c>
      <c r="D1177" t="n">
        <v>2</v>
      </c>
      <c r="E1177" t="n">
        <v>14</v>
      </c>
    </row>
    <row r="1178">
      <c r="A1178" t="inlineStr">
        <is>
          <t>ED210810</t>
        </is>
      </c>
      <c r="B1178" t="inlineStr">
        <is>
          <t>Ashby Falls</t>
        </is>
      </c>
      <c r="C1178" s="32" t="n">
        <v>45939.63333333333</v>
      </c>
      <c r="D1178" t="n">
        <v>2</v>
      </c>
      <c r="E1178" t="n">
        <v>14</v>
      </c>
    </row>
    <row r="1179">
      <c r="A1179" t="inlineStr">
        <is>
          <t>ED210821</t>
        </is>
      </c>
      <c r="B1179" t="inlineStr">
        <is>
          <t>Ashby Falls</t>
        </is>
      </c>
      <c r="C1179" s="32" t="n">
        <v>45940.58888888889</v>
      </c>
      <c r="D1179" t="n">
        <v>2</v>
      </c>
      <c r="E1179" t="n">
        <v>17</v>
      </c>
    </row>
    <row r="1180">
      <c r="A1180" t="inlineStr">
        <is>
          <t>ED210825</t>
        </is>
      </c>
      <c r="B1180" t="inlineStr">
        <is>
          <t>Ashby Falls</t>
        </is>
      </c>
      <c r="C1180" s="32" t="n">
        <v>45940.6875</v>
      </c>
      <c r="D1180" t="n">
        <v>1</v>
      </c>
      <c r="E1180" t="n">
        <v>2</v>
      </c>
    </row>
    <row r="1181">
      <c r="A1181" t="inlineStr">
        <is>
          <t>ED210849</t>
        </is>
      </c>
      <c r="B1181" t="inlineStr">
        <is>
          <t>Ashby Falls</t>
        </is>
      </c>
      <c r="C1181" s="32" t="n">
        <v>45942.40763888889</v>
      </c>
      <c r="D1181" t="n">
        <v>4</v>
      </c>
    </row>
    <row r="1182">
      <c r="A1182" t="inlineStr">
        <is>
          <t>ED210861</t>
        </is>
      </c>
      <c r="B1182" t="inlineStr">
        <is>
          <t>Ashby Falls</t>
        </is>
      </c>
      <c r="C1182" s="32" t="n">
        <v>45943.30902777778</v>
      </c>
      <c r="D1182" t="n">
        <v>4</v>
      </c>
      <c r="E1182" t="n">
        <v>19</v>
      </c>
    </row>
    <row r="1183">
      <c r="A1183" t="inlineStr">
        <is>
          <t>ED210862</t>
        </is>
      </c>
      <c r="B1183" t="inlineStr">
        <is>
          <t>Ashby Falls</t>
        </is>
      </c>
      <c r="C1183" s="32" t="n">
        <v>45943.51597222222</v>
      </c>
      <c r="D1183" t="n">
        <v>2</v>
      </c>
      <c r="E1183" t="n">
        <v>50</v>
      </c>
    </row>
    <row r="1184">
      <c r="A1184" t="inlineStr">
        <is>
          <t>ED210865</t>
        </is>
      </c>
      <c r="B1184" t="inlineStr">
        <is>
          <t>Ashby Falls</t>
        </is>
      </c>
      <c r="C1184" s="32" t="n">
        <v>45943.67083333333</v>
      </c>
      <c r="D1184" t="n">
        <v>4</v>
      </c>
      <c r="E1184" t="n">
        <v>122</v>
      </c>
    </row>
    <row r="1185">
      <c r="A1185" t="inlineStr">
        <is>
          <t>ED210876</t>
        </is>
      </c>
      <c r="B1185" t="inlineStr">
        <is>
          <t>Ashby Falls</t>
        </is>
      </c>
      <c r="C1185" s="32" t="n">
        <v>45944.25972222222</v>
      </c>
      <c r="D1185" t="n">
        <v>4</v>
      </c>
      <c r="E1185" t="n">
        <v>25</v>
      </c>
    </row>
    <row r="1186">
      <c r="A1186" t="inlineStr">
        <is>
          <t>ED210877</t>
        </is>
      </c>
      <c r="B1186" t="inlineStr">
        <is>
          <t>Ashby Falls</t>
        </is>
      </c>
      <c r="C1186" s="32" t="n">
        <v>45944.37013888889</v>
      </c>
      <c r="D1186" t="n">
        <v>3</v>
      </c>
      <c r="E1186" t="n">
        <v>27</v>
      </c>
    </row>
    <row r="1187">
      <c r="A1187" t="inlineStr">
        <is>
          <t>ED210884</t>
        </is>
      </c>
      <c r="B1187" t="inlineStr">
        <is>
          <t>Ashby Falls</t>
        </is>
      </c>
      <c r="C1187" s="32" t="n">
        <v>45944.66180555556</v>
      </c>
      <c r="D1187" t="n">
        <v>3</v>
      </c>
      <c r="E1187" t="n">
        <v>47</v>
      </c>
    </row>
    <row r="1188">
      <c r="A1188" t="inlineStr">
        <is>
          <t>ED210894</t>
        </is>
      </c>
      <c r="B1188" t="inlineStr">
        <is>
          <t>Ashby Falls</t>
        </is>
      </c>
      <c r="C1188" s="32" t="n">
        <v>45945.1</v>
      </c>
      <c r="D1188" t="n">
        <v>5</v>
      </c>
      <c r="E1188" t="n">
        <v>52</v>
      </c>
    </row>
    <row r="1189">
      <c r="A1189" t="inlineStr">
        <is>
          <t>ED210933</t>
        </is>
      </c>
      <c r="B1189" t="inlineStr">
        <is>
          <t>Ashby Falls</t>
        </is>
      </c>
      <c r="C1189" s="32" t="n">
        <v>45947.61597222222</v>
      </c>
      <c r="D1189" t="n">
        <v>3</v>
      </c>
      <c r="E1189" t="n">
        <v>50</v>
      </c>
    </row>
    <row r="1190">
      <c r="A1190" t="inlineStr">
        <is>
          <t>ED210943</t>
        </is>
      </c>
      <c r="B1190" t="inlineStr">
        <is>
          <t>Ashby Falls</t>
        </is>
      </c>
      <c r="C1190" s="32" t="n">
        <v>45948.00277777778</v>
      </c>
      <c r="D1190" t="n">
        <v>2</v>
      </c>
      <c r="E1190" t="n">
        <v>12</v>
      </c>
    </row>
    <row r="1191">
      <c r="A1191" t="inlineStr">
        <is>
          <t>ED210956</t>
        </is>
      </c>
      <c r="B1191" t="inlineStr">
        <is>
          <t>Ashby Falls</t>
        </is>
      </c>
      <c r="C1191" s="32" t="n">
        <v>45949.22569444445</v>
      </c>
      <c r="D1191" t="n">
        <v>2</v>
      </c>
      <c r="E1191" t="n">
        <v>14</v>
      </c>
    </row>
    <row r="1192">
      <c r="A1192" t="inlineStr">
        <is>
          <t>ED210957</t>
        </is>
      </c>
      <c r="B1192" t="inlineStr">
        <is>
          <t>Ashby Falls</t>
        </is>
      </c>
      <c r="C1192" s="32" t="n">
        <v>45949.24513888889</v>
      </c>
      <c r="D1192" t="n">
        <v>4</v>
      </c>
      <c r="E1192" t="n">
        <v>25</v>
      </c>
    </row>
    <row r="1193">
      <c r="A1193" t="inlineStr">
        <is>
          <t>ED210959</t>
        </is>
      </c>
      <c r="B1193" t="inlineStr">
        <is>
          <t>Ashby Falls</t>
        </is>
      </c>
      <c r="C1193" s="32" t="n">
        <v>45949.50972222222</v>
      </c>
      <c r="D1193" t="n">
        <v>4</v>
      </c>
      <c r="E1193" t="n">
        <v>105</v>
      </c>
    </row>
    <row r="1194">
      <c r="A1194" t="inlineStr">
        <is>
          <t>ED210960</t>
        </is>
      </c>
      <c r="B1194" t="inlineStr">
        <is>
          <t>Ashby Falls</t>
        </is>
      </c>
      <c r="C1194" s="32" t="n">
        <v>45949.55694444444</v>
      </c>
      <c r="D1194" t="n">
        <v>4</v>
      </c>
    </row>
    <row r="1195">
      <c r="A1195" t="inlineStr">
        <is>
          <t>ED210974</t>
        </is>
      </c>
      <c r="B1195" t="inlineStr">
        <is>
          <t>Ashby Falls</t>
        </is>
      </c>
      <c r="C1195" s="32" t="n">
        <v>45950.52638888889</v>
      </c>
      <c r="D1195" t="n">
        <v>4</v>
      </c>
      <c r="E1195" t="n">
        <v>97</v>
      </c>
    </row>
    <row r="1196">
      <c r="A1196" t="inlineStr">
        <is>
          <t>ED211006</t>
        </is>
      </c>
      <c r="B1196" t="inlineStr">
        <is>
          <t>Ashby Falls</t>
        </is>
      </c>
      <c r="C1196" s="32" t="n">
        <v>45952.79236111111</v>
      </c>
      <c r="D1196" t="n">
        <v>2</v>
      </c>
      <c r="E1196" t="n">
        <v>12</v>
      </c>
    </row>
    <row r="1197">
      <c r="A1197" t="inlineStr">
        <is>
          <t>ED211012</t>
        </is>
      </c>
      <c r="B1197" t="inlineStr">
        <is>
          <t>Ashby Falls</t>
        </is>
      </c>
      <c r="C1197" s="32" t="n">
        <v>45953.2</v>
      </c>
      <c r="D1197" t="n">
        <v>2</v>
      </c>
      <c r="E1197" t="n">
        <v>7</v>
      </c>
    </row>
    <row r="1198">
      <c r="A1198" t="inlineStr">
        <is>
          <t>ED211013</t>
        </is>
      </c>
      <c r="B1198" t="inlineStr">
        <is>
          <t>Ashby Falls</t>
        </is>
      </c>
      <c r="C1198" s="32" t="n">
        <v>45953.41527777778</v>
      </c>
      <c r="D1198" t="n">
        <v>2</v>
      </c>
      <c r="E1198" t="n">
        <v>13</v>
      </c>
    </row>
    <row r="1199">
      <c r="A1199" t="inlineStr">
        <is>
          <t>ED211038</t>
        </is>
      </c>
      <c r="B1199" t="inlineStr">
        <is>
          <t>Ashby Falls</t>
        </is>
      </c>
      <c r="C1199" s="32" t="n">
        <v>45954.5875</v>
      </c>
      <c r="D1199" t="n">
        <v>2</v>
      </c>
      <c r="E1199" t="n">
        <v>18</v>
      </c>
    </row>
    <row r="1200">
      <c r="A1200" t="inlineStr">
        <is>
          <t>ED211039</t>
        </is>
      </c>
      <c r="B1200" t="inlineStr">
        <is>
          <t>Ashby Falls</t>
        </is>
      </c>
      <c r="C1200" s="32" t="n">
        <v>45954.59375</v>
      </c>
      <c r="D1200" t="n">
        <v>2</v>
      </c>
      <c r="E1200" t="n">
        <v>17</v>
      </c>
    </row>
    <row r="1201">
      <c r="A1201" t="inlineStr">
        <is>
          <t>ED211046</t>
        </is>
      </c>
      <c r="B1201" t="inlineStr">
        <is>
          <t>Ashby Falls</t>
        </is>
      </c>
      <c r="C1201" s="32" t="n">
        <v>45955.46527777778</v>
      </c>
      <c r="D1201" t="n">
        <v>2</v>
      </c>
      <c r="E1201" t="n">
        <v>16</v>
      </c>
    </row>
    <row r="1202">
      <c r="A1202" t="inlineStr">
        <is>
          <t>ED211048</t>
        </is>
      </c>
      <c r="B1202" t="inlineStr">
        <is>
          <t>Ashby Falls</t>
        </is>
      </c>
      <c r="C1202" s="32" t="n">
        <v>45955.56666666667</v>
      </c>
      <c r="D1202" t="n">
        <v>3</v>
      </c>
      <c r="E1202" t="n">
        <v>42</v>
      </c>
    </row>
    <row r="1203">
      <c r="A1203" t="inlineStr">
        <is>
          <t>ED211056</t>
        </is>
      </c>
      <c r="B1203" t="inlineStr">
        <is>
          <t>Ashby Falls</t>
        </is>
      </c>
      <c r="C1203" s="32" t="n">
        <v>45956.57430555556</v>
      </c>
      <c r="D1203" t="n">
        <v>2</v>
      </c>
      <c r="E1203" t="n">
        <v>23</v>
      </c>
    </row>
    <row r="1204">
      <c r="A1204" t="inlineStr">
        <is>
          <t>ED211086</t>
        </is>
      </c>
      <c r="B1204" t="inlineStr">
        <is>
          <t>Ashby Falls</t>
        </is>
      </c>
      <c r="C1204" s="32" t="n">
        <v>45957.80625</v>
      </c>
      <c r="D1204" t="n">
        <v>4</v>
      </c>
      <c r="E1204" t="n">
        <v>75</v>
      </c>
    </row>
    <row r="1205">
      <c r="A1205" t="inlineStr">
        <is>
          <t>ED211089</t>
        </is>
      </c>
      <c r="B1205" t="inlineStr">
        <is>
          <t>Ashby Falls</t>
        </is>
      </c>
      <c r="C1205" s="32" t="n">
        <v>45957.92847222222</v>
      </c>
      <c r="D1205" t="n">
        <v>3</v>
      </c>
      <c r="E1205" t="n">
        <v>31</v>
      </c>
    </row>
    <row r="1206">
      <c r="A1206" t="inlineStr">
        <is>
          <t>ED211093</t>
        </is>
      </c>
      <c r="B1206" t="inlineStr">
        <is>
          <t>Ashby Falls</t>
        </is>
      </c>
      <c r="C1206" s="32" t="n">
        <v>45958.40486111111</v>
      </c>
      <c r="D1206" t="n">
        <v>2</v>
      </c>
      <c r="E1206" t="n">
        <v>10</v>
      </c>
    </row>
    <row r="1207">
      <c r="A1207" t="inlineStr">
        <is>
          <t>ED211095</t>
        </is>
      </c>
      <c r="B1207" t="inlineStr">
        <is>
          <t>Ashby Falls</t>
        </is>
      </c>
      <c r="C1207" s="32" t="n">
        <v>45958.42291666667</v>
      </c>
      <c r="D1207" t="n">
        <v>2</v>
      </c>
      <c r="E1207" t="n">
        <v>17</v>
      </c>
    </row>
    <row r="1208">
      <c r="A1208" t="inlineStr">
        <is>
          <t>ED211098</t>
        </is>
      </c>
      <c r="B1208" t="inlineStr">
        <is>
          <t>Ashby Falls</t>
        </is>
      </c>
      <c r="C1208" s="32" t="n">
        <v>45958.55972222222</v>
      </c>
      <c r="D1208" t="n">
        <v>4</v>
      </c>
      <c r="E1208" t="n">
        <v>59</v>
      </c>
    </row>
    <row r="1209">
      <c r="A1209" t="inlineStr">
        <is>
          <t>ED211099</t>
        </is>
      </c>
      <c r="B1209" t="inlineStr">
        <is>
          <t>Ashby Falls</t>
        </is>
      </c>
      <c r="C1209" s="32" t="n">
        <v>45958.57361111111</v>
      </c>
      <c r="D1209" t="n">
        <v>4</v>
      </c>
      <c r="E1209" t="n">
        <v>52</v>
      </c>
    </row>
    <row r="1210">
      <c r="A1210" t="inlineStr">
        <is>
          <t>ED211103</t>
        </is>
      </c>
      <c r="B1210" t="inlineStr">
        <is>
          <t>Ashby Falls</t>
        </is>
      </c>
      <c r="C1210" s="32" t="n">
        <v>45958.70625</v>
      </c>
      <c r="D1210" t="n">
        <v>5</v>
      </c>
      <c r="E1210" t="n">
        <v>86</v>
      </c>
    </row>
    <row r="1211">
      <c r="A1211" t="inlineStr">
        <is>
          <t>ED211107</t>
        </is>
      </c>
      <c r="B1211" t="inlineStr">
        <is>
          <t>Ashby Falls</t>
        </is>
      </c>
      <c r="C1211" s="32" t="n">
        <v>45958.74583333333</v>
      </c>
      <c r="D1211" t="n">
        <v>4</v>
      </c>
      <c r="E1211" t="n">
        <v>42</v>
      </c>
    </row>
    <row r="1212">
      <c r="A1212" t="inlineStr">
        <is>
          <t>ED211111</t>
        </is>
      </c>
      <c r="B1212" t="inlineStr">
        <is>
          <t>Ashby Falls</t>
        </is>
      </c>
      <c r="C1212" s="32" t="n">
        <v>45958.86805555555</v>
      </c>
      <c r="D1212" t="n">
        <v>4</v>
      </c>
      <c r="E1212" t="n">
        <v>40</v>
      </c>
    </row>
    <row r="1213">
      <c r="A1213" t="inlineStr">
        <is>
          <t>ED211115</t>
        </is>
      </c>
      <c r="B1213" t="inlineStr">
        <is>
          <t>Ashby Falls</t>
        </is>
      </c>
      <c r="C1213" s="32" t="n">
        <v>45959.06458333333</v>
      </c>
      <c r="D1213" t="n">
        <v>2</v>
      </c>
      <c r="E1213" t="n">
        <v>6</v>
      </c>
    </row>
    <row r="1214">
      <c r="A1214" t="inlineStr">
        <is>
          <t>ED211125</t>
        </is>
      </c>
      <c r="B1214" t="inlineStr">
        <is>
          <t>Ashby Falls</t>
        </is>
      </c>
      <c r="C1214" s="32" t="n">
        <v>45959.60138888889</v>
      </c>
      <c r="D1214" t="n">
        <v>1</v>
      </c>
      <c r="E1214" t="n">
        <v>2</v>
      </c>
    </row>
    <row r="1215">
      <c r="A1215" t="inlineStr">
        <is>
          <t>ED211126</t>
        </is>
      </c>
      <c r="B1215" t="inlineStr">
        <is>
          <t>Ashby Falls</t>
        </is>
      </c>
      <c r="C1215" s="32" t="n">
        <v>45959.73472222222</v>
      </c>
      <c r="D1215" t="n">
        <v>3</v>
      </c>
      <c r="E1215" t="n">
        <v>71</v>
      </c>
    </row>
    <row r="1216">
      <c r="A1216" t="inlineStr">
        <is>
          <t>ED211136</t>
        </is>
      </c>
      <c r="B1216" t="inlineStr">
        <is>
          <t>Ashby Falls</t>
        </is>
      </c>
      <c r="C1216" s="32" t="n">
        <v>45960.39791666667</v>
      </c>
      <c r="D1216" t="n">
        <v>3</v>
      </c>
      <c r="E1216" t="n">
        <v>42</v>
      </c>
    </row>
    <row r="1217">
      <c r="A1217" t="inlineStr">
        <is>
          <t>ED211147</t>
        </is>
      </c>
      <c r="B1217" t="inlineStr">
        <is>
          <t>Ashby Falls</t>
        </is>
      </c>
      <c r="C1217" s="32" t="n">
        <v>45960.66666666666</v>
      </c>
      <c r="D1217" t="n">
        <v>3</v>
      </c>
      <c r="E1217" t="n">
        <v>19</v>
      </c>
    </row>
    <row r="1218">
      <c r="A1218" t="inlineStr">
        <is>
          <t>ED211155</t>
        </is>
      </c>
      <c r="B1218" t="inlineStr">
        <is>
          <t>Ashby Falls</t>
        </is>
      </c>
      <c r="C1218" s="32" t="n">
        <v>45961.32638888889</v>
      </c>
      <c r="D1218" t="n">
        <v>2</v>
      </c>
      <c r="E1218" t="n">
        <v>26</v>
      </c>
    </row>
    <row r="1219">
      <c r="A1219" t="inlineStr">
        <is>
          <t>ED211158</t>
        </is>
      </c>
      <c r="B1219" t="inlineStr">
        <is>
          <t>Ashby Falls</t>
        </is>
      </c>
      <c r="C1219" s="32" t="n">
        <v>45961.45416666667</v>
      </c>
      <c r="D1219" t="n">
        <v>4</v>
      </c>
      <c r="E1219" t="n">
        <v>129</v>
      </c>
    </row>
    <row r="1220">
      <c r="A1220" t="inlineStr">
        <is>
          <t>ED211160</t>
        </is>
      </c>
      <c r="B1220" t="inlineStr">
        <is>
          <t>Ashby Falls</t>
        </is>
      </c>
      <c r="C1220" s="32" t="n">
        <v>45961.55347222222</v>
      </c>
      <c r="D1220" t="n">
        <v>2</v>
      </c>
      <c r="E1220" t="n">
        <v>40</v>
      </c>
    </row>
    <row r="1221">
      <c r="A1221" t="inlineStr">
        <is>
          <t>ED211161</t>
        </is>
      </c>
      <c r="B1221" t="inlineStr">
        <is>
          <t>Ashby Falls</t>
        </is>
      </c>
      <c r="C1221" s="32" t="n">
        <v>45961.57013888889</v>
      </c>
      <c r="D1221" t="n">
        <v>2</v>
      </c>
      <c r="E1221" t="n">
        <v>12</v>
      </c>
    </row>
    <row r="1222">
      <c r="A1222" t="inlineStr">
        <is>
          <t>ED211168</t>
        </is>
      </c>
      <c r="B1222" t="inlineStr">
        <is>
          <t>Ashby Falls</t>
        </is>
      </c>
      <c r="C1222" s="32" t="n">
        <v>45961.71111111111</v>
      </c>
      <c r="D1222" t="n">
        <v>4</v>
      </c>
      <c r="E1222" t="n">
        <v>29</v>
      </c>
    </row>
    <row r="1223">
      <c r="A1223" t="inlineStr">
        <is>
          <t>ED211173</t>
        </is>
      </c>
      <c r="B1223" t="inlineStr">
        <is>
          <t>Ashby Falls</t>
        </is>
      </c>
      <c r="C1223" s="32" t="n">
        <v>45961.82569444444</v>
      </c>
      <c r="D1223" t="n">
        <v>1</v>
      </c>
      <c r="E1223" t="n">
        <v>2</v>
      </c>
    </row>
    <row r="1224">
      <c r="A1224" t="inlineStr">
        <is>
          <t>ED211174</t>
        </is>
      </c>
      <c r="B1224" t="inlineStr">
        <is>
          <t>Ashby Falls</t>
        </is>
      </c>
      <c r="C1224" s="32" t="n">
        <v>45961.87361111111</v>
      </c>
      <c r="D1224" t="n">
        <v>2</v>
      </c>
      <c r="E1224" t="n">
        <v>9</v>
      </c>
    </row>
    <row r="1225">
      <c r="A1225" t="inlineStr">
        <is>
          <t>ED211181</t>
        </is>
      </c>
      <c r="B1225" t="inlineStr">
        <is>
          <t>Ashby Falls</t>
        </is>
      </c>
      <c r="C1225" s="32" t="n">
        <v>45962.42847222222</v>
      </c>
      <c r="D1225" t="n">
        <v>2</v>
      </c>
      <c r="E1225" t="n">
        <v>16</v>
      </c>
    </row>
    <row r="1226">
      <c r="A1226" t="inlineStr">
        <is>
          <t>ED211186</t>
        </is>
      </c>
      <c r="B1226" t="inlineStr">
        <is>
          <t>Ashby Falls</t>
        </is>
      </c>
      <c r="C1226" s="32" t="n">
        <v>45962.72083333333</v>
      </c>
      <c r="D1226" t="n">
        <v>5</v>
      </c>
      <c r="E1226" t="n">
        <v>25</v>
      </c>
    </row>
    <row r="1227">
      <c r="A1227" t="inlineStr">
        <is>
          <t>ED211189</t>
        </is>
      </c>
      <c r="B1227" t="inlineStr">
        <is>
          <t>Ashby Falls</t>
        </is>
      </c>
      <c r="C1227" s="32" t="n">
        <v>45963.37430555555</v>
      </c>
      <c r="D1227" t="n">
        <v>3</v>
      </c>
      <c r="E1227" t="n">
        <v>69</v>
      </c>
    </row>
    <row r="1228">
      <c r="A1228" t="inlineStr">
        <is>
          <t>ED211202</t>
        </is>
      </c>
      <c r="B1228" t="inlineStr">
        <is>
          <t>Ashby Falls</t>
        </is>
      </c>
      <c r="C1228" s="32" t="n">
        <v>45964.03680555556</v>
      </c>
      <c r="D1228" t="n">
        <v>3</v>
      </c>
      <c r="E1228" t="n">
        <v>21</v>
      </c>
    </row>
    <row r="1229">
      <c r="A1229" t="inlineStr">
        <is>
          <t>ED211215</t>
        </is>
      </c>
      <c r="B1229" t="inlineStr">
        <is>
          <t>Ashby Falls</t>
        </is>
      </c>
      <c r="C1229" s="32" t="n">
        <v>45964.46666666667</v>
      </c>
      <c r="D1229" t="n">
        <v>2</v>
      </c>
      <c r="E1229" t="n">
        <v>25</v>
      </c>
    </row>
    <row r="1230">
      <c r="A1230" t="inlineStr">
        <is>
          <t>ED211216</t>
        </is>
      </c>
      <c r="B1230" t="inlineStr">
        <is>
          <t>Ashby Falls</t>
        </is>
      </c>
      <c r="C1230" s="32" t="n">
        <v>45964.5125</v>
      </c>
      <c r="D1230" t="n">
        <v>2</v>
      </c>
      <c r="E1230" t="n">
        <v>11</v>
      </c>
    </row>
    <row r="1231">
      <c r="A1231" t="inlineStr">
        <is>
          <t>ED211233</t>
        </is>
      </c>
      <c r="B1231" t="inlineStr">
        <is>
          <t>Ashby Falls</t>
        </is>
      </c>
      <c r="C1231" s="32" t="n">
        <v>45965.46180555555</v>
      </c>
      <c r="D1231" t="n">
        <v>3</v>
      </c>
      <c r="E1231" t="n">
        <v>14</v>
      </c>
    </row>
    <row r="1232">
      <c r="A1232" t="inlineStr">
        <is>
          <t>ED211235</t>
        </is>
      </c>
      <c r="B1232" t="inlineStr">
        <is>
          <t>Ashby Falls</t>
        </is>
      </c>
      <c r="C1232" s="32" t="n">
        <v>45965.50763888889</v>
      </c>
      <c r="D1232" t="n">
        <v>2</v>
      </c>
      <c r="E1232" t="n">
        <v>15</v>
      </c>
    </row>
    <row r="1233">
      <c r="A1233" t="inlineStr">
        <is>
          <t>ED211241</t>
        </is>
      </c>
      <c r="B1233" t="inlineStr">
        <is>
          <t>Ashby Falls</t>
        </is>
      </c>
      <c r="C1233" s="32" t="n">
        <v>45965.74305555555</v>
      </c>
      <c r="D1233" t="n">
        <v>3</v>
      </c>
      <c r="E1233" t="n">
        <v>44</v>
      </c>
    </row>
    <row r="1234">
      <c r="A1234" t="inlineStr">
        <is>
          <t>ED211243</t>
        </is>
      </c>
      <c r="B1234" t="inlineStr">
        <is>
          <t>Ashby Falls</t>
        </is>
      </c>
      <c r="C1234" s="32" t="n">
        <v>45965.76527777778</v>
      </c>
      <c r="D1234" t="n">
        <v>4</v>
      </c>
      <c r="E1234" t="n">
        <v>40</v>
      </c>
    </row>
    <row r="1235">
      <c r="A1235" t="inlineStr">
        <is>
          <t>ED211244</t>
        </is>
      </c>
      <c r="B1235" t="inlineStr">
        <is>
          <t>Ashby Falls</t>
        </is>
      </c>
      <c r="C1235" s="32" t="n">
        <v>45965.90277777778</v>
      </c>
      <c r="D1235" t="n">
        <v>3</v>
      </c>
      <c r="E1235" t="n">
        <v>19</v>
      </c>
    </row>
    <row r="1236">
      <c r="A1236" t="inlineStr">
        <is>
          <t>ED211251</t>
        </is>
      </c>
      <c r="B1236" t="inlineStr">
        <is>
          <t>Ashby Falls</t>
        </is>
      </c>
      <c r="C1236" s="32" t="n">
        <v>45966.425</v>
      </c>
      <c r="D1236" t="n">
        <v>3</v>
      </c>
      <c r="E1236" t="n">
        <v>40</v>
      </c>
    </row>
    <row r="1237">
      <c r="A1237" t="inlineStr">
        <is>
          <t>ED211258</t>
        </is>
      </c>
      <c r="B1237" t="inlineStr">
        <is>
          <t>Ashby Falls</t>
        </is>
      </c>
      <c r="C1237" s="32" t="n">
        <v>45966.63402777778</v>
      </c>
      <c r="D1237" t="n">
        <v>3</v>
      </c>
      <c r="E1237" t="n">
        <v>112</v>
      </c>
    </row>
    <row r="1238">
      <c r="A1238" t="inlineStr">
        <is>
          <t>ED211261</t>
        </is>
      </c>
      <c r="B1238" t="inlineStr">
        <is>
          <t>Ashby Falls</t>
        </is>
      </c>
      <c r="C1238" s="32" t="n">
        <v>45966.78680555556</v>
      </c>
      <c r="D1238" t="n">
        <v>3</v>
      </c>
      <c r="E1238" t="n">
        <v>51</v>
      </c>
    </row>
    <row r="1239">
      <c r="A1239" t="inlineStr">
        <is>
          <t>ED211281</t>
        </is>
      </c>
      <c r="B1239" t="inlineStr">
        <is>
          <t>Ashby Falls</t>
        </is>
      </c>
      <c r="C1239" s="32" t="n">
        <v>45967.99375</v>
      </c>
      <c r="D1239" t="n">
        <v>2</v>
      </c>
      <c r="E1239" t="n">
        <v>12</v>
      </c>
    </row>
    <row r="1240">
      <c r="A1240" t="inlineStr">
        <is>
          <t>ED211288</t>
        </is>
      </c>
      <c r="B1240" t="inlineStr">
        <is>
          <t>Ashby Falls</t>
        </is>
      </c>
      <c r="C1240" s="32" t="n">
        <v>45968.61111111111</v>
      </c>
      <c r="D1240" t="n">
        <v>3</v>
      </c>
      <c r="E1240" t="n">
        <v>62</v>
      </c>
    </row>
    <row r="1241">
      <c r="A1241" t="inlineStr">
        <is>
          <t>ED211298</t>
        </is>
      </c>
      <c r="B1241" t="inlineStr">
        <is>
          <t>Ashby Falls</t>
        </is>
      </c>
      <c r="C1241" s="32" t="n">
        <v>45969.09236111111</v>
      </c>
      <c r="D1241" t="n">
        <v>3</v>
      </c>
      <c r="E1241" t="n">
        <v>65</v>
      </c>
    </row>
    <row r="1242">
      <c r="A1242" t="inlineStr">
        <is>
          <t>ED211303</t>
        </is>
      </c>
      <c r="B1242" t="inlineStr">
        <is>
          <t>Ashby Falls</t>
        </is>
      </c>
      <c r="C1242" s="32" t="n">
        <v>45969.41319444445</v>
      </c>
      <c r="D1242" t="n">
        <v>3</v>
      </c>
      <c r="E1242" t="n">
        <v>69</v>
      </c>
    </row>
    <row r="1243">
      <c r="A1243" t="inlineStr">
        <is>
          <t>ED211312</t>
        </is>
      </c>
      <c r="B1243" t="inlineStr">
        <is>
          <t>Ashby Falls</t>
        </is>
      </c>
      <c r="C1243" s="32" t="n">
        <v>45969.71041666667</v>
      </c>
      <c r="D1243" t="n">
        <v>4</v>
      </c>
      <c r="E1243" t="n">
        <v>150</v>
      </c>
    </row>
    <row r="1244">
      <c r="A1244" t="inlineStr">
        <is>
          <t>ED211322</t>
        </is>
      </c>
      <c r="B1244" t="inlineStr">
        <is>
          <t>Ashby Falls</t>
        </is>
      </c>
      <c r="C1244" s="32" t="n">
        <v>45970.42222222222</v>
      </c>
      <c r="D1244" t="n">
        <v>4</v>
      </c>
      <c r="E1244" t="n">
        <v>74</v>
      </c>
    </row>
    <row r="1245">
      <c r="A1245" t="inlineStr">
        <is>
          <t>ED211324</t>
        </is>
      </c>
      <c r="B1245" t="inlineStr">
        <is>
          <t>Ashby Falls</t>
        </is>
      </c>
      <c r="C1245" s="32" t="n">
        <v>45970.55555555555</v>
      </c>
      <c r="D1245" t="n">
        <v>5</v>
      </c>
      <c r="E1245" t="n">
        <v>69</v>
      </c>
    </row>
    <row r="1246">
      <c r="A1246" t="inlineStr">
        <is>
          <t>ED211329</t>
        </is>
      </c>
      <c r="B1246" t="inlineStr">
        <is>
          <t>Ashby Falls</t>
        </is>
      </c>
      <c r="C1246" s="32" t="n">
        <v>45971.30694444444</v>
      </c>
      <c r="D1246" t="n">
        <v>1</v>
      </c>
      <c r="E1246" t="n">
        <v>4</v>
      </c>
    </row>
    <row r="1247">
      <c r="A1247" t="inlineStr">
        <is>
          <t>ED211338</t>
        </is>
      </c>
      <c r="B1247" t="inlineStr">
        <is>
          <t>Ashby Falls</t>
        </is>
      </c>
      <c r="C1247" s="32" t="n">
        <v>45971.61388888889</v>
      </c>
      <c r="D1247" t="n">
        <v>4</v>
      </c>
      <c r="E1247" t="n">
        <v>40</v>
      </c>
    </row>
    <row r="1248">
      <c r="A1248" t="inlineStr">
        <is>
          <t>ED211339</t>
        </is>
      </c>
      <c r="B1248" t="inlineStr">
        <is>
          <t>Ashby Falls</t>
        </is>
      </c>
      <c r="C1248" s="32" t="n">
        <v>45971.66319444445</v>
      </c>
      <c r="D1248" t="n">
        <v>3</v>
      </c>
      <c r="E1248" t="n">
        <v>33</v>
      </c>
    </row>
    <row r="1249">
      <c r="A1249" t="inlineStr">
        <is>
          <t>ED211340</t>
        </is>
      </c>
      <c r="B1249" t="inlineStr">
        <is>
          <t>Ashby Falls</t>
        </is>
      </c>
      <c r="C1249" s="32" t="n">
        <v>45971.74583333333</v>
      </c>
      <c r="D1249" t="n">
        <v>3</v>
      </c>
      <c r="E1249" t="n">
        <v>20</v>
      </c>
    </row>
    <row r="1250">
      <c r="A1250" t="inlineStr">
        <is>
          <t>ED211349</t>
        </is>
      </c>
      <c r="B1250" t="inlineStr">
        <is>
          <t>Ashby Falls</t>
        </is>
      </c>
      <c r="C1250" s="32" t="n">
        <v>45972.43125</v>
      </c>
      <c r="D1250" t="n">
        <v>3</v>
      </c>
      <c r="E1250" t="n">
        <v>29</v>
      </c>
    </row>
    <row r="1251">
      <c r="A1251" t="inlineStr">
        <is>
          <t>ED211356</t>
        </is>
      </c>
      <c r="B1251" t="inlineStr">
        <is>
          <t>Ashby Falls</t>
        </is>
      </c>
      <c r="C1251" s="32" t="n">
        <v>45972.51875</v>
      </c>
      <c r="D1251" t="n">
        <v>3</v>
      </c>
      <c r="E1251" t="n">
        <v>28</v>
      </c>
    </row>
    <row r="1252">
      <c r="A1252" t="inlineStr">
        <is>
          <t>ED211361</t>
        </is>
      </c>
      <c r="B1252" t="inlineStr">
        <is>
          <t>Ashby Falls</t>
        </is>
      </c>
      <c r="C1252" s="32" t="n">
        <v>45972.54305555556</v>
      </c>
      <c r="D1252" t="n">
        <v>5</v>
      </c>
      <c r="E1252" t="n">
        <v>99</v>
      </c>
    </row>
    <row r="1253">
      <c r="A1253" t="inlineStr">
        <is>
          <t>ED211367</t>
        </is>
      </c>
      <c r="B1253" t="inlineStr">
        <is>
          <t>Ashby Falls</t>
        </is>
      </c>
      <c r="C1253" s="32" t="n">
        <v>45972.87361111111</v>
      </c>
      <c r="D1253" t="n">
        <v>4</v>
      </c>
      <c r="E1253" t="n">
        <v>79</v>
      </c>
    </row>
    <row r="1254">
      <c r="A1254" t="inlineStr">
        <is>
          <t>ED211373</t>
        </is>
      </c>
      <c r="B1254" t="inlineStr">
        <is>
          <t>Ashby Falls</t>
        </is>
      </c>
      <c r="C1254" s="32" t="n">
        <v>45973.47013888889</v>
      </c>
      <c r="D1254" t="n">
        <v>2</v>
      </c>
      <c r="E1254" t="n">
        <v>24</v>
      </c>
    </row>
    <row r="1255">
      <c r="A1255" t="inlineStr">
        <is>
          <t>ED211379</t>
        </is>
      </c>
      <c r="B1255" t="inlineStr">
        <is>
          <t>Ashby Falls</t>
        </is>
      </c>
      <c r="C1255" s="32" t="n">
        <v>45973.65347222222</v>
      </c>
      <c r="D1255" t="n">
        <v>3</v>
      </c>
      <c r="E1255" t="n">
        <v>64</v>
      </c>
    </row>
    <row r="1256">
      <c r="A1256" t="inlineStr">
        <is>
          <t>ED211383</t>
        </is>
      </c>
      <c r="B1256" t="inlineStr">
        <is>
          <t>Ashby Falls</t>
        </is>
      </c>
      <c r="C1256" s="32" t="n">
        <v>45973.81319444445</v>
      </c>
      <c r="D1256" t="n">
        <v>3</v>
      </c>
      <c r="E1256" t="n">
        <v>76</v>
      </c>
    </row>
    <row r="1257">
      <c r="A1257" t="inlineStr">
        <is>
          <t>ED211384</t>
        </is>
      </c>
      <c r="B1257" t="inlineStr">
        <is>
          <t>Ashby Falls</t>
        </is>
      </c>
      <c r="C1257" s="32" t="n">
        <v>45973.84722222222</v>
      </c>
      <c r="D1257" t="n">
        <v>3</v>
      </c>
      <c r="E1257" t="n">
        <v>60</v>
      </c>
    </row>
    <row r="1258">
      <c r="A1258" t="inlineStr">
        <is>
          <t>ED211393</t>
        </is>
      </c>
      <c r="B1258" t="inlineStr">
        <is>
          <t>Ashby Falls</t>
        </is>
      </c>
      <c r="C1258" s="32" t="n">
        <v>45974.43194444444</v>
      </c>
      <c r="D1258" t="n">
        <v>2</v>
      </c>
      <c r="E1258" t="n">
        <v>13</v>
      </c>
    </row>
    <row r="1259">
      <c r="A1259" t="inlineStr">
        <is>
          <t>ED211406</t>
        </is>
      </c>
      <c r="B1259" t="inlineStr">
        <is>
          <t>Ashby Falls</t>
        </is>
      </c>
      <c r="C1259" s="32" t="n">
        <v>45975.58680555555</v>
      </c>
      <c r="D1259" t="n">
        <v>4</v>
      </c>
      <c r="E1259" t="n">
        <v>147</v>
      </c>
    </row>
    <row r="1260">
      <c r="A1260" t="inlineStr">
        <is>
          <t>ED211407</t>
        </is>
      </c>
      <c r="B1260" t="inlineStr">
        <is>
          <t>Ashby Falls</t>
        </is>
      </c>
      <c r="C1260" s="32" t="n">
        <v>45975.77847222222</v>
      </c>
      <c r="D1260" t="n">
        <v>2</v>
      </c>
      <c r="E1260" t="n">
        <v>21</v>
      </c>
    </row>
    <row r="1261">
      <c r="A1261" t="inlineStr">
        <is>
          <t>ED211412</t>
        </is>
      </c>
      <c r="B1261" t="inlineStr">
        <is>
          <t>Ashby Falls</t>
        </is>
      </c>
      <c r="C1261" s="32" t="n">
        <v>45976.12708333333</v>
      </c>
      <c r="D1261" t="n">
        <v>4</v>
      </c>
      <c r="E1261" t="n">
        <v>64</v>
      </c>
    </row>
    <row r="1262">
      <c r="A1262" t="inlineStr">
        <is>
          <t>ED211421</t>
        </is>
      </c>
      <c r="B1262" t="inlineStr">
        <is>
          <t>Ashby Falls</t>
        </is>
      </c>
      <c r="C1262" s="32" t="n">
        <v>45976.67361111111</v>
      </c>
      <c r="D1262" t="n">
        <v>3</v>
      </c>
      <c r="E1262" t="n">
        <v>56</v>
      </c>
    </row>
    <row r="1263">
      <c r="A1263" t="inlineStr">
        <is>
          <t>ED211434</t>
        </is>
      </c>
      <c r="B1263" t="inlineStr">
        <is>
          <t>Ashby Falls</t>
        </is>
      </c>
      <c r="C1263" s="32" t="n">
        <v>45977.4375</v>
      </c>
      <c r="D1263" t="n">
        <v>4</v>
      </c>
      <c r="E1263" t="n">
        <v>123</v>
      </c>
    </row>
    <row r="1264">
      <c r="A1264" t="inlineStr">
        <is>
          <t>ED211443</t>
        </is>
      </c>
      <c r="B1264" t="inlineStr">
        <is>
          <t>Ashby Falls</t>
        </is>
      </c>
      <c r="C1264" s="32" t="n">
        <v>45977.77777777778</v>
      </c>
      <c r="D1264" t="n">
        <v>4</v>
      </c>
      <c r="E1264" t="n">
        <v>35</v>
      </c>
    </row>
    <row r="1265">
      <c r="A1265" t="inlineStr">
        <is>
          <t>ED211444</t>
        </is>
      </c>
      <c r="B1265" t="inlineStr">
        <is>
          <t>Ashby Falls</t>
        </is>
      </c>
      <c r="C1265" s="32" t="n">
        <v>45977.78333333333</v>
      </c>
      <c r="D1265" t="n">
        <v>3</v>
      </c>
      <c r="E1265" t="n">
        <v>24</v>
      </c>
    </row>
    <row r="1266">
      <c r="A1266" t="inlineStr">
        <is>
          <t>ED211460</t>
        </is>
      </c>
      <c r="B1266" t="inlineStr">
        <is>
          <t>Ashby Falls</t>
        </is>
      </c>
      <c r="C1266" s="32" t="n">
        <v>45978.45694444444</v>
      </c>
      <c r="D1266" t="n">
        <v>3</v>
      </c>
      <c r="E1266" t="n">
        <v>72</v>
      </c>
    </row>
    <row r="1267">
      <c r="A1267" t="inlineStr">
        <is>
          <t>ED211463</t>
        </is>
      </c>
      <c r="B1267" t="inlineStr">
        <is>
          <t>Ashby Falls</t>
        </is>
      </c>
      <c r="C1267" s="32" t="n">
        <v>45978.58194444444</v>
      </c>
      <c r="D1267" t="n">
        <v>3</v>
      </c>
      <c r="E1267" t="n">
        <v>54</v>
      </c>
    </row>
    <row r="1268">
      <c r="A1268" t="inlineStr">
        <is>
          <t>ED211473</t>
        </is>
      </c>
      <c r="B1268" t="inlineStr">
        <is>
          <t>Ashby Falls</t>
        </is>
      </c>
      <c r="C1268" s="32" t="n">
        <v>45979.3875</v>
      </c>
      <c r="D1268" t="n">
        <v>4</v>
      </c>
      <c r="E1268" t="n">
        <v>89</v>
      </c>
    </row>
    <row r="1269">
      <c r="A1269" t="inlineStr">
        <is>
          <t>ED211494</t>
        </is>
      </c>
      <c r="B1269" t="inlineStr">
        <is>
          <t>Ashby Falls</t>
        </is>
      </c>
      <c r="C1269" s="32" t="n">
        <v>45980.30347222222</v>
      </c>
      <c r="D1269" t="n">
        <v>4</v>
      </c>
      <c r="E1269" t="n">
        <v>171</v>
      </c>
    </row>
    <row r="1270">
      <c r="A1270" t="inlineStr">
        <is>
          <t>ED211495</t>
        </is>
      </c>
      <c r="B1270" t="inlineStr">
        <is>
          <t>Ashby Falls</t>
        </is>
      </c>
      <c r="C1270" s="32" t="n">
        <v>45980.31319444445</v>
      </c>
      <c r="D1270" t="n">
        <v>3</v>
      </c>
      <c r="E1270" t="n">
        <v>21</v>
      </c>
    </row>
    <row r="1271">
      <c r="A1271" t="inlineStr">
        <is>
          <t>ED211496</t>
        </is>
      </c>
      <c r="B1271" t="inlineStr">
        <is>
          <t>Ashby Falls</t>
        </is>
      </c>
      <c r="C1271" s="32" t="n">
        <v>45980.34652777778</v>
      </c>
      <c r="D1271" t="n">
        <v>1</v>
      </c>
      <c r="E1271" t="n">
        <v>2</v>
      </c>
    </row>
    <row r="1272">
      <c r="A1272" t="inlineStr">
        <is>
          <t>ED211498</t>
        </is>
      </c>
      <c r="B1272" t="inlineStr">
        <is>
          <t>Ashby Falls</t>
        </is>
      </c>
      <c r="C1272" s="32" t="n">
        <v>45980.43958333333</v>
      </c>
      <c r="D1272" t="n">
        <v>2</v>
      </c>
      <c r="E1272" t="n">
        <v>54</v>
      </c>
    </row>
    <row r="1273">
      <c r="A1273" t="inlineStr">
        <is>
          <t>ED211504</t>
        </is>
      </c>
      <c r="B1273" t="inlineStr">
        <is>
          <t>Ashby Falls</t>
        </is>
      </c>
      <c r="C1273" s="32" t="n">
        <v>45980.62777777778</v>
      </c>
      <c r="D1273" t="n">
        <v>4</v>
      </c>
      <c r="E1273" t="n">
        <v>63</v>
      </c>
    </row>
    <row r="1274">
      <c r="A1274" t="inlineStr">
        <is>
          <t>ED211511</t>
        </is>
      </c>
      <c r="B1274" t="inlineStr">
        <is>
          <t>Ashby Falls</t>
        </is>
      </c>
      <c r="C1274" s="32" t="n">
        <v>45980.90902777778</v>
      </c>
      <c r="D1274" t="n">
        <v>3</v>
      </c>
      <c r="E1274" t="n">
        <v>32</v>
      </c>
    </row>
    <row r="1275">
      <c r="A1275" t="inlineStr">
        <is>
          <t>ED211512</t>
        </is>
      </c>
      <c r="B1275" t="inlineStr">
        <is>
          <t>Ashby Falls</t>
        </is>
      </c>
      <c r="C1275" s="32" t="n">
        <v>45980.9875</v>
      </c>
      <c r="D1275" t="n">
        <v>2</v>
      </c>
      <c r="E1275" t="n">
        <v>10</v>
      </c>
    </row>
    <row r="1276">
      <c r="A1276" t="inlineStr">
        <is>
          <t>ED211516</t>
        </is>
      </c>
      <c r="B1276" t="inlineStr">
        <is>
          <t>Ashby Falls</t>
        </is>
      </c>
      <c r="C1276" s="32" t="n">
        <v>45981.33472222222</v>
      </c>
      <c r="D1276" t="n">
        <v>2</v>
      </c>
      <c r="E1276" t="n">
        <v>19</v>
      </c>
    </row>
    <row r="1277">
      <c r="A1277" t="inlineStr">
        <is>
          <t>ED211518</t>
        </is>
      </c>
      <c r="B1277" t="inlineStr">
        <is>
          <t>Ashby Falls</t>
        </is>
      </c>
      <c r="C1277" s="32" t="n">
        <v>45981.42013888889</v>
      </c>
      <c r="D1277" t="n">
        <v>4</v>
      </c>
      <c r="E1277" t="n">
        <v>165</v>
      </c>
    </row>
    <row r="1278">
      <c r="A1278" t="inlineStr">
        <is>
          <t>ED211521</t>
        </is>
      </c>
      <c r="B1278" t="inlineStr">
        <is>
          <t>Ashby Falls</t>
        </is>
      </c>
      <c r="C1278" s="32" t="n">
        <v>45981.44722222222</v>
      </c>
      <c r="D1278" t="n">
        <v>4</v>
      </c>
      <c r="E1278" t="n">
        <v>57</v>
      </c>
    </row>
    <row r="1279">
      <c r="A1279" t="inlineStr">
        <is>
          <t>ED211522</t>
        </is>
      </c>
      <c r="B1279" t="inlineStr">
        <is>
          <t>Ashby Falls</t>
        </is>
      </c>
      <c r="C1279" s="32" t="n">
        <v>45981.44791666666</v>
      </c>
      <c r="D1279" t="n">
        <v>3</v>
      </c>
      <c r="E1279" t="n">
        <v>21</v>
      </c>
    </row>
    <row r="1280">
      <c r="A1280" t="inlineStr">
        <is>
          <t>ED211551</t>
        </is>
      </c>
      <c r="B1280" t="inlineStr">
        <is>
          <t>Ashby Falls</t>
        </is>
      </c>
      <c r="C1280" s="32" t="n">
        <v>45982.95138888889</v>
      </c>
      <c r="D1280" t="n">
        <v>3</v>
      </c>
      <c r="E1280" t="n">
        <v>44</v>
      </c>
    </row>
    <row r="1281">
      <c r="A1281" t="inlineStr">
        <is>
          <t>ED211563</t>
        </is>
      </c>
      <c r="B1281" t="inlineStr">
        <is>
          <t>Ashby Falls</t>
        </is>
      </c>
      <c r="C1281" s="32" t="n">
        <v>45983.89444444444</v>
      </c>
      <c r="D1281" t="n">
        <v>2</v>
      </c>
      <c r="E1281" t="n">
        <v>21</v>
      </c>
    </row>
    <row r="1282">
      <c r="A1282" t="inlineStr">
        <is>
          <t>ED211567</t>
        </is>
      </c>
      <c r="B1282" t="inlineStr">
        <is>
          <t>Ashby Falls</t>
        </is>
      </c>
      <c r="C1282" s="32" t="n">
        <v>45984.50138888889</v>
      </c>
      <c r="D1282" t="n">
        <v>4</v>
      </c>
      <c r="E1282" t="n">
        <v>89</v>
      </c>
    </row>
    <row r="1283">
      <c r="A1283" t="inlineStr">
        <is>
          <t>ED211569</t>
        </is>
      </c>
      <c r="B1283" t="inlineStr">
        <is>
          <t>Ashby Falls</t>
        </is>
      </c>
      <c r="C1283" s="32" t="n">
        <v>45984.62430555555</v>
      </c>
      <c r="D1283" t="n">
        <v>5</v>
      </c>
      <c r="E1283" t="n">
        <v>66</v>
      </c>
    </row>
    <row r="1284">
      <c r="A1284" t="inlineStr">
        <is>
          <t>ED211572</t>
        </is>
      </c>
      <c r="B1284" t="inlineStr">
        <is>
          <t>Ashby Falls</t>
        </is>
      </c>
      <c r="C1284" s="32" t="n">
        <v>45984.65833333333</v>
      </c>
      <c r="D1284" t="n">
        <v>2</v>
      </c>
      <c r="E1284" t="n">
        <v>27</v>
      </c>
    </row>
    <row r="1285">
      <c r="A1285" t="inlineStr">
        <is>
          <t>ED211573</t>
        </is>
      </c>
      <c r="B1285" t="inlineStr">
        <is>
          <t>Ashby Falls</t>
        </is>
      </c>
      <c r="C1285" s="32" t="n">
        <v>45984.66666666666</v>
      </c>
      <c r="D1285" t="n">
        <v>3</v>
      </c>
      <c r="E1285" t="n">
        <v>23</v>
      </c>
    </row>
    <row r="1286">
      <c r="A1286" t="inlineStr">
        <is>
          <t>ED211585</t>
        </is>
      </c>
      <c r="B1286" t="inlineStr">
        <is>
          <t>Ashby Falls</t>
        </is>
      </c>
      <c r="C1286" s="32" t="n">
        <v>45985.23402777778</v>
      </c>
      <c r="D1286" t="n">
        <v>2</v>
      </c>
      <c r="E1286" t="n">
        <v>11</v>
      </c>
    </row>
    <row r="1287">
      <c r="A1287" t="inlineStr">
        <is>
          <t>ED211589</t>
        </is>
      </c>
      <c r="B1287" t="inlineStr">
        <is>
          <t>Ashby Falls</t>
        </is>
      </c>
      <c r="C1287" s="32" t="n">
        <v>45985.41180555556</v>
      </c>
      <c r="D1287" t="n">
        <v>1</v>
      </c>
      <c r="E1287" t="n">
        <v>3</v>
      </c>
    </row>
    <row r="1288">
      <c r="A1288" t="inlineStr">
        <is>
          <t>ED211596</t>
        </is>
      </c>
      <c r="B1288" t="inlineStr">
        <is>
          <t>Ashby Falls</t>
        </is>
      </c>
      <c r="C1288" s="32" t="n">
        <v>45985.70625</v>
      </c>
      <c r="D1288" t="n">
        <v>3</v>
      </c>
      <c r="E1288" t="n">
        <v>69</v>
      </c>
    </row>
    <row r="1289">
      <c r="A1289" t="inlineStr">
        <is>
          <t>ED211605</t>
        </is>
      </c>
      <c r="B1289" t="inlineStr">
        <is>
          <t>Ashby Falls</t>
        </is>
      </c>
      <c r="C1289" s="32" t="n">
        <v>45986.43194444444</v>
      </c>
      <c r="D1289" t="n">
        <v>4</v>
      </c>
      <c r="E1289" t="n">
        <v>105</v>
      </c>
    </row>
    <row r="1290">
      <c r="A1290" t="inlineStr">
        <is>
          <t>ED211607</t>
        </is>
      </c>
      <c r="B1290" t="inlineStr">
        <is>
          <t>Ashby Falls</t>
        </is>
      </c>
      <c r="C1290" s="32" t="n">
        <v>45986.46458333333</v>
      </c>
      <c r="D1290" t="n">
        <v>4</v>
      </c>
      <c r="E1290" t="n">
        <v>47</v>
      </c>
    </row>
    <row r="1291">
      <c r="A1291" t="inlineStr">
        <is>
          <t>ED211608</t>
        </is>
      </c>
      <c r="B1291" t="inlineStr">
        <is>
          <t>Ashby Falls</t>
        </is>
      </c>
      <c r="C1291" s="32" t="n">
        <v>45986.47638888889</v>
      </c>
      <c r="D1291" t="n">
        <v>4</v>
      </c>
      <c r="E1291" t="n">
        <v>99</v>
      </c>
    </row>
    <row r="1292">
      <c r="A1292" t="inlineStr">
        <is>
          <t>ED211617</t>
        </is>
      </c>
      <c r="B1292" t="inlineStr">
        <is>
          <t>Ashby Falls</t>
        </is>
      </c>
      <c r="C1292" s="32" t="n">
        <v>45987.45277777778</v>
      </c>
      <c r="D1292" t="n">
        <v>4</v>
      </c>
      <c r="E1292" t="n">
        <v>31</v>
      </c>
    </row>
    <row r="1293">
      <c r="A1293" t="inlineStr">
        <is>
          <t>ED211621</t>
        </is>
      </c>
      <c r="B1293" t="inlineStr">
        <is>
          <t>Ashby Falls</t>
        </is>
      </c>
      <c r="C1293" s="32" t="n">
        <v>45987.67569444444</v>
      </c>
      <c r="D1293" t="n">
        <v>2</v>
      </c>
      <c r="E1293" t="n">
        <v>33</v>
      </c>
    </row>
    <row r="1294">
      <c r="A1294" t="inlineStr">
        <is>
          <t>ED211625</t>
        </is>
      </c>
      <c r="B1294" t="inlineStr">
        <is>
          <t>Ashby Falls</t>
        </is>
      </c>
      <c r="C1294" s="32" t="n">
        <v>45988.00625</v>
      </c>
      <c r="D1294" t="n">
        <v>3</v>
      </c>
      <c r="E1294" t="n">
        <v>37</v>
      </c>
    </row>
    <row r="1295">
      <c r="A1295" t="inlineStr">
        <is>
          <t>ED211641</t>
        </is>
      </c>
      <c r="B1295" t="inlineStr">
        <is>
          <t>Ashby Falls</t>
        </is>
      </c>
      <c r="C1295" s="32" t="n">
        <v>45988.89652777778</v>
      </c>
      <c r="D1295" t="n">
        <v>2</v>
      </c>
      <c r="E1295" t="n">
        <v>10</v>
      </c>
    </row>
    <row r="1296">
      <c r="A1296" t="inlineStr">
        <is>
          <t>ED211650</t>
        </is>
      </c>
      <c r="B1296" t="inlineStr">
        <is>
          <t>Ashby Falls</t>
        </is>
      </c>
      <c r="C1296" s="32" t="n">
        <v>45989.51527777778</v>
      </c>
      <c r="D1296" t="n">
        <v>2</v>
      </c>
      <c r="E1296" t="n">
        <v>16</v>
      </c>
    </row>
    <row r="1297">
      <c r="A1297" t="inlineStr">
        <is>
          <t>ED211651</t>
        </is>
      </c>
      <c r="B1297" t="inlineStr">
        <is>
          <t>Ashby Falls</t>
        </is>
      </c>
      <c r="C1297" s="32" t="n">
        <v>45989.56180555555</v>
      </c>
      <c r="D1297" t="n">
        <v>4</v>
      </c>
      <c r="E1297" t="n">
        <v>85</v>
      </c>
    </row>
    <row r="1298">
      <c r="A1298" t="inlineStr">
        <is>
          <t>ED211656</t>
        </is>
      </c>
      <c r="B1298" t="inlineStr">
        <is>
          <t>Ashby Falls</t>
        </is>
      </c>
      <c r="C1298" s="32" t="n">
        <v>45989.67708333334</v>
      </c>
      <c r="D1298" t="n">
        <v>3</v>
      </c>
      <c r="E1298" t="n">
        <v>19</v>
      </c>
    </row>
    <row r="1299">
      <c r="A1299" t="inlineStr">
        <is>
          <t>ED211659</t>
        </is>
      </c>
      <c r="B1299" t="inlineStr">
        <is>
          <t>Ashby Falls</t>
        </is>
      </c>
      <c r="C1299" s="32" t="n">
        <v>45989.75208333333</v>
      </c>
      <c r="D1299" t="n">
        <v>2</v>
      </c>
      <c r="E1299" t="n">
        <v>30</v>
      </c>
    </row>
    <row r="1300">
      <c r="A1300" t="inlineStr">
        <is>
          <t>ED211663</t>
        </is>
      </c>
      <c r="B1300" t="inlineStr">
        <is>
          <t>Ashby Falls</t>
        </is>
      </c>
      <c r="C1300" s="32" t="n">
        <v>45989.84236111111</v>
      </c>
      <c r="D1300" t="n">
        <v>3</v>
      </c>
      <c r="E1300" t="n">
        <v>30</v>
      </c>
    </row>
    <row r="1301">
      <c r="A1301" t="inlineStr">
        <is>
          <t>ED211671</t>
        </is>
      </c>
      <c r="B1301" t="inlineStr">
        <is>
          <t>Ashby Falls</t>
        </is>
      </c>
      <c r="C1301" s="32" t="n">
        <v>45990.62361111111</v>
      </c>
      <c r="D1301" t="n">
        <v>1</v>
      </c>
      <c r="E1301" t="n">
        <v>3</v>
      </c>
    </row>
    <row r="1302">
      <c r="A1302" t="inlineStr">
        <is>
          <t>ED211672</t>
        </is>
      </c>
      <c r="B1302" t="inlineStr">
        <is>
          <t>Ashby Falls</t>
        </is>
      </c>
      <c r="C1302" s="32" t="n">
        <v>45990.70069444444</v>
      </c>
      <c r="D1302" t="n">
        <v>2</v>
      </c>
      <c r="E1302" t="n">
        <v>32</v>
      </c>
    </row>
    <row r="1303">
      <c r="A1303" t="inlineStr">
        <is>
          <t>ED211688</t>
        </is>
      </c>
      <c r="B1303" t="inlineStr">
        <is>
          <t>Ashby Falls</t>
        </is>
      </c>
      <c r="C1303" s="32" t="n">
        <v>45991.61458333334</v>
      </c>
      <c r="D1303" t="n">
        <v>4</v>
      </c>
      <c r="E1303" t="n">
        <v>85</v>
      </c>
    </row>
    <row r="1304">
      <c r="A1304" t="inlineStr">
        <is>
          <t>ED211689</t>
        </is>
      </c>
      <c r="B1304" t="inlineStr">
        <is>
          <t>Ashby Falls</t>
        </is>
      </c>
      <c r="C1304" s="32" t="n">
        <v>45991.65069444444</v>
      </c>
      <c r="D1304" t="n">
        <v>4</v>
      </c>
      <c r="E1304" t="n">
        <v>58</v>
      </c>
    </row>
    <row r="1305">
      <c r="A1305" t="inlineStr">
        <is>
          <t>ED211702</t>
        </is>
      </c>
      <c r="B1305" t="inlineStr">
        <is>
          <t>Ashby Falls</t>
        </is>
      </c>
      <c r="C1305" s="32" t="n">
        <v>45992.42986111111</v>
      </c>
      <c r="D1305" t="n">
        <v>5</v>
      </c>
      <c r="E1305" t="n">
        <v>98</v>
      </c>
    </row>
    <row r="1306">
      <c r="A1306" t="inlineStr">
        <is>
          <t>ED211714</t>
        </is>
      </c>
      <c r="B1306" t="inlineStr">
        <is>
          <t>Ashby Falls</t>
        </is>
      </c>
      <c r="C1306" s="32" t="n">
        <v>45992.83611111111</v>
      </c>
      <c r="D1306" t="n">
        <v>4</v>
      </c>
      <c r="E1306" t="n">
        <v>87</v>
      </c>
    </row>
    <row r="1307">
      <c r="A1307" t="inlineStr">
        <is>
          <t>ED211731</t>
        </is>
      </c>
      <c r="B1307" t="inlineStr">
        <is>
          <t>Ashby Falls</t>
        </is>
      </c>
      <c r="C1307" s="32" t="n">
        <v>45993.67152777778</v>
      </c>
      <c r="D1307" t="n">
        <v>3</v>
      </c>
      <c r="E1307" t="n">
        <v>99</v>
      </c>
    </row>
    <row r="1308">
      <c r="A1308" t="inlineStr">
        <is>
          <t>ED211740</t>
        </is>
      </c>
      <c r="B1308" t="inlineStr">
        <is>
          <t>Ashby Falls</t>
        </is>
      </c>
      <c r="C1308" s="32" t="n">
        <v>45994.10694444444</v>
      </c>
      <c r="D1308" t="n">
        <v>2</v>
      </c>
      <c r="E1308" t="n">
        <v>12</v>
      </c>
    </row>
    <row r="1309">
      <c r="A1309" t="inlineStr">
        <is>
          <t>ED211746</t>
        </is>
      </c>
      <c r="B1309" t="inlineStr">
        <is>
          <t>Ashby Falls</t>
        </is>
      </c>
      <c r="C1309" s="32" t="n">
        <v>45994.47152777778</v>
      </c>
      <c r="D1309" t="n">
        <v>2</v>
      </c>
      <c r="E1309" t="n">
        <v>38</v>
      </c>
    </row>
    <row r="1310">
      <c r="A1310" t="inlineStr">
        <is>
          <t>ED211747</t>
        </is>
      </c>
      <c r="B1310" t="inlineStr">
        <is>
          <t>Ashby Falls</t>
        </is>
      </c>
      <c r="C1310" s="32" t="n">
        <v>45994.55</v>
      </c>
      <c r="D1310" t="n">
        <v>4</v>
      </c>
      <c r="E1310" t="n">
        <v>47</v>
      </c>
    </row>
    <row r="1311">
      <c r="A1311" t="inlineStr">
        <is>
          <t>ED211752</t>
        </is>
      </c>
      <c r="B1311" t="inlineStr">
        <is>
          <t>Ashby Falls</t>
        </is>
      </c>
      <c r="C1311" s="32" t="n">
        <v>45994.75486111111</v>
      </c>
      <c r="D1311" t="n">
        <v>4</v>
      </c>
    </row>
    <row r="1312">
      <c r="A1312" t="inlineStr">
        <is>
          <t>ED211753</t>
        </is>
      </c>
      <c r="B1312" t="inlineStr">
        <is>
          <t>Ashby Falls</t>
        </is>
      </c>
      <c r="C1312" s="32" t="n">
        <v>45994.77847222222</v>
      </c>
      <c r="D1312" t="n">
        <v>5</v>
      </c>
      <c r="E1312" t="n">
        <v>53</v>
      </c>
    </row>
    <row r="1313">
      <c r="A1313" t="inlineStr">
        <is>
          <t>ED211760</t>
        </is>
      </c>
      <c r="B1313" t="inlineStr">
        <is>
          <t>Ashby Falls</t>
        </is>
      </c>
      <c r="C1313" s="32" t="n">
        <v>45995.25625</v>
      </c>
      <c r="D1313" t="n">
        <v>3</v>
      </c>
      <c r="E1313" t="n">
        <v>36</v>
      </c>
    </row>
    <row r="1314">
      <c r="A1314" t="inlineStr">
        <is>
          <t>ED211765</t>
        </is>
      </c>
      <c r="B1314" t="inlineStr">
        <is>
          <t>Ashby Falls</t>
        </is>
      </c>
      <c r="C1314" s="32" t="n">
        <v>45995.49652777778</v>
      </c>
      <c r="D1314" t="n">
        <v>2</v>
      </c>
      <c r="E1314" t="n">
        <v>13</v>
      </c>
    </row>
    <row r="1315">
      <c r="A1315" t="inlineStr">
        <is>
          <t>ED211767</t>
        </is>
      </c>
      <c r="B1315" t="inlineStr">
        <is>
          <t>Ashby Falls</t>
        </is>
      </c>
      <c r="C1315" s="32" t="n">
        <v>45995.51875</v>
      </c>
      <c r="D1315" t="n">
        <v>4</v>
      </c>
      <c r="E1315" t="n">
        <v>60</v>
      </c>
    </row>
    <row r="1316">
      <c r="A1316" t="inlineStr">
        <is>
          <t>ED211771</t>
        </is>
      </c>
      <c r="B1316" t="inlineStr">
        <is>
          <t>Ashby Falls</t>
        </is>
      </c>
      <c r="C1316" s="32" t="n">
        <v>45995.68194444444</v>
      </c>
      <c r="D1316" t="n">
        <v>3</v>
      </c>
      <c r="E1316" t="n">
        <v>79</v>
      </c>
    </row>
    <row r="1317">
      <c r="A1317" t="inlineStr">
        <is>
          <t>ED211800</t>
        </is>
      </c>
      <c r="B1317" t="inlineStr">
        <is>
          <t>Ashby Falls</t>
        </is>
      </c>
      <c r="C1317" s="32" t="n">
        <v>45997.05069444444</v>
      </c>
      <c r="D1317" t="n">
        <v>3</v>
      </c>
      <c r="E1317" t="n">
        <v>34</v>
      </c>
    </row>
    <row r="1318">
      <c r="A1318" t="inlineStr">
        <is>
          <t>ED211810</t>
        </is>
      </c>
      <c r="B1318" t="inlineStr">
        <is>
          <t>Ashby Falls</t>
        </is>
      </c>
      <c r="C1318" s="32" t="n">
        <v>45997.51875</v>
      </c>
      <c r="D1318" t="n">
        <v>2</v>
      </c>
      <c r="E1318" t="n">
        <v>31</v>
      </c>
    </row>
    <row r="1319">
      <c r="A1319" t="inlineStr">
        <is>
          <t>ED211814</t>
        </is>
      </c>
      <c r="B1319" t="inlineStr">
        <is>
          <t>Ashby Falls</t>
        </is>
      </c>
      <c r="C1319" s="32" t="n">
        <v>45997.77638888889</v>
      </c>
      <c r="D1319" t="n">
        <v>4</v>
      </c>
      <c r="E1319" t="n">
        <v>246</v>
      </c>
    </row>
    <row r="1320">
      <c r="A1320" t="inlineStr">
        <is>
          <t>ED211816</t>
        </is>
      </c>
      <c r="B1320" t="inlineStr">
        <is>
          <t>Ashby Falls</t>
        </is>
      </c>
      <c r="C1320" s="32" t="n">
        <v>45997.80972222222</v>
      </c>
      <c r="D1320" t="n">
        <v>2</v>
      </c>
      <c r="E1320" t="n">
        <v>14</v>
      </c>
    </row>
    <row r="1321">
      <c r="A1321" t="inlineStr">
        <is>
          <t>ED211829</t>
        </is>
      </c>
      <c r="B1321" t="inlineStr">
        <is>
          <t>Ashby Falls</t>
        </is>
      </c>
      <c r="C1321" s="32" t="n">
        <v>45998.88958333333</v>
      </c>
      <c r="D1321" t="n">
        <v>4</v>
      </c>
      <c r="E1321" t="n">
        <v>48</v>
      </c>
    </row>
    <row r="1322">
      <c r="A1322" t="inlineStr">
        <is>
          <t>ED211846</t>
        </is>
      </c>
      <c r="B1322" t="inlineStr">
        <is>
          <t>Ashby Falls</t>
        </is>
      </c>
      <c r="C1322" s="32" t="n">
        <v>45999.58819444444</v>
      </c>
      <c r="D1322" t="n">
        <v>3</v>
      </c>
      <c r="E1322" t="n">
        <v>146</v>
      </c>
    </row>
    <row r="1323">
      <c r="A1323" t="inlineStr">
        <is>
          <t>ED211849</t>
        </is>
      </c>
      <c r="B1323" t="inlineStr">
        <is>
          <t>Ashby Falls</t>
        </is>
      </c>
      <c r="C1323" s="32" t="n">
        <v>45999.61111111111</v>
      </c>
      <c r="D1323" t="n">
        <v>4</v>
      </c>
      <c r="E1323" t="n">
        <v>107</v>
      </c>
    </row>
    <row r="1324">
      <c r="A1324" t="inlineStr">
        <is>
          <t>ED211858</t>
        </is>
      </c>
      <c r="B1324" t="inlineStr">
        <is>
          <t>Ashby Falls</t>
        </is>
      </c>
      <c r="C1324" s="32" t="n">
        <v>45999.91944444444</v>
      </c>
      <c r="D1324" t="n">
        <v>3</v>
      </c>
      <c r="E1324" t="n">
        <v>42</v>
      </c>
    </row>
    <row r="1325">
      <c r="A1325" t="inlineStr">
        <is>
          <t>ED211860</t>
        </is>
      </c>
      <c r="B1325" t="inlineStr">
        <is>
          <t>Ashby Falls</t>
        </is>
      </c>
      <c r="C1325" s="32" t="n">
        <v>46000.00972222222</v>
      </c>
      <c r="D1325" t="n">
        <v>3</v>
      </c>
      <c r="E1325" t="n">
        <v>16</v>
      </c>
    </row>
    <row r="1326">
      <c r="A1326" t="inlineStr">
        <is>
          <t>ED211874</t>
        </is>
      </c>
      <c r="B1326" t="inlineStr">
        <is>
          <t>Ashby Falls</t>
        </is>
      </c>
      <c r="C1326" s="32" t="n">
        <v>46000.58194444444</v>
      </c>
      <c r="D1326" t="n">
        <v>4</v>
      </c>
      <c r="E1326" t="n">
        <v>88</v>
      </c>
    </row>
    <row r="1327">
      <c r="A1327" t="inlineStr">
        <is>
          <t>ED211878</t>
        </is>
      </c>
      <c r="B1327" t="inlineStr">
        <is>
          <t>Ashby Falls</t>
        </is>
      </c>
      <c r="C1327" s="32" t="n">
        <v>46000.68958333333</v>
      </c>
      <c r="D1327" t="n">
        <v>3</v>
      </c>
      <c r="E1327" t="n">
        <v>45</v>
      </c>
    </row>
    <row r="1328">
      <c r="A1328" t="inlineStr">
        <is>
          <t>ED211883</t>
        </is>
      </c>
      <c r="B1328" t="inlineStr">
        <is>
          <t>Ashby Falls</t>
        </is>
      </c>
      <c r="C1328" s="32" t="n">
        <v>46000.84930555556</v>
      </c>
      <c r="D1328" t="n">
        <v>3</v>
      </c>
      <c r="E1328" t="n">
        <v>54</v>
      </c>
    </row>
    <row r="1329">
      <c r="A1329" t="inlineStr">
        <is>
          <t>ED211887</t>
        </is>
      </c>
      <c r="B1329" t="inlineStr">
        <is>
          <t>Ashby Falls</t>
        </is>
      </c>
      <c r="C1329" s="32" t="n">
        <v>46001.38958333333</v>
      </c>
      <c r="D1329" t="n">
        <v>4</v>
      </c>
    </row>
    <row r="1330">
      <c r="A1330" t="inlineStr">
        <is>
          <t>ED211888</t>
        </is>
      </c>
      <c r="B1330" t="inlineStr">
        <is>
          <t>Ashby Falls</t>
        </is>
      </c>
      <c r="C1330" s="32" t="n">
        <v>46001.43055555555</v>
      </c>
      <c r="D1330" t="n">
        <v>3</v>
      </c>
      <c r="E1330" t="n">
        <v>24</v>
      </c>
    </row>
    <row r="1331">
      <c r="A1331" t="inlineStr">
        <is>
          <t>ED211891</t>
        </is>
      </c>
      <c r="B1331" t="inlineStr">
        <is>
          <t>Ashby Falls</t>
        </is>
      </c>
      <c r="C1331" s="32" t="n">
        <v>46001.58958333333</v>
      </c>
      <c r="D1331" t="n">
        <v>5</v>
      </c>
      <c r="E1331" t="n">
        <v>83</v>
      </c>
    </row>
    <row r="1332">
      <c r="A1332" t="inlineStr">
        <is>
          <t>ED211893</t>
        </is>
      </c>
      <c r="B1332" t="inlineStr">
        <is>
          <t>Ashby Falls</t>
        </is>
      </c>
      <c r="C1332" s="32" t="n">
        <v>46001.62083333333</v>
      </c>
      <c r="D1332" t="n">
        <v>3</v>
      </c>
      <c r="E1332" t="n">
        <v>45</v>
      </c>
    </row>
    <row r="1333">
      <c r="A1333" t="inlineStr">
        <is>
          <t>ED211901</t>
        </is>
      </c>
      <c r="B1333" t="inlineStr">
        <is>
          <t>Ashby Falls</t>
        </is>
      </c>
      <c r="C1333" s="32" t="n">
        <v>46001.82083333333</v>
      </c>
      <c r="D1333" t="n">
        <v>3</v>
      </c>
      <c r="E1333" t="n">
        <v>82</v>
      </c>
    </row>
    <row r="1334">
      <c r="A1334" t="inlineStr">
        <is>
          <t>ED211908</t>
        </is>
      </c>
      <c r="B1334" t="inlineStr">
        <is>
          <t>Ashby Falls</t>
        </is>
      </c>
      <c r="C1334" s="32" t="n">
        <v>46002.39097222222</v>
      </c>
      <c r="D1334" t="n">
        <v>3</v>
      </c>
      <c r="E1334" t="n">
        <v>41</v>
      </c>
    </row>
    <row r="1335">
      <c r="A1335" t="inlineStr">
        <is>
          <t>ED211909</t>
        </is>
      </c>
      <c r="B1335" t="inlineStr">
        <is>
          <t>Ashby Falls</t>
        </is>
      </c>
      <c r="C1335" s="32" t="n">
        <v>46002.43333333333</v>
      </c>
      <c r="D1335" t="n">
        <v>4</v>
      </c>
      <c r="E1335" t="n">
        <v>92</v>
      </c>
    </row>
    <row r="1336">
      <c r="A1336" t="inlineStr">
        <is>
          <t>ED211918</t>
        </is>
      </c>
      <c r="B1336" t="inlineStr">
        <is>
          <t>Ashby Falls</t>
        </is>
      </c>
      <c r="C1336" s="32" t="n">
        <v>46003.07222222222</v>
      </c>
      <c r="D1336" t="n">
        <v>3</v>
      </c>
      <c r="E1336" t="n">
        <v>60</v>
      </c>
    </row>
    <row r="1337">
      <c r="A1337" t="inlineStr">
        <is>
          <t>ED211941</t>
        </is>
      </c>
      <c r="B1337" t="inlineStr">
        <is>
          <t>Ashby Falls</t>
        </is>
      </c>
      <c r="C1337" s="32" t="n">
        <v>46004.47361111111</v>
      </c>
      <c r="D1337" t="n">
        <v>4</v>
      </c>
      <c r="E1337" t="n">
        <v>40</v>
      </c>
    </row>
    <row r="1338">
      <c r="A1338" t="inlineStr">
        <is>
          <t>ED211946</t>
        </is>
      </c>
      <c r="B1338" t="inlineStr">
        <is>
          <t>Ashby Falls</t>
        </is>
      </c>
      <c r="C1338" s="32" t="n">
        <v>46004.70277777778</v>
      </c>
      <c r="D1338" t="n">
        <v>4</v>
      </c>
      <c r="E1338" t="n">
        <v>175</v>
      </c>
    </row>
    <row r="1339">
      <c r="A1339" t="inlineStr">
        <is>
          <t>ED211975</t>
        </is>
      </c>
      <c r="B1339" t="inlineStr">
        <is>
          <t>Ashby Falls</t>
        </is>
      </c>
      <c r="C1339" s="32" t="n">
        <v>46006.42222222222</v>
      </c>
      <c r="D1339" t="n">
        <v>2</v>
      </c>
      <c r="E1339" t="n">
        <v>27</v>
      </c>
    </row>
    <row r="1340">
      <c r="A1340" t="inlineStr">
        <is>
          <t>ED211982</t>
        </is>
      </c>
      <c r="B1340" t="inlineStr">
        <is>
          <t>Ashby Falls</t>
        </is>
      </c>
      <c r="C1340" s="32" t="n">
        <v>46006.57569444444</v>
      </c>
      <c r="D1340" t="n">
        <v>4</v>
      </c>
    </row>
    <row r="1341">
      <c r="A1341" t="inlineStr">
        <is>
          <t>ED211983</t>
        </is>
      </c>
      <c r="B1341" t="inlineStr">
        <is>
          <t>Ashby Falls</t>
        </is>
      </c>
      <c r="C1341" s="32" t="n">
        <v>46006.58194444444</v>
      </c>
      <c r="D1341" t="n">
        <v>3</v>
      </c>
      <c r="E1341" t="n">
        <v>100</v>
      </c>
    </row>
    <row r="1342">
      <c r="A1342" t="inlineStr">
        <is>
          <t>ED211994</t>
        </is>
      </c>
      <c r="B1342" t="inlineStr">
        <is>
          <t>Ashby Falls</t>
        </is>
      </c>
      <c r="C1342" s="32" t="n">
        <v>46007.40763888889</v>
      </c>
      <c r="D1342" t="n">
        <v>3</v>
      </c>
      <c r="E1342" t="n">
        <v>57</v>
      </c>
    </row>
    <row r="1343">
      <c r="A1343" t="inlineStr">
        <is>
          <t>ED211997</t>
        </is>
      </c>
      <c r="B1343" t="inlineStr">
        <is>
          <t>Ashby Falls</t>
        </is>
      </c>
      <c r="C1343" s="32" t="n">
        <v>46007.44722222222</v>
      </c>
      <c r="D1343" t="n">
        <v>3</v>
      </c>
      <c r="E1343" t="n">
        <v>36</v>
      </c>
    </row>
    <row r="1344">
      <c r="A1344" t="inlineStr">
        <is>
          <t>ED211999</t>
        </is>
      </c>
      <c r="B1344" t="inlineStr">
        <is>
          <t>Ashby Falls</t>
        </is>
      </c>
      <c r="C1344" s="32" t="n">
        <v>46007.46805555555</v>
      </c>
      <c r="D1344" t="n">
        <v>4</v>
      </c>
      <c r="E1344" t="n">
        <v>124</v>
      </c>
    </row>
    <row r="1345">
      <c r="A1345" t="inlineStr">
        <is>
          <t>ED212002</t>
        </is>
      </c>
      <c r="B1345" t="inlineStr">
        <is>
          <t>Ashby Falls</t>
        </is>
      </c>
      <c r="C1345" s="32" t="n">
        <v>46007.68541666667</v>
      </c>
      <c r="D1345" t="n">
        <v>2</v>
      </c>
      <c r="E1345" t="n">
        <v>19</v>
      </c>
    </row>
    <row r="1346">
      <c r="A1346" t="inlineStr">
        <is>
          <t>ED212016</t>
        </is>
      </c>
      <c r="B1346" t="inlineStr">
        <is>
          <t>Ashby Falls</t>
        </is>
      </c>
      <c r="C1346" s="32" t="n">
        <v>46007.91875</v>
      </c>
      <c r="D1346" t="n">
        <v>3</v>
      </c>
      <c r="E1346" t="n">
        <v>29</v>
      </c>
    </row>
    <row r="1347">
      <c r="A1347" t="inlineStr">
        <is>
          <t>ED212031</t>
        </is>
      </c>
      <c r="B1347" t="inlineStr">
        <is>
          <t>Ashby Falls</t>
        </is>
      </c>
      <c r="C1347" s="32" t="n">
        <v>46008.70208333333</v>
      </c>
      <c r="D1347" t="n">
        <v>4</v>
      </c>
      <c r="E1347" t="n">
        <v>51</v>
      </c>
    </row>
    <row r="1348">
      <c r="A1348" t="inlineStr">
        <is>
          <t>ED212035</t>
        </is>
      </c>
      <c r="B1348" t="inlineStr">
        <is>
          <t>Ashby Falls</t>
        </is>
      </c>
      <c r="C1348" s="32" t="n">
        <v>46008.87291666667</v>
      </c>
      <c r="D1348" t="n">
        <v>4</v>
      </c>
      <c r="E1348" t="n">
        <v>42</v>
      </c>
    </row>
    <row r="1349">
      <c r="A1349" t="inlineStr">
        <is>
          <t>ED212047</t>
        </is>
      </c>
      <c r="B1349" t="inlineStr">
        <is>
          <t>Ashby Falls</t>
        </is>
      </c>
      <c r="C1349" s="32" t="n">
        <v>46009.375</v>
      </c>
      <c r="D1349" t="n">
        <v>4</v>
      </c>
      <c r="E1349" t="n">
        <v>410</v>
      </c>
    </row>
    <row r="1350">
      <c r="A1350" t="inlineStr">
        <is>
          <t>ED212051</t>
        </is>
      </c>
      <c r="B1350" t="inlineStr">
        <is>
          <t>Ashby Falls</t>
        </is>
      </c>
      <c r="C1350" s="32" t="n">
        <v>46009.45208333333</v>
      </c>
      <c r="D1350" t="n">
        <v>2</v>
      </c>
      <c r="E1350" t="n">
        <v>25</v>
      </c>
    </row>
    <row r="1351">
      <c r="A1351" t="inlineStr">
        <is>
          <t>ED212053</t>
        </is>
      </c>
      <c r="B1351" t="inlineStr">
        <is>
          <t>Ashby Falls</t>
        </is>
      </c>
      <c r="C1351" s="32" t="n">
        <v>46009.52847222222</v>
      </c>
      <c r="D1351" t="n">
        <v>3</v>
      </c>
      <c r="E1351" t="n">
        <v>49</v>
      </c>
    </row>
    <row r="1352">
      <c r="A1352" t="inlineStr">
        <is>
          <t>ED212058</t>
        </is>
      </c>
      <c r="B1352" t="inlineStr">
        <is>
          <t>Ashby Falls</t>
        </is>
      </c>
      <c r="C1352" s="32" t="n">
        <v>46009.73402777778</v>
      </c>
      <c r="D1352" t="n">
        <v>3</v>
      </c>
      <c r="E1352" t="n">
        <v>88</v>
      </c>
    </row>
    <row r="1353">
      <c r="A1353" t="inlineStr">
        <is>
          <t>ED212060</t>
        </is>
      </c>
      <c r="B1353" t="inlineStr">
        <is>
          <t>Ashby Falls</t>
        </is>
      </c>
      <c r="C1353" s="32" t="n">
        <v>46009.87638888889</v>
      </c>
      <c r="D1353" t="n">
        <v>2</v>
      </c>
      <c r="E1353" t="n">
        <v>31</v>
      </c>
    </row>
    <row r="1354">
      <c r="A1354" t="inlineStr">
        <is>
          <t>ED212063</t>
        </is>
      </c>
      <c r="B1354" t="inlineStr">
        <is>
          <t>Ashby Falls</t>
        </is>
      </c>
      <c r="C1354" s="32" t="n">
        <v>46009.98194444444</v>
      </c>
      <c r="D1354" t="n">
        <v>3</v>
      </c>
      <c r="E1354" t="n">
        <v>103</v>
      </c>
    </row>
    <row r="1355">
      <c r="A1355" t="inlineStr">
        <is>
          <t>ED212070</t>
        </is>
      </c>
      <c r="B1355" t="inlineStr">
        <is>
          <t>Ashby Falls</t>
        </is>
      </c>
      <c r="C1355" s="32" t="n">
        <v>46010.59444444445</v>
      </c>
      <c r="D1355" t="n">
        <v>3</v>
      </c>
      <c r="E1355" t="n">
        <v>67</v>
      </c>
    </row>
    <row r="1356">
      <c r="A1356" t="inlineStr">
        <is>
          <t>ED212071</t>
        </is>
      </c>
      <c r="B1356" t="inlineStr">
        <is>
          <t>Ashby Falls</t>
        </is>
      </c>
      <c r="C1356" s="32" t="n">
        <v>46010.64097222222</v>
      </c>
      <c r="D1356" t="n">
        <v>3</v>
      </c>
      <c r="E1356" t="n">
        <v>41</v>
      </c>
    </row>
    <row r="1357">
      <c r="A1357" t="inlineStr">
        <is>
          <t>ED212073</t>
        </is>
      </c>
      <c r="B1357" t="inlineStr">
        <is>
          <t>Ashby Falls</t>
        </is>
      </c>
      <c r="C1357" s="32" t="n">
        <v>46010.68958333333</v>
      </c>
      <c r="D1357" t="n">
        <v>3</v>
      </c>
      <c r="E1357" t="n">
        <v>22</v>
      </c>
    </row>
    <row r="1358">
      <c r="A1358" t="inlineStr">
        <is>
          <t>ED212074</t>
        </is>
      </c>
      <c r="B1358" t="inlineStr">
        <is>
          <t>Ashby Falls</t>
        </is>
      </c>
      <c r="C1358" s="32" t="n">
        <v>46010.72430555556</v>
      </c>
      <c r="D1358" t="n">
        <v>3</v>
      </c>
      <c r="E1358" t="n">
        <v>23</v>
      </c>
    </row>
    <row r="1359">
      <c r="A1359" t="inlineStr">
        <is>
          <t>ED212077</t>
        </is>
      </c>
      <c r="B1359" t="inlineStr">
        <is>
          <t>Ashby Falls</t>
        </is>
      </c>
      <c r="C1359" s="32" t="n">
        <v>46010.80069444444</v>
      </c>
      <c r="D1359" t="n">
        <v>2</v>
      </c>
      <c r="E1359" t="n">
        <v>18</v>
      </c>
    </row>
    <row r="1360">
      <c r="A1360" t="inlineStr">
        <is>
          <t>ED212091</t>
        </is>
      </c>
      <c r="B1360" t="inlineStr">
        <is>
          <t>Ashby Falls</t>
        </is>
      </c>
      <c r="C1360" s="32" t="n">
        <v>46011.53541666667</v>
      </c>
      <c r="D1360" t="n">
        <v>2</v>
      </c>
      <c r="E1360" t="n">
        <v>25</v>
      </c>
    </row>
    <row r="1361">
      <c r="A1361" t="inlineStr">
        <is>
          <t>ED212098</t>
        </is>
      </c>
      <c r="B1361" t="inlineStr">
        <is>
          <t>Ashby Falls</t>
        </is>
      </c>
      <c r="C1361" s="32" t="n">
        <v>46011.97847222222</v>
      </c>
      <c r="D1361" t="n">
        <v>3</v>
      </c>
      <c r="E1361" t="n">
        <v>12</v>
      </c>
    </row>
    <row r="1362">
      <c r="A1362" t="inlineStr">
        <is>
          <t>ED212104</t>
        </is>
      </c>
      <c r="B1362" t="inlineStr">
        <is>
          <t>Ashby Falls</t>
        </is>
      </c>
      <c r="C1362" s="32" t="n">
        <v>46012.40694444445</v>
      </c>
      <c r="D1362" t="n">
        <v>2</v>
      </c>
      <c r="E1362" t="n">
        <v>20</v>
      </c>
    </row>
    <row r="1363">
      <c r="A1363" t="inlineStr">
        <is>
          <t>ED212119</t>
        </is>
      </c>
      <c r="B1363" t="inlineStr">
        <is>
          <t>Ashby Falls</t>
        </is>
      </c>
      <c r="C1363" s="32" t="n">
        <v>46013.38819444444</v>
      </c>
      <c r="D1363" t="n">
        <v>5</v>
      </c>
    </row>
    <row r="1364">
      <c r="A1364" t="inlineStr">
        <is>
          <t>ED212121</t>
        </is>
      </c>
      <c r="B1364" t="inlineStr">
        <is>
          <t>Ashby Falls</t>
        </is>
      </c>
      <c r="C1364" s="32" t="n">
        <v>46013.42847222222</v>
      </c>
      <c r="D1364" t="n">
        <v>4</v>
      </c>
      <c r="E1364" t="n">
        <v>102</v>
      </c>
    </row>
    <row r="1365">
      <c r="A1365" t="inlineStr">
        <is>
          <t>ED212135</t>
        </is>
      </c>
      <c r="B1365" t="inlineStr">
        <is>
          <t>Ashby Falls</t>
        </is>
      </c>
      <c r="C1365" s="32" t="n">
        <v>46013.80486111111</v>
      </c>
      <c r="D1365" t="n">
        <v>3</v>
      </c>
      <c r="E1365" t="n">
        <v>111</v>
      </c>
    </row>
    <row r="1366">
      <c r="A1366" t="inlineStr">
        <is>
          <t>ED212153</t>
        </is>
      </c>
      <c r="B1366" t="inlineStr">
        <is>
          <t>Ashby Falls</t>
        </is>
      </c>
      <c r="C1366" s="32" t="n">
        <v>46014.67152777778</v>
      </c>
      <c r="D1366" t="n">
        <v>5</v>
      </c>
      <c r="E1366" t="n">
        <v>115</v>
      </c>
    </row>
    <row r="1367">
      <c r="A1367" t="inlineStr">
        <is>
          <t>ED212155</t>
        </is>
      </c>
      <c r="B1367" t="inlineStr">
        <is>
          <t>Ashby Falls</t>
        </is>
      </c>
      <c r="C1367" s="32" t="n">
        <v>46014.6875</v>
      </c>
      <c r="D1367" t="n">
        <v>5</v>
      </c>
      <c r="E1367" t="n">
        <v>87</v>
      </c>
    </row>
    <row r="1368">
      <c r="A1368" t="inlineStr">
        <is>
          <t>ED212159</t>
        </is>
      </c>
      <c r="B1368" t="inlineStr">
        <is>
          <t>Ashby Falls</t>
        </is>
      </c>
      <c r="C1368" s="32" t="n">
        <v>46014.78055555555</v>
      </c>
      <c r="D1368" t="n">
        <v>4</v>
      </c>
    </row>
    <row r="1369">
      <c r="A1369" t="inlineStr">
        <is>
          <t>ED212166</t>
        </is>
      </c>
      <c r="B1369" t="inlineStr">
        <is>
          <t>Ashby Falls</t>
        </is>
      </c>
      <c r="C1369" s="32" t="n">
        <v>46014.91180555556</v>
      </c>
      <c r="D1369" t="n">
        <v>3</v>
      </c>
      <c r="E1369" t="n">
        <v>15</v>
      </c>
    </row>
    <row r="1370">
      <c r="A1370" t="inlineStr">
        <is>
          <t>ED212170</t>
        </is>
      </c>
      <c r="B1370" t="inlineStr">
        <is>
          <t>Ashby Falls</t>
        </is>
      </c>
      <c r="C1370" s="32" t="n">
        <v>46015.32361111111</v>
      </c>
      <c r="D1370" t="n">
        <v>2</v>
      </c>
      <c r="E1370" t="n">
        <v>7</v>
      </c>
    </row>
    <row r="1371">
      <c r="A1371" t="inlineStr">
        <is>
          <t>ED212182</t>
        </is>
      </c>
      <c r="B1371" t="inlineStr">
        <is>
          <t>Ashby Falls</t>
        </is>
      </c>
      <c r="C1371" s="32" t="n">
        <v>46015.92708333334</v>
      </c>
      <c r="D1371" t="n">
        <v>1</v>
      </c>
      <c r="E1371" t="n">
        <v>3</v>
      </c>
    </row>
    <row r="1372">
      <c r="A1372" t="inlineStr">
        <is>
          <t>ED212188</t>
        </is>
      </c>
      <c r="B1372" t="inlineStr">
        <is>
          <t>Ashby Falls</t>
        </is>
      </c>
      <c r="C1372" s="32" t="n">
        <v>46016.34722222222</v>
      </c>
      <c r="D1372" t="n">
        <v>2</v>
      </c>
      <c r="E1372" t="n">
        <v>15</v>
      </c>
    </row>
    <row r="1373">
      <c r="A1373" t="inlineStr">
        <is>
          <t>ED212190</t>
        </is>
      </c>
      <c r="B1373" t="inlineStr">
        <is>
          <t>Ashby Falls</t>
        </is>
      </c>
      <c r="C1373" s="32" t="n">
        <v>46016.38541666666</v>
      </c>
      <c r="D1373" t="n">
        <v>2</v>
      </c>
      <c r="E1373" t="n">
        <v>19</v>
      </c>
    </row>
    <row r="1374">
      <c r="A1374" t="inlineStr">
        <is>
          <t>ED212202</t>
        </is>
      </c>
      <c r="B1374" t="inlineStr">
        <is>
          <t>Ashby Falls</t>
        </is>
      </c>
      <c r="C1374" s="32" t="n">
        <v>46016.68402777778</v>
      </c>
      <c r="D1374" t="n">
        <v>5</v>
      </c>
      <c r="E1374" t="n">
        <v>64</v>
      </c>
    </row>
    <row r="1375">
      <c r="A1375" t="inlineStr">
        <is>
          <t>ED212210</t>
        </is>
      </c>
      <c r="B1375" t="inlineStr">
        <is>
          <t>Ashby Falls</t>
        </is>
      </c>
      <c r="C1375" s="32" t="n">
        <v>46017.16597222222</v>
      </c>
      <c r="D1375" t="n">
        <v>2</v>
      </c>
      <c r="E1375" t="n">
        <v>22</v>
      </c>
    </row>
    <row r="1376">
      <c r="A1376" t="inlineStr">
        <is>
          <t>ED212213</t>
        </is>
      </c>
      <c r="B1376" t="inlineStr">
        <is>
          <t>Ashby Falls</t>
        </is>
      </c>
      <c r="C1376" s="32" t="n">
        <v>46017.35972222222</v>
      </c>
      <c r="D1376" t="n">
        <v>4</v>
      </c>
      <c r="E1376" t="n">
        <v>57</v>
      </c>
    </row>
    <row r="1377">
      <c r="A1377" t="inlineStr">
        <is>
          <t>ED212216</t>
        </is>
      </c>
      <c r="B1377" t="inlineStr">
        <is>
          <t>Ashby Falls</t>
        </is>
      </c>
      <c r="C1377" s="32" t="n">
        <v>46017.6125</v>
      </c>
      <c r="D1377" t="n">
        <v>4</v>
      </c>
    </row>
    <row r="1378">
      <c r="A1378" t="inlineStr">
        <is>
          <t>ED212218</t>
        </is>
      </c>
      <c r="B1378" t="inlineStr">
        <is>
          <t>Ashby Falls</t>
        </is>
      </c>
      <c r="C1378" s="32" t="n">
        <v>46017.81041666667</v>
      </c>
      <c r="D1378" t="n">
        <v>2</v>
      </c>
      <c r="E1378" t="n">
        <v>9</v>
      </c>
    </row>
    <row r="1379">
      <c r="A1379" t="inlineStr">
        <is>
          <t>ED212225</t>
        </is>
      </c>
      <c r="B1379" t="inlineStr">
        <is>
          <t>Ashby Falls</t>
        </is>
      </c>
      <c r="C1379" s="32" t="n">
        <v>46018.31111111111</v>
      </c>
      <c r="D1379" t="n">
        <v>3</v>
      </c>
      <c r="E1379" t="n">
        <v>73</v>
      </c>
    </row>
    <row r="1380">
      <c r="A1380" t="inlineStr">
        <is>
          <t>ED212246</t>
        </is>
      </c>
      <c r="B1380" t="inlineStr">
        <is>
          <t>Ashby Falls</t>
        </is>
      </c>
      <c r="C1380" s="32" t="n">
        <v>46019.74652777778</v>
      </c>
      <c r="D1380" t="n">
        <v>4</v>
      </c>
    </row>
    <row r="1381">
      <c r="A1381" t="inlineStr">
        <is>
          <t>ED212252</t>
        </is>
      </c>
      <c r="B1381" t="inlineStr">
        <is>
          <t>Ashby Falls</t>
        </is>
      </c>
      <c r="C1381" s="32" t="n">
        <v>46020.36736111111</v>
      </c>
      <c r="D1381" t="n">
        <v>3</v>
      </c>
      <c r="E1381" t="n">
        <v>42</v>
      </c>
    </row>
    <row r="1382">
      <c r="A1382" t="inlineStr">
        <is>
          <t>ED212280</t>
        </is>
      </c>
      <c r="B1382" t="inlineStr">
        <is>
          <t>Ashby Falls</t>
        </is>
      </c>
      <c r="C1382" s="32" t="n">
        <v>46022.42013888889</v>
      </c>
      <c r="D1382" t="n">
        <v>4</v>
      </c>
      <c r="E1382" t="n">
        <v>124</v>
      </c>
    </row>
    <row r="1383">
      <c r="A1383" t="inlineStr">
        <is>
          <t>ED212285</t>
        </is>
      </c>
      <c r="B1383" t="inlineStr">
        <is>
          <t>Ashby Falls</t>
        </is>
      </c>
      <c r="C1383" s="32" t="n">
        <v>46022.53888888889</v>
      </c>
      <c r="D1383" t="n">
        <v>3</v>
      </c>
      <c r="E1383" t="n">
        <v>57</v>
      </c>
    </row>
    <row r="1384">
      <c r="A1384" t="inlineStr">
        <is>
          <t>ED210669</t>
        </is>
      </c>
      <c r="B1384" t="inlineStr">
        <is>
          <t>Cedar Ridge</t>
        </is>
      </c>
      <c r="C1384" s="32" t="n">
        <v>45931.42777777778</v>
      </c>
      <c r="D1384" t="n">
        <v>4</v>
      </c>
      <c r="E1384" t="n">
        <v>48</v>
      </c>
    </row>
    <row r="1385">
      <c r="A1385" t="inlineStr">
        <is>
          <t>ED210674</t>
        </is>
      </c>
      <c r="B1385" t="inlineStr">
        <is>
          <t>Cedar Ridge</t>
        </is>
      </c>
      <c r="C1385" s="32" t="n">
        <v>45931.59652777778</v>
      </c>
      <c r="D1385" t="n">
        <v>3</v>
      </c>
      <c r="E1385" t="n">
        <v>29</v>
      </c>
    </row>
    <row r="1386">
      <c r="A1386" t="inlineStr">
        <is>
          <t>ED210676</t>
        </is>
      </c>
      <c r="B1386" t="inlineStr">
        <is>
          <t>Cedar Ridge</t>
        </is>
      </c>
      <c r="C1386" s="32" t="n">
        <v>45931.76736111111</v>
      </c>
      <c r="D1386" t="n">
        <v>3</v>
      </c>
      <c r="E1386" t="n">
        <v>12</v>
      </c>
    </row>
    <row r="1387">
      <c r="A1387" t="inlineStr">
        <is>
          <t>ED210684</t>
        </is>
      </c>
      <c r="B1387" t="inlineStr">
        <is>
          <t>Cedar Ridge</t>
        </is>
      </c>
      <c r="C1387" s="32" t="n">
        <v>45932.45138888889</v>
      </c>
      <c r="D1387" t="n">
        <v>3</v>
      </c>
      <c r="E1387" t="n">
        <v>117</v>
      </c>
    </row>
    <row r="1388">
      <c r="A1388" t="inlineStr">
        <is>
          <t>ED210687</t>
        </is>
      </c>
      <c r="B1388" t="inlineStr">
        <is>
          <t>Cedar Ridge</t>
        </is>
      </c>
      <c r="C1388" s="32" t="n">
        <v>45932.63125</v>
      </c>
      <c r="D1388" t="n">
        <v>4</v>
      </c>
      <c r="E1388" t="n">
        <v>37</v>
      </c>
    </row>
    <row r="1389">
      <c r="A1389" t="inlineStr">
        <is>
          <t>ED210690</t>
        </is>
      </c>
      <c r="B1389" t="inlineStr">
        <is>
          <t>Cedar Ridge</t>
        </is>
      </c>
      <c r="C1389" s="32" t="n">
        <v>45932.78472222222</v>
      </c>
      <c r="D1389" t="n">
        <v>4</v>
      </c>
      <c r="E1389" t="n">
        <v>67</v>
      </c>
    </row>
    <row r="1390">
      <c r="A1390" t="inlineStr">
        <is>
          <t>ED210697</t>
        </is>
      </c>
      <c r="B1390" t="inlineStr">
        <is>
          <t>Cedar Ridge</t>
        </is>
      </c>
      <c r="C1390" s="32" t="n">
        <v>45933.30763888889</v>
      </c>
      <c r="D1390" t="n">
        <v>3</v>
      </c>
      <c r="E1390" t="n">
        <v>67</v>
      </c>
    </row>
    <row r="1391">
      <c r="A1391" t="inlineStr">
        <is>
          <t>ED210699</t>
        </is>
      </c>
      <c r="B1391" t="inlineStr">
        <is>
          <t>Cedar Ridge</t>
        </is>
      </c>
      <c r="C1391" s="32" t="n">
        <v>45933.39236111111</v>
      </c>
      <c r="D1391" t="n">
        <v>5</v>
      </c>
      <c r="E1391" t="n">
        <v>23</v>
      </c>
    </row>
    <row r="1392">
      <c r="A1392" t="inlineStr">
        <is>
          <t>ED210701</t>
        </is>
      </c>
      <c r="B1392" t="inlineStr">
        <is>
          <t>Cedar Ridge</t>
        </is>
      </c>
      <c r="C1392" s="32" t="n">
        <v>45933.49236111111</v>
      </c>
      <c r="D1392" t="n">
        <v>2</v>
      </c>
      <c r="E1392" t="n">
        <v>47</v>
      </c>
    </row>
    <row r="1393">
      <c r="A1393" t="inlineStr">
        <is>
          <t>ED210711</t>
        </is>
      </c>
      <c r="B1393" t="inlineStr">
        <is>
          <t>Cedar Ridge</t>
        </is>
      </c>
      <c r="C1393" s="32" t="n">
        <v>45933.98055555556</v>
      </c>
      <c r="D1393" t="n">
        <v>3</v>
      </c>
      <c r="E1393" t="n">
        <v>35</v>
      </c>
    </row>
    <row r="1394">
      <c r="A1394" t="inlineStr">
        <is>
          <t>ED210718</t>
        </is>
      </c>
      <c r="B1394" t="inlineStr">
        <is>
          <t>Cedar Ridge</t>
        </is>
      </c>
      <c r="C1394" s="32" t="n">
        <v>45934.41458333333</v>
      </c>
      <c r="D1394" t="n">
        <v>3</v>
      </c>
      <c r="E1394" t="n">
        <v>60</v>
      </c>
    </row>
    <row r="1395">
      <c r="A1395" t="inlineStr">
        <is>
          <t>ED210729</t>
        </is>
      </c>
      <c r="B1395" t="inlineStr">
        <is>
          <t>Cedar Ridge</t>
        </is>
      </c>
      <c r="C1395" s="32" t="n">
        <v>45934.82916666667</v>
      </c>
      <c r="D1395" t="n">
        <v>3</v>
      </c>
      <c r="E1395" t="n">
        <v>18</v>
      </c>
    </row>
    <row r="1396">
      <c r="A1396" t="inlineStr">
        <is>
          <t>ED210735</t>
        </is>
      </c>
      <c r="B1396" t="inlineStr">
        <is>
          <t>Cedar Ridge</t>
        </is>
      </c>
      <c r="C1396" s="32" t="n">
        <v>45935.52708333333</v>
      </c>
      <c r="D1396" t="n">
        <v>4</v>
      </c>
      <c r="E1396" t="n">
        <v>64</v>
      </c>
    </row>
    <row r="1397">
      <c r="A1397" t="inlineStr">
        <is>
          <t>ED210740</t>
        </is>
      </c>
      <c r="B1397" t="inlineStr">
        <is>
          <t>Cedar Ridge</t>
        </is>
      </c>
      <c r="C1397" s="32" t="n">
        <v>45935.71180555555</v>
      </c>
      <c r="D1397" t="n">
        <v>4</v>
      </c>
      <c r="E1397" t="n">
        <v>68</v>
      </c>
    </row>
    <row r="1398">
      <c r="A1398" t="inlineStr">
        <is>
          <t>ED210742</t>
        </is>
      </c>
      <c r="B1398" t="inlineStr">
        <is>
          <t>Cedar Ridge</t>
        </is>
      </c>
      <c r="C1398" s="32" t="n">
        <v>45935.75972222222</v>
      </c>
      <c r="D1398" t="n">
        <v>3</v>
      </c>
      <c r="E1398" t="n">
        <v>18</v>
      </c>
    </row>
    <row r="1399">
      <c r="A1399" t="inlineStr">
        <is>
          <t>ED210743</t>
        </is>
      </c>
      <c r="B1399" t="inlineStr">
        <is>
          <t>Cedar Ridge</t>
        </is>
      </c>
      <c r="C1399" s="32" t="n">
        <v>45935.78402777778</v>
      </c>
      <c r="D1399" t="n">
        <v>3</v>
      </c>
      <c r="E1399" t="n">
        <v>28</v>
      </c>
    </row>
    <row r="1400">
      <c r="A1400" t="inlineStr">
        <is>
          <t>ED210747</t>
        </is>
      </c>
      <c r="B1400" t="inlineStr">
        <is>
          <t>Cedar Ridge</t>
        </is>
      </c>
      <c r="C1400" s="32" t="n">
        <v>45936.36666666667</v>
      </c>
      <c r="D1400" t="n">
        <v>2</v>
      </c>
      <c r="E1400" t="n">
        <v>12</v>
      </c>
    </row>
    <row r="1401">
      <c r="A1401" t="inlineStr">
        <is>
          <t>ED210751</t>
        </is>
      </c>
      <c r="B1401" t="inlineStr">
        <is>
          <t>Cedar Ridge</t>
        </is>
      </c>
      <c r="C1401" s="32" t="n">
        <v>45936.47222222222</v>
      </c>
      <c r="D1401" t="n">
        <v>3</v>
      </c>
      <c r="E1401" t="n">
        <v>38</v>
      </c>
    </row>
    <row r="1402">
      <c r="A1402" t="inlineStr">
        <is>
          <t>ED210755</t>
        </is>
      </c>
      <c r="B1402" t="inlineStr">
        <is>
          <t>Cedar Ridge</t>
        </is>
      </c>
      <c r="C1402" s="32" t="n">
        <v>45936.53888888889</v>
      </c>
      <c r="D1402" t="n">
        <v>2</v>
      </c>
      <c r="E1402" t="n">
        <v>10</v>
      </c>
    </row>
    <row r="1403">
      <c r="A1403" t="inlineStr">
        <is>
          <t>ED210772</t>
        </is>
      </c>
      <c r="B1403" t="inlineStr">
        <is>
          <t>Cedar Ridge</t>
        </is>
      </c>
      <c r="C1403" s="32" t="n">
        <v>45937.47916666666</v>
      </c>
      <c r="D1403" t="n">
        <v>3</v>
      </c>
      <c r="E1403" t="n">
        <v>47</v>
      </c>
    </row>
    <row r="1404">
      <c r="A1404" t="inlineStr">
        <is>
          <t>ED210773</t>
        </is>
      </c>
      <c r="B1404" t="inlineStr">
        <is>
          <t>Cedar Ridge</t>
        </is>
      </c>
      <c r="C1404" s="32" t="n">
        <v>45937.56319444445</v>
      </c>
      <c r="D1404" t="n">
        <v>3</v>
      </c>
      <c r="E1404" t="n">
        <v>59</v>
      </c>
    </row>
    <row r="1405">
      <c r="A1405" t="inlineStr">
        <is>
          <t>ED210774</t>
        </is>
      </c>
      <c r="B1405" t="inlineStr">
        <is>
          <t>Cedar Ridge</t>
        </is>
      </c>
      <c r="C1405" s="32" t="n">
        <v>45937.59166666667</v>
      </c>
      <c r="D1405" t="n">
        <v>3</v>
      </c>
      <c r="E1405" t="n">
        <v>85</v>
      </c>
    </row>
    <row r="1406">
      <c r="A1406" t="inlineStr">
        <is>
          <t>ED210785</t>
        </is>
      </c>
      <c r="B1406" t="inlineStr">
        <is>
          <t>Cedar Ridge</t>
        </is>
      </c>
      <c r="C1406" s="32" t="n">
        <v>45938.29444444444</v>
      </c>
      <c r="D1406" t="n">
        <v>3</v>
      </c>
      <c r="E1406" t="n">
        <v>59</v>
      </c>
    </row>
    <row r="1407">
      <c r="A1407" t="inlineStr">
        <is>
          <t>ED210790</t>
        </is>
      </c>
      <c r="B1407" t="inlineStr">
        <is>
          <t>Cedar Ridge</t>
        </is>
      </c>
      <c r="C1407" s="32" t="n">
        <v>45938.57569444444</v>
      </c>
      <c r="D1407" t="n">
        <v>3</v>
      </c>
      <c r="E1407" t="n">
        <v>153</v>
      </c>
    </row>
    <row r="1408">
      <c r="A1408" t="inlineStr">
        <is>
          <t>ED210792</t>
        </is>
      </c>
      <c r="B1408" t="inlineStr">
        <is>
          <t>Cedar Ridge</t>
        </is>
      </c>
      <c r="C1408" s="32" t="n">
        <v>45938.63125</v>
      </c>
      <c r="D1408" t="n">
        <v>4</v>
      </c>
      <c r="E1408" t="n">
        <v>64</v>
      </c>
    </row>
    <row r="1409">
      <c r="A1409" t="inlineStr">
        <is>
          <t>ED210803</t>
        </is>
      </c>
      <c r="B1409" t="inlineStr">
        <is>
          <t>Cedar Ridge</t>
        </is>
      </c>
      <c r="C1409" s="32" t="n">
        <v>45939.12708333333</v>
      </c>
      <c r="D1409" t="n">
        <v>2</v>
      </c>
      <c r="E1409" t="n">
        <v>7</v>
      </c>
    </row>
    <row r="1410">
      <c r="A1410" t="inlineStr">
        <is>
          <t>ED210804</t>
        </is>
      </c>
      <c r="B1410" t="inlineStr">
        <is>
          <t>Cedar Ridge</t>
        </is>
      </c>
      <c r="C1410" s="32" t="n">
        <v>45939.21805555555</v>
      </c>
      <c r="D1410" t="n">
        <v>4</v>
      </c>
      <c r="E1410" t="n">
        <v>51</v>
      </c>
    </row>
    <row r="1411">
      <c r="A1411" t="inlineStr">
        <is>
          <t>ED210814</t>
        </is>
      </c>
      <c r="B1411" t="inlineStr">
        <is>
          <t>Cedar Ridge</t>
        </is>
      </c>
      <c r="C1411" s="32" t="n">
        <v>45939.97361111111</v>
      </c>
      <c r="D1411" t="n">
        <v>4</v>
      </c>
      <c r="E1411" t="n">
        <v>54</v>
      </c>
    </row>
    <row r="1412">
      <c r="A1412" t="inlineStr">
        <is>
          <t>ED210819</t>
        </is>
      </c>
      <c r="B1412" t="inlineStr">
        <is>
          <t>Cedar Ridge</t>
        </is>
      </c>
      <c r="C1412" s="32" t="n">
        <v>45940.43611111111</v>
      </c>
      <c r="D1412" t="n">
        <v>4</v>
      </c>
      <c r="E1412" t="n">
        <v>136</v>
      </c>
    </row>
    <row r="1413">
      <c r="A1413" t="inlineStr">
        <is>
          <t>ED210826</t>
        </is>
      </c>
      <c r="B1413" t="inlineStr">
        <is>
          <t>Cedar Ridge</t>
        </is>
      </c>
      <c r="C1413" s="32" t="n">
        <v>45940.69791666666</v>
      </c>
      <c r="D1413" t="n">
        <v>2</v>
      </c>
      <c r="E1413" t="n">
        <v>122</v>
      </c>
    </row>
    <row r="1414">
      <c r="A1414" t="inlineStr">
        <is>
          <t>ED210836</t>
        </is>
      </c>
      <c r="B1414" t="inlineStr">
        <is>
          <t>Cedar Ridge</t>
        </is>
      </c>
      <c r="C1414" s="32" t="n">
        <v>45941.5</v>
      </c>
      <c r="D1414" t="n">
        <v>4</v>
      </c>
      <c r="E1414" t="n">
        <v>52</v>
      </c>
    </row>
    <row r="1415">
      <c r="A1415" t="inlineStr">
        <is>
          <t>ED210841</t>
        </is>
      </c>
      <c r="B1415" t="inlineStr">
        <is>
          <t>Cedar Ridge</t>
        </is>
      </c>
      <c r="C1415" s="32" t="n">
        <v>45941.64861111111</v>
      </c>
      <c r="D1415" t="n">
        <v>3</v>
      </c>
      <c r="E1415" t="n">
        <v>110</v>
      </c>
    </row>
    <row r="1416">
      <c r="A1416" t="inlineStr">
        <is>
          <t>ED210845</t>
        </is>
      </c>
      <c r="B1416" t="inlineStr">
        <is>
          <t>Cedar Ridge</t>
        </is>
      </c>
      <c r="C1416" s="32" t="n">
        <v>45941.91041666667</v>
      </c>
      <c r="D1416" t="n">
        <v>3</v>
      </c>
      <c r="E1416" t="n">
        <v>49</v>
      </c>
    </row>
    <row r="1417">
      <c r="A1417" t="inlineStr">
        <is>
          <t>ED210846</t>
        </is>
      </c>
      <c r="B1417" t="inlineStr">
        <is>
          <t>Cedar Ridge</t>
        </is>
      </c>
      <c r="C1417" s="32" t="n">
        <v>45942.00416666667</v>
      </c>
      <c r="D1417" t="n">
        <v>2</v>
      </c>
      <c r="E1417" t="n">
        <v>8</v>
      </c>
    </row>
    <row r="1418">
      <c r="A1418" t="inlineStr">
        <is>
          <t>ED210847</t>
        </is>
      </c>
      <c r="B1418" t="inlineStr">
        <is>
          <t>Cedar Ridge</t>
        </is>
      </c>
      <c r="C1418" s="32" t="n">
        <v>45942.31666666667</v>
      </c>
      <c r="D1418" t="n">
        <v>3</v>
      </c>
      <c r="E1418" t="n">
        <v>14</v>
      </c>
    </row>
    <row r="1419">
      <c r="A1419" t="inlineStr">
        <is>
          <t>ED210886</t>
        </is>
      </c>
      <c r="B1419" t="inlineStr">
        <is>
          <t>Cedar Ridge</t>
        </is>
      </c>
      <c r="C1419" s="32" t="n">
        <v>45944.78680555556</v>
      </c>
      <c r="D1419" t="n">
        <v>3</v>
      </c>
      <c r="E1419" t="n">
        <v>36</v>
      </c>
    </row>
    <row r="1420">
      <c r="A1420" t="inlineStr">
        <is>
          <t>ED210887</t>
        </is>
      </c>
      <c r="B1420" t="inlineStr">
        <is>
          <t>Cedar Ridge</t>
        </is>
      </c>
      <c r="C1420" s="32" t="n">
        <v>45944.81319444445</v>
      </c>
      <c r="D1420" t="n">
        <v>3</v>
      </c>
      <c r="E1420" t="n">
        <v>30</v>
      </c>
    </row>
    <row r="1421">
      <c r="A1421" t="inlineStr">
        <is>
          <t>ED210893</t>
        </is>
      </c>
      <c r="B1421" t="inlineStr">
        <is>
          <t>Cedar Ridge</t>
        </is>
      </c>
      <c r="C1421" s="32" t="n">
        <v>45945.06597222222</v>
      </c>
      <c r="D1421" t="n">
        <v>3</v>
      </c>
      <c r="E1421" t="n">
        <v>20</v>
      </c>
    </row>
    <row r="1422">
      <c r="A1422" t="inlineStr">
        <is>
          <t>ED210900</t>
        </is>
      </c>
      <c r="B1422" t="inlineStr">
        <is>
          <t>Cedar Ridge</t>
        </is>
      </c>
      <c r="C1422" s="32" t="n">
        <v>45945.6125</v>
      </c>
      <c r="D1422" t="n">
        <v>3</v>
      </c>
      <c r="E1422" t="n">
        <v>84</v>
      </c>
    </row>
    <row r="1423">
      <c r="A1423" t="inlineStr">
        <is>
          <t>ED210932</t>
        </is>
      </c>
      <c r="B1423" t="inlineStr">
        <is>
          <t>Cedar Ridge</t>
        </is>
      </c>
      <c r="C1423" s="32" t="n">
        <v>45947.60902777778</v>
      </c>
      <c r="D1423" t="n">
        <v>5</v>
      </c>
      <c r="E1423" t="n">
        <v>36</v>
      </c>
    </row>
    <row r="1424">
      <c r="A1424" t="inlineStr">
        <is>
          <t>ED210934</t>
        </is>
      </c>
      <c r="B1424" t="inlineStr">
        <is>
          <t>Cedar Ridge</t>
        </is>
      </c>
      <c r="C1424" s="32" t="n">
        <v>45947.74791666667</v>
      </c>
      <c r="D1424" t="n">
        <v>2</v>
      </c>
      <c r="E1424" t="n">
        <v>16</v>
      </c>
    </row>
    <row r="1425">
      <c r="A1425" t="inlineStr">
        <is>
          <t>ED210936</t>
        </is>
      </c>
      <c r="B1425" t="inlineStr">
        <is>
          <t>Cedar Ridge</t>
        </is>
      </c>
      <c r="C1425" s="32" t="n">
        <v>45947.79166666666</v>
      </c>
      <c r="D1425" t="n">
        <v>3</v>
      </c>
      <c r="E1425" t="n">
        <v>50</v>
      </c>
    </row>
    <row r="1426">
      <c r="A1426" t="inlineStr">
        <is>
          <t>ED210939</t>
        </is>
      </c>
      <c r="B1426" t="inlineStr">
        <is>
          <t>Cedar Ridge</t>
        </is>
      </c>
      <c r="C1426" s="32" t="n">
        <v>45947.91527777778</v>
      </c>
      <c r="D1426" t="n">
        <v>4</v>
      </c>
      <c r="E1426" t="n">
        <v>69</v>
      </c>
    </row>
    <row r="1427">
      <c r="A1427" t="inlineStr">
        <is>
          <t>ED210941</t>
        </is>
      </c>
      <c r="B1427" t="inlineStr">
        <is>
          <t>Cedar Ridge</t>
        </is>
      </c>
      <c r="C1427" s="32" t="n">
        <v>45947.95416666667</v>
      </c>
      <c r="D1427" t="n">
        <v>3</v>
      </c>
      <c r="E1427" t="n">
        <v>19</v>
      </c>
    </row>
    <row r="1428">
      <c r="A1428" t="inlineStr">
        <is>
          <t>ED210952</t>
        </is>
      </c>
      <c r="B1428" t="inlineStr">
        <is>
          <t>Cedar Ridge</t>
        </is>
      </c>
      <c r="C1428" s="32" t="n">
        <v>45948.81805555556</v>
      </c>
      <c r="D1428" t="n">
        <v>3</v>
      </c>
      <c r="E1428" t="n">
        <v>85</v>
      </c>
    </row>
    <row r="1429">
      <c r="A1429" t="inlineStr">
        <is>
          <t>ED210958</t>
        </is>
      </c>
      <c r="B1429" t="inlineStr">
        <is>
          <t>Cedar Ridge</t>
        </is>
      </c>
      <c r="C1429" s="32" t="n">
        <v>45949.29861111111</v>
      </c>
      <c r="D1429" t="n">
        <v>2</v>
      </c>
      <c r="E1429" t="n">
        <v>10</v>
      </c>
    </row>
    <row r="1430">
      <c r="A1430" t="inlineStr">
        <is>
          <t>ED210961</t>
        </is>
      </c>
      <c r="B1430" t="inlineStr">
        <is>
          <t>Cedar Ridge</t>
        </is>
      </c>
      <c r="C1430" s="32" t="n">
        <v>45949.73958333334</v>
      </c>
      <c r="D1430" t="n">
        <v>3</v>
      </c>
      <c r="E1430" t="n">
        <v>26</v>
      </c>
    </row>
    <row r="1431">
      <c r="A1431" t="inlineStr">
        <is>
          <t>ED210967</t>
        </is>
      </c>
      <c r="B1431" t="inlineStr">
        <is>
          <t>Cedar Ridge</t>
        </is>
      </c>
      <c r="C1431" s="32" t="n">
        <v>45949.9625</v>
      </c>
      <c r="D1431" t="n">
        <v>2</v>
      </c>
      <c r="E1431" t="n">
        <v>8</v>
      </c>
    </row>
    <row r="1432">
      <c r="A1432" t="inlineStr">
        <is>
          <t>ED210980</t>
        </is>
      </c>
      <c r="B1432" t="inlineStr">
        <is>
          <t>Cedar Ridge</t>
        </is>
      </c>
      <c r="C1432" s="32" t="n">
        <v>45950.99652777778</v>
      </c>
      <c r="D1432" t="n">
        <v>5</v>
      </c>
      <c r="E1432" t="n">
        <v>46</v>
      </c>
    </row>
    <row r="1433">
      <c r="A1433" t="inlineStr">
        <is>
          <t>ED211003</t>
        </is>
      </c>
      <c r="B1433" t="inlineStr">
        <is>
          <t>Cedar Ridge</t>
        </is>
      </c>
      <c r="C1433" s="32" t="n">
        <v>45952.63611111111</v>
      </c>
      <c r="D1433" t="n">
        <v>3</v>
      </c>
      <c r="E1433" t="n">
        <v>39</v>
      </c>
    </row>
    <row r="1434">
      <c r="A1434" t="inlineStr">
        <is>
          <t>ED211010</t>
        </is>
      </c>
      <c r="B1434" t="inlineStr">
        <is>
          <t>Cedar Ridge</t>
        </is>
      </c>
      <c r="C1434" s="32" t="n">
        <v>45952.98541666667</v>
      </c>
      <c r="D1434" t="n">
        <v>3</v>
      </c>
      <c r="E1434" t="n">
        <v>39</v>
      </c>
    </row>
    <row r="1435">
      <c r="A1435" t="inlineStr">
        <is>
          <t>ED211011</t>
        </is>
      </c>
      <c r="B1435" t="inlineStr">
        <is>
          <t>Cedar Ridge</t>
        </is>
      </c>
      <c r="C1435" s="32" t="n">
        <v>45953.01527777778</v>
      </c>
      <c r="D1435" t="n">
        <v>3</v>
      </c>
      <c r="E1435" t="n">
        <v>39</v>
      </c>
    </row>
    <row r="1436">
      <c r="A1436" t="inlineStr">
        <is>
          <t>ED211021</t>
        </is>
      </c>
      <c r="B1436" t="inlineStr">
        <is>
          <t>Cedar Ridge</t>
        </is>
      </c>
      <c r="C1436" s="32" t="n">
        <v>45953.63125</v>
      </c>
      <c r="D1436" t="n">
        <v>5</v>
      </c>
      <c r="E1436" t="n">
        <v>64</v>
      </c>
    </row>
    <row r="1437">
      <c r="A1437" t="inlineStr">
        <is>
          <t>ED211024</t>
        </is>
      </c>
      <c r="B1437" t="inlineStr">
        <is>
          <t>Cedar Ridge</t>
        </is>
      </c>
      <c r="C1437" s="32" t="n">
        <v>45953.80902777778</v>
      </c>
      <c r="D1437" t="n">
        <v>4</v>
      </c>
      <c r="E1437" t="n">
        <v>29</v>
      </c>
    </row>
    <row r="1438">
      <c r="A1438" t="inlineStr">
        <is>
          <t>ED211034</t>
        </is>
      </c>
      <c r="B1438" t="inlineStr">
        <is>
          <t>Cedar Ridge</t>
        </is>
      </c>
      <c r="C1438" s="32" t="n">
        <v>45954.54305555556</v>
      </c>
      <c r="D1438" t="n">
        <v>3</v>
      </c>
      <c r="E1438" t="n">
        <v>55</v>
      </c>
    </row>
    <row r="1439">
      <c r="A1439" t="inlineStr">
        <is>
          <t>ED211037</t>
        </is>
      </c>
      <c r="B1439" t="inlineStr">
        <is>
          <t>Cedar Ridge</t>
        </is>
      </c>
      <c r="C1439" s="32" t="n">
        <v>45954.57152777778</v>
      </c>
      <c r="D1439" t="n">
        <v>4</v>
      </c>
      <c r="E1439" t="n">
        <v>154</v>
      </c>
    </row>
    <row r="1440">
      <c r="A1440" t="inlineStr">
        <is>
          <t>ED211045</t>
        </is>
      </c>
      <c r="B1440" t="inlineStr">
        <is>
          <t>Cedar Ridge</t>
        </is>
      </c>
      <c r="C1440" s="32" t="n">
        <v>45954.97222222222</v>
      </c>
      <c r="D1440" t="n">
        <v>2</v>
      </c>
      <c r="E1440" t="n">
        <v>19</v>
      </c>
    </row>
    <row r="1441">
      <c r="A1441" t="inlineStr">
        <is>
          <t>ED211047</t>
        </is>
      </c>
      <c r="B1441" t="inlineStr">
        <is>
          <t>Cedar Ridge</t>
        </is>
      </c>
      <c r="C1441" s="32" t="n">
        <v>45955.48472222222</v>
      </c>
      <c r="D1441" t="n">
        <v>3</v>
      </c>
      <c r="E1441" t="n">
        <v>37</v>
      </c>
    </row>
    <row r="1442">
      <c r="A1442" t="inlineStr">
        <is>
          <t>ED211049</t>
        </is>
      </c>
      <c r="B1442" t="inlineStr">
        <is>
          <t>Cedar Ridge</t>
        </is>
      </c>
      <c r="C1442" s="32" t="n">
        <v>45955.67569444444</v>
      </c>
      <c r="D1442" t="n">
        <v>4</v>
      </c>
      <c r="E1442" t="n">
        <v>39</v>
      </c>
    </row>
    <row r="1443">
      <c r="A1443" t="inlineStr">
        <is>
          <t>ED211060</t>
        </is>
      </c>
      <c r="B1443" t="inlineStr">
        <is>
          <t>Cedar Ridge</t>
        </is>
      </c>
      <c r="C1443" s="32" t="n">
        <v>45956.62291666667</v>
      </c>
      <c r="D1443" t="n">
        <v>3</v>
      </c>
      <c r="E1443" t="n">
        <v>31</v>
      </c>
    </row>
    <row r="1444">
      <c r="A1444" t="inlineStr">
        <is>
          <t>ED211067</t>
        </is>
      </c>
      <c r="B1444" t="inlineStr">
        <is>
          <t>Cedar Ridge</t>
        </is>
      </c>
      <c r="C1444" s="32" t="n">
        <v>45956.93888888889</v>
      </c>
      <c r="D1444" t="n">
        <v>3</v>
      </c>
      <c r="E1444" t="n">
        <v>9</v>
      </c>
    </row>
    <row r="1445">
      <c r="A1445" t="inlineStr">
        <is>
          <t>ED211070</t>
        </is>
      </c>
      <c r="B1445" t="inlineStr">
        <is>
          <t>Cedar Ridge</t>
        </is>
      </c>
      <c r="C1445" s="32" t="n">
        <v>45956.96875</v>
      </c>
      <c r="D1445" t="n">
        <v>3</v>
      </c>
      <c r="E1445" t="n">
        <v>39</v>
      </c>
    </row>
    <row r="1446">
      <c r="A1446" t="inlineStr">
        <is>
          <t>ED211074</t>
        </is>
      </c>
      <c r="B1446" t="inlineStr">
        <is>
          <t>Cedar Ridge</t>
        </is>
      </c>
      <c r="C1446" s="32" t="n">
        <v>45957.39236111111</v>
      </c>
      <c r="D1446" t="n">
        <v>3</v>
      </c>
      <c r="E1446" t="n">
        <v>12</v>
      </c>
    </row>
    <row r="1447">
      <c r="A1447" t="inlineStr">
        <is>
          <t>ED211076</t>
        </is>
      </c>
      <c r="B1447" t="inlineStr">
        <is>
          <t>Cedar Ridge</t>
        </is>
      </c>
      <c r="C1447" s="32" t="n">
        <v>45957.43541666667</v>
      </c>
      <c r="D1447" t="n">
        <v>2</v>
      </c>
      <c r="E1447" t="n">
        <v>16</v>
      </c>
    </row>
    <row r="1448">
      <c r="A1448" t="inlineStr">
        <is>
          <t>ED211080</t>
        </is>
      </c>
      <c r="B1448" t="inlineStr">
        <is>
          <t>Cedar Ridge</t>
        </is>
      </c>
      <c r="C1448" s="32" t="n">
        <v>45957.50347222222</v>
      </c>
      <c r="D1448" t="n">
        <v>3</v>
      </c>
      <c r="E1448" t="n">
        <v>29</v>
      </c>
    </row>
    <row r="1449">
      <c r="A1449" t="inlineStr">
        <is>
          <t>ED211108</t>
        </is>
      </c>
      <c r="B1449" t="inlineStr">
        <is>
          <t>Cedar Ridge</t>
        </is>
      </c>
      <c r="C1449" s="32" t="n">
        <v>45958.75625</v>
      </c>
      <c r="D1449" t="n">
        <v>2</v>
      </c>
      <c r="E1449" t="n">
        <v>11</v>
      </c>
    </row>
    <row r="1450">
      <c r="A1450" t="inlineStr">
        <is>
          <t>ED211119</t>
        </is>
      </c>
      <c r="B1450" t="inlineStr">
        <is>
          <t>Cedar Ridge</t>
        </is>
      </c>
      <c r="C1450" s="32" t="n">
        <v>45959.47777777778</v>
      </c>
      <c r="D1450" t="n">
        <v>3</v>
      </c>
      <c r="E1450" t="n">
        <v>30</v>
      </c>
    </row>
    <row r="1451">
      <c r="A1451" t="inlineStr">
        <is>
          <t>ED211121</t>
        </is>
      </c>
      <c r="B1451" t="inlineStr">
        <is>
          <t>Cedar Ridge</t>
        </is>
      </c>
      <c r="C1451" s="32" t="n">
        <v>45959.51527777778</v>
      </c>
      <c r="D1451" t="n">
        <v>1</v>
      </c>
      <c r="E1451" t="n">
        <v>2</v>
      </c>
    </row>
    <row r="1452">
      <c r="A1452" t="inlineStr">
        <is>
          <t>ED211129</t>
        </is>
      </c>
      <c r="B1452" t="inlineStr">
        <is>
          <t>Cedar Ridge</t>
        </is>
      </c>
      <c r="C1452" s="32" t="n">
        <v>45959.75972222222</v>
      </c>
      <c r="D1452" t="n">
        <v>4</v>
      </c>
      <c r="E1452" t="n">
        <v>91</v>
      </c>
    </row>
    <row r="1453">
      <c r="A1453" t="inlineStr">
        <is>
          <t>ED211132</t>
        </is>
      </c>
      <c r="B1453" t="inlineStr">
        <is>
          <t>Cedar Ridge</t>
        </is>
      </c>
      <c r="C1453" s="32" t="n">
        <v>45959.94583333333</v>
      </c>
      <c r="D1453" t="n">
        <v>4</v>
      </c>
      <c r="E1453" t="n">
        <v>50</v>
      </c>
    </row>
    <row r="1454">
      <c r="A1454" t="inlineStr">
        <is>
          <t>ED211156</t>
        </is>
      </c>
      <c r="B1454" t="inlineStr">
        <is>
          <t>Cedar Ridge</t>
        </is>
      </c>
      <c r="C1454" s="32" t="n">
        <v>45961.35833333333</v>
      </c>
      <c r="D1454" t="n">
        <v>3</v>
      </c>
      <c r="E1454" t="n">
        <v>19</v>
      </c>
    </row>
    <row r="1455">
      <c r="A1455" t="inlineStr">
        <is>
          <t>ED211163</t>
        </is>
      </c>
      <c r="B1455" t="inlineStr">
        <is>
          <t>Cedar Ridge</t>
        </is>
      </c>
      <c r="C1455" s="32" t="n">
        <v>45961.60208333333</v>
      </c>
      <c r="D1455" t="n">
        <v>4</v>
      </c>
      <c r="E1455" t="n">
        <v>112</v>
      </c>
    </row>
    <row r="1456">
      <c r="A1456" t="inlineStr">
        <is>
          <t>ED211164</t>
        </is>
      </c>
      <c r="B1456" t="inlineStr">
        <is>
          <t>Cedar Ridge</t>
        </is>
      </c>
      <c r="C1456" s="32" t="n">
        <v>45961.63402777778</v>
      </c>
      <c r="D1456" t="n">
        <v>3</v>
      </c>
      <c r="E1456" t="n">
        <v>106</v>
      </c>
    </row>
    <row r="1457">
      <c r="A1457" t="inlineStr">
        <is>
          <t>ED211177</t>
        </is>
      </c>
      <c r="B1457" t="inlineStr">
        <is>
          <t>Cedar Ridge</t>
        </is>
      </c>
      <c r="C1457" s="32" t="n">
        <v>45962.22708333333</v>
      </c>
      <c r="D1457" t="n">
        <v>2</v>
      </c>
      <c r="E1457" t="n">
        <v>6</v>
      </c>
    </row>
    <row r="1458">
      <c r="A1458" t="inlineStr">
        <is>
          <t>ED211179</t>
        </is>
      </c>
      <c r="B1458" t="inlineStr">
        <is>
          <t>Cedar Ridge</t>
        </is>
      </c>
      <c r="C1458" s="32" t="n">
        <v>45962.35902777778</v>
      </c>
      <c r="D1458" t="n">
        <v>4</v>
      </c>
      <c r="E1458" t="n">
        <v>100</v>
      </c>
    </row>
    <row r="1459">
      <c r="A1459" t="inlineStr">
        <is>
          <t>ED211183</t>
        </is>
      </c>
      <c r="B1459" t="inlineStr">
        <is>
          <t>Cedar Ridge</t>
        </is>
      </c>
      <c r="C1459" s="32" t="n">
        <v>45962.53680555556</v>
      </c>
      <c r="D1459" t="n">
        <v>2</v>
      </c>
      <c r="E1459" t="n">
        <v>12</v>
      </c>
    </row>
    <row r="1460">
      <c r="A1460" t="inlineStr">
        <is>
          <t>ED211191</t>
        </is>
      </c>
      <c r="B1460" t="inlineStr">
        <is>
          <t>Cedar Ridge</t>
        </is>
      </c>
      <c r="C1460" s="32" t="n">
        <v>45963.43402777778</v>
      </c>
      <c r="D1460" t="n">
        <v>5</v>
      </c>
      <c r="E1460" t="n">
        <v>82</v>
      </c>
    </row>
    <row r="1461">
      <c r="A1461" t="inlineStr">
        <is>
          <t>ED211193</t>
        </is>
      </c>
      <c r="B1461" t="inlineStr">
        <is>
          <t>Cedar Ridge</t>
        </is>
      </c>
      <c r="C1461" s="32" t="n">
        <v>45963.57361111111</v>
      </c>
      <c r="D1461" t="n">
        <v>2</v>
      </c>
      <c r="E1461" t="n">
        <v>12</v>
      </c>
    </row>
    <row r="1462">
      <c r="A1462" t="inlineStr">
        <is>
          <t>ED211194</t>
        </is>
      </c>
      <c r="B1462" t="inlineStr">
        <is>
          <t>Cedar Ridge</t>
        </is>
      </c>
      <c r="C1462" s="32" t="n">
        <v>45963.58194444444</v>
      </c>
      <c r="D1462" t="n">
        <v>3</v>
      </c>
      <c r="E1462" t="n">
        <v>24</v>
      </c>
    </row>
    <row r="1463">
      <c r="A1463" t="inlineStr">
        <is>
          <t>ED211198</t>
        </is>
      </c>
      <c r="B1463" t="inlineStr">
        <is>
          <t>Cedar Ridge</t>
        </is>
      </c>
      <c r="C1463" s="32" t="n">
        <v>45963.88263888889</v>
      </c>
      <c r="D1463" t="n">
        <v>3</v>
      </c>
      <c r="E1463" t="n">
        <v>23</v>
      </c>
    </row>
    <row r="1464">
      <c r="A1464" t="inlineStr">
        <is>
          <t>ED211212</t>
        </is>
      </c>
      <c r="B1464" t="inlineStr">
        <is>
          <t>Cedar Ridge</t>
        </is>
      </c>
      <c r="C1464" s="32" t="n">
        <v>45964.40972222222</v>
      </c>
      <c r="D1464" t="n">
        <v>2</v>
      </c>
      <c r="E1464" t="n">
        <v>31</v>
      </c>
    </row>
    <row r="1465">
      <c r="A1465" t="inlineStr">
        <is>
          <t>ED211222</t>
        </is>
      </c>
      <c r="B1465" t="inlineStr">
        <is>
          <t>Cedar Ridge</t>
        </is>
      </c>
      <c r="C1465" s="32" t="n">
        <v>45964.74652777778</v>
      </c>
      <c r="D1465" t="n">
        <v>3</v>
      </c>
      <c r="E1465" t="n">
        <v>43</v>
      </c>
    </row>
    <row r="1466">
      <c r="A1466" t="inlineStr">
        <is>
          <t>ED211223</t>
        </is>
      </c>
      <c r="B1466" t="inlineStr">
        <is>
          <t>Cedar Ridge</t>
        </is>
      </c>
      <c r="C1466" s="32" t="n">
        <v>45964.76944444444</v>
      </c>
      <c r="D1466" t="n">
        <v>3</v>
      </c>
      <c r="E1466" t="n">
        <v>28</v>
      </c>
    </row>
    <row r="1467">
      <c r="A1467" t="inlineStr">
        <is>
          <t>ED211236</t>
        </is>
      </c>
      <c r="B1467" t="inlineStr">
        <is>
          <t>Cedar Ridge</t>
        </is>
      </c>
      <c r="C1467" s="32" t="n">
        <v>45965.52222222222</v>
      </c>
      <c r="D1467" t="n">
        <v>2</v>
      </c>
      <c r="E1467" t="n">
        <v>36</v>
      </c>
    </row>
    <row r="1468">
      <c r="A1468" t="inlineStr">
        <is>
          <t>ED211238</t>
        </is>
      </c>
      <c r="B1468" t="inlineStr">
        <is>
          <t>Cedar Ridge</t>
        </is>
      </c>
      <c r="C1468" s="32" t="n">
        <v>45965.56875</v>
      </c>
      <c r="D1468" t="n">
        <v>3</v>
      </c>
      <c r="E1468" t="n">
        <v>63</v>
      </c>
    </row>
    <row r="1469">
      <c r="A1469" t="inlineStr">
        <is>
          <t>ED211257</t>
        </is>
      </c>
      <c r="B1469" t="inlineStr">
        <is>
          <t>Cedar Ridge</t>
        </is>
      </c>
      <c r="C1469" s="32" t="n">
        <v>45966.63055555556</v>
      </c>
      <c r="D1469" t="n">
        <v>5</v>
      </c>
      <c r="E1469" t="n">
        <v>65</v>
      </c>
    </row>
    <row r="1470">
      <c r="A1470" t="inlineStr">
        <is>
          <t>ED211259</t>
        </is>
      </c>
      <c r="B1470" t="inlineStr">
        <is>
          <t>Cedar Ridge</t>
        </is>
      </c>
      <c r="C1470" s="32" t="n">
        <v>45966.72430555556</v>
      </c>
      <c r="D1470" t="n">
        <v>4</v>
      </c>
      <c r="E1470" t="n">
        <v>15</v>
      </c>
    </row>
    <row r="1471">
      <c r="A1471" t="inlineStr">
        <is>
          <t>ED211264</t>
        </is>
      </c>
      <c r="B1471" t="inlineStr">
        <is>
          <t>Cedar Ridge</t>
        </is>
      </c>
      <c r="C1471" s="32" t="n">
        <v>45966.8875</v>
      </c>
      <c r="D1471" t="n">
        <v>3</v>
      </c>
      <c r="E1471" t="n">
        <v>67</v>
      </c>
    </row>
    <row r="1472">
      <c r="A1472" t="inlineStr">
        <is>
          <t>ED211266</t>
        </is>
      </c>
      <c r="B1472" t="inlineStr">
        <is>
          <t>Cedar Ridge</t>
        </is>
      </c>
      <c r="C1472" s="32" t="n">
        <v>45967.41458333333</v>
      </c>
      <c r="D1472" t="n">
        <v>3</v>
      </c>
      <c r="E1472" t="n">
        <v>27</v>
      </c>
    </row>
    <row r="1473">
      <c r="A1473" t="inlineStr">
        <is>
          <t>ED211269</t>
        </is>
      </c>
      <c r="B1473" t="inlineStr">
        <is>
          <t>Cedar Ridge</t>
        </is>
      </c>
      <c r="C1473" s="32" t="n">
        <v>45967.47361111111</v>
      </c>
      <c r="D1473" t="n">
        <v>2</v>
      </c>
      <c r="E1473" t="n">
        <v>23</v>
      </c>
    </row>
    <row r="1474">
      <c r="A1474" t="inlineStr">
        <is>
          <t>ED211273</t>
        </is>
      </c>
      <c r="B1474" t="inlineStr">
        <is>
          <t>Cedar Ridge</t>
        </is>
      </c>
      <c r="C1474" s="32" t="n">
        <v>45967.6375</v>
      </c>
      <c r="D1474" t="n">
        <v>2</v>
      </c>
      <c r="E1474" t="n">
        <v>29</v>
      </c>
    </row>
    <row r="1475">
      <c r="A1475" t="inlineStr">
        <is>
          <t>ED211274</t>
        </is>
      </c>
      <c r="B1475" t="inlineStr">
        <is>
          <t>Cedar Ridge</t>
        </is>
      </c>
      <c r="C1475" s="32" t="n">
        <v>45967.71111111111</v>
      </c>
      <c r="D1475" t="n">
        <v>3</v>
      </c>
      <c r="E1475" t="n">
        <v>60</v>
      </c>
    </row>
    <row r="1476">
      <c r="A1476" t="inlineStr">
        <is>
          <t>ED211290</t>
        </is>
      </c>
      <c r="B1476" t="inlineStr">
        <is>
          <t>Cedar Ridge</t>
        </is>
      </c>
      <c r="C1476" s="32" t="n">
        <v>45968.65</v>
      </c>
      <c r="D1476" t="n">
        <v>3</v>
      </c>
      <c r="E1476" t="n">
        <v>65</v>
      </c>
    </row>
    <row r="1477">
      <c r="A1477" t="inlineStr">
        <is>
          <t>ED211294</t>
        </is>
      </c>
      <c r="B1477" t="inlineStr">
        <is>
          <t>Cedar Ridge</t>
        </is>
      </c>
      <c r="C1477" s="32" t="n">
        <v>45968.84861111111</v>
      </c>
      <c r="D1477" t="n">
        <v>4</v>
      </c>
      <c r="E1477" t="n">
        <v>54</v>
      </c>
    </row>
    <row r="1478">
      <c r="A1478" t="inlineStr">
        <is>
          <t>ED211301</t>
        </is>
      </c>
      <c r="B1478" t="inlineStr">
        <is>
          <t>Cedar Ridge</t>
        </is>
      </c>
      <c r="C1478" s="32" t="n">
        <v>45969.28888888889</v>
      </c>
      <c r="D1478" t="n">
        <v>2</v>
      </c>
      <c r="E1478" t="n">
        <v>26</v>
      </c>
    </row>
    <row r="1479">
      <c r="A1479" t="inlineStr">
        <is>
          <t>ED211310</t>
        </is>
      </c>
      <c r="B1479" t="inlineStr">
        <is>
          <t>Cedar Ridge</t>
        </is>
      </c>
      <c r="C1479" s="32" t="n">
        <v>45969.66875</v>
      </c>
      <c r="D1479" t="n">
        <v>5</v>
      </c>
      <c r="E1479" t="n">
        <v>29</v>
      </c>
    </row>
    <row r="1480">
      <c r="A1480" t="inlineStr">
        <is>
          <t>ED211316</t>
        </is>
      </c>
      <c r="B1480" t="inlineStr">
        <is>
          <t>Cedar Ridge</t>
        </is>
      </c>
      <c r="C1480" s="32" t="n">
        <v>45969.90069444444</v>
      </c>
      <c r="D1480" t="n">
        <v>2</v>
      </c>
      <c r="E1480" t="n">
        <v>10</v>
      </c>
    </row>
    <row r="1481">
      <c r="A1481" t="inlineStr">
        <is>
          <t>ED211318</t>
        </is>
      </c>
      <c r="B1481" t="inlineStr">
        <is>
          <t>Cedar Ridge</t>
        </is>
      </c>
      <c r="C1481" s="32" t="n">
        <v>45970.00972222222</v>
      </c>
      <c r="D1481" t="n">
        <v>2</v>
      </c>
      <c r="E1481" t="n">
        <v>6</v>
      </c>
    </row>
    <row r="1482">
      <c r="A1482" t="inlineStr">
        <is>
          <t>ED211331</t>
        </is>
      </c>
      <c r="B1482" t="inlineStr">
        <is>
          <t>Cedar Ridge</t>
        </is>
      </c>
      <c r="C1482" s="32" t="n">
        <v>45971.49513888889</v>
      </c>
      <c r="D1482" t="n">
        <v>2</v>
      </c>
      <c r="E1482" t="n">
        <v>23</v>
      </c>
    </row>
    <row r="1483">
      <c r="A1483" t="inlineStr">
        <is>
          <t>ED211347</t>
        </is>
      </c>
      <c r="B1483" t="inlineStr">
        <is>
          <t>Cedar Ridge</t>
        </is>
      </c>
      <c r="C1483" s="32" t="n">
        <v>45972.04166666666</v>
      </c>
      <c r="D1483" t="n">
        <v>2</v>
      </c>
      <c r="E1483" t="n">
        <v>21</v>
      </c>
    </row>
    <row r="1484">
      <c r="A1484" t="inlineStr">
        <is>
          <t>ED211348</t>
        </is>
      </c>
      <c r="B1484" t="inlineStr">
        <is>
          <t>Cedar Ridge</t>
        </is>
      </c>
      <c r="C1484" s="32" t="n">
        <v>45972.275</v>
      </c>
      <c r="D1484" t="n">
        <v>3</v>
      </c>
      <c r="E1484" t="n">
        <v>17</v>
      </c>
    </row>
    <row r="1485">
      <c r="A1485" t="inlineStr">
        <is>
          <t>ED211350</t>
        </is>
      </c>
      <c r="B1485" t="inlineStr">
        <is>
          <t>Cedar Ridge</t>
        </is>
      </c>
      <c r="C1485" s="32" t="n">
        <v>45972.43958333333</v>
      </c>
      <c r="D1485" t="n">
        <v>2</v>
      </c>
      <c r="E1485" t="n">
        <v>25</v>
      </c>
    </row>
    <row r="1486">
      <c r="A1486" t="inlineStr">
        <is>
          <t>ED211374</t>
        </is>
      </c>
      <c r="B1486" t="inlineStr">
        <is>
          <t>Cedar Ridge</t>
        </is>
      </c>
      <c r="C1486" s="32" t="n">
        <v>45973.47986111111</v>
      </c>
      <c r="D1486" t="n">
        <v>3</v>
      </c>
      <c r="E1486" t="n">
        <v>31</v>
      </c>
    </row>
    <row r="1487">
      <c r="A1487" t="inlineStr">
        <is>
          <t>ED211375</t>
        </is>
      </c>
      <c r="B1487" t="inlineStr">
        <is>
          <t>Cedar Ridge</t>
        </is>
      </c>
      <c r="C1487" s="32" t="n">
        <v>45973.4875</v>
      </c>
      <c r="D1487" t="n">
        <v>5</v>
      </c>
      <c r="E1487" t="n">
        <v>120</v>
      </c>
    </row>
    <row r="1488">
      <c r="A1488" t="inlineStr">
        <is>
          <t>ED211376</t>
        </is>
      </c>
      <c r="B1488" t="inlineStr">
        <is>
          <t>Cedar Ridge</t>
        </is>
      </c>
      <c r="C1488" s="32" t="n">
        <v>45973.53888888889</v>
      </c>
      <c r="D1488" t="n">
        <v>3</v>
      </c>
      <c r="E1488" t="n">
        <v>28</v>
      </c>
    </row>
    <row r="1489">
      <c r="A1489" t="inlineStr">
        <is>
          <t>ED211385</t>
        </is>
      </c>
      <c r="B1489" t="inlineStr">
        <is>
          <t>Cedar Ridge</t>
        </is>
      </c>
      <c r="C1489" s="32" t="n">
        <v>45973.89791666667</v>
      </c>
      <c r="D1489" t="n">
        <v>2</v>
      </c>
      <c r="E1489" t="n">
        <v>11</v>
      </c>
    </row>
    <row r="1490">
      <c r="A1490" t="inlineStr">
        <is>
          <t>ED211386</t>
        </is>
      </c>
      <c r="B1490" t="inlineStr">
        <is>
          <t>Cedar Ridge</t>
        </is>
      </c>
      <c r="C1490" s="32" t="n">
        <v>45973.91736111111</v>
      </c>
      <c r="D1490" t="n">
        <v>2</v>
      </c>
      <c r="E1490" t="n">
        <v>9</v>
      </c>
    </row>
    <row r="1491">
      <c r="A1491" t="inlineStr">
        <is>
          <t>ED211391</t>
        </is>
      </c>
      <c r="B1491" t="inlineStr">
        <is>
          <t>Cedar Ridge</t>
        </is>
      </c>
      <c r="C1491" s="32" t="n">
        <v>45974.40555555555</v>
      </c>
      <c r="D1491" t="n">
        <v>4</v>
      </c>
      <c r="E1491" t="n">
        <v>93</v>
      </c>
    </row>
    <row r="1492">
      <c r="A1492" t="inlineStr">
        <is>
          <t>ED211403</t>
        </is>
      </c>
      <c r="B1492" t="inlineStr">
        <is>
          <t>Cedar Ridge</t>
        </is>
      </c>
      <c r="C1492" s="32" t="n">
        <v>45974.81458333333</v>
      </c>
      <c r="D1492" t="n">
        <v>4</v>
      </c>
      <c r="E1492" t="n">
        <v>10</v>
      </c>
    </row>
    <row r="1493">
      <c r="A1493" t="inlineStr">
        <is>
          <t>ED211414</t>
        </is>
      </c>
      <c r="B1493" t="inlineStr">
        <is>
          <t>Cedar Ridge</t>
        </is>
      </c>
      <c r="C1493" s="32" t="n">
        <v>45976.31527777778</v>
      </c>
      <c r="D1493" t="n">
        <v>3</v>
      </c>
      <c r="E1493" t="n">
        <v>57</v>
      </c>
    </row>
    <row r="1494">
      <c r="A1494" t="inlineStr">
        <is>
          <t>ED211428</t>
        </is>
      </c>
      <c r="B1494" t="inlineStr">
        <is>
          <t>Cedar Ridge</t>
        </is>
      </c>
      <c r="C1494" s="32" t="n">
        <v>45977.00694444445</v>
      </c>
      <c r="D1494" t="n">
        <v>3</v>
      </c>
      <c r="E1494" t="n">
        <v>42</v>
      </c>
    </row>
    <row r="1495">
      <c r="A1495" t="inlineStr">
        <is>
          <t>ED211429</t>
        </is>
      </c>
      <c r="B1495" t="inlineStr">
        <is>
          <t>Cedar Ridge</t>
        </is>
      </c>
      <c r="C1495" s="32" t="n">
        <v>45977.26041666666</v>
      </c>
      <c r="D1495" t="n">
        <v>3</v>
      </c>
      <c r="E1495" t="n">
        <v>15</v>
      </c>
    </row>
    <row r="1496">
      <c r="A1496" t="inlineStr">
        <is>
          <t>ED211445</t>
        </is>
      </c>
      <c r="B1496" t="inlineStr">
        <is>
          <t>Cedar Ridge</t>
        </is>
      </c>
      <c r="C1496" s="32" t="n">
        <v>45977.91319444445</v>
      </c>
      <c r="D1496" t="n">
        <v>2</v>
      </c>
      <c r="E1496" t="n">
        <v>12</v>
      </c>
    </row>
    <row r="1497">
      <c r="A1497" t="inlineStr">
        <is>
          <t>ED211447</t>
        </is>
      </c>
      <c r="B1497" t="inlineStr">
        <is>
          <t>Cedar Ridge</t>
        </is>
      </c>
      <c r="C1497" s="32" t="n">
        <v>45977.93055555555</v>
      </c>
      <c r="D1497" t="n">
        <v>3</v>
      </c>
      <c r="E1497" t="n">
        <v>76</v>
      </c>
    </row>
    <row r="1498">
      <c r="A1498" t="inlineStr">
        <is>
          <t>ED211450</t>
        </is>
      </c>
      <c r="B1498" t="inlineStr">
        <is>
          <t>Cedar Ridge</t>
        </is>
      </c>
      <c r="C1498" s="32" t="n">
        <v>45978.12638888889</v>
      </c>
      <c r="D1498" t="n">
        <v>3</v>
      </c>
      <c r="E1498" t="n">
        <v>17</v>
      </c>
    </row>
    <row r="1499">
      <c r="A1499" t="inlineStr">
        <is>
          <t>ED211454</t>
        </is>
      </c>
      <c r="B1499" t="inlineStr">
        <is>
          <t>Cedar Ridge</t>
        </is>
      </c>
      <c r="C1499" s="32" t="n">
        <v>45978.29791666667</v>
      </c>
      <c r="D1499" t="n">
        <v>4</v>
      </c>
      <c r="E1499" t="n">
        <v>39</v>
      </c>
    </row>
    <row r="1500">
      <c r="A1500" t="inlineStr">
        <is>
          <t>ED211461</t>
        </is>
      </c>
      <c r="B1500" t="inlineStr">
        <is>
          <t>Cedar Ridge</t>
        </is>
      </c>
      <c r="C1500" s="32" t="n">
        <v>45978.54583333333</v>
      </c>
      <c r="D1500" t="n">
        <v>3</v>
      </c>
      <c r="E1500" t="n">
        <v>19</v>
      </c>
    </row>
    <row r="1501">
      <c r="A1501" t="inlineStr">
        <is>
          <t>ED211464</t>
        </is>
      </c>
      <c r="B1501" t="inlineStr">
        <is>
          <t>Cedar Ridge</t>
        </is>
      </c>
      <c r="C1501" s="32" t="n">
        <v>45978.65069444444</v>
      </c>
      <c r="D1501" t="n">
        <v>3</v>
      </c>
      <c r="E1501" t="n">
        <v>103</v>
      </c>
    </row>
    <row r="1502">
      <c r="A1502" t="inlineStr">
        <is>
          <t>ED211467</t>
        </is>
      </c>
      <c r="B1502" t="inlineStr">
        <is>
          <t>Cedar Ridge</t>
        </is>
      </c>
      <c r="C1502" s="32" t="n">
        <v>45978.92708333334</v>
      </c>
      <c r="D1502" t="n">
        <v>3</v>
      </c>
    </row>
    <row r="1503">
      <c r="A1503" t="inlineStr">
        <is>
          <t>ED211470</t>
        </is>
      </c>
      <c r="B1503" t="inlineStr">
        <is>
          <t>Cedar Ridge</t>
        </is>
      </c>
      <c r="C1503" s="32" t="n">
        <v>45978.95694444444</v>
      </c>
      <c r="D1503" t="n">
        <v>3</v>
      </c>
      <c r="E1503" t="n">
        <v>31</v>
      </c>
    </row>
    <row r="1504">
      <c r="A1504" t="inlineStr">
        <is>
          <t>ED211480</t>
        </is>
      </c>
      <c r="B1504" t="inlineStr">
        <is>
          <t>Cedar Ridge</t>
        </is>
      </c>
      <c r="C1504" s="32" t="n">
        <v>45979.63611111111</v>
      </c>
      <c r="D1504" t="n">
        <v>3</v>
      </c>
      <c r="E1504" t="n">
        <v>25</v>
      </c>
    </row>
    <row r="1505">
      <c r="A1505" t="inlineStr">
        <is>
          <t>ED211499</t>
        </is>
      </c>
      <c r="B1505" t="inlineStr">
        <is>
          <t>Cedar Ridge</t>
        </is>
      </c>
      <c r="C1505" s="32" t="n">
        <v>45980.45763888889</v>
      </c>
      <c r="D1505" t="n">
        <v>3</v>
      </c>
      <c r="E1505" t="n">
        <v>88</v>
      </c>
    </row>
    <row r="1506">
      <c r="A1506" t="inlineStr">
        <is>
          <t>ED211508</t>
        </is>
      </c>
      <c r="B1506" t="inlineStr">
        <is>
          <t>Cedar Ridge</t>
        </is>
      </c>
      <c r="C1506" s="32" t="n">
        <v>45980.73888888889</v>
      </c>
      <c r="D1506" t="n">
        <v>4</v>
      </c>
      <c r="E1506" t="n">
        <v>102</v>
      </c>
    </row>
    <row r="1507">
      <c r="A1507" t="inlineStr">
        <is>
          <t>ED211509</t>
        </is>
      </c>
      <c r="B1507" t="inlineStr">
        <is>
          <t>Cedar Ridge</t>
        </is>
      </c>
      <c r="C1507" s="32" t="n">
        <v>45980.76944444444</v>
      </c>
      <c r="D1507" t="n">
        <v>3</v>
      </c>
      <c r="E1507" t="n">
        <v>35</v>
      </c>
    </row>
    <row r="1508">
      <c r="A1508" t="inlineStr">
        <is>
          <t>ED211519</t>
        </is>
      </c>
      <c r="B1508" t="inlineStr">
        <is>
          <t>Cedar Ridge</t>
        </is>
      </c>
      <c r="C1508" s="32" t="n">
        <v>45981.42222222222</v>
      </c>
      <c r="D1508" t="n">
        <v>5</v>
      </c>
      <c r="E1508" t="n">
        <v>40</v>
      </c>
    </row>
    <row r="1509">
      <c r="A1509" t="inlineStr">
        <is>
          <t>ED211535</t>
        </is>
      </c>
      <c r="B1509" t="inlineStr">
        <is>
          <t>Cedar Ridge</t>
        </is>
      </c>
      <c r="C1509" s="32" t="n">
        <v>45982.09166666667</v>
      </c>
      <c r="D1509" t="n">
        <v>4</v>
      </c>
      <c r="E1509" t="n">
        <v>28</v>
      </c>
    </row>
    <row r="1510">
      <c r="A1510" t="inlineStr">
        <is>
          <t>ED211536</t>
        </is>
      </c>
      <c r="B1510" t="inlineStr">
        <is>
          <t>Cedar Ridge</t>
        </is>
      </c>
      <c r="C1510" s="32" t="n">
        <v>45982.24513888889</v>
      </c>
      <c r="D1510" t="n">
        <v>3</v>
      </c>
      <c r="E1510" t="n">
        <v>17</v>
      </c>
    </row>
    <row r="1511">
      <c r="A1511" t="inlineStr">
        <is>
          <t>ED211537</t>
        </is>
      </c>
      <c r="B1511" t="inlineStr">
        <is>
          <t>Cedar Ridge</t>
        </is>
      </c>
      <c r="C1511" s="32" t="n">
        <v>45982.39097222222</v>
      </c>
      <c r="D1511" t="n">
        <v>2</v>
      </c>
      <c r="E1511" t="n">
        <v>19</v>
      </c>
    </row>
    <row r="1512">
      <c r="A1512" t="inlineStr">
        <is>
          <t>ED211539</t>
        </is>
      </c>
      <c r="B1512" t="inlineStr">
        <is>
          <t>Cedar Ridge</t>
        </is>
      </c>
      <c r="C1512" s="32" t="n">
        <v>45982.55347222222</v>
      </c>
      <c r="D1512" t="n">
        <v>4</v>
      </c>
      <c r="E1512" t="n">
        <v>106</v>
      </c>
    </row>
    <row r="1513">
      <c r="A1513" t="inlineStr">
        <is>
          <t>ED211544</t>
        </is>
      </c>
      <c r="B1513" t="inlineStr">
        <is>
          <t>Cedar Ridge</t>
        </is>
      </c>
      <c r="C1513" s="32" t="n">
        <v>45982.75833333333</v>
      </c>
      <c r="D1513" t="n">
        <v>3</v>
      </c>
      <c r="E1513" t="n">
        <v>40</v>
      </c>
    </row>
    <row r="1514">
      <c r="A1514" t="inlineStr">
        <is>
          <t>ED211545</t>
        </is>
      </c>
      <c r="B1514" t="inlineStr">
        <is>
          <t>Cedar Ridge</t>
        </is>
      </c>
      <c r="C1514" s="32" t="n">
        <v>45982.75833333333</v>
      </c>
      <c r="D1514" t="n">
        <v>3</v>
      </c>
      <c r="E1514" t="n">
        <v>36</v>
      </c>
    </row>
    <row r="1515">
      <c r="A1515" t="inlineStr">
        <is>
          <t>ED211547</t>
        </is>
      </c>
      <c r="B1515" t="inlineStr">
        <is>
          <t>Cedar Ridge</t>
        </is>
      </c>
      <c r="C1515" s="32" t="n">
        <v>45982.79513888889</v>
      </c>
      <c r="D1515" t="n">
        <v>4</v>
      </c>
      <c r="E1515" t="n">
        <v>70</v>
      </c>
    </row>
    <row r="1516">
      <c r="A1516" t="inlineStr">
        <is>
          <t>ED211558</t>
        </is>
      </c>
      <c r="B1516" t="inlineStr">
        <is>
          <t>Cedar Ridge</t>
        </is>
      </c>
      <c r="C1516" s="32" t="n">
        <v>45983.75902777778</v>
      </c>
      <c r="D1516" t="n">
        <v>2</v>
      </c>
      <c r="E1516" t="n">
        <v>26</v>
      </c>
    </row>
    <row r="1517">
      <c r="A1517" t="inlineStr">
        <is>
          <t>ED211575</t>
        </is>
      </c>
      <c r="B1517" t="inlineStr">
        <is>
          <t>Cedar Ridge</t>
        </is>
      </c>
      <c r="C1517" s="32" t="n">
        <v>45984.72847222222</v>
      </c>
      <c r="D1517" t="n">
        <v>3</v>
      </c>
      <c r="E1517" t="n">
        <v>45</v>
      </c>
    </row>
    <row r="1518">
      <c r="A1518" t="inlineStr">
        <is>
          <t>ED211576</t>
        </is>
      </c>
      <c r="B1518" t="inlineStr">
        <is>
          <t>Cedar Ridge</t>
        </is>
      </c>
      <c r="C1518" s="32" t="n">
        <v>45984.73333333333</v>
      </c>
      <c r="D1518" t="n">
        <v>4</v>
      </c>
    </row>
    <row r="1519">
      <c r="A1519" t="inlineStr">
        <is>
          <t>ED211580</t>
        </is>
      </c>
      <c r="B1519" t="inlineStr">
        <is>
          <t>Cedar Ridge</t>
        </is>
      </c>
      <c r="C1519" s="32" t="n">
        <v>45984.97152777778</v>
      </c>
      <c r="D1519" t="n">
        <v>5</v>
      </c>
      <c r="E1519" t="n">
        <v>14</v>
      </c>
    </row>
    <row r="1520">
      <c r="A1520" t="inlineStr">
        <is>
          <t>ED211590</t>
        </is>
      </c>
      <c r="B1520" t="inlineStr">
        <is>
          <t>Cedar Ridge</t>
        </is>
      </c>
      <c r="C1520" s="32" t="n">
        <v>45985.55</v>
      </c>
      <c r="D1520" t="n">
        <v>2</v>
      </c>
      <c r="E1520" t="n">
        <v>8</v>
      </c>
    </row>
    <row r="1521">
      <c r="A1521" t="inlineStr">
        <is>
          <t>ED211591</t>
        </is>
      </c>
      <c r="B1521" t="inlineStr">
        <is>
          <t>Cedar Ridge</t>
        </is>
      </c>
      <c r="C1521" s="32" t="n">
        <v>45985.57569444444</v>
      </c>
      <c r="D1521" t="n">
        <v>4</v>
      </c>
      <c r="E1521" t="n">
        <v>116</v>
      </c>
    </row>
    <row r="1522">
      <c r="A1522" t="inlineStr">
        <is>
          <t>ED211595</t>
        </is>
      </c>
      <c r="B1522" t="inlineStr">
        <is>
          <t>Cedar Ridge</t>
        </is>
      </c>
      <c r="C1522" s="32" t="n">
        <v>45985.6875</v>
      </c>
      <c r="D1522" t="n">
        <v>3</v>
      </c>
    </row>
    <row r="1523">
      <c r="A1523" t="inlineStr">
        <is>
          <t>ED211597</t>
        </is>
      </c>
      <c r="B1523" t="inlineStr">
        <is>
          <t>Cedar Ridge</t>
        </is>
      </c>
      <c r="C1523" s="32" t="n">
        <v>45985.73125</v>
      </c>
      <c r="D1523" t="n">
        <v>4</v>
      </c>
      <c r="E1523" t="n">
        <v>108</v>
      </c>
    </row>
    <row r="1524">
      <c r="A1524" t="inlineStr">
        <is>
          <t>ED211600</t>
        </is>
      </c>
      <c r="B1524" t="inlineStr">
        <is>
          <t>Cedar Ridge</t>
        </is>
      </c>
      <c r="C1524" s="32" t="n">
        <v>45986.31041666667</v>
      </c>
      <c r="D1524" t="n">
        <v>3</v>
      </c>
      <c r="E1524" t="n">
        <v>39</v>
      </c>
    </row>
    <row r="1525">
      <c r="A1525" t="inlineStr">
        <is>
          <t>ED211602</t>
        </is>
      </c>
      <c r="B1525" t="inlineStr">
        <is>
          <t>Cedar Ridge</t>
        </is>
      </c>
      <c r="C1525" s="32" t="n">
        <v>45986.35</v>
      </c>
      <c r="D1525" t="n">
        <v>4</v>
      </c>
      <c r="E1525" t="n">
        <v>31</v>
      </c>
    </row>
    <row r="1526">
      <c r="A1526" t="inlineStr">
        <is>
          <t>ED211612</t>
        </is>
      </c>
      <c r="B1526" t="inlineStr">
        <is>
          <t>Cedar Ridge</t>
        </is>
      </c>
      <c r="C1526" s="32" t="n">
        <v>45986.54097222222</v>
      </c>
      <c r="D1526" t="n">
        <v>3</v>
      </c>
      <c r="E1526" t="n">
        <v>42</v>
      </c>
    </row>
    <row r="1527">
      <c r="A1527" t="inlineStr">
        <is>
          <t>ED211616</t>
        </is>
      </c>
      <c r="B1527" t="inlineStr">
        <is>
          <t>Cedar Ridge</t>
        </is>
      </c>
      <c r="C1527" s="32" t="n">
        <v>45987.23402777778</v>
      </c>
      <c r="D1527" t="n">
        <v>3</v>
      </c>
      <c r="E1527" t="n">
        <v>44</v>
      </c>
    </row>
    <row r="1528">
      <c r="A1528" t="inlineStr">
        <is>
          <t>ED211631</t>
        </is>
      </c>
      <c r="B1528" t="inlineStr">
        <is>
          <t>Cedar Ridge</t>
        </is>
      </c>
      <c r="C1528" s="32" t="n">
        <v>45988.59583333333</v>
      </c>
      <c r="D1528" t="n">
        <v>4</v>
      </c>
      <c r="E1528" t="n">
        <v>80</v>
      </c>
    </row>
    <row r="1529">
      <c r="A1529" t="inlineStr">
        <is>
          <t>ED211633</t>
        </is>
      </c>
      <c r="B1529" t="inlineStr">
        <is>
          <t>Cedar Ridge</t>
        </is>
      </c>
      <c r="C1529" s="32" t="n">
        <v>45988.65208333333</v>
      </c>
      <c r="D1529" t="n">
        <v>4</v>
      </c>
      <c r="E1529" t="n">
        <v>28</v>
      </c>
    </row>
    <row r="1530">
      <c r="A1530" t="inlineStr">
        <is>
          <t>ED211662</t>
        </is>
      </c>
      <c r="B1530" t="inlineStr">
        <is>
          <t>Cedar Ridge</t>
        </is>
      </c>
      <c r="C1530" s="32" t="n">
        <v>45989.82986111111</v>
      </c>
      <c r="D1530" t="n">
        <v>3</v>
      </c>
      <c r="E1530" t="n">
        <v>99</v>
      </c>
    </row>
    <row r="1531">
      <c r="A1531" t="inlineStr">
        <is>
          <t>ED211669</t>
        </is>
      </c>
      <c r="B1531" t="inlineStr">
        <is>
          <t>Cedar Ridge</t>
        </is>
      </c>
      <c r="C1531" s="32" t="n">
        <v>45990.44930555556</v>
      </c>
      <c r="D1531" t="n">
        <v>3</v>
      </c>
      <c r="E1531" t="n">
        <v>41</v>
      </c>
    </row>
    <row r="1532">
      <c r="A1532" t="inlineStr">
        <is>
          <t>ED211673</t>
        </is>
      </c>
      <c r="B1532" t="inlineStr">
        <is>
          <t>Cedar Ridge</t>
        </is>
      </c>
      <c r="C1532" s="32" t="n">
        <v>45990.72847222222</v>
      </c>
      <c r="D1532" t="n">
        <v>3</v>
      </c>
      <c r="E1532" t="n">
        <v>17</v>
      </c>
    </row>
    <row r="1533">
      <c r="A1533" t="inlineStr">
        <is>
          <t>ED211680</t>
        </is>
      </c>
      <c r="B1533" t="inlineStr">
        <is>
          <t>Cedar Ridge</t>
        </is>
      </c>
      <c r="C1533" s="32" t="n">
        <v>45991.15972222222</v>
      </c>
      <c r="D1533" t="n">
        <v>3</v>
      </c>
      <c r="E1533" t="n">
        <v>9</v>
      </c>
    </row>
    <row r="1534">
      <c r="A1534" t="inlineStr">
        <is>
          <t>ED211684</t>
        </is>
      </c>
      <c r="B1534" t="inlineStr">
        <is>
          <t>Cedar Ridge</t>
        </is>
      </c>
      <c r="C1534" s="32" t="n">
        <v>45991.50069444445</v>
      </c>
      <c r="D1534" t="n">
        <v>2</v>
      </c>
      <c r="E1534" t="n">
        <v>13</v>
      </c>
    </row>
    <row r="1535">
      <c r="A1535" t="inlineStr">
        <is>
          <t>ED211686</t>
        </is>
      </c>
      <c r="B1535" t="inlineStr">
        <is>
          <t>Cedar Ridge</t>
        </is>
      </c>
      <c r="C1535" s="32" t="n">
        <v>45991.58055555556</v>
      </c>
      <c r="D1535" t="n">
        <v>4</v>
      </c>
      <c r="E1535" t="n">
        <v>48</v>
      </c>
    </row>
    <row r="1536">
      <c r="A1536" t="inlineStr">
        <is>
          <t>ED211693</t>
        </is>
      </c>
      <c r="B1536" t="inlineStr">
        <is>
          <t>Cedar Ridge</t>
        </is>
      </c>
      <c r="C1536" s="32" t="n">
        <v>45991.72430555556</v>
      </c>
      <c r="D1536" t="n">
        <v>4</v>
      </c>
      <c r="E1536" t="n">
        <v>32</v>
      </c>
    </row>
    <row r="1537">
      <c r="A1537" t="inlineStr">
        <is>
          <t>ED211706</t>
        </is>
      </c>
      <c r="B1537" t="inlineStr">
        <is>
          <t>Cedar Ridge</t>
        </is>
      </c>
      <c r="C1537" s="32" t="n">
        <v>45992.5125</v>
      </c>
      <c r="D1537" t="n">
        <v>1</v>
      </c>
      <c r="E1537" t="n">
        <v>2</v>
      </c>
    </row>
    <row r="1538">
      <c r="A1538" t="inlineStr">
        <is>
          <t>ED211708</t>
        </is>
      </c>
      <c r="B1538" t="inlineStr">
        <is>
          <t>Cedar Ridge</t>
        </is>
      </c>
      <c r="C1538" s="32" t="n">
        <v>45992.59166666667</v>
      </c>
      <c r="D1538" t="n">
        <v>4</v>
      </c>
      <c r="E1538" t="n">
        <v>52</v>
      </c>
    </row>
    <row r="1539">
      <c r="A1539" t="inlineStr">
        <is>
          <t>ED211711</t>
        </is>
      </c>
      <c r="B1539" t="inlineStr">
        <is>
          <t>Cedar Ridge</t>
        </is>
      </c>
      <c r="C1539" s="32" t="n">
        <v>45992.74791666667</v>
      </c>
      <c r="D1539" t="n">
        <v>3</v>
      </c>
      <c r="E1539" t="n">
        <v>105</v>
      </c>
    </row>
    <row r="1540">
      <c r="A1540" t="inlineStr">
        <is>
          <t>ED211712</t>
        </is>
      </c>
      <c r="B1540" t="inlineStr">
        <is>
          <t>Cedar Ridge</t>
        </is>
      </c>
      <c r="C1540" s="32" t="n">
        <v>45992.75555555556</v>
      </c>
      <c r="D1540" t="n">
        <v>4</v>
      </c>
      <c r="E1540" t="n">
        <v>20</v>
      </c>
    </row>
    <row r="1541">
      <c r="A1541" t="inlineStr">
        <is>
          <t>ED211715</t>
        </is>
      </c>
      <c r="B1541" t="inlineStr">
        <is>
          <t>Cedar Ridge</t>
        </is>
      </c>
      <c r="C1541" s="32" t="n">
        <v>45992.84583333333</v>
      </c>
      <c r="D1541" t="n">
        <v>2</v>
      </c>
      <c r="E1541" t="n">
        <v>29</v>
      </c>
    </row>
    <row r="1542">
      <c r="A1542" t="inlineStr">
        <is>
          <t>ED211722</t>
        </is>
      </c>
      <c r="B1542" t="inlineStr">
        <is>
          <t>Cedar Ridge</t>
        </is>
      </c>
      <c r="C1542" s="32" t="n">
        <v>45993.33888888889</v>
      </c>
      <c r="D1542" t="n">
        <v>3</v>
      </c>
      <c r="E1542" t="n">
        <v>73</v>
      </c>
    </row>
    <row r="1543">
      <c r="A1543" t="inlineStr">
        <is>
          <t>ED211730</t>
        </is>
      </c>
      <c r="B1543" t="inlineStr">
        <is>
          <t>Cedar Ridge</t>
        </is>
      </c>
      <c r="C1543" s="32" t="n">
        <v>45993.67083333333</v>
      </c>
      <c r="D1543" t="n">
        <v>5</v>
      </c>
      <c r="E1543" t="n">
        <v>103</v>
      </c>
    </row>
    <row r="1544">
      <c r="A1544" t="inlineStr">
        <is>
          <t>ED211735</t>
        </is>
      </c>
      <c r="B1544" t="inlineStr">
        <is>
          <t>Cedar Ridge</t>
        </is>
      </c>
      <c r="C1544" s="32" t="n">
        <v>45993.775</v>
      </c>
      <c r="D1544" t="n">
        <v>5</v>
      </c>
      <c r="E1544" t="n">
        <v>58</v>
      </c>
    </row>
    <row r="1545">
      <c r="A1545" t="inlineStr">
        <is>
          <t>ED211739</t>
        </is>
      </c>
      <c r="B1545" t="inlineStr">
        <is>
          <t>Cedar Ridge</t>
        </is>
      </c>
      <c r="C1545" s="32" t="n">
        <v>45994.00208333333</v>
      </c>
      <c r="D1545" t="n">
        <v>2</v>
      </c>
      <c r="E1545" t="n">
        <v>7</v>
      </c>
    </row>
    <row r="1546">
      <c r="A1546" t="inlineStr">
        <is>
          <t>ED211742</t>
        </is>
      </c>
      <c r="B1546" t="inlineStr">
        <is>
          <t>Cedar Ridge</t>
        </is>
      </c>
      <c r="C1546" s="32" t="n">
        <v>45994.4</v>
      </c>
      <c r="D1546" t="n">
        <v>2</v>
      </c>
      <c r="E1546" t="n">
        <v>53</v>
      </c>
    </row>
    <row r="1547">
      <c r="A1547" t="inlineStr">
        <is>
          <t>ED211744</t>
        </is>
      </c>
      <c r="B1547" t="inlineStr">
        <is>
          <t>Cedar Ridge</t>
        </is>
      </c>
      <c r="C1547" s="32" t="n">
        <v>45994.45208333333</v>
      </c>
      <c r="D1547" t="n">
        <v>3</v>
      </c>
      <c r="E1547" t="n">
        <v>47</v>
      </c>
    </row>
    <row r="1548">
      <c r="A1548" t="inlineStr">
        <is>
          <t>ED211749</t>
        </is>
      </c>
      <c r="B1548" t="inlineStr">
        <is>
          <t>Cedar Ridge</t>
        </is>
      </c>
      <c r="C1548" s="32" t="n">
        <v>45994.56319444445</v>
      </c>
      <c r="D1548" t="n">
        <v>1</v>
      </c>
      <c r="E1548" t="n">
        <v>3</v>
      </c>
    </row>
    <row r="1549">
      <c r="A1549" t="inlineStr">
        <is>
          <t>ED211759</t>
        </is>
      </c>
      <c r="B1549" t="inlineStr">
        <is>
          <t>Cedar Ridge</t>
        </is>
      </c>
      <c r="C1549" s="32" t="n">
        <v>45995.16388888889</v>
      </c>
      <c r="D1549" t="n">
        <v>3</v>
      </c>
      <c r="E1549" t="n">
        <v>15</v>
      </c>
    </row>
    <row r="1550">
      <c r="A1550" t="inlineStr">
        <is>
          <t>ED211764</t>
        </is>
      </c>
      <c r="B1550" t="inlineStr">
        <is>
          <t>Cedar Ridge</t>
        </is>
      </c>
      <c r="C1550" s="32" t="n">
        <v>45995.46180555555</v>
      </c>
      <c r="D1550" t="n">
        <v>5</v>
      </c>
      <c r="E1550" t="n">
        <v>168</v>
      </c>
    </row>
    <row r="1551">
      <c r="A1551" t="inlineStr">
        <is>
          <t>ED211789</t>
        </is>
      </c>
      <c r="B1551" t="inlineStr">
        <is>
          <t>Cedar Ridge</t>
        </is>
      </c>
      <c r="C1551" s="32" t="n">
        <v>45996.64097222222</v>
      </c>
      <c r="D1551" t="n">
        <v>5</v>
      </c>
      <c r="E1551" t="n">
        <v>74</v>
      </c>
    </row>
    <row r="1552">
      <c r="A1552" t="inlineStr">
        <is>
          <t>ED211803</t>
        </is>
      </c>
      <c r="B1552" t="inlineStr">
        <is>
          <t>Cedar Ridge</t>
        </is>
      </c>
      <c r="C1552" s="32" t="n">
        <v>45997.28680555556</v>
      </c>
      <c r="D1552" t="n">
        <v>2</v>
      </c>
      <c r="E1552" t="n">
        <v>23</v>
      </c>
    </row>
    <row r="1553">
      <c r="A1553" t="inlineStr">
        <is>
          <t>ED211812</t>
        </is>
      </c>
      <c r="B1553" t="inlineStr">
        <is>
          <t>Cedar Ridge</t>
        </is>
      </c>
      <c r="C1553" s="32" t="n">
        <v>45997.6875</v>
      </c>
      <c r="D1553" t="n">
        <v>3</v>
      </c>
      <c r="E1553" t="n">
        <v>43</v>
      </c>
    </row>
    <row r="1554">
      <c r="A1554" t="inlineStr">
        <is>
          <t>ED211817</t>
        </is>
      </c>
      <c r="B1554" t="inlineStr">
        <is>
          <t>Cedar Ridge</t>
        </is>
      </c>
      <c r="C1554" s="32" t="n">
        <v>45998.05208333334</v>
      </c>
      <c r="D1554" t="n">
        <v>2</v>
      </c>
      <c r="E1554" t="n">
        <v>7</v>
      </c>
    </row>
    <row r="1555">
      <c r="A1555" t="inlineStr">
        <is>
          <t>ED211818</t>
        </is>
      </c>
      <c r="B1555" t="inlineStr">
        <is>
          <t>Cedar Ridge</t>
        </is>
      </c>
      <c r="C1555" s="32" t="n">
        <v>45998.23958333334</v>
      </c>
      <c r="D1555" t="n">
        <v>4</v>
      </c>
      <c r="E1555" t="n">
        <v>13</v>
      </c>
    </row>
    <row r="1556">
      <c r="A1556" t="inlineStr">
        <is>
          <t>ED211822</t>
        </is>
      </c>
      <c r="B1556" t="inlineStr">
        <is>
          <t>Cedar Ridge</t>
        </is>
      </c>
      <c r="C1556" s="32" t="n">
        <v>45998.40277777778</v>
      </c>
      <c r="D1556" t="n">
        <v>2</v>
      </c>
      <c r="E1556" t="n">
        <v>18</v>
      </c>
    </row>
    <row r="1557">
      <c r="A1557" t="inlineStr">
        <is>
          <t>ED211824</t>
        </is>
      </c>
      <c r="B1557" t="inlineStr">
        <is>
          <t>Cedar Ridge</t>
        </is>
      </c>
      <c r="C1557" s="32" t="n">
        <v>45998.60486111111</v>
      </c>
      <c r="D1557" t="n">
        <v>3</v>
      </c>
      <c r="E1557" t="n">
        <v>17</v>
      </c>
    </row>
    <row r="1558">
      <c r="A1558" t="inlineStr">
        <is>
          <t>ED211825</t>
        </is>
      </c>
      <c r="B1558" t="inlineStr">
        <is>
          <t>Cedar Ridge</t>
        </is>
      </c>
      <c r="C1558" s="32" t="n">
        <v>45998.61875</v>
      </c>
      <c r="D1558" t="n">
        <v>5</v>
      </c>
      <c r="E1558" t="n">
        <v>68</v>
      </c>
    </row>
    <row r="1559">
      <c r="A1559" t="inlineStr">
        <is>
          <t>ED211826</t>
        </is>
      </c>
      <c r="B1559" t="inlineStr">
        <is>
          <t>Cedar Ridge</t>
        </is>
      </c>
      <c r="C1559" s="32" t="n">
        <v>45998.72013888889</v>
      </c>
      <c r="D1559" t="n">
        <v>3</v>
      </c>
      <c r="E1559" t="n">
        <v>104</v>
      </c>
    </row>
    <row r="1560">
      <c r="A1560" t="inlineStr">
        <is>
          <t>ED211827</t>
        </is>
      </c>
      <c r="B1560" t="inlineStr">
        <is>
          <t>Cedar Ridge</t>
        </is>
      </c>
      <c r="C1560" s="32" t="n">
        <v>45998.75555555556</v>
      </c>
      <c r="D1560" t="n">
        <v>3</v>
      </c>
      <c r="E1560" t="n">
        <v>15</v>
      </c>
    </row>
    <row r="1561">
      <c r="A1561" t="inlineStr">
        <is>
          <t>ED211831</t>
        </is>
      </c>
      <c r="B1561" t="inlineStr">
        <is>
          <t>Cedar Ridge</t>
        </is>
      </c>
      <c r="C1561" s="32" t="n">
        <v>45999.15555555555</v>
      </c>
      <c r="D1561" t="n">
        <v>3</v>
      </c>
      <c r="E1561" t="n">
        <v>28</v>
      </c>
    </row>
    <row r="1562">
      <c r="A1562" t="inlineStr">
        <is>
          <t>ED211837</t>
        </is>
      </c>
      <c r="B1562" t="inlineStr">
        <is>
          <t>Cedar Ridge</t>
        </is>
      </c>
      <c r="C1562" s="32" t="n">
        <v>45999.46319444444</v>
      </c>
      <c r="D1562" t="n">
        <v>2</v>
      </c>
      <c r="E1562" t="n">
        <v>26</v>
      </c>
    </row>
    <row r="1563">
      <c r="A1563" t="inlineStr">
        <is>
          <t>ED211856</t>
        </is>
      </c>
      <c r="B1563" t="inlineStr">
        <is>
          <t>Cedar Ridge</t>
        </is>
      </c>
      <c r="C1563" s="32" t="n">
        <v>45999.85347222222</v>
      </c>
      <c r="D1563" t="n">
        <v>1</v>
      </c>
      <c r="E1563" t="n">
        <v>2</v>
      </c>
    </row>
    <row r="1564">
      <c r="A1564" t="inlineStr">
        <is>
          <t>ED211864</t>
        </is>
      </c>
      <c r="B1564" t="inlineStr">
        <is>
          <t>Cedar Ridge</t>
        </is>
      </c>
      <c r="C1564" s="32" t="n">
        <v>46000.38263888889</v>
      </c>
      <c r="D1564" t="n">
        <v>2</v>
      </c>
      <c r="E1564" t="n">
        <v>45</v>
      </c>
    </row>
    <row r="1565">
      <c r="A1565" t="inlineStr">
        <is>
          <t>ED211866</t>
        </is>
      </c>
      <c r="B1565" t="inlineStr">
        <is>
          <t>Cedar Ridge</t>
        </is>
      </c>
      <c r="C1565" s="32" t="n">
        <v>46000.40277777778</v>
      </c>
      <c r="D1565" t="n">
        <v>3</v>
      </c>
      <c r="E1565" t="n">
        <v>39</v>
      </c>
    </row>
    <row r="1566">
      <c r="A1566" t="inlineStr">
        <is>
          <t>ED211886</t>
        </is>
      </c>
      <c r="B1566" t="inlineStr">
        <is>
          <t>Cedar Ridge</t>
        </is>
      </c>
      <c r="C1566" s="32" t="n">
        <v>46001.32847222222</v>
      </c>
      <c r="D1566" t="n">
        <v>2</v>
      </c>
      <c r="E1566" t="n">
        <v>8</v>
      </c>
    </row>
    <row r="1567">
      <c r="A1567" t="inlineStr">
        <is>
          <t>ED211894</t>
        </is>
      </c>
      <c r="B1567" t="inlineStr">
        <is>
          <t>Cedar Ridge</t>
        </is>
      </c>
      <c r="C1567" s="32" t="n">
        <v>46001.64791666667</v>
      </c>
      <c r="D1567" t="n">
        <v>4</v>
      </c>
      <c r="E1567" t="n">
        <v>128</v>
      </c>
    </row>
    <row r="1568">
      <c r="A1568" t="inlineStr">
        <is>
          <t>ED211897</t>
        </is>
      </c>
      <c r="B1568" t="inlineStr">
        <is>
          <t>Cedar Ridge</t>
        </is>
      </c>
      <c r="C1568" s="32" t="n">
        <v>46001.67569444444</v>
      </c>
      <c r="D1568" t="n">
        <v>2</v>
      </c>
      <c r="E1568" t="n">
        <v>39</v>
      </c>
    </row>
    <row r="1569">
      <c r="A1569" t="inlineStr">
        <is>
          <t>ED211905</t>
        </is>
      </c>
      <c r="B1569" t="inlineStr">
        <is>
          <t>Cedar Ridge</t>
        </is>
      </c>
      <c r="C1569" s="32" t="n">
        <v>46002.34930555556</v>
      </c>
      <c r="D1569" t="n">
        <v>2</v>
      </c>
      <c r="E1569" t="n">
        <v>7</v>
      </c>
    </row>
    <row r="1570">
      <c r="A1570" t="inlineStr">
        <is>
          <t>ED211919</t>
        </is>
      </c>
      <c r="B1570" t="inlineStr">
        <is>
          <t>Cedar Ridge</t>
        </is>
      </c>
      <c r="C1570" s="32" t="n">
        <v>46003.28333333333</v>
      </c>
      <c r="D1570" t="n">
        <v>3</v>
      </c>
      <c r="E1570" t="n">
        <v>33</v>
      </c>
    </row>
    <row r="1571">
      <c r="A1571" t="inlineStr">
        <is>
          <t>ED211922</t>
        </is>
      </c>
      <c r="B1571" t="inlineStr">
        <is>
          <t>Cedar Ridge</t>
        </is>
      </c>
      <c r="C1571" s="32" t="n">
        <v>46003.49722222222</v>
      </c>
      <c r="D1571" t="n">
        <v>2</v>
      </c>
      <c r="E1571" t="n">
        <v>48</v>
      </c>
    </row>
    <row r="1572">
      <c r="A1572" t="inlineStr">
        <is>
          <t>ED211928</t>
        </is>
      </c>
      <c r="B1572" t="inlineStr">
        <is>
          <t>Cedar Ridge</t>
        </is>
      </c>
      <c r="C1572" s="32" t="n">
        <v>46003.71527777778</v>
      </c>
      <c r="D1572" t="n">
        <v>4</v>
      </c>
      <c r="E1572" t="n">
        <v>58</v>
      </c>
    </row>
    <row r="1573">
      <c r="A1573" t="inlineStr">
        <is>
          <t>ED211929</t>
        </is>
      </c>
      <c r="B1573" t="inlineStr">
        <is>
          <t>Cedar Ridge</t>
        </is>
      </c>
      <c r="C1573" s="32" t="n">
        <v>46003.74444444444</v>
      </c>
      <c r="D1573" t="n">
        <v>2</v>
      </c>
      <c r="E1573" t="n">
        <v>28</v>
      </c>
    </row>
    <row r="1574">
      <c r="A1574" t="inlineStr">
        <is>
          <t>ED211937</t>
        </is>
      </c>
      <c r="B1574" t="inlineStr">
        <is>
          <t>Cedar Ridge</t>
        </is>
      </c>
      <c r="C1574" s="32" t="n">
        <v>46004.24375</v>
      </c>
      <c r="D1574" t="n">
        <v>2</v>
      </c>
      <c r="E1574" t="n">
        <v>15</v>
      </c>
    </row>
    <row r="1575">
      <c r="A1575" t="inlineStr">
        <is>
          <t>ED211943</t>
        </is>
      </c>
      <c r="B1575" t="inlineStr">
        <is>
          <t>Cedar Ridge</t>
        </is>
      </c>
      <c r="C1575" s="32" t="n">
        <v>46004.5375</v>
      </c>
      <c r="D1575" t="n">
        <v>3</v>
      </c>
      <c r="E1575" t="n">
        <v>34</v>
      </c>
    </row>
    <row r="1576">
      <c r="A1576" t="inlineStr">
        <is>
          <t>ED211945</t>
        </is>
      </c>
      <c r="B1576" t="inlineStr">
        <is>
          <t>Cedar Ridge</t>
        </is>
      </c>
      <c r="C1576" s="32" t="n">
        <v>46004.63194444445</v>
      </c>
      <c r="D1576" t="n">
        <v>3</v>
      </c>
      <c r="E1576" t="n">
        <v>68</v>
      </c>
    </row>
    <row r="1577">
      <c r="A1577" t="inlineStr">
        <is>
          <t>ED211949</t>
        </is>
      </c>
      <c r="B1577" t="inlineStr">
        <is>
          <t>Cedar Ridge</t>
        </is>
      </c>
      <c r="C1577" s="32" t="n">
        <v>46004.79097222222</v>
      </c>
      <c r="D1577" t="n">
        <v>4</v>
      </c>
      <c r="E1577" t="n">
        <v>31</v>
      </c>
    </row>
    <row r="1578">
      <c r="A1578" t="inlineStr">
        <is>
          <t>ED211958</t>
        </is>
      </c>
      <c r="B1578" t="inlineStr">
        <is>
          <t>Cedar Ridge</t>
        </is>
      </c>
      <c r="C1578" s="32" t="n">
        <v>46005.61458333334</v>
      </c>
      <c r="D1578" t="n">
        <v>4</v>
      </c>
      <c r="E1578" t="n">
        <v>49</v>
      </c>
    </row>
    <row r="1579">
      <c r="A1579" t="inlineStr">
        <is>
          <t>ED211960</t>
        </is>
      </c>
      <c r="B1579" t="inlineStr">
        <is>
          <t>Cedar Ridge</t>
        </is>
      </c>
      <c r="C1579" s="32" t="n">
        <v>46005.71666666667</v>
      </c>
      <c r="D1579" t="n">
        <v>3</v>
      </c>
      <c r="E1579" t="n">
        <v>99</v>
      </c>
    </row>
    <row r="1580">
      <c r="A1580" t="inlineStr">
        <is>
          <t>ED211972</t>
        </is>
      </c>
      <c r="B1580" t="inlineStr">
        <is>
          <t>Cedar Ridge</t>
        </is>
      </c>
      <c r="C1580" s="32" t="n">
        <v>46006.34444444445</v>
      </c>
      <c r="D1580" t="n">
        <v>2</v>
      </c>
      <c r="E1580" t="n">
        <v>11</v>
      </c>
    </row>
    <row r="1581">
      <c r="A1581" t="inlineStr">
        <is>
          <t>ED211977</t>
        </is>
      </c>
      <c r="B1581" t="inlineStr">
        <is>
          <t>Cedar Ridge</t>
        </is>
      </c>
      <c r="C1581" s="32" t="n">
        <v>46006.4375</v>
      </c>
      <c r="D1581" t="n">
        <v>4</v>
      </c>
      <c r="E1581" t="n">
        <v>31</v>
      </c>
    </row>
    <row r="1582">
      <c r="A1582" t="inlineStr">
        <is>
          <t>ED211981</t>
        </is>
      </c>
      <c r="B1582" t="inlineStr">
        <is>
          <t>Cedar Ridge</t>
        </is>
      </c>
      <c r="C1582" s="32" t="n">
        <v>46006.52083333334</v>
      </c>
      <c r="D1582" t="n">
        <v>4</v>
      </c>
      <c r="E1582" t="n">
        <v>37</v>
      </c>
    </row>
    <row r="1583">
      <c r="A1583" t="inlineStr">
        <is>
          <t>ED211985</t>
        </is>
      </c>
      <c r="B1583" t="inlineStr">
        <is>
          <t>Cedar Ridge</t>
        </is>
      </c>
      <c r="C1583" s="32" t="n">
        <v>46006.75902777778</v>
      </c>
      <c r="D1583" t="n">
        <v>4</v>
      </c>
      <c r="E1583" t="n">
        <v>124</v>
      </c>
    </row>
    <row r="1584">
      <c r="A1584" t="inlineStr">
        <is>
          <t>ED211988</t>
        </is>
      </c>
      <c r="B1584" t="inlineStr">
        <is>
          <t>Cedar Ridge</t>
        </is>
      </c>
      <c r="C1584" s="32" t="n">
        <v>46006.94791666666</v>
      </c>
      <c r="D1584" t="n">
        <v>2</v>
      </c>
      <c r="E1584" t="n">
        <v>10</v>
      </c>
    </row>
    <row r="1585">
      <c r="A1585" t="inlineStr">
        <is>
          <t>ED212009</t>
        </is>
      </c>
      <c r="B1585" t="inlineStr">
        <is>
          <t>Cedar Ridge</t>
        </is>
      </c>
      <c r="C1585" s="32" t="n">
        <v>46007.76736111111</v>
      </c>
      <c r="D1585" t="n">
        <v>3</v>
      </c>
      <c r="E1585" t="n">
        <v>30</v>
      </c>
    </row>
    <row r="1586">
      <c r="A1586" t="inlineStr">
        <is>
          <t>ED212010</t>
        </is>
      </c>
      <c r="B1586" t="inlineStr">
        <is>
          <t>Cedar Ridge</t>
        </is>
      </c>
      <c r="C1586" s="32" t="n">
        <v>46007.77708333333</v>
      </c>
      <c r="D1586" t="n">
        <v>2</v>
      </c>
      <c r="E1586" t="n">
        <v>50</v>
      </c>
    </row>
    <row r="1587">
      <c r="A1587" t="inlineStr">
        <is>
          <t>ED212012</t>
        </is>
      </c>
      <c r="B1587" t="inlineStr">
        <is>
          <t>Cedar Ridge</t>
        </is>
      </c>
      <c r="C1587" s="32" t="n">
        <v>46007.86041666667</v>
      </c>
      <c r="D1587" t="n">
        <v>4</v>
      </c>
      <c r="E1587" t="n">
        <v>32</v>
      </c>
    </row>
    <row r="1588">
      <c r="A1588" t="inlineStr">
        <is>
          <t>ED212014</t>
        </is>
      </c>
      <c r="B1588" t="inlineStr">
        <is>
          <t>Cedar Ridge</t>
        </is>
      </c>
      <c r="C1588" s="32" t="n">
        <v>46007.88819444444</v>
      </c>
      <c r="D1588" t="n">
        <v>3</v>
      </c>
      <c r="E1588" t="n">
        <v>104</v>
      </c>
    </row>
    <row r="1589">
      <c r="A1589" t="inlineStr">
        <is>
          <t>ED212029</t>
        </is>
      </c>
      <c r="B1589" t="inlineStr">
        <is>
          <t>Cedar Ridge</t>
        </is>
      </c>
      <c r="C1589" s="32" t="n">
        <v>46008.67013888889</v>
      </c>
      <c r="D1589" t="n">
        <v>3</v>
      </c>
      <c r="E1589" t="n">
        <v>89</v>
      </c>
    </row>
    <row r="1590">
      <c r="A1590" t="inlineStr">
        <is>
          <t>ED212041</t>
        </is>
      </c>
      <c r="B1590" t="inlineStr">
        <is>
          <t>Cedar Ridge</t>
        </is>
      </c>
      <c r="C1590" s="32" t="n">
        <v>46009.04722222222</v>
      </c>
      <c r="D1590" t="n">
        <v>2</v>
      </c>
      <c r="E1590" t="n">
        <v>21</v>
      </c>
    </row>
    <row r="1591">
      <c r="A1591" t="inlineStr">
        <is>
          <t>ED212043</t>
        </is>
      </c>
      <c r="B1591" t="inlineStr">
        <is>
          <t>Cedar Ridge</t>
        </is>
      </c>
      <c r="C1591" s="32" t="n">
        <v>46009.11180555556</v>
      </c>
      <c r="D1591" t="n">
        <v>3</v>
      </c>
      <c r="E1591" t="n">
        <v>21</v>
      </c>
    </row>
    <row r="1592">
      <c r="A1592" t="inlineStr">
        <is>
          <t>ED212065</t>
        </is>
      </c>
      <c r="B1592" t="inlineStr">
        <is>
          <t>Cedar Ridge</t>
        </is>
      </c>
      <c r="C1592" s="32" t="n">
        <v>46010.40694444445</v>
      </c>
      <c r="D1592" t="n">
        <v>4</v>
      </c>
      <c r="E1592" t="n">
        <v>123</v>
      </c>
    </row>
    <row r="1593">
      <c r="A1593" t="inlineStr">
        <is>
          <t>ED212066</t>
        </is>
      </c>
      <c r="B1593" t="inlineStr">
        <is>
          <t>Cedar Ridge</t>
        </is>
      </c>
      <c r="C1593" s="32" t="n">
        <v>46010.43055555555</v>
      </c>
      <c r="D1593" t="n">
        <v>4</v>
      </c>
      <c r="E1593" t="n">
        <v>77</v>
      </c>
    </row>
    <row r="1594">
      <c r="A1594" t="inlineStr">
        <is>
          <t>ED212079</t>
        </is>
      </c>
      <c r="B1594" t="inlineStr">
        <is>
          <t>Cedar Ridge</t>
        </is>
      </c>
      <c r="C1594" s="32" t="n">
        <v>46010.80902777778</v>
      </c>
      <c r="D1594" t="n">
        <v>3</v>
      </c>
      <c r="E1594" t="n">
        <v>93</v>
      </c>
    </row>
    <row r="1595">
      <c r="A1595" t="inlineStr">
        <is>
          <t>ED212080</t>
        </is>
      </c>
      <c r="B1595" t="inlineStr">
        <is>
          <t>Cedar Ridge</t>
        </is>
      </c>
      <c r="C1595" s="32" t="n">
        <v>46010.8125</v>
      </c>
      <c r="D1595" t="n">
        <v>4</v>
      </c>
      <c r="E1595" t="n">
        <v>65</v>
      </c>
    </row>
    <row r="1596">
      <c r="A1596" t="inlineStr">
        <is>
          <t>ED212081</t>
        </is>
      </c>
      <c r="B1596" t="inlineStr">
        <is>
          <t>Cedar Ridge</t>
        </is>
      </c>
      <c r="C1596" s="32" t="n">
        <v>46010.82361111111</v>
      </c>
      <c r="D1596" t="n">
        <v>3</v>
      </c>
      <c r="E1596" t="n">
        <v>178</v>
      </c>
    </row>
    <row r="1597">
      <c r="A1597" t="inlineStr">
        <is>
          <t>ED212086</t>
        </is>
      </c>
      <c r="B1597" t="inlineStr">
        <is>
          <t>Cedar Ridge</t>
        </is>
      </c>
      <c r="C1597" s="32" t="n">
        <v>46011.26805555556</v>
      </c>
      <c r="D1597" t="n">
        <v>2</v>
      </c>
      <c r="E1597" t="n">
        <v>8</v>
      </c>
    </row>
    <row r="1598">
      <c r="A1598" t="inlineStr">
        <is>
          <t>ED212089</t>
        </is>
      </c>
      <c r="B1598" t="inlineStr">
        <is>
          <t>Cedar Ridge</t>
        </is>
      </c>
      <c r="C1598" s="32" t="n">
        <v>46011.51041666666</v>
      </c>
      <c r="D1598" t="n">
        <v>2</v>
      </c>
      <c r="E1598" t="n">
        <v>8</v>
      </c>
    </row>
    <row r="1599">
      <c r="A1599" t="inlineStr">
        <is>
          <t>ED212101</t>
        </is>
      </c>
      <c r="B1599" t="inlineStr">
        <is>
          <t>Cedar Ridge</t>
        </is>
      </c>
      <c r="C1599" s="32" t="n">
        <v>46012.37083333333</v>
      </c>
      <c r="D1599" t="n">
        <v>3</v>
      </c>
      <c r="E1599" t="n">
        <v>33</v>
      </c>
    </row>
    <row r="1600">
      <c r="A1600" t="inlineStr">
        <is>
          <t>ED212103</t>
        </is>
      </c>
      <c r="B1600" t="inlineStr">
        <is>
          <t>Cedar Ridge</t>
        </is>
      </c>
      <c r="C1600" s="32" t="n">
        <v>46012.3875</v>
      </c>
      <c r="D1600" t="n">
        <v>4</v>
      </c>
      <c r="E1600" t="n">
        <v>60</v>
      </c>
    </row>
    <row r="1601">
      <c r="A1601" t="inlineStr">
        <is>
          <t>ED212105</t>
        </is>
      </c>
      <c r="B1601" t="inlineStr">
        <is>
          <t>Cedar Ridge</t>
        </is>
      </c>
      <c r="C1601" s="32" t="n">
        <v>46012.48888888889</v>
      </c>
      <c r="D1601" t="n">
        <v>4</v>
      </c>
      <c r="E1601" t="n">
        <v>94</v>
      </c>
    </row>
    <row r="1602">
      <c r="A1602" t="inlineStr">
        <is>
          <t>ED212107</t>
        </is>
      </c>
      <c r="B1602" t="inlineStr">
        <is>
          <t>Cedar Ridge</t>
        </is>
      </c>
      <c r="C1602" s="32" t="n">
        <v>46012.51111111111</v>
      </c>
      <c r="D1602" t="n">
        <v>4</v>
      </c>
    </row>
    <row r="1603">
      <c r="A1603" t="inlineStr">
        <is>
          <t>ED212118</t>
        </is>
      </c>
      <c r="B1603" t="inlineStr">
        <is>
          <t>Cedar Ridge</t>
        </is>
      </c>
      <c r="C1603" s="32" t="n">
        <v>46013.27569444444</v>
      </c>
      <c r="D1603" t="n">
        <v>4</v>
      </c>
      <c r="E1603" t="n">
        <v>107</v>
      </c>
    </row>
    <row r="1604">
      <c r="A1604" t="inlineStr">
        <is>
          <t>ED212122</t>
        </is>
      </c>
      <c r="B1604" t="inlineStr">
        <is>
          <t>Cedar Ridge</t>
        </is>
      </c>
      <c r="C1604" s="32" t="n">
        <v>46013.49513888889</v>
      </c>
      <c r="D1604" t="n">
        <v>2</v>
      </c>
      <c r="E1604" t="n">
        <v>30</v>
      </c>
    </row>
    <row r="1605">
      <c r="A1605" t="inlineStr">
        <is>
          <t>ED212131</t>
        </is>
      </c>
      <c r="B1605" t="inlineStr">
        <is>
          <t>Cedar Ridge</t>
        </is>
      </c>
      <c r="C1605" s="32" t="n">
        <v>46013.71180555555</v>
      </c>
      <c r="D1605" t="n">
        <v>3</v>
      </c>
      <c r="E1605" t="n">
        <v>69</v>
      </c>
    </row>
    <row r="1606">
      <c r="A1606" t="inlineStr">
        <is>
          <t>ED212132</t>
        </is>
      </c>
      <c r="B1606" t="inlineStr">
        <is>
          <t>Cedar Ridge</t>
        </is>
      </c>
      <c r="C1606" s="32" t="n">
        <v>46013.72777777778</v>
      </c>
      <c r="D1606" t="n">
        <v>3</v>
      </c>
      <c r="E1606" t="n">
        <v>17</v>
      </c>
    </row>
    <row r="1607">
      <c r="A1607" t="inlineStr">
        <is>
          <t>ED212161</t>
        </is>
      </c>
      <c r="B1607" t="inlineStr">
        <is>
          <t>Cedar Ridge</t>
        </is>
      </c>
      <c r="C1607" s="32" t="n">
        <v>46014.85347222222</v>
      </c>
      <c r="D1607" t="n">
        <v>4</v>
      </c>
      <c r="E1607" t="n">
        <v>167</v>
      </c>
    </row>
    <row r="1608">
      <c r="A1608" t="inlineStr">
        <is>
          <t>ED212164</t>
        </is>
      </c>
      <c r="B1608" t="inlineStr">
        <is>
          <t>Cedar Ridge</t>
        </is>
      </c>
      <c r="C1608" s="32" t="n">
        <v>46014.87638888889</v>
      </c>
      <c r="D1608" t="n">
        <v>3</v>
      </c>
      <c r="E1608" t="n">
        <v>69</v>
      </c>
    </row>
    <row r="1609">
      <c r="A1609" t="inlineStr">
        <is>
          <t>ED212175</t>
        </is>
      </c>
      <c r="B1609" t="inlineStr">
        <is>
          <t>Cedar Ridge</t>
        </is>
      </c>
      <c r="C1609" s="32" t="n">
        <v>46015.57847222222</v>
      </c>
      <c r="D1609" t="n">
        <v>3</v>
      </c>
      <c r="E1609" t="n">
        <v>95</v>
      </c>
    </row>
    <row r="1610">
      <c r="A1610" t="inlineStr">
        <is>
          <t>ED212183</t>
        </is>
      </c>
      <c r="B1610" t="inlineStr">
        <is>
          <t>Cedar Ridge</t>
        </is>
      </c>
      <c r="C1610" s="32" t="n">
        <v>46016.1</v>
      </c>
      <c r="D1610" t="n">
        <v>2</v>
      </c>
      <c r="E1610" t="n">
        <v>10</v>
      </c>
    </row>
    <row r="1611">
      <c r="A1611" t="inlineStr">
        <is>
          <t>ED212185</t>
        </is>
      </c>
      <c r="B1611" t="inlineStr">
        <is>
          <t>Cedar Ridge</t>
        </is>
      </c>
      <c r="C1611" s="32" t="n">
        <v>46016.23888888889</v>
      </c>
      <c r="D1611" t="n">
        <v>5</v>
      </c>
      <c r="E1611" t="n">
        <v>42</v>
      </c>
    </row>
    <row r="1612">
      <c r="A1612" t="inlineStr">
        <is>
          <t>ED212195</t>
        </is>
      </c>
      <c r="B1612" t="inlineStr">
        <is>
          <t>Cedar Ridge</t>
        </is>
      </c>
      <c r="C1612" s="32" t="n">
        <v>46016.525</v>
      </c>
      <c r="D1612" t="n">
        <v>4</v>
      </c>
      <c r="E1612" t="n">
        <v>27</v>
      </c>
    </row>
    <row r="1613">
      <c r="A1613" t="inlineStr">
        <is>
          <t>ED212198</t>
        </is>
      </c>
      <c r="B1613" t="inlineStr">
        <is>
          <t>Cedar Ridge</t>
        </is>
      </c>
      <c r="C1613" s="32" t="n">
        <v>46016.61944444444</v>
      </c>
      <c r="D1613" t="n">
        <v>4</v>
      </c>
      <c r="E1613" t="n">
        <v>160</v>
      </c>
    </row>
    <row r="1614">
      <c r="A1614" t="inlineStr">
        <is>
          <t>ED212199</t>
        </is>
      </c>
      <c r="B1614" t="inlineStr">
        <is>
          <t>Cedar Ridge</t>
        </is>
      </c>
      <c r="C1614" s="32" t="n">
        <v>46016.62013888889</v>
      </c>
      <c r="D1614" t="n">
        <v>5</v>
      </c>
      <c r="E1614" t="n">
        <v>72</v>
      </c>
    </row>
    <row r="1615">
      <c r="A1615" t="inlineStr">
        <is>
          <t>ED212201</t>
        </is>
      </c>
      <c r="B1615" t="inlineStr">
        <is>
          <t>Cedar Ridge</t>
        </is>
      </c>
      <c r="C1615" s="32" t="n">
        <v>46016.66527777778</v>
      </c>
      <c r="D1615" t="n">
        <v>3</v>
      </c>
      <c r="E1615" t="n">
        <v>79</v>
      </c>
    </row>
    <row r="1616">
      <c r="A1616" t="inlineStr">
        <is>
          <t>ED212209</t>
        </is>
      </c>
      <c r="B1616" t="inlineStr">
        <is>
          <t>Cedar Ridge</t>
        </is>
      </c>
      <c r="C1616" s="32" t="n">
        <v>46017.00208333333</v>
      </c>
      <c r="D1616" t="n">
        <v>2</v>
      </c>
      <c r="E1616" t="n">
        <v>13</v>
      </c>
    </row>
    <row r="1617">
      <c r="A1617" t="inlineStr">
        <is>
          <t>ED212214</t>
        </is>
      </c>
      <c r="B1617" t="inlineStr">
        <is>
          <t>Cedar Ridge</t>
        </is>
      </c>
      <c r="C1617" s="32" t="n">
        <v>46017.37569444445</v>
      </c>
      <c r="D1617" t="n">
        <v>4</v>
      </c>
      <c r="E1617" t="n">
        <v>49</v>
      </c>
    </row>
    <row r="1618">
      <c r="A1618" t="inlineStr">
        <is>
          <t>ED212222</t>
        </is>
      </c>
      <c r="B1618" t="inlineStr">
        <is>
          <t>Cedar Ridge</t>
        </is>
      </c>
      <c r="C1618" s="32" t="n">
        <v>46018.11597222222</v>
      </c>
      <c r="D1618" t="n">
        <v>3</v>
      </c>
      <c r="E1618" t="n">
        <v>20</v>
      </c>
    </row>
    <row r="1619">
      <c r="A1619" t="inlineStr">
        <is>
          <t>ED212233</t>
        </is>
      </c>
      <c r="B1619" t="inlineStr">
        <is>
          <t>Cedar Ridge</t>
        </is>
      </c>
      <c r="C1619" s="32" t="n">
        <v>46018.62361111111</v>
      </c>
      <c r="D1619" t="n">
        <v>3</v>
      </c>
      <c r="E1619" t="n">
        <v>41</v>
      </c>
    </row>
    <row r="1620">
      <c r="A1620" t="inlineStr">
        <is>
          <t>ED212239</t>
        </is>
      </c>
      <c r="B1620" t="inlineStr">
        <is>
          <t>Cedar Ridge</t>
        </is>
      </c>
      <c r="C1620" s="32" t="n">
        <v>46019.37430555555</v>
      </c>
      <c r="D1620" t="n">
        <v>4</v>
      </c>
      <c r="E1620" t="n">
        <v>92</v>
      </c>
    </row>
    <row r="1621">
      <c r="A1621" t="inlineStr">
        <is>
          <t>ED212242</t>
        </is>
      </c>
      <c r="B1621" t="inlineStr">
        <is>
          <t>Cedar Ridge</t>
        </is>
      </c>
      <c r="C1621" s="32" t="n">
        <v>46019.59027777778</v>
      </c>
      <c r="D1621" t="n">
        <v>4</v>
      </c>
      <c r="E1621" t="n">
        <v>41</v>
      </c>
    </row>
    <row r="1622">
      <c r="A1622" t="inlineStr">
        <is>
          <t>ED212254</t>
        </is>
      </c>
      <c r="B1622" t="inlineStr">
        <is>
          <t>Cedar Ridge</t>
        </is>
      </c>
      <c r="C1622" s="32" t="n">
        <v>46020.52083333334</v>
      </c>
      <c r="D1622" t="n">
        <v>3</v>
      </c>
      <c r="E1622" t="n">
        <v>175</v>
      </c>
    </row>
    <row r="1623">
      <c r="A1623" t="inlineStr">
        <is>
          <t>ED212256</t>
        </is>
      </c>
      <c r="B1623" t="inlineStr">
        <is>
          <t>Cedar Ridge</t>
        </is>
      </c>
      <c r="C1623" s="32" t="n">
        <v>46020.64444444444</v>
      </c>
      <c r="D1623" t="n">
        <v>4</v>
      </c>
      <c r="E1623" t="n">
        <v>75</v>
      </c>
    </row>
    <row r="1624">
      <c r="A1624" t="inlineStr">
        <is>
          <t>ED212257</t>
        </is>
      </c>
      <c r="B1624" t="inlineStr">
        <is>
          <t>Cedar Ridge</t>
        </is>
      </c>
      <c r="C1624" s="32" t="n">
        <v>46020.66388888889</v>
      </c>
      <c r="D1624" t="n">
        <v>4</v>
      </c>
      <c r="E1624" t="n">
        <v>69</v>
      </c>
    </row>
    <row r="1625">
      <c r="A1625" t="inlineStr">
        <is>
          <t>ED212264</t>
        </is>
      </c>
      <c r="B1625" t="inlineStr">
        <is>
          <t>Cedar Ridge</t>
        </is>
      </c>
      <c r="C1625" s="32" t="n">
        <v>46020.88541666666</v>
      </c>
      <c r="D1625" t="n">
        <v>5</v>
      </c>
      <c r="E1625" t="n">
        <v>74</v>
      </c>
    </row>
    <row r="1626">
      <c r="A1626" t="inlineStr">
        <is>
          <t>ED212272</t>
        </is>
      </c>
      <c r="B1626" t="inlineStr">
        <is>
          <t>Cedar Ridge</t>
        </is>
      </c>
      <c r="C1626" s="32" t="n">
        <v>46021.48055555556</v>
      </c>
      <c r="D1626" t="n">
        <v>3</v>
      </c>
      <c r="E1626" t="n">
        <v>75</v>
      </c>
    </row>
    <row r="1627">
      <c r="A1627" t="inlineStr">
        <is>
          <t>ED212275</t>
        </is>
      </c>
      <c r="B1627" t="inlineStr">
        <is>
          <t>Cedar Ridge</t>
        </is>
      </c>
      <c r="C1627" s="32" t="n">
        <v>46021.72222222222</v>
      </c>
      <c r="D1627" t="n">
        <v>3</v>
      </c>
      <c r="E1627" t="n">
        <v>55</v>
      </c>
    </row>
    <row r="1628">
      <c r="A1628" t="inlineStr">
        <is>
          <t>ED212276</t>
        </is>
      </c>
      <c r="B1628" t="inlineStr">
        <is>
          <t>Cedar Ridge</t>
        </is>
      </c>
      <c r="C1628" s="32" t="n">
        <v>46021.76666666667</v>
      </c>
      <c r="D1628" t="n">
        <v>3</v>
      </c>
      <c r="E1628" t="n">
        <v>31</v>
      </c>
    </row>
    <row r="1629">
      <c r="A1629" t="inlineStr">
        <is>
          <t>ED212289</t>
        </is>
      </c>
      <c r="B1629" t="inlineStr">
        <is>
          <t>Cedar Ridge</t>
        </is>
      </c>
      <c r="C1629" s="32" t="n">
        <v>46022.65</v>
      </c>
      <c r="D1629" t="n">
        <v>3</v>
      </c>
      <c r="E1629" t="n">
        <v>57</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732"/>
  <sheetViews>
    <sheetView tabSelected="0"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2" customWidth="1" min="4" max="4"/>
    <col width="12" customWidth="1" min="5" max="5"/>
    <col width="9" customWidth="1" min="6" max="6"/>
  </cols>
  <sheetData>
    <row r="1">
      <c r="A1" s="27" t="inlineStr">
        <is>
          <t>Date</t>
        </is>
      </c>
      <c r="B1" s="27" t="inlineStr">
        <is>
          <t>Weekday</t>
        </is>
      </c>
      <c r="C1" s="27" t="inlineStr">
        <is>
          <t>Memorial</t>
        </is>
      </c>
      <c r="D1" s="27" t="inlineStr">
        <is>
          <t>AshbyFalls</t>
        </is>
      </c>
      <c r="E1" s="27" t="inlineStr">
        <is>
          <t>CedarRidge</t>
        </is>
      </c>
      <c r="F1" s="27" t="inlineStr">
        <is>
          <t>AllEDs</t>
        </is>
      </c>
    </row>
    <row r="2">
      <c r="A2" s="28" t="n">
        <v>45292</v>
      </c>
      <c r="B2" t="inlineStr">
        <is>
          <t>Mon</t>
        </is>
      </c>
      <c r="C2" t="n">
        <v>12</v>
      </c>
      <c r="D2" t="n">
        <v>1</v>
      </c>
      <c r="E2" t="n">
        <v>4</v>
      </c>
      <c r="F2" t="n">
        <v>17</v>
      </c>
    </row>
    <row r="3">
      <c r="A3" s="28" t="n">
        <v>45293</v>
      </c>
      <c r="B3" t="inlineStr">
        <is>
          <t>Tue</t>
        </is>
      </c>
      <c r="C3" t="n">
        <v>16</v>
      </c>
      <c r="D3" t="n">
        <v>4</v>
      </c>
      <c r="E3" t="n">
        <v>2</v>
      </c>
      <c r="F3" t="n">
        <v>22</v>
      </c>
    </row>
    <row r="4">
      <c r="A4" s="28" t="n">
        <v>45294</v>
      </c>
      <c r="B4" t="inlineStr">
        <is>
          <t>Wed</t>
        </is>
      </c>
      <c r="C4" t="n">
        <v>21</v>
      </c>
      <c r="D4" t="n">
        <v>2</v>
      </c>
      <c r="E4" t="n">
        <v>2</v>
      </c>
      <c r="F4" t="n">
        <v>25</v>
      </c>
    </row>
    <row r="5">
      <c r="A5" s="28" t="n">
        <v>45295</v>
      </c>
      <c r="B5" t="inlineStr">
        <is>
          <t>Thu</t>
        </is>
      </c>
      <c r="C5" t="n">
        <v>19</v>
      </c>
      <c r="D5" t="n">
        <v>3</v>
      </c>
      <c r="E5" t="n">
        <v>1</v>
      </c>
      <c r="F5" t="n">
        <v>23</v>
      </c>
    </row>
    <row r="6">
      <c r="A6" s="28" t="n">
        <v>45296</v>
      </c>
      <c r="B6" t="inlineStr">
        <is>
          <t>Fri</t>
        </is>
      </c>
      <c r="C6" t="n">
        <v>11</v>
      </c>
      <c r="D6" t="n">
        <v>6</v>
      </c>
      <c r="E6" t="n">
        <v>6</v>
      </c>
      <c r="F6" t="n">
        <v>23</v>
      </c>
    </row>
    <row r="7">
      <c r="A7" s="28" t="n">
        <v>45297</v>
      </c>
      <c r="B7" t="inlineStr">
        <is>
          <t>Sat</t>
        </is>
      </c>
      <c r="C7" t="n">
        <v>15</v>
      </c>
      <c r="D7" t="n">
        <v>2</v>
      </c>
      <c r="E7" t="n">
        <v>1</v>
      </c>
      <c r="F7" t="n">
        <v>18</v>
      </c>
    </row>
    <row r="8">
      <c r="A8" s="28" t="n">
        <v>45298</v>
      </c>
      <c r="B8" t="inlineStr">
        <is>
          <t>Sun</t>
        </is>
      </c>
      <c r="C8" t="n">
        <v>13</v>
      </c>
      <c r="D8" t="n">
        <v>5</v>
      </c>
      <c r="E8" t="n">
        <v>1</v>
      </c>
      <c r="F8" t="n">
        <v>19</v>
      </c>
    </row>
    <row r="9">
      <c r="A9" s="28" t="n">
        <v>45299</v>
      </c>
      <c r="B9" t="inlineStr">
        <is>
          <t>Mon</t>
        </is>
      </c>
      <c r="C9" t="n">
        <v>17</v>
      </c>
      <c r="D9" t="n">
        <v>4</v>
      </c>
      <c r="E9" t="n">
        <v>2</v>
      </c>
      <c r="F9" t="n">
        <v>23</v>
      </c>
    </row>
    <row r="10">
      <c r="A10" s="28" t="n">
        <v>45300</v>
      </c>
      <c r="B10" t="inlineStr">
        <is>
          <t>Tue</t>
        </is>
      </c>
      <c r="C10" t="n">
        <v>10</v>
      </c>
      <c r="D10" t="n">
        <v>4</v>
      </c>
      <c r="E10" t="n">
        <v>1</v>
      </c>
      <c r="F10" t="n">
        <v>15</v>
      </c>
    </row>
    <row r="11">
      <c r="A11" s="28" t="n">
        <v>45301</v>
      </c>
      <c r="B11" t="inlineStr">
        <is>
          <t>Wed</t>
        </is>
      </c>
      <c r="C11" t="n">
        <v>7</v>
      </c>
      <c r="D11" t="n">
        <v>2</v>
      </c>
      <c r="E11" t="n">
        <v>3</v>
      </c>
      <c r="F11" t="n">
        <v>12</v>
      </c>
    </row>
    <row r="12">
      <c r="A12" s="28" t="n">
        <v>45302</v>
      </c>
      <c r="B12" t="inlineStr">
        <is>
          <t>Thu</t>
        </is>
      </c>
      <c r="C12" t="n">
        <v>8</v>
      </c>
      <c r="D12" t="n">
        <v>2</v>
      </c>
      <c r="E12" t="n">
        <v>5</v>
      </c>
      <c r="F12" t="n">
        <v>15</v>
      </c>
    </row>
    <row r="13">
      <c r="A13" s="28" t="n">
        <v>45303</v>
      </c>
      <c r="B13" t="inlineStr">
        <is>
          <t>Fri</t>
        </is>
      </c>
      <c r="C13" t="n">
        <v>13</v>
      </c>
      <c r="D13" t="n">
        <v>1</v>
      </c>
      <c r="E13" t="n">
        <v>5</v>
      </c>
      <c r="F13" t="n">
        <v>19</v>
      </c>
    </row>
    <row r="14">
      <c r="A14" s="28" t="n">
        <v>45304</v>
      </c>
      <c r="B14" t="inlineStr">
        <is>
          <t>Sat</t>
        </is>
      </c>
      <c r="C14" t="n">
        <v>15</v>
      </c>
      <c r="D14" t="n">
        <v>4</v>
      </c>
      <c r="E14" t="n">
        <v>6</v>
      </c>
      <c r="F14" t="n">
        <v>25</v>
      </c>
    </row>
    <row r="15">
      <c r="A15" s="28" t="n">
        <v>45305</v>
      </c>
      <c r="B15" t="inlineStr">
        <is>
          <t>Sun</t>
        </is>
      </c>
      <c r="C15" t="n">
        <v>18</v>
      </c>
      <c r="D15" t="n">
        <v>0</v>
      </c>
      <c r="E15" t="n">
        <v>2</v>
      </c>
      <c r="F15" t="n">
        <v>20</v>
      </c>
    </row>
    <row r="16">
      <c r="A16" s="28" t="n">
        <v>45306</v>
      </c>
      <c r="B16" t="inlineStr">
        <is>
          <t>Mon</t>
        </is>
      </c>
      <c r="C16" t="n">
        <v>18</v>
      </c>
      <c r="D16" t="n">
        <v>5</v>
      </c>
      <c r="E16" t="n">
        <v>5</v>
      </c>
      <c r="F16" t="n">
        <v>28</v>
      </c>
    </row>
    <row r="17">
      <c r="A17" s="28" t="n">
        <v>45307</v>
      </c>
      <c r="B17" t="inlineStr">
        <is>
          <t>Tue</t>
        </is>
      </c>
      <c r="C17" t="n">
        <v>14</v>
      </c>
      <c r="D17" t="n">
        <v>3</v>
      </c>
      <c r="E17" t="n">
        <v>2</v>
      </c>
      <c r="F17" t="n">
        <v>19</v>
      </c>
    </row>
    <row r="18">
      <c r="A18" s="28" t="n">
        <v>45308</v>
      </c>
      <c r="B18" t="inlineStr">
        <is>
          <t>Wed</t>
        </is>
      </c>
      <c r="C18" t="n">
        <v>17</v>
      </c>
      <c r="D18" t="n">
        <v>3</v>
      </c>
      <c r="E18" t="n">
        <v>3</v>
      </c>
      <c r="F18" t="n">
        <v>23</v>
      </c>
    </row>
    <row r="19">
      <c r="A19" s="28" t="n">
        <v>45309</v>
      </c>
      <c r="B19" t="inlineStr">
        <is>
          <t>Thu</t>
        </is>
      </c>
      <c r="C19" t="n">
        <v>15</v>
      </c>
      <c r="D19" t="n">
        <v>2</v>
      </c>
      <c r="E19" t="n">
        <v>4</v>
      </c>
      <c r="F19" t="n">
        <v>21</v>
      </c>
    </row>
    <row r="20">
      <c r="A20" s="28" t="n">
        <v>45310</v>
      </c>
      <c r="B20" t="inlineStr">
        <is>
          <t>Fri</t>
        </is>
      </c>
      <c r="C20" t="n">
        <v>7</v>
      </c>
      <c r="D20" t="n">
        <v>2</v>
      </c>
      <c r="E20" t="n">
        <v>1</v>
      </c>
      <c r="F20" t="n">
        <v>10</v>
      </c>
    </row>
    <row r="21">
      <c r="A21" s="28" t="n">
        <v>45311</v>
      </c>
      <c r="B21" t="inlineStr">
        <is>
          <t>Sat</t>
        </is>
      </c>
      <c r="C21" t="n">
        <v>12</v>
      </c>
      <c r="D21" t="n">
        <v>3</v>
      </c>
      <c r="E21" t="n">
        <v>0</v>
      </c>
      <c r="F21" t="n">
        <v>15</v>
      </c>
    </row>
    <row r="22">
      <c r="A22" s="28" t="n">
        <v>45312</v>
      </c>
      <c r="B22" t="inlineStr">
        <is>
          <t>Sun</t>
        </is>
      </c>
      <c r="C22" t="n">
        <v>7</v>
      </c>
      <c r="D22" t="n">
        <v>4</v>
      </c>
      <c r="E22" t="n">
        <v>2</v>
      </c>
      <c r="F22" t="n">
        <v>13</v>
      </c>
    </row>
    <row r="23">
      <c r="A23" s="28" t="n">
        <v>45313</v>
      </c>
      <c r="B23" t="inlineStr">
        <is>
          <t>Mon</t>
        </is>
      </c>
      <c r="C23" t="n">
        <v>11</v>
      </c>
      <c r="D23" t="n">
        <v>0</v>
      </c>
      <c r="E23" t="n">
        <v>3</v>
      </c>
      <c r="F23" t="n">
        <v>14</v>
      </c>
    </row>
    <row r="24">
      <c r="A24" s="28" t="n">
        <v>45314</v>
      </c>
      <c r="B24" t="inlineStr">
        <is>
          <t>Tue</t>
        </is>
      </c>
      <c r="C24" t="n">
        <v>11</v>
      </c>
      <c r="D24" t="n">
        <v>3</v>
      </c>
      <c r="E24" t="n">
        <v>2</v>
      </c>
      <c r="F24" t="n">
        <v>16</v>
      </c>
    </row>
    <row r="25">
      <c r="A25" s="28" t="n">
        <v>45315</v>
      </c>
      <c r="B25" t="inlineStr">
        <is>
          <t>Wed</t>
        </is>
      </c>
      <c r="C25" t="n">
        <v>22</v>
      </c>
      <c r="D25" t="n">
        <v>3</v>
      </c>
      <c r="E25" t="n">
        <v>6</v>
      </c>
      <c r="F25" t="n">
        <v>31</v>
      </c>
    </row>
    <row r="26">
      <c r="A26" s="28" t="n">
        <v>45316</v>
      </c>
      <c r="B26" t="inlineStr">
        <is>
          <t>Thu</t>
        </is>
      </c>
      <c r="C26" t="n">
        <v>15</v>
      </c>
      <c r="D26" t="n">
        <v>0</v>
      </c>
      <c r="E26" t="n">
        <v>3</v>
      </c>
      <c r="F26" t="n">
        <v>18</v>
      </c>
    </row>
    <row r="27">
      <c r="A27" s="28" t="n">
        <v>45317</v>
      </c>
      <c r="B27" t="inlineStr">
        <is>
          <t>Fri</t>
        </is>
      </c>
      <c r="C27" t="n">
        <v>7</v>
      </c>
      <c r="D27" t="n">
        <v>1</v>
      </c>
      <c r="E27" t="n">
        <v>2</v>
      </c>
      <c r="F27" t="n">
        <v>10</v>
      </c>
    </row>
    <row r="28">
      <c r="A28" s="28" t="n">
        <v>45318</v>
      </c>
      <c r="B28" t="inlineStr">
        <is>
          <t>Sat</t>
        </is>
      </c>
      <c r="C28" t="n">
        <v>16</v>
      </c>
      <c r="D28" t="n">
        <v>2</v>
      </c>
      <c r="E28" t="n">
        <v>3</v>
      </c>
      <c r="F28" t="n">
        <v>21</v>
      </c>
    </row>
    <row r="29">
      <c r="A29" s="28" t="n">
        <v>45319</v>
      </c>
      <c r="B29" t="inlineStr">
        <is>
          <t>Sun</t>
        </is>
      </c>
      <c r="C29" t="n">
        <v>12</v>
      </c>
      <c r="D29" t="n">
        <v>4</v>
      </c>
      <c r="E29" t="n">
        <v>1</v>
      </c>
      <c r="F29" t="n">
        <v>17</v>
      </c>
    </row>
    <row r="30">
      <c r="A30" s="28" t="n">
        <v>45320</v>
      </c>
      <c r="B30" t="inlineStr">
        <is>
          <t>Mon</t>
        </is>
      </c>
      <c r="C30" t="n">
        <v>6</v>
      </c>
      <c r="D30" t="n">
        <v>3</v>
      </c>
      <c r="E30" t="n">
        <v>5</v>
      </c>
      <c r="F30" t="n">
        <v>14</v>
      </c>
    </row>
    <row r="31">
      <c r="A31" s="28" t="n">
        <v>45321</v>
      </c>
      <c r="B31" t="inlineStr">
        <is>
          <t>Tue</t>
        </is>
      </c>
      <c r="C31" t="n">
        <v>11</v>
      </c>
      <c r="D31" t="n">
        <v>3</v>
      </c>
      <c r="E31" t="n">
        <v>3</v>
      </c>
      <c r="F31" t="n">
        <v>17</v>
      </c>
    </row>
    <row r="32">
      <c r="A32" s="28" t="n">
        <v>45322</v>
      </c>
      <c r="B32" t="inlineStr">
        <is>
          <t>Wed</t>
        </is>
      </c>
      <c r="C32" t="n">
        <v>9</v>
      </c>
      <c r="D32" t="n">
        <v>4</v>
      </c>
      <c r="E32" t="n">
        <v>4</v>
      </c>
      <c r="F32" t="n">
        <v>17</v>
      </c>
    </row>
    <row r="33">
      <c r="A33" s="28" t="n">
        <v>45323</v>
      </c>
      <c r="B33" t="inlineStr">
        <is>
          <t>Thu</t>
        </is>
      </c>
      <c r="C33" t="n">
        <v>14</v>
      </c>
      <c r="D33" t="n">
        <v>1</v>
      </c>
      <c r="E33" t="n">
        <v>4</v>
      </c>
      <c r="F33" t="n">
        <v>19</v>
      </c>
    </row>
    <row r="34">
      <c r="A34" s="28" t="n">
        <v>45324</v>
      </c>
      <c r="B34" t="inlineStr">
        <is>
          <t>Fri</t>
        </is>
      </c>
      <c r="C34" t="n">
        <v>7</v>
      </c>
      <c r="D34" t="n">
        <v>3</v>
      </c>
      <c r="E34" t="n">
        <v>1</v>
      </c>
      <c r="F34" t="n">
        <v>11</v>
      </c>
    </row>
    <row r="35">
      <c r="A35" s="28" t="n">
        <v>45325</v>
      </c>
      <c r="B35" t="inlineStr">
        <is>
          <t>Sat</t>
        </is>
      </c>
      <c r="C35" t="n">
        <v>12</v>
      </c>
      <c r="D35" t="n">
        <v>1</v>
      </c>
      <c r="E35" t="n">
        <v>3</v>
      </c>
      <c r="F35" t="n">
        <v>16</v>
      </c>
    </row>
    <row r="36">
      <c r="A36" s="28" t="n">
        <v>45326</v>
      </c>
      <c r="B36" t="inlineStr">
        <is>
          <t>Sun</t>
        </is>
      </c>
      <c r="C36" t="n">
        <v>10</v>
      </c>
      <c r="D36" t="n">
        <v>4</v>
      </c>
      <c r="E36" t="n">
        <v>2</v>
      </c>
      <c r="F36" t="n">
        <v>16</v>
      </c>
    </row>
    <row r="37">
      <c r="A37" s="28" t="n">
        <v>45327</v>
      </c>
      <c r="B37" t="inlineStr">
        <is>
          <t>Mon</t>
        </is>
      </c>
      <c r="C37" t="n">
        <v>15</v>
      </c>
      <c r="D37" t="n">
        <v>6</v>
      </c>
      <c r="E37" t="n">
        <v>2</v>
      </c>
      <c r="F37" t="n">
        <v>23</v>
      </c>
    </row>
    <row r="38">
      <c r="A38" s="28" t="n">
        <v>45328</v>
      </c>
      <c r="B38" t="inlineStr">
        <is>
          <t>Tue</t>
        </is>
      </c>
      <c r="C38" t="n">
        <v>16</v>
      </c>
      <c r="D38" t="n">
        <v>7</v>
      </c>
      <c r="E38" t="n">
        <v>2</v>
      </c>
      <c r="F38" t="n">
        <v>25</v>
      </c>
    </row>
    <row r="39">
      <c r="A39" s="28" t="n">
        <v>45329</v>
      </c>
      <c r="B39" t="inlineStr">
        <is>
          <t>Wed</t>
        </is>
      </c>
      <c r="C39" t="n">
        <v>11</v>
      </c>
      <c r="D39" t="n">
        <v>2</v>
      </c>
      <c r="E39" t="n">
        <v>2</v>
      </c>
      <c r="F39" t="n">
        <v>15</v>
      </c>
    </row>
    <row r="40">
      <c r="A40" s="28" t="n">
        <v>45330</v>
      </c>
      <c r="B40" t="inlineStr">
        <is>
          <t>Thu</t>
        </is>
      </c>
      <c r="C40" t="n">
        <v>17</v>
      </c>
      <c r="D40" t="n">
        <v>1</v>
      </c>
      <c r="E40" t="n">
        <v>5</v>
      </c>
      <c r="F40" t="n">
        <v>23</v>
      </c>
    </row>
    <row r="41">
      <c r="A41" s="28" t="n">
        <v>45331</v>
      </c>
      <c r="B41" t="inlineStr">
        <is>
          <t>Fri</t>
        </is>
      </c>
      <c r="C41" t="n">
        <v>23</v>
      </c>
      <c r="D41" t="n">
        <v>7</v>
      </c>
      <c r="E41" t="n">
        <v>5</v>
      </c>
      <c r="F41" t="n">
        <v>35</v>
      </c>
    </row>
    <row r="42">
      <c r="A42" s="28" t="n">
        <v>45332</v>
      </c>
      <c r="B42" t="inlineStr">
        <is>
          <t>Sat</t>
        </is>
      </c>
      <c r="C42" t="n">
        <v>8</v>
      </c>
      <c r="D42" t="n">
        <v>3</v>
      </c>
      <c r="E42" t="n">
        <v>3</v>
      </c>
      <c r="F42" t="n">
        <v>14</v>
      </c>
    </row>
    <row r="43">
      <c r="A43" s="28" t="n">
        <v>45333</v>
      </c>
      <c r="B43" t="inlineStr">
        <is>
          <t>Sun</t>
        </is>
      </c>
      <c r="C43" t="n">
        <v>16</v>
      </c>
      <c r="D43" t="n">
        <v>3</v>
      </c>
      <c r="E43" t="n">
        <v>2</v>
      </c>
      <c r="F43" t="n">
        <v>21</v>
      </c>
    </row>
    <row r="44">
      <c r="A44" s="28" t="n">
        <v>45334</v>
      </c>
      <c r="B44" t="inlineStr">
        <is>
          <t>Mon</t>
        </is>
      </c>
      <c r="C44" t="n">
        <v>16</v>
      </c>
      <c r="D44" t="n">
        <v>2</v>
      </c>
      <c r="E44" t="n">
        <v>3</v>
      </c>
      <c r="F44" t="n">
        <v>21</v>
      </c>
    </row>
    <row r="45">
      <c r="A45" s="28" t="n">
        <v>45335</v>
      </c>
      <c r="B45" t="inlineStr">
        <is>
          <t>Tue</t>
        </is>
      </c>
      <c r="C45" t="n">
        <v>15</v>
      </c>
      <c r="D45" t="n">
        <v>4</v>
      </c>
      <c r="E45" t="n">
        <v>4</v>
      </c>
      <c r="F45" t="n">
        <v>23</v>
      </c>
    </row>
    <row r="46">
      <c r="A46" s="28" t="n">
        <v>45336</v>
      </c>
      <c r="B46" t="inlineStr">
        <is>
          <t>Wed</t>
        </is>
      </c>
      <c r="C46" t="n">
        <v>14</v>
      </c>
      <c r="D46" t="n">
        <v>5</v>
      </c>
      <c r="E46" t="n">
        <v>2</v>
      </c>
      <c r="F46" t="n">
        <v>21</v>
      </c>
    </row>
    <row r="47">
      <c r="A47" s="28" t="n">
        <v>45337</v>
      </c>
      <c r="B47" t="inlineStr">
        <is>
          <t>Thu</t>
        </is>
      </c>
      <c r="C47" t="n">
        <v>6</v>
      </c>
      <c r="D47" t="n">
        <v>4</v>
      </c>
      <c r="E47" t="n">
        <v>2</v>
      </c>
      <c r="F47" t="n">
        <v>12</v>
      </c>
    </row>
    <row r="48">
      <c r="A48" s="28" t="n">
        <v>45338</v>
      </c>
      <c r="B48" t="inlineStr">
        <is>
          <t>Fri</t>
        </is>
      </c>
      <c r="C48" t="n">
        <v>15</v>
      </c>
      <c r="D48" t="n">
        <v>3</v>
      </c>
      <c r="E48" t="n">
        <v>5</v>
      </c>
      <c r="F48" t="n">
        <v>23</v>
      </c>
    </row>
    <row r="49">
      <c r="A49" s="28" t="n">
        <v>45339</v>
      </c>
      <c r="B49" t="inlineStr">
        <is>
          <t>Sat</t>
        </is>
      </c>
      <c r="C49" t="n">
        <v>10</v>
      </c>
      <c r="D49" t="n">
        <v>2</v>
      </c>
      <c r="E49" t="n">
        <v>2</v>
      </c>
      <c r="F49" t="n">
        <v>14</v>
      </c>
    </row>
    <row r="50">
      <c r="A50" s="28" t="n">
        <v>45340</v>
      </c>
      <c r="B50" t="inlineStr">
        <is>
          <t>Sun</t>
        </is>
      </c>
      <c r="C50" t="n">
        <v>9</v>
      </c>
      <c r="D50" t="n">
        <v>4</v>
      </c>
      <c r="E50" t="n">
        <v>4</v>
      </c>
      <c r="F50" t="n">
        <v>17</v>
      </c>
    </row>
    <row r="51">
      <c r="A51" s="28" t="n">
        <v>45341</v>
      </c>
      <c r="B51" t="inlineStr">
        <is>
          <t>Mon</t>
        </is>
      </c>
      <c r="C51" t="n">
        <v>16</v>
      </c>
      <c r="D51" t="n">
        <v>2</v>
      </c>
      <c r="E51" t="n">
        <v>5</v>
      </c>
      <c r="F51" t="n">
        <v>23</v>
      </c>
    </row>
    <row r="52">
      <c r="A52" s="28" t="n">
        <v>45342</v>
      </c>
      <c r="B52" t="inlineStr">
        <is>
          <t>Tue</t>
        </is>
      </c>
      <c r="C52" t="n">
        <v>19</v>
      </c>
      <c r="D52" t="n">
        <v>2</v>
      </c>
      <c r="E52" t="n">
        <v>0</v>
      </c>
      <c r="F52" t="n">
        <v>21</v>
      </c>
    </row>
    <row r="53">
      <c r="A53" s="28" t="n">
        <v>45343</v>
      </c>
      <c r="B53" t="inlineStr">
        <is>
          <t>Wed</t>
        </is>
      </c>
      <c r="C53" t="n">
        <v>15</v>
      </c>
      <c r="D53" t="n">
        <v>2</v>
      </c>
      <c r="E53" t="n">
        <v>5</v>
      </c>
      <c r="F53" t="n">
        <v>22</v>
      </c>
    </row>
    <row r="54">
      <c r="A54" s="28" t="n">
        <v>45344</v>
      </c>
      <c r="B54" t="inlineStr">
        <is>
          <t>Thu</t>
        </is>
      </c>
      <c r="C54" t="n">
        <v>18</v>
      </c>
      <c r="D54" t="n">
        <v>3</v>
      </c>
      <c r="E54" t="n">
        <v>4</v>
      </c>
      <c r="F54" t="n">
        <v>25</v>
      </c>
    </row>
    <row r="55">
      <c r="A55" s="28" t="n">
        <v>45345</v>
      </c>
      <c r="B55" t="inlineStr">
        <is>
          <t>Fri</t>
        </is>
      </c>
      <c r="C55" t="n">
        <v>17</v>
      </c>
      <c r="D55" t="n">
        <v>0</v>
      </c>
      <c r="E55" t="n">
        <v>3</v>
      </c>
      <c r="F55" t="n">
        <v>20</v>
      </c>
    </row>
    <row r="56">
      <c r="A56" s="28" t="n">
        <v>45346</v>
      </c>
      <c r="B56" t="inlineStr">
        <is>
          <t>Sat</t>
        </is>
      </c>
      <c r="C56" t="n">
        <v>15</v>
      </c>
      <c r="D56" t="n">
        <v>4</v>
      </c>
      <c r="E56" t="n">
        <v>7</v>
      </c>
      <c r="F56" t="n">
        <v>26</v>
      </c>
    </row>
    <row r="57">
      <c r="A57" s="28" t="n">
        <v>45347</v>
      </c>
      <c r="B57" t="inlineStr">
        <is>
          <t>Sun</t>
        </is>
      </c>
      <c r="C57" t="n">
        <v>13</v>
      </c>
      <c r="D57" t="n">
        <v>3</v>
      </c>
      <c r="E57" t="n">
        <v>0</v>
      </c>
      <c r="F57" t="n">
        <v>16</v>
      </c>
    </row>
    <row r="58">
      <c r="A58" s="28" t="n">
        <v>45348</v>
      </c>
      <c r="B58" t="inlineStr">
        <is>
          <t>Mon</t>
        </is>
      </c>
      <c r="C58" t="n">
        <v>19</v>
      </c>
      <c r="D58" t="n">
        <v>2</v>
      </c>
      <c r="E58" t="n">
        <v>3</v>
      </c>
      <c r="F58" t="n">
        <v>24</v>
      </c>
    </row>
    <row r="59">
      <c r="A59" s="28" t="n">
        <v>45349</v>
      </c>
      <c r="B59" t="inlineStr">
        <is>
          <t>Tue</t>
        </is>
      </c>
      <c r="C59" t="n">
        <v>15</v>
      </c>
      <c r="D59" t="n">
        <v>3</v>
      </c>
      <c r="E59" t="n">
        <v>3</v>
      </c>
      <c r="F59" t="n">
        <v>21</v>
      </c>
    </row>
    <row r="60">
      <c r="A60" s="28" t="n">
        <v>45350</v>
      </c>
      <c r="B60" t="inlineStr">
        <is>
          <t>Wed</t>
        </is>
      </c>
      <c r="C60" t="n">
        <v>13</v>
      </c>
      <c r="D60" t="n">
        <v>1</v>
      </c>
      <c r="E60" t="n">
        <v>5</v>
      </c>
      <c r="F60" t="n">
        <v>19</v>
      </c>
    </row>
    <row r="61">
      <c r="A61" s="28" t="n">
        <v>45351</v>
      </c>
      <c r="B61" t="inlineStr">
        <is>
          <t>Thu</t>
        </is>
      </c>
      <c r="C61" t="n">
        <v>14</v>
      </c>
      <c r="D61" t="n">
        <v>1</v>
      </c>
      <c r="E61" t="n">
        <v>5</v>
      </c>
      <c r="F61" t="n">
        <v>20</v>
      </c>
    </row>
    <row r="62">
      <c r="A62" s="28" t="n">
        <v>45352</v>
      </c>
      <c r="B62" t="inlineStr">
        <is>
          <t>Fri</t>
        </is>
      </c>
      <c r="C62" t="n">
        <v>9</v>
      </c>
      <c r="D62" t="n">
        <v>2</v>
      </c>
      <c r="E62" t="n">
        <v>5</v>
      </c>
      <c r="F62" t="n">
        <v>16</v>
      </c>
    </row>
    <row r="63">
      <c r="A63" s="28" t="n">
        <v>45353</v>
      </c>
      <c r="B63" t="inlineStr">
        <is>
          <t>Sat</t>
        </is>
      </c>
      <c r="C63" t="n">
        <v>14</v>
      </c>
      <c r="D63" t="n">
        <v>3</v>
      </c>
      <c r="E63" t="n">
        <v>4</v>
      </c>
      <c r="F63" t="n">
        <v>21</v>
      </c>
    </row>
    <row r="64">
      <c r="A64" s="28" t="n">
        <v>45354</v>
      </c>
      <c r="B64" t="inlineStr">
        <is>
          <t>Sun</t>
        </is>
      </c>
      <c r="C64" t="n">
        <v>10</v>
      </c>
      <c r="D64" t="n">
        <v>3</v>
      </c>
      <c r="E64" t="n">
        <v>3</v>
      </c>
      <c r="F64" t="n">
        <v>16</v>
      </c>
    </row>
    <row r="65">
      <c r="A65" s="28" t="n">
        <v>45355</v>
      </c>
      <c r="B65" t="inlineStr">
        <is>
          <t>Mon</t>
        </is>
      </c>
      <c r="C65" t="n">
        <v>18</v>
      </c>
      <c r="D65" t="n">
        <v>2</v>
      </c>
      <c r="E65" t="n">
        <v>5</v>
      </c>
      <c r="F65" t="n">
        <v>25</v>
      </c>
    </row>
    <row r="66">
      <c r="A66" s="28" t="n">
        <v>45356</v>
      </c>
      <c r="B66" t="inlineStr">
        <is>
          <t>Tue</t>
        </is>
      </c>
      <c r="C66" t="n">
        <v>10</v>
      </c>
      <c r="D66" t="n">
        <v>2</v>
      </c>
      <c r="E66" t="n">
        <v>3</v>
      </c>
      <c r="F66" t="n">
        <v>15</v>
      </c>
    </row>
    <row r="67">
      <c r="A67" s="28" t="n">
        <v>45357</v>
      </c>
      <c r="B67" t="inlineStr">
        <is>
          <t>Wed</t>
        </is>
      </c>
      <c r="C67" t="n">
        <v>17</v>
      </c>
      <c r="D67" t="n">
        <v>3</v>
      </c>
      <c r="E67" t="n">
        <v>4</v>
      </c>
      <c r="F67" t="n">
        <v>24</v>
      </c>
    </row>
    <row r="68">
      <c r="A68" s="28" t="n">
        <v>45358</v>
      </c>
      <c r="B68" t="inlineStr">
        <is>
          <t>Thu</t>
        </is>
      </c>
      <c r="C68" t="n">
        <v>15</v>
      </c>
      <c r="D68" t="n">
        <v>2</v>
      </c>
      <c r="E68" t="n">
        <v>1</v>
      </c>
      <c r="F68" t="n">
        <v>18</v>
      </c>
    </row>
    <row r="69">
      <c r="A69" s="28" t="n">
        <v>45359</v>
      </c>
      <c r="B69" t="inlineStr">
        <is>
          <t>Fri</t>
        </is>
      </c>
      <c r="C69" t="n">
        <v>21</v>
      </c>
      <c r="D69" t="n">
        <v>5</v>
      </c>
      <c r="E69" t="n">
        <v>2</v>
      </c>
      <c r="F69" t="n">
        <v>28</v>
      </c>
    </row>
    <row r="70">
      <c r="A70" s="28" t="n">
        <v>45360</v>
      </c>
      <c r="B70" t="inlineStr">
        <is>
          <t>Sat</t>
        </is>
      </c>
      <c r="C70" t="n">
        <v>15</v>
      </c>
      <c r="D70" t="n">
        <v>1</v>
      </c>
      <c r="E70" t="n">
        <v>2</v>
      </c>
      <c r="F70" t="n">
        <v>18</v>
      </c>
    </row>
    <row r="71">
      <c r="A71" s="28" t="n">
        <v>45361</v>
      </c>
      <c r="B71" t="inlineStr">
        <is>
          <t>Sun</t>
        </is>
      </c>
      <c r="C71" t="n">
        <v>5</v>
      </c>
      <c r="D71" t="n">
        <v>1</v>
      </c>
      <c r="E71" t="n">
        <v>2</v>
      </c>
      <c r="F71" t="n">
        <v>8</v>
      </c>
    </row>
    <row r="72">
      <c r="A72" s="28" t="n">
        <v>45362</v>
      </c>
      <c r="B72" t="inlineStr">
        <is>
          <t>Mon</t>
        </is>
      </c>
      <c r="C72" t="n">
        <v>15</v>
      </c>
      <c r="D72" t="n">
        <v>1</v>
      </c>
      <c r="E72" t="n">
        <v>3</v>
      </c>
      <c r="F72" t="n">
        <v>19</v>
      </c>
    </row>
    <row r="73">
      <c r="A73" s="28" t="n">
        <v>45363</v>
      </c>
      <c r="B73" t="inlineStr">
        <is>
          <t>Tue</t>
        </is>
      </c>
      <c r="C73" t="n">
        <v>15</v>
      </c>
      <c r="D73" t="n">
        <v>5</v>
      </c>
      <c r="E73" t="n">
        <v>3</v>
      </c>
      <c r="F73" t="n">
        <v>23</v>
      </c>
    </row>
    <row r="74">
      <c r="A74" s="28" t="n">
        <v>45364</v>
      </c>
      <c r="B74" t="inlineStr">
        <is>
          <t>Wed</t>
        </is>
      </c>
      <c r="C74" t="n">
        <v>13</v>
      </c>
      <c r="D74" t="n">
        <v>2</v>
      </c>
      <c r="E74" t="n">
        <v>4</v>
      </c>
      <c r="F74" t="n">
        <v>19</v>
      </c>
    </row>
    <row r="75">
      <c r="A75" s="28" t="n">
        <v>45365</v>
      </c>
      <c r="B75" t="inlineStr">
        <is>
          <t>Thu</t>
        </is>
      </c>
      <c r="C75" t="n">
        <v>10</v>
      </c>
      <c r="D75" t="n">
        <v>1</v>
      </c>
      <c r="E75" t="n">
        <v>4</v>
      </c>
      <c r="F75" t="n">
        <v>15</v>
      </c>
    </row>
    <row r="76">
      <c r="A76" s="28" t="n">
        <v>45366</v>
      </c>
      <c r="B76" t="inlineStr">
        <is>
          <t>Fri</t>
        </is>
      </c>
      <c r="C76" t="n">
        <v>12</v>
      </c>
      <c r="D76" t="n">
        <v>1</v>
      </c>
      <c r="E76" t="n">
        <v>3</v>
      </c>
      <c r="F76" t="n">
        <v>16</v>
      </c>
    </row>
    <row r="77">
      <c r="A77" s="28" t="n">
        <v>45367</v>
      </c>
      <c r="B77" t="inlineStr">
        <is>
          <t>Sat</t>
        </is>
      </c>
      <c r="C77" t="n">
        <v>12</v>
      </c>
      <c r="D77" t="n">
        <v>1</v>
      </c>
      <c r="E77" t="n">
        <v>1</v>
      </c>
      <c r="F77" t="n">
        <v>14</v>
      </c>
    </row>
    <row r="78">
      <c r="A78" s="28" t="n">
        <v>45368</v>
      </c>
      <c r="B78" t="inlineStr">
        <is>
          <t>Sun</t>
        </is>
      </c>
      <c r="C78" t="n">
        <v>11</v>
      </c>
      <c r="D78" t="n">
        <v>2</v>
      </c>
      <c r="E78" t="n">
        <v>3</v>
      </c>
      <c r="F78" t="n">
        <v>16</v>
      </c>
    </row>
    <row r="79">
      <c r="A79" s="28" t="n">
        <v>45369</v>
      </c>
      <c r="B79" t="inlineStr">
        <is>
          <t>Mon</t>
        </is>
      </c>
      <c r="C79" t="n">
        <v>14</v>
      </c>
      <c r="D79" t="n">
        <v>1</v>
      </c>
      <c r="E79" t="n">
        <v>2</v>
      </c>
      <c r="F79" t="n">
        <v>17</v>
      </c>
    </row>
    <row r="80">
      <c r="A80" s="28" t="n">
        <v>45370</v>
      </c>
      <c r="B80" t="inlineStr">
        <is>
          <t>Tue</t>
        </is>
      </c>
      <c r="C80" t="n">
        <v>14</v>
      </c>
      <c r="D80" t="n">
        <v>4</v>
      </c>
      <c r="E80" t="n">
        <v>4</v>
      </c>
      <c r="F80" t="n">
        <v>22</v>
      </c>
    </row>
    <row r="81">
      <c r="A81" s="28" t="n">
        <v>45371</v>
      </c>
      <c r="B81" t="inlineStr">
        <is>
          <t>Wed</t>
        </is>
      </c>
      <c r="C81" t="n">
        <v>15</v>
      </c>
      <c r="D81" t="n">
        <v>4</v>
      </c>
      <c r="E81" t="n">
        <v>3</v>
      </c>
      <c r="F81" t="n">
        <v>22</v>
      </c>
    </row>
    <row r="82">
      <c r="A82" s="28" t="n">
        <v>45372</v>
      </c>
      <c r="B82" t="inlineStr">
        <is>
          <t>Thu</t>
        </is>
      </c>
      <c r="C82" t="n">
        <v>16</v>
      </c>
      <c r="D82" t="n">
        <v>1</v>
      </c>
      <c r="E82" t="n">
        <v>5</v>
      </c>
      <c r="F82" t="n">
        <v>22</v>
      </c>
    </row>
    <row r="83">
      <c r="A83" s="28" t="n">
        <v>45373</v>
      </c>
      <c r="B83" t="inlineStr">
        <is>
          <t>Fri</t>
        </is>
      </c>
      <c r="C83" t="n">
        <v>13</v>
      </c>
      <c r="D83" t="n">
        <v>1</v>
      </c>
      <c r="E83" t="n">
        <v>5</v>
      </c>
      <c r="F83" t="n">
        <v>19</v>
      </c>
    </row>
    <row r="84">
      <c r="A84" s="28" t="n">
        <v>45374</v>
      </c>
      <c r="B84" t="inlineStr">
        <is>
          <t>Sat</t>
        </is>
      </c>
      <c r="C84" t="n">
        <v>22</v>
      </c>
      <c r="D84" t="n">
        <v>3</v>
      </c>
      <c r="E84" t="n">
        <v>2</v>
      </c>
      <c r="F84" t="n">
        <v>27</v>
      </c>
    </row>
    <row r="85">
      <c r="A85" s="28" t="n">
        <v>45375</v>
      </c>
      <c r="B85" t="inlineStr">
        <is>
          <t>Sun</t>
        </is>
      </c>
      <c r="C85" t="n">
        <v>13</v>
      </c>
      <c r="D85" t="n">
        <v>2</v>
      </c>
      <c r="E85" t="n">
        <v>3</v>
      </c>
      <c r="F85" t="n">
        <v>18</v>
      </c>
    </row>
    <row r="86">
      <c r="A86" s="28" t="n">
        <v>45376</v>
      </c>
      <c r="B86" t="inlineStr">
        <is>
          <t>Mon</t>
        </is>
      </c>
      <c r="C86" t="n">
        <v>15</v>
      </c>
      <c r="D86" t="n">
        <v>2</v>
      </c>
      <c r="E86" t="n">
        <v>1</v>
      </c>
      <c r="F86" t="n">
        <v>18</v>
      </c>
    </row>
    <row r="87">
      <c r="A87" s="28" t="n">
        <v>45377</v>
      </c>
      <c r="B87" t="inlineStr">
        <is>
          <t>Tue</t>
        </is>
      </c>
      <c r="C87" t="n">
        <v>8</v>
      </c>
      <c r="D87" t="n">
        <v>0</v>
      </c>
      <c r="E87" t="n">
        <v>6</v>
      </c>
      <c r="F87" t="n">
        <v>14</v>
      </c>
    </row>
    <row r="88">
      <c r="A88" s="28" t="n">
        <v>45378</v>
      </c>
      <c r="B88" t="inlineStr">
        <is>
          <t>Wed</t>
        </is>
      </c>
      <c r="C88" t="n">
        <v>10</v>
      </c>
      <c r="D88" t="n">
        <v>1</v>
      </c>
      <c r="E88" t="n">
        <v>4</v>
      </c>
      <c r="F88" t="n">
        <v>15</v>
      </c>
    </row>
    <row r="89">
      <c r="A89" s="28" t="n">
        <v>45379</v>
      </c>
      <c r="B89" t="inlineStr">
        <is>
          <t>Thu</t>
        </is>
      </c>
      <c r="C89" t="n">
        <v>11</v>
      </c>
      <c r="D89" t="n">
        <v>4</v>
      </c>
      <c r="E89" t="n">
        <v>1</v>
      </c>
      <c r="F89" t="n">
        <v>16</v>
      </c>
    </row>
    <row r="90">
      <c r="A90" s="28" t="n">
        <v>45380</v>
      </c>
      <c r="B90" t="inlineStr">
        <is>
          <t>Fri</t>
        </is>
      </c>
      <c r="C90" t="n">
        <v>11</v>
      </c>
      <c r="D90" t="n">
        <v>2</v>
      </c>
      <c r="E90" t="n">
        <v>4</v>
      </c>
      <c r="F90" t="n">
        <v>17</v>
      </c>
    </row>
    <row r="91">
      <c r="A91" s="28" t="n">
        <v>45381</v>
      </c>
      <c r="B91" t="inlineStr">
        <is>
          <t>Sat</t>
        </is>
      </c>
      <c r="C91" t="n">
        <v>12</v>
      </c>
      <c r="D91" t="n">
        <v>2</v>
      </c>
      <c r="E91" t="n">
        <v>4</v>
      </c>
      <c r="F91" t="n">
        <v>18</v>
      </c>
    </row>
    <row r="92">
      <c r="A92" s="28" t="n">
        <v>45382</v>
      </c>
      <c r="B92" t="inlineStr">
        <is>
          <t>Sun</t>
        </is>
      </c>
      <c r="C92" t="n">
        <v>15</v>
      </c>
      <c r="D92" t="n">
        <v>5</v>
      </c>
      <c r="E92" t="n">
        <v>3</v>
      </c>
      <c r="F92" t="n">
        <v>23</v>
      </c>
    </row>
    <row r="93">
      <c r="A93" s="28" t="n">
        <v>45383</v>
      </c>
      <c r="B93" t="inlineStr">
        <is>
          <t>Mon</t>
        </is>
      </c>
      <c r="C93" t="n">
        <v>14</v>
      </c>
      <c r="D93" t="n">
        <v>0</v>
      </c>
      <c r="E93" t="n">
        <v>5</v>
      </c>
      <c r="F93" t="n">
        <v>19</v>
      </c>
    </row>
    <row r="94">
      <c r="A94" s="28" t="n">
        <v>45384</v>
      </c>
      <c r="B94" t="inlineStr">
        <is>
          <t>Tue</t>
        </is>
      </c>
      <c r="C94" t="n">
        <v>14</v>
      </c>
      <c r="D94" t="n">
        <v>3</v>
      </c>
      <c r="E94" t="n">
        <v>3</v>
      </c>
      <c r="F94" t="n">
        <v>20</v>
      </c>
    </row>
    <row r="95">
      <c r="A95" s="28" t="n">
        <v>45385</v>
      </c>
      <c r="B95" t="inlineStr">
        <is>
          <t>Wed</t>
        </is>
      </c>
      <c r="C95" t="n">
        <v>17</v>
      </c>
      <c r="D95" t="n">
        <v>2</v>
      </c>
      <c r="E95" t="n">
        <v>1</v>
      </c>
      <c r="F95" t="n">
        <v>20</v>
      </c>
    </row>
    <row r="96">
      <c r="A96" s="28" t="n">
        <v>45386</v>
      </c>
      <c r="B96" t="inlineStr">
        <is>
          <t>Thu</t>
        </is>
      </c>
      <c r="C96" t="n">
        <v>16</v>
      </c>
      <c r="D96" t="n">
        <v>3</v>
      </c>
      <c r="E96" t="n">
        <v>1</v>
      </c>
      <c r="F96" t="n">
        <v>20</v>
      </c>
    </row>
    <row r="97">
      <c r="A97" s="28" t="n">
        <v>45387</v>
      </c>
      <c r="B97" t="inlineStr">
        <is>
          <t>Fri</t>
        </is>
      </c>
      <c r="C97" t="n">
        <v>11</v>
      </c>
      <c r="D97" t="n">
        <v>1</v>
      </c>
      <c r="E97" t="n">
        <v>2</v>
      </c>
      <c r="F97" t="n">
        <v>14</v>
      </c>
    </row>
    <row r="98">
      <c r="A98" s="28" t="n">
        <v>45388</v>
      </c>
      <c r="B98" t="inlineStr">
        <is>
          <t>Sat</t>
        </is>
      </c>
      <c r="C98" t="n">
        <v>6</v>
      </c>
      <c r="D98" t="n">
        <v>3</v>
      </c>
      <c r="E98" t="n">
        <v>1</v>
      </c>
      <c r="F98" t="n">
        <v>10</v>
      </c>
    </row>
    <row r="99">
      <c r="A99" s="28" t="n">
        <v>45389</v>
      </c>
      <c r="B99" t="inlineStr">
        <is>
          <t>Sun</t>
        </is>
      </c>
      <c r="C99" t="n">
        <v>12</v>
      </c>
      <c r="D99" t="n">
        <v>1</v>
      </c>
      <c r="E99" t="n">
        <v>4</v>
      </c>
      <c r="F99" t="n">
        <v>17</v>
      </c>
    </row>
    <row r="100">
      <c r="A100" s="28" t="n">
        <v>45390</v>
      </c>
      <c r="B100" t="inlineStr">
        <is>
          <t>Mon</t>
        </is>
      </c>
      <c r="C100" t="n">
        <v>13</v>
      </c>
      <c r="D100" t="n">
        <v>2</v>
      </c>
      <c r="E100" t="n">
        <v>2</v>
      </c>
      <c r="F100" t="n">
        <v>17</v>
      </c>
    </row>
    <row r="101">
      <c r="A101" s="28" t="n">
        <v>45391</v>
      </c>
      <c r="B101" t="inlineStr">
        <is>
          <t>Tue</t>
        </is>
      </c>
      <c r="C101" t="n">
        <v>13</v>
      </c>
      <c r="D101" t="n">
        <v>1</v>
      </c>
      <c r="E101" t="n">
        <v>1</v>
      </c>
      <c r="F101" t="n">
        <v>15</v>
      </c>
    </row>
    <row r="102">
      <c r="A102" s="28" t="n">
        <v>45392</v>
      </c>
      <c r="B102" t="inlineStr">
        <is>
          <t>Wed</t>
        </is>
      </c>
      <c r="C102" t="n">
        <v>15</v>
      </c>
      <c r="D102" t="n">
        <v>4</v>
      </c>
      <c r="E102" t="n">
        <v>2</v>
      </c>
      <c r="F102" t="n">
        <v>21</v>
      </c>
    </row>
    <row r="103">
      <c r="A103" s="28" t="n">
        <v>45393</v>
      </c>
      <c r="B103" t="inlineStr">
        <is>
          <t>Thu</t>
        </is>
      </c>
      <c r="C103" t="n">
        <v>7</v>
      </c>
      <c r="D103" t="n">
        <v>1</v>
      </c>
      <c r="E103" t="n">
        <v>1</v>
      </c>
      <c r="F103" t="n">
        <v>9</v>
      </c>
    </row>
    <row r="104">
      <c r="A104" s="28" t="n">
        <v>45394</v>
      </c>
      <c r="B104" t="inlineStr">
        <is>
          <t>Fri</t>
        </is>
      </c>
      <c r="C104" t="n">
        <v>13</v>
      </c>
      <c r="D104" t="n">
        <v>0</v>
      </c>
      <c r="E104" t="n">
        <v>2</v>
      </c>
      <c r="F104" t="n">
        <v>15</v>
      </c>
    </row>
    <row r="105">
      <c r="A105" s="28" t="n">
        <v>45395</v>
      </c>
      <c r="B105" t="inlineStr">
        <is>
          <t>Sat</t>
        </is>
      </c>
      <c r="C105" t="n">
        <v>9</v>
      </c>
      <c r="D105" t="n">
        <v>2</v>
      </c>
      <c r="E105" t="n">
        <v>3</v>
      </c>
      <c r="F105" t="n">
        <v>14</v>
      </c>
    </row>
    <row r="106">
      <c r="A106" s="28" t="n">
        <v>45396</v>
      </c>
      <c r="B106" t="inlineStr">
        <is>
          <t>Sun</t>
        </is>
      </c>
      <c r="C106" t="n">
        <v>12</v>
      </c>
      <c r="D106" t="n">
        <v>2</v>
      </c>
      <c r="E106" t="n">
        <v>2</v>
      </c>
      <c r="F106" t="n">
        <v>16</v>
      </c>
    </row>
    <row r="107">
      <c r="A107" s="28" t="n">
        <v>45397</v>
      </c>
      <c r="B107" t="inlineStr">
        <is>
          <t>Mon</t>
        </is>
      </c>
      <c r="C107" t="n">
        <v>10</v>
      </c>
      <c r="D107" t="n">
        <v>3</v>
      </c>
      <c r="E107" t="n">
        <v>4</v>
      </c>
      <c r="F107" t="n">
        <v>17</v>
      </c>
    </row>
    <row r="108">
      <c r="A108" s="28" t="n">
        <v>45398</v>
      </c>
      <c r="B108" t="inlineStr">
        <is>
          <t>Tue</t>
        </is>
      </c>
      <c r="C108" t="n">
        <v>7</v>
      </c>
      <c r="D108" t="n">
        <v>2</v>
      </c>
      <c r="E108" t="n">
        <v>3</v>
      </c>
      <c r="F108" t="n">
        <v>12</v>
      </c>
    </row>
    <row r="109">
      <c r="A109" s="28" t="n">
        <v>45399</v>
      </c>
      <c r="B109" t="inlineStr">
        <is>
          <t>Wed</t>
        </is>
      </c>
      <c r="C109" t="n">
        <v>8</v>
      </c>
      <c r="D109" t="n">
        <v>0</v>
      </c>
      <c r="E109" t="n">
        <v>3</v>
      </c>
      <c r="F109" t="n">
        <v>11</v>
      </c>
    </row>
    <row r="110">
      <c r="A110" s="28" t="n">
        <v>45400</v>
      </c>
      <c r="B110" t="inlineStr">
        <is>
          <t>Thu</t>
        </is>
      </c>
      <c r="C110" t="n">
        <v>15</v>
      </c>
      <c r="D110" t="n">
        <v>2</v>
      </c>
      <c r="E110" t="n">
        <v>1</v>
      </c>
      <c r="F110" t="n">
        <v>18</v>
      </c>
    </row>
    <row r="111">
      <c r="A111" s="28" t="n">
        <v>45401</v>
      </c>
      <c r="B111" t="inlineStr">
        <is>
          <t>Fri</t>
        </is>
      </c>
      <c r="C111" t="n">
        <v>5</v>
      </c>
      <c r="D111" t="n">
        <v>2</v>
      </c>
      <c r="E111" t="n">
        <v>1</v>
      </c>
      <c r="F111" t="n">
        <v>8</v>
      </c>
    </row>
    <row r="112">
      <c r="A112" s="28" t="n">
        <v>45402</v>
      </c>
      <c r="B112" t="inlineStr">
        <is>
          <t>Sat</t>
        </is>
      </c>
      <c r="C112" t="n">
        <v>11</v>
      </c>
      <c r="D112" t="n">
        <v>1</v>
      </c>
      <c r="E112" t="n">
        <v>2</v>
      </c>
      <c r="F112" t="n">
        <v>14</v>
      </c>
    </row>
    <row r="113">
      <c r="A113" s="28" t="n">
        <v>45403</v>
      </c>
      <c r="B113" t="inlineStr">
        <is>
          <t>Sun</t>
        </is>
      </c>
      <c r="C113" t="n">
        <v>15</v>
      </c>
      <c r="D113" t="n">
        <v>2</v>
      </c>
      <c r="E113" t="n">
        <v>5</v>
      </c>
      <c r="F113" t="n">
        <v>22</v>
      </c>
    </row>
    <row r="114">
      <c r="A114" s="28" t="n">
        <v>45404</v>
      </c>
      <c r="B114" t="inlineStr">
        <is>
          <t>Mon</t>
        </is>
      </c>
      <c r="C114" t="n">
        <v>10</v>
      </c>
      <c r="D114" t="n">
        <v>2</v>
      </c>
      <c r="E114" t="n">
        <v>1</v>
      </c>
      <c r="F114" t="n">
        <v>13</v>
      </c>
    </row>
    <row r="115">
      <c r="A115" s="28" t="n">
        <v>45405</v>
      </c>
      <c r="B115" t="inlineStr">
        <is>
          <t>Tue</t>
        </is>
      </c>
      <c r="C115" t="n">
        <v>10</v>
      </c>
      <c r="D115" t="n">
        <v>2</v>
      </c>
      <c r="E115" t="n">
        <v>3</v>
      </c>
      <c r="F115" t="n">
        <v>15</v>
      </c>
    </row>
    <row r="116">
      <c r="A116" s="28" t="n">
        <v>45406</v>
      </c>
      <c r="B116" t="inlineStr">
        <is>
          <t>Wed</t>
        </is>
      </c>
      <c r="C116" t="n">
        <v>13</v>
      </c>
      <c r="D116" t="n">
        <v>2</v>
      </c>
      <c r="E116" t="n">
        <v>4</v>
      </c>
      <c r="F116" t="n">
        <v>19</v>
      </c>
    </row>
    <row r="117">
      <c r="A117" s="28" t="n">
        <v>45407</v>
      </c>
      <c r="B117" t="inlineStr">
        <is>
          <t>Thu</t>
        </is>
      </c>
      <c r="C117" t="n">
        <v>7</v>
      </c>
      <c r="D117" t="n">
        <v>1</v>
      </c>
      <c r="E117" t="n">
        <v>1</v>
      </c>
      <c r="F117" t="n">
        <v>9</v>
      </c>
    </row>
    <row r="118">
      <c r="A118" s="28" t="n">
        <v>45408</v>
      </c>
      <c r="B118" t="inlineStr">
        <is>
          <t>Fri</t>
        </is>
      </c>
      <c r="C118" t="n">
        <v>15</v>
      </c>
      <c r="D118" t="n">
        <v>0</v>
      </c>
      <c r="E118" t="n">
        <v>1</v>
      </c>
      <c r="F118" t="n">
        <v>16</v>
      </c>
    </row>
    <row r="119">
      <c r="A119" s="28" t="n">
        <v>45409</v>
      </c>
      <c r="B119" t="inlineStr">
        <is>
          <t>Sat</t>
        </is>
      </c>
      <c r="C119" t="n">
        <v>9</v>
      </c>
      <c r="D119" t="n">
        <v>2</v>
      </c>
      <c r="E119" t="n">
        <v>0</v>
      </c>
      <c r="F119" t="n">
        <v>11</v>
      </c>
    </row>
    <row r="120">
      <c r="A120" s="28" t="n">
        <v>45410</v>
      </c>
      <c r="B120" t="inlineStr">
        <is>
          <t>Sun</t>
        </is>
      </c>
      <c r="C120" t="n">
        <v>9</v>
      </c>
      <c r="D120" t="n">
        <v>5</v>
      </c>
      <c r="E120" t="n">
        <v>2</v>
      </c>
      <c r="F120" t="n">
        <v>16</v>
      </c>
    </row>
    <row r="121">
      <c r="A121" s="28" t="n">
        <v>45411</v>
      </c>
      <c r="B121" t="inlineStr">
        <is>
          <t>Mon</t>
        </is>
      </c>
      <c r="C121" t="n">
        <v>10</v>
      </c>
      <c r="D121" t="n">
        <v>4</v>
      </c>
      <c r="E121" t="n">
        <v>4</v>
      </c>
      <c r="F121" t="n">
        <v>18</v>
      </c>
    </row>
    <row r="122">
      <c r="A122" s="28" t="n">
        <v>45412</v>
      </c>
      <c r="B122" t="inlineStr">
        <is>
          <t>Tue</t>
        </is>
      </c>
      <c r="C122" t="n">
        <v>14</v>
      </c>
      <c r="D122" t="n">
        <v>1</v>
      </c>
      <c r="E122" t="n">
        <v>5</v>
      </c>
      <c r="F122" t="n">
        <v>20</v>
      </c>
    </row>
    <row r="123">
      <c r="A123" s="28" t="n">
        <v>45413</v>
      </c>
      <c r="B123" t="inlineStr">
        <is>
          <t>Wed</t>
        </is>
      </c>
      <c r="C123" t="n">
        <v>16</v>
      </c>
      <c r="D123" t="n">
        <v>4</v>
      </c>
      <c r="E123" t="n">
        <v>5</v>
      </c>
      <c r="F123" t="n">
        <v>25</v>
      </c>
    </row>
    <row r="124">
      <c r="A124" s="28" t="n">
        <v>45414</v>
      </c>
      <c r="B124" t="inlineStr">
        <is>
          <t>Thu</t>
        </is>
      </c>
      <c r="C124" t="n">
        <v>15</v>
      </c>
      <c r="D124" t="n">
        <v>3</v>
      </c>
      <c r="E124" t="n">
        <v>3</v>
      </c>
      <c r="F124" t="n">
        <v>21</v>
      </c>
    </row>
    <row r="125">
      <c r="A125" s="28" t="n">
        <v>45415</v>
      </c>
      <c r="B125" t="inlineStr">
        <is>
          <t>Fri</t>
        </is>
      </c>
      <c r="C125" t="n">
        <v>13</v>
      </c>
      <c r="D125" t="n">
        <v>5</v>
      </c>
      <c r="E125" t="n">
        <v>1</v>
      </c>
      <c r="F125" t="n">
        <v>19</v>
      </c>
    </row>
    <row r="126">
      <c r="A126" s="28" t="n">
        <v>45416</v>
      </c>
      <c r="B126" t="inlineStr">
        <is>
          <t>Sat</t>
        </is>
      </c>
      <c r="C126" t="n">
        <v>6</v>
      </c>
      <c r="D126" t="n">
        <v>5</v>
      </c>
      <c r="E126" t="n">
        <v>2</v>
      </c>
      <c r="F126" t="n">
        <v>13</v>
      </c>
    </row>
    <row r="127">
      <c r="A127" s="28" t="n">
        <v>45417</v>
      </c>
      <c r="B127" t="inlineStr">
        <is>
          <t>Sun</t>
        </is>
      </c>
      <c r="C127" t="n">
        <v>10</v>
      </c>
      <c r="D127" t="n">
        <v>6</v>
      </c>
      <c r="E127" t="n">
        <v>3</v>
      </c>
      <c r="F127" t="n">
        <v>19</v>
      </c>
    </row>
    <row r="128">
      <c r="A128" s="28" t="n">
        <v>45418</v>
      </c>
      <c r="B128" t="inlineStr">
        <is>
          <t>Mon</t>
        </is>
      </c>
      <c r="C128" t="n">
        <v>13</v>
      </c>
      <c r="D128" t="n">
        <v>1</v>
      </c>
      <c r="E128" t="n">
        <v>3</v>
      </c>
      <c r="F128" t="n">
        <v>17</v>
      </c>
    </row>
    <row r="129">
      <c r="A129" s="28" t="n">
        <v>45419</v>
      </c>
      <c r="B129" t="inlineStr">
        <is>
          <t>Tue</t>
        </is>
      </c>
      <c r="C129" t="n">
        <v>8</v>
      </c>
      <c r="D129" t="n">
        <v>0</v>
      </c>
      <c r="E129" t="n">
        <v>0</v>
      </c>
      <c r="F129" t="n">
        <v>8</v>
      </c>
    </row>
    <row r="130">
      <c r="A130" s="28" t="n">
        <v>45420</v>
      </c>
      <c r="B130" t="inlineStr">
        <is>
          <t>Wed</t>
        </is>
      </c>
      <c r="C130" t="n">
        <v>14</v>
      </c>
      <c r="D130" t="n">
        <v>2</v>
      </c>
      <c r="E130" t="n">
        <v>1</v>
      </c>
      <c r="F130" t="n">
        <v>17</v>
      </c>
    </row>
    <row r="131">
      <c r="A131" s="28" t="n">
        <v>45421</v>
      </c>
      <c r="B131" t="inlineStr">
        <is>
          <t>Thu</t>
        </is>
      </c>
      <c r="C131" t="n">
        <v>7</v>
      </c>
      <c r="D131" t="n">
        <v>3</v>
      </c>
      <c r="E131" t="n">
        <v>2</v>
      </c>
      <c r="F131" t="n">
        <v>12</v>
      </c>
    </row>
    <row r="132">
      <c r="A132" s="28" t="n">
        <v>45422</v>
      </c>
      <c r="B132" t="inlineStr">
        <is>
          <t>Fri</t>
        </is>
      </c>
      <c r="C132" t="n">
        <v>11</v>
      </c>
      <c r="D132" t="n">
        <v>4</v>
      </c>
      <c r="E132" t="n">
        <v>4</v>
      </c>
      <c r="F132" t="n">
        <v>19</v>
      </c>
    </row>
    <row r="133">
      <c r="A133" s="28" t="n">
        <v>45423</v>
      </c>
      <c r="B133" t="inlineStr">
        <is>
          <t>Sat</t>
        </is>
      </c>
      <c r="C133" t="n">
        <v>9</v>
      </c>
      <c r="D133" t="n">
        <v>2</v>
      </c>
      <c r="E133" t="n">
        <v>4</v>
      </c>
      <c r="F133" t="n">
        <v>15</v>
      </c>
    </row>
    <row r="134">
      <c r="A134" s="28" t="n">
        <v>45424</v>
      </c>
      <c r="B134" t="inlineStr">
        <is>
          <t>Sun</t>
        </is>
      </c>
      <c r="C134" t="n">
        <v>5</v>
      </c>
      <c r="D134" t="n">
        <v>3</v>
      </c>
      <c r="E134" t="n">
        <v>0</v>
      </c>
      <c r="F134" t="n">
        <v>8</v>
      </c>
    </row>
    <row r="135">
      <c r="A135" s="28" t="n">
        <v>45425</v>
      </c>
      <c r="B135" t="inlineStr">
        <is>
          <t>Mon</t>
        </is>
      </c>
      <c r="C135" t="n">
        <v>10</v>
      </c>
      <c r="D135" t="n">
        <v>2</v>
      </c>
      <c r="E135" t="n">
        <v>5</v>
      </c>
      <c r="F135" t="n">
        <v>17</v>
      </c>
    </row>
    <row r="136">
      <c r="A136" s="28" t="n">
        <v>45426</v>
      </c>
      <c r="B136" t="inlineStr">
        <is>
          <t>Tue</t>
        </is>
      </c>
      <c r="C136" t="n">
        <v>10</v>
      </c>
      <c r="D136" t="n">
        <v>3</v>
      </c>
      <c r="E136" t="n">
        <v>1</v>
      </c>
      <c r="F136" t="n">
        <v>14</v>
      </c>
    </row>
    <row r="137">
      <c r="A137" s="28" t="n">
        <v>45427</v>
      </c>
      <c r="B137" t="inlineStr">
        <is>
          <t>Wed</t>
        </is>
      </c>
      <c r="C137" t="n">
        <v>10</v>
      </c>
      <c r="D137" t="n">
        <v>2</v>
      </c>
      <c r="E137" t="n">
        <v>1</v>
      </c>
      <c r="F137" t="n">
        <v>13</v>
      </c>
    </row>
    <row r="138">
      <c r="A138" s="28" t="n">
        <v>45428</v>
      </c>
      <c r="B138" t="inlineStr">
        <is>
          <t>Thu</t>
        </is>
      </c>
      <c r="C138" t="n">
        <v>16</v>
      </c>
      <c r="D138" t="n">
        <v>2</v>
      </c>
      <c r="E138" t="n">
        <v>0</v>
      </c>
      <c r="F138" t="n">
        <v>18</v>
      </c>
    </row>
    <row r="139">
      <c r="A139" s="28" t="n">
        <v>45429</v>
      </c>
      <c r="B139" t="inlineStr">
        <is>
          <t>Fri</t>
        </is>
      </c>
      <c r="C139" t="n">
        <v>14</v>
      </c>
      <c r="D139" t="n">
        <v>2</v>
      </c>
      <c r="E139" t="n">
        <v>6</v>
      </c>
      <c r="F139" t="n">
        <v>22</v>
      </c>
    </row>
    <row r="140">
      <c r="A140" s="28" t="n">
        <v>45430</v>
      </c>
      <c r="B140" t="inlineStr">
        <is>
          <t>Sat</t>
        </is>
      </c>
      <c r="C140" t="n">
        <v>9</v>
      </c>
      <c r="D140" t="n">
        <v>1</v>
      </c>
      <c r="E140" t="n">
        <v>0</v>
      </c>
      <c r="F140" t="n">
        <v>10</v>
      </c>
    </row>
    <row r="141">
      <c r="A141" s="28" t="n">
        <v>45431</v>
      </c>
      <c r="B141" t="inlineStr">
        <is>
          <t>Sun</t>
        </is>
      </c>
      <c r="C141" t="n">
        <v>15</v>
      </c>
      <c r="D141" t="n">
        <v>2</v>
      </c>
      <c r="E141" t="n">
        <v>1</v>
      </c>
      <c r="F141" t="n">
        <v>18</v>
      </c>
    </row>
    <row r="142">
      <c r="A142" s="28" t="n">
        <v>45432</v>
      </c>
      <c r="B142" t="inlineStr">
        <is>
          <t>Mon</t>
        </is>
      </c>
      <c r="C142" t="n">
        <v>12</v>
      </c>
      <c r="D142" t="n">
        <v>2</v>
      </c>
      <c r="E142" t="n">
        <v>1</v>
      </c>
      <c r="F142" t="n">
        <v>15</v>
      </c>
    </row>
    <row r="143">
      <c r="A143" s="28" t="n">
        <v>45433</v>
      </c>
      <c r="B143" t="inlineStr">
        <is>
          <t>Tue</t>
        </is>
      </c>
      <c r="C143" t="n">
        <v>9</v>
      </c>
      <c r="D143" t="n">
        <v>2</v>
      </c>
      <c r="E143" t="n">
        <v>3</v>
      </c>
      <c r="F143" t="n">
        <v>14</v>
      </c>
    </row>
    <row r="144">
      <c r="A144" s="28" t="n">
        <v>45434</v>
      </c>
      <c r="B144" t="inlineStr">
        <is>
          <t>Wed</t>
        </is>
      </c>
      <c r="C144" t="n">
        <v>17</v>
      </c>
      <c r="D144" t="n">
        <v>0</v>
      </c>
      <c r="E144" t="n">
        <v>2</v>
      </c>
      <c r="F144" t="n">
        <v>19</v>
      </c>
    </row>
    <row r="145">
      <c r="A145" s="28" t="n">
        <v>45435</v>
      </c>
      <c r="B145" t="inlineStr">
        <is>
          <t>Thu</t>
        </is>
      </c>
      <c r="C145" t="n">
        <v>10</v>
      </c>
      <c r="D145" t="n">
        <v>1</v>
      </c>
      <c r="E145" t="n">
        <v>2</v>
      </c>
      <c r="F145" t="n">
        <v>13</v>
      </c>
    </row>
    <row r="146">
      <c r="A146" s="28" t="n">
        <v>45436</v>
      </c>
      <c r="B146" t="inlineStr">
        <is>
          <t>Fri</t>
        </is>
      </c>
      <c r="C146" t="n">
        <v>11</v>
      </c>
      <c r="D146" t="n">
        <v>0</v>
      </c>
      <c r="E146" t="n">
        <v>1</v>
      </c>
      <c r="F146" t="n">
        <v>12</v>
      </c>
    </row>
    <row r="147">
      <c r="A147" s="28" t="n">
        <v>45437</v>
      </c>
      <c r="B147" t="inlineStr">
        <is>
          <t>Sat</t>
        </is>
      </c>
      <c r="C147" t="n">
        <v>6</v>
      </c>
      <c r="D147" t="n">
        <v>2</v>
      </c>
      <c r="E147" t="n">
        <v>1</v>
      </c>
      <c r="F147" t="n">
        <v>9</v>
      </c>
    </row>
    <row r="148">
      <c r="A148" s="28" t="n">
        <v>45438</v>
      </c>
      <c r="B148" t="inlineStr">
        <is>
          <t>Sun</t>
        </is>
      </c>
      <c r="C148" t="n">
        <v>7</v>
      </c>
      <c r="D148" t="n">
        <v>2</v>
      </c>
      <c r="E148" t="n">
        <v>1</v>
      </c>
      <c r="F148" t="n">
        <v>10</v>
      </c>
    </row>
    <row r="149">
      <c r="A149" s="28" t="n">
        <v>45439</v>
      </c>
      <c r="B149" t="inlineStr">
        <is>
          <t>Mon</t>
        </is>
      </c>
      <c r="C149" t="n">
        <v>12</v>
      </c>
      <c r="D149" t="n">
        <v>4</v>
      </c>
      <c r="E149" t="n">
        <v>3</v>
      </c>
      <c r="F149" t="n">
        <v>19</v>
      </c>
    </row>
    <row r="150">
      <c r="A150" s="28" t="n">
        <v>45440</v>
      </c>
      <c r="B150" t="inlineStr">
        <is>
          <t>Tue</t>
        </is>
      </c>
      <c r="C150" t="n">
        <v>13</v>
      </c>
      <c r="D150" t="n">
        <v>2</v>
      </c>
      <c r="E150" t="n">
        <v>1</v>
      </c>
      <c r="F150" t="n">
        <v>16</v>
      </c>
    </row>
    <row r="151">
      <c r="A151" s="28" t="n">
        <v>45441</v>
      </c>
      <c r="B151" t="inlineStr">
        <is>
          <t>Wed</t>
        </is>
      </c>
      <c r="C151" t="n">
        <v>12</v>
      </c>
      <c r="D151" t="n">
        <v>4</v>
      </c>
      <c r="E151" t="n">
        <v>4</v>
      </c>
      <c r="F151" t="n">
        <v>20</v>
      </c>
    </row>
    <row r="152">
      <c r="A152" s="28" t="n">
        <v>45442</v>
      </c>
      <c r="B152" t="inlineStr">
        <is>
          <t>Thu</t>
        </is>
      </c>
      <c r="C152" t="n">
        <v>7</v>
      </c>
      <c r="D152" t="n">
        <v>2</v>
      </c>
      <c r="E152" t="n">
        <v>1</v>
      </c>
      <c r="F152" t="n">
        <v>10</v>
      </c>
    </row>
    <row r="153">
      <c r="A153" s="28" t="n">
        <v>45443</v>
      </c>
      <c r="B153" t="inlineStr">
        <is>
          <t>Fri</t>
        </is>
      </c>
      <c r="C153" t="n">
        <v>11</v>
      </c>
      <c r="D153" t="n">
        <v>0</v>
      </c>
      <c r="E153" t="n">
        <v>4</v>
      </c>
      <c r="F153" t="n">
        <v>15</v>
      </c>
    </row>
    <row r="154">
      <c r="A154" s="28" t="n">
        <v>45444</v>
      </c>
      <c r="B154" t="inlineStr">
        <is>
          <t>Sat</t>
        </is>
      </c>
      <c r="C154" t="n">
        <v>7</v>
      </c>
      <c r="D154" t="n">
        <v>2</v>
      </c>
      <c r="E154" t="n">
        <v>0</v>
      </c>
      <c r="F154" t="n">
        <v>9</v>
      </c>
    </row>
    <row r="155">
      <c r="A155" s="28" t="n">
        <v>45445</v>
      </c>
      <c r="B155" t="inlineStr">
        <is>
          <t>Sun</t>
        </is>
      </c>
      <c r="C155" t="n">
        <v>5</v>
      </c>
      <c r="D155" t="n">
        <v>2</v>
      </c>
      <c r="E155" t="n">
        <v>2</v>
      </c>
      <c r="F155" t="n">
        <v>9</v>
      </c>
    </row>
    <row r="156">
      <c r="A156" s="28" t="n">
        <v>45446</v>
      </c>
      <c r="B156" t="inlineStr">
        <is>
          <t>Mon</t>
        </is>
      </c>
      <c r="C156" t="n">
        <v>12</v>
      </c>
      <c r="D156" t="n">
        <v>3</v>
      </c>
      <c r="E156" t="n">
        <v>2</v>
      </c>
      <c r="F156" t="n">
        <v>17</v>
      </c>
    </row>
    <row r="157">
      <c r="A157" s="28" t="n">
        <v>45447</v>
      </c>
      <c r="B157" t="inlineStr">
        <is>
          <t>Tue</t>
        </is>
      </c>
      <c r="C157" t="n">
        <v>7</v>
      </c>
      <c r="D157" t="n">
        <v>1</v>
      </c>
      <c r="E157" t="n">
        <v>1</v>
      </c>
      <c r="F157" t="n">
        <v>9</v>
      </c>
    </row>
    <row r="158">
      <c r="A158" s="28" t="n">
        <v>45448</v>
      </c>
      <c r="B158" t="inlineStr">
        <is>
          <t>Wed</t>
        </is>
      </c>
      <c r="C158" t="n">
        <v>10</v>
      </c>
      <c r="D158" t="n">
        <v>2</v>
      </c>
      <c r="E158" t="n">
        <v>3</v>
      </c>
      <c r="F158" t="n">
        <v>15</v>
      </c>
    </row>
    <row r="159">
      <c r="A159" s="28" t="n">
        <v>45449</v>
      </c>
      <c r="B159" t="inlineStr">
        <is>
          <t>Thu</t>
        </is>
      </c>
      <c r="C159" t="n">
        <v>10</v>
      </c>
      <c r="D159" t="n">
        <v>0</v>
      </c>
      <c r="E159" t="n">
        <v>2</v>
      </c>
      <c r="F159" t="n">
        <v>12</v>
      </c>
    </row>
    <row r="160">
      <c r="A160" s="28" t="n">
        <v>45450</v>
      </c>
      <c r="B160" t="inlineStr">
        <is>
          <t>Fri</t>
        </is>
      </c>
      <c r="C160" t="n">
        <v>11</v>
      </c>
      <c r="D160" t="n">
        <v>4</v>
      </c>
      <c r="E160" t="n">
        <v>5</v>
      </c>
      <c r="F160" t="n">
        <v>20</v>
      </c>
    </row>
    <row r="161">
      <c r="A161" s="28" t="n">
        <v>45451</v>
      </c>
      <c r="B161" t="inlineStr">
        <is>
          <t>Sat</t>
        </is>
      </c>
      <c r="C161" t="n">
        <v>8</v>
      </c>
      <c r="D161" t="n">
        <v>1</v>
      </c>
      <c r="E161" t="n">
        <v>1</v>
      </c>
      <c r="F161" t="n">
        <v>10</v>
      </c>
    </row>
    <row r="162">
      <c r="A162" s="28" t="n">
        <v>45452</v>
      </c>
      <c r="B162" t="inlineStr">
        <is>
          <t>Sun</t>
        </is>
      </c>
      <c r="C162" t="n">
        <v>16</v>
      </c>
      <c r="D162" t="n">
        <v>4</v>
      </c>
      <c r="E162" t="n">
        <v>1</v>
      </c>
      <c r="F162" t="n">
        <v>21</v>
      </c>
    </row>
    <row r="163">
      <c r="A163" s="28" t="n">
        <v>45453</v>
      </c>
      <c r="B163" t="inlineStr">
        <is>
          <t>Mon</t>
        </is>
      </c>
      <c r="C163" t="n">
        <v>9</v>
      </c>
      <c r="D163" t="n">
        <v>1</v>
      </c>
      <c r="E163" t="n">
        <v>4</v>
      </c>
      <c r="F163" t="n">
        <v>14</v>
      </c>
    </row>
    <row r="164">
      <c r="A164" s="28" t="n">
        <v>45454</v>
      </c>
      <c r="B164" t="inlineStr">
        <is>
          <t>Tue</t>
        </is>
      </c>
      <c r="C164" t="n">
        <v>14</v>
      </c>
      <c r="D164" t="n">
        <v>1</v>
      </c>
      <c r="E164" t="n">
        <v>1</v>
      </c>
      <c r="F164" t="n">
        <v>16</v>
      </c>
    </row>
    <row r="165">
      <c r="A165" s="28" t="n">
        <v>45455</v>
      </c>
      <c r="B165" t="inlineStr">
        <is>
          <t>Wed</t>
        </is>
      </c>
      <c r="C165" t="n">
        <v>6</v>
      </c>
      <c r="D165" t="n">
        <v>5</v>
      </c>
      <c r="E165" t="n">
        <v>4</v>
      </c>
      <c r="F165" t="n">
        <v>15</v>
      </c>
    </row>
    <row r="166">
      <c r="A166" s="28" t="n">
        <v>45456</v>
      </c>
      <c r="B166" t="inlineStr">
        <is>
          <t>Thu</t>
        </is>
      </c>
      <c r="C166" t="n">
        <v>10</v>
      </c>
      <c r="D166" t="n">
        <v>0</v>
      </c>
      <c r="E166" t="n">
        <v>1</v>
      </c>
      <c r="F166" t="n">
        <v>11</v>
      </c>
    </row>
    <row r="167">
      <c r="A167" s="28" t="n">
        <v>45457</v>
      </c>
      <c r="B167" t="inlineStr">
        <is>
          <t>Fri</t>
        </is>
      </c>
      <c r="C167" t="n">
        <v>10</v>
      </c>
      <c r="D167" t="n">
        <v>2</v>
      </c>
      <c r="E167" t="n">
        <v>2</v>
      </c>
      <c r="F167" t="n">
        <v>14</v>
      </c>
    </row>
    <row r="168">
      <c r="A168" s="28" t="n">
        <v>45458</v>
      </c>
      <c r="B168" t="inlineStr">
        <is>
          <t>Sat</t>
        </is>
      </c>
      <c r="C168" t="n">
        <v>4</v>
      </c>
      <c r="D168" t="n">
        <v>2</v>
      </c>
      <c r="E168" t="n">
        <v>0</v>
      </c>
      <c r="F168" t="n">
        <v>6</v>
      </c>
    </row>
    <row r="169">
      <c r="A169" s="28" t="n">
        <v>45459</v>
      </c>
      <c r="B169" t="inlineStr">
        <is>
          <t>Sun</t>
        </is>
      </c>
      <c r="C169" t="n">
        <v>8</v>
      </c>
      <c r="D169" t="n">
        <v>1</v>
      </c>
      <c r="E169" t="n">
        <v>2</v>
      </c>
      <c r="F169" t="n">
        <v>11</v>
      </c>
    </row>
    <row r="170">
      <c r="A170" s="28" t="n">
        <v>45460</v>
      </c>
      <c r="B170" t="inlineStr">
        <is>
          <t>Mon</t>
        </is>
      </c>
      <c r="C170" t="n">
        <v>11</v>
      </c>
      <c r="D170" t="n">
        <v>3</v>
      </c>
      <c r="E170" t="n">
        <v>1</v>
      </c>
      <c r="F170" t="n">
        <v>15</v>
      </c>
    </row>
    <row r="171">
      <c r="A171" s="28" t="n">
        <v>45461</v>
      </c>
      <c r="B171" t="inlineStr">
        <is>
          <t>Tue</t>
        </is>
      </c>
      <c r="C171" t="n">
        <v>7</v>
      </c>
      <c r="D171" t="n">
        <v>2</v>
      </c>
      <c r="E171" t="n">
        <v>2</v>
      </c>
      <c r="F171" t="n">
        <v>11</v>
      </c>
    </row>
    <row r="172">
      <c r="A172" s="28" t="n">
        <v>45462</v>
      </c>
      <c r="B172" t="inlineStr">
        <is>
          <t>Wed</t>
        </is>
      </c>
      <c r="C172" t="n">
        <v>14</v>
      </c>
      <c r="D172" t="n">
        <v>2</v>
      </c>
      <c r="E172" t="n">
        <v>4</v>
      </c>
      <c r="F172" t="n">
        <v>20</v>
      </c>
    </row>
    <row r="173">
      <c r="A173" s="28" t="n">
        <v>45463</v>
      </c>
      <c r="B173" t="inlineStr">
        <is>
          <t>Thu</t>
        </is>
      </c>
      <c r="C173" t="n">
        <v>11</v>
      </c>
      <c r="D173" t="n">
        <v>1</v>
      </c>
      <c r="E173" t="n">
        <v>3</v>
      </c>
      <c r="F173" t="n">
        <v>15</v>
      </c>
    </row>
    <row r="174">
      <c r="A174" s="28" t="n">
        <v>45464</v>
      </c>
      <c r="B174" t="inlineStr">
        <is>
          <t>Fri</t>
        </is>
      </c>
      <c r="C174" t="n">
        <v>6</v>
      </c>
      <c r="D174" t="n">
        <v>1</v>
      </c>
      <c r="E174" t="n">
        <v>3</v>
      </c>
      <c r="F174" t="n">
        <v>10</v>
      </c>
    </row>
    <row r="175">
      <c r="A175" s="28" t="n">
        <v>45465</v>
      </c>
      <c r="B175" t="inlineStr">
        <is>
          <t>Sat</t>
        </is>
      </c>
      <c r="C175" t="n">
        <v>10</v>
      </c>
      <c r="D175" t="n">
        <v>1</v>
      </c>
      <c r="E175" t="n">
        <v>2</v>
      </c>
      <c r="F175" t="n">
        <v>13</v>
      </c>
    </row>
    <row r="176">
      <c r="A176" s="28" t="n">
        <v>45466</v>
      </c>
      <c r="B176" t="inlineStr">
        <is>
          <t>Sun</t>
        </is>
      </c>
      <c r="C176" t="n">
        <v>7</v>
      </c>
      <c r="D176" t="n">
        <v>0</v>
      </c>
      <c r="E176" t="n">
        <v>2</v>
      </c>
      <c r="F176" t="n">
        <v>9</v>
      </c>
    </row>
    <row r="177">
      <c r="A177" s="28" t="n">
        <v>45467</v>
      </c>
      <c r="B177" t="inlineStr">
        <is>
          <t>Mon</t>
        </is>
      </c>
      <c r="C177" t="n">
        <v>14</v>
      </c>
      <c r="D177" t="n">
        <v>0</v>
      </c>
      <c r="E177" t="n">
        <v>1</v>
      </c>
      <c r="F177" t="n">
        <v>15</v>
      </c>
    </row>
    <row r="178">
      <c r="A178" s="28" t="n">
        <v>45468</v>
      </c>
      <c r="B178" t="inlineStr">
        <is>
          <t>Tue</t>
        </is>
      </c>
      <c r="C178" t="n">
        <v>11</v>
      </c>
      <c r="D178" t="n">
        <v>4</v>
      </c>
      <c r="E178" t="n">
        <v>7</v>
      </c>
      <c r="F178" t="n">
        <v>22</v>
      </c>
    </row>
    <row r="179">
      <c r="A179" s="28" t="n">
        <v>45469</v>
      </c>
      <c r="B179" t="inlineStr">
        <is>
          <t>Wed</t>
        </is>
      </c>
      <c r="C179" t="n">
        <v>14</v>
      </c>
      <c r="D179" t="n">
        <v>4</v>
      </c>
      <c r="E179" t="n">
        <v>4</v>
      </c>
      <c r="F179" t="n">
        <v>22</v>
      </c>
    </row>
    <row r="180">
      <c r="A180" s="28" t="n">
        <v>45470</v>
      </c>
      <c r="B180" t="inlineStr">
        <is>
          <t>Thu</t>
        </is>
      </c>
      <c r="C180" t="n">
        <v>14</v>
      </c>
      <c r="D180" t="n">
        <v>0</v>
      </c>
      <c r="E180" t="n">
        <v>1</v>
      </c>
      <c r="F180" t="n">
        <v>15</v>
      </c>
    </row>
    <row r="181">
      <c r="A181" s="28" t="n">
        <v>45471</v>
      </c>
      <c r="B181" t="inlineStr">
        <is>
          <t>Fri</t>
        </is>
      </c>
      <c r="C181" t="n">
        <v>11</v>
      </c>
      <c r="D181" t="n">
        <v>1</v>
      </c>
      <c r="E181" t="n">
        <v>1</v>
      </c>
      <c r="F181" t="n">
        <v>13</v>
      </c>
    </row>
    <row r="182">
      <c r="A182" s="28" t="n">
        <v>45472</v>
      </c>
      <c r="B182" t="inlineStr">
        <is>
          <t>Sat</t>
        </is>
      </c>
      <c r="C182" t="n">
        <v>14</v>
      </c>
      <c r="D182" t="n">
        <v>2</v>
      </c>
      <c r="E182" t="n">
        <v>3</v>
      </c>
      <c r="F182" t="n">
        <v>19</v>
      </c>
    </row>
    <row r="183">
      <c r="A183" s="28" t="n">
        <v>45473</v>
      </c>
      <c r="B183" t="inlineStr">
        <is>
          <t>Sun</t>
        </is>
      </c>
      <c r="C183" t="n">
        <v>9</v>
      </c>
      <c r="D183" t="n">
        <v>3</v>
      </c>
      <c r="E183" t="n">
        <v>2</v>
      </c>
      <c r="F183" t="n">
        <v>14</v>
      </c>
    </row>
    <row r="184">
      <c r="A184" s="28" t="n">
        <v>45474</v>
      </c>
      <c r="B184" t="inlineStr">
        <is>
          <t>Mon</t>
        </is>
      </c>
      <c r="C184" t="n">
        <v>16</v>
      </c>
      <c r="D184" t="n">
        <v>1</v>
      </c>
      <c r="E184" t="n">
        <v>1</v>
      </c>
      <c r="F184" t="n">
        <v>18</v>
      </c>
    </row>
    <row r="185">
      <c r="A185" s="28" t="n">
        <v>45475</v>
      </c>
      <c r="B185" t="inlineStr">
        <is>
          <t>Tue</t>
        </is>
      </c>
      <c r="C185" t="n">
        <v>9</v>
      </c>
      <c r="D185" t="n">
        <v>0</v>
      </c>
      <c r="E185" t="n">
        <v>3</v>
      </c>
      <c r="F185" t="n">
        <v>12</v>
      </c>
    </row>
    <row r="186">
      <c r="A186" s="28" t="n">
        <v>45476</v>
      </c>
      <c r="B186" t="inlineStr">
        <is>
          <t>Wed</t>
        </is>
      </c>
      <c r="C186" t="n">
        <v>10</v>
      </c>
      <c r="D186" t="n">
        <v>4</v>
      </c>
      <c r="E186" t="n">
        <v>3</v>
      </c>
      <c r="F186" t="n">
        <v>17</v>
      </c>
    </row>
    <row r="187">
      <c r="A187" s="28" t="n">
        <v>45477</v>
      </c>
      <c r="B187" t="inlineStr">
        <is>
          <t>Thu</t>
        </is>
      </c>
      <c r="C187" t="n">
        <v>7</v>
      </c>
      <c r="D187" t="n">
        <v>1</v>
      </c>
      <c r="E187" t="n">
        <v>4</v>
      </c>
      <c r="F187" t="n">
        <v>12</v>
      </c>
    </row>
    <row r="188">
      <c r="A188" s="28" t="n">
        <v>45478</v>
      </c>
      <c r="B188" t="inlineStr">
        <is>
          <t>Fri</t>
        </is>
      </c>
      <c r="C188" t="n">
        <v>9</v>
      </c>
      <c r="D188" t="n">
        <v>3</v>
      </c>
      <c r="E188" t="n">
        <v>4</v>
      </c>
      <c r="F188" t="n">
        <v>16</v>
      </c>
    </row>
    <row r="189">
      <c r="A189" s="28" t="n">
        <v>45479</v>
      </c>
      <c r="B189" t="inlineStr">
        <is>
          <t>Sat</t>
        </is>
      </c>
      <c r="C189" t="n">
        <v>5</v>
      </c>
      <c r="D189" t="n">
        <v>1</v>
      </c>
      <c r="E189" t="n">
        <v>2</v>
      </c>
      <c r="F189" t="n">
        <v>8</v>
      </c>
    </row>
    <row r="190">
      <c r="A190" s="28" t="n">
        <v>45480</v>
      </c>
      <c r="B190" t="inlineStr">
        <is>
          <t>Sun</t>
        </is>
      </c>
      <c r="C190" t="n">
        <v>17</v>
      </c>
      <c r="D190" t="n">
        <v>0</v>
      </c>
      <c r="E190" t="n">
        <v>3</v>
      </c>
      <c r="F190" t="n">
        <v>20</v>
      </c>
    </row>
    <row r="191">
      <c r="A191" s="28" t="n">
        <v>45481</v>
      </c>
      <c r="B191" t="inlineStr">
        <is>
          <t>Mon</t>
        </is>
      </c>
      <c r="C191" t="n">
        <v>15</v>
      </c>
      <c r="D191" t="n">
        <v>0</v>
      </c>
      <c r="E191" t="n">
        <v>2</v>
      </c>
      <c r="F191" t="n">
        <v>17</v>
      </c>
    </row>
    <row r="192">
      <c r="A192" s="28" t="n">
        <v>45482</v>
      </c>
      <c r="B192" t="inlineStr">
        <is>
          <t>Tue</t>
        </is>
      </c>
      <c r="C192" t="n">
        <v>12</v>
      </c>
      <c r="D192" t="n">
        <v>1</v>
      </c>
      <c r="E192" t="n">
        <v>0</v>
      </c>
      <c r="F192" t="n">
        <v>13</v>
      </c>
    </row>
    <row r="193">
      <c r="A193" s="28" t="n">
        <v>45483</v>
      </c>
      <c r="B193" t="inlineStr">
        <is>
          <t>Wed</t>
        </is>
      </c>
      <c r="C193" t="n">
        <v>13</v>
      </c>
      <c r="D193" t="n">
        <v>2</v>
      </c>
      <c r="E193" t="n">
        <v>2</v>
      </c>
      <c r="F193" t="n">
        <v>17</v>
      </c>
    </row>
    <row r="194">
      <c r="A194" s="28" t="n">
        <v>45484</v>
      </c>
      <c r="B194" t="inlineStr">
        <is>
          <t>Thu</t>
        </is>
      </c>
      <c r="C194" t="n">
        <v>9</v>
      </c>
      <c r="D194" t="n">
        <v>3</v>
      </c>
      <c r="E194" t="n">
        <v>0</v>
      </c>
      <c r="F194" t="n">
        <v>12</v>
      </c>
    </row>
    <row r="195">
      <c r="A195" s="28" t="n">
        <v>45485</v>
      </c>
      <c r="B195" t="inlineStr">
        <is>
          <t>Fri</t>
        </is>
      </c>
      <c r="C195" t="n">
        <v>16</v>
      </c>
      <c r="D195" t="n">
        <v>3</v>
      </c>
      <c r="E195" t="n">
        <v>3</v>
      </c>
      <c r="F195" t="n">
        <v>22</v>
      </c>
    </row>
    <row r="196">
      <c r="A196" s="28" t="n">
        <v>45486</v>
      </c>
      <c r="B196" t="inlineStr">
        <is>
          <t>Sat</t>
        </is>
      </c>
      <c r="C196" t="n">
        <v>6</v>
      </c>
      <c r="D196" t="n">
        <v>3</v>
      </c>
      <c r="E196" t="n">
        <v>2</v>
      </c>
      <c r="F196" t="n">
        <v>11</v>
      </c>
    </row>
    <row r="197">
      <c r="A197" s="28" t="n">
        <v>45487</v>
      </c>
      <c r="B197" t="inlineStr">
        <is>
          <t>Sun</t>
        </is>
      </c>
      <c r="C197" t="n">
        <v>6</v>
      </c>
      <c r="D197" t="n">
        <v>3</v>
      </c>
      <c r="E197" t="n">
        <v>2</v>
      </c>
      <c r="F197" t="n">
        <v>11</v>
      </c>
    </row>
    <row r="198">
      <c r="A198" s="28" t="n">
        <v>45488</v>
      </c>
      <c r="B198" t="inlineStr">
        <is>
          <t>Mon</t>
        </is>
      </c>
      <c r="C198" t="n">
        <v>13</v>
      </c>
      <c r="D198" t="n">
        <v>2</v>
      </c>
      <c r="E198" t="n">
        <v>4</v>
      </c>
      <c r="F198" t="n">
        <v>19</v>
      </c>
    </row>
    <row r="199">
      <c r="A199" s="28" t="n">
        <v>45489</v>
      </c>
      <c r="B199" t="inlineStr">
        <is>
          <t>Tue</t>
        </is>
      </c>
      <c r="C199" t="n">
        <v>4</v>
      </c>
      <c r="D199" t="n">
        <v>1</v>
      </c>
      <c r="E199" t="n">
        <v>2</v>
      </c>
      <c r="F199" t="n">
        <v>7</v>
      </c>
    </row>
    <row r="200">
      <c r="A200" s="28" t="n">
        <v>45490</v>
      </c>
      <c r="B200" t="inlineStr">
        <is>
          <t>Wed</t>
        </is>
      </c>
      <c r="C200" t="n">
        <v>14</v>
      </c>
      <c r="D200" t="n">
        <v>1</v>
      </c>
      <c r="E200" t="n">
        <v>1</v>
      </c>
      <c r="F200" t="n">
        <v>16</v>
      </c>
    </row>
    <row r="201">
      <c r="A201" s="28" t="n">
        <v>45491</v>
      </c>
      <c r="B201" t="inlineStr">
        <is>
          <t>Thu</t>
        </is>
      </c>
      <c r="C201" t="n">
        <v>11</v>
      </c>
      <c r="D201" t="n">
        <v>2</v>
      </c>
      <c r="E201" t="n">
        <v>1</v>
      </c>
      <c r="F201" t="n">
        <v>14</v>
      </c>
    </row>
    <row r="202">
      <c r="A202" s="28" t="n">
        <v>45492</v>
      </c>
      <c r="B202" t="inlineStr">
        <is>
          <t>Fri</t>
        </is>
      </c>
      <c r="C202" t="n">
        <v>10</v>
      </c>
      <c r="D202" t="n">
        <v>2</v>
      </c>
      <c r="E202" t="n">
        <v>6</v>
      </c>
      <c r="F202" t="n">
        <v>18</v>
      </c>
    </row>
    <row r="203">
      <c r="A203" s="28" t="n">
        <v>45493</v>
      </c>
      <c r="B203" t="inlineStr">
        <is>
          <t>Sat</t>
        </is>
      </c>
      <c r="C203" t="n">
        <v>8</v>
      </c>
      <c r="D203" t="n">
        <v>3</v>
      </c>
      <c r="E203" t="n">
        <v>0</v>
      </c>
      <c r="F203" t="n">
        <v>11</v>
      </c>
    </row>
    <row r="204">
      <c r="A204" s="28" t="n">
        <v>45494</v>
      </c>
      <c r="B204" t="inlineStr">
        <is>
          <t>Sun</t>
        </is>
      </c>
      <c r="C204" t="n">
        <v>13</v>
      </c>
      <c r="D204" t="n">
        <v>3</v>
      </c>
      <c r="E204" t="n">
        <v>2</v>
      </c>
      <c r="F204" t="n">
        <v>18</v>
      </c>
    </row>
    <row r="205">
      <c r="A205" s="28" t="n">
        <v>45495</v>
      </c>
      <c r="B205" t="inlineStr">
        <is>
          <t>Mon</t>
        </is>
      </c>
      <c r="C205" t="n">
        <v>9</v>
      </c>
      <c r="D205" t="n">
        <v>1</v>
      </c>
      <c r="E205" t="n">
        <v>4</v>
      </c>
      <c r="F205" t="n">
        <v>14</v>
      </c>
    </row>
    <row r="206">
      <c r="A206" s="28" t="n">
        <v>45496</v>
      </c>
      <c r="B206" t="inlineStr">
        <is>
          <t>Tue</t>
        </is>
      </c>
      <c r="C206" t="n">
        <v>13</v>
      </c>
      <c r="D206" t="n">
        <v>0</v>
      </c>
      <c r="E206" t="n">
        <v>2</v>
      </c>
      <c r="F206" t="n">
        <v>15</v>
      </c>
    </row>
    <row r="207">
      <c r="A207" s="28" t="n">
        <v>45497</v>
      </c>
      <c r="B207" t="inlineStr">
        <is>
          <t>Wed</t>
        </is>
      </c>
      <c r="C207" t="n">
        <v>11</v>
      </c>
      <c r="D207" t="n">
        <v>1</v>
      </c>
      <c r="E207" t="n">
        <v>4</v>
      </c>
      <c r="F207" t="n">
        <v>16</v>
      </c>
    </row>
    <row r="208">
      <c r="A208" s="28" t="n">
        <v>45498</v>
      </c>
      <c r="B208" t="inlineStr">
        <is>
          <t>Thu</t>
        </is>
      </c>
      <c r="C208" t="n">
        <v>10</v>
      </c>
      <c r="D208" t="n">
        <v>2</v>
      </c>
      <c r="E208" t="n">
        <v>3</v>
      </c>
      <c r="F208" t="n">
        <v>15</v>
      </c>
    </row>
    <row r="209">
      <c r="A209" s="28" t="n">
        <v>45499</v>
      </c>
      <c r="B209" t="inlineStr">
        <is>
          <t>Fri</t>
        </is>
      </c>
      <c r="C209" t="n">
        <v>12</v>
      </c>
      <c r="D209" t="n">
        <v>2</v>
      </c>
      <c r="E209" t="n">
        <v>3</v>
      </c>
      <c r="F209" t="n">
        <v>17</v>
      </c>
    </row>
    <row r="210">
      <c r="A210" s="28" t="n">
        <v>45500</v>
      </c>
      <c r="B210" t="inlineStr">
        <is>
          <t>Sat</t>
        </is>
      </c>
      <c r="C210" t="n">
        <v>12</v>
      </c>
      <c r="D210" t="n">
        <v>0</v>
      </c>
      <c r="E210" t="n">
        <v>0</v>
      </c>
      <c r="F210" t="n">
        <v>12</v>
      </c>
    </row>
    <row r="211">
      <c r="A211" s="28" t="n">
        <v>45501</v>
      </c>
      <c r="B211" t="inlineStr">
        <is>
          <t>Sun</t>
        </is>
      </c>
      <c r="C211" t="n">
        <v>11</v>
      </c>
      <c r="D211" t="n">
        <v>1</v>
      </c>
      <c r="E211" t="n">
        <v>1</v>
      </c>
      <c r="F211" t="n">
        <v>13</v>
      </c>
    </row>
    <row r="212">
      <c r="A212" s="28" t="n">
        <v>45502</v>
      </c>
      <c r="B212" t="inlineStr">
        <is>
          <t>Mon</t>
        </is>
      </c>
      <c r="C212" t="n">
        <v>6</v>
      </c>
      <c r="D212" t="n">
        <v>2</v>
      </c>
      <c r="E212" t="n">
        <v>2</v>
      </c>
      <c r="F212" t="n">
        <v>10</v>
      </c>
    </row>
    <row r="213">
      <c r="A213" s="28" t="n">
        <v>45503</v>
      </c>
      <c r="B213" t="inlineStr">
        <is>
          <t>Tue</t>
        </is>
      </c>
      <c r="C213" t="n">
        <v>8</v>
      </c>
      <c r="D213" t="n">
        <v>3</v>
      </c>
      <c r="E213" t="n">
        <v>2</v>
      </c>
      <c r="F213" t="n">
        <v>13</v>
      </c>
    </row>
    <row r="214">
      <c r="A214" s="28" t="n">
        <v>45504</v>
      </c>
      <c r="B214" t="inlineStr">
        <is>
          <t>Wed</t>
        </is>
      </c>
      <c r="C214" t="n">
        <v>6</v>
      </c>
      <c r="D214" t="n">
        <v>1</v>
      </c>
      <c r="E214" t="n">
        <v>3</v>
      </c>
      <c r="F214" t="n">
        <v>10</v>
      </c>
    </row>
    <row r="215">
      <c r="A215" s="28" t="n">
        <v>45505</v>
      </c>
      <c r="B215" t="inlineStr">
        <is>
          <t>Thu</t>
        </is>
      </c>
      <c r="C215" t="n">
        <v>7</v>
      </c>
      <c r="D215" t="n">
        <v>2</v>
      </c>
      <c r="E215" t="n">
        <v>2</v>
      </c>
      <c r="F215" t="n">
        <v>11</v>
      </c>
    </row>
    <row r="216">
      <c r="A216" s="28" t="n">
        <v>45506</v>
      </c>
      <c r="B216" t="inlineStr">
        <is>
          <t>Fri</t>
        </is>
      </c>
      <c r="C216" t="n">
        <v>12</v>
      </c>
      <c r="D216" t="n">
        <v>3</v>
      </c>
      <c r="E216" t="n">
        <v>4</v>
      </c>
      <c r="F216" t="n">
        <v>19</v>
      </c>
    </row>
    <row r="217">
      <c r="A217" s="28" t="n">
        <v>45507</v>
      </c>
      <c r="B217" t="inlineStr">
        <is>
          <t>Sat</t>
        </is>
      </c>
      <c r="C217" t="n">
        <v>10</v>
      </c>
      <c r="D217" t="n">
        <v>4</v>
      </c>
      <c r="E217" t="n">
        <v>3</v>
      </c>
      <c r="F217" t="n">
        <v>17</v>
      </c>
    </row>
    <row r="218">
      <c r="A218" s="28" t="n">
        <v>45508</v>
      </c>
      <c r="B218" t="inlineStr">
        <is>
          <t>Sun</t>
        </is>
      </c>
      <c r="C218" t="n">
        <v>11</v>
      </c>
      <c r="D218" t="n">
        <v>2</v>
      </c>
      <c r="E218" t="n">
        <v>2</v>
      </c>
      <c r="F218" t="n">
        <v>15</v>
      </c>
    </row>
    <row r="219">
      <c r="A219" s="28" t="n">
        <v>45509</v>
      </c>
      <c r="B219" t="inlineStr">
        <is>
          <t>Mon</t>
        </is>
      </c>
      <c r="C219" t="n">
        <v>10</v>
      </c>
      <c r="D219" t="n">
        <v>1</v>
      </c>
      <c r="E219" t="n">
        <v>3</v>
      </c>
      <c r="F219" t="n">
        <v>14</v>
      </c>
    </row>
    <row r="220">
      <c r="A220" s="28" t="n">
        <v>45510</v>
      </c>
      <c r="B220" t="inlineStr">
        <is>
          <t>Tue</t>
        </is>
      </c>
      <c r="C220" t="n">
        <v>13</v>
      </c>
      <c r="D220" t="n">
        <v>3</v>
      </c>
      <c r="E220" t="n">
        <v>1</v>
      </c>
      <c r="F220" t="n">
        <v>17</v>
      </c>
    </row>
    <row r="221">
      <c r="A221" s="28" t="n">
        <v>45511</v>
      </c>
      <c r="B221" t="inlineStr">
        <is>
          <t>Wed</t>
        </is>
      </c>
      <c r="C221" t="n">
        <v>10</v>
      </c>
      <c r="D221" t="n">
        <v>4</v>
      </c>
      <c r="E221" t="n">
        <v>4</v>
      </c>
      <c r="F221" t="n">
        <v>18</v>
      </c>
    </row>
    <row r="222">
      <c r="A222" s="28" t="n">
        <v>45512</v>
      </c>
      <c r="B222" t="inlineStr">
        <is>
          <t>Thu</t>
        </is>
      </c>
      <c r="C222" t="n">
        <v>6</v>
      </c>
      <c r="D222" t="n">
        <v>2</v>
      </c>
      <c r="E222" t="n">
        <v>0</v>
      </c>
      <c r="F222" t="n">
        <v>8</v>
      </c>
    </row>
    <row r="223">
      <c r="A223" s="28" t="n">
        <v>45513</v>
      </c>
      <c r="B223" t="inlineStr">
        <is>
          <t>Fri</t>
        </is>
      </c>
      <c r="C223" t="n">
        <v>10</v>
      </c>
      <c r="D223" t="n">
        <v>1</v>
      </c>
      <c r="E223" t="n">
        <v>5</v>
      </c>
      <c r="F223" t="n">
        <v>16</v>
      </c>
    </row>
    <row r="224">
      <c r="A224" s="28" t="n">
        <v>45514</v>
      </c>
      <c r="B224" t="inlineStr">
        <is>
          <t>Sat</t>
        </is>
      </c>
      <c r="C224" t="n">
        <v>5</v>
      </c>
      <c r="D224" t="n">
        <v>2</v>
      </c>
      <c r="E224" t="n">
        <v>3</v>
      </c>
      <c r="F224" t="n">
        <v>10</v>
      </c>
    </row>
    <row r="225">
      <c r="A225" s="28" t="n">
        <v>45515</v>
      </c>
      <c r="B225" t="inlineStr">
        <is>
          <t>Sun</t>
        </is>
      </c>
      <c r="C225" t="n">
        <v>12</v>
      </c>
      <c r="D225" t="n">
        <v>1</v>
      </c>
      <c r="E225" t="n">
        <v>4</v>
      </c>
      <c r="F225" t="n">
        <v>17</v>
      </c>
    </row>
    <row r="226">
      <c r="A226" s="28" t="n">
        <v>45516</v>
      </c>
      <c r="B226" t="inlineStr">
        <is>
          <t>Mon</t>
        </is>
      </c>
      <c r="C226" t="n">
        <v>8</v>
      </c>
      <c r="D226" t="n">
        <v>3</v>
      </c>
      <c r="E226" t="n">
        <v>4</v>
      </c>
      <c r="F226" t="n">
        <v>15</v>
      </c>
    </row>
    <row r="227">
      <c r="A227" s="28" t="n">
        <v>45517</v>
      </c>
      <c r="B227" t="inlineStr">
        <is>
          <t>Tue</t>
        </is>
      </c>
      <c r="C227" t="n">
        <v>13</v>
      </c>
      <c r="D227" t="n">
        <v>1</v>
      </c>
      <c r="E227" t="n">
        <v>1</v>
      </c>
      <c r="F227" t="n">
        <v>15</v>
      </c>
    </row>
    <row r="228">
      <c r="A228" s="28" t="n">
        <v>45518</v>
      </c>
      <c r="B228" t="inlineStr">
        <is>
          <t>Wed</t>
        </is>
      </c>
      <c r="C228" t="n">
        <v>15</v>
      </c>
      <c r="D228" t="n">
        <v>1</v>
      </c>
      <c r="E228" t="n">
        <v>1</v>
      </c>
      <c r="F228" t="n">
        <v>17</v>
      </c>
    </row>
    <row r="229">
      <c r="A229" s="28" t="n">
        <v>45519</v>
      </c>
      <c r="B229" t="inlineStr">
        <is>
          <t>Thu</t>
        </is>
      </c>
      <c r="C229" t="n">
        <v>11</v>
      </c>
      <c r="D229" t="n">
        <v>1</v>
      </c>
      <c r="E229" t="n">
        <v>2</v>
      </c>
      <c r="F229" t="n">
        <v>14</v>
      </c>
    </row>
    <row r="230">
      <c r="A230" s="28" t="n">
        <v>45520</v>
      </c>
      <c r="B230" t="inlineStr">
        <is>
          <t>Fri</t>
        </is>
      </c>
      <c r="C230" t="n">
        <v>7</v>
      </c>
      <c r="D230" t="n">
        <v>4</v>
      </c>
      <c r="E230" t="n">
        <v>0</v>
      </c>
      <c r="F230" t="n">
        <v>11</v>
      </c>
    </row>
    <row r="231">
      <c r="A231" s="28" t="n">
        <v>45521</v>
      </c>
      <c r="B231" t="inlineStr">
        <is>
          <t>Sat</t>
        </is>
      </c>
      <c r="C231" t="n">
        <v>14</v>
      </c>
      <c r="D231" t="n">
        <v>1</v>
      </c>
      <c r="E231" t="n">
        <v>5</v>
      </c>
      <c r="F231" t="n">
        <v>20</v>
      </c>
    </row>
    <row r="232">
      <c r="A232" s="28" t="n">
        <v>45522</v>
      </c>
      <c r="B232" t="inlineStr">
        <is>
          <t>Sun</t>
        </is>
      </c>
      <c r="C232" t="n">
        <v>7</v>
      </c>
      <c r="D232" t="n">
        <v>2</v>
      </c>
      <c r="E232" t="n">
        <v>0</v>
      </c>
      <c r="F232" t="n">
        <v>9</v>
      </c>
    </row>
    <row r="233">
      <c r="A233" s="28" t="n">
        <v>45523</v>
      </c>
      <c r="B233" t="inlineStr">
        <is>
          <t>Mon</t>
        </is>
      </c>
      <c r="C233" t="n">
        <v>12</v>
      </c>
      <c r="D233" t="n">
        <v>3</v>
      </c>
      <c r="E233" t="n">
        <v>6</v>
      </c>
      <c r="F233" t="n">
        <v>21</v>
      </c>
    </row>
    <row r="234">
      <c r="A234" s="28" t="n">
        <v>45524</v>
      </c>
      <c r="B234" t="inlineStr">
        <is>
          <t>Tue</t>
        </is>
      </c>
      <c r="C234" t="n">
        <v>11</v>
      </c>
      <c r="D234" t="n">
        <v>1</v>
      </c>
      <c r="E234" t="n">
        <v>1</v>
      </c>
      <c r="F234" t="n">
        <v>13</v>
      </c>
    </row>
    <row r="235">
      <c r="A235" s="28" t="n">
        <v>45525</v>
      </c>
      <c r="B235" t="inlineStr">
        <is>
          <t>Wed</t>
        </is>
      </c>
      <c r="C235" t="n">
        <v>13</v>
      </c>
      <c r="D235" t="n">
        <v>2</v>
      </c>
      <c r="E235" t="n">
        <v>2</v>
      </c>
      <c r="F235" t="n">
        <v>17</v>
      </c>
    </row>
    <row r="236">
      <c r="A236" s="28" t="n">
        <v>45526</v>
      </c>
      <c r="B236" t="inlineStr">
        <is>
          <t>Thu</t>
        </is>
      </c>
      <c r="C236" t="n">
        <v>17</v>
      </c>
      <c r="D236" t="n">
        <v>2</v>
      </c>
      <c r="E236" t="n">
        <v>2</v>
      </c>
      <c r="F236" t="n">
        <v>21</v>
      </c>
    </row>
    <row r="237">
      <c r="A237" s="28" t="n">
        <v>45527</v>
      </c>
      <c r="B237" t="inlineStr">
        <is>
          <t>Fri</t>
        </is>
      </c>
      <c r="C237" t="n">
        <v>8</v>
      </c>
      <c r="D237" t="n">
        <v>2</v>
      </c>
      <c r="E237" t="n">
        <v>2</v>
      </c>
      <c r="F237" t="n">
        <v>12</v>
      </c>
    </row>
    <row r="238">
      <c r="A238" s="28" t="n">
        <v>45528</v>
      </c>
      <c r="B238" t="inlineStr">
        <is>
          <t>Sat</t>
        </is>
      </c>
      <c r="C238" t="n">
        <v>10</v>
      </c>
      <c r="D238" t="n">
        <v>3</v>
      </c>
      <c r="E238" t="n">
        <v>2</v>
      </c>
      <c r="F238" t="n">
        <v>15</v>
      </c>
    </row>
    <row r="239">
      <c r="A239" s="28" t="n">
        <v>45529</v>
      </c>
      <c r="B239" t="inlineStr">
        <is>
          <t>Sun</t>
        </is>
      </c>
      <c r="C239" t="n">
        <v>14</v>
      </c>
      <c r="D239" t="n">
        <v>3</v>
      </c>
      <c r="E239" t="n">
        <v>1</v>
      </c>
      <c r="F239" t="n">
        <v>18</v>
      </c>
    </row>
    <row r="240">
      <c r="A240" s="28" t="n">
        <v>45530</v>
      </c>
      <c r="B240" t="inlineStr">
        <is>
          <t>Mon</t>
        </is>
      </c>
      <c r="C240" t="n">
        <v>11</v>
      </c>
      <c r="D240" t="n">
        <v>2</v>
      </c>
      <c r="E240" t="n">
        <v>6</v>
      </c>
      <c r="F240" t="n">
        <v>19</v>
      </c>
    </row>
    <row r="241">
      <c r="A241" s="28" t="n">
        <v>45531</v>
      </c>
      <c r="B241" t="inlineStr">
        <is>
          <t>Tue</t>
        </is>
      </c>
      <c r="C241" t="n">
        <v>4</v>
      </c>
      <c r="D241" t="n">
        <v>4</v>
      </c>
      <c r="E241" t="n">
        <v>4</v>
      </c>
      <c r="F241" t="n">
        <v>12</v>
      </c>
    </row>
    <row r="242">
      <c r="A242" s="28" t="n">
        <v>45532</v>
      </c>
      <c r="B242" t="inlineStr">
        <is>
          <t>Wed</t>
        </is>
      </c>
      <c r="C242" t="n">
        <v>9</v>
      </c>
      <c r="D242" t="n">
        <v>4</v>
      </c>
      <c r="E242" t="n">
        <v>1</v>
      </c>
      <c r="F242" t="n">
        <v>14</v>
      </c>
    </row>
    <row r="243">
      <c r="A243" s="28" t="n">
        <v>45533</v>
      </c>
      <c r="B243" t="inlineStr">
        <is>
          <t>Thu</t>
        </is>
      </c>
      <c r="C243" t="n">
        <v>10</v>
      </c>
      <c r="D243" t="n">
        <v>1</v>
      </c>
      <c r="E243" t="n">
        <v>4</v>
      </c>
      <c r="F243" t="n">
        <v>15</v>
      </c>
    </row>
    <row r="244">
      <c r="A244" s="28" t="n">
        <v>45534</v>
      </c>
      <c r="B244" t="inlineStr">
        <is>
          <t>Fri</t>
        </is>
      </c>
      <c r="C244" t="n">
        <v>8</v>
      </c>
      <c r="D244" t="n">
        <v>3</v>
      </c>
      <c r="E244" t="n">
        <v>3</v>
      </c>
      <c r="F244" t="n">
        <v>14</v>
      </c>
    </row>
    <row r="245">
      <c r="A245" s="28" t="n">
        <v>45535</v>
      </c>
      <c r="B245" t="inlineStr">
        <is>
          <t>Sat</t>
        </is>
      </c>
      <c r="C245" t="n">
        <v>10</v>
      </c>
      <c r="D245" t="n">
        <v>3</v>
      </c>
      <c r="E245" t="n">
        <v>2</v>
      </c>
      <c r="F245" t="n">
        <v>15</v>
      </c>
    </row>
    <row r="246">
      <c r="A246" s="28" t="n">
        <v>45536</v>
      </c>
      <c r="B246" t="inlineStr">
        <is>
          <t>Sun</t>
        </is>
      </c>
      <c r="C246" t="n">
        <v>6</v>
      </c>
      <c r="D246" t="n">
        <v>0</v>
      </c>
      <c r="E246" t="n">
        <v>5</v>
      </c>
      <c r="F246" t="n">
        <v>11</v>
      </c>
    </row>
    <row r="247">
      <c r="A247" s="28" t="n">
        <v>45537</v>
      </c>
      <c r="B247" t="inlineStr">
        <is>
          <t>Mon</t>
        </is>
      </c>
      <c r="C247" t="n">
        <v>13</v>
      </c>
      <c r="D247" t="n">
        <v>2</v>
      </c>
      <c r="E247" t="n">
        <v>2</v>
      </c>
      <c r="F247" t="n">
        <v>17</v>
      </c>
    </row>
    <row r="248">
      <c r="A248" s="28" t="n">
        <v>45538</v>
      </c>
      <c r="B248" t="inlineStr">
        <is>
          <t>Tue</t>
        </is>
      </c>
      <c r="C248" t="n">
        <v>10</v>
      </c>
      <c r="D248" t="n">
        <v>3</v>
      </c>
      <c r="E248" t="n">
        <v>2</v>
      </c>
      <c r="F248" t="n">
        <v>15</v>
      </c>
    </row>
    <row r="249">
      <c r="A249" s="28" t="n">
        <v>45539</v>
      </c>
      <c r="B249" t="inlineStr">
        <is>
          <t>Wed</t>
        </is>
      </c>
      <c r="C249" t="n">
        <v>8</v>
      </c>
      <c r="D249" t="n">
        <v>2</v>
      </c>
      <c r="E249" t="n">
        <v>2</v>
      </c>
      <c r="F249" t="n">
        <v>12</v>
      </c>
    </row>
    <row r="250">
      <c r="A250" s="28" t="n">
        <v>45540</v>
      </c>
      <c r="B250" t="inlineStr">
        <is>
          <t>Thu</t>
        </is>
      </c>
      <c r="C250" t="n">
        <v>10</v>
      </c>
      <c r="D250" t="n">
        <v>1</v>
      </c>
      <c r="E250" t="n">
        <v>2</v>
      </c>
      <c r="F250" t="n">
        <v>13</v>
      </c>
    </row>
    <row r="251">
      <c r="A251" s="28" t="n">
        <v>45541</v>
      </c>
      <c r="B251" t="inlineStr">
        <is>
          <t>Fri</t>
        </is>
      </c>
      <c r="C251" t="n">
        <v>15</v>
      </c>
      <c r="D251" t="n">
        <v>0</v>
      </c>
      <c r="E251" t="n">
        <v>1</v>
      </c>
      <c r="F251" t="n">
        <v>16</v>
      </c>
    </row>
    <row r="252">
      <c r="A252" s="28" t="n">
        <v>45542</v>
      </c>
      <c r="B252" t="inlineStr">
        <is>
          <t>Sat</t>
        </is>
      </c>
      <c r="C252" t="n">
        <v>13</v>
      </c>
      <c r="D252" t="n">
        <v>2</v>
      </c>
      <c r="E252" t="n">
        <v>0</v>
      </c>
      <c r="F252" t="n">
        <v>15</v>
      </c>
    </row>
    <row r="253">
      <c r="A253" s="28" t="n">
        <v>45543</v>
      </c>
      <c r="B253" t="inlineStr">
        <is>
          <t>Sun</t>
        </is>
      </c>
      <c r="C253" t="n">
        <v>6</v>
      </c>
      <c r="D253" t="n">
        <v>3</v>
      </c>
      <c r="E253" t="n">
        <v>0</v>
      </c>
      <c r="F253" t="n">
        <v>9</v>
      </c>
    </row>
    <row r="254">
      <c r="A254" s="28" t="n">
        <v>45544</v>
      </c>
      <c r="B254" t="inlineStr">
        <is>
          <t>Mon</t>
        </is>
      </c>
      <c r="C254" t="n">
        <v>13</v>
      </c>
      <c r="D254" t="n">
        <v>2</v>
      </c>
      <c r="E254" t="n">
        <v>1</v>
      </c>
      <c r="F254" t="n">
        <v>16</v>
      </c>
    </row>
    <row r="255">
      <c r="A255" s="28" t="n">
        <v>45545</v>
      </c>
      <c r="B255" t="inlineStr">
        <is>
          <t>Tue</t>
        </is>
      </c>
      <c r="C255" t="n">
        <v>10</v>
      </c>
      <c r="D255" t="n">
        <v>0</v>
      </c>
      <c r="E255" t="n">
        <v>4</v>
      </c>
      <c r="F255" t="n">
        <v>14</v>
      </c>
    </row>
    <row r="256">
      <c r="A256" s="28" t="n">
        <v>45546</v>
      </c>
      <c r="B256" t="inlineStr">
        <is>
          <t>Wed</t>
        </is>
      </c>
      <c r="C256" t="n">
        <v>8</v>
      </c>
      <c r="D256" t="n">
        <v>3</v>
      </c>
      <c r="E256" t="n">
        <v>1</v>
      </c>
      <c r="F256" t="n">
        <v>12</v>
      </c>
    </row>
    <row r="257">
      <c r="A257" s="28" t="n">
        <v>45547</v>
      </c>
      <c r="B257" t="inlineStr">
        <is>
          <t>Thu</t>
        </is>
      </c>
      <c r="C257" t="n">
        <v>12</v>
      </c>
      <c r="D257" t="n">
        <v>1</v>
      </c>
      <c r="E257" t="n">
        <v>4</v>
      </c>
      <c r="F257" t="n">
        <v>17</v>
      </c>
    </row>
    <row r="258">
      <c r="A258" s="28" t="n">
        <v>45548</v>
      </c>
      <c r="B258" t="inlineStr">
        <is>
          <t>Fri</t>
        </is>
      </c>
      <c r="C258" t="n">
        <v>6</v>
      </c>
      <c r="D258" t="n">
        <v>2</v>
      </c>
      <c r="E258" t="n">
        <v>1</v>
      </c>
      <c r="F258" t="n">
        <v>9</v>
      </c>
    </row>
    <row r="259">
      <c r="A259" s="28" t="n">
        <v>45549</v>
      </c>
      <c r="B259" t="inlineStr">
        <is>
          <t>Sat</t>
        </is>
      </c>
      <c r="C259" t="n">
        <v>11</v>
      </c>
      <c r="D259" t="n">
        <v>3</v>
      </c>
      <c r="E259" t="n">
        <v>2</v>
      </c>
      <c r="F259" t="n">
        <v>16</v>
      </c>
    </row>
    <row r="260">
      <c r="A260" s="28" t="n">
        <v>45550</v>
      </c>
      <c r="B260" t="inlineStr">
        <is>
          <t>Sun</t>
        </is>
      </c>
      <c r="C260" t="n">
        <v>7</v>
      </c>
      <c r="D260" t="n">
        <v>2</v>
      </c>
      <c r="E260" t="n">
        <v>0</v>
      </c>
      <c r="F260" t="n">
        <v>9</v>
      </c>
    </row>
    <row r="261">
      <c r="A261" s="28" t="n">
        <v>45551</v>
      </c>
      <c r="B261" t="inlineStr">
        <is>
          <t>Mon</t>
        </is>
      </c>
      <c r="C261" t="n">
        <v>6</v>
      </c>
      <c r="D261" t="n">
        <v>4</v>
      </c>
      <c r="E261" t="n">
        <v>3</v>
      </c>
      <c r="F261" t="n">
        <v>13</v>
      </c>
    </row>
    <row r="262">
      <c r="A262" s="28" t="n">
        <v>45552</v>
      </c>
      <c r="B262" t="inlineStr">
        <is>
          <t>Tue</t>
        </is>
      </c>
      <c r="C262" t="n">
        <v>5</v>
      </c>
      <c r="D262" t="n">
        <v>1</v>
      </c>
      <c r="E262" t="n">
        <v>3</v>
      </c>
      <c r="F262" t="n">
        <v>9</v>
      </c>
    </row>
    <row r="263">
      <c r="A263" s="28" t="n">
        <v>45553</v>
      </c>
      <c r="B263" t="inlineStr">
        <is>
          <t>Wed</t>
        </is>
      </c>
      <c r="C263" t="n">
        <v>11</v>
      </c>
      <c r="D263" t="n">
        <v>1</v>
      </c>
      <c r="E263" t="n">
        <v>2</v>
      </c>
      <c r="F263" t="n">
        <v>14</v>
      </c>
    </row>
    <row r="264">
      <c r="A264" s="28" t="n">
        <v>45554</v>
      </c>
      <c r="B264" t="inlineStr">
        <is>
          <t>Thu</t>
        </is>
      </c>
      <c r="C264" t="n">
        <v>8</v>
      </c>
      <c r="D264" t="n">
        <v>2</v>
      </c>
      <c r="E264" t="n">
        <v>6</v>
      </c>
      <c r="F264" t="n">
        <v>16</v>
      </c>
    </row>
    <row r="265">
      <c r="A265" s="28" t="n">
        <v>45555</v>
      </c>
      <c r="B265" t="inlineStr">
        <is>
          <t>Fri</t>
        </is>
      </c>
      <c r="C265" t="n">
        <v>14</v>
      </c>
      <c r="D265" t="n">
        <v>2</v>
      </c>
      <c r="E265" t="n">
        <v>3</v>
      </c>
      <c r="F265" t="n">
        <v>19</v>
      </c>
    </row>
    <row r="266">
      <c r="A266" s="28" t="n">
        <v>45556</v>
      </c>
      <c r="B266" t="inlineStr">
        <is>
          <t>Sat</t>
        </is>
      </c>
      <c r="C266" t="n">
        <v>9</v>
      </c>
      <c r="D266" t="n">
        <v>6</v>
      </c>
      <c r="E266" t="n">
        <v>3</v>
      </c>
      <c r="F266" t="n">
        <v>18</v>
      </c>
    </row>
    <row r="267">
      <c r="A267" s="28" t="n">
        <v>45557</v>
      </c>
      <c r="B267" t="inlineStr">
        <is>
          <t>Sun</t>
        </is>
      </c>
      <c r="C267" t="n">
        <v>5</v>
      </c>
      <c r="D267" t="n">
        <v>1</v>
      </c>
      <c r="E267" t="n">
        <v>1</v>
      </c>
      <c r="F267" t="n">
        <v>7</v>
      </c>
    </row>
    <row r="268">
      <c r="A268" s="28" t="n">
        <v>45558</v>
      </c>
      <c r="B268" t="inlineStr">
        <is>
          <t>Mon</t>
        </is>
      </c>
      <c r="C268" t="n">
        <v>11</v>
      </c>
      <c r="D268" t="n">
        <v>2</v>
      </c>
      <c r="E268" t="n">
        <v>2</v>
      </c>
      <c r="F268" t="n">
        <v>15</v>
      </c>
    </row>
    <row r="269">
      <c r="A269" s="28" t="n">
        <v>45559</v>
      </c>
      <c r="B269" t="inlineStr">
        <is>
          <t>Tue</t>
        </is>
      </c>
      <c r="C269" t="n">
        <v>9</v>
      </c>
      <c r="D269" t="n">
        <v>1</v>
      </c>
      <c r="E269" t="n">
        <v>2</v>
      </c>
      <c r="F269" t="n">
        <v>12</v>
      </c>
    </row>
    <row r="270">
      <c r="A270" s="28" t="n">
        <v>45560</v>
      </c>
      <c r="B270" t="inlineStr">
        <is>
          <t>Wed</t>
        </is>
      </c>
      <c r="C270" t="n">
        <v>14</v>
      </c>
      <c r="D270" t="n">
        <v>2</v>
      </c>
      <c r="E270" t="n">
        <v>1</v>
      </c>
      <c r="F270" t="n">
        <v>17</v>
      </c>
    </row>
    <row r="271">
      <c r="A271" s="28" t="n">
        <v>45561</v>
      </c>
      <c r="B271" t="inlineStr">
        <is>
          <t>Thu</t>
        </is>
      </c>
      <c r="C271" t="n">
        <v>15</v>
      </c>
      <c r="D271" t="n">
        <v>0</v>
      </c>
      <c r="E271" t="n">
        <v>1</v>
      </c>
      <c r="F271" t="n">
        <v>16</v>
      </c>
    </row>
    <row r="272">
      <c r="A272" s="28" t="n">
        <v>45562</v>
      </c>
      <c r="B272" t="inlineStr">
        <is>
          <t>Fri</t>
        </is>
      </c>
      <c r="C272" t="n">
        <v>11</v>
      </c>
      <c r="D272" t="n">
        <v>4</v>
      </c>
      <c r="E272" t="n">
        <v>2</v>
      </c>
      <c r="F272" t="n">
        <v>17</v>
      </c>
    </row>
    <row r="273">
      <c r="A273" s="28" t="n">
        <v>45563</v>
      </c>
      <c r="B273" t="inlineStr">
        <is>
          <t>Sat</t>
        </is>
      </c>
      <c r="C273" t="n">
        <v>6</v>
      </c>
      <c r="D273" t="n">
        <v>2</v>
      </c>
      <c r="E273" t="n">
        <v>0</v>
      </c>
      <c r="F273" t="n">
        <v>8</v>
      </c>
    </row>
    <row r="274">
      <c r="A274" s="28" t="n">
        <v>45564</v>
      </c>
      <c r="B274" t="inlineStr">
        <is>
          <t>Sun</t>
        </is>
      </c>
      <c r="C274" t="n">
        <v>5</v>
      </c>
      <c r="D274" t="n">
        <v>2</v>
      </c>
      <c r="E274" t="n">
        <v>1</v>
      </c>
      <c r="F274" t="n">
        <v>8</v>
      </c>
    </row>
    <row r="275">
      <c r="A275" s="28" t="n">
        <v>45565</v>
      </c>
      <c r="B275" t="inlineStr">
        <is>
          <t>Mon</t>
        </is>
      </c>
      <c r="C275" t="n">
        <v>10</v>
      </c>
      <c r="D275" t="n">
        <v>0</v>
      </c>
      <c r="E275" t="n">
        <v>3</v>
      </c>
      <c r="F275" t="n">
        <v>13</v>
      </c>
    </row>
    <row r="276">
      <c r="A276" s="28" t="n">
        <v>45566</v>
      </c>
      <c r="B276" t="inlineStr">
        <is>
          <t>Tue</t>
        </is>
      </c>
      <c r="C276" t="n">
        <v>17</v>
      </c>
      <c r="D276" t="n">
        <v>3</v>
      </c>
      <c r="E276" t="n">
        <v>4</v>
      </c>
      <c r="F276" t="n">
        <v>24</v>
      </c>
    </row>
    <row r="277">
      <c r="A277" s="28" t="n">
        <v>45567</v>
      </c>
      <c r="B277" t="inlineStr">
        <is>
          <t>Wed</t>
        </is>
      </c>
      <c r="C277" t="n">
        <v>9</v>
      </c>
      <c r="D277" t="n">
        <v>1</v>
      </c>
      <c r="E277" t="n">
        <v>2</v>
      </c>
      <c r="F277" t="n">
        <v>12</v>
      </c>
    </row>
    <row r="278">
      <c r="A278" s="28" t="n">
        <v>45568</v>
      </c>
      <c r="B278" t="inlineStr">
        <is>
          <t>Thu</t>
        </is>
      </c>
      <c r="C278" t="n">
        <v>13</v>
      </c>
      <c r="D278" t="n">
        <v>1</v>
      </c>
      <c r="E278" t="n">
        <v>1</v>
      </c>
      <c r="F278" t="n">
        <v>15</v>
      </c>
    </row>
    <row r="279">
      <c r="A279" s="28" t="n">
        <v>45569</v>
      </c>
      <c r="B279" t="inlineStr">
        <is>
          <t>Fri</t>
        </is>
      </c>
      <c r="C279" t="n">
        <v>12</v>
      </c>
      <c r="D279" t="n">
        <v>1</v>
      </c>
      <c r="E279" t="n">
        <v>3</v>
      </c>
      <c r="F279" t="n">
        <v>16</v>
      </c>
    </row>
    <row r="280">
      <c r="A280" s="28" t="n">
        <v>45570</v>
      </c>
      <c r="B280" t="inlineStr">
        <is>
          <t>Sat</t>
        </is>
      </c>
      <c r="C280" t="n">
        <v>8</v>
      </c>
      <c r="D280" t="n">
        <v>1</v>
      </c>
      <c r="E280" t="n">
        <v>0</v>
      </c>
      <c r="F280" t="n">
        <v>9</v>
      </c>
    </row>
    <row r="281">
      <c r="A281" s="28" t="n">
        <v>45571</v>
      </c>
      <c r="B281" t="inlineStr">
        <is>
          <t>Sun</t>
        </is>
      </c>
      <c r="C281" t="n">
        <v>11</v>
      </c>
      <c r="D281" t="n">
        <v>3</v>
      </c>
      <c r="E281" t="n">
        <v>1</v>
      </c>
      <c r="F281" t="n">
        <v>15</v>
      </c>
    </row>
    <row r="282">
      <c r="A282" s="28" t="n">
        <v>45572</v>
      </c>
      <c r="B282" t="inlineStr">
        <is>
          <t>Mon</t>
        </is>
      </c>
      <c r="C282" t="n">
        <v>11</v>
      </c>
      <c r="D282" t="n">
        <v>2</v>
      </c>
      <c r="E282" t="n">
        <v>1</v>
      </c>
      <c r="F282" t="n">
        <v>14</v>
      </c>
    </row>
    <row r="283">
      <c r="A283" s="28" t="n">
        <v>45573</v>
      </c>
      <c r="B283" t="inlineStr">
        <is>
          <t>Tue</t>
        </is>
      </c>
      <c r="C283" t="n">
        <v>14</v>
      </c>
      <c r="D283" t="n">
        <v>0</v>
      </c>
      <c r="E283" t="n">
        <v>2</v>
      </c>
      <c r="F283" t="n">
        <v>16</v>
      </c>
    </row>
    <row r="284">
      <c r="A284" s="28" t="n">
        <v>45574</v>
      </c>
      <c r="B284" t="inlineStr">
        <is>
          <t>Wed</t>
        </is>
      </c>
      <c r="C284" t="n">
        <v>13</v>
      </c>
      <c r="D284" t="n">
        <v>3</v>
      </c>
      <c r="E284" t="n">
        <v>3</v>
      </c>
      <c r="F284" t="n">
        <v>19</v>
      </c>
    </row>
    <row r="285">
      <c r="A285" s="28" t="n">
        <v>45575</v>
      </c>
      <c r="B285" t="inlineStr">
        <is>
          <t>Thu</t>
        </is>
      </c>
      <c r="C285" t="n">
        <v>13</v>
      </c>
      <c r="D285" t="n">
        <v>1</v>
      </c>
      <c r="E285" t="n">
        <v>5</v>
      </c>
      <c r="F285" t="n">
        <v>19</v>
      </c>
    </row>
    <row r="286">
      <c r="A286" s="28" t="n">
        <v>45576</v>
      </c>
      <c r="B286" t="inlineStr">
        <is>
          <t>Fri</t>
        </is>
      </c>
      <c r="C286" t="n">
        <v>8</v>
      </c>
      <c r="D286" t="n">
        <v>4</v>
      </c>
      <c r="E286" t="n">
        <v>1</v>
      </c>
      <c r="F286" t="n">
        <v>13</v>
      </c>
    </row>
    <row r="287">
      <c r="A287" s="28" t="n">
        <v>45577</v>
      </c>
      <c r="B287" t="inlineStr">
        <is>
          <t>Sat</t>
        </is>
      </c>
      <c r="C287" t="n">
        <v>6</v>
      </c>
      <c r="D287" t="n">
        <v>1</v>
      </c>
      <c r="E287" t="n">
        <v>2</v>
      </c>
      <c r="F287" t="n">
        <v>9</v>
      </c>
    </row>
    <row r="288">
      <c r="A288" s="28" t="n">
        <v>45578</v>
      </c>
      <c r="B288" t="inlineStr">
        <is>
          <t>Sun</t>
        </is>
      </c>
      <c r="C288" t="n">
        <v>11</v>
      </c>
      <c r="D288" t="n">
        <v>3</v>
      </c>
      <c r="E288" t="n">
        <v>4</v>
      </c>
      <c r="F288" t="n">
        <v>18</v>
      </c>
    </row>
    <row r="289">
      <c r="A289" s="28" t="n">
        <v>45579</v>
      </c>
      <c r="B289" t="inlineStr">
        <is>
          <t>Mon</t>
        </is>
      </c>
      <c r="C289" t="n">
        <v>9</v>
      </c>
      <c r="D289" t="n">
        <v>3</v>
      </c>
      <c r="E289" t="n">
        <v>0</v>
      </c>
      <c r="F289" t="n">
        <v>12</v>
      </c>
    </row>
    <row r="290">
      <c r="A290" s="28" t="n">
        <v>45580</v>
      </c>
      <c r="B290" t="inlineStr">
        <is>
          <t>Tue</t>
        </is>
      </c>
      <c r="C290" t="n">
        <v>14</v>
      </c>
      <c r="D290" t="n">
        <v>4</v>
      </c>
      <c r="E290" t="n">
        <v>1</v>
      </c>
      <c r="F290" t="n">
        <v>19</v>
      </c>
    </row>
    <row r="291">
      <c r="A291" s="28" t="n">
        <v>45581</v>
      </c>
      <c r="B291" t="inlineStr">
        <is>
          <t>Wed</t>
        </is>
      </c>
      <c r="C291" t="n">
        <v>8</v>
      </c>
      <c r="D291" t="n">
        <v>1</v>
      </c>
      <c r="E291" t="n">
        <v>4</v>
      </c>
      <c r="F291" t="n">
        <v>13</v>
      </c>
    </row>
    <row r="292">
      <c r="A292" s="28" t="n">
        <v>45582</v>
      </c>
      <c r="B292" t="inlineStr">
        <is>
          <t>Thu</t>
        </is>
      </c>
      <c r="C292" t="n">
        <v>11</v>
      </c>
      <c r="D292" t="n">
        <v>3</v>
      </c>
      <c r="E292" t="n">
        <v>3</v>
      </c>
      <c r="F292" t="n">
        <v>17</v>
      </c>
    </row>
    <row r="293">
      <c r="A293" s="28" t="n">
        <v>45583</v>
      </c>
      <c r="B293" t="inlineStr">
        <is>
          <t>Fri</t>
        </is>
      </c>
      <c r="C293" t="n">
        <v>14</v>
      </c>
      <c r="D293" t="n">
        <v>4</v>
      </c>
      <c r="E293" t="n">
        <v>1</v>
      </c>
      <c r="F293" t="n">
        <v>19</v>
      </c>
    </row>
    <row r="294">
      <c r="A294" s="28" t="n">
        <v>45584</v>
      </c>
      <c r="B294" t="inlineStr">
        <is>
          <t>Sat</t>
        </is>
      </c>
      <c r="C294" t="n">
        <v>5</v>
      </c>
      <c r="D294" t="n">
        <v>2</v>
      </c>
      <c r="E294" t="n">
        <v>2</v>
      </c>
      <c r="F294" t="n">
        <v>9</v>
      </c>
    </row>
    <row r="295">
      <c r="A295" s="28" t="n">
        <v>45585</v>
      </c>
      <c r="B295" t="inlineStr">
        <is>
          <t>Sun</t>
        </is>
      </c>
      <c r="C295" t="n">
        <v>13</v>
      </c>
      <c r="D295" t="n">
        <v>0</v>
      </c>
      <c r="E295" t="n">
        <v>1</v>
      </c>
      <c r="F295" t="n">
        <v>14</v>
      </c>
    </row>
    <row r="296">
      <c r="A296" s="28" t="n">
        <v>45586</v>
      </c>
      <c r="B296" t="inlineStr">
        <is>
          <t>Mon</t>
        </is>
      </c>
      <c r="C296" t="n">
        <v>7</v>
      </c>
      <c r="D296" t="n">
        <v>1</v>
      </c>
      <c r="E296" t="n">
        <v>3</v>
      </c>
      <c r="F296" t="n">
        <v>11</v>
      </c>
    </row>
    <row r="297">
      <c r="A297" s="28" t="n">
        <v>45587</v>
      </c>
      <c r="B297" t="inlineStr">
        <is>
          <t>Tue</t>
        </is>
      </c>
      <c r="C297" t="n">
        <v>15</v>
      </c>
      <c r="D297" t="n">
        <v>0</v>
      </c>
      <c r="E297" t="n">
        <v>3</v>
      </c>
      <c r="F297" t="n">
        <v>18</v>
      </c>
    </row>
    <row r="298">
      <c r="A298" s="28" t="n">
        <v>45588</v>
      </c>
      <c r="B298" t="inlineStr">
        <is>
          <t>Wed</t>
        </is>
      </c>
      <c r="C298" t="n">
        <v>10</v>
      </c>
      <c r="D298" t="n">
        <v>0</v>
      </c>
      <c r="E298" t="n">
        <v>6</v>
      </c>
      <c r="F298" t="n">
        <v>16</v>
      </c>
    </row>
    <row r="299">
      <c r="A299" s="28" t="n">
        <v>45589</v>
      </c>
      <c r="B299" t="inlineStr">
        <is>
          <t>Thu</t>
        </is>
      </c>
      <c r="C299" t="n">
        <v>16</v>
      </c>
      <c r="D299" t="n">
        <v>2</v>
      </c>
      <c r="E299" t="n">
        <v>2</v>
      </c>
      <c r="F299" t="n">
        <v>20</v>
      </c>
    </row>
    <row r="300">
      <c r="A300" s="28" t="n">
        <v>45590</v>
      </c>
      <c r="B300" t="inlineStr">
        <is>
          <t>Fri</t>
        </is>
      </c>
      <c r="C300" t="n">
        <v>10</v>
      </c>
      <c r="D300" t="n">
        <v>3</v>
      </c>
      <c r="E300" t="n">
        <v>0</v>
      </c>
      <c r="F300" t="n">
        <v>13</v>
      </c>
    </row>
    <row r="301">
      <c r="A301" s="28" t="n">
        <v>45591</v>
      </c>
      <c r="B301" t="inlineStr">
        <is>
          <t>Sat</t>
        </is>
      </c>
      <c r="C301" t="n">
        <v>5</v>
      </c>
      <c r="D301" t="n">
        <v>4</v>
      </c>
      <c r="E301" t="n">
        <v>2</v>
      </c>
      <c r="F301" t="n">
        <v>11</v>
      </c>
    </row>
    <row r="302">
      <c r="A302" s="28" t="n">
        <v>45592</v>
      </c>
      <c r="B302" t="inlineStr">
        <is>
          <t>Sun</t>
        </is>
      </c>
      <c r="C302" t="n">
        <v>8</v>
      </c>
      <c r="D302" t="n">
        <v>1</v>
      </c>
      <c r="E302" t="n">
        <v>2</v>
      </c>
      <c r="F302" t="n">
        <v>11</v>
      </c>
    </row>
    <row r="303">
      <c r="A303" s="28" t="n">
        <v>45593</v>
      </c>
      <c r="B303" t="inlineStr">
        <is>
          <t>Mon</t>
        </is>
      </c>
      <c r="C303" t="n">
        <v>11</v>
      </c>
      <c r="D303" t="n">
        <v>2</v>
      </c>
      <c r="E303" t="n">
        <v>4</v>
      </c>
      <c r="F303" t="n">
        <v>17</v>
      </c>
    </row>
    <row r="304">
      <c r="A304" s="28" t="n">
        <v>45594</v>
      </c>
      <c r="B304" t="inlineStr">
        <is>
          <t>Tue</t>
        </is>
      </c>
      <c r="C304" t="n">
        <v>11</v>
      </c>
      <c r="D304" t="n">
        <v>5</v>
      </c>
      <c r="E304" t="n">
        <v>1</v>
      </c>
      <c r="F304" t="n">
        <v>17</v>
      </c>
    </row>
    <row r="305">
      <c r="A305" s="28" t="n">
        <v>45595</v>
      </c>
      <c r="B305" t="inlineStr">
        <is>
          <t>Wed</t>
        </is>
      </c>
      <c r="C305" t="n">
        <v>10</v>
      </c>
      <c r="D305" t="n">
        <v>3</v>
      </c>
      <c r="E305" t="n">
        <v>2</v>
      </c>
      <c r="F305" t="n">
        <v>15</v>
      </c>
    </row>
    <row r="306">
      <c r="A306" s="28" t="n">
        <v>45596</v>
      </c>
      <c r="B306" t="inlineStr">
        <is>
          <t>Thu</t>
        </is>
      </c>
      <c r="C306" t="n">
        <v>10</v>
      </c>
      <c r="D306" t="n">
        <v>2</v>
      </c>
      <c r="E306" t="n">
        <v>3</v>
      </c>
      <c r="F306" t="n">
        <v>15</v>
      </c>
    </row>
    <row r="307">
      <c r="A307" s="28" t="n">
        <v>45597</v>
      </c>
      <c r="B307" t="inlineStr">
        <is>
          <t>Fri</t>
        </is>
      </c>
      <c r="C307" t="n">
        <v>19</v>
      </c>
      <c r="D307" t="n">
        <v>1</v>
      </c>
      <c r="E307" t="n">
        <v>4</v>
      </c>
      <c r="F307" t="n">
        <v>24</v>
      </c>
    </row>
    <row r="308">
      <c r="A308" s="28" t="n">
        <v>45598</v>
      </c>
      <c r="B308" t="inlineStr">
        <is>
          <t>Sat</t>
        </is>
      </c>
      <c r="C308" t="n">
        <v>12</v>
      </c>
      <c r="D308" t="n">
        <v>0</v>
      </c>
      <c r="E308" t="n">
        <v>2</v>
      </c>
      <c r="F308" t="n">
        <v>14</v>
      </c>
    </row>
    <row r="309">
      <c r="A309" s="28" t="n">
        <v>45599</v>
      </c>
      <c r="B309" t="inlineStr">
        <is>
          <t>Sun</t>
        </is>
      </c>
      <c r="C309" t="n">
        <v>12</v>
      </c>
      <c r="D309" t="n">
        <v>0</v>
      </c>
      <c r="E309" t="n">
        <v>3</v>
      </c>
      <c r="F309" t="n">
        <v>15</v>
      </c>
    </row>
    <row r="310">
      <c r="A310" s="28" t="n">
        <v>45600</v>
      </c>
      <c r="B310" t="inlineStr">
        <is>
          <t>Mon</t>
        </is>
      </c>
      <c r="C310" t="n">
        <v>24</v>
      </c>
      <c r="D310" t="n">
        <v>0</v>
      </c>
      <c r="E310" t="n">
        <v>4</v>
      </c>
      <c r="F310" t="n">
        <v>28</v>
      </c>
    </row>
    <row r="311">
      <c r="A311" s="28" t="n">
        <v>45601</v>
      </c>
      <c r="B311" t="inlineStr">
        <is>
          <t>Tue</t>
        </is>
      </c>
      <c r="C311" t="n">
        <v>6</v>
      </c>
      <c r="D311" t="n">
        <v>0</v>
      </c>
      <c r="E311" t="n">
        <v>5</v>
      </c>
      <c r="F311" t="n">
        <v>11</v>
      </c>
    </row>
    <row r="312">
      <c r="A312" s="28" t="n">
        <v>45602</v>
      </c>
      <c r="B312" t="inlineStr">
        <is>
          <t>Wed</t>
        </is>
      </c>
      <c r="C312" t="n">
        <v>17</v>
      </c>
      <c r="D312" t="n">
        <v>6</v>
      </c>
      <c r="E312" t="n">
        <v>5</v>
      </c>
      <c r="F312" t="n">
        <v>28</v>
      </c>
    </row>
    <row r="313">
      <c r="A313" s="28" t="n">
        <v>45603</v>
      </c>
      <c r="B313" t="inlineStr">
        <is>
          <t>Thu</t>
        </is>
      </c>
      <c r="C313" t="n">
        <v>15</v>
      </c>
      <c r="D313" t="n">
        <v>4</v>
      </c>
      <c r="E313" t="n">
        <v>2</v>
      </c>
      <c r="F313" t="n">
        <v>21</v>
      </c>
    </row>
    <row r="314">
      <c r="A314" s="28" t="n">
        <v>45604</v>
      </c>
      <c r="B314" t="inlineStr">
        <is>
          <t>Fri</t>
        </is>
      </c>
      <c r="C314" t="n">
        <v>7</v>
      </c>
      <c r="D314" t="n">
        <v>2</v>
      </c>
      <c r="E314" t="n">
        <v>1</v>
      </c>
      <c r="F314" t="n">
        <v>10</v>
      </c>
    </row>
    <row r="315">
      <c r="A315" s="28" t="n">
        <v>45605</v>
      </c>
      <c r="B315" t="inlineStr">
        <is>
          <t>Sat</t>
        </is>
      </c>
      <c r="C315" t="n">
        <v>11</v>
      </c>
      <c r="D315" t="n">
        <v>1</v>
      </c>
      <c r="E315" t="n">
        <v>0</v>
      </c>
      <c r="F315" t="n">
        <v>12</v>
      </c>
    </row>
    <row r="316">
      <c r="A316" s="28" t="n">
        <v>45606</v>
      </c>
      <c r="B316" t="inlineStr">
        <is>
          <t>Sun</t>
        </is>
      </c>
      <c r="C316" t="n">
        <v>8</v>
      </c>
      <c r="D316" t="n">
        <v>2</v>
      </c>
      <c r="E316" t="n">
        <v>2</v>
      </c>
      <c r="F316" t="n">
        <v>12</v>
      </c>
    </row>
    <row r="317">
      <c r="A317" s="28" t="n">
        <v>45607</v>
      </c>
      <c r="B317" t="inlineStr">
        <is>
          <t>Mon</t>
        </is>
      </c>
      <c r="C317" t="n">
        <v>17</v>
      </c>
      <c r="D317" t="n">
        <v>1</v>
      </c>
      <c r="E317" t="n">
        <v>4</v>
      </c>
      <c r="F317" t="n">
        <v>22</v>
      </c>
    </row>
    <row r="318">
      <c r="A318" s="28" t="n">
        <v>45608</v>
      </c>
      <c r="B318" t="inlineStr">
        <is>
          <t>Tue</t>
        </is>
      </c>
      <c r="C318" t="n">
        <v>19</v>
      </c>
      <c r="D318" t="n">
        <v>2</v>
      </c>
      <c r="E318" t="n">
        <v>1</v>
      </c>
      <c r="F318" t="n">
        <v>22</v>
      </c>
    </row>
    <row r="319">
      <c r="A319" s="28" t="n">
        <v>45609</v>
      </c>
      <c r="B319" t="inlineStr">
        <is>
          <t>Wed</t>
        </is>
      </c>
      <c r="C319" t="n">
        <v>17</v>
      </c>
      <c r="D319" t="n">
        <v>1</v>
      </c>
      <c r="E319" t="n">
        <v>1</v>
      </c>
      <c r="F319" t="n">
        <v>19</v>
      </c>
    </row>
    <row r="320">
      <c r="A320" s="28" t="n">
        <v>45610</v>
      </c>
      <c r="B320" t="inlineStr">
        <is>
          <t>Thu</t>
        </is>
      </c>
      <c r="C320" t="n">
        <v>13</v>
      </c>
      <c r="D320" t="n">
        <v>3</v>
      </c>
      <c r="E320" t="n">
        <v>3</v>
      </c>
      <c r="F320" t="n">
        <v>19</v>
      </c>
    </row>
    <row r="321">
      <c r="A321" s="28" t="n">
        <v>45611</v>
      </c>
      <c r="B321" t="inlineStr">
        <is>
          <t>Fri</t>
        </is>
      </c>
      <c r="C321" t="n">
        <v>19</v>
      </c>
      <c r="D321" t="n">
        <v>1</v>
      </c>
      <c r="E321" t="n">
        <v>5</v>
      </c>
      <c r="F321" t="n">
        <v>25</v>
      </c>
    </row>
    <row r="322">
      <c r="A322" s="28" t="n">
        <v>45612</v>
      </c>
      <c r="B322" t="inlineStr">
        <is>
          <t>Sat</t>
        </is>
      </c>
      <c r="C322" t="n">
        <v>16</v>
      </c>
      <c r="D322" t="n">
        <v>3</v>
      </c>
      <c r="E322" t="n">
        <v>3</v>
      </c>
      <c r="F322" t="n">
        <v>22</v>
      </c>
    </row>
    <row r="323">
      <c r="A323" s="28" t="n">
        <v>45613</v>
      </c>
      <c r="B323" t="inlineStr">
        <is>
          <t>Sun</t>
        </is>
      </c>
      <c r="C323" t="n">
        <v>13</v>
      </c>
      <c r="D323" t="n">
        <v>2</v>
      </c>
      <c r="E323" t="n">
        <v>3</v>
      </c>
      <c r="F323" t="n">
        <v>18</v>
      </c>
    </row>
    <row r="324">
      <c r="A324" s="28" t="n">
        <v>45614</v>
      </c>
      <c r="B324" t="inlineStr">
        <is>
          <t>Mon</t>
        </is>
      </c>
      <c r="C324" t="n">
        <v>21</v>
      </c>
      <c r="D324" t="n">
        <v>5</v>
      </c>
      <c r="E324" t="n">
        <v>2</v>
      </c>
      <c r="F324" t="n">
        <v>28</v>
      </c>
    </row>
    <row r="325">
      <c r="A325" s="28" t="n">
        <v>45615</v>
      </c>
      <c r="B325" t="inlineStr">
        <is>
          <t>Tue</t>
        </is>
      </c>
      <c r="C325" t="n">
        <v>12</v>
      </c>
      <c r="D325" t="n">
        <v>0</v>
      </c>
      <c r="E325" t="n">
        <v>3</v>
      </c>
      <c r="F325" t="n">
        <v>15</v>
      </c>
    </row>
    <row r="326">
      <c r="A326" s="28" t="n">
        <v>45616</v>
      </c>
      <c r="B326" t="inlineStr">
        <is>
          <t>Wed</t>
        </is>
      </c>
      <c r="C326" t="n">
        <v>6</v>
      </c>
      <c r="D326" t="n">
        <v>6</v>
      </c>
      <c r="E326" t="n">
        <v>3</v>
      </c>
      <c r="F326" t="n">
        <v>15</v>
      </c>
    </row>
    <row r="327">
      <c r="A327" s="28" t="n">
        <v>45617</v>
      </c>
      <c r="B327" t="inlineStr">
        <is>
          <t>Thu</t>
        </is>
      </c>
      <c r="C327" t="n">
        <v>11</v>
      </c>
      <c r="D327" t="n">
        <v>1</v>
      </c>
      <c r="E327" t="n">
        <v>2</v>
      </c>
      <c r="F327" t="n">
        <v>14</v>
      </c>
    </row>
    <row r="328">
      <c r="A328" s="28" t="n">
        <v>45618</v>
      </c>
      <c r="B328" t="inlineStr">
        <is>
          <t>Fri</t>
        </is>
      </c>
      <c r="C328" t="n">
        <v>12</v>
      </c>
      <c r="D328" t="n">
        <v>1</v>
      </c>
      <c r="E328" t="n">
        <v>2</v>
      </c>
      <c r="F328" t="n">
        <v>15</v>
      </c>
    </row>
    <row r="329">
      <c r="A329" s="28" t="n">
        <v>45619</v>
      </c>
      <c r="B329" t="inlineStr">
        <is>
          <t>Sat</t>
        </is>
      </c>
      <c r="C329" t="n">
        <v>15</v>
      </c>
      <c r="D329" t="n">
        <v>4</v>
      </c>
      <c r="E329" t="n">
        <v>3</v>
      </c>
      <c r="F329" t="n">
        <v>22</v>
      </c>
    </row>
    <row r="330">
      <c r="A330" s="28" t="n">
        <v>45620</v>
      </c>
      <c r="B330" t="inlineStr">
        <is>
          <t>Sun</t>
        </is>
      </c>
      <c r="C330" t="n">
        <v>11</v>
      </c>
      <c r="D330" t="n">
        <v>2</v>
      </c>
      <c r="E330" t="n">
        <v>4</v>
      </c>
      <c r="F330" t="n">
        <v>17</v>
      </c>
    </row>
    <row r="331">
      <c r="A331" s="28" t="n">
        <v>45621</v>
      </c>
      <c r="B331" t="inlineStr">
        <is>
          <t>Mon</t>
        </is>
      </c>
      <c r="C331" t="n">
        <v>14</v>
      </c>
      <c r="D331" t="n">
        <v>3</v>
      </c>
      <c r="E331" t="n">
        <v>1</v>
      </c>
      <c r="F331" t="n">
        <v>18</v>
      </c>
    </row>
    <row r="332">
      <c r="A332" s="28" t="n">
        <v>45622</v>
      </c>
      <c r="B332" t="inlineStr">
        <is>
          <t>Tue</t>
        </is>
      </c>
      <c r="C332" t="n">
        <v>12</v>
      </c>
      <c r="D332" t="n">
        <v>6</v>
      </c>
      <c r="E332" t="n">
        <v>6</v>
      </c>
      <c r="F332" t="n">
        <v>24</v>
      </c>
    </row>
    <row r="333">
      <c r="A333" s="28" t="n">
        <v>45623</v>
      </c>
      <c r="B333" t="inlineStr">
        <is>
          <t>Wed</t>
        </is>
      </c>
      <c r="C333" t="n">
        <v>16</v>
      </c>
      <c r="D333" t="n">
        <v>3</v>
      </c>
      <c r="E333" t="n">
        <v>2</v>
      </c>
      <c r="F333" t="n">
        <v>21</v>
      </c>
    </row>
    <row r="334">
      <c r="A334" s="28" t="n">
        <v>45624</v>
      </c>
      <c r="B334" t="inlineStr">
        <is>
          <t>Thu</t>
        </is>
      </c>
      <c r="C334" t="n">
        <v>11</v>
      </c>
      <c r="D334" t="n">
        <v>1</v>
      </c>
      <c r="E334" t="n">
        <v>2</v>
      </c>
      <c r="F334" t="n">
        <v>14</v>
      </c>
    </row>
    <row r="335">
      <c r="A335" s="28" t="n">
        <v>45625</v>
      </c>
      <c r="B335" t="inlineStr">
        <is>
          <t>Fri</t>
        </is>
      </c>
      <c r="C335" t="n">
        <v>17</v>
      </c>
      <c r="D335" t="n">
        <v>1</v>
      </c>
      <c r="E335" t="n">
        <v>4</v>
      </c>
      <c r="F335" t="n">
        <v>22</v>
      </c>
    </row>
    <row r="336">
      <c r="A336" s="28" t="n">
        <v>45626</v>
      </c>
      <c r="B336" t="inlineStr">
        <is>
          <t>Sat</t>
        </is>
      </c>
      <c r="C336" t="n">
        <v>10</v>
      </c>
      <c r="D336" t="n">
        <v>1</v>
      </c>
      <c r="E336" t="n">
        <v>4</v>
      </c>
      <c r="F336" t="n">
        <v>15</v>
      </c>
    </row>
    <row r="337">
      <c r="A337" s="28" t="n">
        <v>45627</v>
      </c>
      <c r="B337" t="inlineStr">
        <is>
          <t>Sun</t>
        </is>
      </c>
      <c r="C337" t="n">
        <v>11</v>
      </c>
      <c r="D337" t="n">
        <v>3</v>
      </c>
      <c r="E337" t="n">
        <v>1</v>
      </c>
      <c r="F337" t="n">
        <v>15</v>
      </c>
    </row>
    <row r="338">
      <c r="A338" s="28" t="n">
        <v>45628</v>
      </c>
      <c r="B338" t="inlineStr">
        <is>
          <t>Mon</t>
        </is>
      </c>
      <c r="C338" t="n">
        <v>15</v>
      </c>
      <c r="D338" t="n">
        <v>2</v>
      </c>
      <c r="E338" t="n">
        <v>3</v>
      </c>
      <c r="F338" t="n">
        <v>20</v>
      </c>
    </row>
    <row r="339">
      <c r="A339" s="28" t="n">
        <v>45629</v>
      </c>
      <c r="B339" t="inlineStr">
        <is>
          <t>Tue</t>
        </is>
      </c>
      <c r="C339" t="n">
        <v>13</v>
      </c>
      <c r="D339" t="n">
        <v>3</v>
      </c>
      <c r="E339" t="n">
        <v>1</v>
      </c>
      <c r="F339" t="n">
        <v>17</v>
      </c>
    </row>
    <row r="340">
      <c r="A340" s="28" t="n">
        <v>45630</v>
      </c>
      <c r="B340" t="inlineStr">
        <is>
          <t>Wed</t>
        </is>
      </c>
      <c r="C340" t="n">
        <v>22</v>
      </c>
      <c r="D340" t="n">
        <v>4</v>
      </c>
      <c r="E340" t="n">
        <v>7</v>
      </c>
      <c r="F340" t="n">
        <v>33</v>
      </c>
    </row>
    <row r="341">
      <c r="A341" s="28" t="n">
        <v>45631</v>
      </c>
      <c r="B341" t="inlineStr">
        <is>
          <t>Thu</t>
        </is>
      </c>
      <c r="C341" t="n">
        <v>12</v>
      </c>
      <c r="D341" t="n">
        <v>6</v>
      </c>
      <c r="E341" t="n">
        <v>3</v>
      </c>
      <c r="F341" t="n">
        <v>21</v>
      </c>
    </row>
    <row r="342">
      <c r="A342" s="28" t="n">
        <v>45632</v>
      </c>
      <c r="B342" t="inlineStr">
        <is>
          <t>Fri</t>
        </is>
      </c>
      <c r="C342" t="n">
        <v>11</v>
      </c>
      <c r="D342" t="n">
        <v>2</v>
      </c>
      <c r="E342" t="n">
        <v>4</v>
      </c>
      <c r="F342" t="n">
        <v>17</v>
      </c>
    </row>
    <row r="343">
      <c r="A343" s="28" t="n">
        <v>45633</v>
      </c>
      <c r="B343" t="inlineStr">
        <is>
          <t>Sat</t>
        </is>
      </c>
      <c r="C343" t="n">
        <v>14</v>
      </c>
      <c r="D343" t="n">
        <v>1</v>
      </c>
      <c r="E343" t="n">
        <v>2</v>
      </c>
      <c r="F343" t="n">
        <v>17</v>
      </c>
    </row>
    <row r="344">
      <c r="A344" s="28" t="n">
        <v>45634</v>
      </c>
      <c r="B344" t="inlineStr">
        <is>
          <t>Sun</t>
        </is>
      </c>
      <c r="C344" t="n">
        <v>8</v>
      </c>
      <c r="D344" t="n">
        <v>1</v>
      </c>
      <c r="E344" t="n">
        <v>2</v>
      </c>
      <c r="F344" t="n">
        <v>11</v>
      </c>
    </row>
    <row r="345">
      <c r="A345" s="28" t="n">
        <v>45635</v>
      </c>
      <c r="B345" t="inlineStr">
        <is>
          <t>Mon</t>
        </is>
      </c>
      <c r="C345" t="n">
        <v>11</v>
      </c>
      <c r="D345" t="n">
        <v>3</v>
      </c>
      <c r="E345" t="n">
        <v>4</v>
      </c>
      <c r="F345" t="n">
        <v>18</v>
      </c>
    </row>
    <row r="346">
      <c r="A346" s="28" t="n">
        <v>45636</v>
      </c>
      <c r="B346" t="inlineStr">
        <is>
          <t>Tue</t>
        </is>
      </c>
      <c r="C346" t="n">
        <v>19</v>
      </c>
      <c r="D346" t="n">
        <v>1</v>
      </c>
      <c r="E346" t="n">
        <v>3</v>
      </c>
      <c r="F346" t="n">
        <v>23</v>
      </c>
    </row>
    <row r="347">
      <c r="A347" s="28" t="n">
        <v>45637</v>
      </c>
      <c r="B347" t="inlineStr">
        <is>
          <t>Wed</t>
        </is>
      </c>
      <c r="C347" t="n">
        <v>14</v>
      </c>
      <c r="D347" t="n">
        <v>3</v>
      </c>
      <c r="E347" t="n">
        <v>1</v>
      </c>
      <c r="F347" t="n">
        <v>18</v>
      </c>
    </row>
    <row r="348">
      <c r="A348" s="28" t="n">
        <v>45638</v>
      </c>
      <c r="B348" t="inlineStr">
        <is>
          <t>Thu</t>
        </is>
      </c>
      <c r="C348" t="n">
        <v>16</v>
      </c>
      <c r="D348" t="n">
        <v>7</v>
      </c>
      <c r="E348" t="n">
        <v>5</v>
      </c>
      <c r="F348" t="n">
        <v>28</v>
      </c>
    </row>
    <row r="349">
      <c r="A349" s="28" t="n">
        <v>45639</v>
      </c>
      <c r="B349" t="inlineStr">
        <is>
          <t>Fri</t>
        </is>
      </c>
      <c r="C349" t="n">
        <v>16</v>
      </c>
      <c r="D349" t="n">
        <v>7</v>
      </c>
      <c r="E349" t="n">
        <v>2</v>
      </c>
      <c r="F349" t="n">
        <v>25</v>
      </c>
    </row>
    <row r="350">
      <c r="A350" s="28" t="n">
        <v>45640</v>
      </c>
      <c r="B350" t="inlineStr">
        <is>
          <t>Sat</t>
        </is>
      </c>
      <c r="C350" t="n">
        <v>12</v>
      </c>
      <c r="D350" t="n">
        <v>5</v>
      </c>
      <c r="E350" t="n">
        <v>2</v>
      </c>
      <c r="F350" t="n">
        <v>19</v>
      </c>
    </row>
    <row r="351">
      <c r="A351" s="28" t="n">
        <v>45641</v>
      </c>
      <c r="B351" t="inlineStr">
        <is>
          <t>Sun</t>
        </is>
      </c>
      <c r="C351" t="n">
        <v>4</v>
      </c>
      <c r="D351" t="n">
        <v>1</v>
      </c>
      <c r="E351" t="n">
        <v>3</v>
      </c>
      <c r="F351" t="n">
        <v>8</v>
      </c>
    </row>
    <row r="352">
      <c r="A352" s="28" t="n">
        <v>45642</v>
      </c>
      <c r="B352" t="inlineStr">
        <is>
          <t>Mon</t>
        </is>
      </c>
      <c r="C352" t="n">
        <v>15</v>
      </c>
      <c r="D352" t="n">
        <v>8</v>
      </c>
      <c r="E352" t="n">
        <v>2</v>
      </c>
      <c r="F352" t="n">
        <v>25</v>
      </c>
    </row>
    <row r="353">
      <c r="A353" s="28" t="n">
        <v>45643</v>
      </c>
      <c r="B353" t="inlineStr">
        <is>
          <t>Tue</t>
        </is>
      </c>
      <c r="C353" t="n">
        <v>10</v>
      </c>
      <c r="D353" t="n">
        <v>3</v>
      </c>
      <c r="E353" t="n">
        <v>3</v>
      </c>
      <c r="F353" t="n">
        <v>16</v>
      </c>
    </row>
    <row r="354">
      <c r="A354" s="28" t="n">
        <v>45644</v>
      </c>
      <c r="B354" t="inlineStr">
        <is>
          <t>Wed</t>
        </is>
      </c>
      <c r="C354" t="n">
        <v>20</v>
      </c>
      <c r="D354" t="n">
        <v>5</v>
      </c>
      <c r="E354" t="n">
        <v>1</v>
      </c>
      <c r="F354" t="n">
        <v>26</v>
      </c>
    </row>
    <row r="355">
      <c r="A355" s="28" t="n">
        <v>45645</v>
      </c>
      <c r="B355" t="inlineStr">
        <is>
          <t>Thu</t>
        </is>
      </c>
      <c r="C355" t="n">
        <v>10</v>
      </c>
      <c r="D355" t="n">
        <v>3</v>
      </c>
      <c r="E355" t="n">
        <v>2</v>
      </c>
      <c r="F355" t="n">
        <v>15</v>
      </c>
    </row>
    <row r="356">
      <c r="A356" s="28" t="n">
        <v>45646</v>
      </c>
      <c r="B356" t="inlineStr">
        <is>
          <t>Fri</t>
        </is>
      </c>
      <c r="C356" t="n">
        <v>12</v>
      </c>
      <c r="D356" t="n">
        <v>2</v>
      </c>
      <c r="E356" t="n">
        <v>4</v>
      </c>
      <c r="F356" t="n">
        <v>18</v>
      </c>
    </row>
    <row r="357">
      <c r="A357" s="28" t="n">
        <v>45647</v>
      </c>
      <c r="B357" t="inlineStr">
        <is>
          <t>Sat</t>
        </is>
      </c>
      <c r="C357" t="n">
        <v>20</v>
      </c>
      <c r="D357" t="n">
        <v>5</v>
      </c>
      <c r="E357" t="n">
        <v>6</v>
      </c>
      <c r="F357" t="n">
        <v>31</v>
      </c>
    </row>
    <row r="358">
      <c r="A358" s="28" t="n">
        <v>45648</v>
      </c>
      <c r="B358" t="inlineStr">
        <is>
          <t>Sun</t>
        </is>
      </c>
      <c r="C358" t="n">
        <v>13</v>
      </c>
      <c r="D358" t="n">
        <v>4</v>
      </c>
      <c r="E358" t="n">
        <v>3</v>
      </c>
      <c r="F358" t="n">
        <v>20</v>
      </c>
    </row>
    <row r="359">
      <c r="A359" s="28" t="n">
        <v>45649</v>
      </c>
      <c r="B359" t="inlineStr">
        <is>
          <t>Mon</t>
        </is>
      </c>
      <c r="C359" t="n">
        <v>15</v>
      </c>
      <c r="D359" t="n">
        <v>4</v>
      </c>
      <c r="E359" t="n">
        <v>1</v>
      </c>
      <c r="F359" t="n">
        <v>20</v>
      </c>
    </row>
    <row r="360">
      <c r="A360" s="28" t="n">
        <v>45650</v>
      </c>
      <c r="B360" t="inlineStr">
        <is>
          <t>Tue</t>
        </is>
      </c>
      <c r="C360" t="n">
        <v>20</v>
      </c>
      <c r="D360" t="n">
        <v>3</v>
      </c>
      <c r="E360" t="n">
        <v>2</v>
      </c>
      <c r="F360" t="n">
        <v>25</v>
      </c>
    </row>
    <row r="361">
      <c r="A361" s="28" t="n">
        <v>45651</v>
      </c>
      <c r="B361" t="inlineStr">
        <is>
          <t>Wed</t>
        </is>
      </c>
      <c r="C361" t="n">
        <v>16</v>
      </c>
      <c r="D361" t="n">
        <v>3</v>
      </c>
      <c r="E361" t="n">
        <v>0</v>
      </c>
      <c r="F361" t="n">
        <v>19</v>
      </c>
    </row>
    <row r="362">
      <c r="A362" s="28" t="n">
        <v>45652</v>
      </c>
      <c r="B362" t="inlineStr">
        <is>
          <t>Thu</t>
        </is>
      </c>
      <c r="C362" t="n">
        <v>19</v>
      </c>
      <c r="D362" t="n">
        <v>1</v>
      </c>
      <c r="E362" t="n">
        <v>1</v>
      </c>
      <c r="F362" t="n">
        <v>21</v>
      </c>
    </row>
    <row r="363">
      <c r="A363" s="28" t="n">
        <v>45653</v>
      </c>
      <c r="B363" t="inlineStr">
        <is>
          <t>Fri</t>
        </is>
      </c>
      <c r="C363" t="n">
        <v>14</v>
      </c>
      <c r="D363" t="n">
        <v>2</v>
      </c>
      <c r="E363" t="n">
        <v>1</v>
      </c>
      <c r="F363" t="n">
        <v>17</v>
      </c>
    </row>
    <row r="364">
      <c r="A364" s="28" t="n">
        <v>45654</v>
      </c>
      <c r="B364" t="inlineStr">
        <is>
          <t>Sat</t>
        </is>
      </c>
      <c r="C364" t="n">
        <v>14</v>
      </c>
      <c r="D364" t="n">
        <v>1</v>
      </c>
      <c r="E364" t="n">
        <v>5</v>
      </c>
      <c r="F364" t="n">
        <v>20</v>
      </c>
    </row>
    <row r="365">
      <c r="A365" s="28" t="n">
        <v>45655</v>
      </c>
      <c r="B365" t="inlineStr">
        <is>
          <t>Sun</t>
        </is>
      </c>
      <c r="C365" t="n">
        <v>14</v>
      </c>
      <c r="D365" t="n">
        <v>5</v>
      </c>
      <c r="E365" t="n">
        <v>3</v>
      </c>
      <c r="F365" t="n">
        <v>22</v>
      </c>
    </row>
    <row r="366">
      <c r="A366" s="28" t="n">
        <v>45656</v>
      </c>
      <c r="B366" t="inlineStr">
        <is>
          <t>Mon</t>
        </is>
      </c>
      <c r="C366" t="n">
        <v>15</v>
      </c>
      <c r="D366" t="n">
        <v>2</v>
      </c>
      <c r="E366" t="n">
        <v>1</v>
      </c>
      <c r="F366" t="n">
        <v>18</v>
      </c>
    </row>
    <row r="367">
      <c r="A367" s="28" t="n">
        <v>45657</v>
      </c>
      <c r="B367" t="inlineStr">
        <is>
          <t>Tue</t>
        </is>
      </c>
      <c r="C367" t="n">
        <v>10</v>
      </c>
      <c r="D367" t="n">
        <v>6</v>
      </c>
      <c r="E367" t="n">
        <v>2</v>
      </c>
      <c r="F367" t="n">
        <v>18</v>
      </c>
    </row>
    <row r="368">
      <c r="A368" s="28" t="n">
        <v>45658</v>
      </c>
      <c r="B368" t="inlineStr">
        <is>
          <t>Wed</t>
        </is>
      </c>
      <c r="C368" t="n">
        <v>7</v>
      </c>
      <c r="D368" t="n">
        <v>2</v>
      </c>
      <c r="E368" t="n">
        <v>3</v>
      </c>
      <c r="F368" t="n">
        <v>12</v>
      </c>
    </row>
    <row r="369">
      <c r="A369" s="28" t="n">
        <v>45659</v>
      </c>
      <c r="B369" t="inlineStr">
        <is>
          <t>Thu</t>
        </is>
      </c>
      <c r="C369" t="n">
        <v>9</v>
      </c>
      <c r="D369" t="n">
        <v>3</v>
      </c>
      <c r="E369" t="n">
        <v>2</v>
      </c>
      <c r="F369" t="n">
        <v>14</v>
      </c>
    </row>
    <row r="370">
      <c r="A370" s="28" t="n">
        <v>45660</v>
      </c>
      <c r="B370" t="inlineStr">
        <is>
          <t>Fri</t>
        </is>
      </c>
      <c r="C370" t="n">
        <v>21</v>
      </c>
      <c r="D370" t="n">
        <v>2</v>
      </c>
      <c r="E370" t="n">
        <v>0</v>
      </c>
      <c r="F370" t="n">
        <v>23</v>
      </c>
    </row>
    <row r="371">
      <c r="A371" s="28" t="n">
        <v>45661</v>
      </c>
      <c r="B371" t="inlineStr">
        <is>
          <t>Sat</t>
        </is>
      </c>
      <c r="C371" t="n">
        <v>12</v>
      </c>
      <c r="D371" t="n">
        <v>2</v>
      </c>
      <c r="E371" t="n">
        <v>0</v>
      </c>
      <c r="F371" t="n">
        <v>14</v>
      </c>
    </row>
    <row r="372">
      <c r="A372" s="28" t="n">
        <v>45662</v>
      </c>
      <c r="B372" t="inlineStr">
        <is>
          <t>Sun</t>
        </is>
      </c>
      <c r="C372" t="n">
        <v>13</v>
      </c>
      <c r="D372" t="n">
        <v>4</v>
      </c>
      <c r="E372" t="n">
        <v>4</v>
      </c>
      <c r="F372" t="n">
        <v>21</v>
      </c>
    </row>
    <row r="373">
      <c r="A373" s="28" t="n">
        <v>45663</v>
      </c>
      <c r="B373" t="inlineStr">
        <is>
          <t>Mon</t>
        </is>
      </c>
      <c r="C373" t="n">
        <v>21</v>
      </c>
      <c r="D373" t="n">
        <v>6</v>
      </c>
      <c r="E373" t="n">
        <v>2</v>
      </c>
      <c r="F373" t="n">
        <v>29</v>
      </c>
    </row>
    <row r="374">
      <c r="A374" s="28" t="n">
        <v>45664</v>
      </c>
      <c r="B374" t="inlineStr">
        <is>
          <t>Tue</t>
        </is>
      </c>
      <c r="C374" t="n">
        <v>14</v>
      </c>
      <c r="D374" t="n">
        <v>1</v>
      </c>
      <c r="E374" t="n">
        <v>2</v>
      </c>
      <c r="F374" t="n">
        <v>17</v>
      </c>
    </row>
    <row r="375">
      <c r="A375" s="28" t="n">
        <v>45665</v>
      </c>
      <c r="B375" t="inlineStr">
        <is>
          <t>Wed</t>
        </is>
      </c>
      <c r="C375" t="n">
        <v>13</v>
      </c>
      <c r="D375" t="n">
        <v>4</v>
      </c>
      <c r="E375" t="n">
        <v>1</v>
      </c>
      <c r="F375" t="n">
        <v>18</v>
      </c>
    </row>
    <row r="376">
      <c r="A376" s="28" t="n">
        <v>45666</v>
      </c>
      <c r="B376" t="inlineStr">
        <is>
          <t>Thu</t>
        </is>
      </c>
      <c r="C376" t="n">
        <v>20</v>
      </c>
      <c r="D376" t="n">
        <v>0</v>
      </c>
      <c r="E376" t="n">
        <v>3</v>
      </c>
      <c r="F376" t="n">
        <v>23</v>
      </c>
    </row>
    <row r="377">
      <c r="A377" s="28" t="n">
        <v>45667</v>
      </c>
      <c r="B377" t="inlineStr">
        <is>
          <t>Fri</t>
        </is>
      </c>
      <c r="C377" t="n">
        <v>12</v>
      </c>
      <c r="D377" t="n">
        <v>4</v>
      </c>
      <c r="E377" t="n">
        <v>5</v>
      </c>
      <c r="F377" t="n">
        <v>21</v>
      </c>
    </row>
    <row r="378">
      <c r="A378" s="28" t="n">
        <v>45668</v>
      </c>
      <c r="B378" t="inlineStr">
        <is>
          <t>Sat</t>
        </is>
      </c>
      <c r="C378" t="n">
        <v>20</v>
      </c>
      <c r="D378" t="n">
        <v>1</v>
      </c>
      <c r="E378" t="n">
        <v>3</v>
      </c>
      <c r="F378" t="n">
        <v>24</v>
      </c>
    </row>
    <row r="379">
      <c r="A379" s="28" t="n">
        <v>45669</v>
      </c>
      <c r="B379" t="inlineStr">
        <is>
          <t>Sun</t>
        </is>
      </c>
      <c r="C379" t="n">
        <v>18</v>
      </c>
      <c r="D379" t="n">
        <v>2</v>
      </c>
      <c r="E379" t="n">
        <v>5</v>
      </c>
      <c r="F379" t="n">
        <v>25</v>
      </c>
    </row>
    <row r="380">
      <c r="A380" s="28" t="n">
        <v>45670</v>
      </c>
      <c r="B380" t="inlineStr">
        <is>
          <t>Mon</t>
        </is>
      </c>
      <c r="C380" t="n">
        <v>22</v>
      </c>
      <c r="D380" t="n">
        <v>3</v>
      </c>
      <c r="E380" t="n">
        <v>2</v>
      </c>
      <c r="F380" t="n">
        <v>27</v>
      </c>
    </row>
    <row r="381">
      <c r="A381" s="28" t="n">
        <v>45671</v>
      </c>
      <c r="B381" t="inlineStr">
        <is>
          <t>Tue</t>
        </is>
      </c>
      <c r="C381" t="n">
        <v>13</v>
      </c>
      <c r="D381" t="n">
        <v>2</v>
      </c>
      <c r="E381" t="n">
        <v>2</v>
      </c>
      <c r="F381" t="n">
        <v>17</v>
      </c>
    </row>
    <row r="382">
      <c r="A382" s="28" t="n">
        <v>45672</v>
      </c>
      <c r="B382" t="inlineStr">
        <is>
          <t>Wed</t>
        </is>
      </c>
      <c r="C382" t="n">
        <v>12</v>
      </c>
      <c r="D382" t="n">
        <v>1</v>
      </c>
      <c r="E382" t="n">
        <v>5</v>
      </c>
      <c r="F382" t="n">
        <v>18</v>
      </c>
    </row>
    <row r="383">
      <c r="A383" s="28" t="n">
        <v>45673</v>
      </c>
      <c r="B383" t="inlineStr">
        <is>
          <t>Thu</t>
        </is>
      </c>
      <c r="C383" t="n">
        <v>15</v>
      </c>
      <c r="D383" t="n">
        <v>0</v>
      </c>
      <c r="E383" t="n">
        <v>3</v>
      </c>
      <c r="F383" t="n">
        <v>18</v>
      </c>
    </row>
    <row r="384">
      <c r="A384" s="28" t="n">
        <v>45674</v>
      </c>
      <c r="B384" t="inlineStr">
        <is>
          <t>Fri</t>
        </is>
      </c>
      <c r="C384" t="n">
        <v>20</v>
      </c>
      <c r="D384" t="n">
        <v>2</v>
      </c>
      <c r="E384" t="n">
        <v>2</v>
      </c>
      <c r="F384" t="n">
        <v>24</v>
      </c>
    </row>
    <row r="385">
      <c r="A385" s="28" t="n">
        <v>45675</v>
      </c>
      <c r="B385" t="inlineStr">
        <is>
          <t>Sat</t>
        </is>
      </c>
      <c r="C385" t="n">
        <v>9</v>
      </c>
      <c r="D385" t="n">
        <v>2</v>
      </c>
      <c r="E385" t="n">
        <v>1</v>
      </c>
      <c r="F385" t="n">
        <v>12</v>
      </c>
    </row>
    <row r="386">
      <c r="A386" s="28" t="n">
        <v>45676</v>
      </c>
      <c r="B386" t="inlineStr">
        <is>
          <t>Sun</t>
        </is>
      </c>
      <c r="C386" t="n">
        <v>13</v>
      </c>
      <c r="D386" t="n">
        <v>0</v>
      </c>
      <c r="E386" t="n">
        <v>2</v>
      </c>
      <c r="F386" t="n">
        <v>15</v>
      </c>
    </row>
    <row r="387">
      <c r="A387" s="28" t="n">
        <v>45677</v>
      </c>
      <c r="B387" t="inlineStr">
        <is>
          <t>Mon</t>
        </is>
      </c>
      <c r="C387" t="n">
        <v>13</v>
      </c>
      <c r="D387" t="n">
        <v>2</v>
      </c>
      <c r="E387" t="n">
        <v>3</v>
      </c>
      <c r="F387" t="n">
        <v>18</v>
      </c>
    </row>
    <row r="388">
      <c r="A388" s="28" t="n">
        <v>45678</v>
      </c>
      <c r="B388" t="inlineStr">
        <is>
          <t>Tue</t>
        </is>
      </c>
      <c r="C388" t="n">
        <v>18</v>
      </c>
      <c r="D388" t="n">
        <v>6</v>
      </c>
      <c r="E388" t="n">
        <v>0</v>
      </c>
      <c r="F388" t="n">
        <v>24</v>
      </c>
    </row>
    <row r="389">
      <c r="A389" s="28" t="n">
        <v>45679</v>
      </c>
      <c r="B389" t="inlineStr">
        <is>
          <t>Wed</t>
        </is>
      </c>
      <c r="C389" t="n">
        <v>19</v>
      </c>
      <c r="D389" t="n">
        <v>2</v>
      </c>
      <c r="E389" t="n">
        <v>4</v>
      </c>
      <c r="F389" t="n">
        <v>25</v>
      </c>
    </row>
    <row r="390">
      <c r="A390" s="28" t="n">
        <v>45680</v>
      </c>
      <c r="B390" t="inlineStr">
        <is>
          <t>Thu</t>
        </is>
      </c>
      <c r="C390" t="n">
        <v>17</v>
      </c>
      <c r="D390" t="n">
        <v>5</v>
      </c>
      <c r="E390" t="n">
        <v>3</v>
      </c>
      <c r="F390" t="n">
        <v>25</v>
      </c>
    </row>
    <row r="391">
      <c r="A391" s="28" t="n">
        <v>45681</v>
      </c>
      <c r="B391" t="inlineStr">
        <is>
          <t>Fri</t>
        </is>
      </c>
      <c r="C391" t="n">
        <v>14</v>
      </c>
      <c r="D391" t="n">
        <v>3</v>
      </c>
      <c r="E391" t="n">
        <v>2</v>
      </c>
      <c r="F391" t="n">
        <v>19</v>
      </c>
    </row>
    <row r="392">
      <c r="A392" s="28" t="n">
        <v>45682</v>
      </c>
      <c r="B392" t="inlineStr">
        <is>
          <t>Sat</t>
        </is>
      </c>
      <c r="C392" t="n">
        <v>17</v>
      </c>
      <c r="D392" t="n">
        <v>1</v>
      </c>
      <c r="E392" t="n">
        <v>5</v>
      </c>
      <c r="F392" t="n">
        <v>23</v>
      </c>
    </row>
    <row r="393">
      <c r="A393" s="28" t="n">
        <v>45683</v>
      </c>
      <c r="B393" t="inlineStr">
        <is>
          <t>Sun</t>
        </is>
      </c>
      <c r="C393" t="n">
        <v>22</v>
      </c>
      <c r="D393" t="n">
        <v>2</v>
      </c>
      <c r="E393" t="n">
        <v>5</v>
      </c>
      <c r="F393" t="n">
        <v>29</v>
      </c>
    </row>
    <row r="394">
      <c r="A394" s="28" t="n">
        <v>45684</v>
      </c>
      <c r="B394" t="inlineStr">
        <is>
          <t>Mon</t>
        </is>
      </c>
      <c r="C394" t="n">
        <v>11</v>
      </c>
      <c r="D394" t="n">
        <v>6</v>
      </c>
      <c r="E394" t="n">
        <v>1</v>
      </c>
      <c r="F394" t="n">
        <v>18</v>
      </c>
    </row>
    <row r="395">
      <c r="A395" s="28" t="n">
        <v>45685</v>
      </c>
      <c r="B395" t="inlineStr">
        <is>
          <t>Tue</t>
        </is>
      </c>
      <c r="C395" t="n">
        <v>14</v>
      </c>
      <c r="D395" t="n">
        <v>5</v>
      </c>
      <c r="E395" t="n">
        <v>3</v>
      </c>
      <c r="F395" t="n">
        <v>22</v>
      </c>
    </row>
    <row r="396">
      <c r="A396" s="28" t="n">
        <v>45686</v>
      </c>
      <c r="B396" t="inlineStr">
        <is>
          <t>Wed</t>
        </is>
      </c>
      <c r="C396" t="n">
        <v>14</v>
      </c>
      <c r="D396" t="n">
        <v>2</v>
      </c>
      <c r="E396" t="n">
        <v>4</v>
      </c>
      <c r="F396" t="n">
        <v>20</v>
      </c>
    </row>
    <row r="397">
      <c r="A397" s="28" t="n">
        <v>45687</v>
      </c>
      <c r="B397" t="inlineStr">
        <is>
          <t>Thu</t>
        </is>
      </c>
      <c r="C397" t="n">
        <v>17</v>
      </c>
      <c r="D397" t="n">
        <v>3</v>
      </c>
      <c r="E397" t="n">
        <v>2</v>
      </c>
      <c r="F397" t="n">
        <v>22</v>
      </c>
    </row>
    <row r="398">
      <c r="A398" s="28" t="n">
        <v>45688</v>
      </c>
      <c r="B398" t="inlineStr">
        <is>
          <t>Fri</t>
        </is>
      </c>
      <c r="C398" t="n">
        <v>13</v>
      </c>
      <c r="D398" t="n">
        <v>1</v>
      </c>
      <c r="E398" t="n">
        <v>0</v>
      </c>
      <c r="F398" t="n">
        <v>14</v>
      </c>
    </row>
    <row r="399">
      <c r="A399" s="28" t="n">
        <v>45689</v>
      </c>
      <c r="B399" t="inlineStr">
        <is>
          <t>Sat</t>
        </is>
      </c>
      <c r="C399" t="n">
        <v>16</v>
      </c>
      <c r="D399" t="n">
        <v>0</v>
      </c>
      <c r="E399" t="n">
        <v>1</v>
      </c>
      <c r="F399" t="n">
        <v>17</v>
      </c>
    </row>
    <row r="400">
      <c r="A400" s="28" t="n">
        <v>45690</v>
      </c>
      <c r="B400" t="inlineStr">
        <is>
          <t>Sun</t>
        </is>
      </c>
      <c r="C400" t="n">
        <v>14</v>
      </c>
      <c r="D400" t="n">
        <v>2</v>
      </c>
      <c r="E400" t="n">
        <v>5</v>
      </c>
      <c r="F400" t="n">
        <v>21</v>
      </c>
    </row>
    <row r="401">
      <c r="A401" s="28" t="n">
        <v>45691</v>
      </c>
      <c r="B401" t="inlineStr">
        <is>
          <t>Mon</t>
        </is>
      </c>
      <c r="C401" t="n">
        <v>13</v>
      </c>
      <c r="D401" t="n">
        <v>2</v>
      </c>
      <c r="E401" t="n">
        <v>2</v>
      </c>
      <c r="F401" t="n">
        <v>17</v>
      </c>
    </row>
    <row r="402">
      <c r="A402" s="28" t="n">
        <v>45692</v>
      </c>
      <c r="B402" t="inlineStr">
        <is>
          <t>Tue</t>
        </is>
      </c>
      <c r="C402" t="n">
        <v>19</v>
      </c>
      <c r="D402" t="n">
        <v>4</v>
      </c>
      <c r="E402" t="n">
        <v>6</v>
      </c>
      <c r="F402" t="n">
        <v>29</v>
      </c>
    </row>
    <row r="403">
      <c r="A403" s="28" t="n">
        <v>45693</v>
      </c>
      <c r="B403" t="inlineStr">
        <is>
          <t>Wed</t>
        </is>
      </c>
      <c r="C403" t="n">
        <v>16</v>
      </c>
      <c r="D403" t="n">
        <v>5</v>
      </c>
      <c r="E403" t="n">
        <v>0</v>
      </c>
      <c r="F403" t="n">
        <v>21</v>
      </c>
    </row>
    <row r="404">
      <c r="A404" s="28" t="n">
        <v>45694</v>
      </c>
      <c r="B404" t="inlineStr">
        <is>
          <t>Thu</t>
        </is>
      </c>
      <c r="C404" t="n">
        <v>19</v>
      </c>
      <c r="D404" t="n">
        <v>2</v>
      </c>
      <c r="E404" t="n">
        <v>6</v>
      </c>
      <c r="F404" t="n">
        <v>27</v>
      </c>
    </row>
    <row r="405">
      <c r="A405" s="28" t="n">
        <v>45695</v>
      </c>
      <c r="B405" t="inlineStr">
        <is>
          <t>Fri</t>
        </is>
      </c>
      <c r="C405" t="n">
        <v>9</v>
      </c>
      <c r="D405" t="n">
        <v>2</v>
      </c>
      <c r="E405" t="n">
        <v>7</v>
      </c>
      <c r="F405" t="n">
        <v>18</v>
      </c>
    </row>
    <row r="406">
      <c r="A406" s="28" t="n">
        <v>45696</v>
      </c>
      <c r="B406" t="inlineStr">
        <is>
          <t>Sat</t>
        </is>
      </c>
      <c r="C406" t="n">
        <v>13</v>
      </c>
      <c r="D406" t="n">
        <v>1</v>
      </c>
      <c r="E406" t="n">
        <v>4</v>
      </c>
      <c r="F406" t="n">
        <v>18</v>
      </c>
    </row>
    <row r="407">
      <c r="A407" s="28" t="n">
        <v>45697</v>
      </c>
      <c r="B407" t="inlineStr">
        <is>
          <t>Sun</t>
        </is>
      </c>
      <c r="C407" t="n">
        <v>13</v>
      </c>
      <c r="D407" t="n">
        <v>5</v>
      </c>
      <c r="E407" t="n">
        <v>4</v>
      </c>
      <c r="F407" t="n">
        <v>22</v>
      </c>
    </row>
    <row r="408">
      <c r="A408" s="28" t="n">
        <v>45698</v>
      </c>
      <c r="B408" t="inlineStr">
        <is>
          <t>Mon</t>
        </is>
      </c>
      <c r="C408" t="n">
        <v>13</v>
      </c>
      <c r="D408" t="n">
        <v>3</v>
      </c>
      <c r="E408" t="n">
        <v>6</v>
      </c>
      <c r="F408" t="n">
        <v>22</v>
      </c>
    </row>
    <row r="409">
      <c r="A409" s="28" t="n">
        <v>45699</v>
      </c>
      <c r="B409" t="inlineStr">
        <is>
          <t>Tue</t>
        </is>
      </c>
      <c r="C409" t="n">
        <v>15</v>
      </c>
      <c r="D409" t="n">
        <v>6</v>
      </c>
      <c r="E409" t="n">
        <v>3</v>
      </c>
      <c r="F409" t="n">
        <v>24</v>
      </c>
    </row>
    <row r="410">
      <c r="A410" s="28" t="n">
        <v>45700</v>
      </c>
      <c r="B410" t="inlineStr">
        <is>
          <t>Wed</t>
        </is>
      </c>
      <c r="C410" t="n">
        <v>12</v>
      </c>
      <c r="D410" t="n">
        <v>2</v>
      </c>
      <c r="E410" t="n">
        <v>2</v>
      </c>
      <c r="F410" t="n">
        <v>16</v>
      </c>
    </row>
    <row r="411">
      <c r="A411" s="28" t="n">
        <v>45701</v>
      </c>
      <c r="B411" t="inlineStr">
        <is>
          <t>Thu</t>
        </is>
      </c>
      <c r="C411" t="n">
        <v>15</v>
      </c>
      <c r="D411" t="n">
        <v>3</v>
      </c>
      <c r="E411" t="n">
        <v>2</v>
      </c>
      <c r="F411" t="n">
        <v>20</v>
      </c>
    </row>
    <row r="412">
      <c r="A412" s="28" t="n">
        <v>45702</v>
      </c>
      <c r="B412" t="inlineStr">
        <is>
          <t>Fri</t>
        </is>
      </c>
      <c r="C412" t="n">
        <v>13</v>
      </c>
      <c r="D412" t="n">
        <v>2</v>
      </c>
      <c r="E412" t="n">
        <v>1</v>
      </c>
      <c r="F412" t="n">
        <v>16</v>
      </c>
    </row>
    <row r="413">
      <c r="A413" s="28" t="n">
        <v>45703</v>
      </c>
      <c r="B413" t="inlineStr">
        <is>
          <t>Sat</t>
        </is>
      </c>
      <c r="C413" t="n">
        <v>12</v>
      </c>
      <c r="D413" t="n">
        <v>2</v>
      </c>
      <c r="E413" t="n">
        <v>2</v>
      </c>
      <c r="F413" t="n">
        <v>16</v>
      </c>
    </row>
    <row r="414">
      <c r="A414" s="28" t="n">
        <v>45704</v>
      </c>
      <c r="B414" t="inlineStr">
        <is>
          <t>Sun</t>
        </is>
      </c>
      <c r="C414" t="n">
        <v>12</v>
      </c>
      <c r="D414" t="n">
        <v>3</v>
      </c>
      <c r="E414" t="n">
        <v>3</v>
      </c>
      <c r="F414" t="n">
        <v>18</v>
      </c>
    </row>
    <row r="415">
      <c r="A415" s="28" t="n">
        <v>45705</v>
      </c>
      <c r="B415" t="inlineStr">
        <is>
          <t>Mon</t>
        </is>
      </c>
      <c r="C415" t="n">
        <v>13</v>
      </c>
      <c r="D415" t="n">
        <v>1</v>
      </c>
      <c r="E415" t="n">
        <v>4</v>
      </c>
      <c r="F415" t="n">
        <v>18</v>
      </c>
    </row>
    <row r="416">
      <c r="A416" s="28" t="n">
        <v>45706</v>
      </c>
      <c r="B416" t="inlineStr">
        <is>
          <t>Tue</t>
        </is>
      </c>
      <c r="C416" t="n">
        <v>13</v>
      </c>
      <c r="D416" t="n">
        <v>3</v>
      </c>
      <c r="E416" t="n">
        <v>1</v>
      </c>
      <c r="F416" t="n">
        <v>17</v>
      </c>
    </row>
    <row r="417">
      <c r="A417" s="28" t="n">
        <v>45707</v>
      </c>
      <c r="B417" t="inlineStr">
        <is>
          <t>Wed</t>
        </is>
      </c>
      <c r="C417" t="n">
        <v>24</v>
      </c>
      <c r="D417" t="n">
        <v>4</v>
      </c>
      <c r="E417" t="n">
        <v>1</v>
      </c>
      <c r="F417" t="n">
        <v>29</v>
      </c>
    </row>
    <row r="418">
      <c r="A418" s="28" t="n">
        <v>45708</v>
      </c>
      <c r="B418" t="inlineStr">
        <is>
          <t>Thu</t>
        </is>
      </c>
      <c r="C418" t="n">
        <v>21</v>
      </c>
      <c r="D418" t="n">
        <v>1</v>
      </c>
      <c r="E418" t="n">
        <v>2</v>
      </c>
      <c r="F418" t="n">
        <v>24</v>
      </c>
    </row>
    <row r="419">
      <c r="A419" s="28" t="n">
        <v>45709</v>
      </c>
      <c r="B419" t="inlineStr">
        <is>
          <t>Fri</t>
        </is>
      </c>
      <c r="C419" t="n">
        <v>14</v>
      </c>
      <c r="D419" t="n">
        <v>2</v>
      </c>
      <c r="E419" t="n">
        <v>2</v>
      </c>
      <c r="F419" t="n">
        <v>18</v>
      </c>
    </row>
    <row r="420">
      <c r="A420" s="28" t="n">
        <v>45710</v>
      </c>
      <c r="B420" t="inlineStr">
        <is>
          <t>Sat</t>
        </is>
      </c>
      <c r="C420" t="n">
        <v>15</v>
      </c>
      <c r="D420" t="n">
        <v>4</v>
      </c>
      <c r="E420" t="n">
        <v>3</v>
      </c>
      <c r="F420" t="n">
        <v>22</v>
      </c>
    </row>
    <row r="421">
      <c r="A421" s="28" t="n">
        <v>45711</v>
      </c>
      <c r="B421" t="inlineStr">
        <is>
          <t>Sun</t>
        </is>
      </c>
      <c r="C421" t="n">
        <v>10</v>
      </c>
      <c r="D421" t="n">
        <v>2</v>
      </c>
      <c r="E421" t="n">
        <v>2</v>
      </c>
      <c r="F421" t="n">
        <v>14</v>
      </c>
    </row>
    <row r="422">
      <c r="A422" s="28" t="n">
        <v>45712</v>
      </c>
      <c r="B422" t="inlineStr">
        <is>
          <t>Mon</t>
        </is>
      </c>
      <c r="C422" t="n">
        <v>21</v>
      </c>
      <c r="D422" t="n">
        <v>3</v>
      </c>
      <c r="E422" t="n">
        <v>7</v>
      </c>
      <c r="F422" t="n">
        <v>31</v>
      </c>
    </row>
    <row r="423">
      <c r="A423" s="28" t="n">
        <v>45713</v>
      </c>
      <c r="B423" t="inlineStr">
        <is>
          <t>Tue</t>
        </is>
      </c>
      <c r="C423" t="n">
        <v>18</v>
      </c>
      <c r="D423" t="n">
        <v>2</v>
      </c>
      <c r="E423" t="n">
        <v>8</v>
      </c>
      <c r="F423" t="n">
        <v>28</v>
      </c>
    </row>
    <row r="424">
      <c r="A424" s="28" t="n">
        <v>45714</v>
      </c>
      <c r="B424" t="inlineStr">
        <is>
          <t>Wed</t>
        </is>
      </c>
      <c r="C424" t="n">
        <v>16</v>
      </c>
      <c r="D424" t="n">
        <v>2</v>
      </c>
      <c r="E424" t="n">
        <v>3</v>
      </c>
      <c r="F424" t="n">
        <v>21</v>
      </c>
    </row>
    <row r="425">
      <c r="A425" s="28" t="n">
        <v>45715</v>
      </c>
      <c r="B425" t="inlineStr">
        <is>
          <t>Thu</t>
        </is>
      </c>
      <c r="C425" t="n">
        <v>13</v>
      </c>
      <c r="D425" t="n">
        <v>4</v>
      </c>
      <c r="E425" t="n">
        <v>0</v>
      </c>
      <c r="F425" t="n">
        <v>17</v>
      </c>
    </row>
    <row r="426">
      <c r="A426" s="28" t="n">
        <v>45716</v>
      </c>
      <c r="B426" t="inlineStr">
        <is>
          <t>Fri</t>
        </is>
      </c>
      <c r="C426" t="n">
        <v>11</v>
      </c>
      <c r="D426" t="n">
        <v>0</v>
      </c>
      <c r="E426" t="n">
        <v>0</v>
      </c>
      <c r="F426" t="n">
        <v>11</v>
      </c>
    </row>
    <row r="427">
      <c r="A427" s="28" t="n">
        <v>45717</v>
      </c>
      <c r="B427" t="inlineStr">
        <is>
          <t>Sat</t>
        </is>
      </c>
      <c r="C427" t="n">
        <v>10</v>
      </c>
      <c r="D427" t="n">
        <v>3</v>
      </c>
      <c r="E427" t="n">
        <v>4</v>
      </c>
      <c r="F427" t="n">
        <v>17</v>
      </c>
    </row>
    <row r="428">
      <c r="A428" s="28" t="n">
        <v>45718</v>
      </c>
      <c r="B428" t="inlineStr">
        <is>
          <t>Sun</t>
        </is>
      </c>
      <c r="C428" t="n">
        <v>13</v>
      </c>
      <c r="D428" t="n">
        <v>1</v>
      </c>
      <c r="E428" t="n">
        <v>3</v>
      </c>
      <c r="F428" t="n">
        <v>17</v>
      </c>
    </row>
    <row r="429">
      <c r="A429" s="28" t="n">
        <v>45719</v>
      </c>
      <c r="B429" t="inlineStr">
        <is>
          <t>Mon</t>
        </is>
      </c>
      <c r="C429" t="n">
        <v>11</v>
      </c>
      <c r="D429" t="n">
        <v>4</v>
      </c>
      <c r="E429" t="n">
        <v>2</v>
      </c>
      <c r="F429" t="n">
        <v>17</v>
      </c>
    </row>
    <row r="430">
      <c r="A430" s="28" t="n">
        <v>45720</v>
      </c>
      <c r="B430" t="inlineStr">
        <is>
          <t>Tue</t>
        </is>
      </c>
      <c r="C430" t="n">
        <v>7</v>
      </c>
      <c r="D430" t="n">
        <v>1</v>
      </c>
      <c r="E430" t="n">
        <v>5</v>
      </c>
      <c r="F430" t="n">
        <v>13</v>
      </c>
    </row>
    <row r="431">
      <c r="A431" s="28" t="n">
        <v>45721</v>
      </c>
      <c r="B431" t="inlineStr">
        <is>
          <t>Wed</t>
        </is>
      </c>
      <c r="C431" t="n">
        <v>8</v>
      </c>
      <c r="D431" t="n">
        <v>7</v>
      </c>
      <c r="E431" t="n">
        <v>5</v>
      </c>
      <c r="F431" t="n">
        <v>20</v>
      </c>
    </row>
    <row r="432">
      <c r="A432" s="28" t="n">
        <v>45722</v>
      </c>
      <c r="B432" t="inlineStr">
        <is>
          <t>Thu</t>
        </is>
      </c>
      <c r="C432" t="n">
        <v>11</v>
      </c>
      <c r="D432" t="n">
        <v>5</v>
      </c>
      <c r="E432" t="n">
        <v>0</v>
      </c>
      <c r="F432" t="n">
        <v>16</v>
      </c>
    </row>
    <row r="433">
      <c r="A433" s="28" t="n">
        <v>45723</v>
      </c>
      <c r="B433" t="inlineStr">
        <is>
          <t>Fri</t>
        </is>
      </c>
      <c r="C433" t="n">
        <v>11</v>
      </c>
      <c r="D433" t="n">
        <v>0</v>
      </c>
      <c r="E433" t="n">
        <v>2</v>
      </c>
      <c r="F433" t="n">
        <v>13</v>
      </c>
    </row>
    <row r="434">
      <c r="A434" s="28" t="n">
        <v>45724</v>
      </c>
      <c r="B434" t="inlineStr">
        <is>
          <t>Sat</t>
        </is>
      </c>
      <c r="C434" t="n">
        <v>14</v>
      </c>
      <c r="D434" t="n">
        <v>2</v>
      </c>
      <c r="E434" t="n">
        <v>1</v>
      </c>
      <c r="F434" t="n">
        <v>17</v>
      </c>
    </row>
    <row r="435">
      <c r="A435" s="28" t="n">
        <v>45725</v>
      </c>
      <c r="B435" t="inlineStr">
        <is>
          <t>Sun</t>
        </is>
      </c>
      <c r="C435" t="n">
        <v>12</v>
      </c>
      <c r="D435" t="n">
        <v>6</v>
      </c>
      <c r="E435" t="n">
        <v>2</v>
      </c>
      <c r="F435" t="n">
        <v>20</v>
      </c>
    </row>
    <row r="436">
      <c r="A436" s="28" t="n">
        <v>45726</v>
      </c>
      <c r="B436" t="inlineStr">
        <is>
          <t>Mon</t>
        </is>
      </c>
      <c r="C436" t="n">
        <v>20</v>
      </c>
      <c r="D436" t="n">
        <v>3</v>
      </c>
      <c r="E436" t="n">
        <v>4</v>
      </c>
      <c r="F436" t="n">
        <v>27</v>
      </c>
    </row>
    <row r="437">
      <c r="A437" s="28" t="n">
        <v>45727</v>
      </c>
      <c r="B437" t="inlineStr">
        <is>
          <t>Tue</t>
        </is>
      </c>
      <c r="C437" t="n">
        <v>9</v>
      </c>
      <c r="D437" t="n">
        <v>0</v>
      </c>
      <c r="E437" t="n">
        <v>5</v>
      </c>
      <c r="F437" t="n">
        <v>14</v>
      </c>
    </row>
    <row r="438">
      <c r="A438" s="28" t="n">
        <v>45728</v>
      </c>
      <c r="B438" t="inlineStr">
        <is>
          <t>Wed</t>
        </is>
      </c>
      <c r="C438" t="n">
        <v>9</v>
      </c>
      <c r="D438" t="n">
        <v>2</v>
      </c>
      <c r="E438" t="n">
        <v>4</v>
      </c>
      <c r="F438" t="n">
        <v>15</v>
      </c>
    </row>
    <row r="439">
      <c r="A439" s="28" t="n">
        <v>45729</v>
      </c>
      <c r="B439" t="inlineStr">
        <is>
          <t>Thu</t>
        </is>
      </c>
      <c r="C439" t="n">
        <v>11</v>
      </c>
      <c r="D439" t="n">
        <v>5</v>
      </c>
      <c r="E439" t="n">
        <v>2</v>
      </c>
      <c r="F439" t="n">
        <v>18</v>
      </c>
    </row>
    <row r="440">
      <c r="A440" s="28" t="n">
        <v>45730</v>
      </c>
      <c r="B440" t="inlineStr">
        <is>
          <t>Fri</t>
        </is>
      </c>
      <c r="C440" t="n">
        <v>11</v>
      </c>
      <c r="D440" t="n">
        <v>1</v>
      </c>
      <c r="E440" t="n">
        <v>3</v>
      </c>
      <c r="F440" t="n">
        <v>15</v>
      </c>
    </row>
    <row r="441">
      <c r="A441" s="28" t="n">
        <v>45731</v>
      </c>
      <c r="B441" t="inlineStr">
        <is>
          <t>Sat</t>
        </is>
      </c>
      <c r="C441" t="n">
        <v>12</v>
      </c>
      <c r="D441" t="n">
        <v>1</v>
      </c>
      <c r="E441" t="n">
        <v>7</v>
      </c>
      <c r="F441" t="n">
        <v>20</v>
      </c>
    </row>
    <row r="442">
      <c r="A442" s="28" t="n">
        <v>45732</v>
      </c>
      <c r="B442" t="inlineStr">
        <is>
          <t>Sun</t>
        </is>
      </c>
      <c r="C442" t="n">
        <v>9</v>
      </c>
      <c r="D442" t="n">
        <v>3</v>
      </c>
      <c r="E442" t="n">
        <v>6</v>
      </c>
      <c r="F442" t="n">
        <v>18</v>
      </c>
    </row>
    <row r="443">
      <c r="A443" s="28" t="n">
        <v>45733</v>
      </c>
      <c r="B443" t="inlineStr">
        <is>
          <t>Mon</t>
        </is>
      </c>
      <c r="C443" t="n">
        <v>19</v>
      </c>
      <c r="D443" t="n">
        <v>5</v>
      </c>
      <c r="E443" t="n">
        <v>2</v>
      </c>
      <c r="F443" t="n">
        <v>26</v>
      </c>
    </row>
    <row r="444">
      <c r="A444" s="28" t="n">
        <v>45734</v>
      </c>
      <c r="B444" t="inlineStr">
        <is>
          <t>Tue</t>
        </is>
      </c>
      <c r="C444" t="n">
        <v>13</v>
      </c>
      <c r="D444" t="n">
        <v>2</v>
      </c>
      <c r="E444" t="n">
        <v>1</v>
      </c>
      <c r="F444" t="n">
        <v>16</v>
      </c>
    </row>
    <row r="445">
      <c r="A445" s="28" t="n">
        <v>45735</v>
      </c>
      <c r="B445" t="inlineStr">
        <is>
          <t>Wed</t>
        </is>
      </c>
      <c r="C445" t="n">
        <v>15</v>
      </c>
      <c r="D445" t="n">
        <v>4</v>
      </c>
      <c r="E445" t="n">
        <v>3</v>
      </c>
      <c r="F445" t="n">
        <v>22</v>
      </c>
    </row>
    <row r="446">
      <c r="A446" s="28" t="n">
        <v>45736</v>
      </c>
      <c r="B446" t="inlineStr">
        <is>
          <t>Thu</t>
        </is>
      </c>
      <c r="C446" t="n">
        <v>18</v>
      </c>
      <c r="D446" t="n">
        <v>1</v>
      </c>
      <c r="E446" t="n">
        <v>2</v>
      </c>
      <c r="F446" t="n">
        <v>21</v>
      </c>
    </row>
    <row r="447">
      <c r="A447" s="28" t="n">
        <v>45737</v>
      </c>
      <c r="B447" t="inlineStr">
        <is>
          <t>Fri</t>
        </is>
      </c>
      <c r="C447" t="n">
        <v>15</v>
      </c>
      <c r="D447" t="n">
        <v>4</v>
      </c>
      <c r="E447" t="n">
        <v>1</v>
      </c>
      <c r="F447" t="n">
        <v>20</v>
      </c>
    </row>
    <row r="448">
      <c r="A448" s="28" t="n">
        <v>45738</v>
      </c>
      <c r="B448" t="inlineStr">
        <is>
          <t>Sat</t>
        </is>
      </c>
      <c r="C448" t="n">
        <v>16</v>
      </c>
      <c r="D448" t="n">
        <v>1</v>
      </c>
      <c r="E448" t="n">
        <v>1</v>
      </c>
      <c r="F448" t="n">
        <v>18</v>
      </c>
    </row>
    <row r="449">
      <c r="A449" s="28" t="n">
        <v>45739</v>
      </c>
      <c r="B449" t="inlineStr">
        <is>
          <t>Sun</t>
        </is>
      </c>
      <c r="C449" t="n">
        <v>6</v>
      </c>
      <c r="D449" t="n">
        <v>3</v>
      </c>
      <c r="E449" t="n">
        <v>2</v>
      </c>
      <c r="F449" t="n">
        <v>11</v>
      </c>
    </row>
    <row r="450">
      <c r="A450" s="28" t="n">
        <v>45740</v>
      </c>
      <c r="B450" t="inlineStr">
        <is>
          <t>Mon</t>
        </is>
      </c>
      <c r="C450" t="n">
        <v>17</v>
      </c>
      <c r="D450" t="n">
        <v>2</v>
      </c>
      <c r="E450" t="n">
        <v>3</v>
      </c>
      <c r="F450" t="n">
        <v>22</v>
      </c>
    </row>
    <row r="451">
      <c r="A451" s="28" t="n">
        <v>45741</v>
      </c>
      <c r="B451" t="inlineStr">
        <is>
          <t>Tue</t>
        </is>
      </c>
      <c r="C451" t="n">
        <v>8</v>
      </c>
      <c r="D451" t="n">
        <v>2</v>
      </c>
      <c r="E451" t="n">
        <v>2</v>
      </c>
      <c r="F451" t="n">
        <v>12</v>
      </c>
    </row>
    <row r="452">
      <c r="A452" s="28" t="n">
        <v>45742</v>
      </c>
      <c r="B452" t="inlineStr">
        <is>
          <t>Wed</t>
        </is>
      </c>
      <c r="C452" t="n">
        <v>14</v>
      </c>
      <c r="D452" t="n">
        <v>2</v>
      </c>
      <c r="E452" t="n">
        <v>2</v>
      </c>
      <c r="F452" t="n">
        <v>18</v>
      </c>
    </row>
    <row r="453">
      <c r="A453" s="28" t="n">
        <v>45743</v>
      </c>
      <c r="B453" t="inlineStr">
        <is>
          <t>Thu</t>
        </is>
      </c>
      <c r="C453" t="n">
        <v>12</v>
      </c>
      <c r="D453" t="n">
        <v>1</v>
      </c>
      <c r="E453" t="n">
        <v>3</v>
      </c>
      <c r="F453" t="n">
        <v>16</v>
      </c>
    </row>
    <row r="454">
      <c r="A454" s="28" t="n">
        <v>45744</v>
      </c>
      <c r="B454" t="inlineStr">
        <is>
          <t>Fri</t>
        </is>
      </c>
      <c r="C454" t="n">
        <v>17</v>
      </c>
      <c r="D454" t="n">
        <v>1</v>
      </c>
      <c r="E454" t="n">
        <v>4</v>
      </c>
      <c r="F454" t="n">
        <v>22</v>
      </c>
    </row>
    <row r="455">
      <c r="A455" s="28" t="n">
        <v>45745</v>
      </c>
      <c r="B455" t="inlineStr">
        <is>
          <t>Sat</t>
        </is>
      </c>
      <c r="C455" t="n">
        <v>12</v>
      </c>
      <c r="D455" t="n">
        <v>5</v>
      </c>
      <c r="E455" t="n">
        <v>2</v>
      </c>
      <c r="F455" t="n">
        <v>19</v>
      </c>
    </row>
    <row r="456">
      <c r="A456" s="28" t="n">
        <v>45746</v>
      </c>
      <c r="B456" t="inlineStr">
        <is>
          <t>Sun</t>
        </is>
      </c>
      <c r="C456" t="n">
        <v>9</v>
      </c>
      <c r="D456" t="n">
        <v>2</v>
      </c>
      <c r="E456" t="n">
        <v>0</v>
      </c>
      <c r="F456" t="n">
        <v>11</v>
      </c>
    </row>
    <row r="457">
      <c r="A457" s="28" t="n">
        <v>45747</v>
      </c>
      <c r="B457" t="inlineStr">
        <is>
          <t>Mon</t>
        </is>
      </c>
      <c r="C457" t="n">
        <v>11</v>
      </c>
      <c r="D457" t="n">
        <v>1</v>
      </c>
      <c r="E457" t="n">
        <v>3</v>
      </c>
      <c r="F457" t="n">
        <v>15</v>
      </c>
    </row>
    <row r="458">
      <c r="A458" s="28" t="n">
        <v>45748</v>
      </c>
      <c r="B458" t="inlineStr">
        <is>
          <t>Tue</t>
        </is>
      </c>
      <c r="C458" t="n">
        <v>8</v>
      </c>
      <c r="D458" t="n">
        <v>2</v>
      </c>
      <c r="E458" t="n">
        <v>1</v>
      </c>
      <c r="F458" t="n">
        <v>11</v>
      </c>
    </row>
    <row r="459">
      <c r="A459" s="28" t="n">
        <v>45749</v>
      </c>
      <c r="B459" t="inlineStr">
        <is>
          <t>Wed</t>
        </is>
      </c>
      <c r="C459" t="n">
        <v>9</v>
      </c>
      <c r="D459" t="n">
        <v>6</v>
      </c>
      <c r="E459" t="n">
        <v>3</v>
      </c>
      <c r="F459" t="n">
        <v>18</v>
      </c>
    </row>
    <row r="460">
      <c r="A460" s="28" t="n">
        <v>45750</v>
      </c>
      <c r="B460" t="inlineStr">
        <is>
          <t>Thu</t>
        </is>
      </c>
      <c r="C460" t="n">
        <v>15</v>
      </c>
      <c r="D460" t="n">
        <v>3</v>
      </c>
      <c r="E460" t="n">
        <v>1</v>
      </c>
      <c r="F460" t="n">
        <v>19</v>
      </c>
    </row>
    <row r="461">
      <c r="A461" s="28" t="n">
        <v>45751</v>
      </c>
      <c r="B461" t="inlineStr">
        <is>
          <t>Fri</t>
        </is>
      </c>
      <c r="C461" t="n">
        <v>10</v>
      </c>
      <c r="D461" t="n">
        <v>2</v>
      </c>
      <c r="E461" t="n">
        <v>0</v>
      </c>
      <c r="F461" t="n">
        <v>12</v>
      </c>
    </row>
    <row r="462">
      <c r="A462" s="28" t="n">
        <v>45752</v>
      </c>
      <c r="B462" t="inlineStr">
        <is>
          <t>Sat</t>
        </is>
      </c>
      <c r="C462" t="n">
        <v>8</v>
      </c>
      <c r="D462" t="n">
        <v>1</v>
      </c>
      <c r="E462" t="n">
        <v>2</v>
      </c>
      <c r="F462" t="n">
        <v>11</v>
      </c>
    </row>
    <row r="463">
      <c r="A463" s="28" t="n">
        <v>45753</v>
      </c>
      <c r="B463" t="inlineStr">
        <is>
          <t>Sun</t>
        </is>
      </c>
      <c r="C463" t="n">
        <v>7</v>
      </c>
      <c r="D463" t="n">
        <v>2</v>
      </c>
      <c r="E463" t="n">
        <v>3</v>
      </c>
      <c r="F463" t="n">
        <v>12</v>
      </c>
    </row>
    <row r="464">
      <c r="A464" s="28" t="n">
        <v>45754</v>
      </c>
      <c r="B464" t="inlineStr">
        <is>
          <t>Mon</t>
        </is>
      </c>
      <c r="C464" t="n">
        <v>14</v>
      </c>
      <c r="D464" t="n">
        <v>1</v>
      </c>
      <c r="E464" t="n">
        <v>1</v>
      </c>
      <c r="F464" t="n">
        <v>16</v>
      </c>
    </row>
    <row r="465">
      <c r="A465" s="28" t="n">
        <v>45755</v>
      </c>
      <c r="B465" t="inlineStr">
        <is>
          <t>Tue</t>
        </is>
      </c>
      <c r="C465" t="n">
        <v>8</v>
      </c>
      <c r="D465" t="n">
        <v>1</v>
      </c>
      <c r="E465" t="n">
        <v>3</v>
      </c>
      <c r="F465" t="n">
        <v>12</v>
      </c>
    </row>
    <row r="466">
      <c r="A466" s="28" t="n">
        <v>45756</v>
      </c>
      <c r="B466" t="inlineStr">
        <is>
          <t>Wed</t>
        </is>
      </c>
      <c r="C466" t="n">
        <v>8</v>
      </c>
      <c r="D466" t="n">
        <v>3</v>
      </c>
      <c r="E466" t="n">
        <v>4</v>
      </c>
      <c r="F466" t="n">
        <v>15</v>
      </c>
    </row>
    <row r="467">
      <c r="A467" s="28" t="n">
        <v>45757</v>
      </c>
      <c r="B467" t="inlineStr">
        <is>
          <t>Thu</t>
        </is>
      </c>
      <c r="C467" t="n">
        <v>14</v>
      </c>
      <c r="D467" t="n">
        <v>4</v>
      </c>
      <c r="E467" t="n">
        <v>3</v>
      </c>
      <c r="F467" t="n">
        <v>21</v>
      </c>
    </row>
    <row r="468">
      <c r="A468" s="28" t="n">
        <v>45758</v>
      </c>
      <c r="B468" t="inlineStr">
        <is>
          <t>Fri</t>
        </is>
      </c>
      <c r="C468" t="n">
        <v>9</v>
      </c>
      <c r="D468" t="n">
        <v>4</v>
      </c>
      <c r="E468" t="n">
        <v>5</v>
      </c>
      <c r="F468" t="n">
        <v>18</v>
      </c>
    </row>
    <row r="469">
      <c r="A469" s="28" t="n">
        <v>45759</v>
      </c>
      <c r="B469" t="inlineStr">
        <is>
          <t>Sat</t>
        </is>
      </c>
      <c r="C469" t="n">
        <v>8</v>
      </c>
      <c r="D469" t="n">
        <v>3</v>
      </c>
      <c r="E469" t="n">
        <v>0</v>
      </c>
      <c r="F469" t="n">
        <v>11</v>
      </c>
    </row>
    <row r="470">
      <c r="A470" s="28" t="n">
        <v>45760</v>
      </c>
      <c r="B470" t="inlineStr">
        <is>
          <t>Sun</t>
        </is>
      </c>
      <c r="C470" t="n">
        <v>8</v>
      </c>
      <c r="D470" t="n">
        <v>3</v>
      </c>
      <c r="E470" t="n">
        <v>3</v>
      </c>
      <c r="F470" t="n">
        <v>14</v>
      </c>
    </row>
    <row r="471">
      <c r="A471" s="28" t="n">
        <v>45761</v>
      </c>
      <c r="B471" t="inlineStr">
        <is>
          <t>Mon</t>
        </is>
      </c>
      <c r="C471" t="n">
        <v>15</v>
      </c>
      <c r="D471" t="n">
        <v>2</v>
      </c>
      <c r="E471" t="n">
        <v>4</v>
      </c>
      <c r="F471" t="n">
        <v>21</v>
      </c>
    </row>
    <row r="472">
      <c r="A472" s="28" t="n">
        <v>45762</v>
      </c>
      <c r="B472" t="inlineStr">
        <is>
          <t>Tue</t>
        </is>
      </c>
      <c r="C472" t="n">
        <v>8</v>
      </c>
      <c r="D472" t="n">
        <v>2</v>
      </c>
      <c r="E472" t="n">
        <v>1</v>
      </c>
      <c r="F472" t="n">
        <v>11</v>
      </c>
    </row>
    <row r="473">
      <c r="A473" s="28" t="n">
        <v>45763</v>
      </c>
      <c r="B473" t="inlineStr">
        <is>
          <t>Wed</t>
        </is>
      </c>
      <c r="C473" t="n">
        <v>12</v>
      </c>
      <c r="D473" t="n">
        <v>5</v>
      </c>
      <c r="E473" t="n">
        <v>1</v>
      </c>
      <c r="F473" t="n">
        <v>18</v>
      </c>
    </row>
    <row r="474">
      <c r="A474" s="28" t="n">
        <v>45764</v>
      </c>
      <c r="B474" t="inlineStr">
        <is>
          <t>Thu</t>
        </is>
      </c>
      <c r="C474" t="n">
        <v>10</v>
      </c>
      <c r="D474" t="n">
        <v>0</v>
      </c>
      <c r="E474" t="n">
        <v>4</v>
      </c>
      <c r="F474" t="n">
        <v>14</v>
      </c>
    </row>
    <row r="475">
      <c r="A475" s="28" t="n">
        <v>45765</v>
      </c>
      <c r="B475" t="inlineStr">
        <is>
          <t>Fri</t>
        </is>
      </c>
      <c r="C475" t="n">
        <v>11</v>
      </c>
      <c r="D475" t="n">
        <v>1</v>
      </c>
      <c r="E475" t="n">
        <v>2</v>
      </c>
      <c r="F475" t="n">
        <v>14</v>
      </c>
    </row>
    <row r="476">
      <c r="A476" s="28" t="n">
        <v>45766</v>
      </c>
      <c r="B476" t="inlineStr">
        <is>
          <t>Sat</t>
        </is>
      </c>
      <c r="C476" t="n">
        <v>11</v>
      </c>
      <c r="D476" t="n">
        <v>1</v>
      </c>
      <c r="E476" t="n">
        <v>2</v>
      </c>
      <c r="F476" t="n">
        <v>14</v>
      </c>
    </row>
    <row r="477">
      <c r="A477" s="28" t="n">
        <v>45767</v>
      </c>
      <c r="B477" t="inlineStr">
        <is>
          <t>Sun</t>
        </is>
      </c>
      <c r="C477" t="n">
        <v>10</v>
      </c>
      <c r="D477" t="n">
        <v>2</v>
      </c>
      <c r="E477" t="n">
        <v>3</v>
      </c>
      <c r="F477" t="n">
        <v>15</v>
      </c>
    </row>
    <row r="478">
      <c r="A478" s="28" t="n">
        <v>45768</v>
      </c>
      <c r="B478" t="inlineStr">
        <is>
          <t>Mon</t>
        </is>
      </c>
      <c r="C478" t="n">
        <v>15</v>
      </c>
      <c r="D478" t="n">
        <v>3</v>
      </c>
      <c r="E478" t="n">
        <v>3</v>
      </c>
      <c r="F478" t="n">
        <v>21</v>
      </c>
    </row>
    <row r="479">
      <c r="A479" s="28" t="n">
        <v>45769</v>
      </c>
      <c r="B479" t="inlineStr">
        <is>
          <t>Tue</t>
        </is>
      </c>
      <c r="C479" t="n">
        <v>8</v>
      </c>
      <c r="D479" t="n">
        <v>2</v>
      </c>
      <c r="E479" t="n">
        <v>3</v>
      </c>
      <c r="F479" t="n">
        <v>13</v>
      </c>
    </row>
    <row r="480">
      <c r="A480" s="28" t="n">
        <v>45770</v>
      </c>
      <c r="B480" t="inlineStr">
        <is>
          <t>Wed</t>
        </is>
      </c>
      <c r="C480" t="n">
        <v>12</v>
      </c>
      <c r="D480" t="n">
        <v>3</v>
      </c>
      <c r="E480" t="n">
        <v>5</v>
      </c>
      <c r="F480" t="n">
        <v>20</v>
      </c>
    </row>
    <row r="481">
      <c r="A481" s="28" t="n">
        <v>45771</v>
      </c>
      <c r="B481" t="inlineStr">
        <is>
          <t>Thu</t>
        </is>
      </c>
      <c r="C481" t="n">
        <v>8</v>
      </c>
      <c r="D481" t="n">
        <v>1</v>
      </c>
      <c r="E481" t="n">
        <v>5</v>
      </c>
      <c r="F481" t="n">
        <v>14</v>
      </c>
    </row>
    <row r="482">
      <c r="A482" s="28" t="n">
        <v>45772</v>
      </c>
      <c r="B482" t="inlineStr">
        <is>
          <t>Fri</t>
        </is>
      </c>
      <c r="C482" t="n">
        <v>15</v>
      </c>
      <c r="D482" t="n">
        <v>1</v>
      </c>
      <c r="E482" t="n">
        <v>1</v>
      </c>
      <c r="F482" t="n">
        <v>17</v>
      </c>
    </row>
    <row r="483">
      <c r="A483" s="28" t="n">
        <v>45773</v>
      </c>
      <c r="B483" t="inlineStr">
        <is>
          <t>Sat</t>
        </is>
      </c>
      <c r="C483" t="n">
        <v>8</v>
      </c>
      <c r="D483" t="n">
        <v>1</v>
      </c>
      <c r="E483" t="n">
        <v>4</v>
      </c>
      <c r="F483" t="n">
        <v>13</v>
      </c>
    </row>
    <row r="484">
      <c r="A484" s="28" t="n">
        <v>45774</v>
      </c>
      <c r="B484" t="inlineStr">
        <is>
          <t>Sun</t>
        </is>
      </c>
      <c r="C484" t="n">
        <v>9</v>
      </c>
      <c r="D484" t="n">
        <v>1</v>
      </c>
      <c r="E484" t="n">
        <v>2</v>
      </c>
      <c r="F484" t="n">
        <v>12</v>
      </c>
    </row>
    <row r="485">
      <c r="A485" s="28" t="n">
        <v>45775</v>
      </c>
      <c r="B485" t="inlineStr">
        <is>
          <t>Mon</t>
        </is>
      </c>
      <c r="C485" t="n">
        <v>9</v>
      </c>
      <c r="D485" t="n">
        <v>2</v>
      </c>
      <c r="E485" t="n">
        <v>1</v>
      </c>
      <c r="F485" t="n">
        <v>12</v>
      </c>
    </row>
    <row r="486">
      <c r="A486" s="28" t="n">
        <v>45776</v>
      </c>
      <c r="B486" t="inlineStr">
        <is>
          <t>Tue</t>
        </is>
      </c>
      <c r="C486" t="n">
        <v>7</v>
      </c>
      <c r="D486" t="n">
        <v>1</v>
      </c>
      <c r="E486" t="n">
        <v>1</v>
      </c>
      <c r="F486" t="n">
        <v>9</v>
      </c>
    </row>
    <row r="487">
      <c r="A487" s="28" t="n">
        <v>45777</v>
      </c>
      <c r="B487" t="inlineStr">
        <is>
          <t>Wed</t>
        </is>
      </c>
      <c r="C487" t="n">
        <v>5</v>
      </c>
      <c r="D487" t="n">
        <v>2</v>
      </c>
      <c r="E487" t="n">
        <v>1</v>
      </c>
      <c r="F487" t="n">
        <v>8</v>
      </c>
    </row>
    <row r="488">
      <c r="A488" s="28" t="n">
        <v>45778</v>
      </c>
      <c r="B488" t="inlineStr">
        <is>
          <t>Thu</t>
        </is>
      </c>
      <c r="C488" t="n">
        <v>16</v>
      </c>
      <c r="D488" t="n">
        <v>4</v>
      </c>
      <c r="E488" t="n">
        <v>2</v>
      </c>
      <c r="F488" t="n">
        <v>22</v>
      </c>
    </row>
    <row r="489">
      <c r="A489" s="28" t="n">
        <v>45779</v>
      </c>
      <c r="B489" t="inlineStr">
        <is>
          <t>Fri</t>
        </is>
      </c>
      <c r="C489" t="n">
        <v>23</v>
      </c>
      <c r="D489" t="n">
        <v>3</v>
      </c>
      <c r="E489" t="n">
        <v>2</v>
      </c>
      <c r="F489" t="n">
        <v>28</v>
      </c>
    </row>
    <row r="490">
      <c r="A490" s="28" t="n">
        <v>45780</v>
      </c>
      <c r="B490" t="inlineStr">
        <is>
          <t>Sat</t>
        </is>
      </c>
      <c r="C490" t="n">
        <v>10</v>
      </c>
      <c r="D490" t="n">
        <v>4</v>
      </c>
      <c r="E490" t="n">
        <v>0</v>
      </c>
      <c r="F490" t="n">
        <v>14</v>
      </c>
    </row>
    <row r="491">
      <c r="A491" s="28" t="n">
        <v>45781</v>
      </c>
      <c r="B491" t="inlineStr">
        <is>
          <t>Sun</t>
        </is>
      </c>
      <c r="C491" t="n">
        <v>6</v>
      </c>
      <c r="D491" t="n">
        <v>6</v>
      </c>
      <c r="E491" t="n">
        <v>2</v>
      </c>
      <c r="F491" t="n">
        <v>14</v>
      </c>
    </row>
    <row r="492">
      <c r="A492" s="28" t="n">
        <v>45782</v>
      </c>
      <c r="B492" t="inlineStr">
        <is>
          <t>Mon</t>
        </is>
      </c>
      <c r="C492" t="n">
        <v>19</v>
      </c>
      <c r="D492" t="n">
        <v>3</v>
      </c>
      <c r="E492" t="n">
        <v>5</v>
      </c>
      <c r="F492" t="n">
        <v>27</v>
      </c>
    </row>
    <row r="493">
      <c r="A493" s="28" t="n">
        <v>45783</v>
      </c>
      <c r="B493" t="inlineStr">
        <is>
          <t>Tue</t>
        </is>
      </c>
      <c r="C493" t="n">
        <v>16</v>
      </c>
      <c r="D493" t="n">
        <v>1</v>
      </c>
      <c r="E493" t="n">
        <v>5</v>
      </c>
      <c r="F493" t="n">
        <v>22</v>
      </c>
    </row>
    <row r="494">
      <c r="A494" s="28" t="n">
        <v>45784</v>
      </c>
      <c r="B494" t="inlineStr">
        <is>
          <t>Wed</t>
        </is>
      </c>
      <c r="C494" t="n">
        <v>8</v>
      </c>
      <c r="D494" t="n">
        <v>2</v>
      </c>
      <c r="E494" t="n">
        <v>1</v>
      </c>
      <c r="F494" t="n">
        <v>11</v>
      </c>
    </row>
    <row r="495">
      <c r="A495" s="28" t="n">
        <v>45785</v>
      </c>
      <c r="B495" t="inlineStr">
        <is>
          <t>Thu</t>
        </is>
      </c>
      <c r="C495" t="n">
        <v>7</v>
      </c>
      <c r="D495" t="n">
        <v>3</v>
      </c>
      <c r="E495" t="n">
        <v>1</v>
      </c>
      <c r="F495" t="n">
        <v>11</v>
      </c>
    </row>
    <row r="496">
      <c r="A496" s="28" t="n">
        <v>45786</v>
      </c>
      <c r="B496" t="inlineStr">
        <is>
          <t>Fri</t>
        </is>
      </c>
      <c r="C496" t="n">
        <v>11</v>
      </c>
      <c r="D496" t="n">
        <v>1</v>
      </c>
      <c r="E496" t="n">
        <v>2</v>
      </c>
      <c r="F496" t="n">
        <v>14</v>
      </c>
    </row>
    <row r="497">
      <c r="A497" s="28" t="n">
        <v>45787</v>
      </c>
      <c r="B497" t="inlineStr">
        <is>
          <t>Sat</t>
        </is>
      </c>
      <c r="C497" t="n">
        <v>12</v>
      </c>
      <c r="D497" t="n">
        <v>0</v>
      </c>
      <c r="E497" t="n">
        <v>1</v>
      </c>
      <c r="F497" t="n">
        <v>13</v>
      </c>
    </row>
    <row r="498">
      <c r="A498" s="28" t="n">
        <v>45788</v>
      </c>
      <c r="B498" t="inlineStr">
        <is>
          <t>Sun</t>
        </is>
      </c>
      <c r="C498" t="n">
        <v>14</v>
      </c>
      <c r="D498" t="n">
        <v>2</v>
      </c>
      <c r="E498" t="n">
        <v>0</v>
      </c>
      <c r="F498" t="n">
        <v>16</v>
      </c>
    </row>
    <row r="499">
      <c r="A499" s="28" t="n">
        <v>45789</v>
      </c>
      <c r="B499" t="inlineStr">
        <is>
          <t>Mon</t>
        </is>
      </c>
      <c r="C499" t="n">
        <v>14</v>
      </c>
      <c r="D499" t="n">
        <v>0</v>
      </c>
      <c r="E499" t="n">
        <v>2</v>
      </c>
      <c r="F499" t="n">
        <v>16</v>
      </c>
    </row>
    <row r="500">
      <c r="A500" s="28" t="n">
        <v>45790</v>
      </c>
      <c r="B500" t="inlineStr">
        <is>
          <t>Tue</t>
        </is>
      </c>
      <c r="C500" t="n">
        <v>19</v>
      </c>
      <c r="D500" t="n">
        <v>5</v>
      </c>
      <c r="E500" t="n">
        <v>0</v>
      </c>
      <c r="F500" t="n">
        <v>24</v>
      </c>
    </row>
    <row r="501">
      <c r="A501" s="28" t="n">
        <v>45791</v>
      </c>
      <c r="B501" t="inlineStr">
        <is>
          <t>Wed</t>
        </is>
      </c>
      <c r="C501" t="n">
        <v>12</v>
      </c>
      <c r="D501" t="n">
        <v>4</v>
      </c>
      <c r="E501" t="n">
        <v>2</v>
      </c>
      <c r="F501" t="n">
        <v>18</v>
      </c>
    </row>
    <row r="502">
      <c r="A502" s="28" t="n">
        <v>45792</v>
      </c>
      <c r="B502" t="inlineStr">
        <is>
          <t>Thu</t>
        </is>
      </c>
      <c r="C502" t="n">
        <v>10</v>
      </c>
      <c r="D502" t="n">
        <v>3</v>
      </c>
      <c r="E502" t="n">
        <v>0</v>
      </c>
      <c r="F502" t="n">
        <v>13</v>
      </c>
    </row>
    <row r="503">
      <c r="A503" s="28" t="n">
        <v>45793</v>
      </c>
      <c r="B503" t="inlineStr">
        <is>
          <t>Fri</t>
        </is>
      </c>
      <c r="C503" t="n">
        <v>8</v>
      </c>
      <c r="D503" t="n">
        <v>1</v>
      </c>
      <c r="E503" t="n">
        <v>1</v>
      </c>
      <c r="F503" t="n">
        <v>10</v>
      </c>
    </row>
    <row r="504">
      <c r="A504" s="28" t="n">
        <v>45794</v>
      </c>
      <c r="B504" t="inlineStr">
        <is>
          <t>Sat</t>
        </is>
      </c>
      <c r="C504" t="n">
        <v>12</v>
      </c>
      <c r="D504" t="n">
        <v>5</v>
      </c>
      <c r="E504" t="n">
        <v>2</v>
      </c>
      <c r="F504" t="n">
        <v>19</v>
      </c>
    </row>
    <row r="505">
      <c r="A505" s="28" t="n">
        <v>45795</v>
      </c>
      <c r="B505" t="inlineStr">
        <is>
          <t>Sun</t>
        </is>
      </c>
      <c r="C505" t="n">
        <v>18</v>
      </c>
      <c r="D505" t="n">
        <v>0</v>
      </c>
      <c r="E505" t="n">
        <v>0</v>
      </c>
      <c r="F505" t="n">
        <v>18</v>
      </c>
    </row>
    <row r="506">
      <c r="A506" s="28" t="n">
        <v>45796</v>
      </c>
      <c r="B506" t="inlineStr">
        <is>
          <t>Mon</t>
        </is>
      </c>
      <c r="C506" t="n">
        <v>13</v>
      </c>
      <c r="D506" t="n">
        <v>2</v>
      </c>
      <c r="E506" t="n">
        <v>3</v>
      </c>
      <c r="F506" t="n">
        <v>18</v>
      </c>
    </row>
    <row r="507">
      <c r="A507" s="28" t="n">
        <v>45797</v>
      </c>
      <c r="B507" t="inlineStr">
        <is>
          <t>Tue</t>
        </is>
      </c>
      <c r="C507" t="n">
        <v>12</v>
      </c>
      <c r="D507" t="n">
        <v>2</v>
      </c>
      <c r="E507" t="n">
        <v>6</v>
      </c>
      <c r="F507" t="n">
        <v>20</v>
      </c>
    </row>
    <row r="508">
      <c r="A508" s="28" t="n">
        <v>45798</v>
      </c>
      <c r="B508" t="inlineStr">
        <is>
          <t>Wed</t>
        </is>
      </c>
      <c r="C508" t="n">
        <v>8</v>
      </c>
      <c r="D508" t="n">
        <v>0</v>
      </c>
      <c r="E508" t="n">
        <v>2</v>
      </c>
      <c r="F508" t="n">
        <v>10</v>
      </c>
    </row>
    <row r="509">
      <c r="A509" s="28" t="n">
        <v>45799</v>
      </c>
      <c r="B509" t="inlineStr">
        <is>
          <t>Thu</t>
        </is>
      </c>
      <c r="C509" t="n">
        <v>10</v>
      </c>
      <c r="D509" t="n">
        <v>0</v>
      </c>
      <c r="E509" t="n">
        <v>3</v>
      </c>
      <c r="F509" t="n">
        <v>13</v>
      </c>
    </row>
    <row r="510">
      <c r="A510" s="28" t="n">
        <v>45800</v>
      </c>
      <c r="B510" t="inlineStr">
        <is>
          <t>Fri</t>
        </is>
      </c>
      <c r="C510" t="n">
        <v>8</v>
      </c>
      <c r="D510" t="n">
        <v>0</v>
      </c>
      <c r="E510" t="n">
        <v>7</v>
      </c>
      <c r="F510" t="n">
        <v>15</v>
      </c>
    </row>
    <row r="511">
      <c r="A511" s="28" t="n">
        <v>45801</v>
      </c>
      <c r="B511" t="inlineStr">
        <is>
          <t>Sat</t>
        </is>
      </c>
      <c r="C511" t="n">
        <v>10</v>
      </c>
      <c r="D511" t="n">
        <v>2</v>
      </c>
      <c r="E511" t="n">
        <v>3</v>
      </c>
      <c r="F511" t="n">
        <v>15</v>
      </c>
    </row>
    <row r="512">
      <c r="A512" s="28" t="n">
        <v>45802</v>
      </c>
      <c r="B512" t="inlineStr">
        <is>
          <t>Sun</t>
        </is>
      </c>
      <c r="C512" t="n">
        <v>9</v>
      </c>
      <c r="D512" t="n">
        <v>2</v>
      </c>
      <c r="E512" t="n">
        <v>1</v>
      </c>
      <c r="F512" t="n">
        <v>12</v>
      </c>
    </row>
    <row r="513">
      <c r="A513" s="28" t="n">
        <v>45803</v>
      </c>
      <c r="B513" t="inlineStr">
        <is>
          <t>Mon</t>
        </is>
      </c>
      <c r="C513" t="n">
        <v>16</v>
      </c>
      <c r="D513" t="n">
        <v>0</v>
      </c>
      <c r="E513" t="n">
        <v>5</v>
      </c>
      <c r="F513" t="n">
        <v>21</v>
      </c>
    </row>
    <row r="514">
      <c r="A514" s="28" t="n">
        <v>45804</v>
      </c>
      <c r="B514" t="inlineStr">
        <is>
          <t>Tue</t>
        </is>
      </c>
      <c r="C514" t="n">
        <v>11</v>
      </c>
      <c r="D514" t="n">
        <v>1</v>
      </c>
      <c r="E514" t="n">
        <v>2</v>
      </c>
      <c r="F514" t="n">
        <v>14</v>
      </c>
    </row>
    <row r="515">
      <c r="A515" s="28" t="n">
        <v>45805</v>
      </c>
      <c r="B515" t="inlineStr">
        <is>
          <t>Wed</t>
        </is>
      </c>
      <c r="C515" t="n">
        <v>9</v>
      </c>
      <c r="D515" t="n">
        <v>5</v>
      </c>
      <c r="E515" t="n">
        <v>2</v>
      </c>
      <c r="F515" t="n">
        <v>16</v>
      </c>
    </row>
    <row r="516">
      <c r="A516" s="28" t="n">
        <v>45806</v>
      </c>
      <c r="B516" t="inlineStr">
        <is>
          <t>Thu</t>
        </is>
      </c>
      <c r="C516" t="n">
        <v>8</v>
      </c>
      <c r="D516" t="n">
        <v>3</v>
      </c>
      <c r="E516" t="n">
        <v>1</v>
      </c>
      <c r="F516" t="n">
        <v>12</v>
      </c>
    </row>
    <row r="517">
      <c r="A517" s="28" t="n">
        <v>45807</v>
      </c>
      <c r="B517" t="inlineStr">
        <is>
          <t>Fri</t>
        </is>
      </c>
      <c r="C517" t="n">
        <v>13</v>
      </c>
      <c r="D517" t="n">
        <v>1</v>
      </c>
      <c r="E517" t="n">
        <v>0</v>
      </c>
      <c r="F517" t="n">
        <v>14</v>
      </c>
    </row>
    <row r="518">
      <c r="A518" s="28" t="n">
        <v>45808</v>
      </c>
      <c r="B518" t="inlineStr">
        <is>
          <t>Sat</t>
        </is>
      </c>
      <c r="C518" t="n">
        <v>5</v>
      </c>
      <c r="D518" t="n">
        <v>3</v>
      </c>
      <c r="E518" t="n">
        <v>1</v>
      </c>
      <c r="F518" t="n">
        <v>9</v>
      </c>
    </row>
    <row r="519">
      <c r="A519" s="28" t="n">
        <v>45809</v>
      </c>
      <c r="B519" t="inlineStr">
        <is>
          <t>Sun</t>
        </is>
      </c>
      <c r="C519" t="n">
        <v>13</v>
      </c>
      <c r="D519" t="n">
        <v>1</v>
      </c>
      <c r="E519" t="n">
        <v>3</v>
      </c>
      <c r="F519" t="n">
        <v>17</v>
      </c>
    </row>
    <row r="520">
      <c r="A520" s="28" t="n">
        <v>45810</v>
      </c>
      <c r="B520" t="inlineStr">
        <is>
          <t>Mon</t>
        </is>
      </c>
      <c r="C520" t="n">
        <v>18</v>
      </c>
      <c r="D520" t="n">
        <v>3</v>
      </c>
      <c r="E520" t="n">
        <v>1</v>
      </c>
      <c r="F520" t="n">
        <v>22</v>
      </c>
    </row>
    <row r="521">
      <c r="A521" s="28" t="n">
        <v>45811</v>
      </c>
      <c r="B521" t="inlineStr">
        <is>
          <t>Tue</t>
        </is>
      </c>
      <c r="C521" t="n">
        <v>11</v>
      </c>
      <c r="D521" t="n">
        <v>0</v>
      </c>
      <c r="E521" t="n">
        <v>1</v>
      </c>
      <c r="F521" t="n">
        <v>12</v>
      </c>
    </row>
    <row r="522">
      <c r="A522" s="28" t="n">
        <v>45812</v>
      </c>
      <c r="B522" t="inlineStr">
        <is>
          <t>Wed</t>
        </is>
      </c>
      <c r="C522" t="n">
        <v>18</v>
      </c>
      <c r="D522" t="n">
        <v>2</v>
      </c>
      <c r="E522" t="n">
        <v>3</v>
      </c>
      <c r="F522" t="n">
        <v>23</v>
      </c>
    </row>
    <row r="523">
      <c r="A523" s="28" t="n">
        <v>45813</v>
      </c>
      <c r="B523" t="inlineStr">
        <is>
          <t>Thu</t>
        </is>
      </c>
      <c r="C523" t="n">
        <v>9</v>
      </c>
      <c r="D523" t="n">
        <v>2</v>
      </c>
      <c r="E523" t="n">
        <v>0</v>
      </c>
      <c r="F523" t="n">
        <v>11</v>
      </c>
    </row>
    <row r="524">
      <c r="A524" s="28" t="n">
        <v>45814</v>
      </c>
      <c r="B524" t="inlineStr">
        <is>
          <t>Fri</t>
        </is>
      </c>
      <c r="C524" t="n">
        <v>17</v>
      </c>
      <c r="D524" t="n">
        <v>4</v>
      </c>
      <c r="E524" t="n">
        <v>2</v>
      </c>
      <c r="F524" t="n">
        <v>23</v>
      </c>
    </row>
    <row r="525">
      <c r="A525" s="28" t="n">
        <v>45815</v>
      </c>
      <c r="B525" t="inlineStr">
        <is>
          <t>Sat</t>
        </is>
      </c>
      <c r="C525" t="n">
        <v>7</v>
      </c>
      <c r="D525" t="n">
        <v>0</v>
      </c>
      <c r="E525" t="n">
        <v>3</v>
      </c>
      <c r="F525" t="n">
        <v>10</v>
      </c>
    </row>
    <row r="526">
      <c r="A526" s="28" t="n">
        <v>45816</v>
      </c>
      <c r="B526" t="inlineStr">
        <is>
          <t>Sun</t>
        </is>
      </c>
      <c r="C526" t="n">
        <v>12</v>
      </c>
      <c r="D526" t="n">
        <v>1</v>
      </c>
      <c r="E526" t="n">
        <v>6</v>
      </c>
      <c r="F526" t="n">
        <v>19</v>
      </c>
    </row>
    <row r="527">
      <c r="A527" s="28" t="n">
        <v>45817</v>
      </c>
      <c r="B527" t="inlineStr">
        <is>
          <t>Mon</t>
        </is>
      </c>
      <c r="C527" t="n">
        <v>11</v>
      </c>
      <c r="D527" t="n">
        <v>1</v>
      </c>
      <c r="E527" t="n">
        <v>1</v>
      </c>
      <c r="F527" t="n">
        <v>13</v>
      </c>
    </row>
    <row r="528">
      <c r="A528" s="28" t="n">
        <v>45818</v>
      </c>
      <c r="B528" t="inlineStr">
        <is>
          <t>Tue</t>
        </is>
      </c>
      <c r="C528" t="n">
        <v>10</v>
      </c>
      <c r="D528" t="n">
        <v>1</v>
      </c>
      <c r="E528" t="n">
        <v>4</v>
      </c>
      <c r="F528" t="n">
        <v>15</v>
      </c>
    </row>
    <row r="529">
      <c r="A529" s="28" t="n">
        <v>45819</v>
      </c>
      <c r="B529" t="inlineStr">
        <is>
          <t>Wed</t>
        </is>
      </c>
      <c r="C529" t="n">
        <v>8</v>
      </c>
      <c r="D529" t="n">
        <v>1</v>
      </c>
      <c r="E529" t="n">
        <v>5</v>
      </c>
      <c r="F529" t="n">
        <v>14</v>
      </c>
    </row>
    <row r="530">
      <c r="A530" s="28" t="n">
        <v>45820</v>
      </c>
      <c r="B530" t="inlineStr">
        <is>
          <t>Thu</t>
        </is>
      </c>
      <c r="C530" t="n">
        <v>18</v>
      </c>
      <c r="D530" t="n">
        <v>2</v>
      </c>
      <c r="E530" t="n">
        <v>3</v>
      </c>
      <c r="F530" t="n">
        <v>23</v>
      </c>
    </row>
    <row r="531">
      <c r="A531" s="28" t="n">
        <v>45821</v>
      </c>
      <c r="B531" t="inlineStr">
        <is>
          <t>Fri</t>
        </is>
      </c>
      <c r="C531" t="n">
        <v>13</v>
      </c>
      <c r="D531" t="n">
        <v>4</v>
      </c>
      <c r="E531" t="n">
        <v>3</v>
      </c>
      <c r="F531" t="n">
        <v>20</v>
      </c>
    </row>
    <row r="532">
      <c r="A532" s="28" t="n">
        <v>45822</v>
      </c>
      <c r="B532" t="inlineStr">
        <is>
          <t>Sat</t>
        </is>
      </c>
      <c r="C532" t="n">
        <v>10</v>
      </c>
      <c r="D532" t="n">
        <v>5</v>
      </c>
      <c r="E532" t="n">
        <v>6</v>
      </c>
      <c r="F532" t="n">
        <v>21</v>
      </c>
    </row>
    <row r="533">
      <c r="A533" s="28" t="n">
        <v>45823</v>
      </c>
      <c r="B533" t="inlineStr">
        <is>
          <t>Sun</t>
        </is>
      </c>
      <c r="C533" t="n">
        <v>10</v>
      </c>
      <c r="D533" t="n">
        <v>2</v>
      </c>
      <c r="E533" t="n">
        <v>3</v>
      </c>
      <c r="F533" t="n">
        <v>15</v>
      </c>
    </row>
    <row r="534">
      <c r="A534" s="28" t="n">
        <v>45824</v>
      </c>
      <c r="B534" t="inlineStr">
        <is>
          <t>Mon</t>
        </is>
      </c>
      <c r="C534" t="n">
        <v>11</v>
      </c>
      <c r="D534" t="n">
        <v>0</v>
      </c>
      <c r="E534" t="n">
        <v>3</v>
      </c>
      <c r="F534" t="n">
        <v>14</v>
      </c>
    </row>
    <row r="535">
      <c r="A535" s="28" t="n">
        <v>45825</v>
      </c>
      <c r="B535" t="inlineStr">
        <is>
          <t>Tue</t>
        </is>
      </c>
      <c r="C535" t="n">
        <v>7</v>
      </c>
      <c r="D535" t="n">
        <v>1</v>
      </c>
      <c r="E535" t="n">
        <v>3</v>
      </c>
      <c r="F535" t="n">
        <v>11</v>
      </c>
    </row>
    <row r="536">
      <c r="A536" s="28" t="n">
        <v>45826</v>
      </c>
      <c r="B536" t="inlineStr">
        <is>
          <t>Wed</t>
        </is>
      </c>
      <c r="C536" t="n">
        <v>16</v>
      </c>
      <c r="D536" t="n">
        <v>0</v>
      </c>
      <c r="E536" t="n">
        <v>4</v>
      </c>
      <c r="F536" t="n">
        <v>20</v>
      </c>
    </row>
    <row r="537">
      <c r="A537" s="28" t="n">
        <v>45827</v>
      </c>
      <c r="B537" t="inlineStr">
        <is>
          <t>Thu</t>
        </is>
      </c>
      <c r="C537" t="n">
        <v>16</v>
      </c>
      <c r="D537" t="n">
        <v>5</v>
      </c>
      <c r="E537" t="n">
        <v>4</v>
      </c>
      <c r="F537" t="n">
        <v>25</v>
      </c>
    </row>
    <row r="538">
      <c r="A538" s="28" t="n">
        <v>45828</v>
      </c>
      <c r="B538" t="inlineStr">
        <is>
          <t>Fri</t>
        </is>
      </c>
      <c r="C538" t="n">
        <v>12</v>
      </c>
      <c r="D538" t="n">
        <v>3</v>
      </c>
      <c r="E538" t="n">
        <v>1</v>
      </c>
      <c r="F538" t="n">
        <v>16</v>
      </c>
    </row>
    <row r="539">
      <c r="A539" s="28" t="n">
        <v>45829</v>
      </c>
      <c r="B539" t="inlineStr">
        <is>
          <t>Sat</t>
        </is>
      </c>
      <c r="C539" t="n">
        <v>10</v>
      </c>
      <c r="D539" t="n">
        <v>2</v>
      </c>
      <c r="E539" t="n">
        <v>2</v>
      </c>
      <c r="F539" t="n">
        <v>14</v>
      </c>
    </row>
    <row r="540">
      <c r="A540" s="28" t="n">
        <v>45830</v>
      </c>
      <c r="B540" t="inlineStr">
        <is>
          <t>Sun</t>
        </is>
      </c>
      <c r="C540" t="n">
        <v>11</v>
      </c>
      <c r="D540" t="n">
        <v>5</v>
      </c>
      <c r="E540" t="n">
        <v>2</v>
      </c>
      <c r="F540" t="n">
        <v>18</v>
      </c>
    </row>
    <row r="541">
      <c r="A541" s="28" t="n">
        <v>45831</v>
      </c>
      <c r="B541" t="inlineStr">
        <is>
          <t>Mon</t>
        </is>
      </c>
      <c r="C541" t="n">
        <v>17</v>
      </c>
      <c r="D541" t="n">
        <v>2</v>
      </c>
      <c r="E541" t="n">
        <v>4</v>
      </c>
      <c r="F541" t="n">
        <v>23</v>
      </c>
    </row>
    <row r="542">
      <c r="A542" s="28" t="n">
        <v>45832</v>
      </c>
      <c r="B542" t="inlineStr">
        <is>
          <t>Tue</t>
        </is>
      </c>
      <c r="C542" t="n">
        <v>6</v>
      </c>
      <c r="D542" t="n">
        <v>5</v>
      </c>
      <c r="E542" t="n">
        <v>4</v>
      </c>
      <c r="F542" t="n">
        <v>15</v>
      </c>
    </row>
    <row r="543">
      <c r="A543" s="28" t="n">
        <v>45833</v>
      </c>
      <c r="B543" t="inlineStr">
        <is>
          <t>Wed</t>
        </is>
      </c>
      <c r="C543" t="n">
        <v>10</v>
      </c>
      <c r="D543" t="n">
        <v>1</v>
      </c>
      <c r="E543" t="n">
        <v>0</v>
      </c>
      <c r="F543" t="n">
        <v>11</v>
      </c>
    </row>
    <row r="544">
      <c r="A544" s="28" t="n">
        <v>45834</v>
      </c>
      <c r="B544" t="inlineStr">
        <is>
          <t>Thu</t>
        </is>
      </c>
      <c r="C544" t="n">
        <v>13</v>
      </c>
      <c r="D544" t="n">
        <v>1</v>
      </c>
      <c r="E544" t="n">
        <v>3</v>
      </c>
      <c r="F544" t="n">
        <v>17</v>
      </c>
    </row>
    <row r="545">
      <c r="A545" s="28" t="n">
        <v>45835</v>
      </c>
      <c r="B545" t="inlineStr">
        <is>
          <t>Fri</t>
        </is>
      </c>
      <c r="C545" t="n">
        <v>15</v>
      </c>
      <c r="D545" t="n">
        <v>1</v>
      </c>
      <c r="E545" t="n">
        <v>3</v>
      </c>
      <c r="F545" t="n">
        <v>19</v>
      </c>
    </row>
    <row r="546">
      <c r="A546" s="28" t="n">
        <v>45836</v>
      </c>
      <c r="B546" t="inlineStr">
        <is>
          <t>Sat</t>
        </is>
      </c>
      <c r="C546" t="n">
        <v>16</v>
      </c>
      <c r="D546" t="n">
        <v>4</v>
      </c>
      <c r="E546" t="n">
        <v>5</v>
      </c>
      <c r="F546" t="n">
        <v>25</v>
      </c>
    </row>
    <row r="547">
      <c r="A547" s="28" t="n">
        <v>45837</v>
      </c>
      <c r="B547" t="inlineStr">
        <is>
          <t>Sun</t>
        </is>
      </c>
      <c r="C547" t="n">
        <v>6</v>
      </c>
      <c r="D547" t="n">
        <v>2</v>
      </c>
      <c r="E547" t="n">
        <v>2</v>
      </c>
      <c r="F547" t="n">
        <v>10</v>
      </c>
    </row>
    <row r="548">
      <c r="A548" s="28" t="n">
        <v>45838</v>
      </c>
      <c r="B548" t="inlineStr">
        <is>
          <t>Mon</t>
        </is>
      </c>
      <c r="C548" t="n">
        <v>13</v>
      </c>
      <c r="D548" t="n">
        <v>3</v>
      </c>
      <c r="E548" t="n">
        <v>1</v>
      </c>
      <c r="F548" t="n">
        <v>17</v>
      </c>
    </row>
    <row r="549">
      <c r="A549" s="28" t="n">
        <v>45839</v>
      </c>
      <c r="B549" t="inlineStr">
        <is>
          <t>Tue</t>
        </is>
      </c>
      <c r="C549" t="n">
        <v>11</v>
      </c>
      <c r="D549" t="n">
        <v>0</v>
      </c>
      <c r="E549" t="n">
        <v>6</v>
      </c>
      <c r="F549" t="n">
        <v>17</v>
      </c>
    </row>
    <row r="550">
      <c r="A550" s="28" t="n">
        <v>45840</v>
      </c>
      <c r="B550" t="inlineStr">
        <is>
          <t>Wed</t>
        </is>
      </c>
      <c r="C550" t="n">
        <v>10</v>
      </c>
      <c r="D550" t="n">
        <v>1</v>
      </c>
      <c r="E550" t="n">
        <v>4</v>
      </c>
      <c r="F550" t="n">
        <v>15</v>
      </c>
    </row>
    <row r="551">
      <c r="A551" s="28" t="n">
        <v>45841</v>
      </c>
      <c r="B551" t="inlineStr">
        <is>
          <t>Thu</t>
        </is>
      </c>
      <c r="C551" t="n">
        <v>9</v>
      </c>
      <c r="D551" t="n">
        <v>2</v>
      </c>
      <c r="E551" t="n">
        <v>2</v>
      </c>
      <c r="F551" t="n">
        <v>13</v>
      </c>
    </row>
    <row r="552">
      <c r="A552" s="28" t="n">
        <v>45842</v>
      </c>
      <c r="B552" t="inlineStr">
        <is>
          <t>Fri</t>
        </is>
      </c>
      <c r="C552" t="n">
        <v>8</v>
      </c>
      <c r="D552" t="n">
        <v>3</v>
      </c>
      <c r="E552" t="n">
        <v>2</v>
      </c>
      <c r="F552" t="n">
        <v>13</v>
      </c>
    </row>
    <row r="553">
      <c r="A553" s="28" t="n">
        <v>45843</v>
      </c>
      <c r="B553" t="inlineStr">
        <is>
          <t>Sat</t>
        </is>
      </c>
      <c r="C553" t="n">
        <v>7</v>
      </c>
      <c r="D553" t="n">
        <v>4</v>
      </c>
      <c r="E553" t="n">
        <v>2</v>
      </c>
      <c r="F553" t="n">
        <v>13</v>
      </c>
    </row>
    <row r="554">
      <c r="A554" s="28" t="n">
        <v>45844</v>
      </c>
      <c r="B554" t="inlineStr">
        <is>
          <t>Sun</t>
        </is>
      </c>
      <c r="C554" t="n">
        <v>11</v>
      </c>
      <c r="D554" t="n">
        <v>1</v>
      </c>
      <c r="E554" t="n">
        <v>3</v>
      </c>
      <c r="F554" t="n">
        <v>15</v>
      </c>
    </row>
    <row r="555">
      <c r="A555" s="28" t="n">
        <v>45845</v>
      </c>
      <c r="B555" t="inlineStr">
        <is>
          <t>Mon</t>
        </is>
      </c>
      <c r="C555" t="n">
        <v>18</v>
      </c>
      <c r="D555" t="n">
        <v>1</v>
      </c>
      <c r="E555" t="n">
        <v>2</v>
      </c>
      <c r="F555" t="n">
        <v>21</v>
      </c>
    </row>
    <row r="556">
      <c r="A556" s="28" t="n">
        <v>45846</v>
      </c>
      <c r="B556" t="inlineStr">
        <is>
          <t>Tue</t>
        </is>
      </c>
      <c r="C556" t="n">
        <v>16</v>
      </c>
      <c r="D556" t="n">
        <v>2</v>
      </c>
      <c r="E556" t="n">
        <v>1</v>
      </c>
      <c r="F556" t="n">
        <v>19</v>
      </c>
    </row>
    <row r="557">
      <c r="A557" s="28" t="n">
        <v>45847</v>
      </c>
      <c r="B557" t="inlineStr">
        <is>
          <t>Wed</t>
        </is>
      </c>
      <c r="C557" t="n">
        <v>17</v>
      </c>
      <c r="D557" t="n">
        <v>2</v>
      </c>
      <c r="E557" t="n">
        <v>2</v>
      </c>
      <c r="F557" t="n">
        <v>21</v>
      </c>
    </row>
    <row r="558">
      <c r="A558" s="28" t="n">
        <v>45848</v>
      </c>
      <c r="B558" t="inlineStr">
        <is>
          <t>Thu</t>
        </is>
      </c>
      <c r="C558" t="n">
        <v>15</v>
      </c>
      <c r="D558" t="n">
        <v>0</v>
      </c>
      <c r="E558" t="n">
        <v>4</v>
      </c>
      <c r="F558" t="n">
        <v>19</v>
      </c>
    </row>
    <row r="559">
      <c r="A559" s="28" t="n">
        <v>45849</v>
      </c>
      <c r="B559" t="inlineStr">
        <is>
          <t>Fri</t>
        </is>
      </c>
      <c r="C559" t="n">
        <v>8</v>
      </c>
      <c r="D559" t="n">
        <v>3</v>
      </c>
      <c r="E559" t="n">
        <v>4</v>
      </c>
      <c r="F559" t="n">
        <v>15</v>
      </c>
    </row>
    <row r="560">
      <c r="A560" s="28" t="n">
        <v>45850</v>
      </c>
      <c r="B560" t="inlineStr">
        <is>
          <t>Sat</t>
        </is>
      </c>
      <c r="C560" t="n">
        <v>13</v>
      </c>
      <c r="D560" t="n">
        <v>4</v>
      </c>
      <c r="E560" t="n">
        <v>1</v>
      </c>
      <c r="F560" t="n">
        <v>18</v>
      </c>
    </row>
    <row r="561">
      <c r="A561" s="28" t="n">
        <v>45851</v>
      </c>
      <c r="B561" t="inlineStr">
        <is>
          <t>Sun</t>
        </is>
      </c>
      <c r="C561" t="n">
        <v>10</v>
      </c>
      <c r="D561" t="n">
        <v>2</v>
      </c>
      <c r="E561" t="n">
        <v>1</v>
      </c>
      <c r="F561" t="n">
        <v>13</v>
      </c>
    </row>
    <row r="562">
      <c r="A562" s="28" t="n">
        <v>45852</v>
      </c>
      <c r="B562" t="inlineStr">
        <is>
          <t>Mon</t>
        </is>
      </c>
      <c r="C562" t="n">
        <v>14</v>
      </c>
      <c r="D562" t="n">
        <v>1</v>
      </c>
      <c r="E562" t="n">
        <v>0</v>
      </c>
      <c r="F562" t="n">
        <v>15</v>
      </c>
    </row>
    <row r="563">
      <c r="A563" s="28" t="n">
        <v>45853</v>
      </c>
      <c r="B563" t="inlineStr">
        <is>
          <t>Tue</t>
        </is>
      </c>
      <c r="C563" t="n">
        <v>11</v>
      </c>
      <c r="D563" t="n">
        <v>3</v>
      </c>
      <c r="E563" t="n">
        <v>1</v>
      </c>
      <c r="F563" t="n">
        <v>15</v>
      </c>
    </row>
    <row r="564">
      <c r="A564" s="28" t="n">
        <v>45854</v>
      </c>
      <c r="B564" t="inlineStr">
        <is>
          <t>Wed</t>
        </is>
      </c>
      <c r="C564" t="n">
        <v>11</v>
      </c>
      <c r="D564" t="n">
        <v>1</v>
      </c>
      <c r="E564" t="n">
        <v>2</v>
      </c>
      <c r="F564" t="n">
        <v>14</v>
      </c>
    </row>
    <row r="565">
      <c r="A565" s="28" t="n">
        <v>45855</v>
      </c>
      <c r="B565" t="inlineStr">
        <is>
          <t>Thu</t>
        </is>
      </c>
      <c r="C565" t="n">
        <v>8</v>
      </c>
      <c r="D565" t="n">
        <v>2</v>
      </c>
      <c r="E565" t="n">
        <v>2</v>
      </c>
      <c r="F565" t="n">
        <v>12</v>
      </c>
    </row>
    <row r="566">
      <c r="A566" s="28" t="n">
        <v>45856</v>
      </c>
      <c r="B566" t="inlineStr">
        <is>
          <t>Fri</t>
        </is>
      </c>
      <c r="C566" t="n">
        <v>13</v>
      </c>
      <c r="D566" t="n">
        <v>0</v>
      </c>
      <c r="E566" t="n">
        <v>4</v>
      </c>
      <c r="F566" t="n">
        <v>17</v>
      </c>
    </row>
    <row r="567">
      <c r="A567" s="28" t="n">
        <v>45857</v>
      </c>
      <c r="B567" t="inlineStr">
        <is>
          <t>Sat</t>
        </is>
      </c>
      <c r="C567" t="n">
        <v>15</v>
      </c>
      <c r="D567" t="n">
        <v>3</v>
      </c>
      <c r="E567" t="n">
        <v>1</v>
      </c>
      <c r="F567" t="n">
        <v>19</v>
      </c>
    </row>
    <row r="568">
      <c r="A568" s="28" t="n">
        <v>45858</v>
      </c>
      <c r="B568" t="inlineStr">
        <is>
          <t>Sun</t>
        </is>
      </c>
      <c r="C568" t="n">
        <v>13</v>
      </c>
      <c r="D568" t="n">
        <v>2</v>
      </c>
      <c r="E568" t="n">
        <v>3</v>
      </c>
      <c r="F568" t="n">
        <v>18</v>
      </c>
    </row>
    <row r="569">
      <c r="A569" s="28" t="n">
        <v>45859</v>
      </c>
      <c r="B569" t="inlineStr">
        <is>
          <t>Mon</t>
        </is>
      </c>
      <c r="C569" t="n">
        <v>10</v>
      </c>
      <c r="D569" t="n">
        <v>6</v>
      </c>
      <c r="E569" t="n">
        <v>2</v>
      </c>
      <c r="F569" t="n">
        <v>18</v>
      </c>
    </row>
    <row r="570">
      <c r="A570" s="28" t="n">
        <v>45860</v>
      </c>
      <c r="B570" t="inlineStr">
        <is>
          <t>Tue</t>
        </is>
      </c>
      <c r="C570" t="n">
        <v>15</v>
      </c>
      <c r="D570" t="n">
        <v>5</v>
      </c>
      <c r="E570" t="n">
        <v>2</v>
      </c>
      <c r="F570" t="n">
        <v>22</v>
      </c>
    </row>
    <row r="571">
      <c r="A571" s="28" t="n">
        <v>45861</v>
      </c>
      <c r="B571" t="inlineStr">
        <is>
          <t>Wed</t>
        </is>
      </c>
      <c r="C571" t="n">
        <v>9</v>
      </c>
      <c r="D571" t="n">
        <v>3</v>
      </c>
      <c r="E571" t="n">
        <v>3</v>
      </c>
      <c r="F571" t="n">
        <v>15</v>
      </c>
    </row>
    <row r="572">
      <c r="A572" s="28" t="n">
        <v>45862</v>
      </c>
      <c r="B572" t="inlineStr">
        <is>
          <t>Thu</t>
        </is>
      </c>
      <c r="C572" t="n">
        <v>9</v>
      </c>
      <c r="D572" t="n">
        <v>3</v>
      </c>
      <c r="E572" t="n">
        <v>2</v>
      </c>
      <c r="F572" t="n">
        <v>14</v>
      </c>
    </row>
    <row r="573">
      <c r="A573" s="28" t="n">
        <v>45863</v>
      </c>
      <c r="B573" t="inlineStr">
        <is>
          <t>Fri</t>
        </is>
      </c>
      <c r="C573" t="n">
        <v>10</v>
      </c>
      <c r="D573" t="n">
        <v>1</v>
      </c>
      <c r="E573" t="n">
        <v>3</v>
      </c>
      <c r="F573" t="n">
        <v>14</v>
      </c>
    </row>
    <row r="574">
      <c r="A574" s="28" t="n">
        <v>45864</v>
      </c>
      <c r="B574" t="inlineStr">
        <is>
          <t>Sat</t>
        </is>
      </c>
      <c r="C574" t="n">
        <v>11</v>
      </c>
      <c r="D574" t="n">
        <v>0</v>
      </c>
      <c r="E574" t="n">
        <v>2</v>
      </c>
      <c r="F574" t="n">
        <v>13</v>
      </c>
    </row>
    <row r="575">
      <c r="A575" s="28" t="n">
        <v>45865</v>
      </c>
      <c r="B575" t="inlineStr">
        <is>
          <t>Sun</t>
        </is>
      </c>
      <c r="C575" t="n">
        <v>11</v>
      </c>
      <c r="D575" t="n">
        <v>2</v>
      </c>
      <c r="E575" t="n">
        <v>1</v>
      </c>
      <c r="F575" t="n">
        <v>14</v>
      </c>
    </row>
    <row r="576">
      <c r="A576" s="28" t="n">
        <v>45866</v>
      </c>
      <c r="B576" t="inlineStr">
        <is>
          <t>Mon</t>
        </is>
      </c>
      <c r="C576" t="n">
        <v>17</v>
      </c>
      <c r="D576" t="n">
        <v>4</v>
      </c>
      <c r="E576" t="n">
        <v>4</v>
      </c>
      <c r="F576" t="n">
        <v>25</v>
      </c>
    </row>
    <row r="577">
      <c r="A577" s="28" t="n">
        <v>45867</v>
      </c>
      <c r="B577" t="inlineStr">
        <is>
          <t>Tue</t>
        </is>
      </c>
      <c r="C577" t="n">
        <v>15</v>
      </c>
      <c r="D577" t="n">
        <v>3</v>
      </c>
      <c r="E577" t="n">
        <v>2</v>
      </c>
      <c r="F577" t="n">
        <v>20</v>
      </c>
    </row>
    <row r="578">
      <c r="A578" s="28" t="n">
        <v>45868</v>
      </c>
      <c r="B578" t="inlineStr">
        <is>
          <t>Wed</t>
        </is>
      </c>
      <c r="C578" t="n">
        <v>5</v>
      </c>
      <c r="D578" t="n">
        <v>2</v>
      </c>
      <c r="E578" t="n">
        <v>1</v>
      </c>
      <c r="F578" t="n">
        <v>8</v>
      </c>
    </row>
    <row r="579">
      <c r="A579" s="28" t="n">
        <v>45869</v>
      </c>
      <c r="B579" t="inlineStr">
        <is>
          <t>Thu</t>
        </is>
      </c>
      <c r="C579" t="n">
        <v>8</v>
      </c>
      <c r="D579" t="n">
        <v>3</v>
      </c>
      <c r="E579" t="n">
        <v>3</v>
      </c>
      <c r="F579" t="n">
        <v>14</v>
      </c>
    </row>
    <row r="580">
      <c r="A580" s="28" t="n">
        <v>45870</v>
      </c>
      <c r="B580" t="inlineStr">
        <is>
          <t>Fri</t>
        </is>
      </c>
      <c r="C580" t="n">
        <v>8</v>
      </c>
      <c r="D580" t="n">
        <v>3</v>
      </c>
      <c r="E580" t="n">
        <v>2</v>
      </c>
      <c r="F580" t="n">
        <v>13</v>
      </c>
    </row>
    <row r="581">
      <c r="A581" s="28" t="n">
        <v>45871</v>
      </c>
      <c r="B581" t="inlineStr">
        <is>
          <t>Sat</t>
        </is>
      </c>
      <c r="C581" t="n">
        <v>6</v>
      </c>
      <c r="D581" t="n">
        <v>1</v>
      </c>
      <c r="E581" t="n">
        <v>2</v>
      </c>
      <c r="F581" t="n">
        <v>9</v>
      </c>
    </row>
    <row r="582">
      <c r="A582" s="28" t="n">
        <v>45872</v>
      </c>
      <c r="B582" t="inlineStr">
        <is>
          <t>Sun</t>
        </is>
      </c>
      <c r="C582" t="n">
        <v>13</v>
      </c>
      <c r="D582" t="n">
        <v>0</v>
      </c>
      <c r="E582" t="n">
        <v>4</v>
      </c>
      <c r="F582" t="n">
        <v>17</v>
      </c>
    </row>
    <row r="583">
      <c r="A583" s="28" t="n">
        <v>45873</v>
      </c>
      <c r="B583" t="inlineStr">
        <is>
          <t>Mon</t>
        </is>
      </c>
      <c r="C583" t="n">
        <v>11</v>
      </c>
      <c r="D583" t="n">
        <v>3</v>
      </c>
      <c r="E583" t="n">
        <v>0</v>
      </c>
      <c r="F583" t="n">
        <v>14</v>
      </c>
    </row>
    <row r="584">
      <c r="A584" s="28" t="n">
        <v>45874</v>
      </c>
      <c r="B584" t="inlineStr">
        <is>
          <t>Tue</t>
        </is>
      </c>
      <c r="C584" t="n">
        <v>14</v>
      </c>
      <c r="D584" t="n">
        <v>2</v>
      </c>
      <c r="E584" t="n">
        <v>3</v>
      </c>
      <c r="F584" t="n">
        <v>19</v>
      </c>
    </row>
    <row r="585">
      <c r="A585" s="28" t="n">
        <v>45875</v>
      </c>
      <c r="B585" t="inlineStr">
        <is>
          <t>Wed</t>
        </is>
      </c>
      <c r="C585" t="n">
        <v>7</v>
      </c>
      <c r="D585" t="n">
        <v>1</v>
      </c>
      <c r="E585" t="n">
        <v>3</v>
      </c>
      <c r="F585" t="n">
        <v>11</v>
      </c>
    </row>
    <row r="586">
      <c r="A586" s="28" t="n">
        <v>45876</v>
      </c>
      <c r="B586" t="inlineStr">
        <is>
          <t>Thu</t>
        </is>
      </c>
      <c r="C586" t="n">
        <v>7</v>
      </c>
      <c r="D586" t="n">
        <v>2</v>
      </c>
      <c r="E586" t="n">
        <v>1</v>
      </c>
      <c r="F586" t="n">
        <v>10</v>
      </c>
    </row>
    <row r="587">
      <c r="A587" s="28" t="n">
        <v>45877</v>
      </c>
      <c r="B587" t="inlineStr">
        <is>
          <t>Fri</t>
        </is>
      </c>
      <c r="C587" t="n">
        <v>11</v>
      </c>
      <c r="D587" t="n">
        <v>2</v>
      </c>
      <c r="E587" t="n">
        <v>4</v>
      </c>
      <c r="F587" t="n">
        <v>17</v>
      </c>
    </row>
    <row r="588">
      <c r="A588" s="28" t="n">
        <v>45878</v>
      </c>
      <c r="B588" t="inlineStr">
        <is>
          <t>Sat</t>
        </is>
      </c>
      <c r="C588" t="n">
        <v>14</v>
      </c>
      <c r="D588" t="n">
        <v>1</v>
      </c>
      <c r="E588" t="n">
        <v>0</v>
      </c>
      <c r="F588" t="n">
        <v>15</v>
      </c>
    </row>
    <row r="589">
      <c r="A589" s="28" t="n">
        <v>45879</v>
      </c>
      <c r="B589" t="inlineStr">
        <is>
          <t>Sun</t>
        </is>
      </c>
      <c r="C589" t="n">
        <v>9</v>
      </c>
      <c r="D589" t="n">
        <v>0</v>
      </c>
      <c r="E589" t="n">
        <v>3</v>
      </c>
      <c r="F589" t="n">
        <v>12</v>
      </c>
    </row>
    <row r="590">
      <c r="A590" s="28" t="n">
        <v>45880</v>
      </c>
      <c r="B590" t="inlineStr">
        <is>
          <t>Mon</t>
        </is>
      </c>
      <c r="C590" t="n">
        <v>5</v>
      </c>
      <c r="D590" t="n">
        <v>3</v>
      </c>
      <c r="E590" t="n">
        <v>5</v>
      </c>
      <c r="F590" t="n">
        <v>13</v>
      </c>
    </row>
    <row r="591">
      <c r="A591" s="28" t="n">
        <v>45881</v>
      </c>
      <c r="B591" t="inlineStr">
        <is>
          <t>Tue</t>
        </is>
      </c>
      <c r="C591" t="n">
        <v>10</v>
      </c>
      <c r="D591" t="n">
        <v>1</v>
      </c>
      <c r="E591" t="n">
        <v>4</v>
      </c>
      <c r="F591" t="n">
        <v>15</v>
      </c>
    </row>
    <row r="592">
      <c r="A592" s="28" t="n">
        <v>45882</v>
      </c>
      <c r="B592" t="inlineStr">
        <is>
          <t>Wed</t>
        </is>
      </c>
      <c r="C592" t="n">
        <v>7</v>
      </c>
      <c r="D592" t="n">
        <v>4</v>
      </c>
      <c r="E592" t="n">
        <v>3</v>
      </c>
      <c r="F592" t="n">
        <v>14</v>
      </c>
    </row>
    <row r="593">
      <c r="A593" s="28" t="n">
        <v>45883</v>
      </c>
      <c r="B593" t="inlineStr">
        <is>
          <t>Thu</t>
        </is>
      </c>
      <c r="C593" t="n">
        <v>11</v>
      </c>
      <c r="D593" t="n">
        <v>2</v>
      </c>
      <c r="E593" t="n">
        <v>4</v>
      </c>
      <c r="F593" t="n">
        <v>17</v>
      </c>
    </row>
    <row r="594">
      <c r="A594" s="28" t="n">
        <v>45884</v>
      </c>
      <c r="B594" t="inlineStr">
        <is>
          <t>Fri</t>
        </is>
      </c>
      <c r="C594" t="n">
        <v>14</v>
      </c>
      <c r="D594" t="n">
        <v>0</v>
      </c>
      <c r="E594" t="n">
        <v>3</v>
      </c>
      <c r="F594" t="n">
        <v>17</v>
      </c>
    </row>
    <row r="595">
      <c r="A595" s="28" t="n">
        <v>45885</v>
      </c>
      <c r="B595" t="inlineStr">
        <is>
          <t>Sat</t>
        </is>
      </c>
      <c r="C595" t="n">
        <v>11</v>
      </c>
      <c r="D595" t="n">
        <v>3</v>
      </c>
      <c r="E595" t="n">
        <v>3</v>
      </c>
      <c r="F595" t="n">
        <v>17</v>
      </c>
    </row>
    <row r="596">
      <c r="A596" s="28" t="n">
        <v>45886</v>
      </c>
      <c r="B596" t="inlineStr">
        <is>
          <t>Sun</t>
        </is>
      </c>
      <c r="C596" t="n">
        <v>11</v>
      </c>
      <c r="D596" t="n">
        <v>1</v>
      </c>
      <c r="E596" t="n">
        <v>0</v>
      </c>
      <c r="F596" t="n">
        <v>12</v>
      </c>
    </row>
    <row r="597">
      <c r="A597" s="28" t="n">
        <v>45887</v>
      </c>
      <c r="B597" t="inlineStr">
        <is>
          <t>Mon</t>
        </is>
      </c>
      <c r="C597" t="n">
        <v>7</v>
      </c>
      <c r="D597" t="n">
        <v>2</v>
      </c>
      <c r="E597" t="n">
        <v>2</v>
      </c>
      <c r="F597" t="n">
        <v>11</v>
      </c>
    </row>
    <row r="598">
      <c r="A598" s="28" t="n">
        <v>45888</v>
      </c>
      <c r="B598" t="inlineStr">
        <is>
          <t>Tue</t>
        </is>
      </c>
      <c r="C598" t="n">
        <v>15</v>
      </c>
      <c r="D598" t="n">
        <v>2</v>
      </c>
      <c r="E598" t="n">
        <v>1</v>
      </c>
      <c r="F598" t="n">
        <v>18</v>
      </c>
    </row>
    <row r="599">
      <c r="A599" s="28" t="n">
        <v>45889</v>
      </c>
      <c r="B599" t="inlineStr">
        <is>
          <t>Wed</t>
        </is>
      </c>
      <c r="C599" t="n">
        <v>10</v>
      </c>
      <c r="D599" t="n">
        <v>2</v>
      </c>
      <c r="E599" t="n">
        <v>4</v>
      </c>
      <c r="F599" t="n">
        <v>16</v>
      </c>
    </row>
    <row r="600">
      <c r="A600" s="28" t="n">
        <v>45890</v>
      </c>
      <c r="B600" t="inlineStr">
        <is>
          <t>Thu</t>
        </is>
      </c>
      <c r="C600" t="n">
        <v>11</v>
      </c>
      <c r="D600" t="n">
        <v>3</v>
      </c>
      <c r="E600" t="n">
        <v>3</v>
      </c>
      <c r="F600" t="n">
        <v>17</v>
      </c>
    </row>
    <row r="601">
      <c r="A601" s="28" t="n">
        <v>45891</v>
      </c>
      <c r="B601" t="inlineStr">
        <is>
          <t>Fri</t>
        </is>
      </c>
      <c r="C601" t="n">
        <v>14</v>
      </c>
      <c r="D601" t="n">
        <v>3</v>
      </c>
      <c r="E601" t="n">
        <v>3</v>
      </c>
      <c r="F601" t="n">
        <v>20</v>
      </c>
    </row>
    <row r="602">
      <c r="A602" s="28" t="n">
        <v>45892</v>
      </c>
      <c r="B602" t="inlineStr">
        <is>
          <t>Sat</t>
        </is>
      </c>
      <c r="C602" t="n">
        <v>10</v>
      </c>
      <c r="D602" t="n">
        <v>2</v>
      </c>
      <c r="E602" t="n">
        <v>3</v>
      </c>
      <c r="F602" t="n">
        <v>15</v>
      </c>
    </row>
    <row r="603">
      <c r="A603" s="28" t="n">
        <v>45893</v>
      </c>
      <c r="B603" t="inlineStr">
        <is>
          <t>Sun</t>
        </is>
      </c>
      <c r="C603" t="n">
        <v>9</v>
      </c>
      <c r="D603" t="n">
        <v>2</v>
      </c>
      <c r="E603" t="n">
        <v>0</v>
      </c>
      <c r="F603" t="n">
        <v>11</v>
      </c>
    </row>
    <row r="604">
      <c r="A604" s="28" t="n">
        <v>45894</v>
      </c>
      <c r="B604" t="inlineStr">
        <is>
          <t>Mon</t>
        </is>
      </c>
      <c r="C604" t="n">
        <v>14</v>
      </c>
      <c r="D604" t="n">
        <v>8</v>
      </c>
      <c r="E604" t="n">
        <v>3</v>
      </c>
      <c r="F604" t="n">
        <v>25</v>
      </c>
    </row>
    <row r="605">
      <c r="A605" s="28" t="n">
        <v>45895</v>
      </c>
      <c r="B605" t="inlineStr">
        <is>
          <t>Tue</t>
        </is>
      </c>
      <c r="C605" t="n">
        <v>6</v>
      </c>
      <c r="D605" t="n">
        <v>4</v>
      </c>
      <c r="E605" t="n">
        <v>2</v>
      </c>
      <c r="F605" t="n">
        <v>12</v>
      </c>
    </row>
    <row r="606">
      <c r="A606" s="28" t="n">
        <v>45896</v>
      </c>
      <c r="B606" t="inlineStr">
        <is>
          <t>Wed</t>
        </is>
      </c>
      <c r="C606" t="n">
        <v>6</v>
      </c>
      <c r="D606" t="n">
        <v>1</v>
      </c>
      <c r="E606" t="n">
        <v>3</v>
      </c>
      <c r="F606" t="n">
        <v>10</v>
      </c>
    </row>
    <row r="607">
      <c r="A607" s="28" t="n">
        <v>45897</v>
      </c>
      <c r="B607" t="inlineStr">
        <is>
          <t>Thu</t>
        </is>
      </c>
      <c r="C607" t="n">
        <v>5</v>
      </c>
      <c r="D607" t="n">
        <v>1</v>
      </c>
      <c r="E607" t="n">
        <v>3</v>
      </c>
      <c r="F607" t="n">
        <v>9</v>
      </c>
    </row>
    <row r="608">
      <c r="A608" s="28" t="n">
        <v>45898</v>
      </c>
      <c r="B608" t="inlineStr">
        <is>
          <t>Fri</t>
        </is>
      </c>
      <c r="C608" t="n">
        <v>7</v>
      </c>
      <c r="D608" t="n">
        <v>2</v>
      </c>
      <c r="E608" t="n">
        <v>2</v>
      </c>
      <c r="F608" t="n">
        <v>11</v>
      </c>
    </row>
    <row r="609">
      <c r="A609" s="28" t="n">
        <v>45899</v>
      </c>
      <c r="B609" t="inlineStr">
        <is>
          <t>Sat</t>
        </is>
      </c>
      <c r="C609" t="n">
        <v>11</v>
      </c>
      <c r="D609" t="n">
        <v>1</v>
      </c>
      <c r="E609" t="n">
        <v>3</v>
      </c>
      <c r="F609" t="n">
        <v>15</v>
      </c>
    </row>
    <row r="610">
      <c r="A610" s="28" t="n">
        <v>45900</v>
      </c>
      <c r="B610" t="inlineStr">
        <is>
          <t>Sun</t>
        </is>
      </c>
      <c r="C610" t="n">
        <v>8</v>
      </c>
      <c r="D610" t="n">
        <v>1</v>
      </c>
      <c r="E610" t="n">
        <v>2</v>
      </c>
      <c r="F610" t="n">
        <v>11</v>
      </c>
    </row>
    <row r="611">
      <c r="A611" s="28" t="n">
        <v>45901</v>
      </c>
      <c r="B611" t="inlineStr">
        <is>
          <t>Mon</t>
        </is>
      </c>
      <c r="C611" t="n">
        <v>16</v>
      </c>
      <c r="D611" t="n">
        <v>1</v>
      </c>
      <c r="E611" t="n">
        <v>7</v>
      </c>
      <c r="F611" t="n">
        <v>24</v>
      </c>
    </row>
    <row r="612">
      <c r="A612" s="28" t="n">
        <v>45902</v>
      </c>
      <c r="B612" t="inlineStr">
        <is>
          <t>Tue</t>
        </is>
      </c>
      <c r="C612" t="n">
        <v>9</v>
      </c>
      <c r="D612" t="n">
        <v>1</v>
      </c>
      <c r="E612" t="n">
        <v>3</v>
      </c>
      <c r="F612" t="n">
        <v>13</v>
      </c>
    </row>
    <row r="613">
      <c r="A613" s="28" t="n">
        <v>45903</v>
      </c>
      <c r="B613" t="inlineStr">
        <is>
          <t>Wed</t>
        </is>
      </c>
      <c r="C613" t="n">
        <v>18</v>
      </c>
      <c r="D613" t="n">
        <v>1</v>
      </c>
      <c r="E613" t="n">
        <v>2</v>
      </c>
      <c r="F613" t="n">
        <v>21</v>
      </c>
    </row>
    <row r="614">
      <c r="A614" s="28" t="n">
        <v>45904</v>
      </c>
      <c r="B614" t="inlineStr">
        <is>
          <t>Thu</t>
        </is>
      </c>
      <c r="C614" t="n">
        <v>13</v>
      </c>
      <c r="D614" t="n">
        <v>4</v>
      </c>
      <c r="E614" t="n">
        <v>2</v>
      </c>
      <c r="F614" t="n">
        <v>19</v>
      </c>
    </row>
    <row r="615">
      <c r="A615" s="28" t="n">
        <v>45905</v>
      </c>
      <c r="B615" t="inlineStr">
        <is>
          <t>Fri</t>
        </is>
      </c>
      <c r="C615" t="n">
        <v>11</v>
      </c>
      <c r="D615" t="n">
        <v>1</v>
      </c>
      <c r="E615" t="n">
        <v>0</v>
      </c>
      <c r="F615" t="n">
        <v>12</v>
      </c>
    </row>
    <row r="616">
      <c r="A616" s="28" t="n">
        <v>45906</v>
      </c>
      <c r="B616" t="inlineStr">
        <is>
          <t>Sat</t>
        </is>
      </c>
      <c r="C616" t="n">
        <v>8</v>
      </c>
      <c r="D616" t="n">
        <v>1</v>
      </c>
      <c r="E616" t="n">
        <v>1</v>
      </c>
      <c r="F616" t="n">
        <v>10</v>
      </c>
    </row>
    <row r="617">
      <c r="A617" s="28" t="n">
        <v>45907</v>
      </c>
      <c r="B617" t="inlineStr">
        <is>
          <t>Sun</t>
        </is>
      </c>
      <c r="C617" t="n">
        <v>12</v>
      </c>
      <c r="D617" t="n">
        <v>3</v>
      </c>
      <c r="E617" t="n">
        <v>2</v>
      </c>
      <c r="F617" t="n">
        <v>17</v>
      </c>
    </row>
    <row r="618">
      <c r="A618" s="28" t="n">
        <v>45908</v>
      </c>
      <c r="B618" t="inlineStr">
        <is>
          <t>Mon</t>
        </is>
      </c>
      <c r="C618" t="n">
        <v>15</v>
      </c>
      <c r="D618" t="n">
        <v>0</v>
      </c>
      <c r="E618" t="n">
        <v>0</v>
      </c>
      <c r="F618" t="n">
        <v>15</v>
      </c>
    </row>
    <row r="619">
      <c r="A619" s="28" t="n">
        <v>45909</v>
      </c>
      <c r="B619" t="inlineStr">
        <is>
          <t>Tue</t>
        </is>
      </c>
      <c r="C619" t="n">
        <v>14</v>
      </c>
      <c r="D619" t="n">
        <v>2</v>
      </c>
      <c r="E619" t="n">
        <v>3</v>
      </c>
      <c r="F619" t="n">
        <v>19</v>
      </c>
    </row>
    <row r="620">
      <c r="A620" s="28" t="n">
        <v>45910</v>
      </c>
      <c r="B620" t="inlineStr">
        <is>
          <t>Wed</t>
        </is>
      </c>
      <c r="C620" t="n">
        <v>8</v>
      </c>
      <c r="D620" t="n">
        <v>3</v>
      </c>
      <c r="E620" t="n">
        <v>0</v>
      </c>
      <c r="F620" t="n">
        <v>11</v>
      </c>
    </row>
    <row r="621">
      <c r="A621" s="28" t="n">
        <v>45911</v>
      </c>
      <c r="B621" t="inlineStr">
        <is>
          <t>Thu</t>
        </is>
      </c>
      <c r="C621" t="n">
        <v>11</v>
      </c>
      <c r="D621" t="n">
        <v>7</v>
      </c>
      <c r="E621" t="n">
        <v>0</v>
      </c>
      <c r="F621" t="n">
        <v>18</v>
      </c>
    </row>
    <row r="622">
      <c r="A622" s="28" t="n">
        <v>45912</v>
      </c>
      <c r="B622" t="inlineStr">
        <is>
          <t>Fri</t>
        </is>
      </c>
      <c r="C622" t="n">
        <v>11</v>
      </c>
      <c r="D622" t="n">
        <v>2</v>
      </c>
      <c r="E622" t="n">
        <v>2</v>
      </c>
      <c r="F622" t="n">
        <v>15</v>
      </c>
    </row>
    <row r="623">
      <c r="A623" s="28" t="n">
        <v>45913</v>
      </c>
      <c r="B623" t="inlineStr">
        <is>
          <t>Sat</t>
        </is>
      </c>
      <c r="C623" t="n">
        <v>5</v>
      </c>
      <c r="D623" t="n">
        <v>2</v>
      </c>
      <c r="E623" t="n">
        <v>0</v>
      </c>
      <c r="F623" t="n">
        <v>7</v>
      </c>
    </row>
    <row r="624">
      <c r="A624" s="28" t="n">
        <v>45914</v>
      </c>
      <c r="B624" t="inlineStr">
        <is>
          <t>Sun</t>
        </is>
      </c>
      <c r="C624" t="n">
        <v>11</v>
      </c>
      <c r="D624" t="n">
        <v>3</v>
      </c>
      <c r="E624" t="n">
        <v>2</v>
      </c>
      <c r="F624" t="n">
        <v>16</v>
      </c>
    </row>
    <row r="625">
      <c r="A625" s="28" t="n">
        <v>45915</v>
      </c>
      <c r="B625" t="inlineStr">
        <is>
          <t>Mon</t>
        </is>
      </c>
      <c r="C625" t="n">
        <v>9</v>
      </c>
      <c r="D625" t="n">
        <v>2</v>
      </c>
      <c r="E625" t="n">
        <v>2</v>
      </c>
      <c r="F625" t="n">
        <v>13</v>
      </c>
    </row>
    <row r="626">
      <c r="A626" s="28" t="n">
        <v>45916</v>
      </c>
      <c r="B626" t="inlineStr">
        <is>
          <t>Tue</t>
        </is>
      </c>
      <c r="C626" t="n">
        <v>9</v>
      </c>
      <c r="D626" t="n">
        <v>1</v>
      </c>
      <c r="E626" t="n">
        <v>1</v>
      </c>
      <c r="F626" t="n">
        <v>11</v>
      </c>
    </row>
    <row r="627">
      <c r="A627" s="28" t="n">
        <v>45917</v>
      </c>
      <c r="B627" t="inlineStr">
        <is>
          <t>Wed</t>
        </is>
      </c>
      <c r="C627" t="n">
        <v>14</v>
      </c>
      <c r="D627" t="n">
        <v>0</v>
      </c>
      <c r="E627" t="n">
        <v>3</v>
      </c>
      <c r="F627" t="n">
        <v>17</v>
      </c>
    </row>
    <row r="628">
      <c r="A628" s="28" t="n">
        <v>45918</v>
      </c>
      <c r="B628" t="inlineStr">
        <is>
          <t>Thu</t>
        </is>
      </c>
      <c r="C628" t="n">
        <v>10</v>
      </c>
      <c r="D628" t="n">
        <v>1</v>
      </c>
      <c r="E628" t="n">
        <v>2</v>
      </c>
      <c r="F628" t="n">
        <v>13</v>
      </c>
    </row>
    <row r="629">
      <c r="A629" s="28" t="n">
        <v>45919</v>
      </c>
      <c r="B629" t="inlineStr">
        <is>
          <t>Fri</t>
        </is>
      </c>
      <c r="C629" t="n">
        <v>15</v>
      </c>
      <c r="D629" t="n">
        <v>3</v>
      </c>
      <c r="E629" t="n">
        <v>1</v>
      </c>
      <c r="F629" t="n">
        <v>19</v>
      </c>
    </row>
    <row r="630">
      <c r="A630" s="28" t="n">
        <v>45920</v>
      </c>
      <c r="B630" t="inlineStr">
        <is>
          <t>Sat</t>
        </is>
      </c>
      <c r="C630" t="n">
        <v>11</v>
      </c>
      <c r="D630" t="n">
        <v>0</v>
      </c>
      <c r="E630" t="n">
        <v>5</v>
      </c>
      <c r="F630" t="n">
        <v>16</v>
      </c>
    </row>
    <row r="631">
      <c r="A631" s="28" t="n">
        <v>45921</v>
      </c>
      <c r="B631" t="inlineStr">
        <is>
          <t>Sun</t>
        </is>
      </c>
      <c r="C631" t="n">
        <v>5</v>
      </c>
      <c r="D631" t="n">
        <v>0</v>
      </c>
      <c r="E631" t="n">
        <v>2</v>
      </c>
      <c r="F631" t="n">
        <v>7</v>
      </c>
    </row>
    <row r="632">
      <c r="A632" s="28" t="n">
        <v>45922</v>
      </c>
      <c r="B632" t="inlineStr">
        <is>
          <t>Mon</t>
        </is>
      </c>
      <c r="C632" t="n">
        <v>15</v>
      </c>
      <c r="D632" t="n">
        <v>0</v>
      </c>
      <c r="E632" t="n">
        <v>3</v>
      </c>
      <c r="F632" t="n">
        <v>18</v>
      </c>
    </row>
    <row r="633">
      <c r="A633" s="28" t="n">
        <v>45923</v>
      </c>
      <c r="B633" t="inlineStr">
        <is>
          <t>Tue</t>
        </is>
      </c>
      <c r="C633" t="n">
        <v>17</v>
      </c>
      <c r="D633" t="n">
        <v>4</v>
      </c>
      <c r="E633" t="n">
        <v>5</v>
      </c>
      <c r="F633" t="n">
        <v>26</v>
      </c>
    </row>
    <row r="634">
      <c r="A634" s="28" t="n">
        <v>45924</v>
      </c>
      <c r="B634" t="inlineStr">
        <is>
          <t>Wed</t>
        </is>
      </c>
      <c r="C634" t="n">
        <v>7</v>
      </c>
      <c r="D634" t="n">
        <v>0</v>
      </c>
      <c r="E634" t="n">
        <v>2</v>
      </c>
      <c r="F634" t="n">
        <v>9</v>
      </c>
    </row>
    <row r="635">
      <c r="A635" s="28" t="n">
        <v>45925</v>
      </c>
      <c r="B635" t="inlineStr">
        <is>
          <t>Thu</t>
        </is>
      </c>
      <c r="C635" t="n">
        <v>4</v>
      </c>
      <c r="D635" t="n">
        <v>2</v>
      </c>
      <c r="E635" t="n">
        <v>3</v>
      </c>
      <c r="F635" t="n">
        <v>9</v>
      </c>
    </row>
    <row r="636">
      <c r="A636" s="28" t="n">
        <v>45926</v>
      </c>
      <c r="B636" t="inlineStr">
        <is>
          <t>Fri</t>
        </is>
      </c>
      <c r="C636" t="n">
        <v>10</v>
      </c>
      <c r="D636" t="n">
        <v>3</v>
      </c>
      <c r="E636" t="n">
        <v>2</v>
      </c>
      <c r="F636" t="n">
        <v>15</v>
      </c>
    </row>
    <row r="637">
      <c r="A637" s="28" t="n">
        <v>45927</v>
      </c>
      <c r="B637" t="inlineStr">
        <is>
          <t>Sat</t>
        </is>
      </c>
      <c r="C637" t="n">
        <v>10</v>
      </c>
      <c r="D637" t="n">
        <v>1</v>
      </c>
      <c r="E637" t="n">
        <v>3</v>
      </c>
      <c r="F637" t="n">
        <v>14</v>
      </c>
    </row>
    <row r="638">
      <c r="A638" s="28" t="n">
        <v>45928</v>
      </c>
      <c r="B638" t="inlineStr">
        <is>
          <t>Sun</t>
        </is>
      </c>
      <c r="C638" t="n">
        <v>8</v>
      </c>
      <c r="D638" t="n">
        <v>1</v>
      </c>
      <c r="E638" t="n">
        <v>3</v>
      </c>
      <c r="F638" t="n">
        <v>12</v>
      </c>
    </row>
    <row r="639">
      <c r="A639" s="28" t="n">
        <v>45929</v>
      </c>
      <c r="B639" t="inlineStr">
        <is>
          <t>Mon</t>
        </is>
      </c>
      <c r="C639" t="n">
        <v>7</v>
      </c>
      <c r="D639" t="n">
        <v>3</v>
      </c>
      <c r="E639" t="n">
        <v>5</v>
      </c>
      <c r="F639" t="n">
        <v>15</v>
      </c>
    </row>
    <row r="640">
      <c r="A640" s="28" t="n">
        <v>45930</v>
      </c>
      <c r="B640" t="inlineStr">
        <is>
          <t>Tue</t>
        </is>
      </c>
      <c r="C640" t="n">
        <v>16</v>
      </c>
      <c r="D640" t="n">
        <v>1</v>
      </c>
      <c r="E640" t="n">
        <v>2</v>
      </c>
      <c r="F640" t="n">
        <v>19</v>
      </c>
    </row>
    <row r="641">
      <c r="A641" s="28" t="n">
        <v>45931</v>
      </c>
      <c r="B641" t="inlineStr">
        <is>
          <t>Wed</t>
        </is>
      </c>
      <c r="C641" t="n">
        <v>10</v>
      </c>
      <c r="D641" t="n">
        <v>1</v>
      </c>
      <c r="E641" t="n">
        <v>3</v>
      </c>
      <c r="F641" t="n">
        <v>14</v>
      </c>
    </row>
    <row r="642">
      <c r="A642" s="28" t="n">
        <v>45932</v>
      </c>
      <c r="B642" t="inlineStr">
        <is>
          <t>Thu</t>
        </is>
      </c>
      <c r="C642" t="n">
        <v>9</v>
      </c>
      <c r="D642" t="n">
        <v>2</v>
      </c>
      <c r="E642" t="n">
        <v>3</v>
      </c>
      <c r="F642" t="n">
        <v>14</v>
      </c>
    </row>
    <row r="643">
      <c r="A643" s="28" t="n">
        <v>45933</v>
      </c>
      <c r="B643" t="inlineStr">
        <is>
          <t>Fri</t>
        </is>
      </c>
      <c r="C643" t="n">
        <v>11</v>
      </c>
      <c r="D643" t="n">
        <v>4</v>
      </c>
      <c r="E643" t="n">
        <v>4</v>
      </c>
      <c r="F643" t="n">
        <v>19</v>
      </c>
    </row>
    <row r="644">
      <c r="A644" s="28" t="n">
        <v>45934</v>
      </c>
      <c r="B644" t="inlineStr">
        <is>
          <t>Sat</t>
        </is>
      </c>
      <c r="C644" t="n">
        <v>17</v>
      </c>
      <c r="D644" t="n">
        <v>1</v>
      </c>
      <c r="E644" t="n">
        <v>2</v>
      </c>
      <c r="F644" t="n">
        <v>20</v>
      </c>
    </row>
    <row r="645">
      <c r="A645" s="28" t="n">
        <v>45935</v>
      </c>
      <c r="B645" t="inlineStr">
        <is>
          <t>Sun</t>
        </is>
      </c>
      <c r="C645" t="n">
        <v>9</v>
      </c>
      <c r="D645" t="n">
        <v>0</v>
      </c>
      <c r="E645" t="n">
        <v>4</v>
      </c>
      <c r="F645" t="n">
        <v>13</v>
      </c>
    </row>
    <row r="646">
      <c r="A646" s="28" t="n">
        <v>45936</v>
      </c>
      <c r="B646" t="inlineStr">
        <is>
          <t>Mon</t>
        </is>
      </c>
      <c r="C646" t="n">
        <v>17</v>
      </c>
      <c r="D646" t="n">
        <v>3</v>
      </c>
      <c r="E646" t="n">
        <v>3</v>
      </c>
      <c r="F646" t="n">
        <v>23</v>
      </c>
    </row>
    <row r="647">
      <c r="A647" s="28" t="n">
        <v>45937</v>
      </c>
      <c r="B647" t="inlineStr">
        <is>
          <t>Tue</t>
        </is>
      </c>
      <c r="C647" t="n">
        <v>10</v>
      </c>
      <c r="D647" t="n">
        <v>1</v>
      </c>
      <c r="E647" t="n">
        <v>3</v>
      </c>
      <c r="F647" t="n">
        <v>14</v>
      </c>
    </row>
    <row r="648">
      <c r="A648" s="28" t="n">
        <v>45938</v>
      </c>
      <c r="B648" t="inlineStr">
        <is>
          <t>Wed</t>
        </is>
      </c>
      <c r="C648" t="n">
        <v>12</v>
      </c>
      <c r="D648" t="n">
        <v>6</v>
      </c>
      <c r="E648" t="n">
        <v>3</v>
      </c>
      <c r="F648" t="n">
        <v>21</v>
      </c>
    </row>
    <row r="649">
      <c r="A649" s="28" t="n">
        <v>45939</v>
      </c>
      <c r="B649" t="inlineStr">
        <is>
          <t>Thu</t>
        </is>
      </c>
      <c r="C649" t="n">
        <v>7</v>
      </c>
      <c r="D649" t="n">
        <v>3</v>
      </c>
      <c r="E649" t="n">
        <v>3</v>
      </c>
      <c r="F649" t="n">
        <v>13</v>
      </c>
    </row>
    <row r="650">
      <c r="A650" s="28" t="n">
        <v>45940</v>
      </c>
      <c r="B650" t="inlineStr">
        <is>
          <t>Fri</t>
        </is>
      </c>
      <c r="C650" t="n">
        <v>13</v>
      </c>
      <c r="D650" t="n">
        <v>2</v>
      </c>
      <c r="E650" t="n">
        <v>2</v>
      </c>
      <c r="F650" t="n">
        <v>17</v>
      </c>
    </row>
    <row r="651">
      <c r="A651" s="28" t="n">
        <v>45941</v>
      </c>
      <c r="B651" t="inlineStr">
        <is>
          <t>Sat</t>
        </is>
      </c>
      <c r="C651" t="n">
        <v>10</v>
      </c>
      <c r="D651" t="n">
        <v>0</v>
      </c>
      <c r="E651" t="n">
        <v>3</v>
      </c>
      <c r="F651" t="n">
        <v>13</v>
      </c>
    </row>
    <row r="652">
      <c r="A652" s="28" t="n">
        <v>45942</v>
      </c>
      <c r="B652" t="inlineStr">
        <is>
          <t>Sun</t>
        </is>
      </c>
      <c r="C652" t="n">
        <v>9</v>
      </c>
      <c r="D652" t="n">
        <v>1</v>
      </c>
      <c r="E652" t="n">
        <v>2</v>
      </c>
      <c r="F652" t="n">
        <v>12</v>
      </c>
    </row>
    <row r="653">
      <c r="A653" s="28" t="n">
        <v>45943</v>
      </c>
      <c r="B653" t="inlineStr">
        <is>
          <t>Mon</t>
        </is>
      </c>
      <c r="C653" t="n">
        <v>14</v>
      </c>
      <c r="D653" t="n">
        <v>3</v>
      </c>
      <c r="E653" t="n">
        <v>0</v>
      </c>
      <c r="F653" t="n">
        <v>17</v>
      </c>
    </row>
    <row r="654">
      <c r="A654" s="28" t="n">
        <v>45944</v>
      </c>
      <c r="B654" t="inlineStr">
        <is>
          <t>Tue</t>
        </is>
      </c>
      <c r="C654" t="n">
        <v>12</v>
      </c>
      <c r="D654" t="n">
        <v>3</v>
      </c>
      <c r="E654" t="n">
        <v>2</v>
      </c>
      <c r="F654" t="n">
        <v>17</v>
      </c>
    </row>
    <row r="655">
      <c r="A655" s="28" t="n">
        <v>45945</v>
      </c>
      <c r="B655" t="inlineStr">
        <is>
          <t>Wed</t>
        </is>
      </c>
      <c r="C655" t="n">
        <v>11</v>
      </c>
      <c r="D655" t="n">
        <v>1</v>
      </c>
      <c r="E655" t="n">
        <v>2</v>
      </c>
      <c r="F655" t="n">
        <v>14</v>
      </c>
    </row>
    <row r="656">
      <c r="A656" s="28" t="n">
        <v>45946</v>
      </c>
      <c r="B656" t="inlineStr">
        <is>
          <t>Thu</t>
        </is>
      </c>
      <c r="C656" t="n">
        <v>17</v>
      </c>
      <c r="D656" t="n">
        <v>0</v>
      </c>
      <c r="E656" t="n">
        <v>0</v>
      </c>
      <c r="F656" t="n">
        <v>17</v>
      </c>
    </row>
    <row r="657">
      <c r="A657" s="28" t="n">
        <v>45947</v>
      </c>
      <c r="B657" t="inlineStr">
        <is>
          <t>Fri</t>
        </is>
      </c>
      <c r="C657" t="n">
        <v>14</v>
      </c>
      <c r="D657" t="n">
        <v>1</v>
      </c>
      <c r="E657" t="n">
        <v>5</v>
      </c>
      <c r="F657" t="n">
        <v>20</v>
      </c>
    </row>
    <row r="658">
      <c r="A658" s="28" t="n">
        <v>45948</v>
      </c>
      <c r="B658" t="inlineStr">
        <is>
          <t>Sat</t>
        </is>
      </c>
      <c r="C658" t="n">
        <v>9</v>
      </c>
      <c r="D658" t="n">
        <v>1</v>
      </c>
      <c r="E658" t="n">
        <v>1</v>
      </c>
      <c r="F658" t="n">
        <v>11</v>
      </c>
    </row>
    <row r="659">
      <c r="A659" s="28" t="n">
        <v>45949</v>
      </c>
      <c r="B659" t="inlineStr">
        <is>
          <t>Sun</t>
        </is>
      </c>
      <c r="C659" t="n">
        <v>7</v>
      </c>
      <c r="D659" t="n">
        <v>4</v>
      </c>
      <c r="E659" t="n">
        <v>3</v>
      </c>
      <c r="F659" t="n">
        <v>14</v>
      </c>
    </row>
    <row r="660">
      <c r="A660" s="28" t="n">
        <v>45950</v>
      </c>
      <c r="B660" t="inlineStr">
        <is>
          <t>Mon</t>
        </is>
      </c>
      <c r="C660" t="n">
        <v>11</v>
      </c>
      <c r="D660" t="n">
        <v>1</v>
      </c>
      <c r="E660" t="n">
        <v>1</v>
      </c>
      <c r="F660" t="n">
        <v>13</v>
      </c>
    </row>
    <row r="661">
      <c r="A661" s="28" t="n">
        <v>45951</v>
      </c>
      <c r="B661" t="inlineStr">
        <is>
          <t>Tue</t>
        </is>
      </c>
      <c r="C661" t="n">
        <v>13</v>
      </c>
      <c r="D661" t="n">
        <v>0</v>
      </c>
      <c r="E661" t="n">
        <v>0</v>
      </c>
      <c r="F661" t="n">
        <v>13</v>
      </c>
    </row>
    <row r="662">
      <c r="A662" s="28" t="n">
        <v>45952</v>
      </c>
      <c r="B662" t="inlineStr">
        <is>
          <t>Wed</t>
        </is>
      </c>
      <c r="C662" t="n">
        <v>14</v>
      </c>
      <c r="D662" t="n">
        <v>1</v>
      </c>
      <c r="E662" t="n">
        <v>2</v>
      </c>
      <c r="F662" t="n">
        <v>17</v>
      </c>
    </row>
    <row r="663">
      <c r="A663" s="28" t="n">
        <v>45953</v>
      </c>
      <c r="B663" t="inlineStr">
        <is>
          <t>Thu</t>
        </is>
      </c>
      <c r="C663" t="n">
        <v>17</v>
      </c>
      <c r="D663" t="n">
        <v>2</v>
      </c>
      <c r="E663" t="n">
        <v>3</v>
      </c>
      <c r="F663" t="n">
        <v>22</v>
      </c>
    </row>
    <row r="664">
      <c r="A664" s="28" t="n">
        <v>45954</v>
      </c>
      <c r="B664" t="inlineStr">
        <is>
          <t>Fri</t>
        </is>
      </c>
      <c r="C664" t="n">
        <v>8</v>
      </c>
      <c r="D664" t="n">
        <v>2</v>
      </c>
      <c r="E664" t="n">
        <v>3</v>
      </c>
      <c r="F664" t="n">
        <v>13</v>
      </c>
    </row>
    <row r="665">
      <c r="A665" s="28" t="n">
        <v>45955</v>
      </c>
      <c r="B665" t="inlineStr">
        <is>
          <t>Sat</t>
        </is>
      </c>
      <c r="C665" t="n">
        <v>3</v>
      </c>
      <c r="D665" t="n">
        <v>2</v>
      </c>
      <c r="E665" t="n">
        <v>2</v>
      </c>
      <c r="F665" t="n">
        <v>7</v>
      </c>
    </row>
    <row r="666">
      <c r="A666" s="28" t="n">
        <v>45956</v>
      </c>
      <c r="B666" t="inlineStr">
        <is>
          <t>Sun</t>
        </is>
      </c>
      <c r="C666" t="n">
        <v>14</v>
      </c>
      <c r="D666" t="n">
        <v>1</v>
      </c>
      <c r="E666" t="n">
        <v>3</v>
      </c>
      <c r="F666" t="n">
        <v>18</v>
      </c>
    </row>
    <row r="667">
      <c r="A667" s="28" t="n">
        <v>45957</v>
      </c>
      <c r="B667" t="inlineStr">
        <is>
          <t>Mon</t>
        </is>
      </c>
      <c r="C667" t="n">
        <v>14</v>
      </c>
      <c r="D667" t="n">
        <v>2</v>
      </c>
      <c r="E667" t="n">
        <v>3</v>
      </c>
      <c r="F667" t="n">
        <v>19</v>
      </c>
    </row>
    <row r="668">
      <c r="A668" s="28" t="n">
        <v>45958</v>
      </c>
      <c r="B668" t="inlineStr">
        <is>
          <t>Tue</t>
        </is>
      </c>
      <c r="C668" t="n">
        <v>17</v>
      </c>
      <c r="D668" t="n">
        <v>7</v>
      </c>
      <c r="E668" t="n">
        <v>1</v>
      </c>
      <c r="F668" t="n">
        <v>25</v>
      </c>
    </row>
    <row r="669">
      <c r="A669" s="28" t="n">
        <v>45959</v>
      </c>
      <c r="B669" t="inlineStr">
        <is>
          <t>Wed</t>
        </is>
      </c>
      <c r="C669" t="n">
        <v>11</v>
      </c>
      <c r="D669" t="n">
        <v>3</v>
      </c>
      <c r="E669" t="n">
        <v>4</v>
      </c>
      <c r="F669" t="n">
        <v>18</v>
      </c>
    </row>
    <row r="670">
      <c r="A670" s="28" t="n">
        <v>45960</v>
      </c>
      <c r="B670" t="inlineStr">
        <is>
          <t>Thu</t>
        </is>
      </c>
      <c r="C670" t="n">
        <v>17</v>
      </c>
      <c r="D670" t="n">
        <v>2</v>
      </c>
      <c r="E670" t="n">
        <v>0</v>
      </c>
      <c r="F670" t="n">
        <v>19</v>
      </c>
    </row>
    <row r="671">
      <c r="A671" s="28" t="n">
        <v>45961</v>
      </c>
      <c r="B671" t="inlineStr">
        <is>
          <t>Fri</t>
        </is>
      </c>
      <c r="C671" t="n">
        <v>14</v>
      </c>
      <c r="D671" t="n">
        <v>7</v>
      </c>
      <c r="E671" t="n">
        <v>3</v>
      </c>
      <c r="F671" t="n">
        <v>24</v>
      </c>
    </row>
    <row r="672">
      <c r="A672" s="28" t="n">
        <v>45962</v>
      </c>
      <c r="B672" t="inlineStr">
        <is>
          <t>Sat</t>
        </is>
      </c>
      <c r="C672" t="n">
        <v>7</v>
      </c>
      <c r="D672" t="n">
        <v>2</v>
      </c>
      <c r="E672" t="n">
        <v>3</v>
      </c>
      <c r="F672" t="n">
        <v>12</v>
      </c>
    </row>
    <row r="673">
      <c r="A673" s="28" t="n">
        <v>45963</v>
      </c>
      <c r="B673" t="inlineStr">
        <is>
          <t>Sun</t>
        </is>
      </c>
      <c r="C673" t="n">
        <v>7</v>
      </c>
      <c r="D673" t="n">
        <v>1</v>
      </c>
      <c r="E673" t="n">
        <v>4</v>
      </c>
      <c r="F673" t="n">
        <v>12</v>
      </c>
    </row>
    <row r="674">
      <c r="A674" s="28" t="n">
        <v>45964</v>
      </c>
      <c r="B674" t="inlineStr">
        <is>
          <t>Mon</t>
        </is>
      </c>
      <c r="C674" t="n">
        <v>22</v>
      </c>
      <c r="D674" t="n">
        <v>3</v>
      </c>
      <c r="E674" t="n">
        <v>3</v>
      </c>
      <c r="F674" t="n">
        <v>28</v>
      </c>
    </row>
    <row r="675">
      <c r="A675" s="28" t="n">
        <v>45965</v>
      </c>
      <c r="B675" t="inlineStr">
        <is>
          <t>Tue</t>
        </is>
      </c>
      <c r="C675" t="n">
        <v>10</v>
      </c>
      <c r="D675" t="n">
        <v>5</v>
      </c>
      <c r="E675" t="n">
        <v>2</v>
      </c>
      <c r="F675" t="n">
        <v>17</v>
      </c>
    </row>
    <row r="676">
      <c r="A676" s="28" t="n">
        <v>45966</v>
      </c>
      <c r="B676" t="inlineStr">
        <is>
          <t>Wed</t>
        </is>
      </c>
      <c r="C676" t="n">
        <v>14</v>
      </c>
      <c r="D676" t="n">
        <v>3</v>
      </c>
      <c r="E676" t="n">
        <v>3</v>
      </c>
      <c r="F676" t="n">
        <v>20</v>
      </c>
    </row>
    <row r="677">
      <c r="A677" s="28" t="n">
        <v>45967</v>
      </c>
      <c r="B677" t="inlineStr">
        <is>
          <t>Thu</t>
        </is>
      </c>
      <c r="C677" t="n">
        <v>12</v>
      </c>
      <c r="D677" t="n">
        <v>1</v>
      </c>
      <c r="E677" t="n">
        <v>4</v>
      </c>
      <c r="F677" t="n">
        <v>17</v>
      </c>
    </row>
    <row r="678">
      <c r="A678" s="28" t="n">
        <v>45968</v>
      </c>
      <c r="B678" t="inlineStr">
        <is>
          <t>Fri</t>
        </is>
      </c>
      <c r="C678" t="n">
        <v>13</v>
      </c>
      <c r="D678" t="n">
        <v>1</v>
      </c>
      <c r="E678" t="n">
        <v>2</v>
      </c>
      <c r="F678" t="n">
        <v>16</v>
      </c>
    </row>
    <row r="679">
      <c r="A679" s="28" t="n">
        <v>45969</v>
      </c>
      <c r="B679" t="inlineStr">
        <is>
          <t>Sat</t>
        </is>
      </c>
      <c r="C679" t="n">
        <v>14</v>
      </c>
      <c r="D679" t="n">
        <v>3</v>
      </c>
      <c r="E679" t="n">
        <v>3</v>
      </c>
      <c r="F679" t="n">
        <v>20</v>
      </c>
    </row>
    <row r="680">
      <c r="A680" s="28" t="n">
        <v>45970</v>
      </c>
      <c r="B680" t="inlineStr">
        <is>
          <t>Sun</t>
        </is>
      </c>
      <c r="C680" t="n">
        <v>8</v>
      </c>
      <c r="D680" t="n">
        <v>2</v>
      </c>
      <c r="E680" t="n">
        <v>1</v>
      </c>
      <c r="F680" t="n">
        <v>11</v>
      </c>
    </row>
    <row r="681">
      <c r="A681" s="28" t="n">
        <v>45971</v>
      </c>
      <c r="B681" t="inlineStr">
        <is>
          <t>Mon</t>
        </is>
      </c>
      <c r="C681" t="n">
        <v>13</v>
      </c>
      <c r="D681" t="n">
        <v>4</v>
      </c>
      <c r="E681" t="n">
        <v>1</v>
      </c>
      <c r="F681" t="n">
        <v>18</v>
      </c>
    </row>
    <row r="682">
      <c r="A682" s="28" t="n">
        <v>45972</v>
      </c>
      <c r="B682" t="inlineStr">
        <is>
          <t>Tue</t>
        </is>
      </c>
      <c r="C682" t="n">
        <v>14</v>
      </c>
      <c r="D682" t="n">
        <v>4</v>
      </c>
      <c r="E682" t="n">
        <v>3</v>
      </c>
      <c r="F682" t="n">
        <v>21</v>
      </c>
    </row>
    <row r="683">
      <c r="A683" s="28" t="n">
        <v>45973</v>
      </c>
      <c r="B683" t="inlineStr">
        <is>
          <t>Wed</t>
        </is>
      </c>
      <c r="C683" t="n">
        <v>10</v>
      </c>
      <c r="D683" t="n">
        <v>4</v>
      </c>
      <c r="E683" t="n">
        <v>5</v>
      </c>
      <c r="F683" t="n">
        <v>19</v>
      </c>
    </row>
    <row r="684">
      <c r="A684" s="28" t="n">
        <v>45974</v>
      </c>
      <c r="B684" t="inlineStr">
        <is>
          <t>Thu</t>
        </is>
      </c>
      <c r="C684" t="n">
        <v>15</v>
      </c>
      <c r="D684" t="n">
        <v>1</v>
      </c>
      <c r="E684" t="n">
        <v>2</v>
      </c>
      <c r="F684" t="n">
        <v>18</v>
      </c>
    </row>
    <row r="685">
      <c r="A685" s="28" t="n">
        <v>45975</v>
      </c>
      <c r="B685" t="inlineStr">
        <is>
          <t>Fri</t>
        </is>
      </c>
      <c r="C685" t="n">
        <v>5</v>
      </c>
      <c r="D685" t="n">
        <v>2</v>
      </c>
      <c r="E685" t="n">
        <v>0</v>
      </c>
      <c r="F685" t="n">
        <v>7</v>
      </c>
    </row>
    <row r="686">
      <c r="A686" s="28" t="n">
        <v>45976</v>
      </c>
      <c r="B686" t="inlineStr">
        <is>
          <t>Sat</t>
        </is>
      </c>
      <c r="C686" t="n">
        <v>13</v>
      </c>
      <c r="D686" t="n">
        <v>2</v>
      </c>
      <c r="E686" t="n">
        <v>1</v>
      </c>
      <c r="F686" t="n">
        <v>16</v>
      </c>
    </row>
    <row r="687">
      <c r="A687" s="28" t="n">
        <v>45977</v>
      </c>
      <c r="B687" t="inlineStr">
        <is>
          <t>Sun</t>
        </is>
      </c>
      <c r="C687" t="n">
        <v>13</v>
      </c>
      <c r="D687" t="n">
        <v>3</v>
      </c>
      <c r="E687" t="n">
        <v>4</v>
      </c>
      <c r="F687" t="n">
        <v>20</v>
      </c>
    </row>
    <row r="688">
      <c r="A688" s="28" t="n">
        <v>45978</v>
      </c>
      <c r="B688" t="inlineStr">
        <is>
          <t>Mon</t>
        </is>
      </c>
      <c r="C688" t="n">
        <v>15</v>
      </c>
      <c r="D688" t="n">
        <v>2</v>
      </c>
      <c r="E688" t="n">
        <v>6</v>
      </c>
      <c r="F688" t="n">
        <v>23</v>
      </c>
    </row>
    <row r="689">
      <c r="A689" s="28" t="n">
        <v>45979</v>
      </c>
      <c r="B689" t="inlineStr">
        <is>
          <t>Tue</t>
        </is>
      </c>
      <c r="C689" t="n">
        <v>18</v>
      </c>
      <c r="D689" t="n">
        <v>1</v>
      </c>
      <c r="E689" t="n">
        <v>1</v>
      </c>
      <c r="F689" t="n">
        <v>20</v>
      </c>
    </row>
    <row r="690">
      <c r="A690" s="28" t="n">
        <v>45980</v>
      </c>
      <c r="B690" t="inlineStr">
        <is>
          <t>Wed</t>
        </is>
      </c>
      <c r="C690" t="n">
        <v>12</v>
      </c>
      <c r="D690" t="n">
        <v>7</v>
      </c>
      <c r="E690" t="n">
        <v>3</v>
      </c>
      <c r="F690" t="n">
        <v>22</v>
      </c>
    </row>
    <row r="691">
      <c r="A691" s="28" t="n">
        <v>45981</v>
      </c>
      <c r="B691" t="inlineStr">
        <is>
          <t>Thu</t>
        </is>
      </c>
      <c r="C691" t="n">
        <v>17</v>
      </c>
      <c r="D691" t="n">
        <v>4</v>
      </c>
      <c r="E691" t="n">
        <v>1</v>
      </c>
      <c r="F691" t="n">
        <v>22</v>
      </c>
    </row>
    <row r="692">
      <c r="A692" s="28" t="n">
        <v>45982</v>
      </c>
      <c r="B692" t="inlineStr">
        <is>
          <t>Fri</t>
        </is>
      </c>
      <c r="C692" t="n">
        <v>9</v>
      </c>
      <c r="D692" t="n">
        <v>1</v>
      </c>
      <c r="E692" t="n">
        <v>7</v>
      </c>
      <c r="F692" t="n">
        <v>17</v>
      </c>
    </row>
    <row r="693">
      <c r="A693" s="28" t="n">
        <v>45983</v>
      </c>
      <c r="B693" t="inlineStr">
        <is>
          <t>Sat</t>
        </is>
      </c>
      <c r="C693" t="n">
        <v>11</v>
      </c>
      <c r="D693" t="n">
        <v>1</v>
      </c>
      <c r="E693" t="n">
        <v>1</v>
      </c>
      <c r="F693" t="n">
        <v>13</v>
      </c>
    </row>
    <row r="694">
      <c r="A694" s="28" t="n">
        <v>45984</v>
      </c>
      <c r="B694" t="inlineStr">
        <is>
          <t>Sun</t>
        </is>
      </c>
      <c r="C694" t="n">
        <v>9</v>
      </c>
      <c r="D694" t="n">
        <v>4</v>
      </c>
      <c r="E694" t="n">
        <v>3</v>
      </c>
      <c r="F694" t="n">
        <v>16</v>
      </c>
    </row>
    <row r="695">
      <c r="A695" s="28" t="n">
        <v>45985</v>
      </c>
      <c r="B695" t="inlineStr">
        <is>
          <t>Mon</t>
        </is>
      </c>
      <c r="C695" t="n">
        <v>11</v>
      </c>
      <c r="D695" t="n">
        <v>3</v>
      </c>
      <c r="E695" t="n">
        <v>4</v>
      </c>
      <c r="F695" t="n">
        <v>18</v>
      </c>
    </row>
    <row r="696">
      <c r="A696" s="28" t="n">
        <v>45986</v>
      </c>
      <c r="B696" t="inlineStr">
        <is>
          <t>Tue</t>
        </is>
      </c>
      <c r="C696" t="n">
        <v>11</v>
      </c>
      <c r="D696" t="n">
        <v>3</v>
      </c>
      <c r="E696" t="n">
        <v>3</v>
      </c>
      <c r="F696" t="n">
        <v>17</v>
      </c>
    </row>
    <row r="697">
      <c r="A697" s="28" t="n">
        <v>45987</v>
      </c>
      <c r="B697" t="inlineStr">
        <is>
          <t>Wed</t>
        </is>
      </c>
      <c r="C697" t="n">
        <v>6</v>
      </c>
      <c r="D697" t="n">
        <v>2</v>
      </c>
      <c r="E697" t="n">
        <v>1</v>
      </c>
      <c r="F697" t="n">
        <v>9</v>
      </c>
    </row>
    <row r="698">
      <c r="A698" s="28" t="n">
        <v>45988</v>
      </c>
      <c r="B698" t="inlineStr">
        <is>
          <t>Thu</t>
        </is>
      </c>
      <c r="C698" t="n">
        <v>15</v>
      </c>
      <c r="D698" t="n">
        <v>2</v>
      </c>
      <c r="E698" t="n">
        <v>2</v>
      </c>
      <c r="F698" t="n">
        <v>19</v>
      </c>
    </row>
    <row r="699">
      <c r="A699" s="28" t="n">
        <v>45989</v>
      </c>
      <c r="B699" t="inlineStr">
        <is>
          <t>Fri</t>
        </is>
      </c>
      <c r="C699" t="n">
        <v>14</v>
      </c>
      <c r="D699" t="n">
        <v>5</v>
      </c>
      <c r="E699" t="n">
        <v>1</v>
      </c>
      <c r="F699" t="n">
        <v>20</v>
      </c>
    </row>
    <row r="700">
      <c r="A700" s="28" t="n">
        <v>45990</v>
      </c>
      <c r="B700" t="inlineStr">
        <is>
          <t>Sat</t>
        </is>
      </c>
      <c r="C700" t="n">
        <v>11</v>
      </c>
      <c r="D700" t="n">
        <v>2</v>
      </c>
      <c r="E700" t="n">
        <v>2</v>
      </c>
      <c r="F700" t="n">
        <v>15</v>
      </c>
    </row>
    <row r="701">
      <c r="A701" s="28" t="n">
        <v>45991</v>
      </c>
      <c r="B701" t="inlineStr">
        <is>
          <t>Sun</t>
        </is>
      </c>
      <c r="C701" t="n">
        <v>13</v>
      </c>
      <c r="D701" t="n">
        <v>2</v>
      </c>
      <c r="E701" t="n">
        <v>4</v>
      </c>
      <c r="F701" t="n">
        <v>19</v>
      </c>
    </row>
    <row r="702">
      <c r="A702" s="28" t="n">
        <v>45992</v>
      </c>
      <c r="B702" t="inlineStr">
        <is>
          <t>Mon</t>
        </is>
      </c>
      <c r="C702" t="n">
        <v>14</v>
      </c>
      <c r="D702" t="n">
        <v>2</v>
      </c>
      <c r="E702" t="n">
        <v>5</v>
      </c>
      <c r="F702" t="n">
        <v>21</v>
      </c>
    </row>
    <row r="703">
      <c r="A703" s="28" t="n">
        <v>45993</v>
      </c>
      <c r="B703" t="inlineStr">
        <is>
          <t>Tue</t>
        </is>
      </c>
      <c r="C703" t="n">
        <v>16</v>
      </c>
      <c r="D703" t="n">
        <v>1</v>
      </c>
      <c r="E703" t="n">
        <v>3</v>
      </c>
      <c r="F703" t="n">
        <v>20</v>
      </c>
    </row>
    <row r="704">
      <c r="A704" s="28" t="n">
        <v>45994</v>
      </c>
      <c r="B704" t="inlineStr">
        <is>
          <t>Wed</t>
        </is>
      </c>
      <c r="C704" t="n">
        <v>9</v>
      </c>
      <c r="D704" t="n">
        <v>5</v>
      </c>
      <c r="E704" t="n">
        <v>4</v>
      </c>
      <c r="F704" t="n">
        <v>18</v>
      </c>
    </row>
    <row r="705">
      <c r="A705" s="28" t="n">
        <v>45995</v>
      </c>
      <c r="B705" t="inlineStr">
        <is>
          <t>Thu</t>
        </is>
      </c>
      <c r="C705" t="n">
        <v>16</v>
      </c>
      <c r="D705" t="n">
        <v>4</v>
      </c>
      <c r="E705" t="n">
        <v>2</v>
      </c>
      <c r="F705" t="n">
        <v>22</v>
      </c>
    </row>
    <row r="706">
      <c r="A706" s="28" t="n">
        <v>45996</v>
      </c>
      <c r="B706" t="inlineStr">
        <is>
          <t>Fri</t>
        </is>
      </c>
      <c r="C706" t="n">
        <v>20</v>
      </c>
      <c r="D706" t="n">
        <v>0</v>
      </c>
      <c r="E706" t="n">
        <v>1</v>
      </c>
      <c r="F706" t="n">
        <v>21</v>
      </c>
    </row>
    <row r="707">
      <c r="A707" s="28" t="n">
        <v>45997</v>
      </c>
      <c r="B707" t="inlineStr">
        <is>
          <t>Sat</t>
        </is>
      </c>
      <c r="C707" t="n">
        <v>11</v>
      </c>
      <c r="D707" t="n">
        <v>4</v>
      </c>
      <c r="E707" t="n">
        <v>2</v>
      </c>
      <c r="F707" t="n">
        <v>17</v>
      </c>
    </row>
    <row r="708">
      <c r="A708" s="28" t="n">
        <v>45998</v>
      </c>
      <c r="B708" t="inlineStr">
        <is>
          <t>Sun</t>
        </is>
      </c>
      <c r="C708" t="n">
        <v>5</v>
      </c>
      <c r="D708" t="n">
        <v>1</v>
      </c>
      <c r="E708" t="n">
        <v>7</v>
      </c>
      <c r="F708" t="n">
        <v>13</v>
      </c>
    </row>
    <row r="709">
      <c r="A709" s="28" t="n">
        <v>45999</v>
      </c>
      <c r="B709" t="inlineStr">
        <is>
          <t>Mon</t>
        </is>
      </c>
      <c r="C709" t="n">
        <v>24</v>
      </c>
      <c r="D709" t="n">
        <v>3</v>
      </c>
      <c r="E709" t="n">
        <v>3</v>
      </c>
      <c r="F709" t="n">
        <v>30</v>
      </c>
    </row>
    <row r="710">
      <c r="A710" s="28" t="n">
        <v>46000</v>
      </c>
      <c r="B710" t="inlineStr">
        <is>
          <t>Tue</t>
        </is>
      </c>
      <c r="C710" t="n">
        <v>19</v>
      </c>
      <c r="D710" t="n">
        <v>4</v>
      </c>
      <c r="E710" t="n">
        <v>2</v>
      </c>
      <c r="F710" t="n">
        <v>25</v>
      </c>
    </row>
    <row r="711">
      <c r="A711" s="28" t="n">
        <v>46001</v>
      </c>
      <c r="B711" t="inlineStr">
        <is>
          <t>Wed</t>
        </is>
      </c>
      <c r="C711" t="n">
        <v>12</v>
      </c>
      <c r="D711" t="n">
        <v>5</v>
      </c>
      <c r="E711" t="n">
        <v>3</v>
      </c>
      <c r="F711" t="n">
        <v>20</v>
      </c>
    </row>
    <row r="712">
      <c r="A712" s="28" t="n">
        <v>46002</v>
      </c>
      <c r="B712" t="inlineStr">
        <is>
          <t>Thu</t>
        </is>
      </c>
      <c r="C712" t="n">
        <v>10</v>
      </c>
      <c r="D712" t="n">
        <v>2</v>
      </c>
      <c r="E712" t="n">
        <v>1</v>
      </c>
      <c r="F712" t="n">
        <v>13</v>
      </c>
    </row>
    <row r="713">
      <c r="A713" s="28" t="n">
        <v>46003</v>
      </c>
      <c r="B713" t="inlineStr">
        <is>
          <t>Fri</t>
        </is>
      </c>
      <c r="C713" t="n">
        <v>12</v>
      </c>
      <c r="D713" t="n">
        <v>1</v>
      </c>
      <c r="E713" t="n">
        <v>4</v>
      </c>
      <c r="F713" t="n">
        <v>17</v>
      </c>
    </row>
    <row r="714">
      <c r="A714" s="28" t="n">
        <v>46004</v>
      </c>
      <c r="B714" t="inlineStr">
        <is>
          <t>Sat</t>
        </is>
      </c>
      <c r="C714" t="n">
        <v>12</v>
      </c>
      <c r="D714" t="n">
        <v>2</v>
      </c>
      <c r="E714" t="n">
        <v>4</v>
      </c>
      <c r="F714" t="n">
        <v>18</v>
      </c>
    </row>
    <row r="715">
      <c r="A715" s="28" t="n">
        <v>46005</v>
      </c>
      <c r="B715" t="inlineStr">
        <is>
          <t>Sun</t>
        </is>
      </c>
      <c r="C715" t="n">
        <v>11</v>
      </c>
      <c r="D715" t="n">
        <v>0</v>
      </c>
      <c r="E715" t="n">
        <v>2</v>
      </c>
      <c r="F715" t="n">
        <v>13</v>
      </c>
    </row>
    <row r="716">
      <c r="A716" s="28" t="n">
        <v>46006</v>
      </c>
      <c r="B716" t="inlineStr">
        <is>
          <t>Mon</t>
        </is>
      </c>
      <c r="C716" t="n">
        <v>16</v>
      </c>
      <c r="D716" t="n">
        <v>3</v>
      </c>
      <c r="E716" t="n">
        <v>5</v>
      </c>
      <c r="F716" t="n">
        <v>24</v>
      </c>
    </row>
    <row r="717">
      <c r="A717" s="28" t="n">
        <v>46007</v>
      </c>
      <c r="B717" t="inlineStr">
        <is>
          <t>Tue</t>
        </is>
      </c>
      <c r="C717" t="n">
        <v>18</v>
      </c>
      <c r="D717" t="n">
        <v>5</v>
      </c>
      <c r="E717" t="n">
        <v>4</v>
      </c>
      <c r="F717" t="n">
        <v>27</v>
      </c>
    </row>
    <row r="718">
      <c r="A718" s="28" t="n">
        <v>46008</v>
      </c>
      <c r="B718" t="inlineStr">
        <is>
          <t>Wed</t>
        </is>
      </c>
      <c r="C718" t="n">
        <v>20</v>
      </c>
      <c r="D718" t="n">
        <v>2</v>
      </c>
      <c r="E718" t="n">
        <v>1</v>
      </c>
      <c r="F718" t="n">
        <v>23</v>
      </c>
    </row>
    <row r="719">
      <c r="A719" s="28" t="n">
        <v>46009</v>
      </c>
      <c r="B719" t="inlineStr">
        <is>
          <t>Thu</t>
        </is>
      </c>
      <c r="C719" t="n">
        <v>16</v>
      </c>
      <c r="D719" t="n">
        <v>6</v>
      </c>
      <c r="E719" t="n">
        <v>2</v>
      </c>
      <c r="F719" t="n">
        <v>24</v>
      </c>
    </row>
    <row r="720">
      <c r="A720" s="28" t="n">
        <v>46010</v>
      </c>
      <c r="B720" t="inlineStr">
        <is>
          <t>Fri</t>
        </is>
      </c>
      <c r="C720" t="n">
        <v>9</v>
      </c>
      <c r="D720" t="n">
        <v>5</v>
      </c>
      <c r="E720" t="n">
        <v>5</v>
      </c>
      <c r="F720" t="n">
        <v>19</v>
      </c>
    </row>
    <row r="721">
      <c r="A721" s="28" t="n">
        <v>46011</v>
      </c>
      <c r="B721" t="inlineStr">
        <is>
          <t>Sat</t>
        </is>
      </c>
      <c r="C721" t="n">
        <v>13</v>
      </c>
      <c r="D721" t="n">
        <v>2</v>
      </c>
      <c r="E721" t="n">
        <v>2</v>
      </c>
      <c r="F721" t="n">
        <v>17</v>
      </c>
    </row>
    <row r="722">
      <c r="A722" s="28" t="n">
        <v>46012</v>
      </c>
      <c r="B722" t="inlineStr">
        <is>
          <t>Sun</t>
        </is>
      </c>
      <c r="C722" t="n">
        <v>11</v>
      </c>
      <c r="D722" t="n">
        <v>1</v>
      </c>
      <c r="E722" t="n">
        <v>4</v>
      </c>
      <c r="F722" t="n">
        <v>16</v>
      </c>
    </row>
    <row r="723">
      <c r="A723" s="28" t="n">
        <v>46013</v>
      </c>
      <c r="B723" t="inlineStr">
        <is>
          <t>Mon</t>
        </is>
      </c>
      <c r="C723" t="n">
        <v>15</v>
      </c>
      <c r="D723" t="n">
        <v>3</v>
      </c>
      <c r="E723" t="n">
        <v>4</v>
      </c>
      <c r="F723" t="n">
        <v>22</v>
      </c>
    </row>
    <row r="724">
      <c r="A724" s="28" t="n">
        <v>46014</v>
      </c>
      <c r="B724" t="inlineStr">
        <is>
          <t>Tue</t>
        </is>
      </c>
      <c r="C724" t="n">
        <v>23</v>
      </c>
      <c r="D724" t="n">
        <v>4</v>
      </c>
      <c r="E724" t="n">
        <v>2</v>
      </c>
      <c r="F724" t="n">
        <v>29</v>
      </c>
    </row>
    <row r="725">
      <c r="A725" s="28" t="n">
        <v>46015</v>
      </c>
      <c r="B725" t="inlineStr">
        <is>
          <t>Wed</t>
        </is>
      </c>
      <c r="C725" t="n">
        <v>13</v>
      </c>
      <c r="D725" t="n">
        <v>2</v>
      </c>
      <c r="E725" t="n">
        <v>1</v>
      </c>
      <c r="F725" t="n">
        <v>16</v>
      </c>
    </row>
    <row r="726">
      <c r="A726" s="28" t="n">
        <v>46016</v>
      </c>
      <c r="B726" t="inlineStr">
        <is>
          <t>Thu</t>
        </is>
      </c>
      <c r="C726" t="n">
        <v>17</v>
      </c>
      <c r="D726" t="n">
        <v>3</v>
      </c>
      <c r="E726" t="n">
        <v>6</v>
      </c>
      <c r="F726" t="n">
        <v>26</v>
      </c>
    </row>
    <row r="727">
      <c r="A727" s="28" t="n">
        <v>46017</v>
      </c>
      <c r="B727" t="inlineStr">
        <is>
          <t>Fri</t>
        </is>
      </c>
      <c r="C727" t="n">
        <v>7</v>
      </c>
      <c r="D727" t="n">
        <v>4</v>
      </c>
      <c r="E727" t="n">
        <v>2</v>
      </c>
      <c r="F727" t="n">
        <v>13</v>
      </c>
    </row>
    <row r="728">
      <c r="A728" s="28" t="n">
        <v>46018</v>
      </c>
      <c r="B728" t="inlineStr">
        <is>
          <t>Sat</t>
        </is>
      </c>
      <c r="C728" t="n">
        <v>12</v>
      </c>
      <c r="D728" t="n">
        <v>1</v>
      </c>
      <c r="E728" t="n">
        <v>2</v>
      </c>
      <c r="F728" t="n">
        <v>15</v>
      </c>
    </row>
    <row r="729">
      <c r="A729" s="28" t="n">
        <v>46019</v>
      </c>
      <c r="B729" t="inlineStr">
        <is>
          <t>Sun</t>
        </is>
      </c>
      <c r="C729" t="n">
        <v>10</v>
      </c>
      <c r="D729" t="n">
        <v>1</v>
      </c>
      <c r="E729" t="n">
        <v>2</v>
      </c>
      <c r="F729" t="n">
        <v>13</v>
      </c>
    </row>
    <row r="730">
      <c r="A730" s="28" t="n">
        <v>46020</v>
      </c>
      <c r="B730" t="inlineStr">
        <is>
          <t>Mon</t>
        </is>
      </c>
      <c r="C730" t="n">
        <v>12</v>
      </c>
      <c r="D730" t="n">
        <v>1</v>
      </c>
      <c r="E730" t="n">
        <v>4</v>
      </c>
      <c r="F730" t="n">
        <v>17</v>
      </c>
    </row>
    <row r="731">
      <c r="A731" s="28" t="n">
        <v>46021</v>
      </c>
      <c r="B731" t="inlineStr">
        <is>
          <t>Tue</t>
        </is>
      </c>
      <c r="C731" t="n">
        <v>8</v>
      </c>
      <c r="D731" t="n">
        <v>0</v>
      </c>
      <c r="E731" t="n">
        <v>3</v>
      </c>
      <c r="F731" t="n">
        <v>11</v>
      </c>
    </row>
    <row r="732">
      <c r="A732" s="28" t="n">
        <v>46022</v>
      </c>
      <c r="B732" t="inlineStr">
        <is>
          <t>Wed</t>
        </is>
      </c>
      <c r="C732" t="n">
        <v>12</v>
      </c>
      <c r="D732" t="n">
        <v>2</v>
      </c>
      <c r="E732" t="n">
        <v>1</v>
      </c>
      <c r="F732" t="n">
        <v>15</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25"/>
  <sheetViews>
    <sheetView tabSelected="0"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9" customWidth="1" min="4" max="4"/>
    <col width="20" customWidth="1" min="5" max="5"/>
    <col width="12" customWidth="1" min="6" max="6"/>
    <col width="12" customWidth="1" min="7" max="7"/>
  </cols>
  <sheetData>
    <row r="1">
      <c r="A1" s="27" t="inlineStr">
        <is>
          <t>MonthStart</t>
        </is>
      </c>
      <c r="B1" s="27" t="inlineStr">
        <is>
          <t>MonthNum</t>
        </is>
      </c>
      <c r="C1" s="27" t="inlineStr">
        <is>
          <t>EDVisits</t>
        </is>
      </c>
      <c r="D1" s="27" t="inlineStr">
        <is>
          <t>LWBS</t>
        </is>
      </c>
      <c r="E1" s="27" t="inlineStr">
        <is>
          <t>InpatientDischarges</t>
        </is>
      </c>
      <c r="F1" s="27" t="inlineStr">
        <is>
          <t>IndexStays</t>
        </is>
      </c>
      <c r="G1" s="27" t="inlineStr">
        <is>
          <t>Readmits30</t>
        </is>
      </c>
    </row>
    <row r="2">
      <c r="A2" s="33" t="n">
        <v>45292</v>
      </c>
      <c r="B2" t="n">
        <v>1</v>
      </c>
      <c r="C2" t="n">
        <v>580</v>
      </c>
      <c r="D2" t="n">
        <v>15</v>
      </c>
      <c r="E2" t="n">
        <v>233</v>
      </c>
      <c r="F2" t="n">
        <v>226</v>
      </c>
      <c r="G2" t="n">
        <v>25</v>
      </c>
    </row>
    <row r="3">
      <c r="A3" s="33" t="n">
        <v>45323</v>
      </c>
      <c r="B3" t="n">
        <v>2</v>
      </c>
      <c r="C3" t="n">
        <v>586</v>
      </c>
      <c r="D3" t="n">
        <v>21</v>
      </c>
      <c r="E3" t="n">
        <v>228</v>
      </c>
      <c r="F3" t="n">
        <v>222</v>
      </c>
      <c r="G3" t="n">
        <v>37</v>
      </c>
    </row>
    <row r="4">
      <c r="A4" s="33" t="n">
        <v>45352</v>
      </c>
      <c r="B4" t="n">
        <v>3</v>
      </c>
      <c r="C4" t="n">
        <v>579</v>
      </c>
      <c r="D4" t="n">
        <v>14</v>
      </c>
      <c r="E4" t="n">
        <v>256</v>
      </c>
      <c r="F4" t="n">
        <v>253</v>
      </c>
      <c r="G4" t="n">
        <v>33</v>
      </c>
    </row>
    <row r="5">
      <c r="A5" s="33" t="n">
        <v>45383</v>
      </c>
      <c r="B5" t="n">
        <v>4</v>
      </c>
      <c r="C5" t="n">
        <v>466</v>
      </c>
      <c r="D5" t="n">
        <v>10</v>
      </c>
      <c r="E5" t="n">
        <v>200</v>
      </c>
      <c r="F5" t="n">
        <v>196</v>
      </c>
      <c r="G5" t="n">
        <v>22</v>
      </c>
    </row>
    <row r="6">
      <c r="A6" s="33" t="n">
        <v>45413</v>
      </c>
      <c r="B6" t="n">
        <v>5</v>
      </c>
      <c r="C6" t="n">
        <v>477</v>
      </c>
      <c r="D6" t="n">
        <v>9</v>
      </c>
      <c r="E6" t="n">
        <v>227</v>
      </c>
      <c r="F6" t="n">
        <v>222</v>
      </c>
      <c r="G6" t="n">
        <v>23</v>
      </c>
    </row>
    <row r="7">
      <c r="A7" s="33" t="n">
        <v>45444</v>
      </c>
      <c r="B7" t="n">
        <v>6</v>
      </c>
      <c r="C7" t="n">
        <v>422</v>
      </c>
      <c r="D7" t="n">
        <v>3</v>
      </c>
      <c r="E7" t="n">
        <v>188</v>
      </c>
      <c r="F7" t="n">
        <v>186</v>
      </c>
      <c r="G7" t="n">
        <v>28</v>
      </c>
    </row>
    <row r="8">
      <c r="A8" s="33" t="n">
        <v>45474</v>
      </c>
      <c r="B8" t="n">
        <v>7</v>
      </c>
      <c r="C8" t="n">
        <v>444</v>
      </c>
      <c r="D8" t="n">
        <v>7</v>
      </c>
      <c r="E8" t="n">
        <v>235</v>
      </c>
      <c r="F8" t="n">
        <v>233</v>
      </c>
      <c r="G8" t="n">
        <v>23</v>
      </c>
    </row>
    <row r="9">
      <c r="A9" s="33" t="n">
        <v>45505</v>
      </c>
      <c r="B9" t="n">
        <v>8</v>
      </c>
      <c r="C9" t="n">
        <v>469</v>
      </c>
      <c r="D9" t="n">
        <v>9</v>
      </c>
      <c r="E9" t="n">
        <v>206</v>
      </c>
      <c r="F9" t="n">
        <v>203</v>
      </c>
      <c r="G9" t="n">
        <v>38</v>
      </c>
    </row>
    <row r="10">
      <c r="A10" s="33" t="n">
        <v>45536</v>
      </c>
      <c r="B10" t="n">
        <v>9</v>
      </c>
      <c r="C10" t="n">
        <v>403</v>
      </c>
      <c r="D10" t="n">
        <v>15</v>
      </c>
      <c r="E10" t="n">
        <v>183</v>
      </c>
      <c r="F10" t="n">
        <v>177</v>
      </c>
      <c r="G10" t="n">
        <v>25</v>
      </c>
    </row>
    <row r="11">
      <c r="A11" s="33" t="n">
        <v>45566</v>
      </c>
      <c r="B11" t="n">
        <v>10</v>
      </c>
      <c r="C11" t="n">
        <v>466</v>
      </c>
      <c r="D11" t="n">
        <v>8</v>
      </c>
      <c r="E11" t="n">
        <v>225</v>
      </c>
      <c r="F11" t="n">
        <v>219</v>
      </c>
      <c r="G11" t="n">
        <v>36</v>
      </c>
    </row>
    <row r="12">
      <c r="A12" s="33" t="n">
        <v>45597</v>
      </c>
      <c r="B12" t="n">
        <v>11</v>
      </c>
      <c r="C12" t="n">
        <v>562</v>
      </c>
      <c r="D12" t="n">
        <v>8</v>
      </c>
      <c r="E12" t="n">
        <v>233</v>
      </c>
      <c r="F12" t="n">
        <v>226</v>
      </c>
      <c r="G12" t="n">
        <v>40</v>
      </c>
    </row>
    <row r="13">
      <c r="A13" s="33" t="n">
        <v>45627</v>
      </c>
      <c r="B13" t="n">
        <v>12</v>
      </c>
      <c r="C13" t="n">
        <v>621</v>
      </c>
      <c r="D13" t="n">
        <v>18</v>
      </c>
      <c r="E13" t="n">
        <v>267</v>
      </c>
      <c r="F13" t="n">
        <v>261</v>
      </c>
      <c r="G13" t="n">
        <v>37</v>
      </c>
    </row>
    <row r="14">
      <c r="A14" s="33" t="n">
        <v>45658</v>
      </c>
      <c r="B14" t="n">
        <v>13</v>
      </c>
      <c r="C14" t="n">
        <v>631</v>
      </c>
      <c r="D14" t="n">
        <v>11</v>
      </c>
      <c r="E14" t="n">
        <v>287</v>
      </c>
      <c r="F14" t="n">
        <v>281</v>
      </c>
      <c r="G14" t="n">
        <v>50</v>
      </c>
    </row>
    <row r="15">
      <c r="A15" s="33" t="n">
        <v>45689</v>
      </c>
      <c r="B15" t="n">
        <v>14</v>
      </c>
      <c r="C15" t="n">
        <v>572</v>
      </c>
      <c r="D15" t="n">
        <v>12</v>
      </c>
      <c r="E15" t="n">
        <v>286</v>
      </c>
      <c r="F15" t="n">
        <v>282</v>
      </c>
      <c r="G15" t="n">
        <v>54</v>
      </c>
    </row>
    <row r="16">
      <c r="A16" s="33" t="n">
        <v>45717</v>
      </c>
      <c r="B16" t="n">
        <v>15</v>
      </c>
      <c r="C16" t="n">
        <v>546</v>
      </c>
      <c r="D16" t="n">
        <v>7</v>
      </c>
      <c r="E16" t="n">
        <v>256</v>
      </c>
      <c r="F16" t="n">
        <v>248</v>
      </c>
      <c r="G16" t="n">
        <v>44</v>
      </c>
    </row>
    <row r="17">
      <c r="A17" s="33" t="n">
        <v>45748</v>
      </c>
      <c r="B17" t="n">
        <v>16</v>
      </c>
      <c r="C17" t="n">
        <v>436</v>
      </c>
      <c r="D17" t="n">
        <v>6</v>
      </c>
      <c r="E17" t="n">
        <v>223</v>
      </c>
      <c r="F17" t="n">
        <v>217</v>
      </c>
      <c r="G17" t="n">
        <v>26</v>
      </c>
    </row>
    <row r="18">
      <c r="A18" s="33" t="n">
        <v>45778</v>
      </c>
      <c r="B18" t="n">
        <v>17</v>
      </c>
      <c r="C18" t="n">
        <v>499</v>
      </c>
      <c r="D18" t="n">
        <v>5</v>
      </c>
      <c r="E18" t="n">
        <v>251</v>
      </c>
      <c r="F18" t="n">
        <v>244</v>
      </c>
      <c r="G18" t="n">
        <v>36</v>
      </c>
    </row>
    <row r="19">
      <c r="A19" s="33" t="n">
        <v>45809</v>
      </c>
      <c r="B19" t="n">
        <v>18</v>
      </c>
      <c r="C19" t="n">
        <v>513</v>
      </c>
      <c r="D19" t="n">
        <v>7</v>
      </c>
      <c r="E19" t="n">
        <v>198</v>
      </c>
      <c r="F19" t="n">
        <v>195</v>
      </c>
      <c r="G19" t="n">
        <v>36</v>
      </c>
    </row>
    <row r="20">
      <c r="A20" s="33" t="n">
        <v>45839</v>
      </c>
      <c r="B20" t="n">
        <v>19</v>
      </c>
      <c r="C20" t="n">
        <v>499</v>
      </c>
      <c r="D20" t="n">
        <v>7</v>
      </c>
      <c r="E20" t="n">
        <v>203</v>
      </c>
      <c r="F20" t="n">
        <v>198</v>
      </c>
      <c r="G20" t="n">
        <v>29</v>
      </c>
    </row>
    <row r="21">
      <c r="A21" s="33" t="n">
        <v>45870</v>
      </c>
      <c r="B21" t="n">
        <v>20</v>
      </c>
      <c r="C21" t="n">
        <v>443</v>
      </c>
      <c r="D21" t="n">
        <v>8</v>
      </c>
      <c r="E21" t="n">
        <v>229</v>
      </c>
      <c r="F21" t="n">
        <v>226</v>
      </c>
      <c r="G21" t="n">
        <v>29</v>
      </c>
    </row>
    <row r="22">
      <c r="A22" s="33" t="n">
        <v>45901</v>
      </c>
      <c r="B22" t="n">
        <v>21</v>
      </c>
      <c r="C22" t="n">
        <v>450</v>
      </c>
      <c r="D22" t="n">
        <v>3</v>
      </c>
      <c r="E22" t="n">
        <v>195</v>
      </c>
      <c r="F22" t="n">
        <v>191</v>
      </c>
      <c r="G22" t="n">
        <v>25</v>
      </c>
    </row>
    <row r="23">
      <c r="A23" s="33" t="n">
        <v>45931</v>
      </c>
      <c r="B23" t="n">
        <v>22</v>
      </c>
      <c r="C23" t="n">
        <v>511</v>
      </c>
      <c r="D23" t="n">
        <v>7</v>
      </c>
      <c r="E23" t="n">
        <v>213</v>
      </c>
      <c r="F23" t="n">
        <v>211</v>
      </c>
      <c r="G23" t="n">
        <v>40</v>
      </c>
    </row>
    <row r="24">
      <c r="A24" s="33" t="n">
        <v>45962</v>
      </c>
      <c r="B24" t="n">
        <v>23</v>
      </c>
      <c r="C24" t="n">
        <v>522</v>
      </c>
      <c r="D24" t="n">
        <v>8</v>
      </c>
      <c r="E24" t="n">
        <v>254</v>
      </c>
      <c r="F24" t="n">
        <v>250</v>
      </c>
      <c r="G24" t="n">
        <v>41</v>
      </c>
    </row>
    <row r="25">
      <c r="A25" s="33" t="n">
        <v>45992</v>
      </c>
      <c r="B25" t="n">
        <v>24</v>
      </c>
      <c r="C25" t="n">
        <v>595</v>
      </c>
      <c r="D25" t="n">
        <v>19</v>
      </c>
      <c r="E25" t="n">
        <v>310</v>
      </c>
      <c r="F25" t="n">
        <v>306</v>
      </c>
      <c r="G25" t="n">
        <v>23</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00BF9000"/>
    <outlinePr summaryBelow="1" summaryRight="1"/>
    <pageSetUpPr fitToPage="1"/>
  </sheetPr>
  <dimension ref="A1:E10"/>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2" t="inlineStr">
        <is>
          <t>Lesson 4.5 · Bonus: Is the readmission rate out of control?</t>
        </is>
      </c>
    </row>
    <row r="2" ht="64" customHeight="1">
      <c r="A2" s="13" t="inlineStr">
        <is>
          <t>The quality committee wants a p-chart of Bluestone's system-wide 30-day readmission rate by discharge month, January 2024 to December 2025 (Monthly sheet, rows 2–25). For each month, n = IndexStays (inpatient discharges of patients who didn't die) and the rate = Readmits30 ÷ IndexStays. The center line p̄ = total readmissions ÷ total index stays, and each month gets its own limits: p̄ ± 3 × √(p̄ × (1 − p̄) ÷ n). Your B1 answer lands in cell D6 of this sheet, so later parts can refer to it. Helper columns for each month's rate, UCL, and LCL make this much easier. Put them in empty columns to the right of the Monthly table.</t>
        </is>
      </c>
    </row>
    <row r="3" ht="34" customHeight="1">
      <c r="A3" s="14" t="inlineStr">
        <is>
          <t>Type a formula or value in each yellow cell. The Check column turns green when your answer matches. Stuck? Read the hint, then the lesson guide. Answers: right-click a sheet tab → Unhide… → 'Bonus Key'.</t>
        </is>
      </c>
    </row>
    <row r="4">
      <c r="A4" s="15">
        <f>"Score: "&amp;COUNTIF(E6:E10,"✔*")&amp;" of 5 auto-checked tasks correct"</f>
        <v/>
      </c>
    </row>
    <row r="5">
      <c r="A5" s="16" t="inlineStr">
        <is>
          <t>#</t>
        </is>
      </c>
      <c r="B5" s="16" t="inlineStr">
        <is>
          <t>Task</t>
        </is>
      </c>
      <c r="C5" s="16" t="inlineStr">
        <is>
          <t>Hint</t>
        </is>
      </c>
      <c r="D5" s="16" t="inlineStr">
        <is>
          <t>Your Answer</t>
        </is>
      </c>
      <c r="E5" s="16" t="inlineStr">
        <is>
          <t>Check</t>
        </is>
      </c>
    </row>
    <row r="6" ht="36" customHeight="1">
      <c r="A6" s="17" t="inlineStr">
        <is>
          <t>B1</t>
        </is>
      </c>
      <c r="B6" s="18" t="inlineStr">
        <is>
          <t>What is the center line p̄ for all 24 months? Enter it as a percentage to 2 decimal places.</t>
        </is>
      </c>
      <c r="C6" s="19" t="inlineStr">
        <is>
          <t>Total readmissions ÷ total index stays. Don't average the 24 monthly rates</t>
        </is>
      </c>
      <c r="D6" s="34" t="n"/>
      <c r="E6" s="21">
        <f>IF(IFERROR(D6="",FALSE),"",IF(IFERROR(AND(ISNUMBER(D6),OR(ABS(D6-'Bonus Key'!$C$5)&lt;=0.00051,ABS(D6-'Bonus Key'!$C$5*100)&lt;=0.051000000000000004)),FALSE),"✔ Correct","✘ Not yet"))</f>
        <v/>
      </c>
    </row>
    <row r="7" ht="36" customHeight="1">
      <c r="A7" s="17" t="inlineStr">
        <is>
          <t>B2</t>
        </is>
      </c>
      <c r="B7" s="18" t="inlineStr">
        <is>
          <t>September 2024 had the fewest index stays (177). What is its upper control limit? Enter it as a percentage to 2 decimal places.</t>
        </is>
      </c>
      <c r="C7" s="19" t="inlineStr">
        <is>
          <t>p̄ + 3 × SQRT(p̄ × (1 − p̄) / n), with this month's n</t>
        </is>
      </c>
      <c r="D7" s="34" t="n"/>
      <c r="E7" s="21">
        <f>IF(IFERROR(D7="",FALSE),"",IF(IFERROR(AND(ISNUMBER(D7),OR(ABS(D7-'Bonus Key'!$C$6)&lt;=0.00051,ABS(D7-'Bonus Key'!$C$6*100)&lt;=0.051000000000000004)),FALSE),"✔ Correct","✘ Not yet"))</f>
        <v/>
      </c>
    </row>
    <row r="8" ht="81" customHeight="1">
      <c r="A8" s="17" t="inlineStr">
        <is>
          <t>B3</t>
        </is>
      </c>
      <c r="B8" s="18" t="inlineStr">
        <is>
          <t>How many of the 24 months fall outside their control limits (above the UCL or below the LCL)?</t>
        </is>
      </c>
      <c r="C8" s="19" t="inlineStr">
        <is>
          <t>Compare each month's rate with its own limits. Add helper columns for the rate, UCL, LCL, and a TRUE/FALSE flag, then COUNTIF the flags. One SUMPRODUCT also works</t>
        </is>
      </c>
      <c r="D8" s="22" t="n"/>
      <c r="E8" s="21">
        <f>IF(IFERROR(D8="",FALSE),"",IF(IFERROR(AND(ISNUMBER(D8),OR(ABS(D8-'Bonus Key'!$C$7)&lt;=0.0001)),FALSE),"✔ Correct","✘ Not yet"))</f>
        <v/>
      </c>
    </row>
    <row r="9" ht="51" customHeight="1">
      <c r="A9" s="17" t="inlineStr">
        <is>
          <t>B4</t>
        </is>
      </c>
      <c r="B9" s="18" t="inlineStr">
        <is>
          <t>Which month is it? Enter its MonthStart date.</t>
        </is>
      </c>
      <c r="C9" s="19" t="inlineStr">
        <is>
          <t>Read it off your helper columns, or XLOOKUP(TRUE, your test, the MonthStart column)</t>
        </is>
      </c>
      <c r="D9" s="35" t="n"/>
      <c r="E9" s="21">
        <f>IF(IFERROR(D9="",FALSE),"",IF(IFERROR(AND(ISNUMBER(D9),INT(D9)=INT('Bonus Key'!$C$8)),FALSE),"✔ Correct","✘ Not yet"))</f>
        <v/>
      </c>
    </row>
    <row r="10" ht="66" customHeight="1">
      <c r="A10" s="17" t="inlineStr">
        <is>
          <t>B5</t>
        </is>
      </c>
      <c r="B10" s="18" t="inlineStr">
        <is>
          <t>Drop December 2025 and recompute p̄ from the other 23 months (rows 2–24). The highest remaining month is February 2025 (row 15). How many standard errors above the new center line is it? Calculate z = (rate − p̄) ÷ √(p̄ × (1 − p̄) ÷ n) and enter it to 2 decimal places.</t>
        </is>
      </c>
      <c r="C10" s="19" t="inlineStr">
        <is>
          <t>LET(p, new p̄, n, that month's IndexStays, (rate − p) / SQRT(p*(1−p)/n))</t>
        </is>
      </c>
      <c r="D10" s="20" t="n"/>
      <c r="E10" s="21">
        <f>IF(IFERROR(D10="",FALSE),"",IF(IFERROR(AND(ISNUMBER(D10),OR(ABS(D10-'Bonus Key'!$C$9)&lt;=0.0051)),FALSE),"✔ Correct","✘ Not yet"))</f>
        <v/>
      </c>
    </row>
  </sheetData>
  <mergeCells count="3">
    <mergeCell ref="A2:E2"/>
    <mergeCell ref="A4:C4"/>
    <mergeCell ref="A3:E3"/>
  </mergeCells>
  <conditionalFormatting sqref="E6:E10">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9.xml><?xml version="1.0" encoding="utf-8"?>
<worksheet xmlns="http://schemas.openxmlformats.org/spreadsheetml/2006/main">
  <sheetPr>
    <tabColor rgb="00C00000"/>
    <outlinePr summaryBelow="1" summaryRight="1"/>
    <pageSetUpPr fitToPage="1"/>
  </sheetPr>
  <dimension ref="A1:F17"/>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36" t="inlineStr">
        <is>
          <t>🔑 Answer Key — Lesson 4.5</t>
        </is>
      </c>
    </row>
    <row r="2" ht="32" customHeight="1">
      <c r="A2" s="37" t="inlineStr">
        <is>
          <t>Spoiler alert: try every task before reading this sheet. Column C is the value the Check column compares against. Column D is a sample solution, and column E recalculates a formula for it live, proving the answer.</t>
        </is>
      </c>
    </row>
    <row r="4">
      <c r="A4" s="38" t="inlineStr">
        <is>
          <t>#</t>
        </is>
      </c>
      <c r="B4" s="38" t="inlineStr">
        <is>
          <t>Task</t>
        </is>
      </c>
      <c r="C4" s="38" t="inlineStr">
        <is>
          <t>Answer</t>
        </is>
      </c>
      <c r="D4" s="38" t="inlineStr">
        <is>
          <t>Sample solution</t>
        </is>
      </c>
      <c r="E4" s="38" t="inlineStr">
        <is>
          <t>Live result</t>
        </is>
      </c>
      <c r="F4" s="38" t="inlineStr">
        <is>
          <t>Explanation</t>
        </is>
      </c>
    </row>
    <row r="5" ht="126" customHeight="1">
      <c r="A5" s="17" t="inlineStr">
        <is>
          <t>1</t>
        </is>
      </c>
      <c r="B5" s="18" t="inlineStr">
        <is>
          <t>Run Data Analysis → Descriptive Statistics on LOSDays for all 400 stays (tick Summary statistics). What Skewness does the output report? Enter it to 2 decimal places, or use the worksheet function that calculates it.</t>
        </is>
      </c>
      <c r="C5" s="39" t="n">
        <v>1.780648333442708</v>
      </c>
      <c r="D5" s="40" t="inlineStr">
        <is>
          <t>=SKEW(Stays!F2:F401)</t>
        </is>
      </c>
      <c r="E5" cm="1" s="41">
        <f t="array" ref="E5">SKEW(Stays!F2:F401)</f>
        <v/>
      </c>
      <c r="F5" s="18" t="inlineStr">
        <is>
          <t>Skewness measures how lopsided a distribution is. Zero means symmetric, and a positive value means a long tail to the right. LOS has a skewness of 1.78, because most stays are short (median 4 days) while a few run to 19 days. The ToolPak's Descriptive Statistics output is a block of typed-in numbers, not formulas, so it won't update if the data changes. SKEW will. The output's Kurtosis row (4.65) is KURT. A positive value means heavier tails than a bell curve.</t>
        </is>
      </c>
    </row>
    <row r="6" ht="126" customHeight="1">
      <c r="A6" s="17" t="inlineStr">
        <is>
          <t>2</t>
        </is>
      </c>
      <c r="B6" s="18" t="inlineStr">
        <is>
          <t>Build a histogram of LOSDays (all 400 stays) using the bins on the Bins sheet, with the Histogram tool or FREQUENCY. How many stays fall in the bin labeled 6? Enter that one count.</t>
        </is>
      </c>
      <c r="C6" s="42" t="n">
        <v>92</v>
      </c>
      <c r="D6" s="40" t="inlineStr">
        <is>
          <t>=INDEX(FREQUENCY(Stays!F2:F401,Bins!A4:A10),3)</t>
        </is>
      </c>
      <c r="E6" cm="1" s="18">
        <f t="array" ref="E6">INDEX(FREQUENCY(Stays!F2:F401,Bins!A4:A10),3)</f>
        <v/>
      </c>
      <c r="F6" s="18" t="inlineStr">
        <is>
          <t>Each bin counts the values above the previous limit, up to and including its own limit. Bin 6 therefore counts stays of 5 or 6 days: more than 4, at most 6. FREQUENCY returns one count per bin plus a final "More" count (5 stays over 14 days), and INDEX picks count number 3. =COUNTIFS(Stays!F2:F401,"&gt;4",Stays!F2:F401,"&lt;=6") gives the same 92. If you read the label as "6 to 7 days" you'd get 66, which is the most common histogram mistake.</t>
        </is>
      </c>
    </row>
    <row r="7" ht="96" customHeight="1">
      <c r="A7" s="17" t="inlineStr">
        <is>
          <t>3</t>
        </is>
      </c>
      <c r="B7" s="18" t="inlineStr">
        <is>
          <t>How strongly is a patient's age related to length of stay? Calculate the correlation coefficient between Age and LOSDays for all 400 stays, to 3 decimal places.</t>
        </is>
      </c>
      <c r="C7" s="43" t="n">
        <v>0.1298991400949876</v>
      </c>
      <c r="D7" s="40" t="inlineStr">
        <is>
          <t>=CORREL(Stays!D2:D401,Stays!F2:F401)</t>
        </is>
      </c>
      <c r="E7" cm="1" s="44">
        <f t="array" ref="E7">CORREL(Stays!D2:D401,Stays!F2:F401)</f>
        <v/>
      </c>
      <c r="F7" s="18" t="inlineStr">
        <is>
          <t>r = 0.130 is a weak positive correlation. Older patients stay slightly longer on average, but the scatter plot is a cloud, not a line. Squaring r gives R² = 0.017, so age accounts for only about 1.7% of the variation in LOS. PEARSON returns the same value, and the order of the two ranges doesn't matter for correlation.</t>
        </is>
      </c>
    </row>
    <row r="8" ht="156" customHeight="1">
      <c r="A8" s="17" t="inlineStr">
        <is>
          <t>4</t>
        </is>
      </c>
      <c r="B8" s="18" t="inlineStr">
        <is>
          <t>Finance wants to know how much a day of stay adds to the bill. Fit a straight line that predicts TotalCharges from LOSDays (all 400 stays). What is the slope, in dollars per day? Enter it to 2 decimal places.</t>
        </is>
      </c>
      <c r="C8" s="45" t="n">
        <v>6665.425781288897</v>
      </c>
      <c r="D8" s="40" t="inlineStr">
        <is>
          <t>=SLOPE(Stays!G2:G401,Stays!F2:F401)</t>
        </is>
      </c>
      <c r="E8" cm="1" s="46">
        <f t="array" ref="E8">SLOPE(Stays!G2:G401,Stays!F2:F401)</f>
        <v/>
      </c>
      <c r="F8" s="18" t="inlineStr">
        <is>
          <t>Each extra day of stay goes with about $6,665.43 more in charges. The line is Charges = $2,600.11 + $6,665.43 × LOSDays, and =INTERCEPT(Stays!G2:G401,Stays!F2:F401) gives the intercept. =RSQ(Stays!G2:G401,Stays!F2:F401) gives R² = 43.8%, so LOS explains a little under half of the stay-to-stay differences in charges. The rest comes from diagnosis, procedures, ICU days, and so on. Swapping the arguments gives the slope of LOS on charges (0.000066 days per dollar), which answers a different question. SLOPE always takes the y-values (the outcome) first.</t>
        </is>
      </c>
    </row>
    <row r="9" ht="141" customHeight="1">
      <c r="A9" s="17" t="inlineStr">
        <is>
          <t>5</t>
        </is>
      </c>
      <c r="B9" s="18" t="inlineStr">
        <is>
          <t>Using the straight line that predicts LOSDays from Age (all 400 stays), what LOS does it predict for an 80-year-old patient? Enter days to 2 decimal places.</t>
        </is>
      </c>
      <c r="C9" s="39" t="n">
        <v>5.106015517791139</v>
      </c>
      <c r="D9" s="40" t="inlineStr">
        <is>
          <t>=FORECAST.LINEAR(80,Stays!F2:F401,Stays!D2:D401)</t>
        </is>
      </c>
      <c r="E9" cm="1" s="41">
        <f t="array" ref="E9">_xlfn.FORECAST.LINEAR(80,Stays!F2:F401,Stays!D2:D401)</f>
        <v/>
      </c>
      <c r="F9" s="18" t="inlineStr">
        <is>
          <t>The line is LOS = 3.726 + 0.0173 × Age, so at age 80 it predicts 5.11 days. That's the average LOS the line expects for 80-year-olds, not a forecast for one patient. The typical miss around the line (STEYX) is 2.80 days, far more than the 0.52-day difference the line predicts between a 50-year-old and an 80-year-old. =TREND(Stays!F2:F401,Stays!D2:D401,80) and =INTERCEPT(Stays!F2:F401,Stays!D2:D401)+SLOPE(Stays!F2:F401,Stays!D2:D401)*80 give the same result. The older FORECAST function does too.</t>
        </is>
      </c>
    </row>
    <row r="10" ht="201" customHeight="1">
      <c r="A10" s="17" t="inlineStr">
        <is>
          <t>6</t>
        </is>
      </c>
      <c r="B10" s="18" t="inlineStr">
        <is>
          <t>Is the age effect from Task 5 real, or could it be chance? Run Regression (Data Analysis) with LOSDays as the Y range and Age as the X range, or build the p-value from LINEST as in guide section 7. What p-value does it report for the Age coefficient? Enter it to 4 decimal places.</t>
        </is>
      </c>
      <c r="C10" s="47" t="n">
        <v>0.009298473422804661</v>
      </c>
      <c r="D10" s="40" t="inlineStr">
        <is>
          <t>=LET(fit,LINEST(Stays!F2:F401,Stays!D2:D401,TRUE,TRUE),tstat,INDEX(fit,1,1)/INDEX(fit,2,1),T.DIST.2T(ABS(tstat),INDEX(fit,4,2)))</t>
        </is>
      </c>
      <c r="E10" cm="1" s="48">
        <f t="array" ref="E10">_xlfn.LET(_xlpm.fit,LINEST(Stays!F2:F401,Stays!D2:D401,TRUE,TRUE),_xlpm.tstat,INDEX(_xlpm.fit,1,1)/INDEX(_xlpm.fit,2,1),_xlfn.T.DIST.2T(ABS(_xlpm.tstat),INDEX(_xlpm.fit,4,2)))</f>
        <v/>
      </c>
      <c r="F10" s="18" t="inlineStr">
        <is>
          <t>With stats set to TRUE, LINEST returns a 5 × 2 block: row 1 holds the slope (0.0173) and intercept, row 2 their standard errors (0.0066 for the slope), and row 4 column 2 the residual degrees of freedom (398). The t Stat is 0.0173 ÷ 0.0066 = 2.61, and T.DIST.2T gives p = 0.0093. That's below 0.05, so the slope is statistically significant: a true slope of zero would rarely produce a sample like this one. Yet R² is only 1.7%, so age explains almost none of the variation in LOS. Significant means "probably not zero," not "large" or "useful." Without LET (Excel 2019 and earlier), write =T.DIST.2T(ABS(INDEX(LINEST(Stays!F2:F401,Stays!D2:D401,TRUE,TRUE),1,1)/INDEX(LINEST(Stays!F2:F401,Stays!D2:D401,TRUE,TRUE),2,1)),INDEX(LINEST(Stays!F2:F401,Stays!D2:D401,TRUE,TRUE),4,2)).</t>
        </is>
      </c>
    </row>
    <row r="11" ht="126" customHeight="1">
      <c r="A11" s="17" t="inlineStr">
        <is>
          <t>7</t>
        </is>
      </c>
      <c r="B11" s="18" t="inlineStr">
        <is>
          <t>Finance would rather quote a range than a single number. For the TotalCharges-on-LOSDays line from Task 4, what is the lower end of the 95% confidence interval for the slope? It's the "Lower 95%" value the Regression tool reports for LOSDays. Enter dollars per day to 2 decimal places.</t>
        </is>
      </c>
      <c r="C11" s="45" t="n">
        <v>5920.658604785365</v>
      </c>
      <c r="D11" s="40" t="inlineStr">
        <is>
          <t>=LET(fit,LINEST(Stays!G2:G401,Stays!F2:F401,TRUE,TRUE),INDEX(fit,1,1)-T.INV.2T(0.05,INDEX(fit,4,2))*INDEX(fit,2,1))</t>
        </is>
      </c>
      <c r="E11" cm="1" s="46">
        <f t="array" ref="E11">_xlfn.LET(_xlpm.fit,LINEST(Stays!G2:G401,Stays!F2:F401,TRUE,TRUE),INDEX(_xlpm.fit,1,1)-_xlfn.T.INV.2T(0.05,INDEX(_xlpm.fit,4,2))*INDEX(_xlpm.fit,2,1))</f>
        <v/>
      </c>
      <c r="F11" s="18" t="inlineStr">
        <is>
          <t>The slope is $6,665.43 with a standard error of $378.83. With 398 residual degrees of freedom, T.INV.2T(0.05,398) = 1.9659, so the interval is $6,665.43 ± 1.9659 × $378.83, which runs from $5,920.66 to $7,410.19 per day. Finance can say each extra day goes with roughly $5,921 to $7,410 more in charges. It's the same t × standard error recipe CONFIDENCE.T uses for a mean (guide section 9), applied to a slope. Without LET, repeat the LINEST call inside each INDEX.</t>
        </is>
      </c>
    </row>
    <row r="12" ht="201" customHeight="1">
      <c r="A12" s="17" t="inlineStr">
        <is>
          <t>8</t>
        </is>
      </c>
      <c r="B12" s="18" t="inlineStr">
        <is>
          <t>Do Bluestone Memorial and Cedar Ridge differ in average LOS? Run a two-tailed t-test that does not assume equal variances, comparing Memorial's LOSDays (rows 2–201) with Cedar Ridge's (rows 202–401). Enter the p-value to 3 decimal places.</t>
        </is>
      </c>
      <c r="C12" s="43" t="n">
        <v>0.5132488477605828</v>
      </c>
      <c r="D12" s="40" t="inlineStr">
        <is>
          <t>=T.TEST(Stays!F2:F201,Stays!F202:F401,2,3)</t>
        </is>
      </c>
      <c r="E12" cm="1" s="44">
        <f t="array" ref="E12">_xlfn.T.TEST(Stays!F2:F201,Stays!F202:F401,2,3)</f>
        <v/>
      </c>
      <c r="F12" s="18" t="inlineStr">
        <is>
          <t>The sample means are 4.845 days (Memorial) and 4.660 days (Cedar Ridge), a difference of 0.185 days. T.TEST returns the p-value directly: 0.513. If the hospitals' true averages were equal, random sampling alone would produce a gap at least this large about 51% of the time, so you can't conclude they differ. That's not proof they're the same, only that this sample can't tell them apart. A one-tailed test (tails = 1) gives half the p-value (0.257). Type 2 (equal variances) gives 0.513 too, because with equal group sizes both tests use the same t statistic (0.654) and differ only slightly in degrees of freedom. The ToolPak's "t-Test: Two-Sample Assuming Unequal Variances" reports the same value as P(T&lt;=t) two-tail.</t>
        </is>
      </c>
    </row>
    <row r="13" ht="171" customHeight="1">
      <c r="A13" s="17" t="inlineStr">
        <is>
          <t>9</t>
        </is>
      </c>
      <c r="B13" s="18" t="inlineStr">
        <is>
          <t>Estimate Ashby Falls' true average door-to-provider time with a 95% confidence interval, using its Q4 2025 visits (EDWaits rows 1158–1383). What is the interval's half-width (the ± margin), in minutes to 2 decimal places? Blank cells are patients who left without being seen.</t>
        </is>
      </c>
      <c r="C13" s="39" t="n">
        <v>6.090322847965386</v>
      </c>
      <c r="D13" s="40" t="inlineStr">
        <is>
          <t>=CONFIDENCE.T(0.05,STDEV.S(EDWaits!E1158:E1383),COUNT(EDWaits!E1158:E1383))</t>
        </is>
      </c>
      <c r="E13" cm="1" s="41">
        <f t="array" ref="E13">_xlfn.CONFIDENCE.T(0.05,_xlfn.STDEV.S(EDWaits!E1158:E1383),COUNT(EDWaits!E1158:E1383))</f>
        <v/>
      </c>
      <c r="F13" s="18" t="inlineStr">
        <is>
          <t>217 patients saw a provider. Their mean wait was 49.15 minutes with a standard deviation of 45.52. The margin is t × s ÷ √n = 1.9710 × 45.52 ÷ √217 = 6.09, so the 95% confidence interval is 43.1 to 55.2 minutes. Use COUNT, not ROWS: ROWS also counts the 9 blank rows, which aren't measurements, and gives 5.97. COUNTA agrees with COUNT here only because the blank cells are truly empty. It would also count a text entry such as "LWBS" if an export had one. CONFIDENCE.NORM (and the old CONFIDENCE) uses 1.96 instead of t and gives 6.06, slightly too narrow. The ToolPak's "Confidence Level(95.0%)" row is CONFIDENCE.T.</t>
        </is>
      </c>
    </row>
    <row r="14" ht="126" customHeight="1">
      <c r="A14" s="17" t="inlineStr">
        <is>
          <t>10</t>
        </is>
      </c>
      <c r="B14" s="18" t="inlineStr">
        <is>
          <t>A trailing 7-day moving average smooths out the weekday pattern. What was the 7-day moving average of Memorial's daily arrivals on 02/25/2025 (that day and the 6 days before it)? Enter it to 2 decimal places.</t>
        </is>
      </c>
      <c r="C14" s="39" t="n">
        <v>17.57142857142857</v>
      </c>
      <c r="D14" s="40" t="inlineStr">
        <is>
          <t>=AVERAGE(EDDaily!C417:C423)</t>
        </is>
      </c>
      <c r="E14" cm="1" s="41">
        <f t="array" ref="E14">AVERAGE(EDDaily!C417:C423)</f>
        <v/>
      </c>
      <c r="F14" s="18" t="inlineStr">
        <is>
          <t>Rows 417–423 cover 02/19 through 02/25/2025, one of each weekday, so the Monday peak and the weekend dip cancel out. 17.57 arrivals a day was the highest 7-day average of 2025, against a 2025 daily mean of 12.17. A centered average (3 days either side) gives 14.86 for this date. Trailing averages are what you can calculate today, and centered ones are for describing the past. The ToolPak's Moving Average tool and a chart's Moving Average trendline are both trailing.</t>
        </is>
      </c>
    </row>
    <row r="15" ht="126" customHeight="1">
      <c r="A15" s="17" t="inlineStr">
        <is>
          <t>11</t>
        </is>
      </c>
      <c r="B15" s="18" t="inlineStr">
        <is>
          <t>Fit a linear trend to the 24 monthly EDVisits values, using MonthNum (1–24) as x. What does it forecast for month 25 (January 2026)? Enter it to 1 decimal place.</t>
        </is>
      </c>
      <c r="C15" s="49" t="n">
        <v>510.1449275362318</v>
      </c>
      <c r="D15" s="40" t="inlineStr">
        <is>
          <t>=FORECAST.LINEAR(25,Monthly!C2:C25,Monthly!B2:B25)</t>
        </is>
      </c>
      <c r="E15" cm="1" s="50">
        <f t="array" ref="E15">_xlfn.FORECAST.LINEAR(25,Monthly!C2:C25,Monthly!B2:B25)</f>
        <v/>
      </c>
      <c r="F15" s="18" t="inlineStr">
        <is>
          <t>The trend line is almost flat (slope -0.16 visits a month, R² = 0.0003), so the forecast is close to the 24-month average of 512.2. But winter is the busy season: the two Januaries had 580 and 631 visits, and the two Decembers 621 and 595. A straight line can't see seasons, so it under-forecasts winter and over-forecasts summer. A seasonal index or FORECAST.ETS (see the guide) handles that. =TREND(…,…,25) gives the same number as FORECAST.LINEAR.</t>
        </is>
      </c>
    </row>
    <row r="16" ht="141" customHeight="1">
      <c r="A16" s="17" t="inlineStr">
        <is>
          <t>12</t>
        </is>
      </c>
      <c r="B16" s="18" t="inlineStr">
        <is>
          <t>Build an individuals (I) chart for Memorial's daily arrivals with 2024 as the baseline (EDDaily rows 2–367). The moving ranges are the absolute day-to-day changes, σ̂ = average moving range ÷ 1.128, and UCL = mean + 3 × σ̂. What is the UCL? Enter it to 2 decimal places.</t>
        </is>
      </c>
      <c r="C16" s="39" t="n">
        <v>22.80499320722503</v>
      </c>
      <c r="D16" s="40" t="inlineStr">
        <is>
          <t>=AVERAGE(EDDaily!C2:C367)+3*SUMPRODUCT(ABS(EDDaily!C3:C367-EDDaily!C2:C366))/COUNT(EDDaily!C3:C367)/1.128</t>
        </is>
      </c>
      <c r="E16" cm="1" s="41">
        <f t="array" ref="E16">AVERAGE(EDDaily!C2:C367)+3*SUMPRODUCT(ABS(EDDaily!C3:C367-EDDaily!C2:C366))/COUNT(EDDaily!C3:C367)/1.128</f>
        <v/>
      </c>
      <c r="F16" s="18" t="inlineStr">
        <is>
          <t>2024 averaged 11.773 arrivals a day. The 365 moving ranges average 4.148, so σ̂ = 4.148 ÷ 1.128 = 3.677 and UCL = 11.773 + 3 × 3.677 = 22.80. The LCL is 0.74. Many references write this as mean ± 2.66 × MR̄, which is the same thing, because 3 ÷ 1.128 ≈ 2.66. A helper column of =ABS(C3-C2) filled down and averaged works too. The moving range measures short-term, day-to-day noise, so a slow seasonal swing doesn't widen the limits the way STDEV.S does (it would put the UCL at 23.35).</t>
        </is>
      </c>
    </row>
    <row r="17" ht="126" customHeight="1">
      <c r="A17" s="17" t="inlineStr">
        <is>
          <t>13</t>
        </is>
      </c>
      <c r="B17" s="18" t="inlineStr">
        <is>
          <t>Monitor 2025 against the 2024 limits. On how many days in 2025 (EDDaily rows 368–732) did Memorial's arrivals exceed the UCL from Task 12?</t>
        </is>
      </c>
      <c r="C17" s="42" t="n">
        <v>4</v>
      </c>
      <c r="D17" s="40" t="inlineStr">
        <is>
          <t>=COUNTIF(EDDaily!C368:C732,"&gt;"&amp;D17)</t>
        </is>
      </c>
      <c r="E17" cm="1" s="18">
        <f t="array" ref="E17">COUNTIF(EDDaily!C368:C732,"&gt;"&amp;(AVERAGE(EDDaily!C2:C367)+3*SUMPRODUCT(ABS(EDDaily!C3:C367-EDDaily!C2:C366))/COUNT(EDDaily!C3:C367)/1.128))</f>
        <v/>
      </c>
      <c r="F17" s="18" t="inlineStr">
        <is>
          <t>4 days broke the limit: 02/19 (24), 05/02 (23), 12/08 (24), 12/23 (23). Each is a special-cause signal worth a look, and in an ED the usual causes are respiratory season, a mass-casualty event, or a neighboring ED on diversion. No day fell below the LCL. Freezing the limits from a baseline year is standard practice: if you recalculate them with the new data, a lasting change gets absorbed into the limits. Limits from STDEV.S would flag only 2 days.</t>
        </is>
      </c>
    </row>
  </sheetData>
  <mergeCells count="1">
    <mergeCell ref="A2:F2"/>
  </mergeCells>
  <pageMargins left="0.75" right="0.75" top="1" bottom="1" header="0.5" footer="0.5"/>
  <pageSetup orientation="landscape" fitToHeight="0" fitToWidth="1"/>
</worksheet>
</file>

<file path=xl/worksheets/sheet10.xml><?xml version="1.0" encoding="utf-8"?>
<worksheet xmlns="http://schemas.openxmlformats.org/spreadsheetml/2006/main">
  <sheetPr>
    <tabColor rgb="00C00000"/>
    <outlinePr summaryBelow="1" summaryRight="1"/>
    <pageSetUpPr fitToPage="1"/>
  </sheetPr>
  <dimension ref="A1:F9"/>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36" t="inlineStr">
        <is>
          <t>🔑 Bonus Key — Lesson 4.5</t>
        </is>
      </c>
    </row>
    <row r="2" ht="32" customHeight="1">
      <c r="A2" s="37" t="inlineStr">
        <is>
          <t>Spoiler alert: try every task before reading this sheet. Column C is the value the Check column compares against. Column D is a sample solution, and column E recalculates a formula for it live, proving the answer.</t>
        </is>
      </c>
    </row>
    <row r="4">
      <c r="A4" s="38" t="inlineStr">
        <is>
          <t>#</t>
        </is>
      </c>
      <c r="B4" s="38" t="inlineStr">
        <is>
          <t>Task</t>
        </is>
      </c>
      <c r="C4" s="38" t="inlineStr">
        <is>
          <t>Answer</t>
        </is>
      </c>
      <c r="D4" s="38" t="inlineStr">
        <is>
          <t>Sample solution</t>
        </is>
      </c>
      <c r="E4" s="38" t="inlineStr">
        <is>
          <t>Live result</t>
        </is>
      </c>
      <c r="F4" s="38" t="inlineStr">
        <is>
          <t>Explanation</t>
        </is>
      </c>
    </row>
    <row r="5" ht="66" customHeight="1">
      <c r="A5" s="17" t="inlineStr">
        <is>
          <t>B1</t>
        </is>
      </c>
      <c r="B5" s="18" t="inlineStr">
        <is>
          <t>What is the center line p̄ for all 24 months? Enter it as a percentage to 2 decimal places.</t>
        </is>
      </c>
      <c r="C5" s="51" t="n">
        <v>0.1461721176685547</v>
      </c>
      <c r="D5" s="40" t="inlineStr">
        <is>
          <t>=SUM(Monthly!G2:G25)/SUM(Monthly!F2:F25)</t>
        </is>
      </c>
      <c r="E5" cm="1" s="52">
        <f t="array" ref="E5">SUM(Monthly!G2:G25)/SUM(Monthly!F2:F25)</f>
        <v/>
      </c>
      <c r="F5" s="18" t="inlineStr">
        <is>
          <t>800 readmissions ÷ 5,473 index stays = 14.62%. Averaging the 24 monthly rates gives 14.66% instead, because it weights a small month the same as a big one. A rate for a period is total ÷ total (Lesson 1.4).</t>
        </is>
      </c>
    </row>
    <row r="6" ht="81" customHeight="1">
      <c r="A6" s="17" t="inlineStr">
        <is>
          <t>B2</t>
        </is>
      </c>
      <c r="B6" s="18" t="inlineStr">
        <is>
          <t>September 2024 had the fewest index stays (177). What is its upper control limit? Enter it as a percentage to 2 decimal places.</t>
        </is>
      </c>
      <c r="C6" s="51" t="n">
        <v>0.2258342739067431</v>
      </c>
      <c r="D6" s="40" t="inlineStr">
        <is>
          <t>=D6+3*SQRT(D6*(1-D6)/Monthly!F10)</t>
        </is>
      </c>
      <c r="E6" cm="1" s="52">
        <f t="array" ref="E6">(SUM(Monthly!G2:G25)/SUM(Monthly!F2:F25))+3*SQRT((SUM(Monthly!G2:G25)/SUM(Monthly!F2:F25))*(1-(SUM(Monthly!G2:G25)/SUM(Monthly!F2:F25)))/Monthly!F10)</f>
        <v/>
      </c>
      <c r="F6" s="18" t="inlineStr">
        <is>
          <t>√(0.1462 × 0.8538 ÷ 177) = 0.0266, so the UCL is 0.1462 + 3 × that = 22.58%. The biggest month (Dec 2025, n = 306) gets a UCL of 20.68%. Smaller months get wider limits because a rate from fewer patients bounces around more. That's why a p-chart's limit lines look like a staircase.</t>
        </is>
      </c>
    </row>
    <row r="7" ht="141" customHeight="1">
      <c r="A7" s="17" t="inlineStr">
        <is>
          <t>B3</t>
        </is>
      </c>
      <c r="B7" s="18" t="inlineStr">
        <is>
          <t>How many of the 24 months fall outside their control limits (above the UCL or below the LCL)?</t>
        </is>
      </c>
      <c r="C7" s="42" t="n">
        <v>1</v>
      </c>
      <c r="D7" s="40" t="inlineStr">
        <is>
          <t>=SUMPRODUCT(--(ABS(Monthly!G2:G25/Monthly!F2:F25-D6)&gt;3*SQRT(D6*(1-D6)/Monthly!F2:F25)))</t>
        </is>
      </c>
      <c r="E7" cm="1" s="18">
        <f t="array" ref="E7">SUMPRODUCT(--(ABS(Monthly!G2:G25/Monthly!F2:F25-(SUM(Monthly!G2:G25)/SUM(Monthly!F2:F25)))&gt;3*SQRT((SUM(Monthly!G2:G25)/SUM(Monthly!F2:F25))*(1-(SUM(Monthly!G2:G25)/SUM(Monthly!F2:F25)))/Monthly!F2:F25)))</f>
        <v/>
      </c>
      <c r="F7" s="18" t="inlineStr">
        <is>
          <t>Only one month signals, and it falls below its LCL. No month is above its UCL. ABS(rate − p̄) &gt; 3σ catches both directions in one test because every LCL here is above zero. When n is small, p̄ − 3σ can go negative and the LCL is set to 0, so test the two sides separately. With helper columns on the Monthly sheet: Rate =G2/F2, UCL =Bonus!$D$6+3*SQRT(Bonus!$D$6*(1-Bonus!$D$6)/F2), LCL the same with − instead of +, and a flag column that tests whether the rate is above the UCL or below the LCL. Then COUNTIF the flags.</t>
        </is>
      </c>
    </row>
    <row r="8" ht="126" customHeight="1">
      <c r="A8" s="17" t="inlineStr">
        <is>
          <t>B4</t>
        </is>
      </c>
      <c r="B8" s="18" t="inlineStr">
        <is>
          <t>Which month is it? Enter its MonthStart date.</t>
        </is>
      </c>
      <c r="C8" s="53" t="n">
        <v>45992</v>
      </c>
      <c r="D8" s="40" t="inlineStr">
        <is>
          <t>=XLOOKUP(TRUE,ABS(Monthly!G2:G25/Monthly!F2:F25-D6)&gt;3*SQRT(D6*(1-D6)/Monthly!F2:F25),Monthly!A2:A25)</t>
        </is>
      </c>
      <c r="E8" cm="1" s="54">
        <f t="array" ref="E8">_xlfn.XLOOKUP(TRUE,ABS(Monthly!G2:G25/Monthly!F2:F25-(SUM(Monthly!G2:G25)/SUM(Monthly!F2:F25)))&gt;3*SQRT((SUM(Monthly!G2:G25)/SUM(Monthly!F2:F25))*(1-(SUM(Monthly!G2:G25)/SUM(Monthly!F2:F25)))/Monthly!F2:F25),Monthly!A2:A25)</f>
        <v/>
      </c>
      <c r="F8" s="18" t="inlineStr">
        <is>
          <t>December 2025: 23 readmissions out of 306 index stays = 7.52%, below its LCL of 8.56%. Before anyone celebrates, ask why. The data ends on 12/31/2025, so a patient discharged on 12/20 has only 11 days of follow-up in the data, and any readmission in January 2026 hasn't happened yet. December's rate is low because the 30-day window isn't complete. That's a data artifact, not an improvement. Excluding months with incomplete follow-up is standard for readmission reporting.</t>
        </is>
      </c>
    </row>
    <row r="9" ht="156" customHeight="1">
      <c r="A9" s="17" t="inlineStr">
        <is>
          <t>B5</t>
        </is>
      </c>
      <c r="B9" s="18" t="inlineStr">
        <is>
          <t>Drop December 2025 and recompute p̄ from the other 23 months (rows 2–24). The highest remaining month is February 2025 (row 15). How many standard errors above the new center line is it? Calculate z = (rate − p̄) ÷ √(p̄ × (1 − p̄) ÷ n) and enter it to 2 decimal places.</t>
        </is>
      </c>
      <c r="C9" s="39" t="n">
        <v>1.931472366276578</v>
      </c>
      <c r="D9" s="40" t="inlineStr">
        <is>
          <t>=LET(p,SUM(Monthly!G2:G24)/SUM(Monthly!F2:F24),n,Monthly!F15,(Monthly!G15/n-p)/SQRT(p*(1-p)/n))</t>
        </is>
      </c>
      <c r="E9" cm="1" s="41">
        <f t="array" ref="E9">_xlfn.LET(_xlpm.p,SUM(Monthly!G2:G24)/SUM(Monthly!F2:F24),_xlpm.n,Monthly!F15,(Monthly!G15/_xlpm.n-_xlpm.p)/SQRT(_xlpm.p*(1-_xlpm.p)/_xlpm.n))</f>
        <v/>
      </c>
      <c r="F9" s="18" t="inlineStr">
        <is>
          <t>The corrected p̄ is 15.04%, higher than 14.62% because the artificially low December no longer drags it down. February 2025's rate of 19.15% is z = 1.93 standard errors above it (it was 2.15 against the old center line). A point is a special-cause signal only beyond ±3, so every month is inside the limits: readmissions are stable, showing common-cause variation only. The chart says the committee shouldn't react to any single month. To lower the rate, change the process (discharge planning, follow-up calls) and then watch for a shift, such as 8 months in a row below the center line.</t>
        </is>
      </c>
    </row>
  </sheetData>
  <mergeCells count="1">
    <mergeCell ref="A2:F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4.5 — Statistics &amp; Forecasting</dc:title>
  <dcterms:created xsi:type="dcterms:W3CDTF">2026-10-02T17:39:13Z</dcterms:created>
  <dcterms:modified xsi:type="dcterms:W3CDTF">2026-10-02T17:39:13Z</dcterms:modified>
</cp:coreProperties>
</file>
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Workspace" sheetId="3" state="visible" r:id="rId3"/>
    <sheet name="Encounters" sheetId="4" state="visible" r:id="rId4"/>
    <sheet name="Providers" sheetId="5" state="visible" r:id="rId5"/>
    <sheet name="Departments" sheetId="6" state="visible" r:id="rId6"/>
    <sheet name="Bonus" sheetId="7" state="visible" r:id="rId7"/>
    <sheet name="Answer Key" sheetId="8" state="hidden" r:id="rId8"/>
    <sheet name="Bonus Key" sheetId="9" state="hidden" r:id="rId9"/>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5">
    <numFmt numFmtId="164" formatCode="yyyy-mm-dd"/>
    <numFmt numFmtId="165" formatCode="mm/dd/yyyy"/>
    <numFmt numFmtId="166" formatCode="0.0"/>
    <numFmt numFmtId="167" formatCode="0.0%"/>
    <numFmt numFmtId="168" formatCode="mmm yyyy"/>
  </numFmts>
  <fonts count="18">
    <font>
      <name val="Calibri"/>
      <family val="2"/>
      <color theme="1"/>
      <sz val="11"/>
      <scheme val="minor"/>
    </font>
    <font>
      <b val="1"/>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i val="1"/>
      <color rgb="00595959"/>
      <sz val="9"/>
    </font>
    <font>
      <i val="1"/>
      <color rgb="00808080"/>
    </font>
  </fonts>
  <fills count="9">
    <fill>
      <patternFill/>
    </fill>
    <fill>
      <patternFill patternType="gray125"/>
    </fill>
    <fill>
      <patternFill patternType="solid">
        <fgColor rgb="007B2C2C"/>
      </patternFill>
    </fill>
    <fill>
      <patternFill patternType="solid">
        <fgColor rgb="001F4E79"/>
      </patternFill>
    </fill>
    <fill>
      <patternFill patternType="solid">
        <fgColor rgb="00EDEDED"/>
      </patternFill>
    </fill>
    <fill>
      <patternFill patternType="solid">
        <fgColor rgb="00FFF2CC"/>
      </patternFill>
    </fill>
    <fill>
      <patternFill patternType="solid">
        <fgColor rgb="00C6EFCE"/>
      </patternFill>
    </fill>
    <fill>
      <patternFill patternType="solid">
        <fgColor rgb="00FFC7CE"/>
      </patternFill>
    </fill>
    <fill>
      <patternFill patternType="solid">
        <fgColor rgb="007F7F7F"/>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5">
    <xf numFmtId="0" fontId="0" fillId="0" borderId="0" pivotButton="0" quotePrefix="0" xfId="0"/>
    <xf numFmtId="0" fontId="12" fillId="0" borderId="0" pivotButton="0" quotePrefix="0" xfId="0"/>
    <xf numFmtId="0" fontId="13" fillId="0" borderId="0" pivotButton="0" quotePrefix="0" xfId="0"/>
    <xf numFmtId="0" fontId="3" fillId="0" borderId="0" pivotButton="0" quotePrefix="0" xfId="0"/>
    <xf numFmtId="0" fontId="14" fillId="3" borderId="0" pivotButton="0" quotePrefix="0" xfId="0"/>
    <xf numFmtId="0" fontId="0" fillId="3" borderId="0" pivotButton="0" quotePrefix="0" xfId="0"/>
    <xf numFmtId="0" fontId="15"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5" borderId="0" applyAlignment="1" pivotButton="0" quotePrefix="0" xfId="0">
      <alignment vertical="top" wrapText="1"/>
    </xf>
    <xf numFmtId="0" fontId="1" fillId="4"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1" fillId="0" borderId="0" pivotButton="0" quotePrefix="0" xfId="0"/>
    <xf numFmtId="0" fontId="4"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0" fontId="10" fillId="4" borderId="1" applyAlignment="1" pivotButton="0" quotePrefix="0" xfId="0">
      <alignment horizontal="right" vertical="top" wrapText="1"/>
    </xf>
    <xf numFmtId="0" fontId="1" fillId="0" borderId="1" applyAlignment="1" pivotButton="0" quotePrefix="0" xfId="0">
      <alignment vertical="top"/>
    </xf>
    <xf numFmtId="0" fontId="10" fillId="4" borderId="1" applyAlignment="1" pivotButton="0" quotePrefix="0" xfId="0">
      <alignment horizontal="left" vertical="top" wrapText="1"/>
    </xf>
    <xf numFmtId="0" fontId="0" fillId="5" borderId="2" applyAlignment="1" pivotButton="0" quotePrefix="0" xfId="0">
      <alignment horizontal="right" vertical="top"/>
    </xf>
    <xf numFmtId="4" fontId="0" fillId="5" borderId="2" applyAlignment="1" pivotButton="0" quotePrefix="0" xfId="0">
      <alignment horizontal="right" vertical="top"/>
    </xf>
    <xf numFmtId="0" fontId="0" fillId="5" borderId="2" applyAlignment="1" pivotButton="0" quotePrefix="0" xfId="0">
      <alignment horizontal="left" vertical="top"/>
    </xf>
    <xf numFmtId="0" fontId="10" fillId="0" borderId="0" pivotButton="0" quotePrefix="0" xfId="0"/>
    <xf numFmtId="0" fontId="4" fillId="3" borderId="0" pivotButton="0" quotePrefix="0" xfId="0"/>
    <xf numFmtId="0" fontId="4" fillId="8" borderId="0" pivotButton="0" quotePrefix="0" xfId="0"/>
    <xf numFmtId="0" fontId="16" fillId="0" borderId="0" pivotButton="0" quotePrefix="0" xfId="0"/>
    <xf numFmtId="0" fontId="0" fillId="5" borderId="2" pivotButton="0" quotePrefix="0" xfId="0"/>
    <xf numFmtId="168" fontId="0" fillId="5" borderId="2" pivotButton="0" quotePrefix="0" xfId="0"/>
    <xf numFmtId="0" fontId="1" fillId="0" borderId="0" pivotButton="0" quotePrefix="0" xfId="0"/>
    <xf numFmtId="1" fontId="1" fillId="0" borderId="0" pivotButton="0" quotePrefix="0" xfId="0"/>
    <xf numFmtId="4" fontId="1" fillId="0" borderId="0" pivotButton="0" quotePrefix="0" xfId="0"/>
    <xf numFmtId="3" fontId="1" fillId="0" borderId="0" pivotButton="0" quotePrefix="0" xfId="0"/>
    <xf numFmtId="168" fontId="0" fillId="0" borderId="0" pivotButton="0" quotePrefix="0" xfId="0"/>
    <xf numFmtId="1" fontId="0" fillId="0" borderId="0" pivotButton="0" quotePrefix="0" xfId="0"/>
    <xf numFmtId="4" fontId="0" fillId="0" borderId="0" pivotButton="0" quotePrefix="0" xfId="0"/>
    <xf numFmtId="3" fontId="0" fillId="0" borderId="0" pivotButton="0" quotePrefix="0" xfId="0"/>
    <xf numFmtId="0" fontId="17" fillId="0" borderId="0" applyAlignment="1" pivotButton="0" quotePrefix="0" xfId="0">
      <alignment horizontal="left"/>
    </xf>
    <xf numFmtId="165" fontId="0" fillId="0" borderId="0" pivotButton="0" quotePrefix="0" xfId="0"/>
    <xf numFmtId="166" fontId="0" fillId="0" borderId="0" pivotButton="0" quotePrefix="0" xfId="0"/>
    <xf numFmtId="167" fontId="0" fillId="5" borderId="2" applyAlignment="1" pivotButton="0" quotePrefix="0" xfId="0">
      <alignment horizontal="right" vertical="top"/>
    </xf>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1" fillId="0" borderId="1" applyAlignment="1" pivotButton="0" quotePrefix="0" xfId="0">
      <alignment vertical="top" wrapText="1"/>
    </xf>
    <xf numFmtId="0" fontId="5" fillId="0" borderId="1" applyAlignment="1" pivotButton="0" quotePrefix="1" xfId="0">
      <alignment vertical="top" wrapText="1"/>
    </xf>
    <xf numFmtId="0" fontId="0" fillId="0" borderId="1" applyAlignment="1" pivotButton="0" quotePrefix="0" xfId="0">
      <alignment vertical="top"/>
    </xf>
    <xf numFmtId="4" fontId="1" fillId="0" borderId="1" applyAlignment="1" pivotButton="0" quotePrefix="0" xfId="0">
      <alignment vertical="top" wrapText="1"/>
    </xf>
    <xf numFmtId="4" fontId="0" fillId="0" borderId="1" applyAlignment="1" pivotButton="0" quotePrefix="0" xfId="0">
      <alignment vertical="top"/>
    </xf>
    <xf numFmtId="167" fontId="1" fillId="0" borderId="1" applyAlignment="1" pivotButton="0" quotePrefix="0" xfId="0">
      <alignment vertical="top" wrapText="1"/>
    </xf>
    <xf numFmtId="167"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Id="rIdXlcMeta" Type="http://schemas.openxmlformats.org/officeDocument/2006/relationships/sheetMetadata" Target="metadata.xml"/></Relationships>
</file>

<file path=xl/tables/table1.xml><?xml version="1.0" encoding="utf-8"?>
<table xmlns="http://schemas.openxmlformats.org/spreadsheetml/2006/main" id="1" name="tblEncounters" displayName="tblEncounters" ref="A1:P2001" headerRowCount="1">
  <autoFilter ref="A1:P2001"/>
  <tableColumns count="16">
    <tableColumn id="1" name="EncounterID"/>
    <tableColumn id="2" name="PatientID"/>
    <tableColumn id="3" name="AdmitDate"/>
    <tableColumn id="4" name="DischargeDate"/>
    <tableColumn id="5" name="LOSDays"/>
    <tableColumn id="6" name="EncounterType"/>
    <tableColumn id="7" name="Facility"/>
    <tableColumn id="8" name="Department"/>
    <tableColumn id="9" name="ServiceLine"/>
    <tableColumn id="10" name="Attending"/>
    <tableColumn id="11" name="DxCode"/>
    <tableColumn id="12" name="DxCategory"/>
    <tableColumn id="13" name="Payer"/>
    <tableColumn id="14" name="PayerType"/>
    <tableColumn id="15" name="TotalCharges"/>
    <tableColumn id="16" name="Readmit30"/>
  </tableColumns>
  <tableStyleInfo name="TableStyleMedium2" showRowStripes="1"/>
</table>
</file>

<file path=xl/tables/table2.xml><?xml version="1.0" encoding="utf-8"?>
<table xmlns="http://schemas.openxmlformats.org/spreadsheetml/2006/main" id="2" name="tblProviders" displayName="tblProviders" ref="A1:H148" headerRowCount="1">
  <autoFilter ref="A1:H148"/>
  <tableColumns count="8">
    <tableColumn id="1" name="ProviderID"/>
    <tableColumn id="2" name="Provider"/>
    <tableColumn id="3" name="Credential"/>
    <tableColumn id="4" name="Specialty"/>
    <tableColumn id="5" name="Facility"/>
    <tableColumn id="6" name="Department"/>
    <tableColumn id="7" name="HireDate"/>
    <tableColumn id="8" name="FTE"/>
  </tableColumns>
  <tableStyleInfo name="TableStyleMedium2" showRowStripes="1"/>
</table>
</file>

<file path=xl/tables/table3.xml><?xml version="1.0" encoding="utf-8"?>
<table xmlns="http://schemas.openxmlformats.org/spreadsheetml/2006/main" id="3" name="tblDepartments" displayName="tblDepartments" ref="A1:F32" headerRowCount="1">
  <autoFilter ref="A1:F32"/>
  <tableColumns count="6">
    <tableColumn id="1" name="DeptID"/>
    <tableColumn id="2" name="Department"/>
    <tableColumn id="3" name="Facility"/>
    <tableColumn id="4" name="ServiceLine"/>
    <tableColumn id="5" name="UnitType"/>
    <tableColumn id="6" name="StaffedBe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001F4E79"/>
    <outlinePr summaryBelow="1" summaryRight="1"/>
    <pageSetUpPr fitToPage="1"/>
  </sheetPr>
  <dimension ref="B1:C3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1"/>
    <row r="2">
      <c r="B2" s="1" t="inlineStr">
        <is>
          <t>Lesson 4.1</t>
        </is>
      </c>
    </row>
    <row r="3">
      <c r="B3" s="2" t="inlineStr">
        <is>
          <t>Dynamic Arrays: FILTER, SORT, UNIQUE &amp; More</t>
        </is>
      </c>
    </row>
    <row r="4">
      <c r="B4" s="3" t="inlineStr">
        <is>
          <t>Advanced  ·  about 60 minutes  ·  Bluestone Health System (fictional)</t>
        </is>
      </c>
    </row>
    <row r="5"/>
    <row r="6">
      <c r="B6" s="4" t="inlineStr">
        <is>
          <t>What you'll learn</t>
        </is>
      </c>
      <c r="C6" s="5" t="n"/>
    </row>
    <row r="7" ht="18" customHeight="1">
      <c r="B7" s="6" t="inlineStr">
        <is>
          <t>•</t>
        </is>
      </c>
      <c r="C7" s="7" t="inlineStr">
        <is>
          <t>Understand spilling, the # spill reference, and #SPILL! errors</t>
        </is>
      </c>
    </row>
    <row r="8" ht="18" customHeight="1">
      <c r="B8" s="6" t="inlineStr">
        <is>
          <t>•</t>
        </is>
      </c>
      <c r="C8" s="7" t="inlineStr">
        <is>
          <t>Extract lists with UNIQUE, FILTER, SORT, and SORTBY</t>
        </is>
      </c>
    </row>
    <row r="9" ht="18" customHeight="1">
      <c r="B9" s="6" t="inlineStr">
        <is>
          <t>•</t>
        </is>
      </c>
      <c r="C9" s="7" t="inlineStr">
        <is>
          <t>Generate sequences with SEQUENCE and reshape with TAKE, DROP, CHOOSECOLS, VSTACK, and HSTACK</t>
        </is>
      </c>
    </row>
    <row r="10" ht="18" customHeight="1">
      <c r="B10" s="6" t="inlineStr">
        <is>
          <t>•</t>
        </is>
      </c>
      <c r="C10" s="7" t="inlineStr">
        <is>
          <t>Combine functions into one-formula reports</t>
        </is>
      </c>
    </row>
    <row r="11"/>
    <row r="12">
      <c r="B12" s="4" t="inlineStr">
        <is>
          <t>How to use this workbook</t>
        </is>
      </c>
      <c r="C12" s="5" t="n"/>
    </row>
    <row r="13" ht="33" customHeight="1">
      <c r="B13" s="8" t="inlineStr">
        <is>
          <t>1. Read the guide</t>
        </is>
      </c>
      <c r="C13" s="7" t="inlineStr">
        <is>
          <t>The lesson guide (README) explains each skill with examples: https://github.com/lmansf/learn-excel/tree/main/04-advanced-analysis/01-dynamic-arrays</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Spill formulas go on the Workspace sheet. Type each one in its yellow anchor cell and leave the cells below and to the right empty so the results have room to spill.</t>
        </is>
      </c>
    </row>
    <row r="19" ht="33" customHeight="1">
      <c r="B19" s="8" t="inlineStr">
        <is>
          <t>Note</t>
        </is>
      </c>
      <c r="C19" s="7" t="inlineStr">
        <is>
          <t>Needs Microsoft 365 or Excel 2024 (VSTACK, HSTACK, TAKE, DROP, CHOOSECOLS). FILTER, SORT, SORTBY, UNIQUE, SEQUENCE, and XLOOKUP also work in Excel 2021.</t>
        </is>
      </c>
    </row>
    <row r="20"/>
    <row r="21">
      <c r="B21" s="4" t="inlineStr">
        <is>
          <t>Color legend</t>
        </is>
      </c>
      <c r="C21" s="5" t="n"/>
    </row>
    <row r="22" ht="18" customHeight="1">
      <c r="B22" s="9" t="inlineStr">
        <is>
          <t>Yellow cell</t>
        </is>
      </c>
      <c r="C22" s="7" t="inlineStr">
        <is>
          <t>Your answer goes here.</t>
        </is>
      </c>
    </row>
    <row r="23" ht="18" customHeight="1">
      <c r="B23" s="10" t="inlineStr">
        <is>
          <t>Gray cell</t>
        </is>
      </c>
      <c r="C23" s="7" t="inlineStr">
        <is>
          <t>Pre-filled summary formula — it reads the work you did on another sheet.</t>
        </is>
      </c>
    </row>
    <row r="24" ht="18" customHeight="1">
      <c r="B24" s="11" t="inlineStr">
        <is>
          <t>✔ Correct</t>
        </is>
      </c>
      <c r="C24" s="7" t="inlineStr">
        <is>
          <t>Your answer matches the key.</t>
        </is>
      </c>
    </row>
    <row r="25" ht="18" customHeight="1">
      <c r="B25" s="12" t="inlineStr">
        <is>
          <t>✘ Not yet</t>
        </is>
      </c>
      <c r="C25" s="7" t="inlineStr">
        <is>
          <t>Not matching yet — check the hint and try again.</t>
        </is>
      </c>
    </row>
    <row r="26"/>
    <row r="27">
      <c r="B27" s="4" t="inlineStr">
        <is>
          <t>Sheets in this workbook</t>
        </is>
      </c>
      <c r="C27" s="5" t="n"/>
    </row>
    <row r="28" ht="33" customHeight="1">
      <c r="B28" s="8" t="inlineStr">
        <is>
          <t>Practice</t>
        </is>
      </c>
      <c r="C28" s="7" t="inlineStr">
        <is>
          <t>13 tasks. Each yellow answer cell needs a formula that returns ONE value. Gray cells read the spills you build on the Workspace sheet (tasks 1, 2, 12, and 13).</t>
        </is>
      </c>
    </row>
    <row r="29" ht="33" customHeight="1">
      <c r="B29" s="8" t="inlineStr">
        <is>
          <t>Workspace</t>
        </is>
      </c>
      <c r="C29" s="7" t="inlineStr">
        <is>
          <t>Yellow anchor cells for the spill tasks (1, 2, 12, and 13) and the bonus leaderboard, plus a gray Guide examples area (columns S–W) for trying the guide's formulas.</t>
        </is>
      </c>
    </row>
    <row r="30" ht="18" customHeight="1">
      <c r="B30" s="8" t="inlineStr">
        <is>
          <t>Encounters</t>
        </is>
      </c>
      <c r="C30" s="7" t="inlineStr">
        <is>
          <t>Data: 2,000 rows in the Excel Table 'tblEncounters' (16 columns).</t>
        </is>
      </c>
    </row>
    <row r="31" ht="18" customHeight="1">
      <c r="B31" s="8" t="inlineStr">
        <is>
          <t>Providers</t>
        </is>
      </c>
      <c r="C31" s="7" t="inlineStr">
        <is>
          <t>Data: 147 rows in the Excel Table 'tblProviders'.</t>
        </is>
      </c>
    </row>
    <row r="32" ht="18" customHeight="1">
      <c r="B32" s="8" t="inlineStr">
        <is>
          <t>Departments</t>
        </is>
      </c>
      <c r="C32" s="7" t="inlineStr">
        <is>
          <t>Data: 31 rows in the Excel Table 'tblDepartments'.</t>
        </is>
      </c>
    </row>
    <row r="33" ht="18" customHeight="1">
      <c r="B33" s="8" t="inlineStr">
        <is>
          <t>Bonus</t>
        </is>
      </c>
      <c r="C33" s="7" t="inlineStr">
        <is>
          <t>4 harder questions about a one-formula unit leaderboard that you build in Workspace!N6.</t>
        </is>
      </c>
    </row>
    <row r="34" ht="63" customHeight="1">
      <c r="B34" s="8" t="inlineStr">
        <is>
          <t>About the data</t>
        </is>
      </c>
      <c r="C34" s="7" t="inlineStr">
        <is>
          <t>2,000 encounters sampled from Bluestone Health System's 2025 activity at all four facilities, with facility, department, attending, diagnosis category, and payer names already joined in. Also includes the provider roster (147) and the department list (31, with StaffedBeds 0 for departments that have no inpatient beds).</t>
        </is>
      </c>
    </row>
    <row r="35" ht="18" customHeight="1">
      <c r="B35" s="8" t="inlineStr">
        <is>
          <t>Disclaimer</t>
        </is>
      </c>
      <c r="C3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4.1 · Practice</t>
        </is>
      </c>
    </row>
    <row r="2" ht="49" customHeight="1">
      <c r="A2" s="14" t="inlineStr">
        <is>
          <t>Tasks 1, 2, 12, and 13 are spill exercises: build them in the yellow anchor cells on the Workspace sheet, and the gray cells here read your results. Every other answer cell needs a formula that returns ONE value, so wrap spilling functions in ROWS, SUM, AVERAGE, INDEX, or TAKE(…,1). Refer to the data with structured references such as tblEncounters[TotalCharges].</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Go to the Workspace sheet. In the yellow cell B6, enter one formula that spills the list of distinct payer names from the Payer column of tblEncounters. The gray cell counts the names in your list.</t>
        </is>
      </c>
      <c r="C6" s="20" t="inlineStr">
        <is>
          <t>UNIQUE of one Table column</t>
        </is>
      </c>
      <c r="D6" cm="1" s="21">
        <f t="array" ref="D6">IF(ISBLANK(Workspace!B6),"",IF(ISERROR(Workspace!B6),"Workspace!B6 shows an error. Fix it there.",COUNTA(Workspace!B6:B60)))</f>
        <v/>
      </c>
      <c r="E6" s="22">
        <f>IF(IFERROR(D6="",FALSE),"",IF(IFERROR(AND(ISNUMBER(D6),OR(ABS(D6-'Answer Key'!$C$5)&lt;=0.0001)),FALSE),"✔ Correct","✘ Not yet"))</f>
        <v/>
      </c>
    </row>
    <row r="7" ht="66" customHeight="1">
      <c r="A7" s="18" t="inlineStr">
        <is>
          <t>2</t>
        </is>
      </c>
      <c r="B7" s="19" t="inlineStr">
        <is>
          <t>In Workspace!D6, enter one formula that spills the distinct ServiceLine values from tblEncounters sorted A to Z. When you press Enter, D6 shows #SPILL!. Find out why and fix the problem without moving your formula. The gray cell then summarizes your list.</t>
        </is>
      </c>
      <c r="C7" s="20" t="inlineStr">
        <is>
          <t>SORT(UNIQUE(…)). Then click the warning icon next to the error</t>
        </is>
      </c>
      <c r="D7" cm="1" s="23">
        <f t="array" ref="D7">IF(ISBLANK(Workspace!D6),"",IFERROR(COUNTA(Workspace!D6:D60)&amp;" service lines · first: "&amp;Workspace!D6&amp;" · last: "&amp;INDEX(Workspace!D6:D60,COUNTA(Workspace!D6:D60)),"Workspace!D6 shows an error. Fix it there."))</f>
        <v/>
      </c>
      <c r="E7" s="22">
        <f>IF(IFERROR(D7="",FALSE),"",IF(IFERROR(OR(LOWER(TRIM(D7&amp;""))=LOWER(TRIM('Answer Key'!$C$6&amp;""))),FALSE),"✔ Correct","✘ Not yet"))</f>
        <v/>
      </c>
    </row>
    <row r="8" ht="51" customHeight="1">
      <c r="A8" s="18" t="inlineStr">
        <is>
          <t>3</t>
        </is>
      </c>
      <c r="B8" s="19" t="inlineStr">
        <is>
          <t>Department names repeat across hospitals (each hospital has its own 'Emergency Department'). How many distinct Facility + Department combinations (units) appear in tblEncounters?</t>
        </is>
      </c>
      <c r="C8" s="20" t="inlineStr">
        <is>
          <t>UNIQUE over two adjacent columns, then count the rows</t>
        </is>
      </c>
      <c r="D8" s="24" t="n"/>
      <c r="E8" s="22">
        <f>IF(IFERROR(D8="",FALSE),"",IF(IFERROR(AND(ISNUMBER(D8),OR(ABS(D8-'Answer Key'!$C$7)&lt;=0.0001)),FALSE),"✔ Correct","✘ Not yet"))</f>
        <v/>
      </c>
    </row>
    <row r="9" ht="30" customHeight="1">
      <c r="A9" s="18" t="inlineStr">
        <is>
          <t>4</t>
        </is>
      </c>
      <c r="B9" s="19" t="inlineStr">
        <is>
          <t>How many patients (PatientID) have exactly one encounter in this extract?</t>
        </is>
      </c>
      <c r="C9" s="20" t="inlineStr">
        <is>
          <t>UNIQUE has an optional third argument</t>
        </is>
      </c>
      <c r="D9" s="24" t="n"/>
      <c r="E9" s="22">
        <f>IF(IFERROR(D9="",FALSE),"",IF(IFERROR(AND(ISNUMBER(D9),OR(ABS(D9-'Answer Key'!$C$8)&lt;=0.0001)),FALSE),"✔ Correct","✘ Not yet"))</f>
        <v/>
      </c>
    </row>
    <row r="10" ht="51" customHeight="1">
      <c r="A10" s="18" t="inlineStr">
        <is>
          <t>5</t>
        </is>
      </c>
      <c r="B10" s="19" t="inlineStr">
        <is>
          <t>This one uses tblDepartments (on the Departments sheet), but the formula still goes in the yellow cell here. Using FILTER, how many departments have UnitType "Inpatient" and 20 or more StaffedBeds?</t>
        </is>
      </c>
      <c r="C10" s="20" t="inlineStr">
        <is>
          <t>Multiply the two conditions with *, then count the rows FILTER returns</t>
        </is>
      </c>
      <c r="D10" s="24" t="n"/>
      <c r="E10" s="22">
        <f>IF(IFERROR(D10="",FALSE),"",IF(IFERROR(AND(ISNUMBER(D10),OR(ABS(D10-'Answer Key'!$C$9)&lt;=0.0001)),FALSE),"✔ Correct","✘ Not yet"))</f>
        <v/>
      </c>
    </row>
    <row r="11" ht="36" customHeight="1">
      <c r="A11" s="18" t="inlineStr">
        <is>
          <t>6</t>
        </is>
      </c>
      <c r="B11" s="19" t="inlineStr">
        <is>
          <t>How many different attending providers (Attending) treated Emergency encounters?</t>
        </is>
      </c>
      <c r="C11" s="20" t="inlineStr">
        <is>
          <t>FILTER first, then UNIQUE, then count</t>
        </is>
      </c>
      <c r="D11" s="24" t="n"/>
      <c r="E11" s="22">
        <f>IF(IFERROR(D11="",FALSE),"",IF(IFERROR(AND(ISNUMBER(D11),OR(ABS(D11-'Answer Key'!$C$10)&lt;=0.0001)),FALSE),"✔ Correct","✘ Not yet"))</f>
        <v/>
      </c>
    </row>
    <row r="12" ht="51" customHeight="1">
      <c r="A12" s="18" t="inlineStr">
        <is>
          <t>7</t>
        </is>
      </c>
      <c r="B12" s="19" t="inlineStr">
        <is>
          <t>Flu-season review: what were the total charges of Emergency encounters admitted in January or February 2025 whose DxCategory is Respiratory or Infectious? Enter dollars and cents.</t>
        </is>
      </c>
      <c r="C12" s="20" t="inlineStr">
        <is>
          <t>AND with *, OR with +. Wrap the OR part in its own parentheses</t>
        </is>
      </c>
      <c r="D12" s="25" t="n"/>
      <c r="E12" s="22">
        <f>IF(IFERROR(D12="",FALSE),"",IF(IFERROR(AND(ISNUMBER(D12),OR(ABS(D12-'Answer Key'!$C$11)&lt;=0.0051)),FALSE),"✔ Correct","✘ Not yet"))</f>
        <v/>
      </c>
    </row>
    <row r="13" ht="36" customHeight="1">
      <c r="A13" s="18" t="inlineStr">
        <is>
          <t>8</t>
        </is>
      </c>
      <c r="B13" s="19" t="inlineStr">
        <is>
          <t>What is the combined TotalCharges of the five most expensive Emergency encounters? Enter dollars and cents.</t>
        </is>
      </c>
      <c r="C13" s="20" t="inlineStr">
        <is>
          <t>SORT the ED charges largest first, TAKE the first 5, then add them</t>
        </is>
      </c>
      <c r="D13" s="25" t="n"/>
      <c r="E13" s="22">
        <f>IF(IFERROR(D13="",FALSE),"",IF(IFERROR(AND(ISNUMBER(D13),OR(ABS(D13-'Answer Key'!$C$12)&lt;=0.0051)),FALSE),"✔ Correct","✘ Not yet"))</f>
        <v/>
      </c>
    </row>
    <row r="14" ht="36" customHeight="1">
      <c r="A14" s="18" t="inlineStr">
        <is>
          <t>9</t>
        </is>
      </c>
      <c r="B14" s="19" t="inlineStr">
        <is>
          <t>Outliers distort averages. What is the average TotalCharges of Inpatient encounters after dropping the 10 most expensive stays? Enter dollars and cents.</t>
        </is>
      </c>
      <c r="C14" s="20" t="inlineStr">
        <is>
          <t>Sort largest first, then DROP the first 10 rows</t>
        </is>
      </c>
      <c r="D14" s="25" t="n"/>
      <c r="E14" s="22">
        <f>IF(IFERROR(D14="",FALSE),"",IF(IFERROR(AND(ISNUMBER(D14),OR(ABS(D14-'Answer Key'!$C$13)&lt;=0.0051)),FALSE),"✔ Correct","✘ Not yet"))</f>
        <v/>
      </c>
    </row>
    <row r="15" ht="36" customHeight="1">
      <c r="A15" s="18" t="inlineStr">
        <is>
          <t>10</t>
        </is>
      </c>
      <c r="B15" s="19" t="inlineStr">
        <is>
          <t>Which attending provider's encounters add up to the highest TotalCharges? Enter the name exactly as it appears (Last, First).</t>
        </is>
      </c>
      <c r="C15" s="20" t="inlineStr">
        <is>
          <t>SORTBY the UNIQUE names by a SUMIFS that uses those same names as its criteria</t>
        </is>
      </c>
      <c r="D15" s="26" t="n"/>
      <c r="E15" s="22">
        <f>IF(IFERROR(D15="",FALSE),"",IF(IFERROR(OR(LOWER(TRIM(D15&amp;""))=LOWER(TRIM('Answer Key'!$C$14&amp;""))),FALSE),"✔ Correct","✘ Not yet"))</f>
        <v/>
      </c>
    </row>
    <row r="16" ht="51" customHeight="1">
      <c r="A16" s="18" t="inlineStr">
        <is>
          <t>11</t>
        </is>
      </c>
      <c r="B16" s="19" t="inlineStr">
        <is>
          <t>Look up the specialty of the attending on every Inpatient encounter (tblProviders has a Specialty for each Provider name). How many distinct specialties appear?</t>
        </is>
      </c>
      <c r="C16" s="20" t="inlineStr">
        <is>
          <t>XLOOKUP accepts a whole array of lookup values</t>
        </is>
      </c>
      <c r="D16" s="24" t="n"/>
      <c r="E16" s="22">
        <f>IF(IFERROR(D16="",FALSE),"",IF(IFERROR(AND(ISNUMBER(D16),OR(ABS(D16-'Answer Key'!$C$15)&lt;=0.0001)),FALSE),"✔ Correct","✘ Not yet"))</f>
        <v/>
      </c>
    </row>
    <row r="17" ht="81" customHeight="1">
      <c r="A17" s="18" t="inlineStr">
        <is>
          <t>12</t>
        </is>
      </c>
      <c r="B17" s="19" t="inlineStr">
        <is>
          <t>On the Workspace sheet, make F6 spill the first day of each month of 2025 (01/01/2025 through 12/01/2025) using SEQUENCE. Column F is formatted to show them as Jan 2025, Feb 2025, and so on. Then, in G6, write ONE COUNTIFS formula that refers to your month list with the spill operator (F6#) and spills the number of encounters admitted in each month. The gray cell checks both columns.</t>
        </is>
      </c>
      <c r="C17" s="20" t="inlineStr">
        <is>
          <t>DATE accepts an array of months. Count AdmitDate ≥ each month start and &lt; the next month's start</t>
        </is>
      </c>
      <c r="D17" cm="1" s="23">
        <f t="array" ref="D17">IF(ISBLANK(Workspace!F6),"",IF(OR(ISERROR(Workspace!F6),ISERROR(Workspace!G6)),"Workspace!F6 or G6 shows an error. Fix it there.",COUNT(Workspace!F6:F60)&amp;" months · "&amp;SUM(Workspace!G6:G60)&amp;" encounters"))</f>
        <v/>
      </c>
      <c r="E17" s="22">
        <f>IF(IFERROR(D17="",FALSE),"",IF(IFERROR(OR(LOWER(TRIM(D17&amp;""))=LOWER(TRIM('Answer Key'!$C$16&amp;""))),FALSE),"✔ Correct","✘ Not yet"))</f>
        <v/>
      </c>
    </row>
    <row r="18" ht="66" customHeight="1">
      <c r="A18" s="18" t="inlineStr">
        <is>
          <t>13</t>
        </is>
      </c>
      <c r="B18" s="19" t="inlineStr">
        <is>
          <t>Build a long-stay worklist in Workspace!I6 with ONE formula: a header row (EncounterID, Department, LOSDays, TotalCharges) on top of every Cedar Ridge Medical Center encounter with LOSDays of 7 or more, showing only those four columns, sorted by LOSDays from longest to shortest.</t>
        </is>
      </c>
      <c r="C18" s="20" t="inlineStr">
        <is>
          <t>VSTACK(header, SORT(CHOOSECOLS(FILTER(tblEncounters, …), …), …))</t>
        </is>
      </c>
      <c r="D18" cm="1" s="23">
        <f t="array" ref="D18">IF(ISBLANK(Workspace!I6),"",IF(ISERROR(Workspace!I6),"Workspace!I6 shows an error. Fix it there.",(COUNTA(Workspace!I6:I60)-1)&amp;" stays · longest: "&amp;Workspace!I7&amp;" ("&amp;Workspace!K7&amp;" d) · shortest: "&amp;INDEX(Workspace!I6:I60,COUNTA(Workspace!I6:I60))&amp;" ("&amp;INDEX(Workspace!K6:K60,COUNTA(Workspace!I6:I60))&amp;" d)"))</f>
        <v/>
      </c>
      <c r="E18" s="22">
        <f>IF(IFERROR(D18="",FALSE),"",IF(IFERROR(OR(LOWER(TRIM(D18&amp;""))=LOWER(TRIM('Answer Key'!$C$17&amp;""))),FALSE),"✔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BF9000"/>
    <outlinePr summaryBelow="1" summaryRight="1"/>
    <pageSetUpPr fitToPage="1"/>
  </sheetPr>
  <dimension ref="A1:W60"/>
  <sheetViews>
    <sheetView tabSelected="0" zoomScale="90" workbookViewId="0">
      <pane ySplit="5" topLeftCell="A6" activePane="bottomLeft" state="frozen"/>
      <selection pane="bottomLeft" activeCell="A1" sqref="A1"/>
    </sheetView>
  </sheetViews>
  <sheetFormatPr baseColWidth="8" defaultRowHeight="15"/>
  <cols>
    <col width="2" customWidth="1" min="1" max="1"/>
    <col width="31" customWidth="1" min="2" max="2"/>
    <col width="2" customWidth="1" min="3" max="3"/>
    <col width="26" customWidth="1" min="4" max="4"/>
    <col width="2" customWidth="1" min="5" max="5"/>
    <col width="12" customWidth="1" min="6" max="6"/>
    <col width="12" customWidth="1" min="7" max="7"/>
    <col width="2" customWidth="1" min="8" max="8"/>
    <col width="13" customWidth="1" min="9" max="9"/>
    <col width="26" customWidth="1" min="10" max="10"/>
    <col width="10" customWidth="1" min="11" max="11"/>
    <col width="14" customWidth="1" min="12" max="12"/>
    <col width="2" customWidth="1" min="13" max="13"/>
    <col width="32" customWidth="1" min="14" max="14"/>
    <col width="32" customWidth="1" min="15" max="15"/>
    <col width="12" customWidth="1" min="16" max="16"/>
    <col width="14" customWidth="1" min="17" max="17"/>
    <col width="3" customWidth="1" min="18" max="18"/>
    <col width="13" customWidth="1" min="19" max="19"/>
    <col width="2" customWidth="1" min="20" max="20"/>
    <col width="13" customWidth="1" min="21" max="21"/>
    <col width="30" customWidth="1" min="22" max="22"/>
    <col width="10" customWidth="1" min="23" max="23"/>
  </cols>
  <sheetData>
    <row r="1">
      <c r="A1" s="13" t="inlineStr">
        <is>
          <t>Workspace: spill your dynamic-array formulas here</t>
        </is>
      </c>
    </row>
    <row r="2">
      <c r="A2" s="27" t="inlineStr">
        <is>
          <t>Type each formula in its yellow anchor cell and press Enter. Leave the cells below and to the right empty so the results can spill. The gray cells on the Practice sheet read these results. Columns S–W are a scratch area for trying the guide's examples.</t>
        </is>
      </c>
    </row>
    <row r="4">
      <c r="B4" s="28" t="inlineStr">
        <is>
          <t>Task 1 · UNIQUE</t>
        </is>
      </c>
      <c r="D4" s="28" t="inlineStr">
        <is>
          <t>Task 2 · SORT + UNIQUE</t>
        </is>
      </c>
      <c r="F4" s="28" t="inlineStr">
        <is>
          <t>Task 12 · SEQUENCE</t>
        </is>
      </c>
      <c r="G4" s="28" t="n"/>
      <c r="I4" s="28" t="inlineStr">
        <is>
          <t>Task 13 · Long-stay worklist</t>
        </is>
      </c>
      <c r="J4" s="28" t="n"/>
      <c r="K4" s="28" t="n"/>
      <c r="L4" s="28" t="n"/>
      <c r="N4" s="28" t="inlineStr">
        <is>
          <t>Bonus · Unit leaderboard</t>
        </is>
      </c>
      <c r="O4" s="28" t="n"/>
      <c r="P4" s="28" t="n"/>
      <c r="Q4" s="28" t="n"/>
      <c r="S4" s="29" t="inlineStr">
        <is>
          <t>Guide examples (not graded)</t>
        </is>
      </c>
      <c r="T4" s="29" t="n"/>
      <c r="U4" s="29" t="n"/>
      <c r="V4" s="29" t="n"/>
      <c r="W4" s="29" t="n"/>
    </row>
    <row r="5">
      <c r="B5" s="30" t="inlineStr">
        <is>
          <t>Distinct payers ↓</t>
        </is>
      </c>
      <c r="D5" s="30" t="inlineStr">
        <is>
          <t>Service lines, A→Z ↓</t>
        </is>
      </c>
      <c r="F5" s="30" t="inlineStr">
        <is>
          <t>Month starts ↓</t>
        </is>
      </c>
      <c r="G5" s="30" t="inlineStr">
        <is>
          <t>Encounters ↓</t>
        </is>
      </c>
      <c r="I5" s="30" t="inlineStr">
        <is>
          <t>Header row, then data ↓ (4 columns)</t>
        </is>
      </c>
      <c r="N5" s="30" t="inlineStr">
        <is>
          <t>Header row, then data ↓ (4 columns)</t>
        </is>
      </c>
      <c r="S5" s="30" t="inlineStr">
        <is>
          <t>Try the lesson guide's formulas here ↓ (S6, U6, W6)</t>
        </is>
      </c>
    </row>
    <row r="6">
      <c r="B6" s="31" t="n"/>
      <c r="D6" s="31" t="n"/>
      <c r="F6" s="32" t="n"/>
      <c r="G6" s="31" t="n"/>
      <c r="I6" s="31" t="n"/>
      <c r="J6" s="33" t="n"/>
      <c r="K6" s="34" t="n"/>
      <c r="L6" s="35" t="n"/>
      <c r="N6" s="31" t="n"/>
      <c r="O6" s="33" t="n"/>
      <c r="P6" s="36" t="n"/>
      <c r="Q6" s="35" t="n"/>
    </row>
    <row r="7">
      <c r="F7" s="37" t="n"/>
      <c r="K7" s="38" t="n"/>
      <c r="L7" s="39" t="n"/>
      <c r="P7" s="40" t="n"/>
      <c r="Q7" s="39" t="n"/>
    </row>
    <row r="8">
      <c r="F8" s="37" t="n"/>
      <c r="K8" s="38" t="n"/>
      <c r="L8" s="39" t="n"/>
      <c r="P8" s="40" t="n"/>
      <c r="Q8" s="39" t="n"/>
    </row>
    <row r="9">
      <c r="F9" s="37" t="n"/>
      <c r="K9" s="38" t="n"/>
      <c r="L9" s="39" t="n"/>
      <c r="P9" s="40" t="n"/>
      <c r="Q9" s="39" t="n"/>
    </row>
    <row r="10">
      <c r="F10" s="37" t="n"/>
      <c r="K10" s="38" t="n"/>
      <c r="L10" s="39" t="n"/>
      <c r="P10" s="40" t="n"/>
      <c r="Q10" s="39" t="n"/>
    </row>
    <row r="11">
      <c r="D11" s="41" t="inlineStr">
        <is>
          <t>draft</t>
        </is>
      </c>
      <c r="F11" s="37" t="n"/>
      <c r="K11" s="38" t="n"/>
      <c r="L11" s="39" t="n"/>
      <c r="P11" s="40" t="n"/>
      <c r="Q11" s="39" t="n"/>
    </row>
    <row r="12">
      <c r="F12" s="37" t="n"/>
      <c r="K12" s="38" t="n"/>
      <c r="L12" s="39" t="n"/>
      <c r="P12" s="40" t="n"/>
      <c r="Q12" s="39" t="n"/>
    </row>
    <row r="13">
      <c r="F13" s="37" t="n"/>
      <c r="K13" s="38" t="n"/>
      <c r="L13" s="39" t="n"/>
      <c r="P13" s="40" t="n"/>
      <c r="Q13" s="39" t="n"/>
    </row>
    <row r="14">
      <c r="F14" s="37" t="n"/>
      <c r="K14" s="38" t="n"/>
      <c r="L14" s="39" t="n"/>
      <c r="P14" s="40" t="n"/>
      <c r="Q14" s="39" t="n"/>
    </row>
    <row r="15">
      <c r="F15" s="37" t="n"/>
      <c r="K15" s="38" t="n"/>
      <c r="L15" s="39" t="n"/>
      <c r="P15" s="40" t="n"/>
      <c r="Q15" s="39" t="n"/>
    </row>
    <row r="16">
      <c r="F16" s="37" t="n"/>
      <c r="K16" s="38" t="n"/>
      <c r="L16" s="39" t="n"/>
      <c r="P16" s="40" t="n"/>
      <c r="Q16" s="39" t="n"/>
    </row>
    <row r="17">
      <c r="F17" s="37" t="n"/>
      <c r="K17" s="38" t="n"/>
      <c r="L17" s="39" t="n"/>
      <c r="P17" s="40" t="n"/>
      <c r="Q17" s="39" t="n"/>
    </row>
    <row r="18">
      <c r="F18" s="37" t="n"/>
      <c r="K18" s="38" t="n"/>
      <c r="L18" s="39" t="n"/>
      <c r="P18" s="40" t="n"/>
      <c r="Q18" s="39" t="n"/>
    </row>
    <row r="19">
      <c r="F19" s="37" t="n"/>
      <c r="K19" s="38" t="n"/>
      <c r="L19" s="39" t="n"/>
      <c r="P19" s="40" t="n"/>
      <c r="Q19" s="39" t="n"/>
    </row>
    <row r="20">
      <c r="F20" s="37" t="n"/>
      <c r="K20" s="38" t="n"/>
      <c r="L20" s="39" t="n"/>
      <c r="P20" s="40" t="n"/>
      <c r="Q20" s="39" t="n"/>
    </row>
    <row r="21">
      <c r="F21" s="37" t="n"/>
      <c r="K21" s="38" t="n"/>
      <c r="L21" s="39" t="n"/>
      <c r="P21" s="40" t="n"/>
      <c r="Q21" s="39" t="n"/>
    </row>
    <row r="22">
      <c r="F22" s="37" t="n"/>
      <c r="K22" s="38" t="n"/>
      <c r="L22" s="39" t="n"/>
      <c r="P22" s="40" t="n"/>
      <c r="Q22" s="39" t="n"/>
    </row>
    <row r="23">
      <c r="F23" s="37" t="n"/>
      <c r="K23" s="38" t="n"/>
      <c r="L23" s="39" t="n"/>
      <c r="P23" s="40" t="n"/>
      <c r="Q23" s="39" t="n"/>
    </row>
    <row r="24">
      <c r="F24" s="37" t="n"/>
      <c r="K24" s="38" t="n"/>
      <c r="L24" s="39" t="n"/>
      <c r="P24" s="40" t="n"/>
      <c r="Q24" s="39" t="n"/>
    </row>
    <row r="25">
      <c r="F25" s="37" t="n"/>
      <c r="K25" s="38" t="n"/>
      <c r="L25" s="39" t="n"/>
      <c r="P25" s="40" t="n"/>
      <c r="Q25" s="39" t="n"/>
    </row>
    <row r="26">
      <c r="F26" s="37" t="n"/>
      <c r="K26" s="38" t="n"/>
      <c r="L26" s="39" t="n"/>
      <c r="P26" s="40" t="n"/>
      <c r="Q26" s="39" t="n"/>
    </row>
    <row r="27">
      <c r="F27" s="37" t="n"/>
      <c r="K27" s="38" t="n"/>
      <c r="L27" s="39" t="n"/>
      <c r="P27" s="40" t="n"/>
      <c r="Q27" s="39" t="n"/>
    </row>
    <row r="28">
      <c r="F28" s="37" t="n"/>
      <c r="K28" s="38" t="n"/>
      <c r="L28" s="39" t="n"/>
      <c r="P28" s="40" t="n"/>
      <c r="Q28" s="39" t="n"/>
    </row>
    <row r="29">
      <c r="F29" s="37" t="n"/>
      <c r="K29" s="38" t="n"/>
      <c r="L29" s="39" t="n"/>
      <c r="P29" s="40" t="n"/>
      <c r="Q29" s="39" t="n"/>
    </row>
    <row r="30">
      <c r="F30" s="37" t="n"/>
      <c r="K30" s="38" t="n"/>
      <c r="L30" s="39" t="n"/>
      <c r="P30" s="40" t="n"/>
      <c r="Q30" s="39" t="n"/>
    </row>
    <row r="31">
      <c r="F31" s="37" t="n"/>
      <c r="K31" s="38" t="n"/>
      <c r="L31" s="39" t="n"/>
      <c r="P31" s="40" t="n"/>
      <c r="Q31" s="39" t="n"/>
    </row>
    <row r="32">
      <c r="F32" s="37" t="n"/>
      <c r="K32" s="38" t="n"/>
      <c r="L32" s="39" t="n"/>
      <c r="P32" s="40" t="n"/>
      <c r="Q32" s="39" t="n"/>
    </row>
    <row r="33">
      <c r="F33" s="37" t="n"/>
      <c r="K33" s="38" t="n"/>
      <c r="L33" s="39" t="n"/>
      <c r="P33" s="40" t="n"/>
      <c r="Q33" s="39" t="n"/>
    </row>
    <row r="34">
      <c r="F34" s="37" t="n"/>
      <c r="K34" s="38" t="n"/>
      <c r="L34" s="39" t="n"/>
      <c r="P34" s="40" t="n"/>
      <c r="Q34" s="39" t="n"/>
    </row>
    <row r="35">
      <c r="F35" s="37" t="n"/>
      <c r="K35" s="38" t="n"/>
      <c r="L35" s="39" t="n"/>
      <c r="P35" s="40" t="n"/>
      <c r="Q35" s="39" t="n"/>
    </row>
    <row r="36">
      <c r="F36" s="37" t="n"/>
      <c r="K36" s="38" t="n"/>
      <c r="L36" s="39" t="n"/>
      <c r="P36" s="40" t="n"/>
      <c r="Q36" s="39" t="n"/>
    </row>
    <row r="37">
      <c r="F37" s="37" t="n"/>
      <c r="K37" s="38" t="n"/>
      <c r="L37" s="39" t="n"/>
      <c r="P37" s="40" t="n"/>
      <c r="Q37" s="39" t="n"/>
    </row>
    <row r="38">
      <c r="F38" s="37" t="n"/>
      <c r="K38" s="38" t="n"/>
      <c r="L38" s="39" t="n"/>
      <c r="P38" s="40" t="n"/>
      <c r="Q38" s="39" t="n"/>
    </row>
    <row r="39">
      <c r="F39" s="37" t="n"/>
      <c r="K39" s="38" t="n"/>
      <c r="L39" s="39" t="n"/>
      <c r="P39" s="40" t="n"/>
      <c r="Q39" s="39" t="n"/>
    </row>
    <row r="40">
      <c r="F40" s="37" t="n"/>
      <c r="K40" s="38" t="n"/>
      <c r="L40" s="39" t="n"/>
      <c r="P40" s="40" t="n"/>
      <c r="Q40" s="39" t="n"/>
    </row>
    <row r="41">
      <c r="F41" s="37" t="n"/>
      <c r="K41" s="38" t="n"/>
      <c r="L41" s="39" t="n"/>
      <c r="P41" s="40" t="n"/>
      <c r="Q41" s="39" t="n"/>
    </row>
    <row r="42">
      <c r="F42" s="37" t="n"/>
      <c r="K42" s="38" t="n"/>
      <c r="L42" s="39" t="n"/>
      <c r="P42" s="40" t="n"/>
      <c r="Q42" s="39" t="n"/>
    </row>
    <row r="43">
      <c r="F43" s="37" t="n"/>
      <c r="K43" s="38" t="n"/>
      <c r="L43" s="39" t="n"/>
      <c r="P43" s="40" t="n"/>
      <c r="Q43" s="39" t="n"/>
    </row>
    <row r="44">
      <c r="F44" s="37" t="n"/>
      <c r="K44" s="38" t="n"/>
      <c r="L44" s="39" t="n"/>
      <c r="P44" s="40" t="n"/>
      <c r="Q44" s="39" t="n"/>
    </row>
    <row r="45">
      <c r="F45" s="37" t="n"/>
      <c r="K45" s="38" t="n"/>
      <c r="L45" s="39" t="n"/>
      <c r="P45" s="40" t="n"/>
      <c r="Q45" s="39" t="n"/>
    </row>
    <row r="46">
      <c r="F46" s="37" t="n"/>
      <c r="K46" s="38" t="n"/>
      <c r="L46" s="39" t="n"/>
      <c r="P46" s="40" t="n"/>
      <c r="Q46" s="39" t="n"/>
    </row>
    <row r="47">
      <c r="F47" s="37" t="n"/>
      <c r="K47" s="38" t="n"/>
      <c r="L47" s="39" t="n"/>
      <c r="P47" s="40" t="n"/>
      <c r="Q47" s="39" t="n"/>
    </row>
    <row r="48">
      <c r="F48" s="37" t="n"/>
      <c r="K48" s="38" t="n"/>
      <c r="L48" s="39" t="n"/>
      <c r="P48" s="40" t="n"/>
      <c r="Q48" s="39" t="n"/>
    </row>
    <row r="49">
      <c r="F49" s="37" t="n"/>
      <c r="K49" s="38" t="n"/>
      <c r="L49" s="39" t="n"/>
      <c r="P49" s="40" t="n"/>
      <c r="Q49" s="39" t="n"/>
    </row>
    <row r="50">
      <c r="F50" s="37" t="n"/>
      <c r="K50" s="38" t="n"/>
      <c r="L50" s="39" t="n"/>
      <c r="P50" s="40" t="n"/>
      <c r="Q50" s="39" t="n"/>
    </row>
    <row r="51">
      <c r="F51" s="37" t="n"/>
      <c r="K51" s="38" t="n"/>
      <c r="L51" s="39" t="n"/>
      <c r="P51" s="40" t="n"/>
      <c r="Q51" s="39" t="n"/>
    </row>
    <row r="52">
      <c r="F52" s="37" t="n"/>
      <c r="K52" s="38" t="n"/>
      <c r="L52" s="39" t="n"/>
      <c r="P52" s="40" t="n"/>
      <c r="Q52" s="39" t="n"/>
    </row>
    <row r="53">
      <c r="F53" s="37" t="n"/>
      <c r="K53" s="38" t="n"/>
      <c r="L53" s="39" t="n"/>
      <c r="P53" s="40" t="n"/>
      <c r="Q53" s="39" t="n"/>
    </row>
    <row r="54">
      <c r="F54" s="37" t="n"/>
      <c r="K54" s="38" t="n"/>
      <c r="L54" s="39" t="n"/>
      <c r="P54" s="40" t="n"/>
      <c r="Q54" s="39" t="n"/>
    </row>
    <row r="55">
      <c r="F55" s="37" t="n"/>
      <c r="K55" s="38" t="n"/>
      <c r="L55" s="39" t="n"/>
      <c r="P55" s="40" t="n"/>
      <c r="Q55" s="39" t="n"/>
    </row>
    <row r="56">
      <c r="F56" s="37" t="n"/>
      <c r="K56" s="38" t="n"/>
      <c r="L56" s="39" t="n"/>
      <c r="P56" s="40" t="n"/>
      <c r="Q56" s="39" t="n"/>
    </row>
    <row r="57">
      <c r="F57" s="37" t="n"/>
      <c r="K57" s="38" t="n"/>
      <c r="L57" s="39" t="n"/>
      <c r="P57" s="40" t="n"/>
      <c r="Q57" s="39" t="n"/>
    </row>
    <row r="58">
      <c r="F58" s="37" t="n"/>
      <c r="K58" s="38" t="n"/>
      <c r="L58" s="39" t="n"/>
      <c r="P58" s="40" t="n"/>
      <c r="Q58" s="39" t="n"/>
    </row>
    <row r="59">
      <c r="F59" s="37" t="n"/>
      <c r="K59" s="38" t="n"/>
      <c r="L59" s="39" t="n"/>
      <c r="P59" s="40" t="n"/>
      <c r="Q59" s="39" t="n"/>
    </row>
    <row r="60">
      <c r="F60" s="37" t="n"/>
      <c r="K60" s="38" t="n"/>
      <c r="L60" s="39" t="n"/>
      <c r="P60" s="40" t="n"/>
      <c r="Q60" s="3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P2001"/>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2" customWidth="1" min="3" max="3"/>
    <col width="15" customWidth="1" min="4" max="4"/>
    <col width="9" customWidth="1" min="5" max="5"/>
    <col width="15" customWidth="1" min="6" max="6"/>
    <col width="30" customWidth="1" min="7" max="7"/>
    <col width="30" customWidth="1" min="8" max="8"/>
    <col width="19" customWidth="1" min="9" max="9"/>
    <col width="21" customWidth="1" min="10" max="10"/>
    <col width="10" customWidth="1" min="11" max="11"/>
    <col width="24" customWidth="1" min="12" max="12"/>
    <col width="28" customWidth="1" min="13" max="13"/>
    <col width="20" customWidth="1" min="14" max="14"/>
    <col width="14" customWidth="1" min="15" max="15"/>
    <col width="11" customWidth="1" min="16" max="16"/>
  </cols>
  <sheetData>
    <row r="1">
      <c r="A1" s="33" t="inlineStr">
        <is>
          <t>EncounterID</t>
        </is>
      </c>
      <c r="B1" s="33" t="inlineStr">
        <is>
          <t>PatientID</t>
        </is>
      </c>
      <c r="C1" s="33" t="inlineStr">
        <is>
          <t>AdmitDate</t>
        </is>
      </c>
      <c r="D1" s="33" t="inlineStr">
        <is>
          <t>DischargeDate</t>
        </is>
      </c>
      <c r="E1" s="33" t="inlineStr">
        <is>
          <t>LOSDays</t>
        </is>
      </c>
      <c r="F1" s="33" t="inlineStr">
        <is>
          <t>EncounterType</t>
        </is>
      </c>
      <c r="G1" s="33" t="inlineStr">
        <is>
          <t>Facility</t>
        </is>
      </c>
      <c r="H1" s="33" t="inlineStr">
        <is>
          <t>Department</t>
        </is>
      </c>
      <c r="I1" s="33" t="inlineStr">
        <is>
          <t>ServiceLine</t>
        </is>
      </c>
      <c r="J1" s="33" t="inlineStr">
        <is>
          <t>Attending</t>
        </is>
      </c>
      <c r="K1" s="33" t="inlineStr">
        <is>
          <t>DxCode</t>
        </is>
      </c>
      <c r="L1" s="33" t="inlineStr">
        <is>
          <t>DxCategory</t>
        </is>
      </c>
      <c r="M1" s="33" t="inlineStr">
        <is>
          <t>Payer</t>
        </is>
      </c>
      <c r="N1" s="33" t="inlineStr">
        <is>
          <t>PayerType</t>
        </is>
      </c>
      <c r="O1" s="33" t="inlineStr">
        <is>
          <t>TotalCharges</t>
        </is>
      </c>
      <c r="P1" s="33" t="inlineStr">
        <is>
          <t>Readmit30</t>
        </is>
      </c>
    </row>
    <row r="2">
      <c r="A2" t="inlineStr">
        <is>
          <t>ENC110714</t>
        </is>
      </c>
      <c r="B2" t="inlineStr">
        <is>
          <t>PT10258</t>
        </is>
      </c>
      <c r="C2" s="42" t="n">
        <v>45658</v>
      </c>
      <c r="D2" s="42" t="n">
        <v>45662</v>
      </c>
      <c r="E2" s="38" t="n">
        <v>4</v>
      </c>
      <c r="F2" t="inlineStr">
        <is>
          <t>Inpatient</t>
        </is>
      </c>
      <c r="G2" t="inlineStr">
        <is>
          <t>Bluestone Memorial Hospital</t>
        </is>
      </c>
      <c r="H2" t="inlineStr">
        <is>
          <t>Medical-Surgical 5 East</t>
        </is>
      </c>
      <c r="I2" t="inlineStr">
        <is>
          <t>Medicine</t>
        </is>
      </c>
      <c r="J2" t="inlineStr">
        <is>
          <t>Simpson, Kelly</t>
        </is>
      </c>
      <c r="K2" t="inlineStr">
        <is>
          <t>J44.1</t>
        </is>
      </c>
      <c r="L2" t="inlineStr">
        <is>
          <t>Respiratory</t>
        </is>
      </c>
      <c r="M2" t="inlineStr">
        <is>
          <t>Silverline Medicare Advantage</t>
        </is>
      </c>
      <c r="N2" t="inlineStr">
        <is>
          <t>Medicare Advantage</t>
        </is>
      </c>
      <c r="O2" s="39" t="n">
        <v>23167.91</v>
      </c>
      <c r="P2" t="inlineStr">
        <is>
          <t>N</t>
        </is>
      </c>
    </row>
    <row r="3">
      <c r="A3" t="inlineStr">
        <is>
          <t>ENC110718</t>
        </is>
      </c>
      <c r="B3" t="inlineStr">
        <is>
          <t>PT11455</t>
        </is>
      </c>
      <c r="C3" s="42" t="n">
        <v>45658</v>
      </c>
      <c r="D3" s="42" t="n">
        <v>45658</v>
      </c>
      <c r="E3" s="38" t="n">
        <v>0</v>
      </c>
      <c r="F3" t="inlineStr">
        <is>
          <t>Emergency</t>
        </is>
      </c>
      <c r="G3" t="inlineStr">
        <is>
          <t>Bluestone Memorial Hospital</t>
        </is>
      </c>
      <c r="H3" t="inlineStr">
        <is>
          <t>Emergency Department</t>
        </is>
      </c>
      <c r="I3" t="inlineStr">
        <is>
          <t>Emergency</t>
        </is>
      </c>
      <c r="J3" t="inlineStr">
        <is>
          <t>Olson, Christian</t>
        </is>
      </c>
      <c r="K3" t="inlineStr">
        <is>
          <t>J44.1</t>
        </is>
      </c>
      <c r="L3" t="inlineStr">
        <is>
          <t>Respiratory</t>
        </is>
      </c>
      <c r="M3" t="inlineStr">
        <is>
          <t>Silverline Medicare Advantage</t>
        </is>
      </c>
      <c r="N3" t="inlineStr">
        <is>
          <t>Medicare Advantage</t>
        </is>
      </c>
      <c r="O3" s="39" t="n">
        <v>2579.55</v>
      </c>
    </row>
    <row r="4">
      <c r="A4" t="inlineStr">
        <is>
          <t>ENC110733</t>
        </is>
      </c>
      <c r="B4" t="inlineStr">
        <is>
          <t>PT13219</t>
        </is>
      </c>
      <c r="C4" s="42" t="n">
        <v>45658</v>
      </c>
      <c r="D4" s="42" t="n">
        <v>45658</v>
      </c>
      <c r="E4" s="38" t="n">
        <v>0</v>
      </c>
      <c r="F4" t="inlineStr">
        <is>
          <t>Outpatient</t>
        </is>
      </c>
      <c r="G4" t="inlineStr">
        <is>
          <t>Bluestone Outpatient Pavilion</t>
        </is>
      </c>
      <c r="H4" t="inlineStr">
        <is>
          <t>Primary Care Clinic</t>
        </is>
      </c>
      <c r="I4" t="inlineStr">
        <is>
          <t>Ambulatory</t>
        </is>
      </c>
      <c r="J4" t="inlineStr">
        <is>
          <t>Santos, Edward</t>
        </is>
      </c>
      <c r="K4" t="inlineStr">
        <is>
          <t>I10</t>
        </is>
      </c>
      <c r="L4" t="inlineStr">
        <is>
          <t>Circulatory</t>
        </is>
      </c>
      <c r="M4" t="inlineStr">
        <is>
          <t>Silverline Medicare Advantage</t>
        </is>
      </c>
      <c r="N4" t="inlineStr">
        <is>
          <t>Medicare Advantage</t>
        </is>
      </c>
      <c r="O4" s="39" t="n">
        <v>191.04</v>
      </c>
    </row>
    <row r="5">
      <c r="A5" t="inlineStr">
        <is>
          <t>ENC110740</t>
        </is>
      </c>
      <c r="B5" t="inlineStr">
        <is>
          <t>PT10753</t>
        </is>
      </c>
      <c r="C5" s="42" t="n">
        <v>45658</v>
      </c>
      <c r="D5" s="42" t="n">
        <v>45658</v>
      </c>
      <c r="E5" s="38" t="n">
        <v>0</v>
      </c>
      <c r="F5" t="inlineStr">
        <is>
          <t>Outpatient</t>
        </is>
      </c>
      <c r="G5" t="inlineStr">
        <is>
          <t>Bluestone Outpatient Pavilion</t>
        </is>
      </c>
      <c r="H5" t="inlineStr">
        <is>
          <t>Primary Care Clinic</t>
        </is>
      </c>
      <c r="I5" t="inlineStr">
        <is>
          <t>Ambulatory</t>
        </is>
      </c>
      <c r="J5" t="inlineStr">
        <is>
          <t>Chen, Mei</t>
        </is>
      </c>
      <c r="K5" t="inlineStr">
        <is>
          <t>M54.50</t>
        </is>
      </c>
      <c r="L5" t="inlineStr">
        <is>
          <t>Musculoskeletal</t>
        </is>
      </c>
      <c r="M5" t="inlineStr">
        <is>
          <t>Keystone Health Partners</t>
        </is>
      </c>
      <c r="N5" t="inlineStr">
        <is>
          <t>Commercial</t>
        </is>
      </c>
      <c r="O5" s="39" t="n">
        <v>157.43</v>
      </c>
    </row>
    <row r="6">
      <c r="A6" t="inlineStr">
        <is>
          <t>ENC110744</t>
        </is>
      </c>
      <c r="B6" t="inlineStr">
        <is>
          <t>PT10444</t>
        </is>
      </c>
      <c r="C6" s="42" t="n">
        <v>45658</v>
      </c>
      <c r="D6" s="42" t="n">
        <v>45660</v>
      </c>
      <c r="E6" s="38" t="n">
        <v>2</v>
      </c>
      <c r="F6" t="inlineStr">
        <is>
          <t>Inpatient</t>
        </is>
      </c>
      <c r="G6" t="inlineStr">
        <is>
          <t>Bluestone Memorial Hospital</t>
        </is>
      </c>
      <c r="H6" t="inlineStr">
        <is>
          <t>Medical-Surgical 5 East</t>
        </is>
      </c>
      <c r="I6" t="inlineStr">
        <is>
          <t>Medicine</t>
        </is>
      </c>
      <c r="J6" t="inlineStr">
        <is>
          <t>Kim, Jeffrey</t>
        </is>
      </c>
      <c r="K6" t="inlineStr">
        <is>
          <t>K35.80</t>
        </is>
      </c>
      <c r="L6" t="inlineStr">
        <is>
          <t>Digestive</t>
        </is>
      </c>
      <c r="M6" t="inlineStr">
        <is>
          <t>Medicare</t>
        </is>
      </c>
      <c r="N6" t="inlineStr">
        <is>
          <t>Government</t>
        </is>
      </c>
      <c r="O6" s="39" t="n">
        <v>48442.42</v>
      </c>
      <c r="P6" t="inlineStr">
        <is>
          <t>N</t>
        </is>
      </c>
    </row>
    <row r="7">
      <c r="A7" t="inlineStr">
        <is>
          <t>ENC110762</t>
        </is>
      </c>
      <c r="B7" t="inlineStr">
        <is>
          <t>PT10906</t>
        </is>
      </c>
      <c r="C7" s="42" t="n">
        <v>45659</v>
      </c>
      <c r="D7" s="42" t="n">
        <v>45659</v>
      </c>
      <c r="E7" s="38" t="n">
        <v>0</v>
      </c>
      <c r="F7" t="inlineStr">
        <is>
          <t>Outpatient</t>
        </is>
      </c>
      <c r="G7" t="inlineStr">
        <is>
          <t>Bluestone Outpatient Pavilion</t>
        </is>
      </c>
      <c r="H7" t="inlineStr">
        <is>
          <t>Endocrinology &amp; Diabetes Clinic</t>
        </is>
      </c>
      <c r="I7" t="inlineStr">
        <is>
          <t>Ambulatory</t>
        </is>
      </c>
      <c r="J7" t="inlineStr">
        <is>
          <t>Woods, Larry</t>
        </is>
      </c>
      <c r="K7" t="inlineStr">
        <is>
          <t>E11.65</t>
        </is>
      </c>
      <c r="L7" t="inlineStr">
        <is>
          <t>Endocrine</t>
        </is>
      </c>
      <c r="M7" t="inlineStr">
        <is>
          <t>Keystone Health Partners</t>
        </is>
      </c>
      <c r="N7" t="inlineStr">
        <is>
          <t>Commercial</t>
        </is>
      </c>
      <c r="O7" s="39" t="n">
        <v>420.49</v>
      </c>
    </row>
    <row r="8">
      <c r="A8" t="inlineStr">
        <is>
          <t>ENC110763</t>
        </is>
      </c>
      <c r="B8" t="inlineStr">
        <is>
          <t>PT12818</t>
        </is>
      </c>
      <c r="C8" s="42" t="n">
        <v>45659</v>
      </c>
      <c r="D8" s="42" t="n">
        <v>45659</v>
      </c>
      <c r="E8" s="38" t="n">
        <v>0</v>
      </c>
      <c r="F8" t="inlineStr">
        <is>
          <t>Outpatient</t>
        </is>
      </c>
      <c r="G8" t="inlineStr">
        <is>
          <t>Bluestone Outpatient Pavilion</t>
        </is>
      </c>
      <c r="H8" t="inlineStr">
        <is>
          <t>Primary Care Clinic</t>
        </is>
      </c>
      <c r="I8" t="inlineStr">
        <is>
          <t>Ambulatory</t>
        </is>
      </c>
      <c r="J8" t="inlineStr">
        <is>
          <t>Arnold, Catherine</t>
        </is>
      </c>
      <c r="K8" t="inlineStr">
        <is>
          <t>E78.5</t>
        </is>
      </c>
      <c r="L8" t="inlineStr">
        <is>
          <t>Endocrine</t>
        </is>
      </c>
      <c r="M8" t="inlineStr">
        <is>
          <t>Silverline Medicare Advantage</t>
        </is>
      </c>
      <c r="N8" t="inlineStr">
        <is>
          <t>Medicare Advantage</t>
        </is>
      </c>
      <c r="O8" s="39" t="n">
        <v>466.73</v>
      </c>
    </row>
    <row r="9">
      <c r="A9" t="inlineStr">
        <is>
          <t>ENC110769</t>
        </is>
      </c>
      <c r="B9" t="inlineStr">
        <is>
          <t>PT12522</t>
        </is>
      </c>
      <c r="C9" s="42" t="n">
        <v>45659</v>
      </c>
      <c r="D9" s="42" t="n">
        <v>45659</v>
      </c>
      <c r="E9" s="38" t="n">
        <v>0</v>
      </c>
      <c r="F9" t="inlineStr">
        <is>
          <t>Emergency</t>
        </is>
      </c>
      <c r="G9" t="inlineStr">
        <is>
          <t>Ashby Falls Community Hospital</t>
        </is>
      </c>
      <c r="H9" t="inlineStr">
        <is>
          <t>Emergency Department</t>
        </is>
      </c>
      <c r="I9" t="inlineStr">
        <is>
          <t>Emergency</t>
        </is>
      </c>
      <c r="J9" t="inlineStr">
        <is>
          <t>Richardson, Mei</t>
        </is>
      </c>
      <c r="K9" t="inlineStr">
        <is>
          <t>J45.909</t>
        </is>
      </c>
      <c r="L9" t="inlineStr">
        <is>
          <t>Respiratory</t>
        </is>
      </c>
      <c r="M9" t="inlineStr">
        <is>
          <t>Self-Pay</t>
        </is>
      </c>
      <c r="N9" t="inlineStr">
        <is>
          <t>Self-Pay</t>
        </is>
      </c>
      <c r="O9" s="39" t="n">
        <v>1127.43</v>
      </c>
    </row>
    <row r="10">
      <c r="A10" t="inlineStr">
        <is>
          <t>ENC110776</t>
        </is>
      </c>
      <c r="B10" t="inlineStr">
        <is>
          <t>PT12169</t>
        </is>
      </c>
      <c r="C10" s="42" t="n">
        <v>45659</v>
      </c>
      <c r="D10" s="42" t="n">
        <v>45659</v>
      </c>
      <c r="E10" s="38" t="n">
        <v>0</v>
      </c>
      <c r="F10" t="inlineStr">
        <is>
          <t>Outpatient</t>
        </is>
      </c>
      <c r="G10" t="inlineStr">
        <is>
          <t>Bluestone Outpatient Pavilion</t>
        </is>
      </c>
      <c r="H10" t="inlineStr">
        <is>
          <t>Primary Care Clinic</t>
        </is>
      </c>
      <c r="I10" t="inlineStr">
        <is>
          <t>Ambulatory</t>
        </is>
      </c>
      <c r="J10" t="inlineStr">
        <is>
          <t>Nguyen, Isabella</t>
        </is>
      </c>
      <c r="K10" t="inlineStr">
        <is>
          <t>J06.9</t>
        </is>
      </c>
      <c r="L10" t="inlineStr">
        <is>
          <t>Respiratory</t>
        </is>
      </c>
      <c r="M10" t="inlineStr">
        <is>
          <t>Evergreen Mutual Insurance</t>
        </is>
      </c>
      <c r="N10" t="inlineStr">
        <is>
          <t>Commercial</t>
        </is>
      </c>
      <c r="O10" s="39" t="n">
        <v>304.68</v>
      </c>
    </row>
    <row r="11">
      <c r="A11" t="inlineStr">
        <is>
          <t>ENC110786</t>
        </is>
      </c>
      <c r="B11" t="inlineStr">
        <is>
          <t>PT10725</t>
        </is>
      </c>
      <c r="C11" s="42" t="n">
        <v>45659</v>
      </c>
      <c r="D11" s="42" t="n">
        <v>45659</v>
      </c>
      <c r="E11" s="38" t="n">
        <v>0</v>
      </c>
      <c r="F11" t="inlineStr">
        <is>
          <t>Outpatient</t>
        </is>
      </c>
      <c r="G11" t="inlineStr">
        <is>
          <t>Bluestone Outpatient Pavilion</t>
        </is>
      </c>
      <c r="H11" t="inlineStr">
        <is>
          <t>Pediatric Clinic</t>
        </is>
      </c>
      <c r="I11" t="inlineStr">
        <is>
          <t>Women &amp; Children</t>
        </is>
      </c>
      <c r="J11" t="inlineStr">
        <is>
          <t>Brown, Stephanie</t>
        </is>
      </c>
      <c r="K11" t="inlineStr">
        <is>
          <t>Z23</t>
        </is>
      </c>
      <c r="L11" t="inlineStr">
        <is>
          <t>Factors Influencing Health</t>
        </is>
      </c>
      <c r="M11" t="inlineStr">
        <is>
          <t>State Medicaid</t>
        </is>
      </c>
      <c r="N11" t="inlineStr">
        <is>
          <t>Government</t>
        </is>
      </c>
      <c r="O11" s="39" t="n">
        <v>105.41</v>
      </c>
    </row>
    <row r="12">
      <c r="A12" t="inlineStr">
        <is>
          <t>ENC110790</t>
        </is>
      </c>
      <c r="B12" t="inlineStr">
        <is>
          <t>PT10695</t>
        </is>
      </c>
      <c r="C12" s="42" t="n">
        <v>45659</v>
      </c>
      <c r="D12" s="42" t="n">
        <v>45659</v>
      </c>
      <c r="E12" s="38" t="n">
        <v>0</v>
      </c>
      <c r="F12" t="inlineStr">
        <is>
          <t>Emergency</t>
        </is>
      </c>
      <c r="G12" t="inlineStr">
        <is>
          <t>Cedar Ridge Medical Center</t>
        </is>
      </c>
      <c r="H12" t="inlineStr">
        <is>
          <t>Emergency Department</t>
        </is>
      </c>
      <c r="I12" t="inlineStr">
        <is>
          <t>Emergency</t>
        </is>
      </c>
      <c r="J12" t="inlineStr">
        <is>
          <t>Warren, Victoria</t>
        </is>
      </c>
      <c r="K12" t="inlineStr">
        <is>
          <t>A08.4</t>
        </is>
      </c>
      <c r="L12" t="inlineStr">
        <is>
          <t>Infectious</t>
        </is>
      </c>
      <c r="M12" t="inlineStr">
        <is>
          <t>State Medicaid</t>
        </is>
      </c>
      <c r="N12" t="inlineStr">
        <is>
          <t>Government</t>
        </is>
      </c>
      <c r="O12" s="39" t="n">
        <v>1281.12</v>
      </c>
    </row>
    <row r="13">
      <c r="A13" t="inlineStr">
        <is>
          <t>ENC110791</t>
        </is>
      </c>
      <c r="B13" t="inlineStr">
        <is>
          <t>PT10220</t>
        </is>
      </c>
      <c r="C13" s="42" t="n">
        <v>45659</v>
      </c>
      <c r="D13" s="42" t="n">
        <v>45661</v>
      </c>
      <c r="E13" s="38" t="n">
        <v>2</v>
      </c>
      <c r="F13" t="inlineStr">
        <is>
          <t>Inpatient</t>
        </is>
      </c>
      <c r="G13" t="inlineStr">
        <is>
          <t>Bluestone Memorial Hospital</t>
        </is>
      </c>
      <c r="H13" t="inlineStr">
        <is>
          <t>Cardiac Step-Down</t>
        </is>
      </c>
      <c r="I13" t="inlineStr">
        <is>
          <t>Cardiovascular</t>
        </is>
      </c>
      <c r="J13" t="inlineStr">
        <is>
          <t>Taylor, Jonathan</t>
        </is>
      </c>
      <c r="K13" t="inlineStr">
        <is>
          <t>I48.91</t>
        </is>
      </c>
      <c r="L13" t="inlineStr">
        <is>
          <t>Circulatory</t>
        </is>
      </c>
      <c r="M13" t="inlineStr">
        <is>
          <t>Self-Pay</t>
        </is>
      </c>
      <c r="N13" t="inlineStr">
        <is>
          <t>Self-Pay</t>
        </is>
      </c>
      <c r="O13" s="39" t="n">
        <v>13130.81</v>
      </c>
      <c r="P13" t="inlineStr">
        <is>
          <t>N</t>
        </is>
      </c>
    </row>
    <row r="14">
      <c r="A14" t="inlineStr">
        <is>
          <t>ENC110809</t>
        </is>
      </c>
      <c r="B14" t="inlineStr">
        <is>
          <t>PT12897</t>
        </is>
      </c>
      <c r="C14" s="42" t="n">
        <v>45660</v>
      </c>
      <c r="D14" s="42" t="n">
        <v>45660</v>
      </c>
      <c r="E14" s="38" t="n">
        <v>0</v>
      </c>
      <c r="F14" t="inlineStr">
        <is>
          <t>Emergency</t>
        </is>
      </c>
      <c r="G14" t="inlineStr">
        <is>
          <t>Bluestone Memorial Hospital</t>
        </is>
      </c>
      <c r="H14" t="inlineStr">
        <is>
          <t>Emergency Department</t>
        </is>
      </c>
      <c r="I14" t="inlineStr">
        <is>
          <t>Emergency</t>
        </is>
      </c>
      <c r="J14" t="inlineStr">
        <is>
          <t>Payne, Nancy</t>
        </is>
      </c>
      <c r="K14" t="inlineStr">
        <is>
          <t>J06.9</t>
        </is>
      </c>
      <c r="L14" t="inlineStr">
        <is>
          <t>Respiratory</t>
        </is>
      </c>
      <c r="M14" t="inlineStr">
        <is>
          <t>Medicare</t>
        </is>
      </c>
      <c r="N14" t="inlineStr">
        <is>
          <t>Government</t>
        </is>
      </c>
      <c r="O14" s="39" t="n">
        <v>626.62</v>
      </c>
    </row>
    <row r="15">
      <c r="A15" t="inlineStr">
        <is>
          <t>ENC110812</t>
        </is>
      </c>
      <c r="B15" t="inlineStr">
        <is>
          <t>PT13751</t>
        </is>
      </c>
      <c r="C15" s="42" t="n">
        <v>45660</v>
      </c>
      <c r="D15" s="42" t="n">
        <v>45660</v>
      </c>
      <c r="E15" s="38" t="n">
        <v>0</v>
      </c>
      <c r="F15" t="inlineStr">
        <is>
          <t>Outpatient</t>
        </is>
      </c>
      <c r="G15" t="inlineStr">
        <is>
          <t>Bluestone Outpatient Pavilion</t>
        </is>
      </c>
      <c r="H15" t="inlineStr">
        <is>
          <t>Primary Care Clinic</t>
        </is>
      </c>
      <c r="I15" t="inlineStr">
        <is>
          <t>Ambulatory</t>
        </is>
      </c>
      <c r="J15" t="inlineStr">
        <is>
          <t>Black, Kelly</t>
        </is>
      </c>
      <c r="K15" t="inlineStr">
        <is>
          <t>J06.9</t>
        </is>
      </c>
      <c r="L15" t="inlineStr">
        <is>
          <t>Respiratory</t>
        </is>
      </c>
      <c r="M15" t="inlineStr">
        <is>
          <t>Silverline Medicare Advantage</t>
        </is>
      </c>
      <c r="N15" t="inlineStr">
        <is>
          <t>Medicare Advantage</t>
        </is>
      </c>
      <c r="O15" s="39" t="n">
        <v>354.41</v>
      </c>
    </row>
    <row r="16">
      <c r="A16" t="inlineStr">
        <is>
          <t>ENC110802</t>
        </is>
      </c>
      <c r="B16" t="inlineStr">
        <is>
          <t>PT11756</t>
        </is>
      </c>
      <c r="C16" s="42" t="n">
        <v>45660</v>
      </c>
      <c r="D16" s="42" t="n">
        <v>45665</v>
      </c>
      <c r="E16" s="38" t="n">
        <v>5</v>
      </c>
      <c r="F16" t="inlineStr">
        <is>
          <t>Inpatient</t>
        </is>
      </c>
      <c r="G16" t="inlineStr">
        <is>
          <t>Bluestone Memorial Hospital</t>
        </is>
      </c>
      <c r="H16" t="inlineStr">
        <is>
          <t>Neuroscience &amp; Stroke</t>
        </is>
      </c>
      <c r="I16" t="inlineStr">
        <is>
          <t>Neuroscience</t>
        </is>
      </c>
      <c r="J16" t="inlineStr">
        <is>
          <t>Stone, Frank</t>
        </is>
      </c>
      <c r="K16" t="inlineStr">
        <is>
          <t>I63.9</t>
        </is>
      </c>
      <c r="L16" t="inlineStr">
        <is>
          <t>Circulatory</t>
        </is>
      </c>
      <c r="M16" t="inlineStr">
        <is>
          <t>Keystone Health Partners</t>
        </is>
      </c>
      <c r="N16" t="inlineStr">
        <is>
          <t>Commercial</t>
        </is>
      </c>
      <c r="O16" s="39" t="n">
        <v>29599.26</v>
      </c>
      <c r="P16" t="inlineStr">
        <is>
          <t>N</t>
        </is>
      </c>
    </row>
    <row r="17">
      <c r="A17" t="inlineStr">
        <is>
          <t>ENC110824</t>
        </is>
      </c>
      <c r="B17" t="inlineStr">
        <is>
          <t>PT12546</t>
        </is>
      </c>
      <c r="C17" s="42" t="n">
        <v>45660</v>
      </c>
      <c r="D17" s="42" t="n">
        <v>45660</v>
      </c>
      <c r="E17" s="38" t="n">
        <v>0</v>
      </c>
      <c r="F17" t="inlineStr">
        <is>
          <t>Emergency</t>
        </is>
      </c>
      <c r="G17" t="inlineStr">
        <is>
          <t>Bluestone Memorial Hospital</t>
        </is>
      </c>
      <c r="H17" t="inlineStr">
        <is>
          <t>Emergency Department</t>
        </is>
      </c>
      <c r="I17" t="inlineStr">
        <is>
          <t>Emergency</t>
        </is>
      </c>
      <c r="J17" t="inlineStr">
        <is>
          <t>Ferguson, Roy</t>
        </is>
      </c>
      <c r="K17" t="inlineStr">
        <is>
          <t>A08.4</t>
        </is>
      </c>
      <c r="L17" t="inlineStr">
        <is>
          <t>Infectious</t>
        </is>
      </c>
      <c r="M17" t="inlineStr">
        <is>
          <t>Keystone Health Partners</t>
        </is>
      </c>
      <c r="N17" t="inlineStr">
        <is>
          <t>Commercial</t>
        </is>
      </c>
      <c r="O17" s="39" t="n">
        <v>1382.13</v>
      </c>
    </row>
    <row r="18">
      <c r="A18" t="inlineStr">
        <is>
          <t>ENC110834</t>
        </is>
      </c>
      <c r="B18" t="inlineStr">
        <is>
          <t>PT11715</t>
        </is>
      </c>
      <c r="C18" s="42" t="n">
        <v>45660</v>
      </c>
      <c r="D18" s="42" t="n">
        <v>45661</v>
      </c>
      <c r="E18" s="38" t="n">
        <v>1</v>
      </c>
      <c r="F18" t="inlineStr">
        <is>
          <t>Emergency</t>
        </is>
      </c>
      <c r="G18" t="inlineStr">
        <is>
          <t>Bluestone Memorial Hospital</t>
        </is>
      </c>
      <c r="H18" t="inlineStr">
        <is>
          <t>Emergency Department</t>
        </is>
      </c>
      <c r="I18" t="inlineStr">
        <is>
          <t>Emergency</t>
        </is>
      </c>
      <c r="J18" t="inlineStr">
        <is>
          <t>Ferguson, Roy</t>
        </is>
      </c>
      <c r="K18" t="inlineStr">
        <is>
          <t>G40.909</t>
        </is>
      </c>
      <c r="L18" t="inlineStr">
        <is>
          <t>Nervous System</t>
        </is>
      </c>
      <c r="M18" t="inlineStr">
        <is>
          <t>Keystone Health Partners</t>
        </is>
      </c>
      <c r="N18" t="inlineStr">
        <is>
          <t>Commercial</t>
        </is>
      </c>
      <c r="O18" s="39" t="n">
        <v>2932.16</v>
      </c>
    </row>
    <row r="19">
      <c r="A19" t="inlineStr">
        <is>
          <t>ENC110836</t>
        </is>
      </c>
      <c r="B19" t="inlineStr">
        <is>
          <t>PT10362</t>
        </is>
      </c>
      <c r="C19" s="42" t="n">
        <v>45660</v>
      </c>
      <c r="D19" s="42" t="n">
        <v>45660</v>
      </c>
      <c r="E19" s="38" t="n">
        <v>0</v>
      </c>
      <c r="F19" t="inlineStr">
        <is>
          <t>Emergency</t>
        </is>
      </c>
      <c r="G19" t="inlineStr">
        <is>
          <t>Bluestone Memorial Hospital</t>
        </is>
      </c>
      <c r="H19" t="inlineStr">
        <is>
          <t>Emergency Department</t>
        </is>
      </c>
      <c r="I19" t="inlineStr">
        <is>
          <t>Emergency</t>
        </is>
      </c>
      <c r="J19" t="inlineStr">
        <is>
          <t>Mendoza, Alexander</t>
        </is>
      </c>
      <c r="K19" t="inlineStr">
        <is>
          <t>M54.50</t>
        </is>
      </c>
      <c r="L19" t="inlineStr">
        <is>
          <t>Musculoskeletal</t>
        </is>
      </c>
      <c r="M19" t="inlineStr">
        <is>
          <t>State Medicaid</t>
        </is>
      </c>
      <c r="N19" t="inlineStr">
        <is>
          <t>Government</t>
        </is>
      </c>
      <c r="O19" s="39" t="n">
        <v>1152</v>
      </c>
    </row>
    <row r="20">
      <c r="A20" t="inlineStr">
        <is>
          <t>ENC110833</t>
        </is>
      </c>
      <c r="B20" t="inlineStr">
        <is>
          <t>PT12745</t>
        </is>
      </c>
      <c r="C20" s="42" t="n">
        <v>45660</v>
      </c>
      <c r="D20" s="42" t="n">
        <v>45665</v>
      </c>
      <c r="E20" s="38" t="n">
        <v>5</v>
      </c>
      <c r="F20" t="inlineStr">
        <is>
          <t>Inpatient</t>
        </is>
      </c>
      <c r="G20" t="inlineStr">
        <is>
          <t>Bluestone Memorial Hospital</t>
        </is>
      </c>
      <c r="H20" t="inlineStr">
        <is>
          <t>Medical-Surgical 4 West</t>
        </is>
      </c>
      <c r="I20" t="inlineStr">
        <is>
          <t>Medicine</t>
        </is>
      </c>
      <c r="J20" t="inlineStr">
        <is>
          <t>Cox, Judith</t>
        </is>
      </c>
      <c r="K20" t="inlineStr">
        <is>
          <t>J96.01</t>
        </is>
      </c>
      <c r="L20" t="inlineStr">
        <is>
          <t>Respiratory</t>
        </is>
      </c>
      <c r="M20" t="inlineStr">
        <is>
          <t>Medicare</t>
        </is>
      </c>
      <c r="N20" t="inlineStr">
        <is>
          <t>Government</t>
        </is>
      </c>
      <c r="O20" s="39" t="n">
        <v>48858.56</v>
      </c>
      <c r="P20" t="inlineStr">
        <is>
          <t>N</t>
        </is>
      </c>
    </row>
    <row r="21">
      <c r="A21" t="inlineStr">
        <is>
          <t>ENC110848</t>
        </is>
      </c>
      <c r="B21" t="inlineStr">
        <is>
          <t>PT12991</t>
        </is>
      </c>
      <c r="C21" s="42" t="n">
        <v>45661</v>
      </c>
      <c r="D21" s="42" t="n">
        <v>45668</v>
      </c>
      <c r="E21" s="38" t="n">
        <v>7</v>
      </c>
      <c r="F21" t="inlineStr">
        <is>
          <t>Inpatient</t>
        </is>
      </c>
      <c r="G21" t="inlineStr">
        <is>
          <t>Bluestone Memorial Hospital</t>
        </is>
      </c>
      <c r="H21" t="inlineStr">
        <is>
          <t>Intensive Care Unit</t>
        </is>
      </c>
      <c r="I21" t="inlineStr">
        <is>
          <t>Critical Care</t>
        </is>
      </c>
      <c r="J21" t="inlineStr">
        <is>
          <t>Allen, Grace</t>
        </is>
      </c>
      <c r="K21" t="inlineStr">
        <is>
          <t>A41.9</t>
        </is>
      </c>
      <c r="L21" t="inlineStr">
        <is>
          <t>Infectious</t>
        </is>
      </c>
      <c r="M21" t="inlineStr">
        <is>
          <t>Medicare</t>
        </is>
      </c>
      <c r="N21" t="inlineStr">
        <is>
          <t>Government</t>
        </is>
      </c>
      <c r="O21" s="39" t="n">
        <v>67153.41</v>
      </c>
      <c r="P21" t="inlineStr">
        <is>
          <t>N</t>
        </is>
      </c>
    </row>
    <row r="22">
      <c r="A22" t="inlineStr">
        <is>
          <t>ENC110849</t>
        </is>
      </c>
      <c r="B22" t="inlineStr">
        <is>
          <t>PT11023</t>
        </is>
      </c>
      <c r="C22" s="42" t="n">
        <v>45661</v>
      </c>
      <c r="D22" s="42" t="n">
        <v>45662</v>
      </c>
      <c r="E22" s="38" t="n">
        <v>1</v>
      </c>
      <c r="F22" t="inlineStr">
        <is>
          <t>Observation</t>
        </is>
      </c>
      <c r="G22" t="inlineStr">
        <is>
          <t>Ashby Falls Community Hospital</t>
        </is>
      </c>
      <c r="H22" t="inlineStr">
        <is>
          <t>Medical-Surgical</t>
        </is>
      </c>
      <c r="I22" t="inlineStr">
        <is>
          <t>Medicine</t>
        </is>
      </c>
      <c r="J22" t="inlineStr">
        <is>
          <t>Carroll, Philip</t>
        </is>
      </c>
      <c r="K22" t="inlineStr">
        <is>
          <t>J44.1</t>
        </is>
      </c>
      <c r="L22" t="inlineStr">
        <is>
          <t>Respiratory</t>
        </is>
      </c>
      <c r="M22" t="inlineStr">
        <is>
          <t>Medicare</t>
        </is>
      </c>
      <c r="N22" t="inlineStr">
        <is>
          <t>Government</t>
        </is>
      </c>
      <c r="O22" s="39" t="n">
        <v>4865.67</v>
      </c>
    </row>
    <row r="23">
      <c r="A23" t="inlineStr">
        <is>
          <t>ENC110859</t>
        </is>
      </c>
      <c r="B23" t="inlineStr">
        <is>
          <t>PT11553</t>
        </is>
      </c>
      <c r="C23" s="42" t="n">
        <v>45662</v>
      </c>
      <c r="D23" s="42" t="n">
        <v>45662</v>
      </c>
      <c r="E23" s="38" t="n">
        <v>0</v>
      </c>
      <c r="F23" t="inlineStr">
        <is>
          <t>Emergency</t>
        </is>
      </c>
      <c r="G23" t="inlineStr">
        <is>
          <t>Bluestone Memorial Hospital</t>
        </is>
      </c>
      <c r="H23" t="inlineStr">
        <is>
          <t>Emergency Department</t>
        </is>
      </c>
      <c r="I23" t="inlineStr">
        <is>
          <t>Emergency</t>
        </is>
      </c>
      <c r="J23" t="inlineStr">
        <is>
          <t>Foster, Patrick</t>
        </is>
      </c>
      <c r="K23" t="inlineStr">
        <is>
          <t>A08.4</t>
        </is>
      </c>
      <c r="L23" t="inlineStr">
        <is>
          <t>Infectious</t>
        </is>
      </c>
      <c r="M23" t="inlineStr">
        <is>
          <t>Evergreen Mutual Insurance</t>
        </is>
      </c>
      <c r="N23" t="inlineStr">
        <is>
          <t>Commercial</t>
        </is>
      </c>
      <c r="O23" s="39" t="n">
        <v>2845.54</v>
      </c>
    </row>
    <row r="24">
      <c r="A24" t="inlineStr">
        <is>
          <t>ENC110860</t>
        </is>
      </c>
      <c r="B24" t="inlineStr">
        <is>
          <t>PT11095</t>
        </is>
      </c>
      <c r="C24" s="42" t="n">
        <v>45662</v>
      </c>
      <c r="D24" s="42" t="n">
        <v>45662</v>
      </c>
      <c r="E24" s="38" t="n">
        <v>0</v>
      </c>
      <c r="F24" t="inlineStr">
        <is>
          <t>Emergency</t>
        </is>
      </c>
      <c r="G24" t="inlineStr">
        <is>
          <t>Bluestone Memorial Hospital</t>
        </is>
      </c>
      <c r="H24" t="inlineStr">
        <is>
          <t>Emergency Department</t>
        </is>
      </c>
      <c r="I24" t="inlineStr">
        <is>
          <t>Emergency</t>
        </is>
      </c>
      <c r="J24" t="inlineStr">
        <is>
          <t>Elliott, Jesse</t>
        </is>
      </c>
      <c r="K24" t="inlineStr">
        <is>
          <t>J44.1</t>
        </is>
      </c>
      <c r="L24" t="inlineStr">
        <is>
          <t>Respiratory</t>
        </is>
      </c>
      <c r="M24" t="inlineStr">
        <is>
          <t>Summit Choice PPO</t>
        </is>
      </c>
      <c r="N24" t="inlineStr">
        <is>
          <t>Commercial</t>
        </is>
      </c>
      <c r="O24" s="39" t="n">
        <v>2419.78</v>
      </c>
    </row>
    <row r="25">
      <c r="A25" t="inlineStr">
        <is>
          <t>ENC110865</t>
        </is>
      </c>
      <c r="B25" t="inlineStr">
        <is>
          <t>PT13499</t>
        </is>
      </c>
      <c r="C25" s="42" t="n">
        <v>45662</v>
      </c>
      <c r="D25" s="42" t="n">
        <v>45667</v>
      </c>
      <c r="E25" s="38" t="n">
        <v>5</v>
      </c>
      <c r="F25" t="inlineStr">
        <is>
          <t>Inpatient</t>
        </is>
      </c>
      <c r="G25" t="inlineStr">
        <is>
          <t>Ashby Falls Community Hospital</t>
        </is>
      </c>
      <c r="H25" t="inlineStr">
        <is>
          <t>Medical-Surgical</t>
        </is>
      </c>
      <c r="I25" t="inlineStr">
        <is>
          <t>Medicine</t>
        </is>
      </c>
      <c r="J25" t="inlineStr">
        <is>
          <t>Murray, Stephanie</t>
        </is>
      </c>
      <c r="K25" t="inlineStr">
        <is>
          <t>I50.9</t>
        </is>
      </c>
      <c r="L25" t="inlineStr">
        <is>
          <t>Circulatory</t>
        </is>
      </c>
      <c r="M25" t="inlineStr">
        <is>
          <t>Medicare</t>
        </is>
      </c>
      <c r="N25" t="inlineStr">
        <is>
          <t>Government</t>
        </is>
      </c>
      <c r="O25" s="39" t="n">
        <v>38855.89</v>
      </c>
      <c r="P25" t="inlineStr">
        <is>
          <t>N</t>
        </is>
      </c>
    </row>
    <row r="26">
      <c r="A26" t="inlineStr">
        <is>
          <t>ENC110871</t>
        </is>
      </c>
      <c r="B26" t="inlineStr">
        <is>
          <t>PT13276</t>
        </is>
      </c>
      <c r="C26" s="42" t="n">
        <v>45662</v>
      </c>
      <c r="D26" s="42" t="n">
        <v>45662</v>
      </c>
      <c r="E26" s="38" t="n">
        <v>0</v>
      </c>
      <c r="F26" t="inlineStr">
        <is>
          <t>Emergency</t>
        </is>
      </c>
      <c r="G26" t="inlineStr">
        <is>
          <t>Bluestone Memorial Hospital</t>
        </is>
      </c>
      <c r="H26" t="inlineStr">
        <is>
          <t>Emergency Department</t>
        </is>
      </c>
      <c r="I26" t="inlineStr">
        <is>
          <t>Emergency</t>
        </is>
      </c>
      <c r="J26" t="inlineStr">
        <is>
          <t>Mendoza, Alexander</t>
        </is>
      </c>
      <c r="K26" t="inlineStr">
        <is>
          <t>J21.9</t>
        </is>
      </c>
      <c r="L26" t="inlineStr">
        <is>
          <t>Respiratory</t>
        </is>
      </c>
      <c r="M26" t="inlineStr">
        <is>
          <t>Keystone Health Partners</t>
        </is>
      </c>
      <c r="N26" t="inlineStr">
        <is>
          <t>Commercial</t>
        </is>
      </c>
      <c r="O26" s="39" t="n">
        <v>5712.21</v>
      </c>
    </row>
    <row r="27">
      <c r="A27" t="inlineStr">
        <is>
          <t>ENC110875</t>
        </is>
      </c>
      <c r="B27" t="inlineStr">
        <is>
          <t>PT10538</t>
        </is>
      </c>
      <c r="C27" s="42" t="n">
        <v>45662</v>
      </c>
      <c r="D27" s="42" t="n">
        <v>45663</v>
      </c>
      <c r="E27" s="38" t="n">
        <v>1</v>
      </c>
      <c r="F27" t="inlineStr">
        <is>
          <t>Emergency</t>
        </is>
      </c>
      <c r="G27" t="inlineStr">
        <is>
          <t>Bluestone Memorial Hospital</t>
        </is>
      </c>
      <c r="H27" t="inlineStr">
        <is>
          <t>Emergency Department</t>
        </is>
      </c>
      <c r="I27" t="inlineStr">
        <is>
          <t>Emergency</t>
        </is>
      </c>
      <c r="J27" t="inlineStr">
        <is>
          <t>Ferguson, Roy</t>
        </is>
      </c>
      <c r="K27" t="inlineStr">
        <is>
          <t>J45.909</t>
        </is>
      </c>
      <c r="L27" t="inlineStr">
        <is>
          <t>Respiratory</t>
        </is>
      </c>
      <c r="M27" t="inlineStr">
        <is>
          <t>Evergreen Mutual Insurance</t>
        </is>
      </c>
      <c r="N27" t="inlineStr">
        <is>
          <t>Commercial</t>
        </is>
      </c>
      <c r="O27" s="39" t="n">
        <v>1629.66</v>
      </c>
    </row>
    <row r="28">
      <c r="A28" t="inlineStr">
        <is>
          <t>ENC110891</t>
        </is>
      </c>
      <c r="B28" t="inlineStr">
        <is>
          <t>PT11812</t>
        </is>
      </c>
      <c r="C28" s="42" t="n">
        <v>45663</v>
      </c>
      <c r="D28" s="42" t="n">
        <v>45668</v>
      </c>
      <c r="E28" s="38" t="n">
        <v>5</v>
      </c>
      <c r="F28" t="inlineStr">
        <is>
          <t>Inpatient</t>
        </is>
      </c>
      <c r="G28" t="inlineStr">
        <is>
          <t>Bluestone Memorial Hospital</t>
        </is>
      </c>
      <c r="H28" t="inlineStr">
        <is>
          <t>Oncology</t>
        </is>
      </c>
      <c r="I28" t="inlineStr">
        <is>
          <t>Oncology</t>
        </is>
      </c>
      <c r="J28" t="inlineStr">
        <is>
          <t>Gray, Fatima</t>
        </is>
      </c>
      <c r="K28" t="inlineStr">
        <is>
          <t>C34.90</t>
        </is>
      </c>
      <c r="L28" t="inlineStr">
        <is>
          <t>Neoplasms</t>
        </is>
      </c>
      <c r="M28" t="inlineStr">
        <is>
          <t>Silverline Medicare Advantage</t>
        </is>
      </c>
      <c r="N28" t="inlineStr">
        <is>
          <t>Medicare Advantage</t>
        </is>
      </c>
      <c r="O28" s="39" t="n">
        <v>23337.44</v>
      </c>
      <c r="P28" t="inlineStr">
        <is>
          <t>N</t>
        </is>
      </c>
    </row>
    <row r="29">
      <c r="A29" t="inlineStr">
        <is>
          <t>ENC110907</t>
        </is>
      </c>
      <c r="B29" t="inlineStr">
        <is>
          <t>PT13678</t>
        </is>
      </c>
      <c r="C29" s="42" t="n">
        <v>45663</v>
      </c>
      <c r="D29" s="42" t="n">
        <v>45663</v>
      </c>
      <c r="E29" s="38" t="n">
        <v>0</v>
      </c>
      <c r="F29" t="inlineStr">
        <is>
          <t>Outpatient</t>
        </is>
      </c>
      <c r="G29" t="inlineStr">
        <is>
          <t>Bluestone Outpatient Pavilion</t>
        </is>
      </c>
      <c r="H29" t="inlineStr">
        <is>
          <t>Primary Care Clinic</t>
        </is>
      </c>
      <c r="I29" t="inlineStr">
        <is>
          <t>Ambulatory</t>
        </is>
      </c>
      <c r="J29" t="inlineStr">
        <is>
          <t>Torres, Rebecca</t>
        </is>
      </c>
      <c r="K29" t="inlineStr">
        <is>
          <t>I10</t>
        </is>
      </c>
      <c r="L29" t="inlineStr">
        <is>
          <t>Circulatory</t>
        </is>
      </c>
      <c r="M29" t="inlineStr">
        <is>
          <t>Silverline Medicare Advantage</t>
        </is>
      </c>
      <c r="N29" t="inlineStr">
        <is>
          <t>Medicare Advantage</t>
        </is>
      </c>
      <c r="O29" s="39" t="n">
        <v>440.68</v>
      </c>
    </row>
    <row r="30">
      <c r="A30" t="inlineStr">
        <is>
          <t>ENC110912</t>
        </is>
      </c>
      <c r="B30" t="inlineStr">
        <is>
          <t>PT12444</t>
        </is>
      </c>
      <c r="C30" s="42" t="n">
        <v>45663</v>
      </c>
      <c r="D30" s="42" t="n">
        <v>45663</v>
      </c>
      <c r="E30" s="38" t="n">
        <v>0</v>
      </c>
      <c r="F30" t="inlineStr">
        <is>
          <t>Emergency</t>
        </is>
      </c>
      <c r="G30" t="inlineStr">
        <is>
          <t>Bluestone Memorial Hospital</t>
        </is>
      </c>
      <c r="H30" t="inlineStr">
        <is>
          <t>Emergency Department</t>
        </is>
      </c>
      <c r="I30" t="inlineStr">
        <is>
          <t>Emergency</t>
        </is>
      </c>
      <c r="J30" t="inlineStr">
        <is>
          <t>Morris, Jordan</t>
        </is>
      </c>
      <c r="K30" t="inlineStr">
        <is>
          <t>R07.9</t>
        </is>
      </c>
      <c r="L30" t="inlineStr">
        <is>
          <t>Symptoms &amp; Signs</t>
        </is>
      </c>
      <c r="M30" t="inlineStr">
        <is>
          <t>Keystone Health Partners</t>
        </is>
      </c>
      <c r="N30" t="inlineStr">
        <is>
          <t>Commercial</t>
        </is>
      </c>
      <c r="O30" s="39" t="n">
        <v>2542.05</v>
      </c>
    </row>
    <row r="31">
      <c r="A31" t="inlineStr">
        <is>
          <t>ENC110913</t>
        </is>
      </c>
      <c r="B31" t="inlineStr">
        <is>
          <t>PT13044</t>
        </is>
      </c>
      <c r="C31" s="42" t="n">
        <v>45663</v>
      </c>
      <c r="D31" s="42" t="n">
        <v>45663</v>
      </c>
      <c r="E31" s="38" t="n">
        <v>0</v>
      </c>
      <c r="F31" t="inlineStr">
        <is>
          <t>Emergency</t>
        </is>
      </c>
      <c r="G31" t="inlineStr">
        <is>
          <t>Bluestone Memorial Hospital</t>
        </is>
      </c>
      <c r="H31" t="inlineStr">
        <is>
          <t>Emergency Department</t>
        </is>
      </c>
      <c r="I31" t="inlineStr">
        <is>
          <t>Emergency</t>
        </is>
      </c>
      <c r="J31" t="inlineStr">
        <is>
          <t>Cruz, Mia</t>
        </is>
      </c>
      <c r="K31" t="inlineStr">
        <is>
          <t>J06.9</t>
        </is>
      </c>
      <c r="L31" t="inlineStr">
        <is>
          <t>Respiratory</t>
        </is>
      </c>
      <c r="M31" t="inlineStr">
        <is>
          <t>State Medicaid</t>
        </is>
      </c>
      <c r="N31" t="inlineStr">
        <is>
          <t>Government</t>
        </is>
      </c>
      <c r="O31" s="39" t="n">
        <v>1570.3</v>
      </c>
    </row>
    <row r="32">
      <c r="A32" t="inlineStr">
        <is>
          <t>ENC110930</t>
        </is>
      </c>
      <c r="B32" t="inlineStr">
        <is>
          <t>PT13132</t>
        </is>
      </c>
      <c r="C32" s="42" t="n">
        <v>45664</v>
      </c>
      <c r="D32" s="42" t="n">
        <v>45664</v>
      </c>
      <c r="E32" s="38" t="n">
        <v>0</v>
      </c>
      <c r="F32" t="inlineStr">
        <is>
          <t>Outpatient</t>
        </is>
      </c>
      <c r="G32" t="inlineStr">
        <is>
          <t>Bluestone Outpatient Pavilion</t>
        </is>
      </c>
      <c r="H32" t="inlineStr">
        <is>
          <t>Endocrinology &amp; Diabetes Clinic</t>
        </is>
      </c>
      <c r="I32" t="inlineStr">
        <is>
          <t>Ambulatory</t>
        </is>
      </c>
      <c r="J32" t="inlineStr">
        <is>
          <t>Woods, Larry</t>
        </is>
      </c>
      <c r="K32" t="inlineStr">
        <is>
          <t>E11.65</t>
        </is>
      </c>
      <c r="L32" t="inlineStr">
        <is>
          <t>Endocrine</t>
        </is>
      </c>
      <c r="M32" t="inlineStr">
        <is>
          <t>Keystone Health Partners</t>
        </is>
      </c>
      <c r="N32" t="inlineStr">
        <is>
          <t>Commercial</t>
        </is>
      </c>
      <c r="O32" s="39" t="n">
        <v>353.05</v>
      </c>
    </row>
    <row r="33">
      <c r="A33" t="inlineStr">
        <is>
          <t>ENC110931</t>
        </is>
      </c>
      <c r="B33" t="inlineStr">
        <is>
          <t>PT11689</t>
        </is>
      </c>
      <c r="C33" s="42" t="n">
        <v>45664</v>
      </c>
      <c r="D33" s="42" t="n">
        <v>45664</v>
      </c>
      <c r="E33" s="38" t="n">
        <v>0</v>
      </c>
      <c r="F33" t="inlineStr">
        <is>
          <t>Outpatient</t>
        </is>
      </c>
      <c r="G33" t="inlineStr">
        <is>
          <t>Bluestone Outpatient Pavilion</t>
        </is>
      </c>
      <c r="H33" t="inlineStr">
        <is>
          <t>Primary Care Clinic</t>
        </is>
      </c>
      <c r="I33" t="inlineStr">
        <is>
          <t>Ambulatory</t>
        </is>
      </c>
      <c r="J33" t="inlineStr">
        <is>
          <t>Santos, Edward</t>
        </is>
      </c>
      <c r="K33" t="inlineStr">
        <is>
          <t>J06.9</t>
        </is>
      </c>
      <c r="L33" t="inlineStr">
        <is>
          <t>Respiratory</t>
        </is>
      </c>
      <c r="M33" t="inlineStr">
        <is>
          <t>Medicare</t>
        </is>
      </c>
      <c r="N33" t="inlineStr">
        <is>
          <t>Government</t>
        </is>
      </c>
      <c r="O33" s="39" t="n">
        <v>160.68</v>
      </c>
    </row>
    <row r="34">
      <c r="A34" t="inlineStr">
        <is>
          <t>ENC110934</t>
        </is>
      </c>
      <c r="B34" t="inlineStr">
        <is>
          <t>PT12854</t>
        </is>
      </c>
      <c r="C34" s="42" t="n">
        <v>45664</v>
      </c>
      <c r="D34" s="42" t="n">
        <v>45664</v>
      </c>
      <c r="E34" s="38" t="n">
        <v>0</v>
      </c>
      <c r="F34" t="inlineStr">
        <is>
          <t>Outpatient</t>
        </is>
      </c>
      <c r="G34" t="inlineStr">
        <is>
          <t>Bluestone Outpatient Pavilion</t>
        </is>
      </c>
      <c r="H34" t="inlineStr">
        <is>
          <t>Infusion &amp; Oncology Clinic</t>
        </is>
      </c>
      <c r="I34" t="inlineStr">
        <is>
          <t>Oncology</t>
        </is>
      </c>
      <c r="J34" t="inlineStr">
        <is>
          <t>Robinson, Bradley</t>
        </is>
      </c>
      <c r="K34" t="inlineStr">
        <is>
          <t>Z51.11</t>
        </is>
      </c>
      <c r="L34" t="inlineStr">
        <is>
          <t>Factors Influencing Health</t>
        </is>
      </c>
      <c r="M34" t="inlineStr">
        <is>
          <t>Silverline Medicare Advantage</t>
        </is>
      </c>
      <c r="N34" t="inlineStr">
        <is>
          <t>Medicare Advantage</t>
        </is>
      </c>
      <c r="O34" s="39" t="n">
        <v>5105.42</v>
      </c>
    </row>
    <row r="35">
      <c r="A35" t="inlineStr">
        <is>
          <t>ENC110939</t>
        </is>
      </c>
      <c r="B35" t="inlineStr">
        <is>
          <t>PT13437</t>
        </is>
      </c>
      <c r="C35" s="42" t="n">
        <v>45664</v>
      </c>
      <c r="D35" s="42" t="n">
        <v>45664</v>
      </c>
      <c r="E35" s="38" t="n">
        <v>0</v>
      </c>
      <c r="F35" t="inlineStr">
        <is>
          <t>Emergency</t>
        </is>
      </c>
      <c r="G35" t="inlineStr">
        <is>
          <t>Bluestone Memorial Hospital</t>
        </is>
      </c>
      <c r="H35" t="inlineStr">
        <is>
          <t>Emergency Department</t>
        </is>
      </c>
      <c r="I35" t="inlineStr">
        <is>
          <t>Emergency</t>
        </is>
      </c>
      <c r="J35" t="inlineStr">
        <is>
          <t>Olson, Christian</t>
        </is>
      </c>
      <c r="K35" t="inlineStr">
        <is>
          <t>J45.909</t>
        </is>
      </c>
      <c r="L35" t="inlineStr">
        <is>
          <t>Respiratory</t>
        </is>
      </c>
      <c r="M35" t="inlineStr">
        <is>
          <t>Evergreen Mutual Insurance</t>
        </is>
      </c>
      <c r="N35" t="inlineStr">
        <is>
          <t>Commercial</t>
        </is>
      </c>
      <c r="O35" s="39" t="n">
        <v>599.01</v>
      </c>
    </row>
    <row r="36">
      <c r="A36" t="inlineStr">
        <is>
          <t>ENC110946</t>
        </is>
      </c>
      <c r="B36" t="inlineStr">
        <is>
          <t>PT13320</t>
        </is>
      </c>
      <c r="C36" s="42" t="n">
        <v>45664</v>
      </c>
      <c r="D36" s="42" t="n">
        <v>45664</v>
      </c>
      <c r="E36" s="38" t="n">
        <v>0</v>
      </c>
      <c r="F36" t="inlineStr">
        <is>
          <t>Outpatient</t>
        </is>
      </c>
      <c r="G36" t="inlineStr">
        <is>
          <t>Bluestone Outpatient Pavilion</t>
        </is>
      </c>
      <c r="H36" t="inlineStr">
        <is>
          <t>Primary Care Clinic</t>
        </is>
      </c>
      <c r="I36" t="inlineStr">
        <is>
          <t>Ambulatory</t>
        </is>
      </c>
      <c r="J36" t="inlineStr">
        <is>
          <t>Black, Nancy</t>
        </is>
      </c>
      <c r="K36" t="inlineStr">
        <is>
          <t>E78.5</t>
        </is>
      </c>
      <c r="L36" t="inlineStr">
        <is>
          <t>Endocrine</t>
        </is>
      </c>
      <c r="M36" t="inlineStr">
        <is>
          <t>Silverline Medicare Advantage</t>
        </is>
      </c>
      <c r="N36" t="inlineStr">
        <is>
          <t>Medicare Advantage</t>
        </is>
      </c>
      <c r="O36" s="39" t="n">
        <v>232.12</v>
      </c>
    </row>
    <row r="37">
      <c r="A37" t="inlineStr">
        <is>
          <t>ENC110949</t>
        </is>
      </c>
      <c r="B37" t="inlineStr">
        <is>
          <t>PT11320</t>
        </is>
      </c>
      <c r="C37" s="42" t="n">
        <v>45664</v>
      </c>
      <c r="D37" s="42" t="n">
        <v>45664</v>
      </c>
      <c r="E37" s="38" t="n">
        <v>0</v>
      </c>
      <c r="F37" t="inlineStr">
        <is>
          <t>Outpatient</t>
        </is>
      </c>
      <c r="G37" t="inlineStr">
        <is>
          <t>Bluestone Outpatient Pavilion</t>
        </is>
      </c>
      <c r="H37" t="inlineStr">
        <is>
          <t>Infusion &amp; Oncology Clinic</t>
        </is>
      </c>
      <c r="I37" t="inlineStr">
        <is>
          <t>Oncology</t>
        </is>
      </c>
      <c r="J37" t="inlineStr">
        <is>
          <t>Cooper, Logan</t>
        </is>
      </c>
      <c r="K37" t="inlineStr">
        <is>
          <t>Z51.11</t>
        </is>
      </c>
      <c r="L37" t="inlineStr">
        <is>
          <t>Factors Influencing Health</t>
        </is>
      </c>
      <c r="M37" t="inlineStr">
        <is>
          <t>Medicare</t>
        </is>
      </c>
      <c r="N37" t="inlineStr">
        <is>
          <t>Government</t>
        </is>
      </c>
      <c r="O37" s="39" t="n">
        <v>11341.4</v>
      </c>
    </row>
    <row r="38">
      <c r="A38" t="inlineStr">
        <is>
          <t>ENC110953</t>
        </is>
      </c>
      <c r="B38" t="inlineStr">
        <is>
          <t>PT10534</t>
        </is>
      </c>
      <c r="C38" s="42" t="n">
        <v>45664</v>
      </c>
      <c r="D38" s="42" t="n">
        <v>45668</v>
      </c>
      <c r="E38" s="38" t="n">
        <v>4</v>
      </c>
      <c r="F38" t="inlineStr">
        <is>
          <t>Inpatient</t>
        </is>
      </c>
      <c r="G38" t="inlineStr">
        <is>
          <t>Ashby Falls Community Hospital</t>
        </is>
      </c>
      <c r="H38" t="inlineStr">
        <is>
          <t>Medical-Surgical</t>
        </is>
      </c>
      <c r="I38" t="inlineStr">
        <is>
          <t>Medicine</t>
        </is>
      </c>
      <c r="J38" t="inlineStr">
        <is>
          <t>Murray, Stephanie</t>
        </is>
      </c>
      <c r="K38" t="inlineStr">
        <is>
          <t>L03.115</t>
        </is>
      </c>
      <c r="L38" t="inlineStr">
        <is>
          <t>Skin</t>
        </is>
      </c>
      <c r="M38" t="inlineStr">
        <is>
          <t>Evergreen Mutual Insurance</t>
        </is>
      </c>
      <c r="N38" t="inlineStr">
        <is>
          <t>Commercial</t>
        </is>
      </c>
      <c r="O38" s="39" t="n">
        <v>16335.56</v>
      </c>
      <c r="P38" t="inlineStr">
        <is>
          <t>N</t>
        </is>
      </c>
    </row>
    <row r="39">
      <c r="A39" t="inlineStr">
        <is>
          <t>ENC110956</t>
        </is>
      </c>
      <c r="B39" t="inlineStr">
        <is>
          <t>PT13707</t>
        </is>
      </c>
      <c r="C39" s="42" t="n">
        <v>45664</v>
      </c>
      <c r="D39" s="42" t="n">
        <v>45664</v>
      </c>
      <c r="E39" s="38" t="n">
        <v>0</v>
      </c>
      <c r="F39" t="inlineStr">
        <is>
          <t>Emergency</t>
        </is>
      </c>
      <c r="G39" t="inlineStr">
        <is>
          <t>Bluestone Memorial Hospital</t>
        </is>
      </c>
      <c r="H39" t="inlineStr">
        <is>
          <t>Emergency Department</t>
        </is>
      </c>
      <c r="I39" t="inlineStr">
        <is>
          <t>Emergency</t>
        </is>
      </c>
      <c r="J39" t="inlineStr">
        <is>
          <t>Sullivan, Jacob</t>
        </is>
      </c>
      <c r="K39" t="inlineStr">
        <is>
          <t>J45.909</t>
        </is>
      </c>
      <c r="L39" t="inlineStr">
        <is>
          <t>Respiratory</t>
        </is>
      </c>
      <c r="M39" t="inlineStr">
        <is>
          <t>State Medicaid</t>
        </is>
      </c>
      <c r="N39" t="inlineStr">
        <is>
          <t>Government</t>
        </is>
      </c>
      <c r="O39" s="39" t="n">
        <v>8267.809999999999</v>
      </c>
    </row>
    <row r="40">
      <c r="A40" t="inlineStr">
        <is>
          <t>ENC110961</t>
        </is>
      </c>
      <c r="B40" t="inlineStr">
        <is>
          <t>PT11125</t>
        </is>
      </c>
      <c r="C40" s="42" t="n">
        <v>45664</v>
      </c>
      <c r="D40" s="42" t="n">
        <v>45664</v>
      </c>
      <c r="E40" s="38" t="n">
        <v>0</v>
      </c>
      <c r="F40" t="inlineStr">
        <is>
          <t>Emergency</t>
        </is>
      </c>
      <c r="G40" t="inlineStr">
        <is>
          <t>Bluestone Memorial Hospital</t>
        </is>
      </c>
      <c r="H40" t="inlineStr">
        <is>
          <t>Emergency Department</t>
        </is>
      </c>
      <c r="I40" t="inlineStr">
        <is>
          <t>Emergency</t>
        </is>
      </c>
      <c r="J40" t="inlineStr">
        <is>
          <t>Mendoza, Alexander</t>
        </is>
      </c>
      <c r="K40" t="inlineStr">
        <is>
          <t>J06.9</t>
        </is>
      </c>
      <c r="L40" t="inlineStr">
        <is>
          <t>Respiratory</t>
        </is>
      </c>
      <c r="M40" t="inlineStr">
        <is>
          <t>Silverline Medicare Advantage</t>
        </is>
      </c>
      <c r="N40" t="inlineStr">
        <is>
          <t>Medicare Advantage</t>
        </is>
      </c>
      <c r="O40" s="39" t="n">
        <v>1141.91</v>
      </c>
    </row>
    <row r="41">
      <c r="A41" t="inlineStr">
        <is>
          <t>ENC110970</t>
        </is>
      </c>
      <c r="B41" t="inlineStr">
        <is>
          <t>PT11488</t>
        </is>
      </c>
      <c r="C41" s="42" t="n">
        <v>45665</v>
      </c>
      <c r="D41" s="42" t="n">
        <v>45665</v>
      </c>
      <c r="E41" s="38" t="n">
        <v>0</v>
      </c>
      <c r="F41" t="inlineStr">
        <is>
          <t>Outpatient</t>
        </is>
      </c>
      <c r="G41" t="inlineStr">
        <is>
          <t>Bluestone Outpatient Pavilion</t>
        </is>
      </c>
      <c r="H41" t="inlineStr">
        <is>
          <t>Primary Care Clinic</t>
        </is>
      </c>
      <c r="I41" t="inlineStr">
        <is>
          <t>Ambulatory</t>
        </is>
      </c>
      <c r="J41" t="inlineStr">
        <is>
          <t>Petrov, Doris</t>
        </is>
      </c>
      <c r="K41" t="inlineStr">
        <is>
          <t>Z00.00</t>
        </is>
      </c>
      <c r="L41" t="inlineStr">
        <is>
          <t>Factors Influencing Health</t>
        </is>
      </c>
      <c r="M41" t="inlineStr">
        <is>
          <t>Self-Pay</t>
        </is>
      </c>
      <c r="N41" t="inlineStr">
        <is>
          <t>Self-Pay</t>
        </is>
      </c>
      <c r="O41" s="39" t="n">
        <v>265.29</v>
      </c>
    </row>
    <row r="42">
      <c r="A42" t="inlineStr">
        <is>
          <t>ENC110976</t>
        </is>
      </c>
      <c r="B42" t="inlineStr">
        <is>
          <t>PT10873</t>
        </is>
      </c>
      <c r="C42" s="42" t="n">
        <v>45665</v>
      </c>
      <c r="D42" s="42" t="n">
        <v>45665</v>
      </c>
      <c r="E42" s="38" t="n">
        <v>0</v>
      </c>
      <c r="F42" t="inlineStr">
        <is>
          <t>Outpatient</t>
        </is>
      </c>
      <c r="G42" t="inlineStr">
        <is>
          <t>Bluestone Outpatient Pavilion</t>
        </is>
      </c>
      <c r="H42" t="inlineStr">
        <is>
          <t>Primary Care Clinic</t>
        </is>
      </c>
      <c r="I42" t="inlineStr">
        <is>
          <t>Ambulatory</t>
        </is>
      </c>
      <c r="J42" t="inlineStr">
        <is>
          <t>Petrov, Doris</t>
        </is>
      </c>
      <c r="K42" t="inlineStr">
        <is>
          <t>N39.0</t>
        </is>
      </c>
      <c r="L42" t="inlineStr">
        <is>
          <t>Genitourinary</t>
        </is>
      </c>
      <c r="M42" t="inlineStr">
        <is>
          <t>Medicare</t>
        </is>
      </c>
      <c r="N42" t="inlineStr">
        <is>
          <t>Government</t>
        </is>
      </c>
      <c r="O42" s="39" t="n">
        <v>353.47</v>
      </c>
    </row>
    <row r="43">
      <c r="A43" t="inlineStr">
        <is>
          <t>ENC110979</t>
        </is>
      </c>
      <c r="B43" t="inlineStr">
        <is>
          <t>PT13900</t>
        </is>
      </c>
      <c r="C43" s="42" t="n">
        <v>45665</v>
      </c>
      <c r="D43" s="42" t="n">
        <v>45665</v>
      </c>
      <c r="E43" s="38" t="n">
        <v>0</v>
      </c>
      <c r="F43" t="inlineStr">
        <is>
          <t>Outpatient</t>
        </is>
      </c>
      <c r="G43" t="inlineStr">
        <is>
          <t>Bluestone Outpatient Pavilion</t>
        </is>
      </c>
      <c r="H43" t="inlineStr">
        <is>
          <t>Primary Care Clinic</t>
        </is>
      </c>
      <c r="I43" t="inlineStr">
        <is>
          <t>Ambulatory</t>
        </is>
      </c>
      <c r="J43" t="inlineStr">
        <is>
          <t>Santos, Edward</t>
        </is>
      </c>
      <c r="K43" t="inlineStr">
        <is>
          <t>E78.5</t>
        </is>
      </c>
      <c r="L43" t="inlineStr">
        <is>
          <t>Endocrine</t>
        </is>
      </c>
      <c r="M43" t="inlineStr">
        <is>
          <t>Medicare</t>
        </is>
      </c>
      <c r="N43" t="inlineStr">
        <is>
          <t>Government</t>
        </is>
      </c>
      <c r="O43" s="39" t="n">
        <v>450.46</v>
      </c>
    </row>
    <row r="44">
      <c r="A44" t="inlineStr">
        <is>
          <t>ENC110980</t>
        </is>
      </c>
      <c r="B44" t="inlineStr">
        <is>
          <t>PT13252</t>
        </is>
      </c>
      <c r="C44" s="42" t="n">
        <v>45665</v>
      </c>
      <c r="D44" s="42" t="n">
        <v>45665</v>
      </c>
      <c r="E44" s="38" t="n">
        <v>0</v>
      </c>
      <c r="F44" t="inlineStr">
        <is>
          <t>Outpatient</t>
        </is>
      </c>
      <c r="G44" t="inlineStr">
        <is>
          <t>Bluestone Outpatient Pavilion</t>
        </is>
      </c>
      <c r="H44" t="inlineStr">
        <is>
          <t>Primary Care Clinic</t>
        </is>
      </c>
      <c r="I44" t="inlineStr">
        <is>
          <t>Ambulatory</t>
        </is>
      </c>
      <c r="J44" t="inlineStr">
        <is>
          <t>Elliott, Douglas</t>
        </is>
      </c>
      <c r="K44" t="inlineStr">
        <is>
          <t>J06.9</t>
        </is>
      </c>
      <c r="L44" t="inlineStr">
        <is>
          <t>Respiratory</t>
        </is>
      </c>
      <c r="M44" t="inlineStr">
        <is>
          <t>Medicare</t>
        </is>
      </c>
      <c r="N44" t="inlineStr">
        <is>
          <t>Government</t>
        </is>
      </c>
      <c r="O44" s="39" t="n">
        <v>380.14</v>
      </c>
    </row>
    <row r="45">
      <c r="A45" t="inlineStr">
        <is>
          <t>ENC110981</t>
        </is>
      </c>
      <c r="B45" t="inlineStr">
        <is>
          <t>PT13469</t>
        </is>
      </c>
      <c r="C45" s="42" t="n">
        <v>45665</v>
      </c>
      <c r="D45" s="42" t="n">
        <v>45665</v>
      </c>
      <c r="E45" s="38" t="n">
        <v>0</v>
      </c>
      <c r="F45" t="inlineStr">
        <is>
          <t>Emergency</t>
        </is>
      </c>
      <c r="G45" t="inlineStr">
        <is>
          <t>Bluestone Memorial Hospital</t>
        </is>
      </c>
      <c r="H45" t="inlineStr">
        <is>
          <t>Emergency Department</t>
        </is>
      </c>
      <c r="I45" t="inlineStr">
        <is>
          <t>Emergency</t>
        </is>
      </c>
      <c r="J45" t="inlineStr">
        <is>
          <t>Foster, Patrick</t>
        </is>
      </c>
      <c r="K45" t="inlineStr">
        <is>
          <t>U07.1</t>
        </is>
      </c>
      <c r="L45" t="inlineStr">
        <is>
          <t>Respiratory</t>
        </is>
      </c>
      <c r="M45" t="inlineStr">
        <is>
          <t>Medicare</t>
        </is>
      </c>
      <c r="N45" t="inlineStr">
        <is>
          <t>Government</t>
        </is>
      </c>
      <c r="O45" s="39" t="n">
        <v>4291.12</v>
      </c>
    </row>
    <row r="46">
      <c r="A46" t="inlineStr">
        <is>
          <t>ENC110982</t>
        </is>
      </c>
      <c r="B46" t="inlineStr">
        <is>
          <t>PT12342</t>
        </is>
      </c>
      <c r="C46" s="42" t="n">
        <v>45665</v>
      </c>
      <c r="D46" s="42" t="n">
        <v>45665</v>
      </c>
      <c r="E46" s="38" t="n">
        <v>0</v>
      </c>
      <c r="F46" t="inlineStr">
        <is>
          <t>Outpatient</t>
        </is>
      </c>
      <c r="G46" t="inlineStr">
        <is>
          <t>Bluestone Outpatient Pavilion</t>
        </is>
      </c>
      <c r="H46" t="inlineStr">
        <is>
          <t>Primary Care Clinic</t>
        </is>
      </c>
      <c r="I46" t="inlineStr">
        <is>
          <t>Ambulatory</t>
        </is>
      </c>
      <c r="J46" t="inlineStr">
        <is>
          <t>Alvarado, George</t>
        </is>
      </c>
      <c r="K46" t="inlineStr">
        <is>
          <t>F32.9</t>
        </is>
      </c>
      <c r="L46" t="inlineStr">
        <is>
          <t>Mental &amp; Behavioral</t>
        </is>
      </c>
      <c r="M46" t="inlineStr">
        <is>
          <t>Summit Choice PPO</t>
        </is>
      </c>
      <c r="N46" t="inlineStr">
        <is>
          <t>Commercial</t>
        </is>
      </c>
      <c r="O46" s="39" t="n">
        <v>369.94</v>
      </c>
    </row>
    <row r="47">
      <c r="A47" t="inlineStr">
        <is>
          <t>ENC110987</t>
        </is>
      </c>
      <c r="B47" t="inlineStr">
        <is>
          <t>PT11976</t>
        </is>
      </c>
      <c r="C47" s="42" t="n">
        <v>45665</v>
      </c>
      <c r="D47" s="42" t="n">
        <v>45665</v>
      </c>
      <c r="E47" s="38" t="n">
        <v>0</v>
      </c>
      <c r="F47" t="inlineStr">
        <is>
          <t>Outpatient</t>
        </is>
      </c>
      <c r="G47" t="inlineStr">
        <is>
          <t>Bluestone Outpatient Pavilion</t>
        </is>
      </c>
      <c r="H47" t="inlineStr">
        <is>
          <t>Infusion &amp; Oncology Clinic</t>
        </is>
      </c>
      <c r="I47" t="inlineStr">
        <is>
          <t>Oncology</t>
        </is>
      </c>
      <c r="J47" t="inlineStr">
        <is>
          <t>Cooper, Logan</t>
        </is>
      </c>
      <c r="K47" t="inlineStr">
        <is>
          <t>Z51.11</t>
        </is>
      </c>
      <c r="L47" t="inlineStr">
        <is>
          <t>Factors Influencing Health</t>
        </is>
      </c>
      <c r="M47" t="inlineStr">
        <is>
          <t>Keystone Health Partners</t>
        </is>
      </c>
      <c r="N47" t="inlineStr">
        <is>
          <t>Commercial</t>
        </is>
      </c>
      <c r="O47" s="39" t="n">
        <v>7413.09</v>
      </c>
    </row>
    <row r="48">
      <c r="A48" t="inlineStr">
        <is>
          <t>ENC111002</t>
        </is>
      </c>
      <c r="B48" t="inlineStr">
        <is>
          <t>PT10619</t>
        </is>
      </c>
      <c r="C48" s="42" t="n">
        <v>45666</v>
      </c>
      <c r="D48" s="42" t="n">
        <v>45666</v>
      </c>
      <c r="E48" s="38" t="n">
        <v>0</v>
      </c>
      <c r="F48" t="inlineStr">
        <is>
          <t>Emergency</t>
        </is>
      </c>
      <c r="G48" t="inlineStr">
        <is>
          <t>Bluestone Memorial Hospital</t>
        </is>
      </c>
      <c r="H48" t="inlineStr">
        <is>
          <t>Emergency Department</t>
        </is>
      </c>
      <c r="I48" t="inlineStr">
        <is>
          <t>Emergency</t>
        </is>
      </c>
      <c r="J48" t="inlineStr">
        <is>
          <t>Elliott, Jesse</t>
        </is>
      </c>
      <c r="K48" t="inlineStr">
        <is>
          <t>R07.9</t>
        </is>
      </c>
      <c r="L48" t="inlineStr">
        <is>
          <t>Symptoms &amp; Signs</t>
        </is>
      </c>
      <c r="M48" t="inlineStr">
        <is>
          <t>Self-Pay</t>
        </is>
      </c>
      <c r="N48" t="inlineStr">
        <is>
          <t>Self-Pay</t>
        </is>
      </c>
      <c r="O48" s="39" t="n">
        <v>3927.8</v>
      </c>
    </row>
    <row r="49">
      <c r="A49" t="inlineStr">
        <is>
          <t>ENC111009</t>
        </is>
      </c>
      <c r="B49" t="inlineStr">
        <is>
          <t>PT10416</t>
        </is>
      </c>
      <c r="C49" s="42" t="n">
        <v>45666</v>
      </c>
      <c r="D49" s="42" t="n">
        <v>45666</v>
      </c>
      <c r="E49" s="38" t="n">
        <v>0</v>
      </c>
      <c r="F49" t="inlineStr">
        <is>
          <t>Outpatient</t>
        </is>
      </c>
      <c r="G49" t="inlineStr">
        <is>
          <t>Bluestone Outpatient Pavilion</t>
        </is>
      </c>
      <c r="H49" t="inlineStr">
        <is>
          <t>Infusion &amp; Oncology Clinic</t>
        </is>
      </c>
      <c r="I49" t="inlineStr">
        <is>
          <t>Oncology</t>
        </is>
      </c>
      <c r="J49" t="inlineStr">
        <is>
          <t>Long, Fatima</t>
        </is>
      </c>
      <c r="K49" t="inlineStr">
        <is>
          <t>Z51.11</t>
        </is>
      </c>
      <c r="L49" t="inlineStr">
        <is>
          <t>Factors Influencing Health</t>
        </is>
      </c>
      <c r="M49" t="inlineStr">
        <is>
          <t>Self-Pay</t>
        </is>
      </c>
      <c r="N49" t="inlineStr">
        <is>
          <t>Self-Pay</t>
        </is>
      </c>
      <c r="O49" s="39" t="n">
        <v>9629.860000000001</v>
      </c>
    </row>
    <row r="50">
      <c r="A50" t="inlineStr">
        <is>
          <t>ENC111010</t>
        </is>
      </c>
      <c r="B50" t="inlineStr">
        <is>
          <t>PT13581</t>
        </is>
      </c>
      <c r="C50" s="42" t="n">
        <v>45666</v>
      </c>
      <c r="D50" s="42" t="n">
        <v>45666</v>
      </c>
      <c r="E50" s="38" t="n">
        <v>0</v>
      </c>
      <c r="F50" t="inlineStr">
        <is>
          <t>Outpatient</t>
        </is>
      </c>
      <c r="G50" t="inlineStr">
        <is>
          <t>Bluestone Outpatient Pavilion</t>
        </is>
      </c>
      <c r="H50" t="inlineStr">
        <is>
          <t>Infusion &amp; Oncology Clinic</t>
        </is>
      </c>
      <c r="I50" t="inlineStr">
        <is>
          <t>Oncology</t>
        </is>
      </c>
      <c r="J50" t="inlineStr">
        <is>
          <t>Cooper, Logan</t>
        </is>
      </c>
      <c r="K50" t="inlineStr">
        <is>
          <t>Z51.11</t>
        </is>
      </c>
      <c r="L50" t="inlineStr">
        <is>
          <t>Factors Influencing Health</t>
        </is>
      </c>
      <c r="M50" t="inlineStr">
        <is>
          <t>Medicare</t>
        </is>
      </c>
      <c r="N50" t="inlineStr">
        <is>
          <t>Government</t>
        </is>
      </c>
      <c r="O50" s="39" t="n">
        <v>12944.97</v>
      </c>
    </row>
    <row r="51">
      <c r="A51" t="inlineStr">
        <is>
          <t>ENC111013</t>
        </is>
      </c>
      <c r="B51" t="inlineStr">
        <is>
          <t>PT13369</t>
        </is>
      </c>
      <c r="C51" s="42" t="n">
        <v>45666</v>
      </c>
      <c r="D51" s="42" t="n">
        <v>45666</v>
      </c>
      <c r="E51" s="38" t="n">
        <v>0</v>
      </c>
      <c r="F51" t="inlineStr">
        <is>
          <t>Emergency</t>
        </is>
      </c>
      <c r="G51" t="inlineStr">
        <is>
          <t>Bluestone Memorial Hospital</t>
        </is>
      </c>
      <c r="H51" t="inlineStr">
        <is>
          <t>Emergency Department</t>
        </is>
      </c>
      <c r="I51" t="inlineStr">
        <is>
          <t>Emergency</t>
        </is>
      </c>
      <c r="J51" t="inlineStr">
        <is>
          <t>Kowalski, James</t>
        </is>
      </c>
      <c r="K51" t="inlineStr">
        <is>
          <t>J06.9</t>
        </is>
      </c>
      <c r="L51" t="inlineStr">
        <is>
          <t>Respiratory</t>
        </is>
      </c>
      <c r="M51" t="inlineStr">
        <is>
          <t>State Medicaid</t>
        </is>
      </c>
      <c r="N51" t="inlineStr">
        <is>
          <t>Government</t>
        </is>
      </c>
      <c r="O51" s="39" t="n">
        <v>2926.56</v>
      </c>
    </row>
    <row r="52">
      <c r="A52" t="inlineStr">
        <is>
          <t>ENC111016</t>
        </is>
      </c>
      <c r="B52" t="inlineStr">
        <is>
          <t>PT11277</t>
        </is>
      </c>
      <c r="C52" s="42" t="n">
        <v>45666</v>
      </c>
      <c r="D52" s="42" t="n">
        <v>45666</v>
      </c>
      <c r="E52" s="38" t="n">
        <v>0</v>
      </c>
      <c r="F52" t="inlineStr">
        <is>
          <t>Outpatient</t>
        </is>
      </c>
      <c r="G52" t="inlineStr">
        <is>
          <t>Bluestone Outpatient Pavilion</t>
        </is>
      </c>
      <c r="H52" t="inlineStr">
        <is>
          <t>Primary Care Clinic</t>
        </is>
      </c>
      <c r="I52" t="inlineStr">
        <is>
          <t>Ambulatory</t>
        </is>
      </c>
      <c r="J52" t="inlineStr">
        <is>
          <t>Bennett, Randy</t>
        </is>
      </c>
      <c r="K52" t="inlineStr">
        <is>
          <t>Z23</t>
        </is>
      </c>
      <c r="L52" t="inlineStr">
        <is>
          <t>Factors Influencing Health</t>
        </is>
      </c>
      <c r="M52" t="inlineStr">
        <is>
          <t>Silverline Medicare Advantage</t>
        </is>
      </c>
      <c r="N52" t="inlineStr">
        <is>
          <t>Medicare Advantage</t>
        </is>
      </c>
      <c r="O52" s="39" t="n">
        <v>104.69</v>
      </c>
    </row>
    <row r="53">
      <c r="A53" t="inlineStr">
        <is>
          <t>ENC111031</t>
        </is>
      </c>
      <c r="B53" t="inlineStr">
        <is>
          <t>PT13970</t>
        </is>
      </c>
      <c r="C53" s="42" t="n">
        <v>45666</v>
      </c>
      <c r="D53" s="42" t="n">
        <v>45666</v>
      </c>
      <c r="E53" s="38" t="n">
        <v>0</v>
      </c>
      <c r="F53" t="inlineStr">
        <is>
          <t>Outpatient</t>
        </is>
      </c>
      <c r="G53" t="inlineStr">
        <is>
          <t>Bluestone Outpatient Pavilion</t>
        </is>
      </c>
      <c r="H53" t="inlineStr">
        <is>
          <t>Orthopedic Clinic</t>
        </is>
      </c>
      <c r="I53" t="inlineStr">
        <is>
          <t>Orthopedics</t>
        </is>
      </c>
      <c r="J53" t="inlineStr">
        <is>
          <t>Cox, Lori</t>
        </is>
      </c>
      <c r="K53" t="inlineStr">
        <is>
          <t>M17.11</t>
        </is>
      </c>
      <c r="L53" t="inlineStr">
        <is>
          <t>Musculoskeletal</t>
        </is>
      </c>
      <c r="M53" t="inlineStr">
        <is>
          <t>Evergreen Mutual Insurance</t>
        </is>
      </c>
      <c r="N53" t="inlineStr">
        <is>
          <t>Commercial</t>
        </is>
      </c>
      <c r="O53" s="39" t="n">
        <v>217.35</v>
      </c>
    </row>
    <row r="54">
      <c r="A54" t="inlineStr">
        <is>
          <t>ENC111042</t>
        </is>
      </c>
      <c r="B54" t="inlineStr">
        <is>
          <t>PT11114</t>
        </is>
      </c>
      <c r="C54" s="42" t="n">
        <v>45667</v>
      </c>
      <c r="D54" s="42" t="n">
        <v>45667</v>
      </c>
      <c r="E54" s="38" t="n">
        <v>0</v>
      </c>
      <c r="F54" t="inlineStr">
        <is>
          <t>Observation</t>
        </is>
      </c>
      <c r="G54" t="inlineStr">
        <is>
          <t>Cedar Ridge Medical Center</t>
        </is>
      </c>
      <c r="H54" t="inlineStr">
        <is>
          <t>Medical-Surgical</t>
        </is>
      </c>
      <c r="I54" t="inlineStr">
        <is>
          <t>Medicine</t>
        </is>
      </c>
      <c r="J54" t="inlineStr">
        <is>
          <t>Payne, Tyler</t>
        </is>
      </c>
      <c r="K54" t="inlineStr">
        <is>
          <t>K92.2</t>
        </is>
      </c>
      <c r="L54" t="inlineStr">
        <is>
          <t>Digestive</t>
        </is>
      </c>
      <c r="M54" t="inlineStr">
        <is>
          <t>Summit Choice PPO</t>
        </is>
      </c>
      <c r="N54" t="inlineStr">
        <is>
          <t>Commercial</t>
        </is>
      </c>
      <c r="O54" s="39" t="n">
        <v>9442.74</v>
      </c>
    </row>
    <row r="55">
      <c r="A55" t="inlineStr">
        <is>
          <t>ENC111043</t>
        </is>
      </c>
      <c r="B55" t="inlineStr">
        <is>
          <t>PT10031</t>
        </is>
      </c>
      <c r="C55" s="42" t="n">
        <v>45667</v>
      </c>
      <c r="D55" s="42" t="n">
        <v>45676</v>
      </c>
      <c r="E55" s="38" t="n">
        <v>9</v>
      </c>
      <c r="F55" t="inlineStr">
        <is>
          <t>Inpatient</t>
        </is>
      </c>
      <c r="G55" t="inlineStr">
        <is>
          <t>Bluestone Memorial Hospital</t>
        </is>
      </c>
      <c r="H55" t="inlineStr">
        <is>
          <t>Medical-Surgical 5 East</t>
        </is>
      </c>
      <c r="I55" t="inlineStr">
        <is>
          <t>Medicine</t>
        </is>
      </c>
      <c r="J55" t="inlineStr">
        <is>
          <t>Vasquez, Jose</t>
        </is>
      </c>
      <c r="K55" t="inlineStr">
        <is>
          <t>K92.2</t>
        </is>
      </c>
      <c r="L55" t="inlineStr">
        <is>
          <t>Digestive</t>
        </is>
      </c>
      <c r="M55" t="inlineStr">
        <is>
          <t>Keystone Health Partners</t>
        </is>
      </c>
      <c r="N55" t="inlineStr">
        <is>
          <t>Commercial</t>
        </is>
      </c>
      <c r="O55" s="39" t="n">
        <v>28327.5</v>
      </c>
      <c r="P55" t="inlineStr">
        <is>
          <t>N</t>
        </is>
      </c>
    </row>
    <row r="56">
      <c r="A56" t="inlineStr">
        <is>
          <t>ENC111049</t>
        </is>
      </c>
      <c r="B56" t="inlineStr">
        <is>
          <t>PT10263</t>
        </is>
      </c>
      <c r="C56" s="42" t="n">
        <v>45667</v>
      </c>
      <c r="D56" s="42" t="n">
        <v>45667</v>
      </c>
      <c r="E56" s="38" t="n">
        <v>0</v>
      </c>
      <c r="F56" t="inlineStr">
        <is>
          <t>Outpatient</t>
        </is>
      </c>
      <c r="G56" t="inlineStr">
        <is>
          <t>Bluestone Outpatient Pavilion</t>
        </is>
      </c>
      <c r="H56" t="inlineStr">
        <is>
          <t>Primary Care Clinic</t>
        </is>
      </c>
      <c r="I56" t="inlineStr">
        <is>
          <t>Ambulatory</t>
        </is>
      </c>
      <c r="J56" t="inlineStr">
        <is>
          <t>Myers, Lucia</t>
        </is>
      </c>
      <c r="K56" t="inlineStr">
        <is>
          <t>J06.9</t>
        </is>
      </c>
      <c r="L56" t="inlineStr">
        <is>
          <t>Respiratory</t>
        </is>
      </c>
      <c r="M56" t="inlineStr">
        <is>
          <t>Self-Pay</t>
        </is>
      </c>
      <c r="N56" t="inlineStr">
        <is>
          <t>Self-Pay</t>
        </is>
      </c>
      <c r="O56" s="39" t="n">
        <v>270.81</v>
      </c>
    </row>
    <row r="57">
      <c r="A57" t="inlineStr">
        <is>
          <t>ENC111050</t>
        </is>
      </c>
      <c r="B57" t="inlineStr">
        <is>
          <t>PT11468</t>
        </is>
      </c>
      <c r="C57" s="42" t="n">
        <v>45667</v>
      </c>
      <c r="D57" s="42" t="n">
        <v>45667</v>
      </c>
      <c r="E57" s="38" t="n">
        <v>0</v>
      </c>
      <c r="F57" t="inlineStr">
        <is>
          <t>Outpatient</t>
        </is>
      </c>
      <c r="G57" t="inlineStr">
        <is>
          <t>Bluestone Outpatient Pavilion</t>
        </is>
      </c>
      <c r="H57" t="inlineStr">
        <is>
          <t>Primary Care Clinic</t>
        </is>
      </c>
      <c r="I57" t="inlineStr">
        <is>
          <t>Ambulatory</t>
        </is>
      </c>
      <c r="J57" t="inlineStr">
        <is>
          <t>Yilmaz, Richard</t>
        </is>
      </c>
      <c r="K57" t="inlineStr">
        <is>
          <t>M54.50</t>
        </is>
      </c>
      <c r="L57" t="inlineStr">
        <is>
          <t>Musculoskeletal</t>
        </is>
      </c>
      <c r="M57" t="inlineStr">
        <is>
          <t>Self-Pay</t>
        </is>
      </c>
      <c r="N57" t="inlineStr">
        <is>
          <t>Self-Pay</t>
        </is>
      </c>
      <c r="O57" s="39" t="n">
        <v>258.26</v>
      </c>
    </row>
    <row r="58">
      <c r="A58" t="inlineStr">
        <is>
          <t>ENC111058</t>
        </is>
      </c>
      <c r="B58" t="inlineStr">
        <is>
          <t>PT13581</t>
        </is>
      </c>
      <c r="C58" s="42" t="n">
        <v>45667</v>
      </c>
      <c r="D58" s="42" t="n">
        <v>45667</v>
      </c>
      <c r="E58" s="38" t="n">
        <v>0</v>
      </c>
      <c r="F58" t="inlineStr">
        <is>
          <t>Outpatient</t>
        </is>
      </c>
      <c r="G58" t="inlineStr">
        <is>
          <t>Bluestone Outpatient Pavilion</t>
        </is>
      </c>
      <c r="H58" t="inlineStr">
        <is>
          <t>Endocrinology &amp; Diabetes Clinic</t>
        </is>
      </c>
      <c r="I58" t="inlineStr">
        <is>
          <t>Ambulatory</t>
        </is>
      </c>
      <c r="J58" t="inlineStr">
        <is>
          <t>Rivera, Scott</t>
        </is>
      </c>
      <c r="K58" t="inlineStr">
        <is>
          <t>E11.65</t>
        </is>
      </c>
      <c r="L58" t="inlineStr">
        <is>
          <t>Endocrine</t>
        </is>
      </c>
      <c r="M58" t="inlineStr">
        <is>
          <t>Medicare</t>
        </is>
      </c>
      <c r="N58" t="inlineStr">
        <is>
          <t>Government</t>
        </is>
      </c>
      <c r="O58" s="39" t="n">
        <v>244.5</v>
      </c>
    </row>
    <row r="59">
      <c r="A59" t="inlineStr">
        <is>
          <t>ENC111059</t>
        </is>
      </c>
      <c r="B59" t="inlineStr">
        <is>
          <t>PT13785</t>
        </is>
      </c>
      <c r="C59" s="42" t="n">
        <v>45667</v>
      </c>
      <c r="D59" s="42" t="n">
        <v>45667</v>
      </c>
      <c r="E59" s="38" t="n">
        <v>0</v>
      </c>
      <c r="F59" t="inlineStr">
        <is>
          <t>Emergency</t>
        </is>
      </c>
      <c r="G59" t="inlineStr">
        <is>
          <t>Ashby Falls Community Hospital</t>
        </is>
      </c>
      <c r="H59" t="inlineStr">
        <is>
          <t>Emergency Department</t>
        </is>
      </c>
      <c r="I59" t="inlineStr">
        <is>
          <t>Emergency</t>
        </is>
      </c>
      <c r="J59" t="inlineStr">
        <is>
          <t>Richardson, Mei</t>
        </is>
      </c>
      <c r="K59" t="inlineStr">
        <is>
          <t>J06.9</t>
        </is>
      </c>
      <c r="L59" t="inlineStr">
        <is>
          <t>Respiratory</t>
        </is>
      </c>
      <c r="M59" t="inlineStr">
        <is>
          <t>Silverline Medicare Advantage</t>
        </is>
      </c>
      <c r="N59" t="inlineStr">
        <is>
          <t>Medicare Advantage</t>
        </is>
      </c>
      <c r="O59" s="39" t="n">
        <v>1491.72</v>
      </c>
    </row>
    <row r="60">
      <c r="A60" t="inlineStr">
        <is>
          <t>ENC111060</t>
        </is>
      </c>
      <c r="B60" t="inlineStr">
        <is>
          <t>PT10286</t>
        </is>
      </c>
      <c r="C60" s="42" t="n">
        <v>45667</v>
      </c>
      <c r="D60" s="42" t="n">
        <v>45667</v>
      </c>
      <c r="E60" s="38" t="n">
        <v>0</v>
      </c>
      <c r="F60" t="inlineStr">
        <is>
          <t>Outpatient</t>
        </is>
      </c>
      <c r="G60" t="inlineStr">
        <is>
          <t>Bluestone Outpatient Pavilion</t>
        </is>
      </c>
      <c r="H60" t="inlineStr">
        <is>
          <t>Pediatric Clinic</t>
        </is>
      </c>
      <c r="I60" t="inlineStr">
        <is>
          <t>Women &amp; Children</t>
        </is>
      </c>
      <c r="J60" t="inlineStr">
        <is>
          <t>Alvarez, Susan</t>
        </is>
      </c>
      <c r="K60" t="inlineStr">
        <is>
          <t>G43.909</t>
        </is>
      </c>
      <c r="L60" t="inlineStr">
        <is>
          <t>Nervous System</t>
        </is>
      </c>
      <c r="M60" t="inlineStr">
        <is>
          <t>Keystone Health Partners</t>
        </is>
      </c>
      <c r="N60" t="inlineStr">
        <is>
          <t>Commercial</t>
        </is>
      </c>
      <c r="O60" s="39" t="n">
        <v>399.46</v>
      </c>
    </row>
    <row r="61">
      <c r="A61" t="inlineStr">
        <is>
          <t>ENC111064</t>
        </is>
      </c>
      <c r="B61" t="inlineStr">
        <is>
          <t>PT10668</t>
        </is>
      </c>
      <c r="C61" s="42" t="n">
        <v>45667</v>
      </c>
      <c r="D61" s="42" t="n">
        <v>45667</v>
      </c>
      <c r="E61" s="38" t="n">
        <v>0</v>
      </c>
      <c r="F61" t="inlineStr">
        <is>
          <t>Emergency</t>
        </is>
      </c>
      <c r="G61" t="inlineStr">
        <is>
          <t>Cedar Ridge Medical Center</t>
        </is>
      </c>
      <c r="H61" t="inlineStr">
        <is>
          <t>Emergency Department</t>
        </is>
      </c>
      <c r="I61" t="inlineStr">
        <is>
          <t>Emergency</t>
        </is>
      </c>
      <c r="J61" t="inlineStr">
        <is>
          <t>Andrews, Michael</t>
        </is>
      </c>
      <c r="K61" t="inlineStr">
        <is>
          <t>J06.9</t>
        </is>
      </c>
      <c r="L61" t="inlineStr">
        <is>
          <t>Respiratory</t>
        </is>
      </c>
      <c r="M61" t="inlineStr">
        <is>
          <t>Silverline Medicare Advantage</t>
        </is>
      </c>
      <c r="N61" t="inlineStr">
        <is>
          <t>Medicare Advantage</t>
        </is>
      </c>
      <c r="O61" s="39" t="n">
        <v>623.05</v>
      </c>
    </row>
    <row r="62">
      <c r="A62" t="inlineStr">
        <is>
          <t>ENC111065</t>
        </is>
      </c>
      <c r="B62" t="inlineStr">
        <is>
          <t>PT13128</t>
        </is>
      </c>
      <c r="C62" s="42" t="n">
        <v>45667</v>
      </c>
      <c r="D62" s="42" t="n">
        <v>45667</v>
      </c>
      <c r="E62" s="38" t="n">
        <v>0</v>
      </c>
      <c r="F62" t="inlineStr">
        <is>
          <t>Outpatient</t>
        </is>
      </c>
      <c r="G62" t="inlineStr">
        <is>
          <t>Bluestone Outpatient Pavilion</t>
        </is>
      </c>
      <c r="H62" t="inlineStr">
        <is>
          <t>Primary Care Clinic</t>
        </is>
      </c>
      <c r="I62" t="inlineStr">
        <is>
          <t>Ambulatory</t>
        </is>
      </c>
      <c r="J62" t="inlineStr">
        <is>
          <t>Bennett, Randy</t>
        </is>
      </c>
      <c r="K62" t="inlineStr">
        <is>
          <t>Z00.00</t>
        </is>
      </c>
      <c r="L62" t="inlineStr">
        <is>
          <t>Factors Influencing Health</t>
        </is>
      </c>
      <c r="M62" t="inlineStr">
        <is>
          <t>Summit Choice PPO</t>
        </is>
      </c>
      <c r="N62" t="inlineStr">
        <is>
          <t>Commercial</t>
        </is>
      </c>
      <c r="O62" s="39" t="n">
        <v>446.29</v>
      </c>
    </row>
    <row r="63">
      <c r="A63" t="inlineStr">
        <is>
          <t>ENC111075</t>
        </is>
      </c>
      <c r="B63" t="inlineStr">
        <is>
          <t>PT11317</t>
        </is>
      </c>
      <c r="C63" s="42" t="n">
        <v>45667</v>
      </c>
      <c r="D63" s="42" t="n">
        <v>45667</v>
      </c>
      <c r="E63" s="38" t="n">
        <v>0</v>
      </c>
      <c r="F63" t="inlineStr">
        <is>
          <t>Outpatient</t>
        </is>
      </c>
      <c r="G63" t="inlineStr">
        <is>
          <t>Bluestone Outpatient Pavilion</t>
        </is>
      </c>
      <c r="H63" t="inlineStr">
        <is>
          <t>Primary Care Clinic</t>
        </is>
      </c>
      <c r="I63" t="inlineStr">
        <is>
          <t>Ambulatory</t>
        </is>
      </c>
      <c r="J63" t="inlineStr">
        <is>
          <t>Yilmaz, Richard</t>
        </is>
      </c>
      <c r="K63" t="inlineStr">
        <is>
          <t>F32.9</t>
        </is>
      </c>
      <c r="L63" t="inlineStr">
        <is>
          <t>Mental &amp; Behavioral</t>
        </is>
      </c>
      <c r="M63" t="inlineStr">
        <is>
          <t>Self-Pay</t>
        </is>
      </c>
      <c r="N63" t="inlineStr">
        <is>
          <t>Self-Pay</t>
        </is>
      </c>
      <c r="O63" s="39" t="n">
        <v>392.26</v>
      </c>
    </row>
    <row r="64">
      <c r="A64" t="inlineStr">
        <is>
          <t>ENC111067</t>
        </is>
      </c>
      <c r="B64" t="inlineStr">
        <is>
          <t>PT10489</t>
        </is>
      </c>
      <c r="C64" s="42" t="n">
        <v>45667</v>
      </c>
      <c r="D64" s="42" t="n">
        <v>45671</v>
      </c>
      <c r="E64" s="38" t="n">
        <v>4</v>
      </c>
      <c r="F64" t="inlineStr">
        <is>
          <t>Inpatient</t>
        </is>
      </c>
      <c r="G64" t="inlineStr">
        <is>
          <t>Bluestone Memorial Hospital</t>
        </is>
      </c>
      <c r="H64" t="inlineStr">
        <is>
          <t>Medical-Surgical 5 East</t>
        </is>
      </c>
      <c r="I64" t="inlineStr">
        <is>
          <t>Medicine</t>
        </is>
      </c>
      <c r="J64" t="inlineStr">
        <is>
          <t>Watson, Ashley</t>
        </is>
      </c>
      <c r="K64" t="inlineStr">
        <is>
          <t>J18.9</t>
        </is>
      </c>
      <c r="L64" t="inlineStr">
        <is>
          <t>Respiratory</t>
        </is>
      </c>
      <c r="M64" t="inlineStr">
        <is>
          <t>Silverline Medicare Advantage</t>
        </is>
      </c>
      <c r="N64" t="inlineStr">
        <is>
          <t>Medicare Advantage</t>
        </is>
      </c>
      <c r="O64" s="39" t="n">
        <v>16132.72</v>
      </c>
      <c r="P64" t="inlineStr">
        <is>
          <t>N</t>
        </is>
      </c>
    </row>
    <row r="65">
      <c r="A65" t="inlineStr">
        <is>
          <t>ENC111086</t>
        </is>
      </c>
      <c r="B65" t="inlineStr">
        <is>
          <t>PT13588</t>
        </is>
      </c>
      <c r="C65" s="42" t="n">
        <v>45668</v>
      </c>
      <c r="D65" s="42" t="n">
        <v>45668</v>
      </c>
      <c r="E65" s="38" t="n">
        <v>0</v>
      </c>
      <c r="F65" t="inlineStr">
        <is>
          <t>Emergency</t>
        </is>
      </c>
      <c r="G65" t="inlineStr">
        <is>
          <t>Bluestone Memorial Hospital</t>
        </is>
      </c>
      <c r="H65" t="inlineStr">
        <is>
          <t>Emergency Department</t>
        </is>
      </c>
      <c r="I65" t="inlineStr">
        <is>
          <t>Emergency</t>
        </is>
      </c>
      <c r="J65" t="inlineStr">
        <is>
          <t>Ferguson, Roy</t>
        </is>
      </c>
      <c r="K65" t="inlineStr">
        <is>
          <t>I48.91</t>
        </is>
      </c>
      <c r="L65" t="inlineStr">
        <is>
          <t>Circulatory</t>
        </is>
      </c>
      <c r="M65" t="inlineStr">
        <is>
          <t>State Medicaid</t>
        </is>
      </c>
      <c r="N65" t="inlineStr">
        <is>
          <t>Government</t>
        </is>
      </c>
      <c r="O65" s="39" t="n">
        <v>3645.75</v>
      </c>
    </row>
    <row r="66">
      <c r="A66" t="inlineStr">
        <is>
          <t>ENC111087</t>
        </is>
      </c>
      <c r="B66" t="inlineStr">
        <is>
          <t>PT11782</t>
        </is>
      </c>
      <c r="C66" s="42" t="n">
        <v>45668</v>
      </c>
      <c r="D66" s="42" t="n">
        <v>45668</v>
      </c>
      <c r="E66" s="38" t="n">
        <v>0</v>
      </c>
      <c r="F66" t="inlineStr">
        <is>
          <t>Emergency</t>
        </is>
      </c>
      <c r="G66" t="inlineStr">
        <is>
          <t>Bluestone Memorial Hospital</t>
        </is>
      </c>
      <c r="H66" t="inlineStr">
        <is>
          <t>Emergency Department</t>
        </is>
      </c>
      <c r="I66" t="inlineStr">
        <is>
          <t>Emergency</t>
        </is>
      </c>
      <c r="J66" t="inlineStr">
        <is>
          <t>Cruz, Mia</t>
        </is>
      </c>
      <c r="K66" t="inlineStr">
        <is>
          <t>A08.4</t>
        </is>
      </c>
      <c r="L66" t="inlineStr">
        <is>
          <t>Infectious</t>
        </is>
      </c>
      <c r="M66" t="inlineStr">
        <is>
          <t>Keystone Health Partners</t>
        </is>
      </c>
      <c r="N66" t="inlineStr">
        <is>
          <t>Commercial</t>
        </is>
      </c>
      <c r="O66" s="39" t="n">
        <v>1603.38</v>
      </c>
    </row>
    <row r="67">
      <c r="A67" t="inlineStr">
        <is>
          <t>ENC111094</t>
        </is>
      </c>
      <c r="B67" t="inlineStr">
        <is>
          <t>PT12193</t>
        </is>
      </c>
      <c r="C67" s="42" t="n">
        <v>45668</v>
      </c>
      <c r="D67" s="42" t="n">
        <v>45670</v>
      </c>
      <c r="E67" s="38" t="n">
        <v>2</v>
      </c>
      <c r="F67" t="inlineStr">
        <is>
          <t>Inpatient</t>
        </is>
      </c>
      <c r="G67" t="inlineStr">
        <is>
          <t>Cedar Ridge Medical Center</t>
        </is>
      </c>
      <c r="H67" t="inlineStr">
        <is>
          <t>Medical-Surgical</t>
        </is>
      </c>
      <c r="I67" t="inlineStr">
        <is>
          <t>Medicine</t>
        </is>
      </c>
      <c r="J67" t="inlineStr">
        <is>
          <t>Reyes, Harper</t>
        </is>
      </c>
      <c r="K67" t="inlineStr">
        <is>
          <t>E87.1</t>
        </is>
      </c>
      <c r="L67" t="inlineStr">
        <is>
          <t>Endocrine</t>
        </is>
      </c>
      <c r="M67" t="inlineStr">
        <is>
          <t>Medicare</t>
        </is>
      </c>
      <c r="N67" t="inlineStr">
        <is>
          <t>Government</t>
        </is>
      </c>
      <c r="O67" s="39" t="n">
        <v>9169.120000000001</v>
      </c>
      <c r="P67" t="inlineStr">
        <is>
          <t>N</t>
        </is>
      </c>
    </row>
    <row r="68">
      <c r="A68" t="inlineStr">
        <is>
          <t>ENC111104</t>
        </is>
      </c>
      <c r="B68" t="inlineStr">
        <is>
          <t>PT12676</t>
        </is>
      </c>
      <c r="C68" s="42" t="n">
        <v>45668</v>
      </c>
      <c r="D68" s="42" t="n">
        <v>45674</v>
      </c>
      <c r="E68" s="38" t="n">
        <v>6</v>
      </c>
      <c r="F68" t="inlineStr">
        <is>
          <t>Inpatient</t>
        </is>
      </c>
      <c r="G68" t="inlineStr">
        <is>
          <t>Bluestone Memorial Hospital</t>
        </is>
      </c>
      <c r="H68" t="inlineStr">
        <is>
          <t>Cardiac Step-Down</t>
        </is>
      </c>
      <c r="I68" t="inlineStr">
        <is>
          <t>Cardiovascular</t>
        </is>
      </c>
      <c r="J68" t="inlineStr">
        <is>
          <t>Guzman, Michelle</t>
        </is>
      </c>
      <c r="K68" t="inlineStr">
        <is>
          <t>I21.4</t>
        </is>
      </c>
      <c r="L68" t="inlineStr">
        <is>
          <t>Circulatory</t>
        </is>
      </c>
      <c r="M68" t="inlineStr">
        <is>
          <t>Medicare</t>
        </is>
      </c>
      <c r="N68" t="inlineStr">
        <is>
          <t>Government</t>
        </is>
      </c>
      <c r="O68" s="39" t="n">
        <v>110148.87</v>
      </c>
      <c r="P68" t="inlineStr">
        <is>
          <t>N</t>
        </is>
      </c>
    </row>
    <row r="69">
      <c r="A69" t="inlineStr">
        <is>
          <t>ENC111107</t>
        </is>
      </c>
      <c r="B69" t="inlineStr">
        <is>
          <t>PT11278</t>
        </is>
      </c>
      <c r="C69" s="42" t="n">
        <v>45668</v>
      </c>
      <c r="D69" s="42" t="n">
        <v>45674</v>
      </c>
      <c r="E69" s="38" t="n">
        <v>6</v>
      </c>
      <c r="F69" t="inlineStr">
        <is>
          <t>Inpatient</t>
        </is>
      </c>
      <c r="G69" t="inlineStr">
        <is>
          <t>Bluestone Memorial Hospital</t>
        </is>
      </c>
      <c r="H69" t="inlineStr">
        <is>
          <t>Medical-Surgical 4 West</t>
        </is>
      </c>
      <c r="I69" t="inlineStr">
        <is>
          <t>Medicine</t>
        </is>
      </c>
      <c r="J69" t="inlineStr">
        <is>
          <t>Cruz, Roger</t>
        </is>
      </c>
      <c r="K69" t="inlineStr">
        <is>
          <t>E87.1</t>
        </is>
      </c>
      <c r="L69" t="inlineStr">
        <is>
          <t>Endocrine</t>
        </is>
      </c>
      <c r="M69" t="inlineStr">
        <is>
          <t>Silverline Medicare Advantage</t>
        </is>
      </c>
      <c r="N69" t="inlineStr">
        <is>
          <t>Medicare Advantage</t>
        </is>
      </c>
      <c r="O69" s="39" t="n">
        <v>19329.61</v>
      </c>
      <c r="P69" t="inlineStr">
        <is>
          <t>N</t>
        </is>
      </c>
    </row>
    <row r="70">
      <c r="A70" t="inlineStr">
        <is>
          <t>ENC111109</t>
        </is>
      </c>
      <c r="B70" t="inlineStr">
        <is>
          <t>PT11371</t>
        </is>
      </c>
      <c r="C70" s="42" t="n">
        <v>45669</v>
      </c>
      <c r="D70" s="42" t="n">
        <v>45675</v>
      </c>
      <c r="E70" s="38" t="n">
        <v>6</v>
      </c>
      <c r="F70" t="inlineStr">
        <is>
          <t>Inpatient</t>
        </is>
      </c>
      <c r="G70" t="inlineStr">
        <is>
          <t>Cedar Ridge Medical Center</t>
        </is>
      </c>
      <c r="H70" t="inlineStr">
        <is>
          <t>Medical-Surgical</t>
        </is>
      </c>
      <c r="I70" t="inlineStr">
        <is>
          <t>Medicine</t>
        </is>
      </c>
      <c r="J70" t="inlineStr">
        <is>
          <t>Payne, Tyler</t>
        </is>
      </c>
      <c r="K70" t="inlineStr">
        <is>
          <t>N17.9</t>
        </is>
      </c>
      <c r="L70" t="inlineStr">
        <is>
          <t>Genitourinary</t>
        </is>
      </c>
      <c r="M70" t="inlineStr">
        <is>
          <t>Medicare</t>
        </is>
      </c>
      <c r="N70" t="inlineStr">
        <is>
          <t>Government</t>
        </is>
      </c>
      <c r="O70" s="39" t="n">
        <v>25943.27</v>
      </c>
      <c r="P70" t="inlineStr">
        <is>
          <t>N</t>
        </is>
      </c>
    </row>
    <row r="71">
      <c r="A71" t="inlineStr">
        <is>
          <t>ENC111112</t>
        </is>
      </c>
      <c r="B71" t="inlineStr">
        <is>
          <t>PT12593</t>
        </is>
      </c>
      <c r="C71" s="42" t="n">
        <v>45669</v>
      </c>
      <c r="D71" s="42" t="n">
        <v>45669</v>
      </c>
      <c r="E71" s="38" t="n">
        <v>0</v>
      </c>
      <c r="F71" t="inlineStr">
        <is>
          <t>Emergency</t>
        </is>
      </c>
      <c r="G71" t="inlineStr">
        <is>
          <t>Bluestone Memorial Hospital</t>
        </is>
      </c>
      <c r="H71" t="inlineStr">
        <is>
          <t>Emergency Department</t>
        </is>
      </c>
      <c r="I71" t="inlineStr">
        <is>
          <t>Emergency</t>
        </is>
      </c>
      <c r="J71" t="inlineStr">
        <is>
          <t>Mendoza, Alexander</t>
        </is>
      </c>
      <c r="K71" t="inlineStr">
        <is>
          <t>N39.0</t>
        </is>
      </c>
      <c r="L71" t="inlineStr">
        <is>
          <t>Genitourinary</t>
        </is>
      </c>
      <c r="M71" t="inlineStr">
        <is>
          <t>Silverline Medicare Advantage</t>
        </is>
      </c>
      <c r="N71" t="inlineStr">
        <is>
          <t>Medicare Advantage</t>
        </is>
      </c>
      <c r="O71" s="39" t="n">
        <v>3348.85</v>
      </c>
    </row>
    <row r="72">
      <c r="A72" t="inlineStr">
        <is>
          <t>ENC111116</t>
        </is>
      </c>
      <c r="B72" t="inlineStr">
        <is>
          <t>PT12240</t>
        </is>
      </c>
      <c r="C72" s="42" t="n">
        <v>45669</v>
      </c>
      <c r="D72" s="42" t="n">
        <v>45669</v>
      </c>
      <c r="E72" s="38" t="n">
        <v>0</v>
      </c>
      <c r="F72" t="inlineStr">
        <is>
          <t>Emergency</t>
        </is>
      </c>
      <c r="G72" t="inlineStr">
        <is>
          <t>Bluestone Memorial Hospital</t>
        </is>
      </c>
      <c r="H72" t="inlineStr">
        <is>
          <t>Emergency Department</t>
        </is>
      </c>
      <c r="I72" t="inlineStr">
        <is>
          <t>Emergency</t>
        </is>
      </c>
      <c r="J72" t="inlineStr">
        <is>
          <t>Mendoza, Alexander</t>
        </is>
      </c>
      <c r="K72" t="inlineStr">
        <is>
          <t>F32.9</t>
        </is>
      </c>
      <c r="L72" t="inlineStr">
        <is>
          <t>Mental &amp; Behavioral</t>
        </is>
      </c>
      <c r="M72" t="inlineStr">
        <is>
          <t>Evergreen Mutual Insurance</t>
        </is>
      </c>
      <c r="N72" t="inlineStr">
        <is>
          <t>Commercial</t>
        </is>
      </c>
      <c r="O72" s="39" t="n">
        <v>2996.74</v>
      </c>
    </row>
    <row r="73">
      <c r="A73" t="inlineStr">
        <is>
          <t>ENC111130</t>
        </is>
      </c>
      <c r="B73" t="inlineStr">
        <is>
          <t>PT13718</t>
        </is>
      </c>
      <c r="C73" s="42" t="n">
        <v>45669</v>
      </c>
      <c r="D73" s="42" t="n">
        <v>45669</v>
      </c>
      <c r="E73" s="38" t="n">
        <v>0</v>
      </c>
      <c r="F73" t="inlineStr">
        <is>
          <t>Emergency</t>
        </is>
      </c>
      <c r="G73" t="inlineStr">
        <is>
          <t>Bluestone Memorial Hospital</t>
        </is>
      </c>
      <c r="H73" t="inlineStr">
        <is>
          <t>Emergency Department</t>
        </is>
      </c>
      <c r="I73" t="inlineStr">
        <is>
          <t>Emergency</t>
        </is>
      </c>
      <c r="J73" t="inlineStr">
        <is>
          <t>Jordan, Wayne</t>
        </is>
      </c>
      <c r="K73" t="inlineStr">
        <is>
          <t>H66.90</t>
        </is>
      </c>
      <c r="L73" t="inlineStr">
        <is>
          <t>Ear</t>
        </is>
      </c>
      <c r="M73" t="inlineStr">
        <is>
          <t>State Medicaid</t>
        </is>
      </c>
      <c r="N73" t="inlineStr">
        <is>
          <t>Government</t>
        </is>
      </c>
      <c r="O73" s="39" t="n">
        <v>1222.46</v>
      </c>
    </row>
    <row r="74">
      <c r="A74" t="inlineStr">
        <is>
          <t>ENC111137</t>
        </is>
      </c>
      <c r="B74" t="inlineStr">
        <is>
          <t>PT12093</t>
        </is>
      </c>
      <c r="C74" s="42" t="n">
        <v>45669</v>
      </c>
      <c r="D74" s="42" t="n">
        <v>45673</v>
      </c>
      <c r="E74" s="38" t="n">
        <v>4</v>
      </c>
      <c r="F74" t="inlineStr">
        <is>
          <t>Inpatient</t>
        </is>
      </c>
      <c r="G74" t="inlineStr">
        <is>
          <t>Bluestone Memorial Hospital</t>
        </is>
      </c>
      <c r="H74" t="inlineStr">
        <is>
          <t>Labor &amp; Delivery</t>
        </is>
      </c>
      <c r="I74" t="inlineStr">
        <is>
          <t>Women &amp; Children</t>
        </is>
      </c>
      <c r="J74" t="inlineStr">
        <is>
          <t>Hill, Andrea</t>
        </is>
      </c>
      <c r="K74" t="inlineStr">
        <is>
          <t>O80</t>
        </is>
      </c>
      <c r="L74" t="inlineStr">
        <is>
          <t>Pregnancy</t>
        </is>
      </c>
      <c r="M74" t="inlineStr">
        <is>
          <t>Keystone Health Partners</t>
        </is>
      </c>
      <c r="N74" t="inlineStr">
        <is>
          <t>Commercial</t>
        </is>
      </c>
      <c r="O74" s="39" t="n">
        <v>42793.86</v>
      </c>
      <c r="P74" t="inlineStr">
        <is>
          <t>N</t>
        </is>
      </c>
    </row>
    <row r="75">
      <c r="A75" t="inlineStr">
        <is>
          <t>ENC111138</t>
        </is>
      </c>
      <c r="B75" t="inlineStr">
        <is>
          <t>PT12455</t>
        </is>
      </c>
      <c r="C75" s="42" t="n">
        <v>45669</v>
      </c>
      <c r="D75" s="42" t="n">
        <v>45681</v>
      </c>
      <c r="E75" s="38" t="n">
        <v>12</v>
      </c>
      <c r="F75" t="inlineStr">
        <is>
          <t>Inpatient</t>
        </is>
      </c>
      <c r="G75" t="inlineStr">
        <is>
          <t>Bluestone Memorial Hospital</t>
        </is>
      </c>
      <c r="H75" t="inlineStr">
        <is>
          <t>Medical-Surgical 4 West</t>
        </is>
      </c>
      <c r="I75" t="inlineStr">
        <is>
          <t>Medicine</t>
        </is>
      </c>
      <c r="J75" t="inlineStr">
        <is>
          <t>Price, Juan</t>
        </is>
      </c>
      <c r="K75" t="inlineStr">
        <is>
          <t>J18.9</t>
        </is>
      </c>
      <c r="L75" t="inlineStr">
        <is>
          <t>Respiratory</t>
        </is>
      </c>
      <c r="M75" t="inlineStr">
        <is>
          <t>Medicare</t>
        </is>
      </c>
      <c r="N75" t="inlineStr">
        <is>
          <t>Government</t>
        </is>
      </c>
      <c r="O75" s="39" t="n">
        <v>48028.29</v>
      </c>
      <c r="P75" t="inlineStr">
        <is>
          <t>Y</t>
        </is>
      </c>
    </row>
    <row r="76">
      <c r="A76" t="inlineStr">
        <is>
          <t>ENC111139</t>
        </is>
      </c>
      <c r="B76" t="inlineStr">
        <is>
          <t>PT12817</t>
        </is>
      </c>
      <c r="C76" s="42" t="n">
        <v>45669</v>
      </c>
      <c r="D76" s="42" t="n">
        <v>45670</v>
      </c>
      <c r="E76" s="38" t="n">
        <v>1</v>
      </c>
      <c r="F76" t="inlineStr">
        <is>
          <t>Emergency</t>
        </is>
      </c>
      <c r="G76" t="inlineStr">
        <is>
          <t>Ashby Falls Community Hospital</t>
        </is>
      </c>
      <c r="H76" t="inlineStr">
        <is>
          <t>Emergency Department</t>
        </is>
      </c>
      <c r="I76" t="inlineStr">
        <is>
          <t>Emergency</t>
        </is>
      </c>
      <c r="J76" t="inlineStr">
        <is>
          <t>Richardson, Mei</t>
        </is>
      </c>
      <c r="K76" t="inlineStr">
        <is>
          <t>G43.909</t>
        </is>
      </c>
      <c r="L76" t="inlineStr">
        <is>
          <t>Nervous System</t>
        </is>
      </c>
      <c r="M76" t="inlineStr">
        <is>
          <t>Self-Pay</t>
        </is>
      </c>
      <c r="N76" t="inlineStr">
        <is>
          <t>Self-Pay</t>
        </is>
      </c>
      <c r="O76" s="39" t="n">
        <v>4375.74</v>
      </c>
    </row>
    <row r="77">
      <c r="A77" t="inlineStr">
        <is>
          <t>ENC111140</t>
        </is>
      </c>
      <c r="B77" t="inlineStr">
        <is>
          <t>PT10961</t>
        </is>
      </c>
      <c r="C77" s="42" t="n">
        <v>45670</v>
      </c>
      <c r="D77" s="42" t="n">
        <v>45670</v>
      </c>
      <c r="E77" s="38" t="n">
        <v>0</v>
      </c>
      <c r="F77" t="inlineStr">
        <is>
          <t>Emergency</t>
        </is>
      </c>
      <c r="G77" t="inlineStr">
        <is>
          <t>Bluestone Memorial Hospital</t>
        </is>
      </c>
      <c r="H77" t="inlineStr">
        <is>
          <t>Emergency Department</t>
        </is>
      </c>
      <c r="I77" t="inlineStr">
        <is>
          <t>Emergency</t>
        </is>
      </c>
      <c r="J77" t="inlineStr">
        <is>
          <t>Ferguson, Roy</t>
        </is>
      </c>
      <c r="K77" t="inlineStr">
        <is>
          <t>J21.9</t>
        </is>
      </c>
      <c r="L77" t="inlineStr">
        <is>
          <t>Respiratory</t>
        </is>
      </c>
      <c r="M77" t="inlineStr">
        <is>
          <t>Summit Choice PPO</t>
        </is>
      </c>
      <c r="N77" t="inlineStr">
        <is>
          <t>Commercial</t>
        </is>
      </c>
      <c r="O77" s="39" t="n">
        <v>2948.72</v>
      </c>
    </row>
    <row r="78">
      <c r="A78" t="inlineStr">
        <is>
          <t>ENC111148</t>
        </is>
      </c>
      <c r="B78" t="inlineStr">
        <is>
          <t>PT12176</t>
        </is>
      </c>
      <c r="C78" s="42" t="n">
        <v>45670</v>
      </c>
      <c r="D78" s="42" t="n">
        <v>45670</v>
      </c>
      <c r="E78" s="38" t="n">
        <v>0</v>
      </c>
      <c r="F78" t="inlineStr">
        <is>
          <t>Emergency</t>
        </is>
      </c>
      <c r="G78" t="inlineStr">
        <is>
          <t>Bluestone Memorial Hospital</t>
        </is>
      </c>
      <c r="H78" t="inlineStr">
        <is>
          <t>Emergency Department</t>
        </is>
      </c>
      <c r="I78" t="inlineStr">
        <is>
          <t>Emergency</t>
        </is>
      </c>
      <c r="J78" t="inlineStr">
        <is>
          <t>Elliott, Jesse</t>
        </is>
      </c>
      <c r="K78" t="inlineStr">
        <is>
          <t>J06.9</t>
        </is>
      </c>
      <c r="L78" t="inlineStr">
        <is>
          <t>Respiratory</t>
        </is>
      </c>
      <c r="M78" t="inlineStr">
        <is>
          <t>Silverline Medicare Advantage</t>
        </is>
      </c>
      <c r="N78" t="inlineStr">
        <is>
          <t>Medicare Advantage</t>
        </is>
      </c>
      <c r="O78" s="39" t="n">
        <v>1731.22</v>
      </c>
    </row>
    <row r="79">
      <c r="A79" t="inlineStr">
        <is>
          <t>ENC111152</t>
        </is>
      </c>
      <c r="B79" t="inlineStr">
        <is>
          <t>PT12192</t>
        </is>
      </c>
      <c r="C79" s="42" t="n">
        <v>45670</v>
      </c>
      <c r="D79" s="42" t="n">
        <v>45672</v>
      </c>
      <c r="E79" s="38" t="n">
        <v>2</v>
      </c>
      <c r="F79" t="inlineStr">
        <is>
          <t>Inpatient</t>
        </is>
      </c>
      <c r="G79" t="inlineStr">
        <is>
          <t>Bluestone Memorial Hospital</t>
        </is>
      </c>
      <c r="H79" t="inlineStr">
        <is>
          <t>Medical-Surgical 4 West</t>
        </is>
      </c>
      <c r="I79" t="inlineStr">
        <is>
          <t>Medicine</t>
        </is>
      </c>
      <c r="J79" t="inlineStr">
        <is>
          <t>Alvarado, Tyler</t>
        </is>
      </c>
      <c r="K79" t="inlineStr">
        <is>
          <t>J44.1</t>
        </is>
      </c>
      <c r="L79" t="inlineStr">
        <is>
          <t>Respiratory</t>
        </is>
      </c>
      <c r="M79" t="inlineStr">
        <is>
          <t>Evergreen Mutual Insurance</t>
        </is>
      </c>
      <c r="N79" t="inlineStr">
        <is>
          <t>Commercial</t>
        </is>
      </c>
      <c r="O79" s="39" t="n">
        <v>11711.1</v>
      </c>
      <c r="P79" t="inlineStr">
        <is>
          <t>Y</t>
        </is>
      </c>
    </row>
    <row r="80">
      <c r="A80" t="inlineStr">
        <is>
          <t>ENC111153</t>
        </is>
      </c>
      <c r="B80" t="inlineStr">
        <is>
          <t>PT13703</t>
        </is>
      </c>
      <c r="C80" s="42" t="n">
        <v>45670</v>
      </c>
      <c r="D80" s="42" t="n">
        <v>45670</v>
      </c>
      <c r="E80" s="38" t="n">
        <v>0</v>
      </c>
      <c r="F80" t="inlineStr">
        <is>
          <t>Outpatient</t>
        </is>
      </c>
      <c r="G80" t="inlineStr">
        <is>
          <t>Bluestone Outpatient Pavilion</t>
        </is>
      </c>
      <c r="H80" t="inlineStr">
        <is>
          <t>Pediatric Clinic</t>
        </is>
      </c>
      <c r="I80" t="inlineStr">
        <is>
          <t>Women &amp; Children</t>
        </is>
      </c>
      <c r="J80" t="inlineStr">
        <is>
          <t>Alvarez, Susan</t>
        </is>
      </c>
      <c r="K80" t="inlineStr">
        <is>
          <t>G40.909</t>
        </is>
      </c>
      <c r="L80" t="inlineStr">
        <is>
          <t>Nervous System</t>
        </is>
      </c>
      <c r="M80" t="inlineStr">
        <is>
          <t>Keystone Health Partners</t>
        </is>
      </c>
      <c r="N80" t="inlineStr">
        <is>
          <t>Commercial</t>
        </is>
      </c>
      <c r="O80" s="39" t="n">
        <v>386.16</v>
      </c>
    </row>
    <row r="81">
      <c r="A81" t="inlineStr">
        <is>
          <t>ENC111155</t>
        </is>
      </c>
      <c r="B81" t="inlineStr">
        <is>
          <t>PT13420</t>
        </is>
      </c>
      <c r="C81" s="42" t="n">
        <v>45670</v>
      </c>
      <c r="D81" s="42" t="n">
        <v>45670</v>
      </c>
      <c r="E81" s="38" t="n">
        <v>0</v>
      </c>
      <c r="F81" t="inlineStr">
        <is>
          <t>Emergency</t>
        </is>
      </c>
      <c r="G81" t="inlineStr">
        <is>
          <t>Bluestone Memorial Hospital</t>
        </is>
      </c>
      <c r="H81" t="inlineStr">
        <is>
          <t>Emergency Department</t>
        </is>
      </c>
      <c r="I81" t="inlineStr">
        <is>
          <t>Emergency</t>
        </is>
      </c>
      <c r="J81" t="inlineStr">
        <is>
          <t>Mendoza, Alexander</t>
        </is>
      </c>
      <c r="K81" t="inlineStr">
        <is>
          <t>J06.9</t>
        </is>
      </c>
      <c r="L81" t="inlineStr">
        <is>
          <t>Respiratory</t>
        </is>
      </c>
      <c r="M81" t="inlineStr">
        <is>
          <t>Keystone Health Partners</t>
        </is>
      </c>
      <c r="N81" t="inlineStr">
        <is>
          <t>Commercial</t>
        </is>
      </c>
      <c r="O81" s="39" t="n">
        <v>821.73</v>
      </c>
    </row>
    <row r="82">
      <c r="A82" t="inlineStr">
        <is>
          <t>ENC111173</t>
        </is>
      </c>
      <c r="B82" t="inlineStr">
        <is>
          <t>PT13354</t>
        </is>
      </c>
      <c r="C82" s="42" t="n">
        <v>45670</v>
      </c>
      <c r="D82" s="42" t="n">
        <v>45670</v>
      </c>
      <c r="E82" s="38" t="n">
        <v>0</v>
      </c>
      <c r="F82" t="inlineStr">
        <is>
          <t>Emergency</t>
        </is>
      </c>
      <c r="G82" t="inlineStr">
        <is>
          <t>Bluestone Memorial Hospital</t>
        </is>
      </c>
      <c r="H82" t="inlineStr">
        <is>
          <t>Emergency Department</t>
        </is>
      </c>
      <c r="I82" t="inlineStr">
        <is>
          <t>Emergency</t>
        </is>
      </c>
      <c r="J82" t="inlineStr">
        <is>
          <t>Mendoza, Alexander</t>
        </is>
      </c>
      <c r="K82" t="inlineStr">
        <is>
          <t>R55</t>
        </is>
      </c>
      <c r="L82" t="inlineStr">
        <is>
          <t>Symptoms &amp; Signs</t>
        </is>
      </c>
      <c r="M82" t="inlineStr">
        <is>
          <t>Medicare</t>
        </is>
      </c>
      <c r="N82" t="inlineStr">
        <is>
          <t>Government</t>
        </is>
      </c>
      <c r="O82" s="39" t="n">
        <v>1679.65</v>
      </c>
    </row>
    <row r="83">
      <c r="A83" t="inlineStr">
        <is>
          <t>ENC111178</t>
        </is>
      </c>
      <c r="B83" t="inlineStr">
        <is>
          <t>PT10752</t>
        </is>
      </c>
      <c r="C83" s="42" t="n">
        <v>45670</v>
      </c>
      <c r="D83" s="42" t="n">
        <v>45670</v>
      </c>
      <c r="E83" s="38" t="n">
        <v>0</v>
      </c>
      <c r="F83" t="inlineStr">
        <is>
          <t>Emergency</t>
        </is>
      </c>
      <c r="G83" t="inlineStr">
        <is>
          <t>Ashby Falls Community Hospital</t>
        </is>
      </c>
      <c r="H83" t="inlineStr">
        <is>
          <t>Emergency Department</t>
        </is>
      </c>
      <c r="I83" t="inlineStr">
        <is>
          <t>Emergency</t>
        </is>
      </c>
      <c r="J83" t="inlineStr">
        <is>
          <t>Marshall, Lisa</t>
        </is>
      </c>
      <c r="K83" t="inlineStr">
        <is>
          <t>J06.9</t>
        </is>
      </c>
      <c r="L83" t="inlineStr">
        <is>
          <t>Respiratory</t>
        </is>
      </c>
      <c r="M83" t="inlineStr">
        <is>
          <t>State Medicaid</t>
        </is>
      </c>
      <c r="N83" t="inlineStr">
        <is>
          <t>Government</t>
        </is>
      </c>
      <c r="O83" s="39" t="n">
        <v>1948.54</v>
      </c>
    </row>
    <row r="84">
      <c r="A84" t="inlineStr">
        <is>
          <t>ENC111185</t>
        </is>
      </c>
      <c r="B84" t="inlineStr">
        <is>
          <t>PT10644</t>
        </is>
      </c>
      <c r="C84" s="42" t="n">
        <v>45670</v>
      </c>
      <c r="D84" s="42" t="n">
        <v>45675</v>
      </c>
      <c r="E84" s="38" t="n">
        <v>5</v>
      </c>
      <c r="F84" t="inlineStr">
        <is>
          <t>Inpatient</t>
        </is>
      </c>
      <c r="G84" t="inlineStr">
        <is>
          <t>Cedar Ridge Medical Center</t>
        </is>
      </c>
      <c r="H84" t="inlineStr">
        <is>
          <t>Cardiac Step-Down</t>
        </is>
      </c>
      <c r="I84" t="inlineStr">
        <is>
          <t>Cardiovascular</t>
        </is>
      </c>
      <c r="J84" t="inlineStr">
        <is>
          <t>Gonzales, Edward</t>
        </is>
      </c>
      <c r="K84" t="inlineStr">
        <is>
          <t>I50.9</t>
        </is>
      </c>
      <c r="L84" t="inlineStr">
        <is>
          <t>Circulatory</t>
        </is>
      </c>
      <c r="M84" t="inlineStr">
        <is>
          <t>Medicare</t>
        </is>
      </c>
      <c r="N84" t="inlineStr">
        <is>
          <t>Government</t>
        </is>
      </c>
      <c r="O84" s="39" t="n">
        <v>19932.18</v>
      </c>
      <c r="P84" t="inlineStr">
        <is>
          <t>Y</t>
        </is>
      </c>
    </row>
    <row r="85">
      <c r="A85" t="inlineStr">
        <is>
          <t>ENC111188</t>
        </is>
      </c>
      <c r="B85" t="inlineStr">
        <is>
          <t>PT13686</t>
        </is>
      </c>
      <c r="C85" s="42" t="n">
        <v>45671</v>
      </c>
      <c r="D85" s="42" t="n">
        <v>45676</v>
      </c>
      <c r="E85" s="38" t="n">
        <v>5</v>
      </c>
      <c r="F85" t="inlineStr">
        <is>
          <t>Inpatient</t>
        </is>
      </c>
      <c r="G85" t="inlineStr">
        <is>
          <t>Bluestone Memorial Hospital</t>
        </is>
      </c>
      <c r="H85" t="inlineStr">
        <is>
          <t>Cardiac Step-Down</t>
        </is>
      </c>
      <c r="I85" t="inlineStr">
        <is>
          <t>Cardiovascular</t>
        </is>
      </c>
      <c r="J85" t="inlineStr">
        <is>
          <t>Alvarado, Tyler</t>
        </is>
      </c>
      <c r="K85" t="inlineStr">
        <is>
          <t>I21.4</t>
        </is>
      </c>
      <c r="L85" t="inlineStr">
        <is>
          <t>Circulatory</t>
        </is>
      </c>
      <c r="M85" t="inlineStr">
        <is>
          <t>Medicare</t>
        </is>
      </c>
      <c r="N85" t="inlineStr">
        <is>
          <t>Government</t>
        </is>
      </c>
      <c r="O85" s="39" t="n">
        <v>77803.75999999999</v>
      </c>
      <c r="P85" t="inlineStr">
        <is>
          <t>N</t>
        </is>
      </c>
    </row>
    <row r="86">
      <c r="A86" t="inlineStr">
        <is>
          <t>ENC111189</t>
        </is>
      </c>
      <c r="B86" t="inlineStr">
        <is>
          <t>PT10618</t>
        </is>
      </c>
      <c r="C86" s="42" t="n">
        <v>45671</v>
      </c>
      <c r="D86" s="42" t="n">
        <v>45672</v>
      </c>
      <c r="E86" s="38" t="n">
        <v>1</v>
      </c>
      <c r="F86" t="inlineStr">
        <is>
          <t>Observation</t>
        </is>
      </c>
      <c r="G86" t="inlineStr">
        <is>
          <t>Bluestone Memorial Hospital</t>
        </is>
      </c>
      <c r="H86" t="inlineStr">
        <is>
          <t>Observation Unit</t>
        </is>
      </c>
      <c r="I86" t="inlineStr">
        <is>
          <t>Medicine</t>
        </is>
      </c>
      <c r="J86" t="inlineStr">
        <is>
          <t>Price, Juan</t>
        </is>
      </c>
      <c r="K86" t="inlineStr">
        <is>
          <t>R07.9</t>
        </is>
      </c>
      <c r="L86" t="inlineStr">
        <is>
          <t>Symptoms &amp; Signs</t>
        </is>
      </c>
      <c r="M86" t="inlineStr">
        <is>
          <t>Medicare</t>
        </is>
      </c>
      <c r="N86" t="inlineStr">
        <is>
          <t>Government</t>
        </is>
      </c>
      <c r="O86" s="39" t="n">
        <v>9061.540000000001</v>
      </c>
    </row>
    <row r="87">
      <c r="A87" t="inlineStr">
        <is>
          <t>ENC111199</t>
        </is>
      </c>
      <c r="B87" t="inlineStr">
        <is>
          <t>PT12372</t>
        </is>
      </c>
      <c r="C87" s="42" t="n">
        <v>45671</v>
      </c>
      <c r="D87" s="42" t="n">
        <v>45671</v>
      </c>
      <c r="E87" s="38" t="n">
        <v>0</v>
      </c>
      <c r="F87" t="inlineStr">
        <is>
          <t>Outpatient</t>
        </is>
      </c>
      <c r="G87" t="inlineStr">
        <is>
          <t>Bluestone Outpatient Pavilion</t>
        </is>
      </c>
      <c r="H87" t="inlineStr">
        <is>
          <t>Primary Care Clinic</t>
        </is>
      </c>
      <c r="I87" t="inlineStr">
        <is>
          <t>Ambulatory</t>
        </is>
      </c>
      <c r="J87" t="inlineStr">
        <is>
          <t>Petrov, Doris</t>
        </is>
      </c>
      <c r="K87" t="inlineStr">
        <is>
          <t>E78.5</t>
        </is>
      </c>
      <c r="L87" t="inlineStr">
        <is>
          <t>Endocrine</t>
        </is>
      </c>
      <c r="M87" t="inlineStr">
        <is>
          <t>Evergreen Mutual Insurance</t>
        </is>
      </c>
      <c r="N87" t="inlineStr">
        <is>
          <t>Commercial</t>
        </is>
      </c>
      <c r="O87" s="39" t="n">
        <v>340.09</v>
      </c>
    </row>
    <row r="88">
      <c r="A88" t="inlineStr">
        <is>
          <t>ENC111201</t>
        </is>
      </c>
      <c r="B88" t="inlineStr">
        <is>
          <t>PT10360</t>
        </is>
      </c>
      <c r="C88" s="42" t="n">
        <v>45671</v>
      </c>
      <c r="D88" s="42" t="n">
        <v>45671</v>
      </c>
      <c r="E88" s="38" t="n">
        <v>0</v>
      </c>
      <c r="F88" t="inlineStr">
        <is>
          <t>Outpatient</t>
        </is>
      </c>
      <c r="G88" t="inlineStr">
        <is>
          <t>Bluestone Outpatient Pavilion</t>
        </is>
      </c>
      <c r="H88" t="inlineStr">
        <is>
          <t>Infusion &amp; Oncology Clinic</t>
        </is>
      </c>
      <c r="I88" t="inlineStr">
        <is>
          <t>Oncology</t>
        </is>
      </c>
      <c r="J88" t="inlineStr">
        <is>
          <t>Robinson, Bradley</t>
        </is>
      </c>
      <c r="K88" t="inlineStr">
        <is>
          <t>Z51.11</t>
        </is>
      </c>
      <c r="L88" t="inlineStr">
        <is>
          <t>Factors Influencing Health</t>
        </is>
      </c>
      <c r="M88" t="inlineStr">
        <is>
          <t>Silverline Medicare Advantage</t>
        </is>
      </c>
      <c r="N88" t="inlineStr">
        <is>
          <t>Medicare Advantage</t>
        </is>
      </c>
      <c r="O88" s="39" t="n">
        <v>12402.28</v>
      </c>
    </row>
    <row r="89">
      <c r="A89" t="inlineStr">
        <is>
          <t>ENC111202</t>
        </is>
      </c>
      <c r="B89" t="inlineStr">
        <is>
          <t>PT12512</t>
        </is>
      </c>
      <c r="C89" s="42" t="n">
        <v>45671</v>
      </c>
      <c r="D89" s="42" t="n">
        <v>45671</v>
      </c>
      <c r="E89" s="38" t="n">
        <v>0</v>
      </c>
      <c r="F89" t="inlineStr">
        <is>
          <t>Outpatient</t>
        </is>
      </c>
      <c r="G89" t="inlineStr">
        <is>
          <t>Bluestone Outpatient Pavilion</t>
        </is>
      </c>
      <c r="H89" t="inlineStr">
        <is>
          <t>Endocrinology &amp; Diabetes Clinic</t>
        </is>
      </c>
      <c r="I89" t="inlineStr">
        <is>
          <t>Ambulatory</t>
        </is>
      </c>
      <c r="J89" t="inlineStr">
        <is>
          <t>Rivera, Scott</t>
        </is>
      </c>
      <c r="K89" t="inlineStr">
        <is>
          <t>E11.65</t>
        </is>
      </c>
      <c r="L89" t="inlineStr">
        <is>
          <t>Endocrine</t>
        </is>
      </c>
      <c r="M89" t="inlineStr">
        <is>
          <t>Keystone Health Partners</t>
        </is>
      </c>
      <c r="N89" t="inlineStr">
        <is>
          <t>Commercial</t>
        </is>
      </c>
      <c r="O89" s="39" t="n">
        <v>428.6</v>
      </c>
    </row>
    <row r="90">
      <c r="A90" t="inlineStr">
        <is>
          <t>ENC111208</t>
        </is>
      </c>
      <c r="B90" t="inlineStr">
        <is>
          <t>PT11934</t>
        </is>
      </c>
      <c r="C90" s="42" t="n">
        <v>45671</v>
      </c>
      <c r="D90" s="42" t="n">
        <v>45671</v>
      </c>
      <c r="E90" s="38" t="n">
        <v>0</v>
      </c>
      <c r="F90" t="inlineStr">
        <is>
          <t>Outpatient</t>
        </is>
      </c>
      <c r="G90" t="inlineStr">
        <is>
          <t>Bluestone Outpatient Pavilion</t>
        </is>
      </c>
      <c r="H90" t="inlineStr">
        <is>
          <t>Infusion &amp; Oncology Clinic</t>
        </is>
      </c>
      <c r="I90" t="inlineStr">
        <is>
          <t>Oncology</t>
        </is>
      </c>
      <c r="J90" t="inlineStr">
        <is>
          <t>Hicks, Zachary</t>
        </is>
      </c>
      <c r="K90" t="inlineStr">
        <is>
          <t>Z51.11</t>
        </is>
      </c>
      <c r="L90" t="inlineStr">
        <is>
          <t>Factors Influencing Health</t>
        </is>
      </c>
      <c r="M90" t="inlineStr">
        <is>
          <t>Self-Pay</t>
        </is>
      </c>
      <c r="N90" t="inlineStr">
        <is>
          <t>Self-Pay</t>
        </is>
      </c>
      <c r="O90" s="39" t="n">
        <v>11536.03</v>
      </c>
    </row>
    <row r="91">
      <c r="A91" t="inlineStr">
        <is>
          <t>ENC111209</t>
        </is>
      </c>
      <c r="B91" t="inlineStr">
        <is>
          <t>PT12270</t>
        </is>
      </c>
      <c r="C91" s="42" t="n">
        <v>45671</v>
      </c>
      <c r="D91" s="42" t="n">
        <v>45672</v>
      </c>
      <c r="E91" s="38" t="n">
        <v>1</v>
      </c>
      <c r="F91" t="inlineStr">
        <is>
          <t>Observation</t>
        </is>
      </c>
      <c r="G91" t="inlineStr">
        <is>
          <t>Bluestone Memorial Hospital</t>
        </is>
      </c>
      <c r="H91" t="inlineStr">
        <is>
          <t>Observation Unit</t>
        </is>
      </c>
      <c r="I91" t="inlineStr">
        <is>
          <t>Medicine</t>
        </is>
      </c>
      <c r="J91" t="inlineStr">
        <is>
          <t>Wallace, Alan</t>
        </is>
      </c>
      <c r="K91" t="inlineStr">
        <is>
          <t>J45.909</t>
        </is>
      </c>
      <c r="L91" t="inlineStr">
        <is>
          <t>Respiratory</t>
        </is>
      </c>
      <c r="M91" t="inlineStr">
        <is>
          <t>Medicare</t>
        </is>
      </c>
      <c r="N91" t="inlineStr">
        <is>
          <t>Government</t>
        </is>
      </c>
      <c r="O91" s="39" t="n">
        <v>6554.82</v>
      </c>
    </row>
    <row r="92">
      <c r="A92" t="inlineStr">
        <is>
          <t>ENC111221</t>
        </is>
      </c>
      <c r="B92" t="inlineStr">
        <is>
          <t>PT11459</t>
        </is>
      </c>
      <c r="C92" s="42" t="n">
        <v>45671</v>
      </c>
      <c r="D92" s="42" t="n">
        <v>45671</v>
      </c>
      <c r="E92" s="38" t="n">
        <v>0</v>
      </c>
      <c r="F92" t="inlineStr">
        <is>
          <t>Emergency</t>
        </is>
      </c>
      <c r="G92" t="inlineStr">
        <is>
          <t>Ashby Falls Community Hospital</t>
        </is>
      </c>
      <c r="H92" t="inlineStr">
        <is>
          <t>Emergency Department</t>
        </is>
      </c>
      <c r="I92" t="inlineStr">
        <is>
          <t>Emergency</t>
        </is>
      </c>
      <c r="J92" t="inlineStr">
        <is>
          <t>Marshall, Lisa</t>
        </is>
      </c>
      <c r="K92" t="inlineStr">
        <is>
          <t>M54.50</t>
        </is>
      </c>
      <c r="L92" t="inlineStr">
        <is>
          <t>Musculoskeletal</t>
        </is>
      </c>
      <c r="M92" t="inlineStr">
        <is>
          <t>Summit Choice PPO</t>
        </is>
      </c>
      <c r="N92" t="inlineStr">
        <is>
          <t>Commercial</t>
        </is>
      </c>
      <c r="O92" s="39" t="n">
        <v>1954.28</v>
      </c>
    </row>
    <row r="93">
      <c r="A93" t="inlineStr">
        <is>
          <t>ENC111225</t>
        </is>
      </c>
      <c r="B93" t="inlineStr">
        <is>
          <t>PT10652</t>
        </is>
      </c>
      <c r="C93" s="42" t="n">
        <v>45672</v>
      </c>
      <c r="D93" s="42" t="n">
        <v>45677</v>
      </c>
      <c r="E93" s="38" t="n">
        <v>5</v>
      </c>
      <c r="F93" t="inlineStr">
        <is>
          <t>Inpatient</t>
        </is>
      </c>
      <c r="G93" t="inlineStr">
        <is>
          <t>Bluestone Memorial Hospital</t>
        </is>
      </c>
      <c r="H93" t="inlineStr">
        <is>
          <t>Intensive Care Unit</t>
        </is>
      </c>
      <c r="I93" t="inlineStr">
        <is>
          <t>Critical Care</t>
        </is>
      </c>
      <c r="J93" t="inlineStr">
        <is>
          <t>Hamilton, Leila</t>
        </is>
      </c>
      <c r="K93" t="inlineStr">
        <is>
          <t>A41.9</t>
        </is>
      </c>
      <c r="L93" t="inlineStr">
        <is>
          <t>Infectious</t>
        </is>
      </c>
      <c r="M93" t="inlineStr">
        <is>
          <t>Evergreen Mutual Insurance</t>
        </is>
      </c>
      <c r="N93" t="inlineStr">
        <is>
          <t>Commercial</t>
        </is>
      </c>
      <c r="O93" s="39" t="n">
        <v>60727.45</v>
      </c>
      <c r="P93" t="inlineStr">
        <is>
          <t>Y</t>
        </is>
      </c>
    </row>
    <row r="94">
      <c r="A94" t="inlineStr">
        <is>
          <t>ENC111232</t>
        </is>
      </c>
      <c r="B94" t="inlineStr">
        <is>
          <t>PT13057</t>
        </is>
      </c>
      <c r="C94" s="42" t="n">
        <v>45672</v>
      </c>
      <c r="D94" s="42" t="n">
        <v>45672</v>
      </c>
      <c r="E94" s="38" t="n">
        <v>0</v>
      </c>
      <c r="F94" t="inlineStr">
        <is>
          <t>Outpatient</t>
        </is>
      </c>
      <c r="G94" t="inlineStr">
        <is>
          <t>Bluestone Outpatient Pavilion</t>
        </is>
      </c>
      <c r="H94" t="inlineStr">
        <is>
          <t>Primary Care Clinic</t>
        </is>
      </c>
      <c r="I94" t="inlineStr">
        <is>
          <t>Ambulatory</t>
        </is>
      </c>
      <c r="J94" t="inlineStr">
        <is>
          <t>Petrov, Doris</t>
        </is>
      </c>
      <c r="K94" t="inlineStr">
        <is>
          <t>J45.909</t>
        </is>
      </c>
      <c r="L94" t="inlineStr">
        <is>
          <t>Respiratory</t>
        </is>
      </c>
      <c r="M94" t="inlineStr">
        <is>
          <t>Evergreen Mutual Insurance</t>
        </is>
      </c>
      <c r="N94" t="inlineStr">
        <is>
          <t>Commercial</t>
        </is>
      </c>
      <c r="O94" s="39" t="n">
        <v>176.35</v>
      </c>
    </row>
    <row r="95">
      <c r="A95" t="inlineStr">
        <is>
          <t>ENC111240</t>
        </is>
      </c>
      <c r="B95" t="inlineStr">
        <is>
          <t>PT11840</t>
        </is>
      </c>
      <c r="C95" s="42" t="n">
        <v>45672</v>
      </c>
      <c r="D95" s="42" t="n">
        <v>45672</v>
      </c>
      <c r="E95" s="38" t="n">
        <v>0</v>
      </c>
      <c r="F95" t="inlineStr">
        <is>
          <t>Outpatient</t>
        </is>
      </c>
      <c r="G95" t="inlineStr">
        <is>
          <t>Bluestone Outpatient Pavilion</t>
        </is>
      </c>
      <c r="H95" t="inlineStr">
        <is>
          <t>Infusion &amp; Oncology Clinic</t>
        </is>
      </c>
      <c r="I95" t="inlineStr">
        <is>
          <t>Oncology</t>
        </is>
      </c>
      <c r="J95" t="inlineStr">
        <is>
          <t>Cooper, Logan</t>
        </is>
      </c>
      <c r="K95" t="inlineStr">
        <is>
          <t>C50.911</t>
        </is>
      </c>
      <c r="L95" t="inlineStr">
        <is>
          <t>Neoplasms</t>
        </is>
      </c>
      <c r="M95" t="inlineStr">
        <is>
          <t>Silverline Medicare Advantage</t>
        </is>
      </c>
      <c r="N95" t="inlineStr">
        <is>
          <t>Medicare Advantage</t>
        </is>
      </c>
      <c r="O95" s="39" t="n">
        <v>849.05</v>
      </c>
    </row>
    <row r="96">
      <c r="A96" t="inlineStr">
        <is>
          <t>ENC111253</t>
        </is>
      </c>
      <c r="B96" t="inlineStr">
        <is>
          <t>PT10610</t>
        </is>
      </c>
      <c r="C96" s="42" t="n">
        <v>45672</v>
      </c>
      <c r="D96" s="42" t="n">
        <v>45675</v>
      </c>
      <c r="E96" s="38" t="n">
        <v>3</v>
      </c>
      <c r="F96" t="inlineStr">
        <is>
          <t>Inpatient</t>
        </is>
      </c>
      <c r="G96" t="inlineStr">
        <is>
          <t>Cedar Ridge Medical Center</t>
        </is>
      </c>
      <c r="H96" t="inlineStr">
        <is>
          <t>Medical-Surgical</t>
        </is>
      </c>
      <c r="I96" t="inlineStr">
        <is>
          <t>Medicine</t>
        </is>
      </c>
      <c r="J96" t="inlineStr">
        <is>
          <t>Reyes, Harper</t>
        </is>
      </c>
      <c r="K96" t="inlineStr">
        <is>
          <t>N39.0</t>
        </is>
      </c>
      <c r="L96" t="inlineStr">
        <is>
          <t>Genitourinary</t>
        </is>
      </c>
      <c r="M96" t="inlineStr">
        <is>
          <t>Keystone Health Partners</t>
        </is>
      </c>
      <c r="N96" t="inlineStr">
        <is>
          <t>Commercial</t>
        </is>
      </c>
      <c r="O96" s="39" t="n">
        <v>15846.72</v>
      </c>
      <c r="P96" t="inlineStr">
        <is>
          <t>N</t>
        </is>
      </c>
    </row>
    <row r="97">
      <c r="A97" t="inlineStr">
        <is>
          <t>ENC111266</t>
        </is>
      </c>
      <c r="B97" t="inlineStr">
        <is>
          <t>PT11413</t>
        </is>
      </c>
      <c r="C97" s="42" t="n">
        <v>45673</v>
      </c>
      <c r="D97" s="42" t="n">
        <v>45673</v>
      </c>
      <c r="E97" s="38" t="n">
        <v>0</v>
      </c>
      <c r="F97" t="inlineStr">
        <is>
          <t>Outpatient</t>
        </is>
      </c>
      <c r="G97" t="inlineStr">
        <is>
          <t>Bluestone Outpatient Pavilion</t>
        </is>
      </c>
      <c r="H97" t="inlineStr">
        <is>
          <t>Primary Care Clinic</t>
        </is>
      </c>
      <c r="I97" t="inlineStr">
        <is>
          <t>Ambulatory</t>
        </is>
      </c>
      <c r="J97" t="inlineStr">
        <is>
          <t>Black, Nancy</t>
        </is>
      </c>
      <c r="K97" t="inlineStr">
        <is>
          <t>Z23</t>
        </is>
      </c>
      <c r="L97" t="inlineStr">
        <is>
          <t>Factors Influencing Health</t>
        </is>
      </c>
      <c r="M97" t="inlineStr">
        <is>
          <t>State Medicaid</t>
        </is>
      </c>
      <c r="N97" t="inlineStr">
        <is>
          <t>Government</t>
        </is>
      </c>
      <c r="O97" s="39" t="n">
        <v>141.53</v>
      </c>
    </row>
    <row r="98">
      <c r="A98" t="inlineStr">
        <is>
          <t>ENC111269</t>
        </is>
      </c>
      <c r="B98" t="inlineStr">
        <is>
          <t>PT11716</t>
        </is>
      </c>
      <c r="C98" s="42" t="n">
        <v>45673</v>
      </c>
      <c r="D98" s="42" t="n">
        <v>45673</v>
      </c>
      <c r="E98" s="38" t="n">
        <v>0</v>
      </c>
      <c r="F98" t="inlineStr">
        <is>
          <t>Outpatient</t>
        </is>
      </c>
      <c r="G98" t="inlineStr">
        <is>
          <t>Bluestone Outpatient Pavilion</t>
        </is>
      </c>
      <c r="H98" t="inlineStr">
        <is>
          <t>Primary Care Clinic</t>
        </is>
      </c>
      <c r="I98" t="inlineStr">
        <is>
          <t>Ambulatory</t>
        </is>
      </c>
      <c r="J98" t="inlineStr">
        <is>
          <t>Santos, Edward</t>
        </is>
      </c>
      <c r="K98" t="inlineStr">
        <is>
          <t>G40.909</t>
        </is>
      </c>
      <c r="L98" t="inlineStr">
        <is>
          <t>Nervous System</t>
        </is>
      </c>
      <c r="M98" t="inlineStr">
        <is>
          <t>Silverline Medicare Advantage</t>
        </is>
      </c>
      <c r="N98" t="inlineStr">
        <is>
          <t>Medicare Advantage</t>
        </is>
      </c>
      <c r="O98" s="39" t="n">
        <v>278.85</v>
      </c>
    </row>
    <row r="99">
      <c r="A99" t="inlineStr">
        <is>
          <t>ENC111270</t>
        </is>
      </c>
      <c r="B99" t="inlineStr">
        <is>
          <t>PT10474</t>
        </is>
      </c>
      <c r="C99" s="42" t="n">
        <v>45673</v>
      </c>
      <c r="D99" s="42" t="n">
        <v>45673</v>
      </c>
      <c r="E99" s="38" t="n">
        <v>0</v>
      </c>
      <c r="F99" t="inlineStr">
        <is>
          <t>Outpatient</t>
        </is>
      </c>
      <c r="G99" t="inlineStr">
        <is>
          <t>Bluestone Outpatient Pavilion</t>
        </is>
      </c>
      <c r="H99" t="inlineStr">
        <is>
          <t>Orthopedic Clinic</t>
        </is>
      </c>
      <c r="I99" t="inlineStr">
        <is>
          <t>Orthopedics</t>
        </is>
      </c>
      <c r="J99" t="inlineStr">
        <is>
          <t>Wagner, Carlos</t>
        </is>
      </c>
      <c r="K99" t="inlineStr">
        <is>
          <t>M17.11</t>
        </is>
      </c>
      <c r="L99" t="inlineStr">
        <is>
          <t>Musculoskeletal</t>
        </is>
      </c>
      <c r="M99" t="inlineStr">
        <is>
          <t>Evergreen Mutual Insurance</t>
        </is>
      </c>
      <c r="N99" t="inlineStr">
        <is>
          <t>Commercial</t>
        </is>
      </c>
      <c r="O99" s="39" t="n">
        <v>304.07</v>
      </c>
    </row>
    <row r="100">
      <c r="A100" t="inlineStr">
        <is>
          <t>ENC111279</t>
        </is>
      </c>
      <c r="B100" t="inlineStr">
        <is>
          <t>PT11504</t>
        </is>
      </c>
      <c r="C100" s="42" t="n">
        <v>45673</v>
      </c>
      <c r="D100" s="42" t="n">
        <v>45673</v>
      </c>
      <c r="E100" s="38" t="n">
        <v>0</v>
      </c>
      <c r="F100" t="inlineStr">
        <is>
          <t>Outpatient</t>
        </is>
      </c>
      <c r="G100" t="inlineStr">
        <is>
          <t>Bluestone Outpatient Pavilion</t>
        </is>
      </c>
      <c r="H100" t="inlineStr">
        <is>
          <t>Primary Care Clinic</t>
        </is>
      </c>
      <c r="I100" t="inlineStr">
        <is>
          <t>Ambulatory</t>
        </is>
      </c>
      <c r="J100" t="inlineStr">
        <is>
          <t>Black, Nancy</t>
        </is>
      </c>
      <c r="K100" t="inlineStr">
        <is>
          <t>J06.9</t>
        </is>
      </c>
      <c r="L100" t="inlineStr">
        <is>
          <t>Respiratory</t>
        </is>
      </c>
      <c r="M100" t="inlineStr">
        <is>
          <t>Medicare</t>
        </is>
      </c>
      <c r="N100" t="inlineStr">
        <is>
          <t>Government</t>
        </is>
      </c>
      <c r="O100" s="39" t="n">
        <v>282.54</v>
      </c>
    </row>
    <row r="101">
      <c r="A101" t="inlineStr">
        <is>
          <t>ENC111282</t>
        </is>
      </c>
      <c r="B101" t="inlineStr">
        <is>
          <t>PT11155</t>
        </is>
      </c>
      <c r="C101" s="42" t="n">
        <v>45673</v>
      </c>
      <c r="D101" s="42" t="n">
        <v>45687</v>
      </c>
      <c r="E101" s="38" t="n">
        <v>14</v>
      </c>
      <c r="F101" t="inlineStr">
        <is>
          <t>Inpatient</t>
        </is>
      </c>
      <c r="G101" t="inlineStr">
        <is>
          <t>Bluestone Memorial Hospital</t>
        </is>
      </c>
      <c r="H101" t="inlineStr">
        <is>
          <t>Behavioral Health</t>
        </is>
      </c>
      <c r="I101" t="inlineStr">
        <is>
          <t>Behavioral Health</t>
        </is>
      </c>
      <c r="J101" t="inlineStr">
        <is>
          <t>Clark, Frank</t>
        </is>
      </c>
      <c r="K101" t="inlineStr">
        <is>
          <t>F20.9</t>
        </is>
      </c>
      <c r="L101" t="inlineStr">
        <is>
          <t>Mental &amp; Behavioral</t>
        </is>
      </c>
      <c r="M101" t="inlineStr">
        <is>
          <t>Evergreen Mutual Insurance</t>
        </is>
      </c>
      <c r="N101" t="inlineStr">
        <is>
          <t>Commercial</t>
        </is>
      </c>
      <c r="O101" s="39" t="n">
        <v>29998.42</v>
      </c>
      <c r="P101" t="inlineStr">
        <is>
          <t>N</t>
        </is>
      </c>
    </row>
    <row r="102">
      <c r="A102" t="inlineStr">
        <is>
          <t>ENC111292</t>
        </is>
      </c>
      <c r="B102" t="inlineStr">
        <is>
          <t>PT12102</t>
        </is>
      </c>
      <c r="C102" s="42" t="n">
        <v>45673</v>
      </c>
      <c r="D102" s="42" t="n">
        <v>45673</v>
      </c>
      <c r="E102" s="38" t="n">
        <v>0</v>
      </c>
      <c r="F102" t="inlineStr">
        <is>
          <t>Emergency</t>
        </is>
      </c>
      <c r="G102" t="inlineStr">
        <is>
          <t>Bluestone Memorial Hospital</t>
        </is>
      </c>
      <c r="H102" t="inlineStr">
        <is>
          <t>Emergency Department</t>
        </is>
      </c>
      <c r="I102" t="inlineStr">
        <is>
          <t>Emergency</t>
        </is>
      </c>
      <c r="J102" t="inlineStr">
        <is>
          <t>Mendoza, Alexander</t>
        </is>
      </c>
      <c r="K102" t="inlineStr">
        <is>
          <t>H66.90</t>
        </is>
      </c>
      <c r="L102" t="inlineStr">
        <is>
          <t>Ear</t>
        </is>
      </c>
      <c r="M102" t="inlineStr">
        <is>
          <t>Evergreen Mutual Insurance</t>
        </is>
      </c>
      <c r="N102" t="inlineStr">
        <is>
          <t>Commercial</t>
        </is>
      </c>
      <c r="O102" s="39" t="n">
        <v>833.16</v>
      </c>
    </row>
    <row r="103">
      <c r="A103" t="inlineStr">
        <is>
          <t>ENC111289</t>
        </is>
      </c>
      <c r="B103" t="inlineStr">
        <is>
          <t>PT13004</t>
        </is>
      </c>
      <c r="C103" s="42" t="n">
        <v>45673</v>
      </c>
      <c r="D103" s="42" t="n">
        <v>45683</v>
      </c>
      <c r="E103" s="38" t="n">
        <v>10</v>
      </c>
      <c r="F103" t="inlineStr">
        <is>
          <t>Inpatient</t>
        </is>
      </c>
      <c r="G103" t="inlineStr">
        <is>
          <t>Bluestone Memorial Hospital</t>
        </is>
      </c>
      <c r="H103" t="inlineStr">
        <is>
          <t>Oncology</t>
        </is>
      </c>
      <c r="I103" t="inlineStr">
        <is>
          <t>Oncology</t>
        </is>
      </c>
      <c r="J103" t="inlineStr">
        <is>
          <t>Hughes, Larry</t>
        </is>
      </c>
      <c r="K103" t="inlineStr">
        <is>
          <t>C34.90</t>
        </is>
      </c>
      <c r="L103" t="inlineStr">
        <is>
          <t>Neoplasms</t>
        </is>
      </c>
      <c r="M103" t="inlineStr">
        <is>
          <t>Medicare</t>
        </is>
      </c>
      <c r="N103" t="inlineStr">
        <is>
          <t>Government</t>
        </is>
      </c>
      <c r="O103" s="39" t="n">
        <v>41322.22</v>
      </c>
      <c r="P103" t="inlineStr">
        <is>
          <t>N</t>
        </is>
      </c>
    </row>
    <row r="104">
      <c r="A104" t="inlineStr">
        <is>
          <t>ENC111298</t>
        </is>
      </c>
      <c r="B104" t="inlineStr">
        <is>
          <t>PT12149</t>
        </is>
      </c>
      <c r="C104" s="42" t="n">
        <v>45674</v>
      </c>
      <c r="D104" s="42" t="n">
        <v>45674</v>
      </c>
      <c r="E104" s="38" t="n">
        <v>0</v>
      </c>
      <c r="F104" t="inlineStr">
        <is>
          <t>Outpatient</t>
        </is>
      </c>
      <c r="G104" t="inlineStr">
        <is>
          <t>Bluestone Outpatient Pavilion</t>
        </is>
      </c>
      <c r="H104" t="inlineStr">
        <is>
          <t>Infusion &amp; Oncology Clinic</t>
        </is>
      </c>
      <c r="I104" t="inlineStr">
        <is>
          <t>Oncology</t>
        </is>
      </c>
      <c r="J104" t="inlineStr">
        <is>
          <t>Hicks, Zachary</t>
        </is>
      </c>
      <c r="K104" t="inlineStr">
        <is>
          <t>Z51.11</t>
        </is>
      </c>
      <c r="L104" t="inlineStr">
        <is>
          <t>Factors Influencing Health</t>
        </is>
      </c>
      <c r="M104" t="inlineStr">
        <is>
          <t>Medicare</t>
        </is>
      </c>
      <c r="N104" t="inlineStr">
        <is>
          <t>Government</t>
        </is>
      </c>
      <c r="O104" s="39" t="n">
        <v>11564.59</v>
      </c>
    </row>
    <row r="105">
      <c r="A105" t="inlineStr">
        <is>
          <t>ENC111306</t>
        </is>
      </c>
      <c r="B105" t="inlineStr">
        <is>
          <t>PT13839</t>
        </is>
      </c>
      <c r="C105" s="42" t="n">
        <v>45674</v>
      </c>
      <c r="D105" s="42" t="n">
        <v>45674</v>
      </c>
      <c r="E105" s="38" t="n">
        <v>0</v>
      </c>
      <c r="F105" t="inlineStr">
        <is>
          <t>Outpatient</t>
        </is>
      </c>
      <c r="G105" t="inlineStr">
        <is>
          <t>Bluestone Outpatient Pavilion</t>
        </is>
      </c>
      <c r="H105" t="inlineStr">
        <is>
          <t>Primary Care Clinic</t>
        </is>
      </c>
      <c r="I105" t="inlineStr">
        <is>
          <t>Ambulatory</t>
        </is>
      </c>
      <c r="J105" t="inlineStr">
        <is>
          <t>Osei, Julie</t>
        </is>
      </c>
      <c r="K105" t="inlineStr">
        <is>
          <t>G40.909</t>
        </is>
      </c>
      <c r="L105" t="inlineStr">
        <is>
          <t>Nervous System</t>
        </is>
      </c>
      <c r="M105" t="inlineStr">
        <is>
          <t>State Medicaid</t>
        </is>
      </c>
      <c r="N105" t="inlineStr">
        <is>
          <t>Government</t>
        </is>
      </c>
      <c r="O105" s="39" t="n">
        <v>364.18</v>
      </c>
    </row>
    <row r="106">
      <c r="A106" t="inlineStr">
        <is>
          <t>ENC111310</t>
        </is>
      </c>
      <c r="B106" t="inlineStr">
        <is>
          <t>PT10454</t>
        </is>
      </c>
      <c r="C106" s="42" t="n">
        <v>45674</v>
      </c>
      <c r="D106" s="42" t="n">
        <v>45674</v>
      </c>
      <c r="E106" s="38" t="n">
        <v>0</v>
      </c>
      <c r="F106" t="inlineStr">
        <is>
          <t>Emergency</t>
        </is>
      </c>
      <c r="G106" t="inlineStr">
        <is>
          <t>Bluestone Memorial Hospital</t>
        </is>
      </c>
      <c r="H106" t="inlineStr">
        <is>
          <t>Emergency Department</t>
        </is>
      </c>
      <c r="I106" t="inlineStr">
        <is>
          <t>Emergency</t>
        </is>
      </c>
      <c r="J106" t="inlineStr">
        <is>
          <t>Sullivan, Jacob</t>
        </is>
      </c>
      <c r="K106" t="inlineStr">
        <is>
          <t>N39.0</t>
        </is>
      </c>
      <c r="L106" t="inlineStr">
        <is>
          <t>Genitourinary</t>
        </is>
      </c>
      <c r="M106" t="inlineStr">
        <is>
          <t>Medicare</t>
        </is>
      </c>
      <c r="N106" t="inlineStr">
        <is>
          <t>Government</t>
        </is>
      </c>
      <c r="O106" s="39" t="n">
        <v>659.28</v>
      </c>
    </row>
    <row r="107">
      <c r="A107" t="inlineStr">
        <is>
          <t>ENC111314</t>
        </is>
      </c>
      <c r="B107" t="inlineStr">
        <is>
          <t>PT10529</t>
        </is>
      </c>
      <c r="C107" s="42" t="n">
        <v>45674</v>
      </c>
      <c r="D107" s="42" t="n">
        <v>45674</v>
      </c>
      <c r="E107" s="38" t="n">
        <v>0</v>
      </c>
      <c r="F107" t="inlineStr">
        <is>
          <t>Outpatient</t>
        </is>
      </c>
      <c r="G107" t="inlineStr">
        <is>
          <t>Bluestone Outpatient Pavilion</t>
        </is>
      </c>
      <c r="H107" t="inlineStr">
        <is>
          <t>Primary Care Clinic</t>
        </is>
      </c>
      <c r="I107" t="inlineStr">
        <is>
          <t>Ambulatory</t>
        </is>
      </c>
      <c r="J107" t="inlineStr">
        <is>
          <t>Petrov, Doris</t>
        </is>
      </c>
      <c r="K107" t="inlineStr">
        <is>
          <t>K80.20</t>
        </is>
      </c>
      <c r="L107" t="inlineStr">
        <is>
          <t>Digestive</t>
        </is>
      </c>
      <c r="M107" t="inlineStr">
        <is>
          <t>Medicare</t>
        </is>
      </c>
      <c r="N107" t="inlineStr">
        <is>
          <t>Government</t>
        </is>
      </c>
      <c r="O107" s="39" t="n">
        <v>169.35</v>
      </c>
    </row>
    <row r="108">
      <c r="A108" t="inlineStr">
        <is>
          <t>ENC111304</t>
        </is>
      </c>
      <c r="B108" t="inlineStr">
        <is>
          <t>PT13751</t>
        </is>
      </c>
      <c r="C108" s="42" t="n">
        <v>45674</v>
      </c>
      <c r="D108" s="42" t="n">
        <v>45675</v>
      </c>
      <c r="E108" s="38" t="n">
        <v>1</v>
      </c>
      <c r="F108" t="inlineStr">
        <is>
          <t>Observation</t>
        </is>
      </c>
      <c r="G108" t="inlineStr">
        <is>
          <t>Cedar Ridge Medical Center</t>
        </is>
      </c>
      <c r="H108" t="inlineStr">
        <is>
          <t>Medical-Surgical</t>
        </is>
      </c>
      <c r="I108" t="inlineStr">
        <is>
          <t>Medicine</t>
        </is>
      </c>
      <c r="J108" t="inlineStr">
        <is>
          <t>Gonzales, Edward</t>
        </is>
      </c>
      <c r="K108" t="inlineStr">
        <is>
          <t>I50.9</t>
        </is>
      </c>
      <c r="L108" t="inlineStr">
        <is>
          <t>Circulatory</t>
        </is>
      </c>
      <c r="M108" t="inlineStr">
        <is>
          <t>Silverline Medicare Advantage</t>
        </is>
      </c>
      <c r="N108" t="inlineStr">
        <is>
          <t>Medicare Advantage</t>
        </is>
      </c>
      <c r="O108" s="39" t="n">
        <v>5306.76</v>
      </c>
    </row>
    <row r="109">
      <c r="A109" t="inlineStr">
        <is>
          <t>ENC111322</t>
        </is>
      </c>
      <c r="B109" t="inlineStr">
        <is>
          <t>PT12996</t>
        </is>
      </c>
      <c r="C109" s="42" t="n">
        <v>45674</v>
      </c>
      <c r="D109" s="42" t="n">
        <v>45674</v>
      </c>
      <c r="E109" s="38" t="n">
        <v>0</v>
      </c>
      <c r="F109" t="inlineStr">
        <is>
          <t>Outpatient</t>
        </is>
      </c>
      <c r="G109" t="inlineStr">
        <is>
          <t>Bluestone Outpatient Pavilion</t>
        </is>
      </c>
      <c r="H109" t="inlineStr">
        <is>
          <t>Primary Care Clinic</t>
        </is>
      </c>
      <c r="I109" t="inlineStr">
        <is>
          <t>Ambulatory</t>
        </is>
      </c>
      <c r="J109" t="inlineStr">
        <is>
          <t>Nguyen, Isabella</t>
        </is>
      </c>
      <c r="K109" t="inlineStr">
        <is>
          <t>Z00.00</t>
        </is>
      </c>
      <c r="L109" t="inlineStr">
        <is>
          <t>Factors Influencing Health</t>
        </is>
      </c>
      <c r="M109" t="inlineStr">
        <is>
          <t>Medicare</t>
        </is>
      </c>
      <c r="N109" t="inlineStr">
        <is>
          <t>Government</t>
        </is>
      </c>
      <c r="O109" s="39" t="n">
        <v>301.2</v>
      </c>
    </row>
    <row r="110">
      <c r="A110" t="inlineStr">
        <is>
          <t>ENC111326</t>
        </is>
      </c>
      <c r="B110" t="inlineStr">
        <is>
          <t>PT10027</t>
        </is>
      </c>
      <c r="C110" s="42" t="n">
        <v>45674</v>
      </c>
      <c r="D110" s="42" t="n">
        <v>45675</v>
      </c>
      <c r="E110" s="38" t="n">
        <v>1</v>
      </c>
      <c r="F110" t="inlineStr">
        <is>
          <t>Observation</t>
        </is>
      </c>
      <c r="G110" t="inlineStr">
        <is>
          <t>Bluestone Memorial Hospital</t>
        </is>
      </c>
      <c r="H110" t="inlineStr">
        <is>
          <t>Observation Unit</t>
        </is>
      </c>
      <c r="I110" t="inlineStr">
        <is>
          <t>Medicine</t>
        </is>
      </c>
      <c r="J110" t="inlineStr">
        <is>
          <t>Ramirez, Jordan</t>
        </is>
      </c>
      <c r="K110" t="inlineStr">
        <is>
          <t>K80.20</t>
        </is>
      </c>
      <c r="L110" t="inlineStr">
        <is>
          <t>Digestive</t>
        </is>
      </c>
      <c r="M110" t="inlineStr">
        <is>
          <t>State Medicaid</t>
        </is>
      </c>
      <c r="N110" t="inlineStr">
        <is>
          <t>Government</t>
        </is>
      </c>
      <c r="O110" s="39" t="n">
        <v>8558.540000000001</v>
      </c>
    </row>
    <row r="111">
      <c r="A111" t="inlineStr">
        <is>
          <t>ENC111333</t>
        </is>
      </c>
      <c r="B111" t="inlineStr">
        <is>
          <t>PT12589</t>
        </is>
      </c>
      <c r="C111" s="42" t="n">
        <v>45674</v>
      </c>
      <c r="D111" s="42" t="n">
        <v>45675</v>
      </c>
      <c r="E111" s="38" t="n">
        <v>1</v>
      </c>
      <c r="F111" t="inlineStr">
        <is>
          <t>Emergency</t>
        </is>
      </c>
      <c r="G111" t="inlineStr">
        <is>
          <t>Bluestone Memorial Hospital</t>
        </is>
      </c>
      <c r="H111" t="inlineStr">
        <is>
          <t>Emergency Department</t>
        </is>
      </c>
      <c r="I111" t="inlineStr">
        <is>
          <t>Emergency</t>
        </is>
      </c>
      <c r="J111" t="inlineStr">
        <is>
          <t>Sullivan, Jacob</t>
        </is>
      </c>
      <c r="K111" t="inlineStr">
        <is>
          <t>J06.9</t>
        </is>
      </c>
      <c r="L111" t="inlineStr">
        <is>
          <t>Respiratory</t>
        </is>
      </c>
      <c r="M111" t="inlineStr">
        <is>
          <t>Silverline Medicare Advantage</t>
        </is>
      </c>
      <c r="N111" t="inlineStr">
        <is>
          <t>Medicare Advantage</t>
        </is>
      </c>
      <c r="O111" s="39" t="n">
        <v>1153.22</v>
      </c>
    </row>
    <row r="112">
      <c r="A112" t="inlineStr">
        <is>
          <t>ENC111339</t>
        </is>
      </c>
      <c r="B112" t="inlineStr">
        <is>
          <t>PT10400</t>
        </is>
      </c>
      <c r="C112" s="42" t="n">
        <v>45675</v>
      </c>
      <c r="D112" s="42" t="n">
        <v>45675</v>
      </c>
      <c r="E112" s="38" t="n">
        <v>0</v>
      </c>
      <c r="F112" t="inlineStr">
        <is>
          <t>Emergency</t>
        </is>
      </c>
      <c r="G112" t="inlineStr">
        <is>
          <t>Ashby Falls Community Hospital</t>
        </is>
      </c>
      <c r="H112" t="inlineStr">
        <is>
          <t>Emergency Department</t>
        </is>
      </c>
      <c r="I112" t="inlineStr">
        <is>
          <t>Emergency</t>
        </is>
      </c>
      <c r="J112" t="inlineStr">
        <is>
          <t>Marshall, Lisa</t>
        </is>
      </c>
      <c r="K112" t="inlineStr">
        <is>
          <t>J06.9</t>
        </is>
      </c>
      <c r="L112" t="inlineStr">
        <is>
          <t>Respiratory</t>
        </is>
      </c>
      <c r="M112" t="inlineStr">
        <is>
          <t>Silverline Medicare Advantage</t>
        </is>
      </c>
      <c r="N112" t="inlineStr">
        <is>
          <t>Medicare Advantage</t>
        </is>
      </c>
      <c r="O112" s="39" t="n">
        <v>1063.03</v>
      </c>
    </row>
    <row r="113">
      <c r="A113" t="inlineStr">
        <is>
          <t>ENC111342</t>
        </is>
      </c>
      <c r="B113" t="inlineStr">
        <is>
          <t>PT10326</t>
        </is>
      </c>
      <c r="C113" s="42" t="n">
        <v>45675</v>
      </c>
      <c r="D113" s="42" t="n">
        <v>45675</v>
      </c>
      <c r="E113" s="38" t="n">
        <v>0</v>
      </c>
      <c r="F113" t="inlineStr">
        <is>
          <t>Emergency</t>
        </is>
      </c>
      <c r="G113" t="inlineStr">
        <is>
          <t>Bluestone Memorial Hospital</t>
        </is>
      </c>
      <c r="H113" t="inlineStr">
        <is>
          <t>Emergency Department</t>
        </is>
      </c>
      <c r="I113" t="inlineStr">
        <is>
          <t>Emergency</t>
        </is>
      </c>
      <c r="J113" t="inlineStr">
        <is>
          <t>Foster, Patrick</t>
        </is>
      </c>
      <c r="K113" t="inlineStr">
        <is>
          <t>J44.1</t>
        </is>
      </c>
      <c r="L113" t="inlineStr">
        <is>
          <t>Respiratory</t>
        </is>
      </c>
      <c r="M113" t="inlineStr">
        <is>
          <t>Evergreen Mutual Insurance</t>
        </is>
      </c>
      <c r="N113" t="inlineStr">
        <is>
          <t>Commercial</t>
        </is>
      </c>
      <c r="O113" s="39" t="n">
        <v>2368.36</v>
      </c>
    </row>
    <row r="114">
      <c r="A114" t="inlineStr">
        <is>
          <t>ENC111347</t>
        </is>
      </c>
      <c r="B114" t="inlineStr">
        <is>
          <t>PT13131</t>
        </is>
      </c>
      <c r="C114" s="42" t="n">
        <v>45675</v>
      </c>
      <c r="D114" s="42" t="n">
        <v>45676</v>
      </c>
      <c r="E114" s="38" t="n">
        <v>1</v>
      </c>
      <c r="F114" t="inlineStr">
        <is>
          <t>Emergency</t>
        </is>
      </c>
      <c r="G114" t="inlineStr">
        <is>
          <t>Bluestone Memorial Hospital</t>
        </is>
      </c>
      <c r="H114" t="inlineStr">
        <is>
          <t>Emergency Department</t>
        </is>
      </c>
      <c r="I114" t="inlineStr">
        <is>
          <t>Emergency</t>
        </is>
      </c>
      <c r="J114" t="inlineStr">
        <is>
          <t>Foster, Patrick</t>
        </is>
      </c>
      <c r="K114" t="inlineStr">
        <is>
          <t>U07.1</t>
        </is>
      </c>
      <c r="L114" t="inlineStr">
        <is>
          <t>Respiratory</t>
        </is>
      </c>
      <c r="M114" t="inlineStr">
        <is>
          <t>Medicare</t>
        </is>
      </c>
      <c r="N114" t="inlineStr">
        <is>
          <t>Government</t>
        </is>
      </c>
      <c r="O114" s="39" t="n">
        <v>4052.54</v>
      </c>
    </row>
    <row r="115">
      <c r="A115" t="inlineStr">
        <is>
          <t>ENC111351</t>
        </is>
      </c>
      <c r="B115" t="inlineStr">
        <is>
          <t>PT12993</t>
        </is>
      </c>
      <c r="C115" s="42" t="n">
        <v>45676</v>
      </c>
      <c r="D115" s="42" t="n">
        <v>45679</v>
      </c>
      <c r="E115" s="38" t="n">
        <v>3</v>
      </c>
      <c r="F115" t="inlineStr">
        <is>
          <t>Inpatient</t>
        </is>
      </c>
      <c r="G115" t="inlineStr">
        <is>
          <t>Bluestone Memorial Hospital</t>
        </is>
      </c>
      <c r="H115" t="inlineStr">
        <is>
          <t>Medical-Surgical 5 East</t>
        </is>
      </c>
      <c r="I115" t="inlineStr">
        <is>
          <t>Medicine</t>
        </is>
      </c>
      <c r="J115" t="inlineStr">
        <is>
          <t>Ramirez, Emma</t>
        </is>
      </c>
      <c r="K115" t="inlineStr">
        <is>
          <t>E11.65</t>
        </is>
      </c>
      <c r="L115" t="inlineStr">
        <is>
          <t>Endocrine</t>
        </is>
      </c>
      <c r="M115" t="inlineStr">
        <is>
          <t>Keystone Health Partners</t>
        </is>
      </c>
      <c r="N115" t="inlineStr">
        <is>
          <t>Commercial</t>
        </is>
      </c>
      <c r="O115" s="39" t="n">
        <v>20293.67</v>
      </c>
      <c r="P115" t="inlineStr">
        <is>
          <t>N</t>
        </is>
      </c>
    </row>
    <row r="116">
      <c r="A116" t="inlineStr">
        <is>
          <t>ENC111361</t>
        </is>
      </c>
      <c r="B116" t="inlineStr">
        <is>
          <t>PT11947</t>
        </is>
      </c>
      <c r="C116" s="42" t="n">
        <v>45676</v>
      </c>
      <c r="D116" s="42" t="n">
        <v>45676</v>
      </c>
      <c r="E116" s="38" t="n">
        <v>0</v>
      </c>
      <c r="F116" t="inlineStr">
        <is>
          <t>Emergency</t>
        </is>
      </c>
      <c r="G116" t="inlineStr">
        <is>
          <t>Bluestone Memorial Hospital</t>
        </is>
      </c>
      <c r="H116" t="inlineStr">
        <is>
          <t>Emergency Department</t>
        </is>
      </c>
      <c r="I116" t="inlineStr">
        <is>
          <t>Emergency</t>
        </is>
      </c>
      <c r="J116" t="inlineStr">
        <is>
          <t>Myers, Doris</t>
        </is>
      </c>
      <c r="K116" t="inlineStr">
        <is>
          <t>M54.50</t>
        </is>
      </c>
      <c r="L116" t="inlineStr">
        <is>
          <t>Musculoskeletal</t>
        </is>
      </c>
      <c r="M116" t="inlineStr">
        <is>
          <t>Silverline Medicare Advantage</t>
        </is>
      </c>
      <c r="N116" t="inlineStr">
        <is>
          <t>Medicare Advantage</t>
        </is>
      </c>
      <c r="O116" s="39" t="n">
        <v>943.8200000000001</v>
      </c>
    </row>
    <row r="117">
      <c r="A117" t="inlineStr">
        <is>
          <t>ENC111369</t>
        </is>
      </c>
      <c r="B117" t="inlineStr">
        <is>
          <t>PT13032</t>
        </is>
      </c>
      <c r="C117" s="42" t="n">
        <v>45677</v>
      </c>
      <c r="D117" s="42" t="n">
        <v>45677</v>
      </c>
      <c r="E117" s="38" t="n">
        <v>0</v>
      </c>
      <c r="F117" t="inlineStr">
        <is>
          <t>Emergency</t>
        </is>
      </c>
      <c r="G117" t="inlineStr">
        <is>
          <t>Bluestone Memorial Hospital</t>
        </is>
      </c>
      <c r="H117" t="inlineStr">
        <is>
          <t>Emergency Department</t>
        </is>
      </c>
      <c r="I117" t="inlineStr">
        <is>
          <t>Emergency</t>
        </is>
      </c>
      <c r="J117" t="inlineStr">
        <is>
          <t>Foster, Patrick</t>
        </is>
      </c>
      <c r="K117" t="inlineStr">
        <is>
          <t>A08.4</t>
        </is>
      </c>
      <c r="L117" t="inlineStr">
        <is>
          <t>Infectious</t>
        </is>
      </c>
      <c r="M117" t="inlineStr">
        <is>
          <t>State Medicaid</t>
        </is>
      </c>
      <c r="N117" t="inlineStr">
        <is>
          <t>Government</t>
        </is>
      </c>
      <c r="O117" s="39" t="n">
        <v>2733.2</v>
      </c>
    </row>
    <row r="118">
      <c r="A118" t="inlineStr">
        <is>
          <t>ENC111394</t>
        </is>
      </c>
      <c r="B118" t="inlineStr">
        <is>
          <t>PT11635</t>
        </is>
      </c>
      <c r="C118" s="42" t="n">
        <v>45677</v>
      </c>
      <c r="D118" s="42" t="n">
        <v>45677</v>
      </c>
      <c r="E118" s="38" t="n">
        <v>0</v>
      </c>
      <c r="F118" t="inlineStr">
        <is>
          <t>Outpatient</t>
        </is>
      </c>
      <c r="G118" t="inlineStr">
        <is>
          <t>Bluestone Outpatient Pavilion</t>
        </is>
      </c>
      <c r="H118" t="inlineStr">
        <is>
          <t>Primary Care Clinic</t>
        </is>
      </c>
      <c r="I118" t="inlineStr">
        <is>
          <t>Ambulatory</t>
        </is>
      </c>
      <c r="J118" t="inlineStr">
        <is>
          <t>Osei, Julie</t>
        </is>
      </c>
      <c r="K118" t="inlineStr">
        <is>
          <t>Z23</t>
        </is>
      </c>
      <c r="L118" t="inlineStr">
        <is>
          <t>Factors Influencing Health</t>
        </is>
      </c>
      <c r="M118" t="inlineStr">
        <is>
          <t>Self-Pay</t>
        </is>
      </c>
      <c r="N118" t="inlineStr">
        <is>
          <t>Self-Pay</t>
        </is>
      </c>
      <c r="O118" s="39" t="n">
        <v>119.04</v>
      </c>
    </row>
    <row r="119">
      <c r="A119" t="inlineStr">
        <is>
          <t>ENC111396</t>
        </is>
      </c>
      <c r="B119" t="inlineStr">
        <is>
          <t>PT11177</t>
        </is>
      </c>
      <c r="C119" s="42" t="n">
        <v>45677</v>
      </c>
      <c r="D119" s="42" t="n">
        <v>45677</v>
      </c>
      <c r="E119" s="38" t="n">
        <v>0</v>
      </c>
      <c r="F119" t="inlineStr">
        <is>
          <t>Outpatient</t>
        </is>
      </c>
      <c r="G119" t="inlineStr">
        <is>
          <t>Bluestone Outpatient Pavilion</t>
        </is>
      </c>
      <c r="H119" t="inlineStr">
        <is>
          <t>Primary Care Clinic</t>
        </is>
      </c>
      <c r="I119" t="inlineStr">
        <is>
          <t>Ambulatory</t>
        </is>
      </c>
      <c r="J119" t="inlineStr">
        <is>
          <t>Torres, Rebecca</t>
        </is>
      </c>
      <c r="K119" t="inlineStr">
        <is>
          <t>Z23</t>
        </is>
      </c>
      <c r="L119" t="inlineStr">
        <is>
          <t>Factors Influencing Health</t>
        </is>
      </c>
      <c r="M119" t="inlineStr">
        <is>
          <t>Silverline Medicare Advantage</t>
        </is>
      </c>
      <c r="N119" t="inlineStr">
        <is>
          <t>Medicare Advantage</t>
        </is>
      </c>
      <c r="O119" s="39" t="n">
        <v>111.77</v>
      </c>
    </row>
    <row r="120">
      <c r="A120" t="inlineStr">
        <is>
          <t>ENC111399</t>
        </is>
      </c>
      <c r="B120" t="inlineStr">
        <is>
          <t>PT10384</t>
        </is>
      </c>
      <c r="C120" s="42" t="n">
        <v>45677</v>
      </c>
      <c r="D120" s="42" t="n">
        <v>45677</v>
      </c>
      <c r="E120" s="38" t="n">
        <v>0</v>
      </c>
      <c r="F120" t="inlineStr">
        <is>
          <t>Outpatient</t>
        </is>
      </c>
      <c r="G120" t="inlineStr">
        <is>
          <t>Bluestone Outpatient Pavilion</t>
        </is>
      </c>
      <c r="H120" t="inlineStr">
        <is>
          <t>Endocrinology &amp; Diabetes Clinic</t>
        </is>
      </c>
      <c r="I120" t="inlineStr">
        <is>
          <t>Ambulatory</t>
        </is>
      </c>
      <c r="J120" t="inlineStr">
        <is>
          <t>Woods, Larry</t>
        </is>
      </c>
      <c r="K120" t="inlineStr">
        <is>
          <t>E11.9</t>
        </is>
      </c>
      <c r="L120" t="inlineStr">
        <is>
          <t>Endocrine</t>
        </is>
      </c>
      <c r="M120" t="inlineStr">
        <is>
          <t>State Medicaid</t>
        </is>
      </c>
      <c r="N120" t="inlineStr">
        <is>
          <t>Government</t>
        </is>
      </c>
      <c r="O120" s="39" t="n">
        <v>467.86</v>
      </c>
    </row>
    <row r="121">
      <c r="A121" t="inlineStr">
        <is>
          <t>ENC111393</t>
        </is>
      </c>
      <c r="B121" t="inlineStr">
        <is>
          <t>PT10740</t>
        </is>
      </c>
      <c r="C121" s="42" t="n">
        <v>45677</v>
      </c>
      <c r="D121" s="42" t="n">
        <v>45678</v>
      </c>
      <c r="E121" s="38" t="n">
        <v>1</v>
      </c>
      <c r="F121" t="inlineStr">
        <is>
          <t>Observation</t>
        </is>
      </c>
      <c r="G121" t="inlineStr">
        <is>
          <t>Bluestone Memorial Hospital</t>
        </is>
      </c>
      <c r="H121" t="inlineStr">
        <is>
          <t>Observation Unit</t>
        </is>
      </c>
      <c r="I121" t="inlineStr">
        <is>
          <t>Medicine</t>
        </is>
      </c>
      <c r="J121" t="inlineStr">
        <is>
          <t>Price, Juan</t>
        </is>
      </c>
      <c r="K121" t="inlineStr">
        <is>
          <t>J18.9</t>
        </is>
      </c>
      <c r="L121" t="inlineStr">
        <is>
          <t>Respiratory</t>
        </is>
      </c>
      <c r="M121" t="inlineStr">
        <is>
          <t>Keystone Health Partners</t>
        </is>
      </c>
      <c r="N121" t="inlineStr">
        <is>
          <t>Commercial</t>
        </is>
      </c>
      <c r="O121" s="39" t="n">
        <v>10471.55</v>
      </c>
    </row>
    <row r="122">
      <c r="A122" t="inlineStr">
        <is>
          <t>ENC111409</t>
        </is>
      </c>
      <c r="B122" t="inlineStr">
        <is>
          <t>PT11494</t>
        </is>
      </c>
      <c r="C122" s="42" t="n">
        <v>45677</v>
      </c>
      <c r="D122" s="42" t="n">
        <v>45682</v>
      </c>
      <c r="E122" s="38" t="n">
        <v>5</v>
      </c>
      <c r="F122" t="inlineStr">
        <is>
          <t>Inpatient</t>
        </is>
      </c>
      <c r="G122" t="inlineStr">
        <is>
          <t>Bluestone Memorial Hospital</t>
        </is>
      </c>
      <c r="H122" t="inlineStr">
        <is>
          <t>Intensive Care Unit</t>
        </is>
      </c>
      <c r="I122" t="inlineStr">
        <is>
          <t>Critical Care</t>
        </is>
      </c>
      <c r="J122" t="inlineStr">
        <is>
          <t>Hamilton, Leila</t>
        </is>
      </c>
      <c r="K122" t="inlineStr">
        <is>
          <t>J96.01</t>
        </is>
      </c>
      <c r="L122" t="inlineStr">
        <is>
          <t>Respiratory</t>
        </is>
      </c>
      <c r="M122" t="inlineStr">
        <is>
          <t>Silverline Medicare Advantage</t>
        </is>
      </c>
      <c r="N122" t="inlineStr">
        <is>
          <t>Medicare Advantage</t>
        </is>
      </c>
      <c r="O122" s="39" t="n">
        <v>82402.14</v>
      </c>
      <c r="P122" t="inlineStr">
        <is>
          <t>N</t>
        </is>
      </c>
    </row>
    <row r="123">
      <c r="A123" t="inlineStr">
        <is>
          <t>ENC111403</t>
        </is>
      </c>
      <c r="B123" t="inlineStr">
        <is>
          <t>PT12259</t>
        </is>
      </c>
      <c r="C123" s="42" t="n">
        <v>45677</v>
      </c>
      <c r="D123" s="42" t="n">
        <v>45679</v>
      </c>
      <c r="E123" s="38" t="n">
        <v>2</v>
      </c>
      <c r="F123" t="inlineStr">
        <is>
          <t>Observation</t>
        </is>
      </c>
      <c r="G123" t="inlineStr">
        <is>
          <t>Ashby Falls Community Hospital</t>
        </is>
      </c>
      <c r="H123" t="inlineStr">
        <is>
          <t>Medical-Surgical</t>
        </is>
      </c>
      <c r="I123" t="inlineStr">
        <is>
          <t>Medicine</t>
        </is>
      </c>
      <c r="J123" t="inlineStr">
        <is>
          <t>Carter, Karen</t>
        </is>
      </c>
      <c r="K123" t="inlineStr">
        <is>
          <t>J45.909</t>
        </is>
      </c>
      <c r="L123" t="inlineStr">
        <is>
          <t>Respiratory</t>
        </is>
      </c>
      <c r="M123" t="inlineStr">
        <is>
          <t>Keystone Health Partners</t>
        </is>
      </c>
      <c r="N123" t="inlineStr">
        <is>
          <t>Commercial</t>
        </is>
      </c>
      <c r="O123" s="39" t="n">
        <v>7918.77</v>
      </c>
    </row>
    <row r="124">
      <c r="A124" t="inlineStr">
        <is>
          <t>ENC111410</t>
        </is>
      </c>
      <c r="B124" t="inlineStr">
        <is>
          <t>PT12576</t>
        </is>
      </c>
      <c r="C124" s="42" t="n">
        <v>45678</v>
      </c>
      <c r="D124" s="42" t="n">
        <v>45683</v>
      </c>
      <c r="E124" s="38" t="n">
        <v>5</v>
      </c>
      <c r="F124" t="inlineStr">
        <is>
          <t>Inpatient</t>
        </is>
      </c>
      <c r="G124" t="inlineStr">
        <is>
          <t>Bluestone Memorial Hospital</t>
        </is>
      </c>
      <c r="H124" t="inlineStr">
        <is>
          <t>Medical-Surgical 4 West</t>
        </is>
      </c>
      <c r="I124" t="inlineStr">
        <is>
          <t>Medicine</t>
        </is>
      </c>
      <c r="J124" t="inlineStr">
        <is>
          <t>Simpson, Kelly</t>
        </is>
      </c>
      <c r="K124" t="inlineStr">
        <is>
          <t>J44.1</t>
        </is>
      </c>
      <c r="L124" t="inlineStr">
        <is>
          <t>Respiratory</t>
        </is>
      </c>
      <c r="M124" t="inlineStr">
        <is>
          <t>Medicare</t>
        </is>
      </c>
      <c r="N124" t="inlineStr">
        <is>
          <t>Government</t>
        </is>
      </c>
      <c r="O124" s="39" t="n">
        <v>33824.54</v>
      </c>
      <c r="P124" t="inlineStr">
        <is>
          <t>Y</t>
        </is>
      </c>
    </row>
    <row r="125">
      <c r="A125" t="inlineStr">
        <is>
          <t>ENC111431</t>
        </is>
      </c>
      <c r="B125" t="inlineStr">
        <is>
          <t>PT11259</t>
        </is>
      </c>
      <c r="C125" s="42" t="n">
        <v>45678</v>
      </c>
      <c r="D125" s="42" t="n">
        <v>45678</v>
      </c>
      <c r="E125" s="38" t="n">
        <v>0</v>
      </c>
      <c r="F125" t="inlineStr">
        <is>
          <t>Outpatient</t>
        </is>
      </c>
      <c r="G125" t="inlineStr">
        <is>
          <t>Bluestone Outpatient Pavilion</t>
        </is>
      </c>
      <c r="H125" t="inlineStr">
        <is>
          <t>Cardiology Clinic</t>
        </is>
      </c>
      <c r="I125" t="inlineStr">
        <is>
          <t>Cardiovascular</t>
        </is>
      </c>
      <c r="J125" t="inlineStr">
        <is>
          <t>Gomez, Mateo</t>
        </is>
      </c>
      <c r="K125" t="inlineStr">
        <is>
          <t>I48.91</t>
        </is>
      </c>
      <c r="L125" t="inlineStr">
        <is>
          <t>Circulatory</t>
        </is>
      </c>
      <c r="M125" t="inlineStr">
        <is>
          <t>Medicare</t>
        </is>
      </c>
      <c r="N125" t="inlineStr">
        <is>
          <t>Government</t>
        </is>
      </c>
      <c r="O125" s="39" t="n">
        <v>336.06</v>
      </c>
    </row>
    <row r="126">
      <c r="A126" t="inlineStr">
        <is>
          <t>ENC111438</t>
        </is>
      </c>
      <c r="B126" t="inlineStr">
        <is>
          <t>PT12015</t>
        </is>
      </c>
      <c r="C126" s="42" t="n">
        <v>45678</v>
      </c>
      <c r="D126" s="42" t="n">
        <v>45681</v>
      </c>
      <c r="E126" s="38" t="n">
        <v>3</v>
      </c>
      <c r="F126" t="inlineStr">
        <is>
          <t>Inpatient</t>
        </is>
      </c>
      <c r="G126" t="inlineStr">
        <is>
          <t>Bluestone Memorial Hospital</t>
        </is>
      </c>
      <c r="H126" t="inlineStr">
        <is>
          <t>Medical-Surgical 5 East</t>
        </is>
      </c>
      <c r="I126" t="inlineStr">
        <is>
          <t>Medicine</t>
        </is>
      </c>
      <c r="J126" t="inlineStr">
        <is>
          <t>Alvarado, Tyler</t>
        </is>
      </c>
      <c r="K126" t="inlineStr">
        <is>
          <t>E11.65</t>
        </is>
      </c>
      <c r="L126" t="inlineStr">
        <is>
          <t>Endocrine</t>
        </is>
      </c>
      <c r="M126" t="inlineStr">
        <is>
          <t>Keystone Health Partners</t>
        </is>
      </c>
      <c r="N126" t="inlineStr">
        <is>
          <t>Commercial</t>
        </is>
      </c>
      <c r="O126" s="39" t="n">
        <v>11005.02</v>
      </c>
      <c r="P126" t="inlineStr">
        <is>
          <t>N</t>
        </is>
      </c>
    </row>
    <row r="127">
      <c r="A127" t="inlineStr">
        <is>
          <t>ENC111445</t>
        </is>
      </c>
      <c r="B127" t="inlineStr">
        <is>
          <t>PT13550</t>
        </is>
      </c>
      <c r="C127" s="42" t="n">
        <v>45678</v>
      </c>
      <c r="D127" s="42" t="n">
        <v>45678</v>
      </c>
      <c r="E127" s="38" t="n">
        <v>0</v>
      </c>
      <c r="F127" t="inlineStr">
        <is>
          <t>Outpatient</t>
        </is>
      </c>
      <c r="G127" t="inlineStr">
        <is>
          <t>Bluestone Outpatient Pavilion</t>
        </is>
      </c>
      <c r="H127" t="inlineStr">
        <is>
          <t>Orthopedic Clinic</t>
        </is>
      </c>
      <c r="I127" t="inlineStr">
        <is>
          <t>Orthopedics</t>
        </is>
      </c>
      <c r="J127" t="inlineStr">
        <is>
          <t>Hernandez, Kyle</t>
        </is>
      </c>
      <c r="K127" t="inlineStr">
        <is>
          <t>M17.11</t>
        </is>
      </c>
      <c r="L127" t="inlineStr">
        <is>
          <t>Musculoskeletal</t>
        </is>
      </c>
      <c r="M127" t="inlineStr">
        <is>
          <t>Medicare</t>
        </is>
      </c>
      <c r="N127" t="inlineStr">
        <is>
          <t>Government</t>
        </is>
      </c>
      <c r="O127" s="39" t="n">
        <v>228.64</v>
      </c>
    </row>
    <row r="128">
      <c r="A128" t="inlineStr">
        <is>
          <t>ENC111449</t>
        </is>
      </c>
      <c r="B128" t="inlineStr">
        <is>
          <t>PT13493</t>
        </is>
      </c>
      <c r="C128" s="42" t="n">
        <v>45678</v>
      </c>
      <c r="D128" s="42" t="n">
        <v>45678</v>
      </c>
      <c r="E128" s="38" t="n">
        <v>0</v>
      </c>
      <c r="F128" t="inlineStr">
        <is>
          <t>Outpatient</t>
        </is>
      </c>
      <c r="G128" t="inlineStr">
        <is>
          <t>Bluestone Outpatient Pavilion</t>
        </is>
      </c>
      <c r="H128" t="inlineStr">
        <is>
          <t>Orthopedic Clinic</t>
        </is>
      </c>
      <c r="I128" t="inlineStr">
        <is>
          <t>Orthopedics</t>
        </is>
      </c>
      <c r="J128" t="inlineStr">
        <is>
          <t>Wagner, Carlos</t>
        </is>
      </c>
      <c r="K128" t="inlineStr">
        <is>
          <t>M16.11</t>
        </is>
      </c>
      <c r="L128" t="inlineStr">
        <is>
          <t>Musculoskeletal</t>
        </is>
      </c>
      <c r="M128" t="inlineStr">
        <is>
          <t>Evergreen Mutual Insurance</t>
        </is>
      </c>
      <c r="N128" t="inlineStr">
        <is>
          <t>Commercial</t>
        </is>
      </c>
      <c r="O128" s="39" t="n">
        <v>274.84</v>
      </c>
    </row>
    <row r="129">
      <c r="A129" t="inlineStr">
        <is>
          <t>ENC111464</t>
        </is>
      </c>
      <c r="B129" t="inlineStr">
        <is>
          <t>PT13412</t>
        </is>
      </c>
      <c r="C129" s="42" t="n">
        <v>45679</v>
      </c>
      <c r="D129" s="42" t="n">
        <v>45679</v>
      </c>
      <c r="E129" s="38" t="n">
        <v>0</v>
      </c>
      <c r="F129" t="inlineStr">
        <is>
          <t>Outpatient</t>
        </is>
      </c>
      <c r="G129" t="inlineStr">
        <is>
          <t>Bluestone Outpatient Pavilion</t>
        </is>
      </c>
      <c r="H129" t="inlineStr">
        <is>
          <t>Endocrinology &amp; Diabetes Clinic</t>
        </is>
      </c>
      <c r="I129" t="inlineStr">
        <is>
          <t>Ambulatory</t>
        </is>
      </c>
      <c r="J129" t="inlineStr">
        <is>
          <t>Woods, Larry</t>
        </is>
      </c>
      <c r="K129" t="inlineStr">
        <is>
          <t>E11.65</t>
        </is>
      </c>
      <c r="L129" t="inlineStr">
        <is>
          <t>Endocrine</t>
        </is>
      </c>
      <c r="M129" t="inlineStr">
        <is>
          <t>Medicare</t>
        </is>
      </c>
      <c r="N129" t="inlineStr">
        <is>
          <t>Government</t>
        </is>
      </c>
      <c r="O129" s="39" t="n">
        <v>314.83</v>
      </c>
    </row>
    <row r="130">
      <c r="A130" t="inlineStr">
        <is>
          <t>ENC111465</t>
        </is>
      </c>
      <c r="B130" t="inlineStr">
        <is>
          <t>PT13597</t>
        </is>
      </c>
      <c r="C130" s="42" t="n">
        <v>45679</v>
      </c>
      <c r="D130" s="42" t="n">
        <v>45679</v>
      </c>
      <c r="E130" s="38" t="n">
        <v>0</v>
      </c>
      <c r="F130" t="inlineStr">
        <is>
          <t>Outpatient</t>
        </is>
      </c>
      <c r="G130" t="inlineStr">
        <is>
          <t>Bluestone Outpatient Pavilion</t>
        </is>
      </c>
      <c r="H130" t="inlineStr">
        <is>
          <t>Primary Care Clinic</t>
        </is>
      </c>
      <c r="I130" t="inlineStr">
        <is>
          <t>Ambulatory</t>
        </is>
      </c>
      <c r="J130" t="inlineStr">
        <is>
          <t>Elliott, Douglas</t>
        </is>
      </c>
      <c r="K130" t="inlineStr">
        <is>
          <t>J06.9</t>
        </is>
      </c>
      <c r="L130" t="inlineStr">
        <is>
          <t>Respiratory</t>
        </is>
      </c>
      <c r="M130" t="inlineStr">
        <is>
          <t>Keystone Health Partners</t>
        </is>
      </c>
      <c r="N130" t="inlineStr">
        <is>
          <t>Commercial</t>
        </is>
      </c>
      <c r="O130" s="39" t="n">
        <v>324.67</v>
      </c>
    </row>
    <row r="131">
      <c r="A131" t="inlineStr">
        <is>
          <t>ENC111476</t>
        </is>
      </c>
      <c r="B131" t="inlineStr">
        <is>
          <t>PT10681</t>
        </is>
      </c>
      <c r="C131" s="42" t="n">
        <v>45679</v>
      </c>
      <c r="D131" s="42" t="n">
        <v>45682</v>
      </c>
      <c r="E131" s="38" t="n">
        <v>3</v>
      </c>
      <c r="F131" t="inlineStr">
        <is>
          <t>Inpatient</t>
        </is>
      </c>
      <c r="G131" t="inlineStr">
        <is>
          <t>Cedar Ridge Medical Center</t>
        </is>
      </c>
      <c r="H131" t="inlineStr">
        <is>
          <t>Medical-Surgical</t>
        </is>
      </c>
      <c r="I131" t="inlineStr">
        <is>
          <t>Medicine</t>
        </is>
      </c>
      <c r="J131" t="inlineStr">
        <is>
          <t>Berry, Minh</t>
        </is>
      </c>
      <c r="K131" t="inlineStr">
        <is>
          <t>L03.115</t>
        </is>
      </c>
      <c r="L131" t="inlineStr">
        <is>
          <t>Skin</t>
        </is>
      </c>
      <c r="M131" t="inlineStr">
        <is>
          <t>Medicare</t>
        </is>
      </c>
      <c r="N131" t="inlineStr">
        <is>
          <t>Government</t>
        </is>
      </c>
      <c r="O131" s="39" t="n">
        <v>16840.92</v>
      </c>
      <c r="P131" t="inlineStr">
        <is>
          <t>N</t>
        </is>
      </c>
    </row>
    <row r="132">
      <c r="A132" t="inlineStr">
        <is>
          <t>ENC111484</t>
        </is>
      </c>
      <c r="B132" t="inlineStr">
        <is>
          <t>PT13411</t>
        </is>
      </c>
      <c r="C132" s="42" t="n">
        <v>45679</v>
      </c>
      <c r="D132" s="42" t="n">
        <v>45679</v>
      </c>
      <c r="E132" s="38" t="n">
        <v>0</v>
      </c>
      <c r="F132" t="inlineStr">
        <is>
          <t>Outpatient</t>
        </is>
      </c>
      <c r="G132" t="inlineStr">
        <is>
          <t>Bluestone Outpatient Pavilion</t>
        </is>
      </c>
      <c r="H132" t="inlineStr">
        <is>
          <t>Primary Care Clinic</t>
        </is>
      </c>
      <c r="I132" t="inlineStr">
        <is>
          <t>Ambulatory</t>
        </is>
      </c>
      <c r="J132" t="inlineStr">
        <is>
          <t>Myers, Lucia</t>
        </is>
      </c>
      <c r="K132" t="inlineStr">
        <is>
          <t>F32.9</t>
        </is>
      </c>
      <c r="L132" t="inlineStr">
        <is>
          <t>Mental &amp; Behavioral</t>
        </is>
      </c>
      <c r="M132" t="inlineStr">
        <is>
          <t>Summit Choice PPO</t>
        </is>
      </c>
      <c r="N132" t="inlineStr">
        <is>
          <t>Commercial</t>
        </is>
      </c>
      <c r="O132" s="39" t="n">
        <v>455.09</v>
      </c>
    </row>
    <row r="133">
      <c r="A133" t="inlineStr">
        <is>
          <t>ENC111489</t>
        </is>
      </c>
      <c r="B133" t="inlineStr">
        <is>
          <t>PT13908</t>
        </is>
      </c>
      <c r="C133" s="42" t="n">
        <v>45679</v>
      </c>
      <c r="D133" s="42" t="n">
        <v>45682</v>
      </c>
      <c r="E133" s="38" t="n">
        <v>3</v>
      </c>
      <c r="F133" t="inlineStr">
        <is>
          <t>Inpatient</t>
        </is>
      </c>
      <c r="G133" t="inlineStr">
        <is>
          <t>Bluestone Memorial Hospital</t>
        </is>
      </c>
      <c r="H133" t="inlineStr">
        <is>
          <t>Cardiac Step-Down</t>
        </is>
      </c>
      <c r="I133" t="inlineStr">
        <is>
          <t>Cardiovascular</t>
        </is>
      </c>
      <c r="J133" t="inlineStr">
        <is>
          <t>Taylor, Jonathan</t>
        </is>
      </c>
      <c r="K133" t="inlineStr">
        <is>
          <t>I21.4</t>
        </is>
      </c>
      <c r="L133" t="inlineStr">
        <is>
          <t>Circulatory</t>
        </is>
      </c>
      <c r="M133" t="inlineStr">
        <is>
          <t>Summit Choice PPO</t>
        </is>
      </c>
      <c r="N133" t="inlineStr">
        <is>
          <t>Commercial</t>
        </is>
      </c>
      <c r="O133" s="39" t="n">
        <v>45789.95</v>
      </c>
      <c r="P133" t="inlineStr">
        <is>
          <t>N</t>
        </is>
      </c>
    </row>
    <row r="134">
      <c r="A134" t="inlineStr">
        <is>
          <t>ENC111496</t>
        </is>
      </c>
      <c r="B134" t="inlineStr">
        <is>
          <t>PT10487</t>
        </is>
      </c>
      <c r="C134" s="42" t="n">
        <v>45679</v>
      </c>
      <c r="D134" s="42" t="n">
        <v>45680</v>
      </c>
      <c r="E134" s="38" t="n">
        <v>1</v>
      </c>
      <c r="F134" t="inlineStr">
        <is>
          <t>Emergency</t>
        </is>
      </c>
      <c r="G134" t="inlineStr">
        <is>
          <t>Bluestone Memorial Hospital</t>
        </is>
      </c>
      <c r="H134" t="inlineStr">
        <is>
          <t>Emergency Department</t>
        </is>
      </c>
      <c r="I134" t="inlineStr">
        <is>
          <t>Emergency</t>
        </is>
      </c>
      <c r="J134" t="inlineStr">
        <is>
          <t>Morris, Jordan</t>
        </is>
      </c>
      <c r="K134" t="inlineStr">
        <is>
          <t>U07.1</t>
        </is>
      </c>
      <c r="L134" t="inlineStr">
        <is>
          <t>Respiratory</t>
        </is>
      </c>
      <c r="M134" t="inlineStr">
        <is>
          <t>Summit Choice PPO</t>
        </is>
      </c>
      <c r="N134" t="inlineStr">
        <is>
          <t>Commercial</t>
        </is>
      </c>
      <c r="O134" s="39" t="n">
        <v>3021.66</v>
      </c>
    </row>
    <row r="135">
      <c r="A135" t="inlineStr">
        <is>
          <t>ENC111495</t>
        </is>
      </c>
      <c r="B135" t="inlineStr">
        <is>
          <t>PT11372</t>
        </is>
      </c>
      <c r="C135" s="42" t="n">
        <v>45680</v>
      </c>
      <c r="D135" s="42" t="n">
        <v>45684</v>
      </c>
      <c r="E135" s="38" t="n">
        <v>4</v>
      </c>
      <c r="F135" t="inlineStr">
        <is>
          <t>Inpatient</t>
        </is>
      </c>
      <c r="G135" t="inlineStr">
        <is>
          <t>Cedar Ridge Medical Center</t>
        </is>
      </c>
      <c r="H135" t="inlineStr">
        <is>
          <t>Medical-Surgical</t>
        </is>
      </c>
      <c r="I135" t="inlineStr">
        <is>
          <t>Medicine</t>
        </is>
      </c>
      <c r="J135" t="inlineStr">
        <is>
          <t>Berry, Minh</t>
        </is>
      </c>
      <c r="K135" t="inlineStr">
        <is>
          <t>J44.1</t>
        </is>
      </c>
      <c r="L135" t="inlineStr">
        <is>
          <t>Respiratory</t>
        </is>
      </c>
      <c r="M135" t="inlineStr">
        <is>
          <t>Silverline Medicare Advantage</t>
        </is>
      </c>
      <c r="N135" t="inlineStr">
        <is>
          <t>Medicare Advantage</t>
        </is>
      </c>
      <c r="O135" s="39" t="n">
        <v>17354.07</v>
      </c>
      <c r="P135" t="inlineStr">
        <is>
          <t>N</t>
        </is>
      </c>
    </row>
    <row r="136">
      <c r="A136" t="inlineStr">
        <is>
          <t>ENC111497</t>
        </is>
      </c>
      <c r="B136" t="inlineStr">
        <is>
          <t>PT13090</t>
        </is>
      </c>
      <c r="C136" s="42" t="n">
        <v>45680</v>
      </c>
      <c r="D136" s="42" t="n">
        <v>45686</v>
      </c>
      <c r="E136" s="38" t="n">
        <v>6</v>
      </c>
      <c r="F136" t="inlineStr">
        <is>
          <t>Inpatient</t>
        </is>
      </c>
      <c r="G136" t="inlineStr">
        <is>
          <t>Cedar Ridge Medical Center</t>
        </is>
      </c>
      <c r="H136" t="inlineStr">
        <is>
          <t>Medical-Surgical</t>
        </is>
      </c>
      <c r="I136" t="inlineStr">
        <is>
          <t>Medicine</t>
        </is>
      </c>
      <c r="J136" t="inlineStr">
        <is>
          <t>Reyes, Harper</t>
        </is>
      </c>
      <c r="K136" t="inlineStr">
        <is>
          <t>J18.9</t>
        </is>
      </c>
      <c r="L136" t="inlineStr">
        <is>
          <t>Respiratory</t>
        </is>
      </c>
      <c r="M136" t="inlineStr">
        <is>
          <t>Medicare</t>
        </is>
      </c>
      <c r="N136" t="inlineStr">
        <is>
          <t>Government</t>
        </is>
      </c>
      <c r="O136" s="39" t="n">
        <v>20563.38</v>
      </c>
      <c r="P136" t="inlineStr">
        <is>
          <t>N</t>
        </is>
      </c>
    </row>
    <row r="137">
      <c r="A137" t="inlineStr">
        <is>
          <t>ENC111513</t>
        </is>
      </c>
      <c r="B137" t="inlineStr">
        <is>
          <t>PT11232</t>
        </is>
      </c>
      <c r="C137" s="42" t="n">
        <v>45680</v>
      </c>
      <c r="D137" s="42" t="n">
        <v>45682</v>
      </c>
      <c r="E137" s="38" t="n">
        <v>2</v>
      </c>
      <c r="F137" t="inlineStr">
        <is>
          <t>Inpatient</t>
        </is>
      </c>
      <c r="G137" t="inlineStr">
        <is>
          <t>Bluestone Memorial Hospital</t>
        </is>
      </c>
      <c r="H137" t="inlineStr">
        <is>
          <t>Medical-Surgical 5 East</t>
        </is>
      </c>
      <c r="I137" t="inlineStr">
        <is>
          <t>Medicine</t>
        </is>
      </c>
      <c r="J137" t="inlineStr">
        <is>
          <t>Ramirez, Jordan</t>
        </is>
      </c>
      <c r="K137" t="inlineStr">
        <is>
          <t>K56.609</t>
        </is>
      </c>
      <c r="L137" t="inlineStr">
        <is>
          <t>Digestive</t>
        </is>
      </c>
      <c r="M137" t="inlineStr">
        <is>
          <t>State Medicaid</t>
        </is>
      </c>
      <c r="N137" t="inlineStr">
        <is>
          <t>Government</t>
        </is>
      </c>
      <c r="O137" s="39" t="n">
        <v>15953.63</v>
      </c>
      <c r="P137" t="inlineStr">
        <is>
          <t>N</t>
        </is>
      </c>
    </row>
    <row r="138">
      <c r="A138" t="inlineStr">
        <is>
          <t>ENC111526</t>
        </is>
      </c>
      <c r="B138" t="inlineStr">
        <is>
          <t>PT12188</t>
        </is>
      </c>
      <c r="C138" s="42" t="n">
        <v>45680</v>
      </c>
      <c r="D138" s="42" t="n">
        <v>45680</v>
      </c>
      <c r="E138" s="38" t="n">
        <v>0</v>
      </c>
      <c r="F138" t="inlineStr">
        <is>
          <t>Outpatient</t>
        </is>
      </c>
      <c r="G138" t="inlineStr">
        <is>
          <t>Bluestone Outpatient Pavilion</t>
        </is>
      </c>
      <c r="H138" t="inlineStr">
        <is>
          <t>Infusion &amp; Oncology Clinic</t>
        </is>
      </c>
      <c r="I138" t="inlineStr">
        <is>
          <t>Oncology</t>
        </is>
      </c>
      <c r="J138" t="inlineStr">
        <is>
          <t>Hicks, Zachary</t>
        </is>
      </c>
      <c r="K138" t="inlineStr">
        <is>
          <t>C34.90</t>
        </is>
      </c>
      <c r="L138" t="inlineStr">
        <is>
          <t>Neoplasms</t>
        </is>
      </c>
      <c r="M138" t="inlineStr">
        <is>
          <t>State Medicaid</t>
        </is>
      </c>
      <c r="N138" t="inlineStr">
        <is>
          <t>Government</t>
        </is>
      </c>
      <c r="O138" s="39" t="n">
        <v>363.87</v>
      </c>
    </row>
    <row r="139">
      <c r="A139" t="inlineStr">
        <is>
          <t>ENC111545</t>
        </is>
      </c>
      <c r="B139" t="inlineStr">
        <is>
          <t>PT11938</t>
        </is>
      </c>
      <c r="C139" s="42" t="n">
        <v>45681</v>
      </c>
      <c r="D139" s="42" t="n">
        <v>45686</v>
      </c>
      <c r="E139" s="38" t="n">
        <v>5</v>
      </c>
      <c r="F139" t="inlineStr">
        <is>
          <t>Inpatient</t>
        </is>
      </c>
      <c r="G139" t="inlineStr">
        <is>
          <t>Bluestone Memorial Hospital</t>
        </is>
      </c>
      <c r="H139" t="inlineStr">
        <is>
          <t>Medical-Surgical 4 West</t>
        </is>
      </c>
      <c r="I139" t="inlineStr">
        <is>
          <t>Medicine</t>
        </is>
      </c>
      <c r="J139" t="inlineStr">
        <is>
          <t>Hunt, Richard</t>
        </is>
      </c>
      <c r="K139" t="inlineStr">
        <is>
          <t>U07.1</t>
        </is>
      </c>
      <c r="L139" t="inlineStr">
        <is>
          <t>Respiratory</t>
        </is>
      </c>
      <c r="M139" t="inlineStr">
        <is>
          <t>Keystone Health Partners</t>
        </is>
      </c>
      <c r="N139" t="inlineStr">
        <is>
          <t>Commercial</t>
        </is>
      </c>
      <c r="O139" s="39" t="n">
        <v>12514.77</v>
      </c>
      <c r="P139" t="inlineStr">
        <is>
          <t>N</t>
        </is>
      </c>
    </row>
    <row r="140">
      <c r="A140" t="inlineStr">
        <is>
          <t>ENC111546</t>
        </is>
      </c>
      <c r="B140" t="inlineStr">
        <is>
          <t>PT12632</t>
        </is>
      </c>
      <c r="C140" s="42" t="n">
        <v>45681</v>
      </c>
      <c r="D140" s="42" t="n">
        <v>45681</v>
      </c>
      <c r="E140" s="38" t="n">
        <v>0</v>
      </c>
      <c r="F140" t="inlineStr">
        <is>
          <t>Outpatient</t>
        </is>
      </c>
      <c r="G140" t="inlineStr">
        <is>
          <t>Bluestone Outpatient Pavilion</t>
        </is>
      </c>
      <c r="H140" t="inlineStr">
        <is>
          <t>Pediatric Clinic</t>
        </is>
      </c>
      <c r="I140" t="inlineStr">
        <is>
          <t>Women &amp; Children</t>
        </is>
      </c>
      <c r="J140" t="inlineStr">
        <is>
          <t>Aguilar, Linh</t>
        </is>
      </c>
      <c r="K140" t="inlineStr">
        <is>
          <t>Z23</t>
        </is>
      </c>
      <c r="L140" t="inlineStr">
        <is>
          <t>Factors Influencing Health</t>
        </is>
      </c>
      <c r="M140" t="inlineStr">
        <is>
          <t>Evergreen Mutual Insurance</t>
        </is>
      </c>
      <c r="N140" t="inlineStr">
        <is>
          <t>Commercial</t>
        </is>
      </c>
      <c r="O140" s="39" t="n">
        <v>120.34</v>
      </c>
    </row>
    <row r="141">
      <c r="A141" t="inlineStr">
        <is>
          <t>ENC111553</t>
        </is>
      </c>
      <c r="B141" t="inlineStr">
        <is>
          <t>PT12805</t>
        </is>
      </c>
      <c r="C141" s="42" t="n">
        <v>45681</v>
      </c>
      <c r="D141" s="42" t="n">
        <v>45681</v>
      </c>
      <c r="E141" s="38" t="n">
        <v>0</v>
      </c>
      <c r="F141" t="inlineStr">
        <is>
          <t>Outpatient</t>
        </is>
      </c>
      <c r="G141" t="inlineStr">
        <is>
          <t>Bluestone Outpatient Pavilion</t>
        </is>
      </c>
      <c r="H141" t="inlineStr">
        <is>
          <t>Primary Care Clinic</t>
        </is>
      </c>
      <c r="I141" t="inlineStr">
        <is>
          <t>Ambulatory</t>
        </is>
      </c>
      <c r="J141" t="inlineStr">
        <is>
          <t>Santos, Edward</t>
        </is>
      </c>
      <c r="K141" t="inlineStr">
        <is>
          <t>Z23</t>
        </is>
      </c>
      <c r="L141" t="inlineStr">
        <is>
          <t>Factors Influencing Health</t>
        </is>
      </c>
      <c r="M141" t="inlineStr">
        <is>
          <t>State Medicaid</t>
        </is>
      </c>
      <c r="N141" t="inlineStr">
        <is>
          <t>Government</t>
        </is>
      </c>
      <c r="O141" s="39" t="n">
        <v>103.67</v>
      </c>
    </row>
    <row r="142">
      <c r="A142" t="inlineStr">
        <is>
          <t>ENC111556</t>
        </is>
      </c>
      <c r="B142" t="inlineStr">
        <is>
          <t>PT10113</t>
        </is>
      </c>
      <c r="C142" s="42" t="n">
        <v>45681</v>
      </c>
      <c r="D142" s="42" t="n">
        <v>45681</v>
      </c>
      <c r="E142" s="38" t="n">
        <v>0</v>
      </c>
      <c r="F142" t="inlineStr">
        <is>
          <t>Outpatient</t>
        </is>
      </c>
      <c r="G142" t="inlineStr">
        <is>
          <t>Bluestone Outpatient Pavilion</t>
        </is>
      </c>
      <c r="H142" t="inlineStr">
        <is>
          <t>Primary Care Clinic</t>
        </is>
      </c>
      <c r="I142" t="inlineStr">
        <is>
          <t>Ambulatory</t>
        </is>
      </c>
      <c r="J142" t="inlineStr">
        <is>
          <t>Sullivan, Brenda</t>
        </is>
      </c>
      <c r="K142" t="inlineStr">
        <is>
          <t>I10</t>
        </is>
      </c>
      <c r="L142" t="inlineStr">
        <is>
          <t>Circulatory</t>
        </is>
      </c>
      <c r="M142" t="inlineStr">
        <is>
          <t>Summit Choice PPO</t>
        </is>
      </c>
      <c r="N142" t="inlineStr">
        <is>
          <t>Commercial</t>
        </is>
      </c>
      <c r="O142" s="39" t="n">
        <v>277.65</v>
      </c>
    </row>
    <row r="143">
      <c r="A143" t="inlineStr">
        <is>
          <t>ENC111566</t>
        </is>
      </c>
      <c r="B143" t="inlineStr">
        <is>
          <t>PT13888</t>
        </is>
      </c>
      <c r="C143" s="42" t="n">
        <v>45681</v>
      </c>
      <c r="D143" s="42" t="n">
        <v>45681</v>
      </c>
      <c r="E143" s="38" t="n">
        <v>0</v>
      </c>
      <c r="F143" t="inlineStr">
        <is>
          <t>Emergency</t>
        </is>
      </c>
      <c r="G143" t="inlineStr">
        <is>
          <t>Ashby Falls Community Hospital</t>
        </is>
      </c>
      <c r="H143" t="inlineStr">
        <is>
          <t>Emergency Department</t>
        </is>
      </c>
      <c r="I143" t="inlineStr">
        <is>
          <t>Emergency</t>
        </is>
      </c>
      <c r="J143" t="inlineStr">
        <is>
          <t>Marshall, Lisa</t>
        </is>
      </c>
      <c r="K143" t="inlineStr">
        <is>
          <t>R55</t>
        </is>
      </c>
      <c r="L143" t="inlineStr">
        <is>
          <t>Symptoms &amp; Signs</t>
        </is>
      </c>
      <c r="M143" t="inlineStr">
        <is>
          <t>Keystone Health Partners</t>
        </is>
      </c>
      <c r="N143" t="inlineStr">
        <is>
          <t>Commercial</t>
        </is>
      </c>
      <c r="O143" s="39" t="n">
        <v>2679.14</v>
      </c>
    </row>
    <row r="144">
      <c r="A144" t="inlineStr">
        <is>
          <t>ENC111573</t>
        </is>
      </c>
      <c r="B144" t="inlineStr">
        <is>
          <t>PT10351</t>
        </is>
      </c>
      <c r="C144" s="42" t="n">
        <v>45681</v>
      </c>
      <c r="D144" s="42" t="n">
        <v>45681</v>
      </c>
      <c r="E144" s="38" t="n">
        <v>0</v>
      </c>
      <c r="F144" t="inlineStr">
        <is>
          <t>Outpatient</t>
        </is>
      </c>
      <c r="G144" t="inlineStr">
        <is>
          <t>Bluestone Outpatient Pavilion</t>
        </is>
      </c>
      <c r="H144" t="inlineStr">
        <is>
          <t>Primary Care Clinic</t>
        </is>
      </c>
      <c r="I144" t="inlineStr">
        <is>
          <t>Ambulatory</t>
        </is>
      </c>
      <c r="J144" t="inlineStr">
        <is>
          <t>Nguyen, Isabella</t>
        </is>
      </c>
      <c r="K144" t="inlineStr">
        <is>
          <t>I10</t>
        </is>
      </c>
      <c r="L144" t="inlineStr">
        <is>
          <t>Circulatory</t>
        </is>
      </c>
      <c r="M144" t="inlineStr">
        <is>
          <t>Medicare</t>
        </is>
      </c>
      <c r="N144" t="inlineStr">
        <is>
          <t>Government</t>
        </is>
      </c>
      <c r="O144" s="39" t="n">
        <v>287.64</v>
      </c>
    </row>
    <row r="145">
      <c r="A145" t="inlineStr">
        <is>
          <t>ENC111574</t>
        </is>
      </c>
      <c r="B145" t="inlineStr">
        <is>
          <t>PT13193</t>
        </is>
      </c>
      <c r="C145" s="42" t="n">
        <v>45681</v>
      </c>
      <c r="D145" s="42" t="n">
        <v>45681</v>
      </c>
      <c r="E145" s="38" t="n">
        <v>0</v>
      </c>
      <c r="F145" t="inlineStr">
        <is>
          <t>Emergency</t>
        </is>
      </c>
      <c r="G145" t="inlineStr">
        <is>
          <t>Bluestone Memorial Hospital</t>
        </is>
      </c>
      <c r="H145" t="inlineStr">
        <is>
          <t>Emergency Department</t>
        </is>
      </c>
      <c r="I145" t="inlineStr">
        <is>
          <t>Emergency</t>
        </is>
      </c>
      <c r="J145" t="inlineStr">
        <is>
          <t>Olson, Christian</t>
        </is>
      </c>
      <c r="K145" t="inlineStr">
        <is>
          <t>E86.0</t>
        </is>
      </c>
      <c r="L145" t="inlineStr">
        <is>
          <t>Endocrine</t>
        </is>
      </c>
      <c r="M145" t="inlineStr">
        <is>
          <t>Silverline Medicare Advantage</t>
        </is>
      </c>
      <c r="N145" t="inlineStr">
        <is>
          <t>Medicare Advantage</t>
        </is>
      </c>
      <c r="O145" s="39" t="n">
        <v>3214.58</v>
      </c>
    </row>
    <row r="146">
      <c r="A146" t="inlineStr">
        <is>
          <t>ENC111581</t>
        </is>
      </c>
      <c r="B146" t="inlineStr">
        <is>
          <t>PT11799</t>
        </is>
      </c>
      <c r="C146" s="42" t="n">
        <v>45682</v>
      </c>
      <c r="D146" s="42" t="n">
        <v>45682</v>
      </c>
      <c r="E146" s="38" t="n">
        <v>0</v>
      </c>
      <c r="F146" t="inlineStr">
        <is>
          <t>Emergency</t>
        </is>
      </c>
      <c r="G146" t="inlineStr">
        <is>
          <t>Bluestone Memorial Hospital</t>
        </is>
      </c>
      <c r="H146" t="inlineStr">
        <is>
          <t>Emergency Department</t>
        </is>
      </c>
      <c r="I146" t="inlineStr">
        <is>
          <t>Emergency</t>
        </is>
      </c>
      <c r="J146" t="inlineStr">
        <is>
          <t>Myers, Doris</t>
        </is>
      </c>
      <c r="K146" t="inlineStr">
        <is>
          <t>J21.9</t>
        </is>
      </c>
      <c r="L146" t="inlineStr">
        <is>
          <t>Respiratory</t>
        </is>
      </c>
      <c r="M146" t="inlineStr">
        <is>
          <t>State Medicaid</t>
        </is>
      </c>
      <c r="N146" t="inlineStr">
        <is>
          <t>Government</t>
        </is>
      </c>
      <c r="O146" s="39" t="n">
        <v>4283.65</v>
      </c>
    </row>
    <row r="147">
      <c r="A147" t="inlineStr">
        <is>
          <t>ENC111590</t>
        </is>
      </c>
      <c r="B147" t="inlineStr">
        <is>
          <t>PT12515</t>
        </is>
      </c>
      <c r="C147" s="42" t="n">
        <v>45682</v>
      </c>
      <c r="D147" s="42" t="n">
        <v>45682</v>
      </c>
      <c r="E147" s="38" t="n">
        <v>0</v>
      </c>
      <c r="F147" t="inlineStr">
        <is>
          <t>Emergency</t>
        </is>
      </c>
      <c r="G147" t="inlineStr">
        <is>
          <t>Ashby Falls Community Hospital</t>
        </is>
      </c>
      <c r="H147" t="inlineStr">
        <is>
          <t>Emergency Department</t>
        </is>
      </c>
      <c r="I147" t="inlineStr">
        <is>
          <t>Emergency</t>
        </is>
      </c>
      <c r="J147" t="inlineStr">
        <is>
          <t>Richardson, Mei</t>
        </is>
      </c>
      <c r="K147" t="inlineStr">
        <is>
          <t>J18.9</t>
        </is>
      </c>
      <c r="L147" t="inlineStr">
        <is>
          <t>Respiratory</t>
        </is>
      </c>
      <c r="M147" t="inlineStr">
        <is>
          <t>Evergreen Mutual Insurance</t>
        </is>
      </c>
      <c r="N147" t="inlineStr">
        <is>
          <t>Commercial</t>
        </is>
      </c>
      <c r="O147" s="39" t="n">
        <v>7545.35</v>
      </c>
    </row>
    <row r="148">
      <c r="A148" t="inlineStr">
        <is>
          <t>ENC111591</t>
        </is>
      </c>
      <c r="B148" t="inlineStr">
        <is>
          <t>PT10769</t>
        </is>
      </c>
      <c r="C148" s="42" t="n">
        <v>45682</v>
      </c>
      <c r="D148" s="42" t="n">
        <v>45694</v>
      </c>
      <c r="E148" s="38" t="n">
        <v>12</v>
      </c>
      <c r="F148" t="inlineStr">
        <is>
          <t>Inpatient</t>
        </is>
      </c>
      <c r="G148" t="inlineStr">
        <is>
          <t>Bluestone Memorial Hospital</t>
        </is>
      </c>
      <c r="H148" t="inlineStr">
        <is>
          <t>Medical-Surgical 4 West</t>
        </is>
      </c>
      <c r="I148" t="inlineStr">
        <is>
          <t>Medicine</t>
        </is>
      </c>
      <c r="J148" t="inlineStr">
        <is>
          <t>Vasquez, Jose</t>
        </is>
      </c>
      <c r="K148" t="inlineStr">
        <is>
          <t>U07.1</t>
        </is>
      </c>
      <c r="L148" t="inlineStr">
        <is>
          <t>Respiratory</t>
        </is>
      </c>
      <c r="M148" t="inlineStr">
        <is>
          <t>Medicare</t>
        </is>
      </c>
      <c r="N148" t="inlineStr">
        <is>
          <t>Government</t>
        </is>
      </c>
      <c r="O148" s="39" t="n">
        <v>45147.3</v>
      </c>
      <c r="P148" t="inlineStr">
        <is>
          <t>N</t>
        </is>
      </c>
    </row>
    <row r="149">
      <c r="A149" t="inlineStr">
        <is>
          <t>ENC111598</t>
        </is>
      </c>
      <c r="B149" t="inlineStr">
        <is>
          <t>PT12562</t>
        </is>
      </c>
      <c r="C149" s="42" t="n">
        <v>45682</v>
      </c>
      <c r="D149" s="42" t="n">
        <v>45682</v>
      </c>
      <c r="E149" s="38" t="n">
        <v>0</v>
      </c>
      <c r="F149" t="inlineStr">
        <is>
          <t>Emergency</t>
        </is>
      </c>
      <c r="G149" t="inlineStr">
        <is>
          <t>Bluestone Memorial Hospital</t>
        </is>
      </c>
      <c r="H149" t="inlineStr">
        <is>
          <t>Emergency Department</t>
        </is>
      </c>
      <c r="I149" t="inlineStr">
        <is>
          <t>Emergency</t>
        </is>
      </c>
      <c r="J149" t="inlineStr">
        <is>
          <t>Olson, Christian</t>
        </is>
      </c>
      <c r="K149" t="inlineStr">
        <is>
          <t>R10.9</t>
        </is>
      </c>
      <c r="L149" t="inlineStr">
        <is>
          <t>Symptoms &amp; Signs</t>
        </is>
      </c>
      <c r="M149" t="inlineStr">
        <is>
          <t>Keystone Health Partners</t>
        </is>
      </c>
      <c r="N149" t="inlineStr">
        <is>
          <t>Commercial</t>
        </is>
      </c>
      <c r="O149" s="39" t="n">
        <v>3525.09</v>
      </c>
    </row>
    <row r="150">
      <c r="A150" t="inlineStr">
        <is>
          <t>ENC111602</t>
        </is>
      </c>
      <c r="B150" t="inlineStr">
        <is>
          <t>PT13851</t>
        </is>
      </c>
      <c r="C150" s="42" t="n">
        <v>45682</v>
      </c>
      <c r="D150" s="42" t="n">
        <v>45682</v>
      </c>
      <c r="E150" s="38" t="n">
        <v>0</v>
      </c>
      <c r="F150" t="inlineStr">
        <is>
          <t>Emergency</t>
        </is>
      </c>
      <c r="G150" t="inlineStr">
        <is>
          <t>Bluestone Memorial Hospital</t>
        </is>
      </c>
      <c r="H150" t="inlineStr">
        <is>
          <t>Emergency Department</t>
        </is>
      </c>
      <c r="I150" t="inlineStr">
        <is>
          <t>Emergency</t>
        </is>
      </c>
      <c r="J150" t="inlineStr">
        <is>
          <t>Jordan, Wayne</t>
        </is>
      </c>
      <c r="K150" t="inlineStr">
        <is>
          <t>J18.9</t>
        </is>
      </c>
      <c r="L150" t="inlineStr">
        <is>
          <t>Respiratory</t>
        </is>
      </c>
      <c r="M150" t="inlineStr">
        <is>
          <t>State Medicaid</t>
        </is>
      </c>
      <c r="N150" t="inlineStr">
        <is>
          <t>Government</t>
        </is>
      </c>
      <c r="O150" s="39" t="n">
        <v>2745.84</v>
      </c>
    </row>
    <row r="151">
      <c r="A151" t="inlineStr">
        <is>
          <t>ENC111607</t>
        </is>
      </c>
      <c r="B151" t="inlineStr">
        <is>
          <t>PT11595</t>
        </is>
      </c>
      <c r="C151" s="42" t="n">
        <v>45683</v>
      </c>
      <c r="D151" s="42" t="n">
        <v>45683</v>
      </c>
      <c r="E151" s="38" t="n">
        <v>0</v>
      </c>
      <c r="F151" t="inlineStr">
        <is>
          <t>Emergency</t>
        </is>
      </c>
      <c r="G151" t="inlineStr">
        <is>
          <t>Bluestone Memorial Hospital</t>
        </is>
      </c>
      <c r="H151" t="inlineStr">
        <is>
          <t>Emergency Department</t>
        </is>
      </c>
      <c r="I151" t="inlineStr">
        <is>
          <t>Emergency</t>
        </is>
      </c>
      <c r="J151" t="inlineStr">
        <is>
          <t>Kowalski, James</t>
        </is>
      </c>
      <c r="K151" t="inlineStr">
        <is>
          <t>U07.1</t>
        </is>
      </c>
      <c r="L151" t="inlineStr">
        <is>
          <t>Respiratory</t>
        </is>
      </c>
      <c r="M151" t="inlineStr">
        <is>
          <t>State Medicaid</t>
        </is>
      </c>
      <c r="N151" t="inlineStr">
        <is>
          <t>Government</t>
        </is>
      </c>
      <c r="O151" s="39" t="n">
        <v>7462.48</v>
      </c>
    </row>
    <row r="152">
      <c r="A152" t="inlineStr">
        <is>
          <t>ENC111609</t>
        </is>
      </c>
      <c r="B152" t="inlineStr">
        <is>
          <t>PT12620</t>
        </is>
      </c>
      <c r="C152" s="42" t="n">
        <v>45683</v>
      </c>
      <c r="D152" s="42" t="n">
        <v>45683</v>
      </c>
      <c r="E152" s="38" t="n">
        <v>0</v>
      </c>
      <c r="F152" t="inlineStr">
        <is>
          <t>Emergency</t>
        </is>
      </c>
      <c r="G152" t="inlineStr">
        <is>
          <t>Ashby Falls Community Hospital</t>
        </is>
      </c>
      <c r="H152" t="inlineStr">
        <is>
          <t>Emergency Department</t>
        </is>
      </c>
      <c r="I152" t="inlineStr">
        <is>
          <t>Emergency</t>
        </is>
      </c>
      <c r="J152" t="inlineStr">
        <is>
          <t>Richardson, Mei</t>
        </is>
      </c>
      <c r="K152" t="inlineStr">
        <is>
          <t>J18.9</t>
        </is>
      </c>
      <c r="L152" t="inlineStr">
        <is>
          <t>Respiratory</t>
        </is>
      </c>
      <c r="M152" t="inlineStr">
        <is>
          <t>State Medicaid</t>
        </is>
      </c>
      <c r="N152" t="inlineStr">
        <is>
          <t>Government</t>
        </is>
      </c>
      <c r="O152" s="39" t="n">
        <v>7593.79</v>
      </c>
    </row>
    <row r="153">
      <c r="A153" t="inlineStr">
        <is>
          <t>ENC111610</t>
        </is>
      </c>
      <c r="B153" t="inlineStr">
        <is>
          <t>PT12707</t>
        </is>
      </c>
      <c r="C153" s="42" t="n">
        <v>45683</v>
      </c>
      <c r="D153" s="42" t="n">
        <v>45685</v>
      </c>
      <c r="E153" s="38" t="n">
        <v>2</v>
      </c>
      <c r="F153" t="inlineStr">
        <is>
          <t>Inpatient</t>
        </is>
      </c>
      <c r="G153" t="inlineStr">
        <is>
          <t>Bluestone Memorial Hospital</t>
        </is>
      </c>
      <c r="H153" t="inlineStr">
        <is>
          <t>Medical-Surgical 4 West</t>
        </is>
      </c>
      <c r="I153" t="inlineStr">
        <is>
          <t>Medicine</t>
        </is>
      </c>
      <c r="J153" t="inlineStr">
        <is>
          <t>Abdi, Hassan</t>
        </is>
      </c>
      <c r="K153" t="inlineStr">
        <is>
          <t>N39.0</t>
        </is>
      </c>
      <c r="L153" t="inlineStr">
        <is>
          <t>Genitourinary</t>
        </is>
      </c>
      <c r="M153" t="inlineStr">
        <is>
          <t>Medicare</t>
        </is>
      </c>
      <c r="N153" t="inlineStr">
        <is>
          <t>Government</t>
        </is>
      </c>
      <c r="O153" s="39" t="n">
        <v>13070.77</v>
      </c>
      <c r="P153" t="inlineStr">
        <is>
          <t>N</t>
        </is>
      </c>
    </row>
    <row r="154">
      <c r="A154" t="inlineStr">
        <is>
          <t>ENC111630</t>
        </is>
      </c>
      <c r="B154" t="inlineStr">
        <is>
          <t>PT10050</t>
        </is>
      </c>
      <c r="C154" s="42" t="n">
        <v>45683</v>
      </c>
      <c r="D154" s="42" t="n">
        <v>45687</v>
      </c>
      <c r="E154" s="38" t="n">
        <v>4</v>
      </c>
      <c r="F154" t="inlineStr">
        <is>
          <t>Inpatient</t>
        </is>
      </c>
      <c r="G154" t="inlineStr">
        <is>
          <t>Cedar Ridge Medical Center</t>
        </is>
      </c>
      <c r="H154" t="inlineStr">
        <is>
          <t>Medical-Surgical</t>
        </is>
      </c>
      <c r="I154" t="inlineStr">
        <is>
          <t>Medicine</t>
        </is>
      </c>
      <c r="J154" t="inlineStr">
        <is>
          <t>Payne, Tyler</t>
        </is>
      </c>
      <c r="K154" t="inlineStr">
        <is>
          <t>E87.1</t>
        </is>
      </c>
      <c r="L154" t="inlineStr">
        <is>
          <t>Endocrine</t>
        </is>
      </c>
      <c r="M154" t="inlineStr">
        <is>
          <t>Keystone Health Partners</t>
        </is>
      </c>
      <c r="N154" t="inlineStr">
        <is>
          <t>Commercial</t>
        </is>
      </c>
      <c r="O154" s="39" t="n">
        <v>23953.88</v>
      </c>
      <c r="P154" t="inlineStr">
        <is>
          <t>N</t>
        </is>
      </c>
    </row>
    <row r="155">
      <c r="A155" t="inlineStr">
        <is>
          <t>ENC111643</t>
        </is>
      </c>
      <c r="B155" t="inlineStr">
        <is>
          <t>PT13826</t>
        </is>
      </c>
      <c r="C155" s="42" t="n">
        <v>45684</v>
      </c>
      <c r="D155" s="42" t="n">
        <v>45685</v>
      </c>
      <c r="E155" s="38" t="n">
        <v>1</v>
      </c>
      <c r="F155" t="inlineStr">
        <is>
          <t>Observation</t>
        </is>
      </c>
      <c r="G155" t="inlineStr">
        <is>
          <t>Ashby Falls Community Hospital</t>
        </is>
      </c>
      <c r="H155" t="inlineStr">
        <is>
          <t>Medical-Surgical</t>
        </is>
      </c>
      <c r="I155" t="inlineStr">
        <is>
          <t>Medicine</t>
        </is>
      </c>
      <c r="J155" t="inlineStr">
        <is>
          <t>Carter, Karen</t>
        </is>
      </c>
      <c r="K155" t="inlineStr">
        <is>
          <t>R55</t>
        </is>
      </c>
      <c r="L155" t="inlineStr">
        <is>
          <t>Symptoms &amp; Signs</t>
        </is>
      </c>
      <c r="M155" t="inlineStr">
        <is>
          <t>Medicare</t>
        </is>
      </c>
      <c r="N155" t="inlineStr">
        <is>
          <t>Government</t>
        </is>
      </c>
      <c r="O155" s="39" t="n">
        <v>7963.24</v>
      </c>
    </row>
    <row r="156">
      <c r="A156" t="inlineStr">
        <is>
          <t>ENC111649</t>
        </is>
      </c>
      <c r="B156" t="inlineStr">
        <is>
          <t>PT12045</t>
        </is>
      </c>
      <c r="C156" s="42" t="n">
        <v>45684</v>
      </c>
      <c r="D156" s="42" t="n">
        <v>45684</v>
      </c>
      <c r="E156" s="38" t="n">
        <v>0</v>
      </c>
      <c r="F156" t="inlineStr">
        <is>
          <t>Outpatient</t>
        </is>
      </c>
      <c r="G156" t="inlineStr">
        <is>
          <t>Bluestone Outpatient Pavilion</t>
        </is>
      </c>
      <c r="H156" t="inlineStr">
        <is>
          <t>Primary Care Clinic</t>
        </is>
      </c>
      <c r="I156" t="inlineStr">
        <is>
          <t>Ambulatory</t>
        </is>
      </c>
      <c r="J156" t="inlineStr">
        <is>
          <t>Arnold, Catherine</t>
        </is>
      </c>
      <c r="K156" t="inlineStr">
        <is>
          <t>Z00.00</t>
        </is>
      </c>
      <c r="L156" t="inlineStr">
        <is>
          <t>Factors Influencing Health</t>
        </is>
      </c>
      <c r="M156" t="inlineStr">
        <is>
          <t>Summit Choice PPO</t>
        </is>
      </c>
      <c r="N156" t="inlineStr">
        <is>
          <t>Commercial</t>
        </is>
      </c>
      <c r="O156" s="39" t="n">
        <v>333.5</v>
      </c>
    </row>
    <row r="157">
      <c r="A157" t="inlineStr">
        <is>
          <t>ENC111650</t>
        </is>
      </c>
      <c r="B157" t="inlineStr">
        <is>
          <t>PT10721</t>
        </is>
      </c>
      <c r="C157" s="42" t="n">
        <v>45684</v>
      </c>
      <c r="D157" s="42" t="n">
        <v>45684</v>
      </c>
      <c r="E157" s="38" t="n">
        <v>0</v>
      </c>
      <c r="F157" t="inlineStr">
        <is>
          <t>Outpatient</t>
        </is>
      </c>
      <c r="G157" t="inlineStr">
        <is>
          <t>Bluestone Outpatient Pavilion</t>
        </is>
      </c>
      <c r="H157" t="inlineStr">
        <is>
          <t>Infusion &amp; Oncology Clinic</t>
        </is>
      </c>
      <c r="I157" t="inlineStr">
        <is>
          <t>Oncology</t>
        </is>
      </c>
      <c r="J157" t="inlineStr">
        <is>
          <t>Long, Fatima</t>
        </is>
      </c>
      <c r="K157" t="inlineStr">
        <is>
          <t>C34.90</t>
        </is>
      </c>
      <c r="L157" t="inlineStr">
        <is>
          <t>Neoplasms</t>
        </is>
      </c>
      <c r="M157" t="inlineStr">
        <is>
          <t>Medicare</t>
        </is>
      </c>
      <c r="N157" t="inlineStr">
        <is>
          <t>Government</t>
        </is>
      </c>
      <c r="O157" s="39" t="n">
        <v>315.07</v>
      </c>
    </row>
    <row r="158">
      <c r="A158" t="inlineStr">
        <is>
          <t>ENC111651</t>
        </is>
      </c>
      <c r="B158" t="inlineStr">
        <is>
          <t>PT12600</t>
        </is>
      </c>
      <c r="C158" s="42" t="n">
        <v>45684</v>
      </c>
      <c r="D158" s="42" t="n">
        <v>45684</v>
      </c>
      <c r="E158" s="38" t="n">
        <v>0</v>
      </c>
      <c r="F158" t="inlineStr">
        <is>
          <t>Outpatient</t>
        </is>
      </c>
      <c r="G158" t="inlineStr">
        <is>
          <t>Bluestone Outpatient Pavilion</t>
        </is>
      </c>
      <c r="H158" t="inlineStr">
        <is>
          <t>Endocrinology &amp; Diabetes Clinic</t>
        </is>
      </c>
      <c r="I158" t="inlineStr">
        <is>
          <t>Ambulatory</t>
        </is>
      </c>
      <c r="J158" t="inlineStr">
        <is>
          <t>Woods, Larry</t>
        </is>
      </c>
      <c r="K158" t="inlineStr">
        <is>
          <t>E11.9</t>
        </is>
      </c>
      <c r="L158" t="inlineStr">
        <is>
          <t>Endocrine</t>
        </is>
      </c>
      <c r="M158" t="inlineStr">
        <is>
          <t>Silverline Medicare Advantage</t>
        </is>
      </c>
      <c r="N158" t="inlineStr">
        <is>
          <t>Medicare Advantage</t>
        </is>
      </c>
      <c r="O158" s="39" t="n">
        <v>225.61</v>
      </c>
    </row>
    <row r="159">
      <c r="A159" t="inlineStr">
        <is>
          <t>ENC111653</t>
        </is>
      </c>
      <c r="B159" t="inlineStr">
        <is>
          <t>PT10413</t>
        </is>
      </c>
      <c r="C159" s="42" t="n">
        <v>45684</v>
      </c>
      <c r="D159" s="42" t="n">
        <v>45684</v>
      </c>
      <c r="E159" s="38" t="n">
        <v>0</v>
      </c>
      <c r="F159" t="inlineStr">
        <is>
          <t>Outpatient</t>
        </is>
      </c>
      <c r="G159" t="inlineStr">
        <is>
          <t>Bluestone Outpatient Pavilion</t>
        </is>
      </c>
      <c r="H159" t="inlineStr">
        <is>
          <t>Primary Care Clinic</t>
        </is>
      </c>
      <c r="I159" t="inlineStr">
        <is>
          <t>Ambulatory</t>
        </is>
      </c>
      <c r="J159" t="inlineStr">
        <is>
          <t>Bennett, Randy</t>
        </is>
      </c>
      <c r="K159" t="inlineStr">
        <is>
          <t>J06.9</t>
        </is>
      </c>
      <c r="L159" t="inlineStr">
        <is>
          <t>Respiratory</t>
        </is>
      </c>
      <c r="M159" t="inlineStr">
        <is>
          <t>Self-Pay</t>
        </is>
      </c>
      <c r="N159" t="inlineStr">
        <is>
          <t>Self-Pay</t>
        </is>
      </c>
      <c r="O159" s="39" t="n">
        <v>246.09</v>
      </c>
    </row>
    <row r="160">
      <c r="A160" t="inlineStr">
        <is>
          <t>ENC111662</t>
        </is>
      </c>
      <c r="B160" t="inlineStr">
        <is>
          <t>PT12747</t>
        </is>
      </c>
      <c r="C160" s="42" t="n">
        <v>45684</v>
      </c>
      <c r="D160" s="42" t="n">
        <v>45684</v>
      </c>
      <c r="E160" s="38" t="n">
        <v>0</v>
      </c>
      <c r="F160" t="inlineStr">
        <is>
          <t>Outpatient</t>
        </is>
      </c>
      <c r="G160" t="inlineStr">
        <is>
          <t>Bluestone Outpatient Pavilion</t>
        </is>
      </c>
      <c r="H160" t="inlineStr">
        <is>
          <t>Primary Care Clinic</t>
        </is>
      </c>
      <c r="I160" t="inlineStr">
        <is>
          <t>Ambulatory</t>
        </is>
      </c>
      <c r="J160" t="inlineStr">
        <is>
          <t>Elliott, Douglas</t>
        </is>
      </c>
      <c r="K160" t="inlineStr">
        <is>
          <t>Z23</t>
        </is>
      </c>
      <c r="L160" t="inlineStr">
        <is>
          <t>Factors Influencing Health</t>
        </is>
      </c>
      <c r="M160" t="inlineStr">
        <is>
          <t>Silverline Medicare Advantage</t>
        </is>
      </c>
      <c r="N160" t="inlineStr">
        <is>
          <t>Medicare Advantage</t>
        </is>
      </c>
      <c r="O160" s="39" t="n">
        <v>119.3</v>
      </c>
    </row>
    <row r="161">
      <c r="A161" t="inlineStr">
        <is>
          <t>ENC111665</t>
        </is>
      </c>
      <c r="B161" t="inlineStr">
        <is>
          <t>PT10521</t>
        </is>
      </c>
      <c r="C161" s="42" t="n">
        <v>45684</v>
      </c>
      <c r="D161" s="42" t="n">
        <v>45684</v>
      </c>
      <c r="E161" s="38" t="n">
        <v>0</v>
      </c>
      <c r="F161" t="inlineStr">
        <is>
          <t>Outpatient</t>
        </is>
      </c>
      <c r="G161" t="inlineStr">
        <is>
          <t>Bluestone Outpatient Pavilion</t>
        </is>
      </c>
      <c r="H161" t="inlineStr">
        <is>
          <t>Endocrinology &amp; Diabetes Clinic</t>
        </is>
      </c>
      <c r="I161" t="inlineStr">
        <is>
          <t>Ambulatory</t>
        </is>
      </c>
      <c r="J161" t="inlineStr">
        <is>
          <t>Woods, Larry</t>
        </is>
      </c>
      <c r="K161" t="inlineStr">
        <is>
          <t>E11.65</t>
        </is>
      </c>
      <c r="L161" t="inlineStr">
        <is>
          <t>Endocrine</t>
        </is>
      </c>
      <c r="M161" t="inlineStr">
        <is>
          <t>Evergreen Mutual Insurance</t>
        </is>
      </c>
      <c r="N161" t="inlineStr">
        <is>
          <t>Commercial</t>
        </is>
      </c>
      <c r="O161" s="39" t="n">
        <v>411.03</v>
      </c>
    </row>
    <row r="162">
      <c r="A162" t="inlineStr">
        <is>
          <t>ENC111668</t>
        </is>
      </c>
      <c r="B162" t="inlineStr">
        <is>
          <t>PT13718</t>
        </is>
      </c>
      <c r="C162" s="42" t="n">
        <v>45684</v>
      </c>
      <c r="D162" s="42" t="n">
        <v>45684</v>
      </c>
      <c r="E162" s="38" t="n">
        <v>0</v>
      </c>
      <c r="F162" t="inlineStr">
        <is>
          <t>Outpatient</t>
        </is>
      </c>
      <c r="G162" t="inlineStr">
        <is>
          <t>Bluestone Outpatient Pavilion</t>
        </is>
      </c>
      <c r="H162" t="inlineStr">
        <is>
          <t>Pediatric Clinic</t>
        </is>
      </c>
      <c r="I162" t="inlineStr">
        <is>
          <t>Women &amp; Children</t>
        </is>
      </c>
      <c r="J162" t="inlineStr">
        <is>
          <t>Brown, Stephanie</t>
        </is>
      </c>
      <c r="K162" t="inlineStr">
        <is>
          <t>G40.909</t>
        </is>
      </c>
      <c r="L162" t="inlineStr">
        <is>
          <t>Nervous System</t>
        </is>
      </c>
      <c r="M162" t="inlineStr">
        <is>
          <t>State Medicaid</t>
        </is>
      </c>
      <c r="N162" t="inlineStr">
        <is>
          <t>Government</t>
        </is>
      </c>
      <c r="O162" s="39" t="n">
        <v>392.48</v>
      </c>
    </row>
    <row r="163">
      <c r="A163" t="inlineStr">
        <is>
          <t>ENC111669</t>
        </is>
      </c>
      <c r="B163" t="inlineStr">
        <is>
          <t>PT11053</t>
        </is>
      </c>
      <c r="C163" s="42" t="n">
        <v>45684</v>
      </c>
      <c r="D163" s="42" t="n">
        <v>45684</v>
      </c>
      <c r="E163" s="38" t="n">
        <v>0</v>
      </c>
      <c r="F163" t="inlineStr">
        <is>
          <t>Outpatient</t>
        </is>
      </c>
      <c r="G163" t="inlineStr">
        <is>
          <t>Bluestone Outpatient Pavilion</t>
        </is>
      </c>
      <c r="H163" t="inlineStr">
        <is>
          <t>Primary Care Clinic</t>
        </is>
      </c>
      <c r="I163" t="inlineStr">
        <is>
          <t>Ambulatory</t>
        </is>
      </c>
      <c r="J163" t="inlineStr">
        <is>
          <t>Myers, Lucia</t>
        </is>
      </c>
      <c r="K163" t="inlineStr">
        <is>
          <t>I10</t>
        </is>
      </c>
      <c r="L163" t="inlineStr">
        <is>
          <t>Circulatory</t>
        </is>
      </c>
      <c r="M163" t="inlineStr">
        <is>
          <t>Self-Pay</t>
        </is>
      </c>
      <c r="N163" t="inlineStr">
        <is>
          <t>Self-Pay</t>
        </is>
      </c>
      <c r="O163" s="39" t="n">
        <v>255.76</v>
      </c>
    </row>
    <row r="164">
      <c r="A164" t="inlineStr">
        <is>
          <t>ENC111686</t>
        </is>
      </c>
      <c r="B164" t="inlineStr">
        <is>
          <t>PT11448</t>
        </is>
      </c>
      <c r="C164" s="42" t="n">
        <v>45685</v>
      </c>
      <c r="D164" s="42" t="n">
        <v>45685</v>
      </c>
      <c r="E164" s="38" t="n">
        <v>0</v>
      </c>
      <c r="F164" t="inlineStr">
        <is>
          <t>Emergency</t>
        </is>
      </c>
      <c r="G164" t="inlineStr">
        <is>
          <t>Cedar Ridge Medical Center</t>
        </is>
      </c>
      <c r="H164" t="inlineStr">
        <is>
          <t>Emergency Department</t>
        </is>
      </c>
      <c r="I164" t="inlineStr">
        <is>
          <t>Emergency</t>
        </is>
      </c>
      <c r="J164" t="inlineStr">
        <is>
          <t>Pena, Wayne</t>
        </is>
      </c>
      <c r="K164" t="inlineStr">
        <is>
          <t>F41.9</t>
        </is>
      </c>
      <c r="L164" t="inlineStr">
        <is>
          <t>Mental &amp; Behavioral</t>
        </is>
      </c>
      <c r="M164" t="inlineStr">
        <is>
          <t>Medicare</t>
        </is>
      </c>
      <c r="N164" t="inlineStr">
        <is>
          <t>Government</t>
        </is>
      </c>
      <c r="O164" s="39" t="n">
        <v>1351.53</v>
      </c>
    </row>
    <row r="165">
      <c r="A165" t="inlineStr">
        <is>
          <t>ENC111687</t>
        </is>
      </c>
      <c r="B165" t="inlineStr">
        <is>
          <t>PT12426</t>
        </is>
      </c>
      <c r="C165" s="42" t="n">
        <v>45685</v>
      </c>
      <c r="D165" s="42" t="n">
        <v>45686</v>
      </c>
      <c r="E165" s="38" t="n">
        <v>1</v>
      </c>
      <c r="F165" t="inlineStr">
        <is>
          <t>Inpatient</t>
        </is>
      </c>
      <c r="G165" t="inlineStr">
        <is>
          <t>Cedar Ridge Medical Center</t>
        </is>
      </c>
      <c r="H165" t="inlineStr">
        <is>
          <t>Orthopedics</t>
        </is>
      </c>
      <c r="I165" t="inlineStr">
        <is>
          <t>Orthopedics</t>
        </is>
      </c>
      <c r="J165" t="inlineStr">
        <is>
          <t>Hudson, Billy</t>
        </is>
      </c>
      <c r="K165" t="inlineStr">
        <is>
          <t>M17.11</t>
        </is>
      </c>
      <c r="L165" t="inlineStr">
        <is>
          <t>Musculoskeletal</t>
        </is>
      </c>
      <c r="M165" t="inlineStr">
        <is>
          <t>Medicare</t>
        </is>
      </c>
      <c r="N165" t="inlineStr">
        <is>
          <t>Government</t>
        </is>
      </c>
      <c r="O165" s="39" t="n">
        <v>51143.57</v>
      </c>
      <c r="P165" t="inlineStr">
        <is>
          <t>N</t>
        </is>
      </c>
    </row>
    <row r="166">
      <c r="A166" t="inlineStr">
        <is>
          <t>ENC111691</t>
        </is>
      </c>
      <c r="B166" t="inlineStr">
        <is>
          <t>PT10645</t>
        </is>
      </c>
      <c r="C166" s="42" t="n">
        <v>45685</v>
      </c>
      <c r="D166" s="42" t="n">
        <v>45692</v>
      </c>
      <c r="E166" s="38" t="n">
        <v>7</v>
      </c>
      <c r="F166" t="inlineStr">
        <is>
          <t>Inpatient</t>
        </is>
      </c>
      <c r="G166" t="inlineStr">
        <is>
          <t>Bluestone Memorial Hospital</t>
        </is>
      </c>
      <c r="H166" t="inlineStr">
        <is>
          <t>Cardiac Step-Down</t>
        </is>
      </c>
      <c r="I166" t="inlineStr">
        <is>
          <t>Cardiovascular</t>
        </is>
      </c>
      <c r="J166" t="inlineStr">
        <is>
          <t>Russell, Larry</t>
        </is>
      </c>
      <c r="K166" t="inlineStr">
        <is>
          <t>I50.9</t>
        </is>
      </c>
      <c r="L166" t="inlineStr">
        <is>
          <t>Circulatory</t>
        </is>
      </c>
      <c r="M166" t="inlineStr">
        <is>
          <t>Evergreen Mutual Insurance</t>
        </is>
      </c>
      <c r="N166" t="inlineStr">
        <is>
          <t>Commercial</t>
        </is>
      </c>
      <c r="O166" s="39" t="n">
        <v>62972.02</v>
      </c>
      <c r="P166" t="inlineStr">
        <is>
          <t>N</t>
        </is>
      </c>
    </row>
    <row r="167">
      <c r="A167" t="inlineStr">
        <is>
          <t>ENC111718</t>
        </is>
      </c>
      <c r="B167" t="inlineStr">
        <is>
          <t>PT12780</t>
        </is>
      </c>
      <c r="C167" s="42" t="n">
        <v>45686</v>
      </c>
      <c r="D167" s="42" t="n">
        <v>45686</v>
      </c>
      <c r="E167" s="38" t="n">
        <v>0</v>
      </c>
      <c r="F167" t="inlineStr">
        <is>
          <t>Observation</t>
        </is>
      </c>
      <c r="G167" t="inlineStr">
        <is>
          <t>Bluestone Memorial Hospital</t>
        </is>
      </c>
      <c r="H167" t="inlineStr">
        <is>
          <t>Observation Unit</t>
        </is>
      </c>
      <c r="I167" t="inlineStr">
        <is>
          <t>Medicine</t>
        </is>
      </c>
      <c r="J167" t="inlineStr">
        <is>
          <t>Allen, Jean</t>
        </is>
      </c>
      <c r="K167" t="inlineStr">
        <is>
          <t>E86.0</t>
        </is>
      </c>
      <c r="L167" t="inlineStr">
        <is>
          <t>Endocrine</t>
        </is>
      </c>
      <c r="M167" t="inlineStr">
        <is>
          <t>Medicare</t>
        </is>
      </c>
      <c r="N167" t="inlineStr">
        <is>
          <t>Government</t>
        </is>
      </c>
      <c r="O167" s="39" t="n">
        <v>5793.54</v>
      </c>
    </row>
    <row r="168">
      <c r="A168" t="inlineStr">
        <is>
          <t>ENC111731</t>
        </is>
      </c>
      <c r="B168" t="inlineStr">
        <is>
          <t>PT13265</t>
        </is>
      </c>
      <c r="C168" s="42" t="n">
        <v>45686</v>
      </c>
      <c r="D168" s="42" t="n">
        <v>45686</v>
      </c>
      <c r="E168" s="38" t="n">
        <v>0</v>
      </c>
      <c r="F168" t="inlineStr">
        <is>
          <t>Outpatient</t>
        </is>
      </c>
      <c r="G168" t="inlineStr">
        <is>
          <t>Bluestone Outpatient Pavilion</t>
        </is>
      </c>
      <c r="H168" t="inlineStr">
        <is>
          <t>Orthopedic Clinic</t>
        </is>
      </c>
      <c r="I168" t="inlineStr">
        <is>
          <t>Orthopedics</t>
        </is>
      </c>
      <c r="J168" t="inlineStr">
        <is>
          <t>Lewis, Jonathan</t>
        </is>
      </c>
      <c r="K168" t="inlineStr">
        <is>
          <t>S93.401A</t>
        </is>
      </c>
      <c r="L168" t="inlineStr">
        <is>
          <t>Injury</t>
        </is>
      </c>
      <c r="M168" t="inlineStr">
        <is>
          <t>State Medicaid</t>
        </is>
      </c>
      <c r="N168" t="inlineStr">
        <is>
          <t>Government</t>
        </is>
      </c>
      <c r="O168" s="39" t="n">
        <v>159.41</v>
      </c>
    </row>
    <row r="169">
      <c r="A169" t="inlineStr">
        <is>
          <t>ENC111733</t>
        </is>
      </c>
      <c r="B169" t="inlineStr">
        <is>
          <t>PT13991</t>
        </is>
      </c>
      <c r="C169" s="42" t="n">
        <v>45686</v>
      </c>
      <c r="D169" s="42" t="n">
        <v>45686</v>
      </c>
      <c r="E169" s="38" t="n">
        <v>0</v>
      </c>
      <c r="F169" t="inlineStr">
        <is>
          <t>Outpatient</t>
        </is>
      </c>
      <c r="G169" t="inlineStr">
        <is>
          <t>Bluestone Outpatient Pavilion</t>
        </is>
      </c>
      <c r="H169" t="inlineStr">
        <is>
          <t>Primary Care Clinic</t>
        </is>
      </c>
      <c r="I169" t="inlineStr">
        <is>
          <t>Ambulatory</t>
        </is>
      </c>
      <c r="J169" t="inlineStr">
        <is>
          <t>Yilmaz, Richard</t>
        </is>
      </c>
      <c r="K169" t="inlineStr">
        <is>
          <t>J06.9</t>
        </is>
      </c>
      <c r="L169" t="inlineStr">
        <is>
          <t>Respiratory</t>
        </is>
      </c>
      <c r="M169" t="inlineStr">
        <is>
          <t>Silverline Medicare Advantage</t>
        </is>
      </c>
      <c r="N169" t="inlineStr">
        <is>
          <t>Medicare Advantage</t>
        </is>
      </c>
      <c r="O169" s="39" t="n">
        <v>229.95</v>
      </c>
    </row>
    <row r="170">
      <c r="A170" t="inlineStr">
        <is>
          <t>ENC111737</t>
        </is>
      </c>
      <c r="B170" t="inlineStr">
        <is>
          <t>PT10906</t>
        </is>
      </c>
      <c r="C170" s="42" t="n">
        <v>45686</v>
      </c>
      <c r="D170" s="42" t="n">
        <v>45688</v>
      </c>
      <c r="E170" s="38" t="n">
        <v>2</v>
      </c>
      <c r="F170" t="inlineStr">
        <is>
          <t>Inpatient</t>
        </is>
      </c>
      <c r="G170" t="inlineStr">
        <is>
          <t>Cedar Ridge Medical Center</t>
        </is>
      </c>
      <c r="H170" t="inlineStr">
        <is>
          <t>Cardiac Step-Down</t>
        </is>
      </c>
      <c r="I170" t="inlineStr">
        <is>
          <t>Cardiovascular</t>
        </is>
      </c>
      <c r="J170" t="inlineStr">
        <is>
          <t>Vazquez, Leila</t>
        </is>
      </c>
      <c r="K170" t="inlineStr">
        <is>
          <t>I21.4</t>
        </is>
      </c>
      <c r="L170" t="inlineStr">
        <is>
          <t>Circulatory</t>
        </is>
      </c>
      <c r="M170" t="inlineStr">
        <is>
          <t>Keystone Health Partners</t>
        </is>
      </c>
      <c r="N170" t="inlineStr">
        <is>
          <t>Commercial</t>
        </is>
      </c>
      <c r="O170" s="39" t="n">
        <v>52054.49</v>
      </c>
      <c r="P170" t="inlineStr">
        <is>
          <t>N</t>
        </is>
      </c>
    </row>
    <row r="171">
      <c r="A171" t="inlineStr">
        <is>
          <t>ENC111747</t>
        </is>
      </c>
      <c r="B171" t="inlineStr">
        <is>
          <t>PT11335</t>
        </is>
      </c>
      <c r="C171" s="42" t="n">
        <v>45686</v>
      </c>
      <c r="D171" s="42" t="n">
        <v>45686</v>
      </c>
      <c r="E171" s="38" t="n">
        <v>0</v>
      </c>
      <c r="F171" t="inlineStr">
        <is>
          <t>Outpatient</t>
        </is>
      </c>
      <c r="G171" t="inlineStr">
        <is>
          <t>Bluestone Outpatient Pavilion</t>
        </is>
      </c>
      <c r="H171" t="inlineStr">
        <is>
          <t>Primary Care Clinic</t>
        </is>
      </c>
      <c r="I171" t="inlineStr">
        <is>
          <t>Ambulatory</t>
        </is>
      </c>
      <c r="J171" t="inlineStr">
        <is>
          <t>Nguyen, Isabella</t>
        </is>
      </c>
      <c r="K171" t="inlineStr">
        <is>
          <t>I10</t>
        </is>
      </c>
      <c r="L171" t="inlineStr">
        <is>
          <t>Circulatory</t>
        </is>
      </c>
      <c r="M171" t="inlineStr">
        <is>
          <t>State Medicaid</t>
        </is>
      </c>
      <c r="N171" t="inlineStr">
        <is>
          <t>Government</t>
        </is>
      </c>
      <c r="O171" s="39" t="n">
        <v>227.45</v>
      </c>
    </row>
    <row r="172">
      <c r="A172" t="inlineStr">
        <is>
          <t>ENC111756</t>
        </is>
      </c>
      <c r="B172" t="inlineStr">
        <is>
          <t>PT11831</t>
        </is>
      </c>
      <c r="C172" s="42" t="n">
        <v>45686</v>
      </c>
      <c r="D172" s="42" t="n">
        <v>45686</v>
      </c>
      <c r="E172" s="38" t="n">
        <v>0</v>
      </c>
      <c r="F172" t="inlineStr">
        <is>
          <t>Outpatient</t>
        </is>
      </c>
      <c r="G172" t="inlineStr">
        <is>
          <t>Bluestone Outpatient Pavilion</t>
        </is>
      </c>
      <c r="H172" t="inlineStr">
        <is>
          <t>Infusion &amp; Oncology Clinic</t>
        </is>
      </c>
      <c r="I172" t="inlineStr">
        <is>
          <t>Oncology</t>
        </is>
      </c>
      <c r="J172" t="inlineStr">
        <is>
          <t>Hicks, Zachary</t>
        </is>
      </c>
      <c r="K172" t="inlineStr">
        <is>
          <t>Z51.11</t>
        </is>
      </c>
      <c r="L172" t="inlineStr">
        <is>
          <t>Factors Influencing Health</t>
        </is>
      </c>
      <c r="M172" t="inlineStr">
        <is>
          <t>Silverline Medicare Advantage</t>
        </is>
      </c>
      <c r="N172" t="inlineStr">
        <is>
          <t>Medicare Advantage</t>
        </is>
      </c>
      <c r="O172" s="39" t="n">
        <v>9622.18</v>
      </c>
    </row>
    <row r="173">
      <c r="A173" t="inlineStr">
        <is>
          <t>ENC111758</t>
        </is>
      </c>
      <c r="B173" t="inlineStr">
        <is>
          <t>PT12429</t>
        </is>
      </c>
      <c r="C173" s="42" t="n">
        <v>45686</v>
      </c>
      <c r="D173" s="42" t="n">
        <v>45686</v>
      </c>
      <c r="E173" s="38" t="n">
        <v>0</v>
      </c>
      <c r="F173" t="inlineStr">
        <is>
          <t>Outpatient</t>
        </is>
      </c>
      <c r="G173" t="inlineStr">
        <is>
          <t>Bluestone Outpatient Pavilion</t>
        </is>
      </c>
      <c r="H173" t="inlineStr">
        <is>
          <t>Primary Care Clinic</t>
        </is>
      </c>
      <c r="I173" t="inlineStr">
        <is>
          <t>Ambulatory</t>
        </is>
      </c>
      <c r="J173" t="inlineStr">
        <is>
          <t>Nguyen, Isabella</t>
        </is>
      </c>
      <c r="K173" t="inlineStr">
        <is>
          <t>M54.50</t>
        </is>
      </c>
      <c r="L173" t="inlineStr">
        <is>
          <t>Musculoskeletal</t>
        </is>
      </c>
      <c r="M173" t="inlineStr">
        <is>
          <t>Medicare</t>
        </is>
      </c>
      <c r="N173" t="inlineStr">
        <is>
          <t>Government</t>
        </is>
      </c>
      <c r="O173" s="39" t="n">
        <v>252.85</v>
      </c>
    </row>
    <row r="174">
      <c r="A174" t="inlineStr">
        <is>
          <t>ENC111760</t>
        </is>
      </c>
      <c r="B174" t="inlineStr">
        <is>
          <t>PT10333</t>
        </is>
      </c>
      <c r="C174" s="42" t="n">
        <v>45686</v>
      </c>
      <c r="D174" s="42" t="n">
        <v>45686</v>
      </c>
      <c r="E174" s="38" t="n">
        <v>0</v>
      </c>
      <c r="F174" t="inlineStr">
        <is>
          <t>Outpatient</t>
        </is>
      </c>
      <c r="G174" t="inlineStr">
        <is>
          <t>Bluestone Outpatient Pavilion</t>
        </is>
      </c>
      <c r="H174" t="inlineStr">
        <is>
          <t>Primary Care Clinic</t>
        </is>
      </c>
      <c r="I174" t="inlineStr">
        <is>
          <t>Ambulatory</t>
        </is>
      </c>
      <c r="J174" t="inlineStr">
        <is>
          <t>Torres, Rebecca</t>
        </is>
      </c>
      <c r="K174" t="inlineStr">
        <is>
          <t>I10</t>
        </is>
      </c>
      <c r="L174" t="inlineStr">
        <is>
          <t>Circulatory</t>
        </is>
      </c>
      <c r="M174" t="inlineStr">
        <is>
          <t>Medicare</t>
        </is>
      </c>
      <c r="N174" t="inlineStr">
        <is>
          <t>Government</t>
        </is>
      </c>
      <c r="O174" s="39" t="n">
        <v>205.26</v>
      </c>
    </row>
    <row r="175">
      <c r="A175" t="inlineStr">
        <is>
          <t>ENC111767</t>
        </is>
      </c>
      <c r="B175" t="inlineStr">
        <is>
          <t>PT11985</t>
        </is>
      </c>
      <c r="C175" s="42" t="n">
        <v>45687</v>
      </c>
      <c r="D175" s="42" t="n">
        <v>45691</v>
      </c>
      <c r="E175" s="38" t="n">
        <v>4</v>
      </c>
      <c r="F175" t="inlineStr">
        <is>
          <t>Inpatient</t>
        </is>
      </c>
      <c r="G175" t="inlineStr">
        <is>
          <t>Bluestone Memorial Hospital</t>
        </is>
      </c>
      <c r="H175" t="inlineStr">
        <is>
          <t>Behavioral Health</t>
        </is>
      </c>
      <c r="I175" t="inlineStr">
        <is>
          <t>Behavioral Health</t>
        </is>
      </c>
      <c r="J175" t="inlineStr">
        <is>
          <t>Clark, Frank</t>
        </is>
      </c>
      <c r="K175" t="inlineStr">
        <is>
          <t>F20.9</t>
        </is>
      </c>
      <c r="L175" t="inlineStr">
        <is>
          <t>Mental &amp; Behavioral</t>
        </is>
      </c>
      <c r="M175" t="inlineStr">
        <is>
          <t>Keystone Health Partners</t>
        </is>
      </c>
      <c r="N175" t="inlineStr">
        <is>
          <t>Commercial</t>
        </is>
      </c>
      <c r="O175" s="39" t="n">
        <v>19880.51</v>
      </c>
      <c r="P175" t="inlineStr">
        <is>
          <t>Y</t>
        </is>
      </c>
    </row>
    <row r="176">
      <c r="A176" t="inlineStr">
        <is>
          <t>ENC111775</t>
        </is>
      </c>
      <c r="B176" t="inlineStr">
        <is>
          <t>PT10913</t>
        </is>
      </c>
      <c r="C176" s="42" t="n">
        <v>45687</v>
      </c>
      <c r="D176" s="42" t="n">
        <v>45687</v>
      </c>
      <c r="E176" s="38" t="n">
        <v>0</v>
      </c>
      <c r="F176" t="inlineStr">
        <is>
          <t>Outpatient</t>
        </is>
      </c>
      <c r="G176" t="inlineStr">
        <is>
          <t>Bluestone Outpatient Pavilion</t>
        </is>
      </c>
      <c r="H176" t="inlineStr">
        <is>
          <t>Endocrinology &amp; Diabetes Clinic</t>
        </is>
      </c>
      <c r="I176" t="inlineStr">
        <is>
          <t>Ambulatory</t>
        </is>
      </c>
      <c r="J176" t="inlineStr">
        <is>
          <t>Rivera, Scott</t>
        </is>
      </c>
      <c r="K176" t="inlineStr">
        <is>
          <t>E11.9</t>
        </is>
      </c>
      <c r="L176" t="inlineStr">
        <is>
          <t>Endocrine</t>
        </is>
      </c>
      <c r="M176" t="inlineStr">
        <is>
          <t>Medicare</t>
        </is>
      </c>
      <c r="N176" t="inlineStr">
        <is>
          <t>Government</t>
        </is>
      </c>
      <c r="O176" s="39" t="n">
        <v>458</v>
      </c>
    </row>
    <row r="177">
      <c r="A177" t="inlineStr">
        <is>
          <t>ENC111773</t>
        </is>
      </c>
      <c r="B177" t="inlineStr">
        <is>
          <t>PT11868</t>
        </is>
      </c>
      <c r="C177" s="42" t="n">
        <v>45687</v>
      </c>
      <c r="D177" s="42" t="n">
        <v>45689</v>
      </c>
      <c r="E177" s="38" t="n">
        <v>2</v>
      </c>
      <c r="F177" t="inlineStr">
        <is>
          <t>Inpatient</t>
        </is>
      </c>
      <c r="G177" t="inlineStr">
        <is>
          <t>Bluestone Memorial Hospital</t>
        </is>
      </c>
      <c r="H177" t="inlineStr">
        <is>
          <t>Neuroscience &amp; Stroke</t>
        </is>
      </c>
      <c r="I177" t="inlineStr">
        <is>
          <t>Neuroscience</t>
        </is>
      </c>
      <c r="J177" t="inlineStr">
        <is>
          <t>Stone, Frank</t>
        </is>
      </c>
      <c r="K177" t="inlineStr">
        <is>
          <t>I63.9</t>
        </is>
      </c>
      <c r="L177" t="inlineStr">
        <is>
          <t>Circulatory</t>
        </is>
      </c>
      <c r="M177" t="inlineStr">
        <is>
          <t>State Medicaid</t>
        </is>
      </c>
      <c r="N177" t="inlineStr">
        <is>
          <t>Government</t>
        </is>
      </c>
      <c r="O177" s="39" t="n">
        <v>11365.56</v>
      </c>
      <c r="P177" t="inlineStr">
        <is>
          <t>N</t>
        </is>
      </c>
    </row>
    <row r="178">
      <c r="A178" t="inlineStr">
        <is>
          <t>ENC111789</t>
        </is>
      </c>
      <c r="B178" t="inlineStr">
        <is>
          <t>PT12698</t>
        </is>
      </c>
      <c r="C178" s="42" t="n">
        <v>45687</v>
      </c>
      <c r="D178" s="42" t="n">
        <v>45687</v>
      </c>
      <c r="E178" s="38" t="n">
        <v>0</v>
      </c>
      <c r="F178" t="inlineStr">
        <is>
          <t>Outpatient</t>
        </is>
      </c>
      <c r="G178" t="inlineStr">
        <is>
          <t>Bluestone Outpatient Pavilion</t>
        </is>
      </c>
      <c r="H178" t="inlineStr">
        <is>
          <t>Pediatric Clinic</t>
        </is>
      </c>
      <c r="I178" t="inlineStr">
        <is>
          <t>Women &amp; Children</t>
        </is>
      </c>
      <c r="J178" t="inlineStr">
        <is>
          <t>Wallace, Kevin</t>
        </is>
      </c>
      <c r="K178" t="inlineStr">
        <is>
          <t>J06.9</t>
        </is>
      </c>
      <c r="L178" t="inlineStr">
        <is>
          <t>Respiratory</t>
        </is>
      </c>
      <c r="M178" t="inlineStr">
        <is>
          <t>State Medicaid</t>
        </is>
      </c>
      <c r="N178" t="inlineStr">
        <is>
          <t>Government</t>
        </is>
      </c>
      <c r="O178" s="39" t="n">
        <v>291.39</v>
      </c>
    </row>
    <row r="179">
      <c r="A179" t="inlineStr">
        <is>
          <t>ENC111794</t>
        </is>
      </c>
      <c r="B179" t="inlineStr">
        <is>
          <t>PT12799</t>
        </is>
      </c>
      <c r="C179" s="42" t="n">
        <v>45687</v>
      </c>
      <c r="D179" s="42" t="n">
        <v>45687</v>
      </c>
      <c r="E179" s="38" t="n">
        <v>0</v>
      </c>
      <c r="F179" t="inlineStr">
        <is>
          <t>Outpatient</t>
        </is>
      </c>
      <c r="G179" t="inlineStr">
        <is>
          <t>Bluestone Outpatient Pavilion</t>
        </is>
      </c>
      <c r="H179" t="inlineStr">
        <is>
          <t>Pediatric Clinic</t>
        </is>
      </c>
      <c r="I179" t="inlineStr">
        <is>
          <t>Women &amp; Children</t>
        </is>
      </c>
      <c r="J179" t="inlineStr">
        <is>
          <t>Alvarez, Susan</t>
        </is>
      </c>
      <c r="K179" t="inlineStr">
        <is>
          <t>Z00.129</t>
        </is>
      </c>
      <c r="L179" t="inlineStr">
        <is>
          <t>Factors Influencing Health</t>
        </is>
      </c>
      <c r="M179" t="inlineStr">
        <is>
          <t>State Medicaid</t>
        </is>
      </c>
      <c r="N179" t="inlineStr">
        <is>
          <t>Government</t>
        </is>
      </c>
      <c r="O179" s="39" t="n">
        <v>421.52</v>
      </c>
    </row>
    <row r="180">
      <c r="A180" t="inlineStr">
        <is>
          <t>ENC111782</t>
        </is>
      </c>
      <c r="B180" t="inlineStr">
        <is>
          <t>PT13500</t>
        </is>
      </c>
      <c r="C180" s="42" t="n">
        <v>45687</v>
      </c>
      <c r="D180" s="42" t="n">
        <v>45688</v>
      </c>
      <c r="E180" s="38" t="n">
        <v>1</v>
      </c>
      <c r="F180" t="inlineStr">
        <is>
          <t>Observation</t>
        </is>
      </c>
      <c r="G180" t="inlineStr">
        <is>
          <t>Bluestone Memorial Hospital</t>
        </is>
      </c>
      <c r="H180" t="inlineStr">
        <is>
          <t>Observation Unit</t>
        </is>
      </c>
      <c r="I180" t="inlineStr">
        <is>
          <t>Medicine</t>
        </is>
      </c>
      <c r="J180" t="inlineStr">
        <is>
          <t>Russell, Larry</t>
        </is>
      </c>
      <c r="K180" t="inlineStr">
        <is>
          <t>J18.9</t>
        </is>
      </c>
      <c r="L180" t="inlineStr">
        <is>
          <t>Respiratory</t>
        </is>
      </c>
      <c r="M180" t="inlineStr">
        <is>
          <t>Medicare</t>
        </is>
      </c>
      <c r="N180" t="inlineStr">
        <is>
          <t>Government</t>
        </is>
      </c>
      <c r="O180" s="39" t="n">
        <v>3958.7</v>
      </c>
    </row>
    <row r="181">
      <c r="A181" t="inlineStr">
        <is>
          <t>ENC111807</t>
        </is>
      </c>
      <c r="B181" t="inlineStr">
        <is>
          <t>PT11957</t>
        </is>
      </c>
      <c r="C181" s="42" t="n">
        <v>45687</v>
      </c>
      <c r="D181" s="42" t="n">
        <v>45687</v>
      </c>
      <c r="E181" s="38" t="n">
        <v>0</v>
      </c>
      <c r="F181" t="inlineStr">
        <is>
          <t>Outpatient</t>
        </is>
      </c>
      <c r="G181" t="inlineStr">
        <is>
          <t>Bluestone Outpatient Pavilion</t>
        </is>
      </c>
      <c r="H181" t="inlineStr">
        <is>
          <t>Primary Care Clinic</t>
        </is>
      </c>
      <c r="I181" t="inlineStr">
        <is>
          <t>Ambulatory</t>
        </is>
      </c>
      <c r="J181" t="inlineStr">
        <is>
          <t>Nguyen, Isabella</t>
        </is>
      </c>
      <c r="K181" t="inlineStr">
        <is>
          <t>J06.9</t>
        </is>
      </c>
      <c r="L181" t="inlineStr">
        <is>
          <t>Respiratory</t>
        </is>
      </c>
      <c r="M181" t="inlineStr">
        <is>
          <t>Summit Choice PPO</t>
        </is>
      </c>
      <c r="N181" t="inlineStr">
        <is>
          <t>Commercial</t>
        </is>
      </c>
      <c r="O181" s="39" t="n">
        <v>481.8</v>
      </c>
    </row>
    <row r="182">
      <c r="A182" t="inlineStr">
        <is>
          <t>ENC111814</t>
        </is>
      </c>
      <c r="B182" t="inlineStr">
        <is>
          <t>PT12669</t>
        </is>
      </c>
      <c r="C182" s="42" t="n">
        <v>45687</v>
      </c>
      <c r="D182" s="42" t="n">
        <v>45687</v>
      </c>
      <c r="E182" s="38" t="n">
        <v>0</v>
      </c>
      <c r="F182" t="inlineStr">
        <is>
          <t>Emergency</t>
        </is>
      </c>
      <c r="G182" t="inlineStr">
        <is>
          <t>Bluestone Memorial Hospital</t>
        </is>
      </c>
      <c r="H182" t="inlineStr">
        <is>
          <t>Emergency Department</t>
        </is>
      </c>
      <c r="I182" t="inlineStr">
        <is>
          <t>Emergency</t>
        </is>
      </c>
      <c r="J182" t="inlineStr">
        <is>
          <t>Cruz, Mia</t>
        </is>
      </c>
      <c r="K182" t="inlineStr">
        <is>
          <t>R07.9</t>
        </is>
      </c>
      <c r="L182" t="inlineStr">
        <is>
          <t>Symptoms &amp; Signs</t>
        </is>
      </c>
      <c r="M182" t="inlineStr">
        <is>
          <t>Medicare</t>
        </is>
      </c>
      <c r="N182" t="inlineStr">
        <is>
          <t>Government</t>
        </is>
      </c>
      <c r="O182" s="39" t="n">
        <v>5689.82</v>
      </c>
    </row>
    <row r="183">
      <c r="A183" t="inlineStr">
        <is>
          <t>ENC111816</t>
        </is>
      </c>
      <c r="B183" t="inlineStr">
        <is>
          <t>PT10175</t>
        </is>
      </c>
      <c r="C183" s="42" t="n">
        <v>45687</v>
      </c>
      <c r="D183" s="42" t="n">
        <v>45688</v>
      </c>
      <c r="E183" s="38" t="n">
        <v>1</v>
      </c>
      <c r="F183" t="inlineStr">
        <is>
          <t>Emergency</t>
        </is>
      </c>
      <c r="G183" t="inlineStr">
        <is>
          <t>Ashby Falls Community Hospital</t>
        </is>
      </c>
      <c r="H183" t="inlineStr">
        <is>
          <t>Emergency Department</t>
        </is>
      </c>
      <c r="I183" t="inlineStr">
        <is>
          <t>Emergency</t>
        </is>
      </c>
      <c r="J183" t="inlineStr">
        <is>
          <t>Wright, Bruce</t>
        </is>
      </c>
      <c r="K183" t="inlineStr">
        <is>
          <t>J06.9</t>
        </is>
      </c>
      <c r="L183" t="inlineStr">
        <is>
          <t>Respiratory</t>
        </is>
      </c>
      <c r="M183" t="inlineStr">
        <is>
          <t>Keystone Health Partners</t>
        </is>
      </c>
      <c r="N183" t="inlineStr">
        <is>
          <t>Commercial</t>
        </is>
      </c>
      <c r="O183" s="39" t="n">
        <v>594.49</v>
      </c>
    </row>
    <row r="184">
      <c r="A184" t="inlineStr">
        <is>
          <t>ENC111824</t>
        </is>
      </c>
      <c r="B184" t="inlineStr">
        <is>
          <t>PT12550</t>
        </is>
      </c>
      <c r="C184" s="42" t="n">
        <v>45688</v>
      </c>
      <c r="D184" s="42" t="n">
        <v>45688</v>
      </c>
      <c r="E184" s="38" t="n">
        <v>0</v>
      </c>
      <c r="F184" t="inlineStr">
        <is>
          <t>Outpatient</t>
        </is>
      </c>
      <c r="G184" t="inlineStr">
        <is>
          <t>Bluestone Outpatient Pavilion</t>
        </is>
      </c>
      <c r="H184" t="inlineStr">
        <is>
          <t>Pediatric Clinic</t>
        </is>
      </c>
      <c r="I184" t="inlineStr">
        <is>
          <t>Women &amp; Children</t>
        </is>
      </c>
      <c r="J184" t="inlineStr">
        <is>
          <t>Aguilar, Linh</t>
        </is>
      </c>
      <c r="K184" t="inlineStr">
        <is>
          <t>H66.90</t>
        </is>
      </c>
      <c r="L184" t="inlineStr">
        <is>
          <t>Ear</t>
        </is>
      </c>
      <c r="M184" t="inlineStr">
        <is>
          <t>State Medicaid</t>
        </is>
      </c>
      <c r="N184" t="inlineStr">
        <is>
          <t>Government</t>
        </is>
      </c>
      <c r="O184" s="39" t="n">
        <v>295.56</v>
      </c>
    </row>
    <row r="185">
      <c r="A185" t="inlineStr">
        <is>
          <t>ENC111829</t>
        </is>
      </c>
      <c r="B185" t="inlineStr">
        <is>
          <t>PT10916</t>
        </is>
      </c>
      <c r="C185" s="42" t="n">
        <v>45688</v>
      </c>
      <c r="D185" s="42" t="n">
        <v>45690</v>
      </c>
      <c r="E185" s="38" t="n">
        <v>2</v>
      </c>
      <c r="F185" t="inlineStr">
        <is>
          <t>Inpatient</t>
        </is>
      </c>
      <c r="G185" t="inlineStr">
        <is>
          <t>Bluestone Memorial Hospital</t>
        </is>
      </c>
      <c r="H185" t="inlineStr">
        <is>
          <t>Medical-Surgical 4 West</t>
        </is>
      </c>
      <c r="I185" t="inlineStr">
        <is>
          <t>Medicine</t>
        </is>
      </c>
      <c r="J185" t="inlineStr">
        <is>
          <t>Wallace, Alan</t>
        </is>
      </c>
      <c r="K185" t="inlineStr">
        <is>
          <t>J44.1</t>
        </is>
      </c>
      <c r="L185" t="inlineStr">
        <is>
          <t>Respiratory</t>
        </is>
      </c>
      <c r="M185" t="inlineStr">
        <is>
          <t>Medicare</t>
        </is>
      </c>
      <c r="N185" t="inlineStr">
        <is>
          <t>Government</t>
        </is>
      </c>
      <c r="O185" s="39" t="n">
        <v>9021.43</v>
      </c>
      <c r="P185" t="inlineStr">
        <is>
          <t>N</t>
        </is>
      </c>
    </row>
    <row r="186">
      <c r="A186" t="inlineStr">
        <is>
          <t>ENC111830</t>
        </is>
      </c>
      <c r="B186" t="inlineStr">
        <is>
          <t>PT11209</t>
        </is>
      </c>
      <c r="C186" s="42" t="n">
        <v>45688</v>
      </c>
      <c r="D186" s="42" t="n">
        <v>45690</v>
      </c>
      <c r="E186" s="38" t="n">
        <v>2</v>
      </c>
      <c r="F186" t="inlineStr">
        <is>
          <t>Inpatient</t>
        </is>
      </c>
      <c r="G186" t="inlineStr">
        <is>
          <t>Bluestone Memorial Hospital</t>
        </is>
      </c>
      <c r="H186" t="inlineStr">
        <is>
          <t>Neuroscience &amp; Stroke</t>
        </is>
      </c>
      <c r="I186" t="inlineStr">
        <is>
          <t>Neuroscience</t>
        </is>
      </c>
      <c r="J186" t="inlineStr">
        <is>
          <t>Abbott, Isabella</t>
        </is>
      </c>
      <c r="K186" t="inlineStr">
        <is>
          <t>I63.9</t>
        </is>
      </c>
      <c r="L186" t="inlineStr">
        <is>
          <t>Circulatory</t>
        </is>
      </c>
      <c r="M186" t="inlineStr">
        <is>
          <t>Medicare</t>
        </is>
      </c>
      <c r="N186" t="inlineStr">
        <is>
          <t>Government</t>
        </is>
      </c>
      <c r="O186" s="39" t="n">
        <v>17285.99</v>
      </c>
      <c r="P186" t="inlineStr">
        <is>
          <t>Y</t>
        </is>
      </c>
    </row>
    <row r="187">
      <c r="A187" t="inlineStr">
        <is>
          <t>ENC111836</t>
        </is>
      </c>
      <c r="B187" t="inlineStr">
        <is>
          <t>PT11247</t>
        </is>
      </c>
      <c r="C187" s="42" t="n">
        <v>45688</v>
      </c>
      <c r="D187" s="42" t="n">
        <v>45688</v>
      </c>
      <c r="E187" s="38" t="n">
        <v>0</v>
      </c>
      <c r="F187" t="inlineStr">
        <is>
          <t>Outpatient</t>
        </is>
      </c>
      <c r="G187" t="inlineStr">
        <is>
          <t>Bluestone Outpatient Pavilion</t>
        </is>
      </c>
      <c r="H187" t="inlineStr">
        <is>
          <t>Pediatric Clinic</t>
        </is>
      </c>
      <c r="I187" t="inlineStr">
        <is>
          <t>Women &amp; Children</t>
        </is>
      </c>
      <c r="J187" t="inlineStr">
        <is>
          <t>Alvarez, Susan</t>
        </is>
      </c>
      <c r="K187" t="inlineStr">
        <is>
          <t>J06.9</t>
        </is>
      </c>
      <c r="L187" t="inlineStr">
        <is>
          <t>Respiratory</t>
        </is>
      </c>
      <c r="M187" t="inlineStr">
        <is>
          <t>Keystone Health Partners</t>
        </is>
      </c>
      <c r="N187" t="inlineStr">
        <is>
          <t>Commercial</t>
        </is>
      </c>
      <c r="O187" s="39" t="n">
        <v>277.99</v>
      </c>
    </row>
    <row r="188">
      <c r="A188" t="inlineStr">
        <is>
          <t>ENC111827</t>
        </is>
      </c>
      <c r="B188" t="inlineStr">
        <is>
          <t>PT10548</t>
        </is>
      </c>
      <c r="C188" s="42" t="n">
        <v>45688</v>
      </c>
      <c r="D188" s="42" t="n">
        <v>45689</v>
      </c>
      <c r="E188" s="38" t="n">
        <v>1</v>
      </c>
      <c r="F188" t="inlineStr">
        <is>
          <t>Observation</t>
        </is>
      </c>
      <c r="G188" t="inlineStr">
        <is>
          <t>Bluestone Memorial Hospital</t>
        </is>
      </c>
      <c r="H188" t="inlineStr">
        <is>
          <t>Observation Unit</t>
        </is>
      </c>
      <c r="I188" t="inlineStr">
        <is>
          <t>Medicine</t>
        </is>
      </c>
      <c r="J188" t="inlineStr">
        <is>
          <t>Cox, Judith</t>
        </is>
      </c>
      <c r="K188" t="inlineStr">
        <is>
          <t>E86.0</t>
        </is>
      </c>
      <c r="L188" t="inlineStr">
        <is>
          <t>Endocrine</t>
        </is>
      </c>
      <c r="M188" t="inlineStr">
        <is>
          <t>Medicare</t>
        </is>
      </c>
      <c r="N188" t="inlineStr">
        <is>
          <t>Government</t>
        </is>
      </c>
      <c r="O188" s="39" t="n">
        <v>9726.17</v>
      </c>
    </row>
    <row r="189">
      <c r="A189" t="inlineStr">
        <is>
          <t>ENC111839</t>
        </is>
      </c>
      <c r="B189" t="inlineStr">
        <is>
          <t>PT13271</t>
        </is>
      </c>
      <c r="C189" s="42" t="n">
        <v>45688</v>
      </c>
      <c r="D189" s="42" t="n">
        <v>45689</v>
      </c>
      <c r="E189" s="38" t="n">
        <v>1</v>
      </c>
      <c r="F189" t="inlineStr">
        <is>
          <t>Observation</t>
        </is>
      </c>
      <c r="G189" t="inlineStr">
        <is>
          <t>Bluestone Memorial Hospital</t>
        </is>
      </c>
      <c r="H189" t="inlineStr">
        <is>
          <t>Observation Unit</t>
        </is>
      </c>
      <c r="I189" t="inlineStr">
        <is>
          <t>Medicine</t>
        </is>
      </c>
      <c r="J189" t="inlineStr">
        <is>
          <t>Watson, Ashley</t>
        </is>
      </c>
      <c r="K189" t="inlineStr">
        <is>
          <t>R07.9</t>
        </is>
      </c>
      <c r="L189" t="inlineStr">
        <is>
          <t>Symptoms &amp; Signs</t>
        </is>
      </c>
      <c r="M189" t="inlineStr">
        <is>
          <t>Medicare</t>
        </is>
      </c>
      <c r="N189" t="inlineStr">
        <is>
          <t>Government</t>
        </is>
      </c>
      <c r="O189" s="39" t="n">
        <v>4284.76</v>
      </c>
    </row>
    <row r="190">
      <c r="A190" t="inlineStr">
        <is>
          <t>ENC111847</t>
        </is>
      </c>
      <c r="B190" t="inlineStr">
        <is>
          <t>PT11808</t>
        </is>
      </c>
      <c r="C190" s="42" t="n">
        <v>45688</v>
      </c>
      <c r="D190" s="42" t="n">
        <v>45688</v>
      </c>
      <c r="E190" s="38" t="n">
        <v>0</v>
      </c>
      <c r="F190" t="inlineStr">
        <is>
          <t>Outpatient</t>
        </is>
      </c>
      <c r="G190" t="inlineStr">
        <is>
          <t>Bluestone Outpatient Pavilion</t>
        </is>
      </c>
      <c r="H190" t="inlineStr">
        <is>
          <t>Primary Care Clinic</t>
        </is>
      </c>
      <c r="I190" t="inlineStr">
        <is>
          <t>Ambulatory</t>
        </is>
      </c>
      <c r="J190" t="inlineStr">
        <is>
          <t>Santos, Edward</t>
        </is>
      </c>
      <c r="K190" t="inlineStr">
        <is>
          <t>J06.9</t>
        </is>
      </c>
      <c r="L190" t="inlineStr">
        <is>
          <t>Respiratory</t>
        </is>
      </c>
      <c r="M190" t="inlineStr">
        <is>
          <t>Keystone Health Partners</t>
        </is>
      </c>
      <c r="N190" t="inlineStr">
        <is>
          <t>Commercial</t>
        </is>
      </c>
      <c r="O190" s="39" t="n">
        <v>428.05</v>
      </c>
    </row>
    <row r="191">
      <c r="A191" t="inlineStr">
        <is>
          <t>ENC111854</t>
        </is>
      </c>
      <c r="B191" t="inlineStr">
        <is>
          <t>PT12368</t>
        </is>
      </c>
      <c r="C191" s="42" t="n">
        <v>45689</v>
      </c>
      <c r="D191" s="42" t="n">
        <v>45689</v>
      </c>
      <c r="E191" s="38" t="n">
        <v>0</v>
      </c>
      <c r="F191" t="inlineStr">
        <is>
          <t>Emergency</t>
        </is>
      </c>
      <c r="G191" t="inlineStr">
        <is>
          <t>Bluestone Memorial Hospital</t>
        </is>
      </c>
      <c r="H191" t="inlineStr">
        <is>
          <t>Emergency Department</t>
        </is>
      </c>
      <c r="I191" t="inlineStr">
        <is>
          <t>Emergency</t>
        </is>
      </c>
      <c r="J191" t="inlineStr">
        <is>
          <t>Elliott, Jesse</t>
        </is>
      </c>
      <c r="K191" t="inlineStr">
        <is>
          <t>F32.9</t>
        </is>
      </c>
      <c r="L191" t="inlineStr">
        <is>
          <t>Mental &amp; Behavioral</t>
        </is>
      </c>
      <c r="M191" t="inlineStr">
        <is>
          <t>Evergreen Mutual Insurance</t>
        </is>
      </c>
      <c r="N191" t="inlineStr">
        <is>
          <t>Commercial</t>
        </is>
      </c>
      <c r="O191" s="39" t="n">
        <v>2776.94</v>
      </c>
    </row>
    <row r="192">
      <c r="A192" t="inlineStr">
        <is>
          <t>ENC111857</t>
        </is>
      </c>
      <c r="B192" t="inlineStr">
        <is>
          <t>PT10773</t>
        </is>
      </c>
      <c r="C192" s="42" t="n">
        <v>45689</v>
      </c>
      <c r="D192" s="42" t="n">
        <v>45701</v>
      </c>
      <c r="E192" s="38" t="n">
        <v>12</v>
      </c>
      <c r="F192" t="inlineStr">
        <is>
          <t>Inpatient</t>
        </is>
      </c>
      <c r="G192" t="inlineStr">
        <is>
          <t>Bluestone Memorial Hospital</t>
        </is>
      </c>
      <c r="H192" t="inlineStr">
        <is>
          <t>Neuroscience &amp; Stroke</t>
        </is>
      </c>
      <c r="I192" t="inlineStr">
        <is>
          <t>Neuroscience</t>
        </is>
      </c>
      <c r="J192" t="inlineStr">
        <is>
          <t>Garcia, Alexis</t>
        </is>
      </c>
      <c r="K192" t="inlineStr">
        <is>
          <t>I63.9</t>
        </is>
      </c>
      <c r="L192" t="inlineStr">
        <is>
          <t>Circulatory</t>
        </is>
      </c>
      <c r="M192" t="inlineStr">
        <is>
          <t>Silverline Medicare Advantage</t>
        </is>
      </c>
      <c r="N192" t="inlineStr">
        <is>
          <t>Medicare Advantage</t>
        </is>
      </c>
      <c r="O192" s="39" t="n">
        <v>45854.58</v>
      </c>
      <c r="P192" t="inlineStr">
        <is>
          <t>N</t>
        </is>
      </c>
    </row>
    <row r="193">
      <c r="A193" t="inlineStr">
        <is>
          <t>ENC111860</t>
        </is>
      </c>
      <c r="B193" t="inlineStr">
        <is>
          <t>PT10416</t>
        </is>
      </c>
      <c r="C193" s="42" t="n">
        <v>45689</v>
      </c>
      <c r="D193" s="42" t="n">
        <v>45689</v>
      </c>
      <c r="E193" s="38" t="n">
        <v>0</v>
      </c>
      <c r="F193" t="inlineStr">
        <is>
          <t>Emergency</t>
        </is>
      </c>
      <c r="G193" t="inlineStr">
        <is>
          <t>Bluestone Memorial Hospital</t>
        </is>
      </c>
      <c r="H193" t="inlineStr">
        <is>
          <t>Emergency Department</t>
        </is>
      </c>
      <c r="I193" t="inlineStr">
        <is>
          <t>Emergency</t>
        </is>
      </c>
      <c r="J193" t="inlineStr">
        <is>
          <t>Cruz, Mia</t>
        </is>
      </c>
      <c r="K193" t="inlineStr">
        <is>
          <t>F32.9</t>
        </is>
      </c>
      <c r="L193" t="inlineStr">
        <is>
          <t>Mental &amp; Behavioral</t>
        </is>
      </c>
      <c r="M193" t="inlineStr">
        <is>
          <t>Self-Pay</t>
        </is>
      </c>
      <c r="N193" t="inlineStr">
        <is>
          <t>Self-Pay</t>
        </is>
      </c>
      <c r="O193" s="39" t="n">
        <v>3485.08</v>
      </c>
    </row>
    <row r="194">
      <c r="A194" t="inlineStr">
        <is>
          <t>ENC111870</t>
        </is>
      </c>
      <c r="B194" t="inlineStr">
        <is>
          <t>PT11919</t>
        </is>
      </c>
      <c r="C194" s="42" t="n">
        <v>45689</v>
      </c>
      <c r="D194" s="42" t="n">
        <v>45698</v>
      </c>
      <c r="E194" s="38" t="n">
        <v>9</v>
      </c>
      <c r="F194" t="inlineStr">
        <is>
          <t>Inpatient</t>
        </is>
      </c>
      <c r="G194" t="inlineStr">
        <is>
          <t>Bluestone Memorial Hospital</t>
        </is>
      </c>
      <c r="H194" t="inlineStr">
        <is>
          <t>Cardiac Step-Down</t>
        </is>
      </c>
      <c r="I194" t="inlineStr">
        <is>
          <t>Cardiovascular</t>
        </is>
      </c>
      <c r="J194" t="inlineStr">
        <is>
          <t>Taylor, Jonathan</t>
        </is>
      </c>
      <c r="K194" t="inlineStr">
        <is>
          <t>I50.9</t>
        </is>
      </c>
      <c r="L194" t="inlineStr">
        <is>
          <t>Circulatory</t>
        </is>
      </c>
      <c r="M194" t="inlineStr">
        <is>
          <t>Silverline Medicare Advantage</t>
        </is>
      </c>
      <c r="N194" t="inlineStr">
        <is>
          <t>Medicare Advantage</t>
        </is>
      </c>
      <c r="O194" s="39" t="n">
        <v>41069.82</v>
      </c>
      <c r="P194" t="inlineStr">
        <is>
          <t>N</t>
        </is>
      </c>
    </row>
    <row r="195">
      <c r="A195" t="inlineStr">
        <is>
          <t>ENC111883</t>
        </is>
      </c>
      <c r="B195" t="inlineStr">
        <is>
          <t>PT13362</t>
        </is>
      </c>
      <c r="C195" s="42" t="n">
        <v>45690</v>
      </c>
      <c r="D195" s="42" t="n">
        <v>45691</v>
      </c>
      <c r="E195" s="38" t="n">
        <v>1</v>
      </c>
      <c r="F195" t="inlineStr">
        <is>
          <t>Observation</t>
        </is>
      </c>
      <c r="G195" t="inlineStr">
        <is>
          <t>Bluestone Memorial Hospital</t>
        </is>
      </c>
      <c r="H195" t="inlineStr">
        <is>
          <t>Observation Unit</t>
        </is>
      </c>
      <c r="I195" t="inlineStr">
        <is>
          <t>Medicine</t>
        </is>
      </c>
      <c r="J195" t="inlineStr">
        <is>
          <t>Cruz, Roger</t>
        </is>
      </c>
      <c r="K195" t="inlineStr">
        <is>
          <t>J45.909</t>
        </is>
      </c>
      <c r="L195" t="inlineStr">
        <is>
          <t>Respiratory</t>
        </is>
      </c>
      <c r="M195" t="inlineStr">
        <is>
          <t>Summit Choice PPO</t>
        </is>
      </c>
      <c r="N195" t="inlineStr">
        <is>
          <t>Commercial</t>
        </is>
      </c>
      <c r="O195" s="39" t="n">
        <v>7110.73</v>
      </c>
    </row>
    <row r="196">
      <c r="A196" t="inlineStr">
        <is>
          <t>ENC111888</t>
        </is>
      </c>
      <c r="B196" t="inlineStr">
        <is>
          <t>PT13014</t>
        </is>
      </c>
      <c r="C196" s="42" t="n">
        <v>45690</v>
      </c>
      <c r="D196" s="42" t="n">
        <v>45690</v>
      </c>
      <c r="E196" s="38" t="n">
        <v>0</v>
      </c>
      <c r="F196" t="inlineStr">
        <is>
          <t>Emergency</t>
        </is>
      </c>
      <c r="G196" t="inlineStr">
        <is>
          <t>Bluestone Memorial Hospital</t>
        </is>
      </c>
      <c r="H196" t="inlineStr">
        <is>
          <t>Emergency Department</t>
        </is>
      </c>
      <c r="I196" t="inlineStr">
        <is>
          <t>Emergency</t>
        </is>
      </c>
      <c r="J196" t="inlineStr">
        <is>
          <t>Vasquez, Bruce</t>
        </is>
      </c>
      <c r="K196" t="inlineStr">
        <is>
          <t>R55</t>
        </is>
      </c>
      <c r="L196" t="inlineStr">
        <is>
          <t>Symptoms &amp; Signs</t>
        </is>
      </c>
      <c r="M196" t="inlineStr">
        <is>
          <t>State Medicaid</t>
        </is>
      </c>
      <c r="N196" t="inlineStr">
        <is>
          <t>Government</t>
        </is>
      </c>
      <c r="O196" s="39" t="n">
        <v>3595.47</v>
      </c>
    </row>
    <row r="197">
      <c r="A197" t="inlineStr">
        <is>
          <t>ENC111889</t>
        </is>
      </c>
      <c r="B197" t="inlineStr">
        <is>
          <t>PT13498</t>
        </is>
      </c>
      <c r="C197" s="42" t="n">
        <v>45690</v>
      </c>
      <c r="D197" s="42" t="n">
        <v>45690</v>
      </c>
      <c r="E197" s="38" t="n">
        <v>0</v>
      </c>
      <c r="F197" t="inlineStr">
        <is>
          <t>Emergency</t>
        </is>
      </c>
      <c r="G197" t="inlineStr">
        <is>
          <t>Bluestone Memorial Hospital</t>
        </is>
      </c>
      <c r="H197" t="inlineStr">
        <is>
          <t>Emergency Department</t>
        </is>
      </c>
      <c r="I197" t="inlineStr">
        <is>
          <t>Emergency</t>
        </is>
      </c>
      <c r="J197" t="inlineStr">
        <is>
          <t>Cruz, Mia</t>
        </is>
      </c>
      <c r="K197" t="inlineStr">
        <is>
          <t>J06.9</t>
        </is>
      </c>
      <c r="L197" t="inlineStr">
        <is>
          <t>Respiratory</t>
        </is>
      </c>
      <c r="M197" t="inlineStr">
        <is>
          <t>State Medicaid</t>
        </is>
      </c>
      <c r="N197" t="inlineStr">
        <is>
          <t>Government</t>
        </is>
      </c>
      <c r="O197" s="39" t="n">
        <v>1455.69</v>
      </c>
    </row>
    <row r="198">
      <c r="A198" t="inlineStr">
        <is>
          <t>ENC111894</t>
        </is>
      </c>
      <c r="B198" t="inlineStr">
        <is>
          <t>PT13837</t>
        </is>
      </c>
      <c r="C198" s="42" t="n">
        <v>45690</v>
      </c>
      <c r="D198" s="42" t="n">
        <v>45691</v>
      </c>
      <c r="E198" s="38" t="n">
        <v>1</v>
      </c>
      <c r="F198" t="inlineStr">
        <is>
          <t>Emergency</t>
        </is>
      </c>
      <c r="G198" t="inlineStr">
        <is>
          <t>Bluestone Memorial Hospital</t>
        </is>
      </c>
      <c r="H198" t="inlineStr">
        <is>
          <t>Emergency Department</t>
        </is>
      </c>
      <c r="I198" t="inlineStr">
        <is>
          <t>Emergency</t>
        </is>
      </c>
      <c r="J198" t="inlineStr">
        <is>
          <t>Payne, Nancy</t>
        </is>
      </c>
      <c r="K198" t="inlineStr">
        <is>
          <t>N39.0</t>
        </is>
      </c>
      <c r="L198" t="inlineStr">
        <is>
          <t>Genitourinary</t>
        </is>
      </c>
      <c r="M198" t="inlineStr">
        <is>
          <t>Keystone Health Partners</t>
        </is>
      </c>
      <c r="N198" t="inlineStr">
        <is>
          <t>Commercial</t>
        </is>
      </c>
      <c r="O198" s="39" t="n">
        <v>3374.23</v>
      </c>
    </row>
    <row r="199">
      <c r="A199" t="inlineStr">
        <is>
          <t>ENC111904</t>
        </is>
      </c>
      <c r="B199" t="inlineStr">
        <is>
          <t>PT13788</t>
        </is>
      </c>
      <c r="C199" s="42" t="n">
        <v>45691</v>
      </c>
      <c r="D199" s="42" t="n">
        <v>45691</v>
      </c>
      <c r="E199" s="38" t="n">
        <v>0</v>
      </c>
      <c r="F199" t="inlineStr">
        <is>
          <t>Outpatient</t>
        </is>
      </c>
      <c r="G199" t="inlineStr">
        <is>
          <t>Bluestone Outpatient Pavilion</t>
        </is>
      </c>
      <c r="H199" t="inlineStr">
        <is>
          <t>Primary Care Clinic</t>
        </is>
      </c>
      <c r="I199" t="inlineStr">
        <is>
          <t>Ambulatory</t>
        </is>
      </c>
      <c r="J199" t="inlineStr">
        <is>
          <t>Black, Kelly</t>
        </is>
      </c>
      <c r="K199" t="inlineStr">
        <is>
          <t>J06.9</t>
        </is>
      </c>
      <c r="L199" t="inlineStr">
        <is>
          <t>Respiratory</t>
        </is>
      </c>
      <c r="M199" t="inlineStr">
        <is>
          <t>Silverline Medicare Advantage</t>
        </is>
      </c>
      <c r="N199" t="inlineStr">
        <is>
          <t>Medicare Advantage</t>
        </is>
      </c>
      <c r="O199" s="39" t="n">
        <v>224.51</v>
      </c>
    </row>
    <row r="200">
      <c r="A200" t="inlineStr">
        <is>
          <t>ENC111907</t>
        </is>
      </c>
      <c r="B200" t="inlineStr">
        <is>
          <t>PT11414</t>
        </is>
      </c>
      <c r="C200" s="42" t="n">
        <v>45691</v>
      </c>
      <c r="D200" s="42" t="n">
        <v>45691</v>
      </c>
      <c r="E200" s="38" t="n">
        <v>0</v>
      </c>
      <c r="F200" t="inlineStr">
        <is>
          <t>Outpatient</t>
        </is>
      </c>
      <c r="G200" t="inlineStr">
        <is>
          <t>Bluestone Outpatient Pavilion</t>
        </is>
      </c>
      <c r="H200" t="inlineStr">
        <is>
          <t>Primary Care Clinic</t>
        </is>
      </c>
      <c r="I200" t="inlineStr">
        <is>
          <t>Ambulatory</t>
        </is>
      </c>
      <c r="J200" t="inlineStr">
        <is>
          <t>Petrov, Doris</t>
        </is>
      </c>
      <c r="K200" t="inlineStr">
        <is>
          <t>J06.9</t>
        </is>
      </c>
      <c r="L200" t="inlineStr">
        <is>
          <t>Respiratory</t>
        </is>
      </c>
      <c r="M200" t="inlineStr">
        <is>
          <t>Evergreen Mutual Insurance</t>
        </is>
      </c>
      <c r="N200" t="inlineStr">
        <is>
          <t>Commercial</t>
        </is>
      </c>
      <c r="O200" s="39" t="n">
        <v>302.25</v>
      </c>
    </row>
    <row r="201">
      <c r="A201" t="inlineStr">
        <is>
          <t>ENC111928</t>
        </is>
      </c>
      <c r="B201" t="inlineStr">
        <is>
          <t>PT12060</t>
        </is>
      </c>
      <c r="C201" s="42" t="n">
        <v>45691</v>
      </c>
      <c r="D201" s="42" t="n">
        <v>45694</v>
      </c>
      <c r="E201" s="38" t="n">
        <v>3</v>
      </c>
      <c r="F201" t="inlineStr">
        <is>
          <t>Inpatient</t>
        </is>
      </c>
      <c r="G201" t="inlineStr">
        <is>
          <t>Bluestone Memorial Hospital</t>
        </is>
      </c>
      <c r="H201" t="inlineStr">
        <is>
          <t>Medical-Surgical 5 East</t>
        </is>
      </c>
      <c r="I201" t="inlineStr">
        <is>
          <t>Medicine</t>
        </is>
      </c>
      <c r="J201" t="inlineStr">
        <is>
          <t>Cruz, Roger</t>
        </is>
      </c>
      <c r="K201" t="inlineStr">
        <is>
          <t>J44.1</t>
        </is>
      </c>
      <c r="L201" t="inlineStr">
        <is>
          <t>Respiratory</t>
        </is>
      </c>
      <c r="M201" t="inlineStr">
        <is>
          <t>Summit Choice PPO</t>
        </is>
      </c>
      <c r="N201" t="inlineStr">
        <is>
          <t>Commercial</t>
        </is>
      </c>
      <c r="O201" s="39" t="n">
        <v>22525.26</v>
      </c>
      <c r="P201" t="inlineStr">
        <is>
          <t>Y</t>
        </is>
      </c>
    </row>
    <row r="202">
      <c r="A202" t="inlineStr">
        <is>
          <t>ENC111954</t>
        </is>
      </c>
      <c r="B202" t="inlineStr">
        <is>
          <t>PT10165</t>
        </is>
      </c>
      <c r="C202" s="42" t="n">
        <v>45692</v>
      </c>
      <c r="D202" s="42" t="n">
        <v>45692</v>
      </c>
      <c r="E202" s="38" t="n">
        <v>0</v>
      </c>
      <c r="F202" t="inlineStr">
        <is>
          <t>Outpatient</t>
        </is>
      </c>
      <c r="G202" t="inlineStr">
        <is>
          <t>Bluestone Outpatient Pavilion</t>
        </is>
      </c>
      <c r="H202" t="inlineStr">
        <is>
          <t>Primary Care Clinic</t>
        </is>
      </c>
      <c r="I202" t="inlineStr">
        <is>
          <t>Ambulatory</t>
        </is>
      </c>
      <c r="J202" t="inlineStr">
        <is>
          <t>Santos, Edward</t>
        </is>
      </c>
      <c r="K202" t="inlineStr">
        <is>
          <t>J06.9</t>
        </is>
      </c>
      <c r="L202" t="inlineStr">
        <is>
          <t>Respiratory</t>
        </is>
      </c>
      <c r="M202" t="inlineStr">
        <is>
          <t>Silverline Medicare Advantage</t>
        </is>
      </c>
      <c r="N202" t="inlineStr">
        <is>
          <t>Medicare Advantage</t>
        </is>
      </c>
      <c r="O202" s="39" t="n">
        <v>323.76</v>
      </c>
    </row>
    <row r="203">
      <c r="A203" t="inlineStr">
        <is>
          <t>ENC111966</t>
        </is>
      </c>
      <c r="B203" t="inlineStr">
        <is>
          <t>PT12616</t>
        </is>
      </c>
      <c r="C203" s="42" t="n">
        <v>45692</v>
      </c>
      <c r="D203" s="42" t="n">
        <v>45692</v>
      </c>
      <c r="E203" s="38" t="n">
        <v>0</v>
      </c>
      <c r="F203" t="inlineStr">
        <is>
          <t>Emergency</t>
        </is>
      </c>
      <c r="G203" t="inlineStr">
        <is>
          <t>Bluestone Memorial Hospital</t>
        </is>
      </c>
      <c r="H203" t="inlineStr">
        <is>
          <t>Emergency Department</t>
        </is>
      </c>
      <c r="I203" t="inlineStr">
        <is>
          <t>Emergency</t>
        </is>
      </c>
      <c r="J203" t="inlineStr">
        <is>
          <t>Olson, Christian</t>
        </is>
      </c>
      <c r="K203" t="inlineStr">
        <is>
          <t>M54.50</t>
        </is>
      </c>
      <c r="L203" t="inlineStr">
        <is>
          <t>Musculoskeletal</t>
        </is>
      </c>
      <c r="M203" t="inlineStr">
        <is>
          <t>State Medicaid</t>
        </is>
      </c>
      <c r="N203" t="inlineStr">
        <is>
          <t>Government</t>
        </is>
      </c>
      <c r="O203" s="39" t="n">
        <v>1371.58</v>
      </c>
    </row>
    <row r="204">
      <c r="A204" t="inlineStr">
        <is>
          <t>ENC111986</t>
        </is>
      </c>
      <c r="B204" t="inlineStr">
        <is>
          <t>PT13981</t>
        </is>
      </c>
      <c r="C204" s="42" t="n">
        <v>45692</v>
      </c>
      <c r="D204" s="42" t="n">
        <v>45693</v>
      </c>
      <c r="E204" s="38" t="n">
        <v>1</v>
      </c>
      <c r="F204" t="inlineStr">
        <is>
          <t>Emergency</t>
        </is>
      </c>
      <c r="G204" t="inlineStr">
        <is>
          <t>Bluestone Memorial Hospital</t>
        </is>
      </c>
      <c r="H204" t="inlineStr">
        <is>
          <t>Emergency Department</t>
        </is>
      </c>
      <c r="I204" t="inlineStr">
        <is>
          <t>Emergency</t>
        </is>
      </c>
      <c r="J204" t="inlineStr">
        <is>
          <t>Olson, Christian</t>
        </is>
      </c>
      <c r="K204" t="inlineStr">
        <is>
          <t>U07.1</t>
        </is>
      </c>
      <c r="L204" t="inlineStr">
        <is>
          <t>Respiratory</t>
        </is>
      </c>
      <c r="M204" t="inlineStr">
        <is>
          <t>Silverline Medicare Advantage</t>
        </is>
      </c>
      <c r="N204" t="inlineStr">
        <is>
          <t>Medicare Advantage</t>
        </is>
      </c>
      <c r="O204" s="39" t="n">
        <v>6455.68</v>
      </c>
    </row>
    <row r="205">
      <c r="A205" t="inlineStr">
        <is>
          <t>ENC111988</t>
        </is>
      </c>
      <c r="B205" t="inlineStr">
        <is>
          <t>PT11794</t>
        </is>
      </c>
      <c r="C205" s="42" t="n">
        <v>45692</v>
      </c>
      <c r="D205" s="42" t="n">
        <v>45692</v>
      </c>
      <c r="E205" s="38" t="n">
        <v>0</v>
      </c>
      <c r="F205" t="inlineStr">
        <is>
          <t>Emergency</t>
        </is>
      </c>
      <c r="G205" t="inlineStr">
        <is>
          <t>Bluestone Memorial Hospital</t>
        </is>
      </c>
      <c r="H205" t="inlineStr">
        <is>
          <t>Emergency Department</t>
        </is>
      </c>
      <c r="I205" t="inlineStr">
        <is>
          <t>Emergency</t>
        </is>
      </c>
      <c r="J205" t="inlineStr">
        <is>
          <t>Sullivan, Jacob</t>
        </is>
      </c>
      <c r="K205" t="inlineStr">
        <is>
          <t>U07.1</t>
        </is>
      </c>
      <c r="L205" t="inlineStr">
        <is>
          <t>Respiratory</t>
        </is>
      </c>
      <c r="M205" t="inlineStr">
        <is>
          <t>Silverline Medicare Advantage</t>
        </is>
      </c>
      <c r="N205" t="inlineStr">
        <is>
          <t>Medicare Advantage</t>
        </is>
      </c>
      <c r="O205" s="39" t="n">
        <v>1802.07</v>
      </c>
    </row>
    <row r="206">
      <c r="A206" t="inlineStr">
        <is>
          <t>ENC111983</t>
        </is>
      </c>
      <c r="B206" t="inlineStr">
        <is>
          <t>PT10165</t>
        </is>
      </c>
      <c r="C206" s="42" t="n">
        <v>45692</v>
      </c>
      <c r="D206" s="42" t="n">
        <v>45701</v>
      </c>
      <c r="E206" s="38" t="n">
        <v>9</v>
      </c>
      <c r="F206" t="inlineStr">
        <is>
          <t>Inpatient</t>
        </is>
      </c>
      <c r="G206" t="inlineStr">
        <is>
          <t>Ashby Falls Community Hospital</t>
        </is>
      </c>
      <c r="H206" t="inlineStr">
        <is>
          <t>Intensive Care Unit</t>
        </is>
      </c>
      <c r="I206" t="inlineStr">
        <is>
          <t>Critical Care</t>
        </is>
      </c>
      <c r="J206" t="inlineStr">
        <is>
          <t>Wallace, Frank</t>
        </is>
      </c>
      <c r="K206" t="inlineStr">
        <is>
          <t>A41.9</t>
        </is>
      </c>
      <c r="L206" t="inlineStr">
        <is>
          <t>Infectious</t>
        </is>
      </c>
      <c r="M206" t="inlineStr">
        <is>
          <t>Silverline Medicare Advantage</t>
        </is>
      </c>
      <c r="N206" t="inlineStr">
        <is>
          <t>Medicare Advantage</t>
        </is>
      </c>
      <c r="O206" s="39" t="n">
        <v>62229.05</v>
      </c>
      <c r="P206" t="inlineStr">
        <is>
          <t>Y</t>
        </is>
      </c>
    </row>
    <row r="207">
      <c r="A207" t="inlineStr">
        <is>
          <t>ENC111990</t>
        </is>
      </c>
      <c r="B207" t="inlineStr">
        <is>
          <t>PT12238</t>
        </is>
      </c>
      <c r="C207" s="42" t="n">
        <v>45693</v>
      </c>
      <c r="D207" s="42" t="n">
        <v>45699</v>
      </c>
      <c r="E207" s="38" t="n">
        <v>6</v>
      </c>
      <c r="F207" t="inlineStr">
        <is>
          <t>Inpatient</t>
        </is>
      </c>
      <c r="G207" t="inlineStr">
        <is>
          <t>Bluestone Memorial Hospital</t>
        </is>
      </c>
      <c r="H207" t="inlineStr">
        <is>
          <t>Medical-Surgical 4 West</t>
        </is>
      </c>
      <c r="I207" t="inlineStr">
        <is>
          <t>Medicine</t>
        </is>
      </c>
      <c r="J207" t="inlineStr">
        <is>
          <t>Simpson, Kelly</t>
        </is>
      </c>
      <c r="K207" t="inlineStr">
        <is>
          <t>J18.9</t>
        </is>
      </c>
      <c r="L207" t="inlineStr">
        <is>
          <t>Respiratory</t>
        </is>
      </c>
      <c r="M207" t="inlineStr">
        <is>
          <t>Self-Pay</t>
        </is>
      </c>
      <c r="N207" t="inlineStr">
        <is>
          <t>Self-Pay</t>
        </is>
      </c>
      <c r="O207" s="39" t="n">
        <v>32220.52</v>
      </c>
      <c r="P207" t="inlineStr">
        <is>
          <t>N</t>
        </is>
      </c>
    </row>
    <row r="208">
      <c r="A208" t="inlineStr">
        <is>
          <t>ENC111996</t>
        </is>
      </c>
      <c r="B208" t="inlineStr">
        <is>
          <t>PT10502</t>
        </is>
      </c>
      <c r="C208" s="42" t="n">
        <v>45693</v>
      </c>
      <c r="D208" s="42" t="n">
        <v>45693</v>
      </c>
      <c r="E208" s="38" t="n">
        <v>0</v>
      </c>
      <c r="F208" t="inlineStr">
        <is>
          <t>Outpatient</t>
        </is>
      </c>
      <c r="G208" t="inlineStr">
        <is>
          <t>Bluestone Outpatient Pavilion</t>
        </is>
      </c>
      <c r="H208" t="inlineStr">
        <is>
          <t>Primary Care Clinic</t>
        </is>
      </c>
      <c r="I208" t="inlineStr">
        <is>
          <t>Ambulatory</t>
        </is>
      </c>
      <c r="J208" t="inlineStr">
        <is>
          <t>Torres, Rebecca</t>
        </is>
      </c>
      <c r="K208" t="inlineStr">
        <is>
          <t>J45.909</t>
        </is>
      </c>
      <c r="L208" t="inlineStr">
        <is>
          <t>Respiratory</t>
        </is>
      </c>
      <c r="M208" t="inlineStr">
        <is>
          <t>Self-Pay</t>
        </is>
      </c>
      <c r="N208" t="inlineStr">
        <is>
          <t>Self-Pay</t>
        </is>
      </c>
      <c r="O208" s="39" t="n">
        <v>264.4</v>
      </c>
    </row>
    <row r="209">
      <c r="A209" t="inlineStr">
        <is>
          <t>ENC112005</t>
        </is>
      </c>
      <c r="B209" t="inlineStr">
        <is>
          <t>PT12584</t>
        </is>
      </c>
      <c r="C209" s="42" t="n">
        <v>45693</v>
      </c>
      <c r="D209" s="42" t="n">
        <v>45693</v>
      </c>
      <c r="E209" s="38" t="n">
        <v>0</v>
      </c>
      <c r="F209" t="inlineStr">
        <is>
          <t>Emergency</t>
        </is>
      </c>
      <c r="G209" t="inlineStr">
        <is>
          <t>Bluestone Memorial Hospital</t>
        </is>
      </c>
      <c r="H209" t="inlineStr">
        <is>
          <t>Emergency Department</t>
        </is>
      </c>
      <c r="I209" t="inlineStr">
        <is>
          <t>Emergency</t>
        </is>
      </c>
      <c r="J209" t="inlineStr">
        <is>
          <t>Payne, Nancy</t>
        </is>
      </c>
      <c r="K209" t="inlineStr">
        <is>
          <t>M54.50</t>
        </is>
      </c>
      <c r="L209" t="inlineStr">
        <is>
          <t>Musculoskeletal</t>
        </is>
      </c>
      <c r="M209" t="inlineStr">
        <is>
          <t>Silverline Medicare Advantage</t>
        </is>
      </c>
      <c r="N209" t="inlineStr">
        <is>
          <t>Medicare Advantage</t>
        </is>
      </c>
      <c r="O209" s="39" t="n">
        <v>1729.17</v>
      </c>
    </row>
    <row r="210">
      <c r="A210" t="inlineStr">
        <is>
          <t>ENC112012</t>
        </is>
      </c>
      <c r="B210" t="inlineStr">
        <is>
          <t>PT12194</t>
        </is>
      </c>
      <c r="C210" s="42" t="n">
        <v>45693</v>
      </c>
      <c r="D210" s="42" t="n">
        <v>45693</v>
      </c>
      <c r="E210" s="38" t="n">
        <v>0</v>
      </c>
      <c r="F210" t="inlineStr">
        <is>
          <t>Outpatient</t>
        </is>
      </c>
      <c r="G210" t="inlineStr">
        <is>
          <t>Bluestone Outpatient Pavilion</t>
        </is>
      </c>
      <c r="H210" t="inlineStr">
        <is>
          <t>Primary Care Clinic</t>
        </is>
      </c>
      <c r="I210" t="inlineStr">
        <is>
          <t>Ambulatory</t>
        </is>
      </c>
      <c r="J210" t="inlineStr">
        <is>
          <t>Yilmaz, Richard</t>
        </is>
      </c>
      <c r="K210" t="inlineStr">
        <is>
          <t>Z23</t>
        </is>
      </c>
      <c r="L210" t="inlineStr">
        <is>
          <t>Factors Influencing Health</t>
        </is>
      </c>
      <c r="M210" t="inlineStr">
        <is>
          <t>Medicare</t>
        </is>
      </c>
      <c r="N210" t="inlineStr">
        <is>
          <t>Government</t>
        </is>
      </c>
      <c r="O210" s="39" t="n">
        <v>109.71</v>
      </c>
    </row>
    <row r="211">
      <c r="A211" t="inlineStr">
        <is>
          <t>ENC112013</t>
        </is>
      </c>
      <c r="B211" t="inlineStr">
        <is>
          <t>PT11856</t>
        </is>
      </c>
      <c r="C211" s="42" t="n">
        <v>45693</v>
      </c>
      <c r="D211" s="42" t="n">
        <v>45693</v>
      </c>
      <c r="E211" s="38" t="n">
        <v>0</v>
      </c>
      <c r="F211" t="inlineStr">
        <is>
          <t>Outpatient</t>
        </is>
      </c>
      <c r="G211" t="inlineStr">
        <is>
          <t>Bluestone Outpatient Pavilion</t>
        </is>
      </c>
      <c r="H211" t="inlineStr">
        <is>
          <t>Infusion &amp; Oncology Clinic</t>
        </is>
      </c>
      <c r="I211" t="inlineStr">
        <is>
          <t>Oncology</t>
        </is>
      </c>
      <c r="J211" t="inlineStr">
        <is>
          <t>Robinson, Bradley</t>
        </is>
      </c>
      <c r="K211" t="inlineStr">
        <is>
          <t>Z51.11</t>
        </is>
      </c>
      <c r="L211" t="inlineStr">
        <is>
          <t>Factors Influencing Health</t>
        </is>
      </c>
      <c r="M211" t="inlineStr">
        <is>
          <t>Evergreen Mutual Insurance</t>
        </is>
      </c>
      <c r="N211" t="inlineStr">
        <is>
          <t>Commercial</t>
        </is>
      </c>
      <c r="O211" s="39" t="n">
        <v>9302.59</v>
      </c>
    </row>
    <row r="212">
      <c r="A212" t="inlineStr">
        <is>
          <t>ENC112015</t>
        </is>
      </c>
      <c r="B212" t="inlineStr">
        <is>
          <t>PT10356</t>
        </is>
      </c>
      <c r="C212" s="42" t="n">
        <v>45693</v>
      </c>
      <c r="D212" s="42" t="n">
        <v>45693</v>
      </c>
      <c r="E212" s="38" t="n">
        <v>0</v>
      </c>
      <c r="F212" t="inlineStr">
        <is>
          <t>Outpatient</t>
        </is>
      </c>
      <c r="G212" t="inlineStr">
        <is>
          <t>Bluestone Outpatient Pavilion</t>
        </is>
      </c>
      <c r="H212" t="inlineStr">
        <is>
          <t>Primary Care Clinic</t>
        </is>
      </c>
      <c r="I212" t="inlineStr">
        <is>
          <t>Ambulatory</t>
        </is>
      </c>
      <c r="J212" t="inlineStr">
        <is>
          <t>Chen, Mei</t>
        </is>
      </c>
      <c r="K212" t="inlineStr">
        <is>
          <t>J06.9</t>
        </is>
      </c>
      <c r="L212" t="inlineStr">
        <is>
          <t>Respiratory</t>
        </is>
      </c>
      <c r="M212" t="inlineStr">
        <is>
          <t>Medicare</t>
        </is>
      </c>
      <c r="N212" t="inlineStr">
        <is>
          <t>Government</t>
        </is>
      </c>
      <c r="O212" s="39" t="n">
        <v>365.19</v>
      </c>
    </row>
    <row r="213">
      <c r="A213" t="inlineStr">
        <is>
          <t>ENC112027</t>
        </is>
      </c>
      <c r="B213" t="inlineStr">
        <is>
          <t>PT10491</t>
        </is>
      </c>
      <c r="C213" s="42" t="n">
        <v>45693</v>
      </c>
      <c r="D213" s="42" t="n">
        <v>45693</v>
      </c>
      <c r="E213" s="38" t="n">
        <v>0</v>
      </c>
      <c r="F213" t="inlineStr">
        <is>
          <t>Emergency</t>
        </is>
      </c>
      <c r="G213" t="inlineStr">
        <is>
          <t>Bluestone Memorial Hospital</t>
        </is>
      </c>
      <c r="H213" t="inlineStr">
        <is>
          <t>Emergency Department</t>
        </is>
      </c>
      <c r="I213" t="inlineStr">
        <is>
          <t>Emergency</t>
        </is>
      </c>
      <c r="J213" t="inlineStr">
        <is>
          <t>Foster, Patrick</t>
        </is>
      </c>
      <c r="K213" t="inlineStr">
        <is>
          <t>M54.50</t>
        </is>
      </c>
      <c r="L213" t="inlineStr">
        <is>
          <t>Musculoskeletal</t>
        </is>
      </c>
      <c r="M213" t="inlineStr">
        <is>
          <t>Workers' Compensation</t>
        </is>
      </c>
      <c r="N213" t="inlineStr">
        <is>
          <t>Workers' Comp</t>
        </is>
      </c>
      <c r="O213" s="39" t="n">
        <v>491.19</v>
      </c>
    </row>
    <row r="214">
      <c r="A214" t="inlineStr">
        <is>
          <t>ENC112033</t>
        </is>
      </c>
      <c r="B214" t="inlineStr">
        <is>
          <t>PT10592</t>
        </is>
      </c>
      <c r="C214" s="42" t="n">
        <v>45694</v>
      </c>
      <c r="D214" s="42" t="n">
        <v>45699</v>
      </c>
      <c r="E214" s="38" t="n">
        <v>5</v>
      </c>
      <c r="F214" t="inlineStr">
        <is>
          <t>Inpatient</t>
        </is>
      </c>
      <c r="G214" t="inlineStr">
        <is>
          <t>Ashby Falls Community Hospital</t>
        </is>
      </c>
      <c r="H214" t="inlineStr">
        <is>
          <t>Medical-Surgical</t>
        </is>
      </c>
      <c r="I214" t="inlineStr">
        <is>
          <t>Medicine</t>
        </is>
      </c>
      <c r="J214" t="inlineStr">
        <is>
          <t>Moreno, Melissa</t>
        </is>
      </c>
      <c r="K214" t="inlineStr">
        <is>
          <t>J44.1</t>
        </is>
      </c>
      <c r="L214" t="inlineStr">
        <is>
          <t>Respiratory</t>
        </is>
      </c>
      <c r="M214" t="inlineStr">
        <is>
          <t>Silverline Medicare Advantage</t>
        </is>
      </c>
      <c r="N214" t="inlineStr">
        <is>
          <t>Medicare Advantage</t>
        </is>
      </c>
      <c r="O214" s="39" t="n">
        <v>30941.69</v>
      </c>
      <c r="P214" t="inlineStr">
        <is>
          <t>N</t>
        </is>
      </c>
    </row>
    <row r="215">
      <c r="A215" t="inlineStr">
        <is>
          <t>ENC112037</t>
        </is>
      </c>
      <c r="B215" t="inlineStr">
        <is>
          <t>PT10679</t>
        </is>
      </c>
      <c r="C215" s="42" t="n">
        <v>45694</v>
      </c>
      <c r="D215" s="42" t="n">
        <v>45696</v>
      </c>
      <c r="E215" s="38" t="n">
        <v>2</v>
      </c>
      <c r="F215" t="inlineStr">
        <is>
          <t>Inpatient</t>
        </is>
      </c>
      <c r="G215" t="inlineStr">
        <is>
          <t>Bluestone Memorial Hospital</t>
        </is>
      </c>
      <c r="H215" t="inlineStr">
        <is>
          <t>Orthopedics &amp; Spine</t>
        </is>
      </c>
      <c r="I215" t="inlineStr">
        <is>
          <t>Orthopedics</t>
        </is>
      </c>
      <c r="J215" t="inlineStr">
        <is>
          <t>Santos, Grace</t>
        </is>
      </c>
      <c r="K215" t="inlineStr">
        <is>
          <t>M16.11</t>
        </is>
      </c>
      <c r="L215" t="inlineStr">
        <is>
          <t>Musculoskeletal</t>
        </is>
      </c>
      <c r="M215" t="inlineStr">
        <is>
          <t>Medicare</t>
        </is>
      </c>
      <c r="N215" t="inlineStr">
        <is>
          <t>Government</t>
        </is>
      </c>
      <c r="O215" s="39" t="n">
        <v>41141.05</v>
      </c>
      <c r="P215" t="inlineStr">
        <is>
          <t>N</t>
        </is>
      </c>
    </row>
    <row r="216">
      <c r="A216" t="inlineStr">
        <is>
          <t>ENC112042</t>
        </is>
      </c>
      <c r="B216" t="inlineStr">
        <is>
          <t>PT11733</t>
        </is>
      </c>
      <c r="C216" s="42" t="n">
        <v>45694</v>
      </c>
      <c r="D216" s="42" t="n">
        <v>45694</v>
      </c>
      <c r="E216" s="38" t="n">
        <v>0</v>
      </c>
      <c r="F216" t="inlineStr">
        <is>
          <t>Emergency</t>
        </is>
      </c>
      <c r="G216" t="inlineStr">
        <is>
          <t>Bluestone Memorial Hospital</t>
        </is>
      </c>
      <c r="H216" t="inlineStr">
        <is>
          <t>Emergency Department</t>
        </is>
      </c>
      <c r="I216" t="inlineStr">
        <is>
          <t>Emergency</t>
        </is>
      </c>
      <c r="J216" t="inlineStr">
        <is>
          <t>Foster, Patrick</t>
        </is>
      </c>
      <c r="K216" t="inlineStr">
        <is>
          <t>J06.9</t>
        </is>
      </c>
      <c r="L216" t="inlineStr">
        <is>
          <t>Respiratory</t>
        </is>
      </c>
      <c r="M216" t="inlineStr">
        <is>
          <t>Silverline Medicare Advantage</t>
        </is>
      </c>
      <c r="N216" t="inlineStr">
        <is>
          <t>Medicare Advantage</t>
        </is>
      </c>
      <c r="O216" s="39" t="n">
        <v>1825.12</v>
      </c>
    </row>
    <row r="217">
      <c r="A217" t="inlineStr">
        <is>
          <t>ENC112038</t>
        </is>
      </c>
      <c r="B217" t="inlineStr">
        <is>
          <t>PT13761</t>
        </is>
      </c>
      <c r="C217" s="42" t="n">
        <v>45694</v>
      </c>
      <c r="D217" s="42" t="n">
        <v>45702</v>
      </c>
      <c r="E217" s="38" t="n">
        <v>8</v>
      </c>
      <c r="F217" t="inlineStr">
        <is>
          <t>Inpatient</t>
        </is>
      </c>
      <c r="G217" t="inlineStr">
        <is>
          <t>Bluestone Memorial Hospital</t>
        </is>
      </c>
      <c r="H217" t="inlineStr">
        <is>
          <t>Behavioral Health</t>
        </is>
      </c>
      <c r="I217" t="inlineStr">
        <is>
          <t>Behavioral Health</t>
        </is>
      </c>
      <c r="J217" t="inlineStr">
        <is>
          <t>Lindqvist, Joe</t>
        </is>
      </c>
      <c r="K217" t="inlineStr">
        <is>
          <t>F32.9</t>
        </is>
      </c>
      <c r="L217" t="inlineStr">
        <is>
          <t>Mental &amp; Behavioral</t>
        </is>
      </c>
      <c r="M217" t="inlineStr">
        <is>
          <t>Medicare</t>
        </is>
      </c>
      <c r="N217" t="inlineStr">
        <is>
          <t>Government</t>
        </is>
      </c>
      <c r="O217" s="39" t="n">
        <v>17222.5</v>
      </c>
      <c r="P217" t="inlineStr">
        <is>
          <t>Y</t>
        </is>
      </c>
    </row>
    <row r="218">
      <c r="A218" t="inlineStr">
        <is>
          <t>ENC112049</t>
        </is>
      </c>
      <c r="B218" t="inlineStr">
        <is>
          <t>PT13869</t>
        </is>
      </c>
      <c r="C218" s="42" t="n">
        <v>45694</v>
      </c>
      <c r="D218" s="42" t="n">
        <v>45694</v>
      </c>
      <c r="E218" s="38" t="n">
        <v>0</v>
      </c>
      <c r="F218" t="inlineStr">
        <is>
          <t>Outpatient</t>
        </is>
      </c>
      <c r="G218" t="inlineStr">
        <is>
          <t>Bluestone Outpatient Pavilion</t>
        </is>
      </c>
      <c r="H218" t="inlineStr">
        <is>
          <t>Primary Care Clinic</t>
        </is>
      </c>
      <c r="I218" t="inlineStr">
        <is>
          <t>Ambulatory</t>
        </is>
      </c>
      <c r="J218" t="inlineStr">
        <is>
          <t>Arnold, Catherine</t>
        </is>
      </c>
      <c r="K218" t="inlineStr">
        <is>
          <t>I10</t>
        </is>
      </c>
      <c r="L218" t="inlineStr">
        <is>
          <t>Circulatory</t>
        </is>
      </c>
      <c r="M218" t="inlineStr">
        <is>
          <t>Medicare</t>
        </is>
      </c>
      <c r="N218" t="inlineStr">
        <is>
          <t>Government</t>
        </is>
      </c>
      <c r="O218" s="39" t="n">
        <v>256.25</v>
      </c>
    </row>
    <row r="219">
      <c r="A219" t="inlineStr">
        <is>
          <t>ENC112054</t>
        </is>
      </c>
      <c r="B219" t="inlineStr">
        <is>
          <t>PT10843</t>
        </is>
      </c>
      <c r="C219" s="42" t="n">
        <v>45694</v>
      </c>
      <c r="D219" s="42" t="n">
        <v>45694</v>
      </c>
      <c r="E219" s="38" t="n">
        <v>0</v>
      </c>
      <c r="F219" t="inlineStr">
        <is>
          <t>Emergency</t>
        </is>
      </c>
      <c r="G219" t="inlineStr">
        <is>
          <t>Bluestone Memorial Hospital</t>
        </is>
      </c>
      <c r="H219" t="inlineStr">
        <is>
          <t>Emergency Department</t>
        </is>
      </c>
      <c r="I219" t="inlineStr">
        <is>
          <t>Emergency</t>
        </is>
      </c>
      <c r="J219" t="inlineStr">
        <is>
          <t>Kowalski, James</t>
        </is>
      </c>
      <c r="K219" t="inlineStr">
        <is>
          <t>J06.9</t>
        </is>
      </c>
      <c r="L219" t="inlineStr">
        <is>
          <t>Respiratory</t>
        </is>
      </c>
      <c r="M219" t="inlineStr">
        <is>
          <t>Self-Pay</t>
        </is>
      </c>
      <c r="N219" t="inlineStr">
        <is>
          <t>Self-Pay</t>
        </is>
      </c>
      <c r="O219" s="39" t="n">
        <v>1377.56</v>
      </c>
    </row>
    <row r="220">
      <c r="A220" t="inlineStr">
        <is>
          <t>ENC112055</t>
        </is>
      </c>
      <c r="B220" t="inlineStr">
        <is>
          <t>PT11144</t>
        </is>
      </c>
      <c r="C220" s="42" t="n">
        <v>45694</v>
      </c>
      <c r="D220" s="42" t="n">
        <v>45694</v>
      </c>
      <c r="E220" s="38" t="n">
        <v>0</v>
      </c>
      <c r="F220" t="inlineStr">
        <is>
          <t>Outpatient</t>
        </is>
      </c>
      <c r="G220" t="inlineStr">
        <is>
          <t>Bluestone Outpatient Pavilion</t>
        </is>
      </c>
      <c r="H220" t="inlineStr">
        <is>
          <t>Pediatric Clinic</t>
        </is>
      </c>
      <c r="I220" t="inlineStr">
        <is>
          <t>Women &amp; Children</t>
        </is>
      </c>
      <c r="J220" t="inlineStr">
        <is>
          <t>Wallace, Kevin</t>
        </is>
      </c>
      <c r="K220" t="inlineStr">
        <is>
          <t>Z00.129</t>
        </is>
      </c>
      <c r="L220" t="inlineStr">
        <is>
          <t>Factors Influencing Health</t>
        </is>
      </c>
      <c r="M220" t="inlineStr">
        <is>
          <t>Evergreen Mutual Insurance</t>
        </is>
      </c>
      <c r="N220" t="inlineStr">
        <is>
          <t>Commercial</t>
        </is>
      </c>
      <c r="O220" s="39" t="n">
        <v>356.77</v>
      </c>
    </row>
    <row r="221">
      <c r="A221" t="inlineStr">
        <is>
          <t>ENC112039</t>
        </is>
      </c>
      <c r="B221" t="inlineStr">
        <is>
          <t>PT12292</t>
        </is>
      </c>
      <c r="C221" s="42" t="n">
        <v>45694</v>
      </c>
      <c r="D221" s="42" t="n">
        <v>45700</v>
      </c>
      <c r="E221" s="38" t="n">
        <v>6</v>
      </c>
      <c r="F221" t="inlineStr">
        <is>
          <t>Inpatient</t>
        </is>
      </c>
      <c r="G221" t="inlineStr">
        <is>
          <t>Bluestone Memorial Hospital</t>
        </is>
      </c>
      <c r="H221" t="inlineStr">
        <is>
          <t>Cardiac Step-Down</t>
        </is>
      </c>
      <c r="I221" t="inlineStr">
        <is>
          <t>Cardiovascular</t>
        </is>
      </c>
      <c r="J221" t="inlineStr">
        <is>
          <t>Cox, Judith</t>
        </is>
      </c>
      <c r="K221" t="inlineStr">
        <is>
          <t>I48.91</t>
        </is>
      </c>
      <c r="L221" t="inlineStr">
        <is>
          <t>Circulatory</t>
        </is>
      </c>
      <c r="M221" t="inlineStr">
        <is>
          <t>Silverline Medicare Advantage</t>
        </is>
      </c>
      <c r="N221" t="inlineStr">
        <is>
          <t>Medicare Advantage</t>
        </is>
      </c>
      <c r="O221" s="39" t="n">
        <v>44281.28</v>
      </c>
      <c r="P221" t="inlineStr">
        <is>
          <t>N</t>
        </is>
      </c>
    </row>
    <row r="222">
      <c r="A222" t="inlineStr">
        <is>
          <t>ENC112040</t>
        </is>
      </c>
      <c r="B222" t="inlineStr">
        <is>
          <t>PT10455</t>
        </is>
      </c>
      <c r="C222" s="42" t="n">
        <v>45694</v>
      </c>
      <c r="D222" s="42" t="n">
        <v>45699</v>
      </c>
      <c r="E222" s="38" t="n">
        <v>5</v>
      </c>
      <c r="F222" t="inlineStr">
        <is>
          <t>Inpatient</t>
        </is>
      </c>
      <c r="G222" t="inlineStr">
        <is>
          <t>Ashby Falls Community Hospital</t>
        </is>
      </c>
      <c r="H222" t="inlineStr">
        <is>
          <t>Medical-Surgical</t>
        </is>
      </c>
      <c r="I222" t="inlineStr">
        <is>
          <t>Medicine</t>
        </is>
      </c>
      <c r="J222" t="inlineStr">
        <is>
          <t>Carroll, Philip</t>
        </is>
      </c>
      <c r="K222" t="inlineStr">
        <is>
          <t>J18.9</t>
        </is>
      </c>
      <c r="L222" t="inlineStr">
        <is>
          <t>Respiratory</t>
        </is>
      </c>
      <c r="M222" t="inlineStr">
        <is>
          <t>Evergreen Mutual Insurance</t>
        </is>
      </c>
      <c r="N222" t="inlineStr">
        <is>
          <t>Commercial</t>
        </is>
      </c>
      <c r="O222" s="39" t="n">
        <v>24792.61</v>
      </c>
      <c r="P222" t="inlineStr">
        <is>
          <t>N</t>
        </is>
      </c>
    </row>
    <row r="223">
      <c r="A223" t="inlineStr">
        <is>
          <t>ENC112043</t>
        </is>
      </c>
      <c r="B223" t="inlineStr">
        <is>
          <t>PT10644</t>
        </is>
      </c>
      <c r="C223" s="42" t="n">
        <v>45694</v>
      </c>
      <c r="D223" s="42" t="n">
        <v>45700</v>
      </c>
      <c r="E223" s="38" t="n">
        <v>6</v>
      </c>
      <c r="F223" t="inlineStr">
        <is>
          <t>Inpatient</t>
        </is>
      </c>
      <c r="G223" t="inlineStr">
        <is>
          <t>Cedar Ridge Medical Center</t>
        </is>
      </c>
      <c r="H223" t="inlineStr">
        <is>
          <t>Cardiac Step-Down</t>
        </is>
      </c>
      <c r="I223" t="inlineStr">
        <is>
          <t>Cardiovascular</t>
        </is>
      </c>
      <c r="J223" t="inlineStr">
        <is>
          <t>Vazquez, Leila</t>
        </is>
      </c>
      <c r="K223" t="inlineStr">
        <is>
          <t>I50.9</t>
        </is>
      </c>
      <c r="L223" t="inlineStr">
        <is>
          <t>Circulatory</t>
        </is>
      </c>
      <c r="M223" t="inlineStr">
        <is>
          <t>Medicare</t>
        </is>
      </c>
      <c r="N223" t="inlineStr">
        <is>
          <t>Government</t>
        </is>
      </c>
      <c r="O223" s="39" t="n">
        <v>29320.53</v>
      </c>
      <c r="P223" t="inlineStr">
        <is>
          <t>N</t>
        </is>
      </c>
    </row>
    <row r="224">
      <c r="A224" t="inlineStr">
        <is>
          <t>ENC112061</t>
        </is>
      </c>
      <c r="B224" t="inlineStr">
        <is>
          <t>PT10552</t>
        </is>
      </c>
      <c r="C224" s="42" t="n">
        <v>45694</v>
      </c>
      <c r="D224" s="42" t="n">
        <v>45694</v>
      </c>
      <c r="E224" s="38" t="n">
        <v>0</v>
      </c>
      <c r="F224" t="inlineStr">
        <is>
          <t>Emergency</t>
        </is>
      </c>
      <c r="G224" t="inlineStr">
        <is>
          <t>Bluestone Memorial Hospital</t>
        </is>
      </c>
      <c r="H224" t="inlineStr">
        <is>
          <t>Emergency Department</t>
        </is>
      </c>
      <c r="I224" t="inlineStr">
        <is>
          <t>Emergency</t>
        </is>
      </c>
      <c r="J224" t="inlineStr">
        <is>
          <t>Jordan, Wayne</t>
        </is>
      </c>
      <c r="K224" t="inlineStr">
        <is>
          <t>A08.4</t>
        </is>
      </c>
      <c r="L224" t="inlineStr">
        <is>
          <t>Infectious</t>
        </is>
      </c>
      <c r="M224" t="inlineStr">
        <is>
          <t>Medicare</t>
        </is>
      </c>
      <c r="N224" t="inlineStr">
        <is>
          <t>Government</t>
        </is>
      </c>
      <c r="O224" s="39" t="n">
        <v>2761.05</v>
      </c>
    </row>
    <row r="225">
      <c r="A225" t="inlineStr">
        <is>
          <t>ENC112062</t>
        </is>
      </c>
      <c r="B225" t="inlineStr">
        <is>
          <t>PT10975</t>
        </is>
      </c>
      <c r="C225" s="42" t="n">
        <v>45694</v>
      </c>
      <c r="D225" s="42" t="n">
        <v>45694</v>
      </c>
      <c r="E225" s="38" t="n">
        <v>0</v>
      </c>
      <c r="F225" t="inlineStr">
        <is>
          <t>Outpatient</t>
        </is>
      </c>
      <c r="G225" t="inlineStr">
        <is>
          <t>Bluestone Outpatient Pavilion</t>
        </is>
      </c>
      <c r="H225" t="inlineStr">
        <is>
          <t>Primary Care Clinic</t>
        </is>
      </c>
      <c r="I225" t="inlineStr">
        <is>
          <t>Ambulatory</t>
        </is>
      </c>
      <c r="J225" t="inlineStr">
        <is>
          <t>Torres, Rebecca</t>
        </is>
      </c>
      <c r="K225" t="inlineStr">
        <is>
          <t>Z23</t>
        </is>
      </c>
      <c r="L225" t="inlineStr">
        <is>
          <t>Factors Influencing Health</t>
        </is>
      </c>
      <c r="M225" t="inlineStr">
        <is>
          <t>Silverline Medicare Advantage</t>
        </is>
      </c>
      <c r="N225" t="inlineStr">
        <is>
          <t>Medicare Advantage</t>
        </is>
      </c>
      <c r="O225" s="39" t="n">
        <v>128.34</v>
      </c>
    </row>
    <row r="226">
      <c r="A226" t="inlineStr">
        <is>
          <t>ENC112063</t>
        </is>
      </c>
      <c r="B226" t="inlineStr">
        <is>
          <t>PT12144</t>
        </is>
      </c>
      <c r="C226" s="42" t="n">
        <v>45694</v>
      </c>
      <c r="D226" s="42" t="n">
        <v>45699</v>
      </c>
      <c r="E226" s="38" t="n">
        <v>5</v>
      </c>
      <c r="F226" t="inlineStr">
        <is>
          <t>Inpatient</t>
        </is>
      </c>
      <c r="G226" t="inlineStr">
        <is>
          <t>Bluestone Memorial Hospital</t>
        </is>
      </c>
      <c r="H226" t="inlineStr">
        <is>
          <t>Medical-Surgical 5 East</t>
        </is>
      </c>
      <c r="I226" t="inlineStr">
        <is>
          <t>Medicine</t>
        </is>
      </c>
      <c r="J226" t="inlineStr">
        <is>
          <t>Abdi, Hassan</t>
        </is>
      </c>
      <c r="K226" t="inlineStr">
        <is>
          <t>E87.1</t>
        </is>
      </c>
      <c r="L226" t="inlineStr">
        <is>
          <t>Endocrine</t>
        </is>
      </c>
      <c r="M226" t="inlineStr">
        <is>
          <t>Medicare</t>
        </is>
      </c>
      <c r="N226" t="inlineStr">
        <is>
          <t>Government</t>
        </is>
      </c>
      <c r="O226" s="39" t="n">
        <v>25561.45</v>
      </c>
      <c r="P226" t="inlineStr">
        <is>
          <t>N</t>
        </is>
      </c>
    </row>
    <row r="227">
      <c r="A227" t="inlineStr">
        <is>
          <t>ENC112071</t>
        </is>
      </c>
      <c r="B227" t="inlineStr">
        <is>
          <t>PT10084</t>
        </is>
      </c>
      <c r="C227" s="42" t="n">
        <v>45694</v>
      </c>
      <c r="D227" s="42" t="n">
        <v>45694</v>
      </c>
      <c r="E227" s="38" t="n">
        <v>0</v>
      </c>
      <c r="F227" t="inlineStr">
        <is>
          <t>Outpatient</t>
        </is>
      </c>
      <c r="G227" t="inlineStr">
        <is>
          <t>Bluestone Outpatient Pavilion</t>
        </is>
      </c>
      <c r="H227" t="inlineStr">
        <is>
          <t>Cardiology Clinic</t>
        </is>
      </c>
      <c r="I227" t="inlineStr">
        <is>
          <t>Cardiovascular</t>
        </is>
      </c>
      <c r="J227" t="inlineStr">
        <is>
          <t>Gomez, Mateo</t>
        </is>
      </c>
      <c r="K227" t="inlineStr">
        <is>
          <t>I48.91</t>
        </is>
      </c>
      <c r="L227" t="inlineStr">
        <is>
          <t>Circulatory</t>
        </is>
      </c>
      <c r="M227" t="inlineStr">
        <is>
          <t>Silverline Medicare Advantage</t>
        </is>
      </c>
      <c r="N227" t="inlineStr">
        <is>
          <t>Medicare Advantage</t>
        </is>
      </c>
      <c r="O227" s="39" t="n">
        <v>167.4</v>
      </c>
    </row>
    <row r="228">
      <c r="A228" t="inlineStr">
        <is>
          <t>ENC112072</t>
        </is>
      </c>
      <c r="B228" t="inlineStr">
        <is>
          <t>PT11430</t>
        </is>
      </c>
      <c r="C228" s="42" t="n">
        <v>45694</v>
      </c>
      <c r="D228" s="42" t="n">
        <v>45694</v>
      </c>
      <c r="E228" s="38" t="n">
        <v>0</v>
      </c>
      <c r="F228" t="inlineStr">
        <is>
          <t>Emergency</t>
        </is>
      </c>
      <c r="G228" t="inlineStr">
        <is>
          <t>Bluestone Memorial Hospital</t>
        </is>
      </c>
      <c r="H228" t="inlineStr">
        <is>
          <t>Emergency Department</t>
        </is>
      </c>
      <c r="I228" t="inlineStr">
        <is>
          <t>Emergency</t>
        </is>
      </c>
      <c r="J228" t="inlineStr">
        <is>
          <t>Morris, Jordan</t>
        </is>
      </c>
      <c r="K228" t="inlineStr">
        <is>
          <t>J44.1</t>
        </is>
      </c>
      <c r="L228" t="inlineStr">
        <is>
          <t>Respiratory</t>
        </is>
      </c>
      <c r="M228" t="inlineStr">
        <is>
          <t>Keystone Health Partners</t>
        </is>
      </c>
      <c r="N228" t="inlineStr">
        <is>
          <t>Commercial</t>
        </is>
      </c>
      <c r="O228" s="39" t="n">
        <v>4646.36</v>
      </c>
    </row>
    <row r="229">
      <c r="A229" t="inlineStr">
        <is>
          <t>ENC112077</t>
        </is>
      </c>
      <c r="B229" t="inlineStr">
        <is>
          <t>PT12280</t>
        </is>
      </c>
      <c r="C229" s="42" t="n">
        <v>45694</v>
      </c>
      <c r="D229" s="42" t="n">
        <v>45695</v>
      </c>
      <c r="E229" s="38" t="n">
        <v>1</v>
      </c>
      <c r="F229" t="inlineStr">
        <is>
          <t>Inpatient</t>
        </is>
      </c>
      <c r="G229" t="inlineStr">
        <is>
          <t>Bluestone Memorial Hospital</t>
        </is>
      </c>
      <c r="H229" t="inlineStr">
        <is>
          <t>Labor &amp; Delivery</t>
        </is>
      </c>
      <c r="I229" t="inlineStr">
        <is>
          <t>Women &amp; Children</t>
        </is>
      </c>
      <c r="J229" t="inlineStr">
        <is>
          <t>Watson, Frank</t>
        </is>
      </c>
      <c r="K229" t="inlineStr">
        <is>
          <t>O80</t>
        </is>
      </c>
      <c r="L229" t="inlineStr">
        <is>
          <t>Pregnancy</t>
        </is>
      </c>
      <c r="M229" t="inlineStr">
        <is>
          <t>Self-Pay</t>
        </is>
      </c>
      <c r="N229" t="inlineStr">
        <is>
          <t>Self-Pay</t>
        </is>
      </c>
      <c r="O229" s="39" t="n">
        <v>19573.63</v>
      </c>
      <c r="P229" t="inlineStr">
        <is>
          <t>N</t>
        </is>
      </c>
    </row>
    <row r="230">
      <c r="A230" t="inlineStr">
        <is>
          <t>ENC112078</t>
        </is>
      </c>
      <c r="B230" t="inlineStr">
        <is>
          <t>PT10136</t>
        </is>
      </c>
      <c r="C230" s="42" t="n">
        <v>45694</v>
      </c>
      <c r="D230" s="42" t="n">
        <v>45695</v>
      </c>
      <c r="E230" s="38" t="n">
        <v>1</v>
      </c>
      <c r="F230" t="inlineStr">
        <is>
          <t>Emergency</t>
        </is>
      </c>
      <c r="G230" t="inlineStr">
        <is>
          <t>Bluestone Memorial Hospital</t>
        </is>
      </c>
      <c r="H230" t="inlineStr">
        <is>
          <t>Emergency Department</t>
        </is>
      </c>
      <c r="I230" t="inlineStr">
        <is>
          <t>Emergency</t>
        </is>
      </c>
      <c r="J230" t="inlineStr">
        <is>
          <t>Payne, Nancy</t>
        </is>
      </c>
      <c r="K230" t="inlineStr">
        <is>
          <t>R07.9</t>
        </is>
      </c>
      <c r="L230" t="inlineStr">
        <is>
          <t>Symptoms &amp; Signs</t>
        </is>
      </c>
      <c r="M230" t="inlineStr">
        <is>
          <t>Summit Choice PPO</t>
        </is>
      </c>
      <c r="N230" t="inlineStr">
        <is>
          <t>Commercial</t>
        </is>
      </c>
      <c r="O230" s="39" t="n">
        <v>3468.21</v>
      </c>
    </row>
    <row r="231">
      <c r="A231" t="inlineStr">
        <is>
          <t>ENC112073</t>
        </is>
      </c>
      <c r="B231" t="inlineStr">
        <is>
          <t>PT13669</t>
        </is>
      </c>
      <c r="C231" s="42" t="n">
        <v>45694</v>
      </c>
      <c r="D231" s="42" t="n">
        <v>45699</v>
      </c>
      <c r="E231" s="38" t="n">
        <v>5</v>
      </c>
      <c r="F231" t="inlineStr">
        <is>
          <t>Inpatient</t>
        </is>
      </c>
      <c r="G231" t="inlineStr">
        <is>
          <t>Ashby Falls Community Hospital</t>
        </is>
      </c>
      <c r="H231" t="inlineStr">
        <is>
          <t>Medical-Surgical</t>
        </is>
      </c>
      <c r="I231" t="inlineStr">
        <is>
          <t>Medicine</t>
        </is>
      </c>
      <c r="J231" t="inlineStr">
        <is>
          <t>Carroll, Philip</t>
        </is>
      </c>
      <c r="K231" t="inlineStr">
        <is>
          <t>A41.9</t>
        </is>
      </c>
      <c r="L231" t="inlineStr">
        <is>
          <t>Infectious</t>
        </is>
      </c>
      <c r="M231" t="inlineStr">
        <is>
          <t>Silverline Medicare Advantage</t>
        </is>
      </c>
      <c r="N231" t="inlineStr">
        <is>
          <t>Medicare Advantage</t>
        </is>
      </c>
      <c r="O231" s="39" t="n">
        <v>54069.29</v>
      </c>
      <c r="P231" t="inlineStr">
        <is>
          <t>N</t>
        </is>
      </c>
    </row>
    <row r="232">
      <c r="A232" t="inlineStr">
        <is>
          <t>ENC112068</t>
        </is>
      </c>
      <c r="B232" t="inlineStr">
        <is>
          <t>PT10652</t>
        </is>
      </c>
      <c r="C232" s="42" t="n">
        <v>45694</v>
      </c>
      <c r="D232" s="42" t="n">
        <v>45701</v>
      </c>
      <c r="E232" s="38" t="n">
        <v>7</v>
      </c>
      <c r="F232" t="inlineStr">
        <is>
          <t>Inpatient</t>
        </is>
      </c>
      <c r="G232" t="inlineStr">
        <is>
          <t>Bluestone Memorial Hospital</t>
        </is>
      </c>
      <c r="H232" t="inlineStr">
        <is>
          <t>Pediatrics</t>
        </is>
      </c>
      <c r="I232" t="inlineStr">
        <is>
          <t>Women &amp; Children</t>
        </is>
      </c>
      <c r="J232" t="inlineStr">
        <is>
          <t>Soto, Michael</t>
        </is>
      </c>
      <c r="K232" t="inlineStr">
        <is>
          <t>J21.9</t>
        </is>
      </c>
      <c r="L232" t="inlineStr">
        <is>
          <t>Respiratory</t>
        </is>
      </c>
      <c r="M232" t="inlineStr">
        <is>
          <t>Evergreen Mutual Insurance</t>
        </is>
      </c>
      <c r="N232" t="inlineStr">
        <is>
          <t>Commercial</t>
        </is>
      </c>
      <c r="O232" s="39" t="n">
        <v>36436.31</v>
      </c>
      <c r="P232" t="inlineStr">
        <is>
          <t>N</t>
        </is>
      </c>
    </row>
    <row r="233">
      <c r="A233" t="inlineStr">
        <is>
          <t>ENC112085</t>
        </is>
      </c>
      <c r="B233" t="inlineStr">
        <is>
          <t>PT13985</t>
        </is>
      </c>
      <c r="C233" s="42" t="n">
        <v>45695</v>
      </c>
      <c r="D233" s="42" t="n">
        <v>45709</v>
      </c>
      <c r="E233" s="38" t="n">
        <v>14</v>
      </c>
      <c r="F233" t="inlineStr">
        <is>
          <t>Inpatient</t>
        </is>
      </c>
      <c r="G233" t="inlineStr">
        <is>
          <t>Bluestone Memorial Hospital</t>
        </is>
      </c>
      <c r="H233" t="inlineStr">
        <is>
          <t>Cardiac Step-Down</t>
        </is>
      </c>
      <c r="I233" t="inlineStr">
        <is>
          <t>Cardiovascular</t>
        </is>
      </c>
      <c r="J233" t="inlineStr">
        <is>
          <t>Boyd, Shirley</t>
        </is>
      </c>
      <c r="K233" t="inlineStr">
        <is>
          <t>I50.9</t>
        </is>
      </c>
      <c r="L233" t="inlineStr">
        <is>
          <t>Circulatory</t>
        </is>
      </c>
      <c r="M233" t="inlineStr">
        <is>
          <t>Medicare</t>
        </is>
      </c>
      <c r="N233" t="inlineStr">
        <is>
          <t>Government</t>
        </is>
      </c>
      <c r="O233" s="39" t="n">
        <v>67851.07000000001</v>
      </c>
      <c r="P233" t="inlineStr">
        <is>
          <t>Y</t>
        </is>
      </c>
    </row>
    <row r="234">
      <c r="A234" t="inlineStr">
        <is>
          <t>ENC112087</t>
        </is>
      </c>
      <c r="B234" t="inlineStr">
        <is>
          <t>PT11751</t>
        </is>
      </c>
      <c r="C234" s="42" t="n">
        <v>45695</v>
      </c>
      <c r="D234" s="42" t="n">
        <v>45695</v>
      </c>
      <c r="E234" s="38" t="n">
        <v>0</v>
      </c>
      <c r="F234" t="inlineStr">
        <is>
          <t>Emergency</t>
        </is>
      </c>
      <c r="G234" t="inlineStr">
        <is>
          <t>Cedar Ridge Medical Center</t>
        </is>
      </c>
      <c r="H234" t="inlineStr">
        <is>
          <t>Emergency Department</t>
        </is>
      </c>
      <c r="I234" t="inlineStr">
        <is>
          <t>Emergency</t>
        </is>
      </c>
      <c r="J234" t="inlineStr">
        <is>
          <t>Munoz, Linda</t>
        </is>
      </c>
      <c r="K234" t="inlineStr">
        <is>
          <t>E86.0</t>
        </is>
      </c>
      <c r="L234" t="inlineStr">
        <is>
          <t>Endocrine</t>
        </is>
      </c>
      <c r="M234" t="inlineStr">
        <is>
          <t>State Medicaid</t>
        </is>
      </c>
      <c r="N234" t="inlineStr">
        <is>
          <t>Government</t>
        </is>
      </c>
      <c r="O234" s="39" t="n">
        <v>1338.51</v>
      </c>
    </row>
    <row r="235">
      <c r="A235" t="inlineStr">
        <is>
          <t>ENC112088</t>
        </is>
      </c>
      <c r="B235" t="inlineStr">
        <is>
          <t>PT13743</t>
        </is>
      </c>
      <c r="C235" s="42" t="n">
        <v>45695</v>
      </c>
      <c r="D235" s="42" t="n">
        <v>45695</v>
      </c>
      <c r="E235" s="38" t="n">
        <v>0</v>
      </c>
      <c r="F235" t="inlineStr">
        <is>
          <t>Outpatient</t>
        </is>
      </c>
      <c r="G235" t="inlineStr">
        <is>
          <t>Bluestone Outpatient Pavilion</t>
        </is>
      </c>
      <c r="H235" t="inlineStr">
        <is>
          <t>Primary Care Clinic</t>
        </is>
      </c>
      <c r="I235" t="inlineStr">
        <is>
          <t>Ambulatory</t>
        </is>
      </c>
      <c r="J235" t="inlineStr">
        <is>
          <t>Sullivan, Brenda</t>
        </is>
      </c>
      <c r="K235" t="inlineStr">
        <is>
          <t>Z23</t>
        </is>
      </c>
      <c r="L235" t="inlineStr">
        <is>
          <t>Factors Influencing Health</t>
        </is>
      </c>
      <c r="M235" t="inlineStr">
        <is>
          <t>Silverline Medicare Advantage</t>
        </is>
      </c>
      <c r="N235" t="inlineStr">
        <is>
          <t>Medicare Advantage</t>
        </is>
      </c>
      <c r="O235" s="39" t="n">
        <v>139.26</v>
      </c>
    </row>
    <row r="236">
      <c r="A236" t="inlineStr">
        <is>
          <t>ENC112090</t>
        </is>
      </c>
      <c r="B236" t="inlineStr">
        <is>
          <t>PT12399</t>
        </is>
      </c>
      <c r="C236" s="42" t="n">
        <v>45695</v>
      </c>
      <c r="D236" s="42" t="n">
        <v>45695</v>
      </c>
      <c r="E236" s="38" t="n">
        <v>0</v>
      </c>
      <c r="F236" t="inlineStr">
        <is>
          <t>Outpatient</t>
        </is>
      </c>
      <c r="G236" t="inlineStr">
        <is>
          <t>Bluestone Outpatient Pavilion</t>
        </is>
      </c>
      <c r="H236" t="inlineStr">
        <is>
          <t>Cardiology Clinic</t>
        </is>
      </c>
      <c r="I236" t="inlineStr">
        <is>
          <t>Cardiovascular</t>
        </is>
      </c>
      <c r="J236" t="inlineStr">
        <is>
          <t>Gomez, Mateo</t>
        </is>
      </c>
      <c r="K236" t="inlineStr">
        <is>
          <t>I48.91</t>
        </is>
      </c>
      <c r="L236" t="inlineStr">
        <is>
          <t>Circulatory</t>
        </is>
      </c>
      <c r="M236" t="inlineStr">
        <is>
          <t>Silverline Medicare Advantage</t>
        </is>
      </c>
      <c r="N236" t="inlineStr">
        <is>
          <t>Medicare Advantage</t>
        </is>
      </c>
      <c r="O236" s="39" t="n">
        <v>306.31</v>
      </c>
    </row>
    <row r="237">
      <c r="A237" t="inlineStr">
        <is>
          <t>ENC112095</t>
        </is>
      </c>
      <c r="B237" t="inlineStr">
        <is>
          <t>PT12138</t>
        </is>
      </c>
      <c r="C237" s="42" t="n">
        <v>45695</v>
      </c>
      <c r="D237" s="42" t="n">
        <v>45698</v>
      </c>
      <c r="E237" s="38" t="n">
        <v>3</v>
      </c>
      <c r="F237" t="inlineStr">
        <is>
          <t>Inpatient</t>
        </is>
      </c>
      <c r="G237" t="inlineStr">
        <is>
          <t>Cedar Ridge Medical Center</t>
        </is>
      </c>
      <c r="H237" t="inlineStr">
        <is>
          <t>Cardiac Step-Down</t>
        </is>
      </c>
      <c r="I237" t="inlineStr">
        <is>
          <t>Cardiovascular</t>
        </is>
      </c>
      <c r="J237" t="inlineStr">
        <is>
          <t>Vazquez, Leila</t>
        </is>
      </c>
      <c r="K237" t="inlineStr">
        <is>
          <t>I50.9</t>
        </is>
      </c>
      <c r="L237" t="inlineStr">
        <is>
          <t>Circulatory</t>
        </is>
      </c>
      <c r="M237" t="inlineStr">
        <is>
          <t>Medicare</t>
        </is>
      </c>
      <c r="N237" t="inlineStr">
        <is>
          <t>Government</t>
        </is>
      </c>
      <c r="O237" s="39" t="n">
        <v>20813.88</v>
      </c>
      <c r="P237" t="inlineStr">
        <is>
          <t>N</t>
        </is>
      </c>
    </row>
    <row r="238">
      <c r="A238" t="inlineStr">
        <is>
          <t>ENC112098</t>
        </is>
      </c>
      <c r="B238" t="inlineStr">
        <is>
          <t>PT10023</t>
        </is>
      </c>
      <c r="C238" s="42" t="n">
        <v>45695</v>
      </c>
      <c r="D238" s="42" t="n">
        <v>45695</v>
      </c>
      <c r="E238" s="38" t="n">
        <v>0</v>
      </c>
      <c r="F238" t="inlineStr">
        <is>
          <t>Outpatient</t>
        </is>
      </c>
      <c r="G238" t="inlineStr">
        <is>
          <t>Bluestone Outpatient Pavilion</t>
        </is>
      </c>
      <c r="H238" t="inlineStr">
        <is>
          <t>Primary Care Clinic</t>
        </is>
      </c>
      <c r="I238" t="inlineStr">
        <is>
          <t>Ambulatory</t>
        </is>
      </c>
      <c r="J238" t="inlineStr">
        <is>
          <t>Bennett, Randy</t>
        </is>
      </c>
      <c r="K238" t="inlineStr">
        <is>
          <t>J06.9</t>
        </is>
      </c>
      <c r="L238" t="inlineStr">
        <is>
          <t>Respiratory</t>
        </is>
      </c>
      <c r="M238" t="inlineStr">
        <is>
          <t>State Medicaid</t>
        </is>
      </c>
      <c r="N238" t="inlineStr">
        <is>
          <t>Government</t>
        </is>
      </c>
      <c r="O238" s="39" t="n">
        <v>407.82</v>
      </c>
    </row>
    <row r="239">
      <c r="A239" t="inlineStr">
        <is>
          <t>ENC112106</t>
        </is>
      </c>
      <c r="B239" t="inlineStr">
        <is>
          <t>PT10257</t>
        </is>
      </c>
      <c r="C239" s="42" t="n">
        <v>45695</v>
      </c>
      <c r="D239" s="42" t="n">
        <v>45695</v>
      </c>
      <c r="E239" s="38" t="n">
        <v>0</v>
      </c>
      <c r="F239" t="inlineStr">
        <is>
          <t>Outpatient</t>
        </is>
      </c>
      <c r="G239" t="inlineStr">
        <is>
          <t>Bluestone Outpatient Pavilion</t>
        </is>
      </c>
      <c r="H239" t="inlineStr">
        <is>
          <t>Primary Care Clinic</t>
        </is>
      </c>
      <c r="I239" t="inlineStr">
        <is>
          <t>Ambulatory</t>
        </is>
      </c>
      <c r="J239" t="inlineStr">
        <is>
          <t>Nguyen, Isabella</t>
        </is>
      </c>
      <c r="K239" t="inlineStr">
        <is>
          <t>E78.5</t>
        </is>
      </c>
      <c r="L239" t="inlineStr">
        <is>
          <t>Endocrine</t>
        </is>
      </c>
      <c r="M239" t="inlineStr">
        <is>
          <t>Medicare</t>
        </is>
      </c>
      <c r="N239" t="inlineStr">
        <is>
          <t>Government</t>
        </is>
      </c>
      <c r="O239" s="39" t="n">
        <v>240.48</v>
      </c>
    </row>
    <row r="240">
      <c r="A240" t="inlineStr">
        <is>
          <t>ENC112110</t>
        </is>
      </c>
      <c r="B240" t="inlineStr">
        <is>
          <t>PT11842</t>
        </is>
      </c>
      <c r="C240" s="42" t="n">
        <v>45695</v>
      </c>
      <c r="D240" s="42" t="n">
        <v>45695</v>
      </c>
      <c r="E240" s="38" t="n">
        <v>0</v>
      </c>
      <c r="F240" t="inlineStr">
        <is>
          <t>Emergency</t>
        </is>
      </c>
      <c r="G240" t="inlineStr">
        <is>
          <t>Cedar Ridge Medical Center</t>
        </is>
      </c>
      <c r="H240" t="inlineStr">
        <is>
          <t>Emergency Department</t>
        </is>
      </c>
      <c r="I240" t="inlineStr">
        <is>
          <t>Emergency</t>
        </is>
      </c>
      <c r="J240" t="inlineStr">
        <is>
          <t>Munoz, Linda</t>
        </is>
      </c>
      <c r="K240" t="inlineStr">
        <is>
          <t>R10.9</t>
        </is>
      </c>
      <c r="L240" t="inlineStr">
        <is>
          <t>Symptoms &amp; Signs</t>
        </is>
      </c>
      <c r="M240" t="inlineStr">
        <is>
          <t>Medicare</t>
        </is>
      </c>
      <c r="N240" t="inlineStr">
        <is>
          <t>Government</t>
        </is>
      </c>
      <c r="O240" s="39" t="n">
        <v>4578.53</v>
      </c>
    </row>
    <row r="241">
      <c r="A241" t="inlineStr">
        <is>
          <t>ENC112105</t>
        </is>
      </c>
      <c r="B241" t="inlineStr">
        <is>
          <t>PT10029</t>
        </is>
      </c>
      <c r="C241" s="42" t="n">
        <v>45695</v>
      </c>
      <c r="D241" s="42" t="n">
        <v>45699</v>
      </c>
      <c r="E241" s="38" t="n">
        <v>4</v>
      </c>
      <c r="F241" t="inlineStr">
        <is>
          <t>Inpatient</t>
        </is>
      </c>
      <c r="G241" t="inlineStr">
        <is>
          <t>Bluestone Memorial Hospital</t>
        </is>
      </c>
      <c r="H241" t="inlineStr">
        <is>
          <t>Medical-Surgical 5 East</t>
        </is>
      </c>
      <c r="I241" t="inlineStr">
        <is>
          <t>Medicine</t>
        </is>
      </c>
      <c r="J241" t="inlineStr">
        <is>
          <t>Simpson, Kelly</t>
        </is>
      </c>
      <c r="K241" t="inlineStr">
        <is>
          <t>E86.0</t>
        </is>
      </c>
      <c r="L241" t="inlineStr">
        <is>
          <t>Endocrine</t>
        </is>
      </c>
      <c r="M241" t="inlineStr">
        <is>
          <t>Silverline Medicare Advantage</t>
        </is>
      </c>
      <c r="N241" t="inlineStr">
        <is>
          <t>Medicare Advantage</t>
        </is>
      </c>
      <c r="O241" s="39" t="n">
        <v>13473.29</v>
      </c>
      <c r="P241" t="inlineStr">
        <is>
          <t>Y</t>
        </is>
      </c>
    </row>
    <row r="242">
      <c r="A242" t="inlineStr">
        <is>
          <t>ENC112120</t>
        </is>
      </c>
      <c r="B242" t="inlineStr">
        <is>
          <t>PT10346</t>
        </is>
      </c>
      <c r="C242" s="42" t="n">
        <v>45696</v>
      </c>
      <c r="D242" s="42" t="n">
        <v>45696</v>
      </c>
      <c r="E242" s="38" t="n">
        <v>0</v>
      </c>
      <c r="F242" t="inlineStr">
        <is>
          <t>Emergency</t>
        </is>
      </c>
      <c r="G242" t="inlineStr">
        <is>
          <t>Bluestone Memorial Hospital</t>
        </is>
      </c>
      <c r="H242" t="inlineStr">
        <is>
          <t>Emergency Department</t>
        </is>
      </c>
      <c r="I242" t="inlineStr">
        <is>
          <t>Emergency</t>
        </is>
      </c>
      <c r="J242" t="inlineStr">
        <is>
          <t>Gonzales, Mia</t>
        </is>
      </c>
      <c r="K242" t="inlineStr">
        <is>
          <t>J18.9</t>
        </is>
      </c>
      <c r="L242" t="inlineStr">
        <is>
          <t>Respiratory</t>
        </is>
      </c>
      <c r="M242" t="inlineStr">
        <is>
          <t>Silverline Medicare Advantage</t>
        </is>
      </c>
      <c r="N242" t="inlineStr">
        <is>
          <t>Medicare Advantage</t>
        </is>
      </c>
      <c r="O242" s="39" t="n">
        <v>6201.61</v>
      </c>
    </row>
    <row r="243">
      <c r="A243" t="inlineStr">
        <is>
          <t>ENC112122</t>
        </is>
      </c>
      <c r="B243" t="inlineStr">
        <is>
          <t>PT13168</t>
        </is>
      </c>
      <c r="C243" s="42" t="n">
        <v>45696</v>
      </c>
      <c r="D243" s="42" t="n">
        <v>45696</v>
      </c>
      <c r="E243" s="38" t="n">
        <v>0</v>
      </c>
      <c r="F243" t="inlineStr">
        <is>
          <t>Emergency</t>
        </is>
      </c>
      <c r="G243" t="inlineStr">
        <is>
          <t>Cedar Ridge Medical Center</t>
        </is>
      </c>
      <c r="H243" t="inlineStr">
        <is>
          <t>Emergency Department</t>
        </is>
      </c>
      <c r="I243" t="inlineStr">
        <is>
          <t>Emergency</t>
        </is>
      </c>
      <c r="J243" t="inlineStr">
        <is>
          <t>Henry, Brenda</t>
        </is>
      </c>
      <c r="K243" t="inlineStr">
        <is>
          <t>J06.9</t>
        </is>
      </c>
      <c r="L243" t="inlineStr">
        <is>
          <t>Respiratory</t>
        </is>
      </c>
      <c r="M243" t="inlineStr">
        <is>
          <t>Keystone Health Partners</t>
        </is>
      </c>
      <c r="N243" t="inlineStr">
        <is>
          <t>Commercial</t>
        </is>
      </c>
      <c r="O243" s="39" t="n">
        <v>1202</v>
      </c>
    </row>
    <row r="244">
      <c r="A244" t="inlineStr">
        <is>
          <t>ENC112128</t>
        </is>
      </c>
      <c r="B244" t="inlineStr">
        <is>
          <t>PT10193</t>
        </is>
      </c>
      <c r="C244" s="42" t="n">
        <v>45696</v>
      </c>
      <c r="D244" s="42" t="n">
        <v>45696</v>
      </c>
      <c r="E244" s="38" t="n">
        <v>0</v>
      </c>
      <c r="F244" t="inlineStr">
        <is>
          <t>Emergency</t>
        </is>
      </c>
      <c r="G244" t="inlineStr">
        <is>
          <t>Ashby Falls Community Hospital</t>
        </is>
      </c>
      <c r="H244" t="inlineStr">
        <is>
          <t>Emergency Department</t>
        </is>
      </c>
      <c r="I244" t="inlineStr">
        <is>
          <t>Emergency</t>
        </is>
      </c>
      <c r="J244" t="inlineStr">
        <is>
          <t>Walker, Margaret</t>
        </is>
      </c>
      <c r="K244" t="inlineStr">
        <is>
          <t>G43.909</t>
        </is>
      </c>
      <c r="L244" t="inlineStr">
        <is>
          <t>Nervous System</t>
        </is>
      </c>
      <c r="M244" t="inlineStr">
        <is>
          <t>Self-Pay</t>
        </is>
      </c>
      <c r="N244" t="inlineStr">
        <is>
          <t>Self-Pay</t>
        </is>
      </c>
      <c r="O244" s="39" t="n">
        <v>1483.49</v>
      </c>
    </row>
    <row r="245">
      <c r="A245" t="inlineStr">
        <is>
          <t>ENC112137</t>
        </is>
      </c>
      <c r="B245" t="inlineStr">
        <is>
          <t>PT12993</t>
        </is>
      </c>
      <c r="C245" s="42" t="n">
        <v>45696</v>
      </c>
      <c r="D245" s="42" t="n">
        <v>45697</v>
      </c>
      <c r="E245" s="38" t="n">
        <v>1</v>
      </c>
      <c r="F245" t="inlineStr">
        <is>
          <t>Emergency</t>
        </is>
      </c>
      <c r="G245" t="inlineStr">
        <is>
          <t>Bluestone Memorial Hospital</t>
        </is>
      </c>
      <c r="H245" t="inlineStr">
        <is>
          <t>Emergency Department</t>
        </is>
      </c>
      <c r="I245" t="inlineStr">
        <is>
          <t>Emergency</t>
        </is>
      </c>
      <c r="J245" t="inlineStr">
        <is>
          <t>Olson, Christian</t>
        </is>
      </c>
      <c r="K245" t="inlineStr">
        <is>
          <t>S93.401A</t>
        </is>
      </c>
      <c r="L245" t="inlineStr">
        <is>
          <t>Injury</t>
        </is>
      </c>
      <c r="M245" t="inlineStr">
        <is>
          <t>Keystone Health Partners</t>
        </is>
      </c>
      <c r="N245" t="inlineStr">
        <is>
          <t>Commercial</t>
        </is>
      </c>
      <c r="O245" s="39" t="n">
        <v>994.98</v>
      </c>
    </row>
    <row r="246">
      <c r="A246" t="inlineStr">
        <is>
          <t>ENC112139</t>
        </is>
      </c>
      <c r="B246" t="inlineStr">
        <is>
          <t>PT13266</t>
        </is>
      </c>
      <c r="C246" s="42" t="n">
        <v>45697</v>
      </c>
      <c r="D246" s="42" t="n">
        <v>45697</v>
      </c>
      <c r="E246" s="38" t="n">
        <v>0</v>
      </c>
      <c r="F246" t="inlineStr">
        <is>
          <t>Emergency</t>
        </is>
      </c>
      <c r="G246" t="inlineStr">
        <is>
          <t>Ashby Falls Community Hospital</t>
        </is>
      </c>
      <c r="H246" t="inlineStr">
        <is>
          <t>Emergency Department</t>
        </is>
      </c>
      <c r="I246" t="inlineStr">
        <is>
          <t>Emergency</t>
        </is>
      </c>
      <c r="J246" t="inlineStr">
        <is>
          <t>Wright, Bruce</t>
        </is>
      </c>
      <c r="K246" t="inlineStr">
        <is>
          <t>A08.4</t>
        </is>
      </c>
      <c r="L246" t="inlineStr">
        <is>
          <t>Infectious</t>
        </is>
      </c>
      <c r="M246" t="inlineStr">
        <is>
          <t>Medicare</t>
        </is>
      </c>
      <c r="N246" t="inlineStr">
        <is>
          <t>Government</t>
        </is>
      </c>
      <c r="O246" s="39" t="n">
        <v>1561.9</v>
      </c>
    </row>
    <row r="247">
      <c r="A247" t="inlineStr">
        <is>
          <t>ENC112136</t>
        </is>
      </c>
      <c r="B247" t="inlineStr">
        <is>
          <t>PT10220</t>
        </is>
      </c>
      <c r="C247" s="42" t="n">
        <v>45697</v>
      </c>
      <c r="D247" s="42" t="n">
        <v>45700</v>
      </c>
      <c r="E247" s="38" t="n">
        <v>3</v>
      </c>
      <c r="F247" t="inlineStr">
        <is>
          <t>Inpatient</t>
        </is>
      </c>
      <c r="G247" t="inlineStr">
        <is>
          <t>Bluestone Memorial Hospital</t>
        </is>
      </c>
      <c r="H247" t="inlineStr">
        <is>
          <t>Medical-Surgical 4 West</t>
        </is>
      </c>
      <c r="I247" t="inlineStr">
        <is>
          <t>Medicine</t>
        </is>
      </c>
      <c r="J247" t="inlineStr">
        <is>
          <t>Russell, Larry</t>
        </is>
      </c>
      <c r="K247" t="inlineStr">
        <is>
          <t>J44.1</t>
        </is>
      </c>
      <c r="L247" t="inlineStr">
        <is>
          <t>Respiratory</t>
        </is>
      </c>
      <c r="M247" t="inlineStr">
        <is>
          <t>Self-Pay</t>
        </is>
      </c>
      <c r="N247" t="inlineStr">
        <is>
          <t>Self-Pay</t>
        </is>
      </c>
      <c r="O247" s="39" t="n">
        <v>18965.09</v>
      </c>
      <c r="P247" t="inlineStr">
        <is>
          <t>N</t>
        </is>
      </c>
    </row>
    <row r="248">
      <c r="A248" t="inlineStr">
        <is>
          <t>ENC112143</t>
        </is>
      </c>
      <c r="B248" t="inlineStr">
        <is>
          <t>PT10230</t>
        </is>
      </c>
      <c r="C248" s="42" t="n">
        <v>45697</v>
      </c>
      <c r="D248" s="42" t="n">
        <v>45697</v>
      </c>
      <c r="E248" s="38" t="n">
        <v>0</v>
      </c>
      <c r="F248" t="inlineStr">
        <is>
          <t>Emergency</t>
        </is>
      </c>
      <c r="G248" t="inlineStr">
        <is>
          <t>Cedar Ridge Medical Center</t>
        </is>
      </c>
      <c r="H248" t="inlineStr">
        <is>
          <t>Emergency Department</t>
        </is>
      </c>
      <c r="I248" t="inlineStr">
        <is>
          <t>Emergency</t>
        </is>
      </c>
      <c r="J248" t="inlineStr">
        <is>
          <t>Henry, Brenda</t>
        </is>
      </c>
      <c r="K248" t="inlineStr">
        <is>
          <t>J18.9</t>
        </is>
      </c>
      <c r="L248" t="inlineStr">
        <is>
          <t>Respiratory</t>
        </is>
      </c>
      <c r="M248" t="inlineStr">
        <is>
          <t>Silverline Medicare Advantage</t>
        </is>
      </c>
      <c r="N248" t="inlineStr">
        <is>
          <t>Medicare Advantage</t>
        </is>
      </c>
      <c r="O248" s="39" t="n">
        <v>2793.67</v>
      </c>
    </row>
    <row r="249">
      <c r="A249" t="inlineStr">
        <is>
          <t>ENC112149</t>
        </is>
      </c>
      <c r="B249" t="inlineStr">
        <is>
          <t>PT13907</t>
        </is>
      </c>
      <c r="C249" s="42" t="n">
        <v>45697</v>
      </c>
      <c r="D249" s="42" t="n">
        <v>45697</v>
      </c>
      <c r="E249" s="38" t="n">
        <v>0</v>
      </c>
      <c r="F249" t="inlineStr">
        <is>
          <t>Emergency</t>
        </is>
      </c>
      <c r="G249" t="inlineStr">
        <is>
          <t>Bluestone Memorial Hospital</t>
        </is>
      </c>
      <c r="H249" t="inlineStr">
        <is>
          <t>Emergency Department</t>
        </is>
      </c>
      <c r="I249" t="inlineStr">
        <is>
          <t>Emergency</t>
        </is>
      </c>
      <c r="J249" t="inlineStr">
        <is>
          <t>Kowalski, James</t>
        </is>
      </c>
      <c r="K249" t="inlineStr">
        <is>
          <t>J06.9</t>
        </is>
      </c>
      <c r="L249" t="inlineStr">
        <is>
          <t>Respiratory</t>
        </is>
      </c>
      <c r="M249" t="inlineStr">
        <is>
          <t>State Medicaid</t>
        </is>
      </c>
      <c r="N249" t="inlineStr">
        <is>
          <t>Government</t>
        </is>
      </c>
      <c r="O249" s="39" t="n">
        <v>862.98</v>
      </c>
    </row>
    <row r="250">
      <c r="A250" t="inlineStr">
        <is>
          <t>ENC112155</t>
        </is>
      </c>
      <c r="B250" t="inlineStr">
        <is>
          <t>PT12223</t>
        </is>
      </c>
      <c r="C250" s="42" t="n">
        <v>45697</v>
      </c>
      <c r="D250" s="42" t="n">
        <v>45700</v>
      </c>
      <c r="E250" s="38" t="n">
        <v>3</v>
      </c>
      <c r="F250" t="inlineStr">
        <is>
          <t>Inpatient</t>
        </is>
      </c>
      <c r="G250" t="inlineStr">
        <is>
          <t>Bluestone Memorial Hospital</t>
        </is>
      </c>
      <c r="H250" t="inlineStr">
        <is>
          <t>Medical-Surgical 5 East</t>
        </is>
      </c>
      <c r="I250" t="inlineStr">
        <is>
          <t>Medicine</t>
        </is>
      </c>
      <c r="J250" t="inlineStr">
        <is>
          <t>Vasquez, Jose</t>
        </is>
      </c>
      <c r="K250" t="inlineStr">
        <is>
          <t>J44.1</t>
        </is>
      </c>
      <c r="L250" t="inlineStr">
        <is>
          <t>Respiratory</t>
        </is>
      </c>
      <c r="M250" t="inlineStr">
        <is>
          <t>State Medicaid</t>
        </is>
      </c>
      <c r="N250" t="inlineStr">
        <is>
          <t>Government</t>
        </is>
      </c>
      <c r="O250" s="39" t="n">
        <v>14275.49</v>
      </c>
      <c r="P250" t="inlineStr">
        <is>
          <t>N</t>
        </is>
      </c>
    </row>
    <row r="251">
      <c r="A251" t="inlineStr">
        <is>
          <t>ENC112156</t>
        </is>
      </c>
      <c r="B251" t="inlineStr">
        <is>
          <t>PT11597</t>
        </is>
      </c>
      <c r="C251" s="42" t="n">
        <v>45697</v>
      </c>
      <c r="D251" s="42" t="n">
        <v>45697</v>
      </c>
      <c r="E251" s="38" t="n">
        <v>0</v>
      </c>
      <c r="F251" t="inlineStr">
        <is>
          <t>Emergency</t>
        </is>
      </c>
      <c r="G251" t="inlineStr">
        <is>
          <t>Cedar Ridge Medical Center</t>
        </is>
      </c>
      <c r="H251" t="inlineStr">
        <is>
          <t>Emergency Department</t>
        </is>
      </c>
      <c r="I251" t="inlineStr">
        <is>
          <t>Emergency</t>
        </is>
      </c>
      <c r="J251" t="inlineStr">
        <is>
          <t>Schmidt, Anna</t>
        </is>
      </c>
      <c r="K251" t="inlineStr">
        <is>
          <t>J06.9</t>
        </is>
      </c>
      <c r="L251" t="inlineStr">
        <is>
          <t>Respiratory</t>
        </is>
      </c>
      <c r="M251" t="inlineStr">
        <is>
          <t>State Medicaid</t>
        </is>
      </c>
      <c r="N251" t="inlineStr">
        <is>
          <t>Government</t>
        </is>
      </c>
      <c r="O251" s="39" t="n">
        <v>1584.75</v>
      </c>
    </row>
    <row r="252">
      <c r="A252" t="inlineStr">
        <is>
          <t>ENC112159</t>
        </is>
      </c>
      <c r="B252" t="inlineStr">
        <is>
          <t>PT13138</t>
        </is>
      </c>
      <c r="C252" s="42" t="n">
        <v>45697</v>
      </c>
      <c r="D252" s="42" t="n">
        <v>45697</v>
      </c>
      <c r="E252" s="38" t="n">
        <v>0</v>
      </c>
      <c r="F252" t="inlineStr">
        <is>
          <t>Emergency</t>
        </is>
      </c>
      <c r="G252" t="inlineStr">
        <is>
          <t>Bluestone Memorial Hospital</t>
        </is>
      </c>
      <c r="H252" t="inlineStr">
        <is>
          <t>Emergency Department</t>
        </is>
      </c>
      <c r="I252" t="inlineStr">
        <is>
          <t>Emergency</t>
        </is>
      </c>
      <c r="J252" t="inlineStr">
        <is>
          <t>Sullivan, Jacob</t>
        </is>
      </c>
      <c r="K252" t="inlineStr">
        <is>
          <t>H66.90</t>
        </is>
      </c>
      <c r="L252" t="inlineStr">
        <is>
          <t>Ear</t>
        </is>
      </c>
      <c r="M252" t="inlineStr">
        <is>
          <t>Evergreen Mutual Insurance</t>
        </is>
      </c>
      <c r="N252" t="inlineStr">
        <is>
          <t>Commercial</t>
        </is>
      </c>
      <c r="O252" s="39" t="n">
        <v>551.26</v>
      </c>
    </row>
    <row r="253">
      <c r="A253" t="inlineStr">
        <is>
          <t>ENC112168</t>
        </is>
      </c>
      <c r="B253" t="inlineStr">
        <is>
          <t>PT10519</t>
        </is>
      </c>
      <c r="C253" s="42" t="n">
        <v>45698</v>
      </c>
      <c r="D253" s="42" t="n">
        <v>45698</v>
      </c>
      <c r="E253" s="38" t="n">
        <v>0</v>
      </c>
      <c r="F253" t="inlineStr">
        <is>
          <t>Outpatient</t>
        </is>
      </c>
      <c r="G253" t="inlineStr">
        <is>
          <t>Bluestone Outpatient Pavilion</t>
        </is>
      </c>
      <c r="H253" t="inlineStr">
        <is>
          <t>Endocrinology &amp; Diabetes Clinic</t>
        </is>
      </c>
      <c r="I253" t="inlineStr">
        <is>
          <t>Ambulatory</t>
        </is>
      </c>
      <c r="J253" t="inlineStr">
        <is>
          <t>Woods, Larry</t>
        </is>
      </c>
      <c r="K253" t="inlineStr">
        <is>
          <t>E11.9</t>
        </is>
      </c>
      <c r="L253" t="inlineStr">
        <is>
          <t>Endocrine</t>
        </is>
      </c>
      <c r="M253" t="inlineStr">
        <is>
          <t>Silverline Medicare Advantage</t>
        </is>
      </c>
      <c r="N253" t="inlineStr">
        <is>
          <t>Medicare Advantage</t>
        </is>
      </c>
      <c r="O253" s="39" t="n">
        <v>251.92</v>
      </c>
    </row>
    <row r="254">
      <c r="A254" t="inlineStr">
        <is>
          <t>ENC112170</t>
        </is>
      </c>
      <c r="B254" t="inlineStr">
        <is>
          <t>PT13989</t>
        </is>
      </c>
      <c r="C254" s="42" t="n">
        <v>45698</v>
      </c>
      <c r="D254" s="42" t="n">
        <v>45698</v>
      </c>
      <c r="E254" s="38" t="n">
        <v>0</v>
      </c>
      <c r="F254" t="inlineStr">
        <is>
          <t>Outpatient</t>
        </is>
      </c>
      <c r="G254" t="inlineStr">
        <is>
          <t>Bluestone Outpatient Pavilion</t>
        </is>
      </c>
      <c r="H254" t="inlineStr">
        <is>
          <t>Cardiology Clinic</t>
        </is>
      </c>
      <c r="I254" t="inlineStr">
        <is>
          <t>Cardiovascular</t>
        </is>
      </c>
      <c r="J254" t="inlineStr">
        <is>
          <t>Jenkins, Brittany</t>
        </is>
      </c>
      <c r="K254" t="inlineStr">
        <is>
          <t>I48.91</t>
        </is>
      </c>
      <c r="L254" t="inlineStr">
        <is>
          <t>Circulatory</t>
        </is>
      </c>
      <c r="M254" t="inlineStr">
        <is>
          <t>Medicare</t>
        </is>
      </c>
      <c r="N254" t="inlineStr">
        <is>
          <t>Government</t>
        </is>
      </c>
      <c r="O254" s="39" t="n">
        <v>194.52</v>
      </c>
    </row>
    <row r="255">
      <c r="A255" t="inlineStr">
        <is>
          <t>ENC112177</t>
        </is>
      </c>
      <c r="B255" t="inlineStr">
        <is>
          <t>PT11939</t>
        </is>
      </c>
      <c r="C255" s="42" t="n">
        <v>45698</v>
      </c>
      <c r="D255" s="42" t="n">
        <v>45700</v>
      </c>
      <c r="E255" s="38" t="n">
        <v>2</v>
      </c>
      <c r="F255" t="inlineStr">
        <is>
          <t>Inpatient</t>
        </is>
      </c>
      <c r="G255" t="inlineStr">
        <is>
          <t>Ashby Falls Community Hospital</t>
        </is>
      </c>
      <c r="H255" t="inlineStr">
        <is>
          <t>Medical-Surgical</t>
        </is>
      </c>
      <c r="I255" t="inlineStr">
        <is>
          <t>Medicine</t>
        </is>
      </c>
      <c r="J255" t="inlineStr">
        <is>
          <t>Perkins, Stephen</t>
        </is>
      </c>
      <c r="K255" t="inlineStr">
        <is>
          <t>K35.80</t>
        </is>
      </c>
      <c r="L255" t="inlineStr">
        <is>
          <t>Digestive</t>
        </is>
      </c>
      <c r="M255" t="inlineStr">
        <is>
          <t>Medicare</t>
        </is>
      </c>
      <c r="N255" t="inlineStr">
        <is>
          <t>Government</t>
        </is>
      </c>
      <c r="O255" s="39" t="n">
        <v>25629.37</v>
      </c>
      <c r="P255" t="inlineStr">
        <is>
          <t>N</t>
        </is>
      </c>
    </row>
    <row r="256">
      <c r="A256" t="inlineStr">
        <is>
          <t>ENC112179</t>
        </is>
      </c>
      <c r="B256" t="inlineStr">
        <is>
          <t>PT13979</t>
        </is>
      </c>
      <c r="C256" s="42" t="n">
        <v>45698</v>
      </c>
      <c r="D256" s="42" t="n">
        <v>45698</v>
      </c>
      <c r="E256" s="38" t="n">
        <v>0</v>
      </c>
      <c r="F256" t="inlineStr">
        <is>
          <t>Emergency</t>
        </is>
      </c>
      <c r="G256" t="inlineStr">
        <is>
          <t>Bluestone Memorial Hospital</t>
        </is>
      </c>
      <c r="H256" t="inlineStr">
        <is>
          <t>Emergency Department</t>
        </is>
      </c>
      <c r="I256" t="inlineStr">
        <is>
          <t>Emergency</t>
        </is>
      </c>
      <c r="J256" t="inlineStr">
        <is>
          <t>Elliott, Jesse</t>
        </is>
      </c>
      <c r="K256" t="inlineStr">
        <is>
          <t>J06.9</t>
        </is>
      </c>
      <c r="L256" t="inlineStr">
        <is>
          <t>Respiratory</t>
        </is>
      </c>
      <c r="M256" t="inlineStr">
        <is>
          <t>Medicare</t>
        </is>
      </c>
      <c r="N256" t="inlineStr">
        <is>
          <t>Government</t>
        </is>
      </c>
      <c r="O256" s="39" t="n">
        <v>2993.15</v>
      </c>
    </row>
    <row r="257">
      <c r="A257" t="inlineStr">
        <is>
          <t>ENC112191</t>
        </is>
      </c>
      <c r="B257" t="inlineStr">
        <is>
          <t>PT12992</t>
        </is>
      </c>
      <c r="C257" s="42" t="n">
        <v>45698</v>
      </c>
      <c r="D257" s="42" t="n">
        <v>45698</v>
      </c>
      <c r="E257" s="38" t="n">
        <v>0</v>
      </c>
      <c r="F257" t="inlineStr">
        <is>
          <t>Emergency</t>
        </is>
      </c>
      <c r="G257" t="inlineStr">
        <is>
          <t>Bluestone Memorial Hospital</t>
        </is>
      </c>
      <c r="H257" t="inlineStr">
        <is>
          <t>Emergency Department</t>
        </is>
      </c>
      <c r="I257" t="inlineStr">
        <is>
          <t>Emergency</t>
        </is>
      </c>
      <c r="J257" t="inlineStr">
        <is>
          <t>Olson, Christian</t>
        </is>
      </c>
      <c r="K257" t="inlineStr">
        <is>
          <t>I48.91</t>
        </is>
      </c>
      <c r="L257" t="inlineStr">
        <is>
          <t>Circulatory</t>
        </is>
      </c>
      <c r="M257" t="inlineStr">
        <is>
          <t>State Medicaid</t>
        </is>
      </c>
      <c r="N257" t="inlineStr">
        <is>
          <t>Government</t>
        </is>
      </c>
      <c r="O257" s="39" t="n">
        <v>3733.66</v>
      </c>
    </row>
    <row r="258">
      <c r="A258" t="inlineStr">
        <is>
          <t>ENC112193</t>
        </is>
      </c>
      <c r="B258" t="inlineStr">
        <is>
          <t>PT13751</t>
        </is>
      </c>
      <c r="C258" s="42" t="n">
        <v>45698</v>
      </c>
      <c r="D258" s="42" t="n">
        <v>45698</v>
      </c>
      <c r="E258" s="38" t="n">
        <v>0</v>
      </c>
      <c r="F258" t="inlineStr">
        <is>
          <t>Emergency</t>
        </is>
      </c>
      <c r="G258" t="inlineStr">
        <is>
          <t>Bluestone Memorial Hospital</t>
        </is>
      </c>
      <c r="H258" t="inlineStr">
        <is>
          <t>Emergency Department</t>
        </is>
      </c>
      <c r="I258" t="inlineStr">
        <is>
          <t>Emergency</t>
        </is>
      </c>
      <c r="J258" t="inlineStr">
        <is>
          <t>Morris, Jordan</t>
        </is>
      </c>
      <c r="K258" t="inlineStr">
        <is>
          <t>J18.9</t>
        </is>
      </c>
      <c r="L258" t="inlineStr">
        <is>
          <t>Respiratory</t>
        </is>
      </c>
      <c r="M258" t="inlineStr">
        <is>
          <t>Silverline Medicare Advantage</t>
        </is>
      </c>
      <c r="N258" t="inlineStr">
        <is>
          <t>Medicare Advantage</t>
        </is>
      </c>
      <c r="O258" s="39" t="n">
        <v>3632.26</v>
      </c>
    </row>
    <row r="259">
      <c r="A259" t="inlineStr">
        <is>
          <t>ENC112199</t>
        </is>
      </c>
      <c r="B259" t="inlineStr">
        <is>
          <t>PT12342</t>
        </is>
      </c>
      <c r="C259" s="42" t="n">
        <v>45698</v>
      </c>
      <c r="D259" s="42" t="n">
        <v>45699</v>
      </c>
      <c r="E259" s="38" t="n">
        <v>1</v>
      </c>
      <c r="F259" t="inlineStr">
        <is>
          <t>Emergency</t>
        </is>
      </c>
      <c r="G259" t="inlineStr">
        <is>
          <t>Ashby Falls Community Hospital</t>
        </is>
      </c>
      <c r="H259" t="inlineStr">
        <is>
          <t>Emergency Department</t>
        </is>
      </c>
      <c r="I259" t="inlineStr">
        <is>
          <t>Emergency</t>
        </is>
      </c>
      <c r="J259" t="inlineStr">
        <is>
          <t>Walker, Margaret</t>
        </is>
      </c>
      <c r="K259" t="inlineStr">
        <is>
          <t>R10.9</t>
        </is>
      </c>
      <c r="L259" t="inlineStr">
        <is>
          <t>Symptoms &amp; Signs</t>
        </is>
      </c>
      <c r="M259" t="inlineStr">
        <is>
          <t>Summit Choice PPO</t>
        </is>
      </c>
      <c r="N259" t="inlineStr">
        <is>
          <t>Commercial</t>
        </is>
      </c>
      <c r="O259" s="39" t="n">
        <v>2694.94</v>
      </c>
    </row>
    <row r="260">
      <c r="A260" t="inlineStr">
        <is>
          <t>ENC112201</t>
        </is>
      </c>
      <c r="B260" t="inlineStr">
        <is>
          <t>PT11983</t>
        </is>
      </c>
      <c r="C260" s="42" t="n">
        <v>45699</v>
      </c>
      <c r="D260" s="42" t="n">
        <v>45701</v>
      </c>
      <c r="E260" s="38" t="n">
        <v>2</v>
      </c>
      <c r="F260" t="inlineStr">
        <is>
          <t>Inpatient</t>
        </is>
      </c>
      <c r="G260" t="inlineStr">
        <is>
          <t>Bluestone Memorial Hospital</t>
        </is>
      </c>
      <c r="H260" t="inlineStr">
        <is>
          <t>Neuroscience &amp; Stroke</t>
        </is>
      </c>
      <c r="I260" t="inlineStr">
        <is>
          <t>Neuroscience</t>
        </is>
      </c>
      <c r="J260" t="inlineStr">
        <is>
          <t>Stone, Frank</t>
        </is>
      </c>
      <c r="K260" t="inlineStr">
        <is>
          <t>I63.9</t>
        </is>
      </c>
      <c r="L260" t="inlineStr">
        <is>
          <t>Circulatory</t>
        </is>
      </c>
      <c r="M260" t="inlineStr">
        <is>
          <t>State Medicaid</t>
        </is>
      </c>
      <c r="N260" t="inlineStr">
        <is>
          <t>Government</t>
        </is>
      </c>
      <c r="O260" s="39" t="n">
        <v>15998.08</v>
      </c>
      <c r="P260" t="inlineStr">
        <is>
          <t>N</t>
        </is>
      </c>
    </row>
    <row r="261">
      <c r="A261" t="inlineStr">
        <is>
          <t>ENC112211</t>
        </is>
      </c>
      <c r="B261" t="inlineStr">
        <is>
          <t>PT12262</t>
        </is>
      </c>
      <c r="C261" s="42" t="n">
        <v>45699</v>
      </c>
      <c r="D261" s="42" t="n">
        <v>45699</v>
      </c>
      <c r="E261" s="38" t="n">
        <v>0</v>
      </c>
      <c r="F261" t="inlineStr">
        <is>
          <t>Outpatient</t>
        </is>
      </c>
      <c r="G261" t="inlineStr">
        <is>
          <t>Bluestone Outpatient Pavilion</t>
        </is>
      </c>
      <c r="H261" t="inlineStr">
        <is>
          <t>Pediatric Clinic</t>
        </is>
      </c>
      <c r="I261" t="inlineStr">
        <is>
          <t>Women &amp; Children</t>
        </is>
      </c>
      <c r="J261" t="inlineStr">
        <is>
          <t>Aguilar, Linh</t>
        </is>
      </c>
      <c r="K261" t="inlineStr">
        <is>
          <t>J45.909</t>
        </is>
      </c>
      <c r="L261" t="inlineStr">
        <is>
          <t>Respiratory</t>
        </is>
      </c>
      <c r="M261" t="inlineStr">
        <is>
          <t>Summit Choice PPO</t>
        </is>
      </c>
      <c r="N261" t="inlineStr">
        <is>
          <t>Commercial</t>
        </is>
      </c>
      <c r="O261" s="39" t="n">
        <v>266.69</v>
      </c>
    </row>
    <row r="262">
      <c r="A262" t="inlineStr">
        <is>
          <t>ENC112215</t>
        </is>
      </c>
      <c r="B262" t="inlineStr">
        <is>
          <t>PT12940</t>
        </is>
      </c>
      <c r="C262" s="42" t="n">
        <v>45699</v>
      </c>
      <c r="D262" s="42" t="n">
        <v>45699</v>
      </c>
      <c r="E262" s="38" t="n">
        <v>0</v>
      </c>
      <c r="F262" t="inlineStr">
        <is>
          <t>Outpatient</t>
        </is>
      </c>
      <c r="G262" t="inlineStr">
        <is>
          <t>Bluestone Outpatient Pavilion</t>
        </is>
      </c>
      <c r="H262" t="inlineStr">
        <is>
          <t>Pediatric Clinic</t>
        </is>
      </c>
      <c r="I262" t="inlineStr">
        <is>
          <t>Women &amp; Children</t>
        </is>
      </c>
      <c r="J262" t="inlineStr">
        <is>
          <t>Brown, Stephanie</t>
        </is>
      </c>
      <c r="K262" t="inlineStr">
        <is>
          <t>H66.90</t>
        </is>
      </c>
      <c r="L262" t="inlineStr">
        <is>
          <t>Ear</t>
        </is>
      </c>
      <c r="M262" t="inlineStr">
        <is>
          <t>Evergreen Mutual Insurance</t>
        </is>
      </c>
      <c r="N262" t="inlineStr">
        <is>
          <t>Commercial</t>
        </is>
      </c>
      <c r="O262" s="39" t="n">
        <v>372.93</v>
      </c>
    </row>
    <row r="263">
      <c r="A263" t="inlineStr">
        <is>
          <t>ENC112223</t>
        </is>
      </c>
      <c r="B263" t="inlineStr">
        <is>
          <t>PT13820</t>
        </is>
      </c>
      <c r="C263" s="42" t="n">
        <v>45699</v>
      </c>
      <c r="D263" s="42" t="n">
        <v>45699</v>
      </c>
      <c r="E263" s="38" t="n">
        <v>0</v>
      </c>
      <c r="F263" t="inlineStr">
        <is>
          <t>Outpatient</t>
        </is>
      </c>
      <c r="G263" t="inlineStr">
        <is>
          <t>Bluestone Outpatient Pavilion</t>
        </is>
      </c>
      <c r="H263" t="inlineStr">
        <is>
          <t>Primary Care Clinic</t>
        </is>
      </c>
      <c r="I263" t="inlineStr">
        <is>
          <t>Ambulatory</t>
        </is>
      </c>
      <c r="J263" t="inlineStr">
        <is>
          <t>Elliott, Douglas</t>
        </is>
      </c>
      <c r="K263" t="inlineStr">
        <is>
          <t>I10</t>
        </is>
      </c>
      <c r="L263" t="inlineStr">
        <is>
          <t>Circulatory</t>
        </is>
      </c>
      <c r="M263" t="inlineStr">
        <is>
          <t>Summit Choice PPO</t>
        </is>
      </c>
      <c r="N263" t="inlineStr">
        <is>
          <t>Commercial</t>
        </is>
      </c>
      <c r="O263" s="39" t="n">
        <v>232.79</v>
      </c>
    </row>
    <row r="264">
      <c r="A264" t="inlineStr">
        <is>
          <t>ENC112225</t>
        </is>
      </c>
      <c r="B264" t="inlineStr">
        <is>
          <t>PT12456</t>
        </is>
      </c>
      <c r="C264" s="42" t="n">
        <v>45699</v>
      </c>
      <c r="D264" s="42" t="n">
        <v>45715</v>
      </c>
      <c r="E264" s="38" t="n">
        <v>16</v>
      </c>
      <c r="F264" t="inlineStr">
        <is>
          <t>Inpatient</t>
        </is>
      </c>
      <c r="G264" t="inlineStr">
        <is>
          <t>Cedar Ridge Medical Center</t>
        </is>
      </c>
      <c r="H264" t="inlineStr">
        <is>
          <t>Intensive Care Unit</t>
        </is>
      </c>
      <c r="I264" t="inlineStr">
        <is>
          <t>Critical Care</t>
        </is>
      </c>
      <c r="J264" t="inlineStr">
        <is>
          <t>Abbott, Leila</t>
        </is>
      </c>
      <c r="K264" t="inlineStr">
        <is>
          <t>A41.9</t>
        </is>
      </c>
      <c r="L264" t="inlineStr">
        <is>
          <t>Infectious</t>
        </is>
      </c>
      <c r="M264" t="inlineStr">
        <is>
          <t>Keystone Health Partners</t>
        </is>
      </c>
      <c r="N264" t="inlineStr">
        <is>
          <t>Commercial</t>
        </is>
      </c>
      <c r="O264" s="39" t="n">
        <v>165467.2</v>
      </c>
      <c r="P264" t="inlineStr">
        <is>
          <t>N</t>
        </is>
      </c>
    </row>
    <row r="265">
      <c r="A265" t="inlineStr">
        <is>
          <t>ENC112228</t>
        </is>
      </c>
      <c r="B265" t="inlineStr">
        <is>
          <t>PT13266</t>
        </is>
      </c>
      <c r="C265" s="42" t="n">
        <v>45699</v>
      </c>
      <c r="D265" s="42" t="n">
        <v>45699</v>
      </c>
      <c r="E265" s="38" t="n">
        <v>0</v>
      </c>
      <c r="F265" t="inlineStr">
        <is>
          <t>Outpatient</t>
        </is>
      </c>
      <c r="G265" t="inlineStr">
        <is>
          <t>Bluestone Outpatient Pavilion</t>
        </is>
      </c>
      <c r="H265" t="inlineStr">
        <is>
          <t>Endocrinology &amp; Diabetes Clinic</t>
        </is>
      </c>
      <c r="I265" t="inlineStr">
        <is>
          <t>Ambulatory</t>
        </is>
      </c>
      <c r="J265" t="inlineStr">
        <is>
          <t>Rivera, Scott</t>
        </is>
      </c>
      <c r="K265" t="inlineStr">
        <is>
          <t>E11.9</t>
        </is>
      </c>
      <c r="L265" t="inlineStr">
        <is>
          <t>Endocrine</t>
        </is>
      </c>
      <c r="M265" t="inlineStr">
        <is>
          <t>Medicare</t>
        </is>
      </c>
      <c r="N265" t="inlineStr">
        <is>
          <t>Government</t>
        </is>
      </c>
      <c r="O265" s="39" t="n">
        <v>327.89</v>
      </c>
    </row>
    <row r="266">
      <c r="A266" t="inlineStr">
        <is>
          <t>ENC112241</t>
        </is>
      </c>
      <c r="B266" t="inlineStr">
        <is>
          <t>PT11390</t>
        </is>
      </c>
      <c r="C266" s="42" t="n">
        <v>45699</v>
      </c>
      <c r="D266" s="42" t="n">
        <v>45699</v>
      </c>
      <c r="E266" s="38" t="n">
        <v>0</v>
      </c>
      <c r="F266" t="inlineStr">
        <is>
          <t>Outpatient</t>
        </is>
      </c>
      <c r="G266" t="inlineStr">
        <is>
          <t>Bluestone Outpatient Pavilion</t>
        </is>
      </c>
      <c r="H266" t="inlineStr">
        <is>
          <t>Primary Care Clinic</t>
        </is>
      </c>
      <c r="I266" t="inlineStr">
        <is>
          <t>Ambulatory</t>
        </is>
      </c>
      <c r="J266" t="inlineStr">
        <is>
          <t>Nguyen, Isabella</t>
        </is>
      </c>
      <c r="K266" t="inlineStr">
        <is>
          <t>J06.9</t>
        </is>
      </c>
      <c r="L266" t="inlineStr">
        <is>
          <t>Respiratory</t>
        </is>
      </c>
      <c r="M266" t="inlineStr">
        <is>
          <t>Medicare</t>
        </is>
      </c>
      <c r="N266" t="inlineStr">
        <is>
          <t>Government</t>
        </is>
      </c>
      <c r="O266" s="39" t="n">
        <v>279.15</v>
      </c>
    </row>
    <row r="267">
      <c r="A267" t="inlineStr">
        <is>
          <t>ENC112245</t>
        </is>
      </c>
      <c r="B267" t="inlineStr">
        <is>
          <t>PT10384</t>
        </is>
      </c>
      <c r="C267" s="42" t="n">
        <v>45699</v>
      </c>
      <c r="D267" s="42" t="n">
        <v>45699</v>
      </c>
      <c r="E267" s="38" t="n">
        <v>0</v>
      </c>
      <c r="F267" t="inlineStr">
        <is>
          <t>Emergency</t>
        </is>
      </c>
      <c r="G267" t="inlineStr">
        <is>
          <t>Bluestone Memorial Hospital</t>
        </is>
      </c>
      <c r="H267" t="inlineStr">
        <is>
          <t>Emergency Department</t>
        </is>
      </c>
      <c r="I267" t="inlineStr">
        <is>
          <t>Emergency</t>
        </is>
      </c>
      <c r="J267" t="inlineStr">
        <is>
          <t>Elliott, Jesse</t>
        </is>
      </c>
      <c r="K267" t="inlineStr">
        <is>
          <t>M54.50</t>
        </is>
      </c>
      <c r="L267" t="inlineStr">
        <is>
          <t>Musculoskeletal</t>
        </is>
      </c>
      <c r="M267" t="inlineStr">
        <is>
          <t>State Medicaid</t>
        </is>
      </c>
      <c r="N267" t="inlineStr">
        <is>
          <t>Government</t>
        </is>
      </c>
      <c r="O267" s="39" t="n">
        <v>1304.75</v>
      </c>
    </row>
    <row r="268">
      <c r="A268" t="inlineStr">
        <is>
          <t>ENC112250</t>
        </is>
      </c>
      <c r="B268" t="inlineStr">
        <is>
          <t>PT11260</t>
        </is>
      </c>
      <c r="C268" s="42" t="n">
        <v>45700</v>
      </c>
      <c r="D268" s="42" t="n">
        <v>45700</v>
      </c>
      <c r="E268" s="38" t="n">
        <v>0</v>
      </c>
      <c r="F268" t="inlineStr">
        <is>
          <t>Emergency</t>
        </is>
      </c>
      <c r="G268" t="inlineStr">
        <is>
          <t>Cedar Ridge Medical Center</t>
        </is>
      </c>
      <c r="H268" t="inlineStr">
        <is>
          <t>Emergency Department</t>
        </is>
      </c>
      <c r="I268" t="inlineStr">
        <is>
          <t>Emergency</t>
        </is>
      </c>
      <c r="J268" t="inlineStr">
        <is>
          <t>Andrews, Michael</t>
        </is>
      </c>
      <c r="K268" t="inlineStr">
        <is>
          <t>R10.9</t>
        </is>
      </c>
      <c r="L268" t="inlineStr">
        <is>
          <t>Symptoms &amp; Signs</t>
        </is>
      </c>
      <c r="M268" t="inlineStr">
        <is>
          <t>State Medicaid</t>
        </is>
      </c>
      <c r="N268" t="inlineStr">
        <is>
          <t>Government</t>
        </is>
      </c>
      <c r="O268" s="39" t="n">
        <v>3564.7</v>
      </c>
    </row>
    <row r="269">
      <c r="A269" t="inlineStr">
        <is>
          <t>ENC112273</t>
        </is>
      </c>
      <c r="B269" t="inlineStr">
        <is>
          <t>PT10406</t>
        </is>
      </c>
      <c r="C269" s="42" t="n">
        <v>45700</v>
      </c>
      <c r="D269" s="42" t="n">
        <v>45700</v>
      </c>
      <c r="E269" s="38" t="n">
        <v>0</v>
      </c>
      <c r="F269" t="inlineStr">
        <is>
          <t>Outpatient</t>
        </is>
      </c>
      <c r="G269" t="inlineStr">
        <is>
          <t>Bluestone Outpatient Pavilion</t>
        </is>
      </c>
      <c r="H269" t="inlineStr">
        <is>
          <t>Endocrinology &amp; Diabetes Clinic</t>
        </is>
      </c>
      <c r="I269" t="inlineStr">
        <is>
          <t>Ambulatory</t>
        </is>
      </c>
      <c r="J269" t="inlineStr">
        <is>
          <t>Rivera, Scott</t>
        </is>
      </c>
      <c r="K269" t="inlineStr">
        <is>
          <t>E11.9</t>
        </is>
      </c>
      <c r="L269" t="inlineStr">
        <is>
          <t>Endocrine</t>
        </is>
      </c>
      <c r="M269" t="inlineStr">
        <is>
          <t>Evergreen Mutual Insurance</t>
        </is>
      </c>
      <c r="N269" t="inlineStr">
        <is>
          <t>Commercial</t>
        </is>
      </c>
      <c r="O269" s="39" t="n">
        <v>194.74</v>
      </c>
    </row>
    <row r="270">
      <c r="A270" t="inlineStr">
        <is>
          <t>ENC112276</t>
        </is>
      </c>
      <c r="B270" t="inlineStr">
        <is>
          <t>PT13517</t>
        </is>
      </c>
      <c r="C270" s="42" t="n">
        <v>45700</v>
      </c>
      <c r="D270" s="42" t="n">
        <v>45701</v>
      </c>
      <c r="E270" s="38" t="n">
        <v>1</v>
      </c>
      <c r="F270" t="inlineStr">
        <is>
          <t>Observation</t>
        </is>
      </c>
      <c r="G270" t="inlineStr">
        <is>
          <t>Bluestone Memorial Hospital</t>
        </is>
      </c>
      <c r="H270" t="inlineStr">
        <is>
          <t>Observation Unit</t>
        </is>
      </c>
      <c r="I270" t="inlineStr">
        <is>
          <t>Medicine</t>
        </is>
      </c>
      <c r="J270" t="inlineStr">
        <is>
          <t>Cruz, Roger</t>
        </is>
      </c>
      <c r="K270" t="inlineStr">
        <is>
          <t>K92.2</t>
        </is>
      </c>
      <c r="L270" t="inlineStr">
        <is>
          <t>Digestive</t>
        </is>
      </c>
      <c r="M270" t="inlineStr">
        <is>
          <t>State Medicaid</t>
        </is>
      </c>
      <c r="N270" t="inlineStr">
        <is>
          <t>Government</t>
        </is>
      </c>
      <c r="O270" s="39" t="n">
        <v>7176.34</v>
      </c>
    </row>
    <row r="271">
      <c r="A271" t="inlineStr">
        <is>
          <t>ENC112280</t>
        </is>
      </c>
      <c r="B271" t="inlineStr">
        <is>
          <t>PT12355</t>
        </is>
      </c>
      <c r="C271" s="42" t="n">
        <v>45701</v>
      </c>
      <c r="D271" s="42" t="n">
        <v>45705</v>
      </c>
      <c r="E271" s="38" t="n">
        <v>4</v>
      </c>
      <c r="F271" t="inlineStr">
        <is>
          <t>Inpatient</t>
        </is>
      </c>
      <c r="G271" t="inlineStr">
        <is>
          <t>Cedar Ridge Medical Center</t>
        </is>
      </c>
      <c r="H271" t="inlineStr">
        <is>
          <t>Medical-Surgical</t>
        </is>
      </c>
      <c r="I271" t="inlineStr">
        <is>
          <t>Medicine</t>
        </is>
      </c>
      <c r="J271" t="inlineStr">
        <is>
          <t>Peters, Frank</t>
        </is>
      </c>
      <c r="K271" t="inlineStr">
        <is>
          <t>J44.1</t>
        </is>
      </c>
      <c r="L271" t="inlineStr">
        <is>
          <t>Respiratory</t>
        </is>
      </c>
      <c r="M271" t="inlineStr">
        <is>
          <t>Medicare</t>
        </is>
      </c>
      <c r="N271" t="inlineStr">
        <is>
          <t>Government</t>
        </is>
      </c>
      <c r="O271" s="39" t="n">
        <v>16784.24</v>
      </c>
      <c r="P271" t="inlineStr">
        <is>
          <t>N</t>
        </is>
      </c>
    </row>
    <row r="272">
      <c r="A272" t="inlineStr">
        <is>
          <t>ENC112282</t>
        </is>
      </c>
      <c r="B272" t="inlineStr">
        <is>
          <t>PT10533</t>
        </is>
      </c>
      <c r="C272" s="42" t="n">
        <v>45701</v>
      </c>
      <c r="D272" s="42" t="n">
        <v>45703</v>
      </c>
      <c r="E272" s="38" t="n">
        <v>2</v>
      </c>
      <c r="F272" t="inlineStr">
        <is>
          <t>Inpatient</t>
        </is>
      </c>
      <c r="G272" t="inlineStr">
        <is>
          <t>Bluestone Memorial Hospital</t>
        </is>
      </c>
      <c r="H272" t="inlineStr">
        <is>
          <t>Medical-Surgical 5 East</t>
        </is>
      </c>
      <c r="I272" t="inlineStr">
        <is>
          <t>Medicine</t>
        </is>
      </c>
      <c r="J272" t="inlineStr">
        <is>
          <t>Price, Juan</t>
        </is>
      </c>
      <c r="K272" t="inlineStr">
        <is>
          <t>J18.9</t>
        </is>
      </c>
      <c r="L272" t="inlineStr">
        <is>
          <t>Respiratory</t>
        </is>
      </c>
      <c r="M272" t="inlineStr">
        <is>
          <t>Silverline Medicare Advantage</t>
        </is>
      </c>
      <c r="N272" t="inlineStr">
        <is>
          <t>Medicare Advantage</t>
        </is>
      </c>
      <c r="O272" s="39" t="n">
        <v>17637.71</v>
      </c>
      <c r="P272" t="inlineStr">
        <is>
          <t>N</t>
        </is>
      </c>
    </row>
    <row r="273">
      <c r="A273" t="inlineStr">
        <is>
          <t>ENC112292</t>
        </is>
      </c>
      <c r="B273" t="inlineStr">
        <is>
          <t>PT11028</t>
        </is>
      </c>
      <c r="C273" s="42" t="n">
        <v>45701</v>
      </c>
      <c r="D273" s="42" t="n">
        <v>45701</v>
      </c>
      <c r="E273" s="38" t="n">
        <v>0</v>
      </c>
      <c r="F273" t="inlineStr">
        <is>
          <t>Outpatient</t>
        </is>
      </c>
      <c r="G273" t="inlineStr">
        <is>
          <t>Bluestone Outpatient Pavilion</t>
        </is>
      </c>
      <c r="H273" t="inlineStr">
        <is>
          <t>Primary Care Clinic</t>
        </is>
      </c>
      <c r="I273" t="inlineStr">
        <is>
          <t>Ambulatory</t>
        </is>
      </c>
      <c r="J273" t="inlineStr">
        <is>
          <t>Myers, Lucia</t>
        </is>
      </c>
      <c r="K273" t="inlineStr">
        <is>
          <t>Z23</t>
        </is>
      </c>
      <c r="L273" t="inlineStr">
        <is>
          <t>Factors Influencing Health</t>
        </is>
      </c>
      <c r="M273" t="inlineStr">
        <is>
          <t>Self-Pay</t>
        </is>
      </c>
      <c r="N273" t="inlineStr">
        <is>
          <t>Self-Pay</t>
        </is>
      </c>
      <c r="O273" s="39" t="n">
        <v>123.51</v>
      </c>
    </row>
    <row r="274">
      <c r="A274" t="inlineStr">
        <is>
          <t>ENC112294</t>
        </is>
      </c>
      <c r="B274" t="inlineStr">
        <is>
          <t>PT11582</t>
        </is>
      </c>
      <c r="C274" s="42" t="n">
        <v>45701</v>
      </c>
      <c r="D274" s="42" t="n">
        <v>45701</v>
      </c>
      <c r="E274" s="38" t="n">
        <v>0</v>
      </c>
      <c r="F274" t="inlineStr">
        <is>
          <t>Outpatient</t>
        </is>
      </c>
      <c r="G274" t="inlineStr">
        <is>
          <t>Bluestone Outpatient Pavilion</t>
        </is>
      </c>
      <c r="H274" t="inlineStr">
        <is>
          <t>Orthopedic Clinic</t>
        </is>
      </c>
      <c r="I274" t="inlineStr">
        <is>
          <t>Orthopedics</t>
        </is>
      </c>
      <c r="J274" t="inlineStr">
        <is>
          <t>Hernandez, Kyle</t>
        </is>
      </c>
      <c r="K274" t="inlineStr">
        <is>
          <t>M17.11</t>
        </is>
      </c>
      <c r="L274" t="inlineStr">
        <is>
          <t>Musculoskeletal</t>
        </is>
      </c>
      <c r="M274" t="inlineStr">
        <is>
          <t>Silverline Medicare Advantage</t>
        </is>
      </c>
      <c r="N274" t="inlineStr">
        <is>
          <t>Medicare Advantage</t>
        </is>
      </c>
      <c r="O274" s="39" t="n">
        <v>495.75</v>
      </c>
    </row>
    <row r="275">
      <c r="A275" t="inlineStr">
        <is>
          <t>ENC112300</t>
        </is>
      </c>
      <c r="B275" t="inlineStr">
        <is>
          <t>PT11706</t>
        </is>
      </c>
      <c r="C275" s="42" t="n">
        <v>45701</v>
      </c>
      <c r="D275" s="42" t="n">
        <v>45701</v>
      </c>
      <c r="E275" s="38" t="n">
        <v>0</v>
      </c>
      <c r="F275" t="inlineStr">
        <is>
          <t>Outpatient</t>
        </is>
      </c>
      <c r="G275" t="inlineStr">
        <is>
          <t>Bluestone Outpatient Pavilion</t>
        </is>
      </c>
      <c r="H275" t="inlineStr">
        <is>
          <t>Primary Care Clinic</t>
        </is>
      </c>
      <c r="I275" t="inlineStr">
        <is>
          <t>Ambulatory</t>
        </is>
      </c>
      <c r="J275" t="inlineStr">
        <is>
          <t>Osei, Julie</t>
        </is>
      </c>
      <c r="K275" t="inlineStr">
        <is>
          <t>I10</t>
        </is>
      </c>
      <c r="L275" t="inlineStr">
        <is>
          <t>Circulatory</t>
        </is>
      </c>
      <c r="M275" t="inlineStr">
        <is>
          <t>Silverline Medicare Advantage</t>
        </is>
      </c>
      <c r="N275" t="inlineStr">
        <is>
          <t>Medicare Advantage</t>
        </is>
      </c>
      <c r="O275" s="39" t="n">
        <v>188.57</v>
      </c>
    </row>
    <row r="276">
      <c r="A276" t="inlineStr">
        <is>
          <t>ENC112304</t>
        </is>
      </c>
      <c r="B276" t="inlineStr">
        <is>
          <t>PT10882</t>
        </is>
      </c>
      <c r="C276" s="42" t="n">
        <v>45701</v>
      </c>
      <c r="D276" s="42" t="n">
        <v>45701</v>
      </c>
      <c r="E276" s="38" t="n">
        <v>0</v>
      </c>
      <c r="F276" t="inlineStr">
        <is>
          <t>Outpatient</t>
        </is>
      </c>
      <c r="G276" t="inlineStr">
        <is>
          <t>Bluestone Outpatient Pavilion</t>
        </is>
      </c>
      <c r="H276" t="inlineStr">
        <is>
          <t>Primary Care Clinic</t>
        </is>
      </c>
      <c r="I276" t="inlineStr">
        <is>
          <t>Ambulatory</t>
        </is>
      </c>
      <c r="J276" t="inlineStr">
        <is>
          <t>Yilmaz, Richard</t>
        </is>
      </c>
      <c r="K276" t="inlineStr">
        <is>
          <t>Z00.00</t>
        </is>
      </c>
      <c r="L276" t="inlineStr">
        <is>
          <t>Factors Influencing Health</t>
        </is>
      </c>
      <c r="M276" t="inlineStr">
        <is>
          <t>Keystone Health Partners</t>
        </is>
      </c>
      <c r="N276" t="inlineStr">
        <is>
          <t>Commercial</t>
        </is>
      </c>
      <c r="O276" s="39" t="n">
        <v>455.73</v>
      </c>
    </row>
    <row r="277">
      <c r="A277" t="inlineStr">
        <is>
          <t>ENC112295</t>
        </is>
      </c>
      <c r="B277" t="inlineStr">
        <is>
          <t>PT12626</t>
        </is>
      </c>
      <c r="C277" s="42" t="n">
        <v>45701</v>
      </c>
      <c r="D277" s="42" t="n">
        <v>45711</v>
      </c>
      <c r="E277" s="38" t="n">
        <v>10</v>
      </c>
      <c r="F277" t="inlineStr">
        <is>
          <t>Inpatient</t>
        </is>
      </c>
      <c r="G277" t="inlineStr">
        <is>
          <t>Bluestone Memorial Hospital</t>
        </is>
      </c>
      <c r="H277" t="inlineStr">
        <is>
          <t>Medical-Surgical 5 East</t>
        </is>
      </c>
      <c r="I277" t="inlineStr">
        <is>
          <t>Medicine</t>
        </is>
      </c>
      <c r="J277" t="inlineStr">
        <is>
          <t>Price, Juan</t>
        </is>
      </c>
      <c r="K277" t="inlineStr">
        <is>
          <t>U07.1</t>
        </is>
      </c>
      <c r="L277" t="inlineStr">
        <is>
          <t>Respiratory</t>
        </is>
      </c>
      <c r="M277" t="inlineStr">
        <is>
          <t>State Medicaid</t>
        </is>
      </c>
      <c r="N277" t="inlineStr">
        <is>
          <t>Government</t>
        </is>
      </c>
      <c r="O277" s="39" t="n">
        <v>37227.9</v>
      </c>
      <c r="P277" t="inlineStr">
        <is>
          <t>N</t>
        </is>
      </c>
    </row>
    <row r="278">
      <c r="A278" t="inlineStr">
        <is>
          <t>ENC112311</t>
        </is>
      </c>
      <c r="B278" t="inlineStr">
        <is>
          <t>PT12238</t>
        </is>
      </c>
      <c r="C278" s="42" t="n">
        <v>45701</v>
      </c>
      <c r="D278" s="42" t="n">
        <v>45701</v>
      </c>
      <c r="E278" s="38" t="n">
        <v>0</v>
      </c>
      <c r="F278" t="inlineStr">
        <is>
          <t>Outpatient</t>
        </is>
      </c>
      <c r="G278" t="inlineStr">
        <is>
          <t>Bluestone Outpatient Pavilion</t>
        </is>
      </c>
      <c r="H278" t="inlineStr">
        <is>
          <t>Primary Care Clinic</t>
        </is>
      </c>
      <c r="I278" t="inlineStr">
        <is>
          <t>Ambulatory</t>
        </is>
      </c>
      <c r="J278" t="inlineStr">
        <is>
          <t>Sullivan, Brenda</t>
        </is>
      </c>
      <c r="K278" t="inlineStr">
        <is>
          <t>F41.9</t>
        </is>
      </c>
      <c r="L278" t="inlineStr">
        <is>
          <t>Mental &amp; Behavioral</t>
        </is>
      </c>
      <c r="M278" t="inlineStr">
        <is>
          <t>Self-Pay</t>
        </is>
      </c>
      <c r="N278" t="inlineStr">
        <is>
          <t>Self-Pay</t>
        </is>
      </c>
      <c r="O278" s="39" t="n">
        <v>358.23</v>
      </c>
    </row>
    <row r="279">
      <c r="A279" t="inlineStr">
        <is>
          <t>ENC112312</t>
        </is>
      </c>
      <c r="B279" t="inlineStr">
        <is>
          <t>PT13097</t>
        </is>
      </c>
      <c r="C279" s="42" t="n">
        <v>45701</v>
      </c>
      <c r="D279" s="42" t="n">
        <v>45701</v>
      </c>
      <c r="E279" s="38" t="n">
        <v>0</v>
      </c>
      <c r="F279" t="inlineStr">
        <is>
          <t>Outpatient</t>
        </is>
      </c>
      <c r="G279" t="inlineStr">
        <is>
          <t>Bluestone Outpatient Pavilion</t>
        </is>
      </c>
      <c r="H279" t="inlineStr">
        <is>
          <t>Orthopedic Clinic</t>
        </is>
      </c>
      <c r="I279" t="inlineStr">
        <is>
          <t>Orthopedics</t>
        </is>
      </c>
      <c r="J279" t="inlineStr">
        <is>
          <t>Wagner, Carlos</t>
        </is>
      </c>
      <c r="K279" t="inlineStr">
        <is>
          <t>M16.11</t>
        </is>
      </c>
      <c r="L279" t="inlineStr">
        <is>
          <t>Musculoskeletal</t>
        </is>
      </c>
      <c r="M279" t="inlineStr">
        <is>
          <t>Medicare</t>
        </is>
      </c>
      <c r="N279" t="inlineStr">
        <is>
          <t>Government</t>
        </is>
      </c>
      <c r="O279" s="39" t="n">
        <v>415.42</v>
      </c>
    </row>
    <row r="280">
      <c r="A280" t="inlineStr">
        <is>
          <t>ENC112323</t>
        </is>
      </c>
      <c r="B280" t="inlineStr">
        <is>
          <t>PT12973</t>
        </is>
      </c>
      <c r="C280" s="42" t="n">
        <v>45701</v>
      </c>
      <c r="D280" s="42" t="n">
        <v>45706</v>
      </c>
      <c r="E280" s="38" t="n">
        <v>5</v>
      </c>
      <c r="F280" t="inlineStr">
        <is>
          <t>Inpatient</t>
        </is>
      </c>
      <c r="G280" t="inlineStr">
        <is>
          <t>Bluestone Memorial Hospital</t>
        </is>
      </c>
      <c r="H280" t="inlineStr">
        <is>
          <t>Oncology</t>
        </is>
      </c>
      <c r="I280" t="inlineStr">
        <is>
          <t>Oncology</t>
        </is>
      </c>
      <c r="J280" t="inlineStr">
        <is>
          <t>Hughes, Larry</t>
        </is>
      </c>
      <c r="K280" t="inlineStr">
        <is>
          <t>C34.90</t>
        </is>
      </c>
      <c r="L280" t="inlineStr">
        <is>
          <t>Neoplasms</t>
        </is>
      </c>
      <c r="M280" t="inlineStr">
        <is>
          <t>Silverline Medicare Advantage</t>
        </is>
      </c>
      <c r="N280" t="inlineStr">
        <is>
          <t>Medicare Advantage</t>
        </is>
      </c>
      <c r="O280" s="39" t="n">
        <v>27933.57</v>
      </c>
      <c r="P280" t="inlineStr">
        <is>
          <t>N</t>
        </is>
      </c>
    </row>
    <row r="281">
      <c r="A281" t="inlineStr">
        <is>
          <t>ENC112328</t>
        </is>
      </c>
      <c r="B281" t="inlineStr">
        <is>
          <t>PT10821</t>
        </is>
      </c>
      <c r="C281" s="42" t="n">
        <v>45701</v>
      </c>
      <c r="D281" s="42" t="n">
        <v>45702</v>
      </c>
      <c r="E281" s="38" t="n">
        <v>1</v>
      </c>
      <c r="F281" t="inlineStr">
        <is>
          <t>Emergency</t>
        </is>
      </c>
      <c r="G281" t="inlineStr">
        <is>
          <t>Bluestone Memorial Hospital</t>
        </is>
      </c>
      <c r="H281" t="inlineStr">
        <is>
          <t>Emergency Department</t>
        </is>
      </c>
      <c r="I281" t="inlineStr">
        <is>
          <t>Emergency</t>
        </is>
      </c>
      <c r="J281" t="inlineStr">
        <is>
          <t>Mendoza, Alexander</t>
        </is>
      </c>
      <c r="K281" t="inlineStr">
        <is>
          <t>F32.9</t>
        </is>
      </c>
      <c r="L281" t="inlineStr">
        <is>
          <t>Mental &amp; Behavioral</t>
        </is>
      </c>
      <c r="M281" t="inlineStr">
        <is>
          <t>Keystone Health Partners</t>
        </is>
      </c>
      <c r="N281" t="inlineStr">
        <is>
          <t>Commercial</t>
        </is>
      </c>
      <c r="O281" s="39" t="n">
        <v>4812.76</v>
      </c>
    </row>
    <row r="282">
      <c r="A282" t="inlineStr">
        <is>
          <t>ENC112329</t>
        </is>
      </c>
      <c r="B282" t="inlineStr">
        <is>
          <t>PT13849</t>
        </is>
      </c>
      <c r="C282" s="42" t="n">
        <v>45702</v>
      </c>
      <c r="D282" s="42" t="n">
        <v>45702</v>
      </c>
      <c r="E282" s="38" t="n">
        <v>0</v>
      </c>
      <c r="F282" t="inlineStr">
        <is>
          <t>Emergency</t>
        </is>
      </c>
      <c r="G282" t="inlineStr">
        <is>
          <t>Bluestone Memorial Hospital</t>
        </is>
      </c>
      <c r="H282" t="inlineStr">
        <is>
          <t>Emergency Department</t>
        </is>
      </c>
      <c r="I282" t="inlineStr">
        <is>
          <t>Emergency</t>
        </is>
      </c>
      <c r="J282" t="inlineStr">
        <is>
          <t>Ferguson, Roy</t>
        </is>
      </c>
      <c r="K282" t="inlineStr">
        <is>
          <t>F41.9</t>
        </is>
      </c>
      <c r="L282" t="inlineStr">
        <is>
          <t>Mental &amp; Behavioral</t>
        </is>
      </c>
      <c r="M282" t="inlineStr">
        <is>
          <t>State Medicaid</t>
        </is>
      </c>
      <c r="N282" t="inlineStr">
        <is>
          <t>Government</t>
        </is>
      </c>
      <c r="O282" s="39" t="n">
        <v>612.6</v>
      </c>
    </row>
    <row r="283">
      <c r="A283" t="inlineStr">
        <is>
          <t>ENC112335</t>
        </is>
      </c>
      <c r="B283" t="inlineStr">
        <is>
          <t>PT10397</t>
        </is>
      </c>
      <c r="C283" s="42" t="n">
        <v>45702</v>
      </c>
      <c r="D283" s="42" t="n">
        <v>45702</v>
      </c>
      <c r="E283" s="38" t="n">
        <v>0</v>
      </c>
      <c r="F283" t="inlineStr">
        <is>
          <t>Emergency</t>
        </is>
      </c>
      <c r="G283" t="inlineStr">
        <is>
          <t>Bluestone Memorial Hospital</t>
        </is>
      </c>
      <c r="H283" t="inlineStr">
        <is>
          <t>Emergency Department</t>
        </is>
      </c>
      <c r="I283" t="inlineStr">
        <is>
          <t>Emergency</t>
        </is>
      </c>
      <c r="J283" t="inlineStr">
        <is>
          <t>Morris, Jordan</t>
        </is>
      </c>
      <c r="K283" t="inlineStr">
        <is>
          <t>R07.9</t>
        </is>
      </c>
      <c r="L283" t="inlineStr">
        <is>
          <t>Symptoms &amp; Signs</t>
        </is>
      </c>
      <c r="M283" t="inlineStr">
        <is>
          <t>Evergreen Mutual Insurance</t>
        </is>
      </c>
      <c r="N283" t="inlineStr">
        <is>
          <t>Commercial</t>
        </is>
      </c>
      <c r="O283" s="39" t="n">
        <v>3347.01</v>
      </c>
    </row>
    <row r="284">
      <c r="A284" t="inlineStr">
        <is>
          <t>ENC112342</t>
        </is>
      </c>
      <c r="B284" t="inlineStr">
        <is>
          <t>PT13407</t>
        </is>
      </c>
      <c r="C284" s="42" t="n">
        <v>45702</v>
      </c>
      <c r="D284" s="42" t="n">
        <v>45711</v>
      </c>
      <c r="E284" s="38" t="n">
        <v>9</v>
      </c>
      <c r="F284" t="inlineStr">
        <is>
          <t>Inpatient</t>
        </is>
      </c>
      <c r="G284" t="inlineStr">
        <is>
          <t>Ashby Falls Community Hospital</t>
        </is>
      </c>
      <c r="H284" t="inlineStr">
        <is>
          <t>Medical-Surgical</t>
        </is>
      </c>
      <c r="I284" t="inlineStr">
        <is>
          <t>Medicine</t>
        </is>
      </c>
      <c r="J284" t="inlineStr">
        <is>
          <t>Perkins, Stephen</t>
        </is>
      </c>
      <c r="K284" t="inlineStr">
        <is>
          <t>K56.609</t>
        </is>
      </c>
      <c r="L284" t="inlineStr">
        <is>
          <t>Digestive</t>
        </is>
      </c>
      <c r="M284" t="inlineStr">
        <is>
          <t>Medicare</t>
        </is>
      </c>
      <c r="N284" t="inlineStr">
        <is>
          <t>Government</t>
        </is>
      </c>
      <c r="O284" s="39" t="n">
        <v>42275.85</v>
      </c>
      <c r="P284" t="inlineStr">
        <is>
          <t>N</t>
        </is>
      </c>
    </row>
    <row r="285">
      <c r="A285" t="inlineStr">
        <is>
          <t>ENC112339</t>
        </is>
      </c>
      <c r="B285" t="inlineStr">
        <is>
          <t>PT11659</t>
        </is>
      </c>
      <c r="C285" s="42" t="n">
        <v>45702</v>
      </c>
      <c r="D285" s="42" t="n">
        <v>45706</v>
      </c>
      <c r="E285" s="38" t="n">
        <v>4</v>
      </c>
      <c r="F285" t="inlineStr">
        <is>
          <t>Inpatient</t>
        </is>
      </c>
      <c r="G285" t="inlineStr">
        <is>
          <t>Cedar Ridge Medical Center</t>
        </is>
      </c>
      <c r="H285" t="inlineStr">
        <is>
          <t>Intensive Care Unit</t>
        </is>
      </c>
      <c r="I285" t="inlineStr">
        <is>
          <t>Critical Care</t>
        </is>
      </c>
      <c r="J285" t="inlineStr">
        <is>
          <t>Guzman, Beverly</t>
        </is>
      </c>
      <c r="K285" t="inlineStr">
        <is>
          <t>A41.9</t>
        </is>
      </c>
      <c r="L285" t="inlineStr">
        <is>
          <t>Infectious</t>
        </is>
      </c>
      <c r="M285" t="inlineStr">
        <is>
          <t>State Medicaid</t>
        </is>
      </c>
      <c r="N285" t="inlineStr">
        <is>
          <t>Government</t>
        </is>
      </c>
      <c r="O285" s="39" t="n">
        <v>41912.67</v>
      </c>
      <c r="P285" t="inlineStr">
        <is>
          <t>N</t>
        </is>
      </c>
    </row>
    <row r="286">
      <c r="A286" t="inlineStr">
        <is>
          <t>ENC112362</t>
        </is>
      </c>
      <c r="B286" t="inlineStr">
        <is>
          <t>PT11793</t>
        </is>
      </c>
      <c r="C286" s="42" t="n">
        <v>45703</v>
      </c>
      <c r="D286" s="42" t="n">
        <v>45708</v>
      </c>
      <c r="E286" s="38" t="n">
        <v>5</v>
      </c>
      <c r="F286" t="inlineStr">
        <is>
          <t>Inpatient</t>
        </is>
      </c>
      <c r="G286" t="inlineStr">
        <is>
          <t>Bluestone Memorial Hospital</t>
        </is>
      </c>
      <c r="H286" t="inlineStr">
        <is>
          <t>Medical-Surgical 5 East</t>
        </is>
      </c>
      <c r="I286" t="inlineStr">
        <is>
          <t>Medicine</t>
        </is>
      </c>
      <c r="J286" t="inlineStr">
        <is>
          <t>Yilmaz, Joe</t>
        </is>
      </c>
      <c r="K286" t="inlineStr">
        <is>
          <t>U07.1</t>
        </is>
      </c>
      <c r="L286" t="inlineStr">
        <is>
          <t>Respiratory</t>
        </is>
      </c>
      <c r="M286" t="inlineStr">
        <is>
          <t>Keystone Health Partners</t>
        </is>
      </c>
      <c r="N286" t="inlineStr">
        <is>
          <t>Commercial</t>
        </is>
      </c>
      <c r="O286" s="39" t="n">
        <v>19694.57</v>
      </c>
      <c r="P286" t="inlineStr">
        <is>
          <t>Y</t>
        </is>
      </c>
    </row>
    <row r="287">
      <c r="A287" t="inlineStr">
        <is>
          <t>ENC112363</t>
        </is>
      </c>
      <c r="B287" t="inlineStr">
        <is>
          <t>PT10169</t>
        </is>
      </c>
      <c r="C287" s="42" t="n">
        <v>45703</v>
      </c>
      <c r="D287" s="42" t="n">
        <v>45712</v>
      </c>
      <c r="E287" s="38" t="n">
        <v>9</v>
      </c>
      <c r="F287" t="inlineStr">
        <is>
          <t>Inpatient</t>
        </is>
      </c>
      <c r="G287" t="inlineStr">
        <is>
          <t>Ashby Falls Community Hospital</t>
        </is>
      </c>
      <c r="H287" t="inlineStr">
        <is>
          <t>Medical-Surgical</t>
        </is>
      </c>
      <c r="I287" t="inlineStr">
        <is>
          <t>Medicine</t>
        </is>
      </c>
      <c r="J287" t="inlineStr">
        <is>
          <t>Carroll, Philip</t>
        </is>
      </c>
      <c r="K287" t="inlineStr">
        <is>
          <t>I50.9</t>
        </is>
      </c>
      <c r="L287" t="inlineStr">
        <is>
          <t>Circulatory</t>
        </is>
      </c>
      <c r="M287" t="inlineStr">
        <is>
          <t>Medicare</t>
        </is>
      </c>
      <c r="N287" t="inlineStr">
        <is>
          <t>Government</t>
        </is>
      </c>
      <c r="O287" s="39" t="n">
        <v>69556.10000000001</v>
      </c>
      <c r="P287" t="inlineStr">
        <is>
          <t>N</t>
        </is>
      </c>
    </row>
    <row r="288">
      <c r="A288" t="inlineStr">
        <is>
          <t>ENC112378</t>
        </is>
      </c>
      <c r="B288" t="inlineStr">
        <is>
          <t>PT13614</t>
        </is>
      </c>
      <c r="C288" s="42" t="n">
        <v>45703</v>
      </c>
      <c r="D288" s="42" t="n">
        <v>45707</v>
      </c>
      <c r="E288" s="38" t="n">
        <v>4</v>
      </c>
      <c r="F288" t="inlineStr">
        <is>
          <t>Inpatient</t>
        </is>
      </c>
      <c r="G288" t="inlineStr">
        <is>
          <t>Bluestone Memorial Hospital</t>
        </is>
      </c>
      <c r="H288" t="inlineStr">
        <is>
          <t>Medical-Surgical 5 East</t>
        </is>
      </c>
      <c r="I288" t="inlineStr">
        <is>
          <t>Medicine</t>
        </is>
      </c>
      <c r="J288" t="inlineStr">
        <is>
          <t>Vasquez, Jose</t>
        </is>
      </c>
      <c r="K288" t="inlineStr">
        <is>
          <t>K92.2</t>
        </is>
      </c>
      <c r="L288" t="inlineStr">
        <is>
          <t>Digestive</t>
        </is>
      </c>
      <c r="M288" t="inlineStr">
        <is>
          <t>State Medicaid</t>
        </is>
      </c>
      <c r="N288" t="inlineStr">
        <is>
          <t>Government</t>
        </is>
      </c>
      <c r="O288" s="39" t="n">
        <v>14991.25</v>
      </c>
      <c r="P288" t="inlineStr">
        <is>
          <t>N</t>
        </is>
      </c>
    </row>
    <row r="289">
      <c r="A289" t="inlineStr">
        <is>
          <t>ENC112381</t>
        </is>
      </c>
      <c r="B289" t="inlineStr">
        <is>
          <t>PT13395</t>
        </is>
      </c>
      <c r="C289" s="42" t="n">
        <v>45703</v>
      </c>
      <c r="D289" s="42" t="n">
        <v>45706</v>
      </c>
      <c r="E289" s="38" t="n">
        <v>3</v>
      </c>
      <c r="F289" t="inlineStr">
        <is>
          <t>Inpatient</t>
        </is>
      </c>
      <c r="G289" t="inlineStr">
        <is>
          <t>Bluestone Memorial Hospital</t>
        </is>
      </c>
      <c r="H289" t="inlineStr">
        <is>
          <t>Cardiac Step-Down</t>
        </is>
      </c>
      <c r="I289" t="inlineStr">
        <is>
          <t>Cardiovascular</t>
        </is>
      </c>
      <c r="J289" t="inlineStr">
        <is>
          <t>Evans, Charles</t>
        </is>
      </c>
      <c r="K289" t="inlineStr">
        <is>
          <t>I48.91</t>
        </is>
      </c>
      <c r="L289" t="inlineStr">
        <is>
          <t>Circulatory</t>
        </is>
      </c>
      <c r="M289" t="inlineStr">
        <is>
          <t>Silverline Medicare Advantage</t>
        </is>
      </c>
      <c r="N289" t="inlineStr">
        <is>
          <t>Medicare Advantage</t>
        </is>
      </c>
      <c r="O289" s="39" t="n">
        <v>13939.64</v>
      </c>
      <c r="P289" t="inlineStr">
        <is>
          <t>Y</t>
        </is>
      </c>
    </row>
    <row r="290">
      <c r="A290" t="inlineStr">
        <is>
          <t>ENC112388</t>
        </is>
      </c>
      <c r="B290" t="inlineStr">
        <is>
          <t>PT10189</t>
        </is>
      </c>
      <c r="C290" s="42" t="n">
        <v>45704</v>
      </c>
      <c r="D290" s="42" t="n">
        <v>45704</v>
      </c>
      <c r="E290" s="38" t="n">
        <v>0</v>
      </c>
      <c r="F290" t="inlineStr">
        <is>
          <t>Emergency</t>
        </is>
      </c>
      <c r="G290" t="inlineStr">
        <is>
          <t>Bluestone Memorial Hospital</t>
        </is>
      </c>
      <c r="H290" t="inlineStr">
        <is>
          <t>Emergency Department</t>
        </is>
      </c>
      <c r="I290" t="inlineStr">
        <is>
          <t>Emergency</t>
        </is>
      </c>
      <c r="J290" t="inlineStr">
        <is>
          <t>Olson, Christian</t>
        </is>
      </c>
      <c r="K290" t="inlineStr">
        <is>
          <t>I10</t>
        </is>
      </c>
      <c r="L290" t="inlineStr">
        <is>
          <t>Circulatory</t>
        </is>
      </c>
      <c r="M290" t="inlineStr">
        <is>
          <t>Medicare</t>
        </is>
      </c>
      <c r="N290" t="inlineStr">
        <is>
          <t>Government</t>
        </is>
      </c>
      <c r="O290" s="39" t="n">
        <v>2635.18</v>
      </c>
    </row>
    <row r="291">
      <c r="A291" t="inlineStr">
        <is>
          <t>ENC112393</t>
        </is>
      </c>
      <c r="B291" t="inlineStr">
        <is>
          <t>PT10800</t>
        </is>
      </c>
      <c r="C291" s="42" t="n">
        <v>45704</v>
      </c>
      <c r="D291" s="42" t="n">
        <v>45704</v>
      </c>
      <c r="E291" s="38" t="n">
        <v>0</v>
      </c>
      <c r="F291" t="inlineStr">
        <is>
          <t>Emergency</t>
        </is>
      </c>
      <c r="G291" t="inlineStr">
        <is>
          <t>Cedar Ridge Medical Center</t>
        </is>
      </c>
      <c r="H291" t="inlineStr">
        <is>
          <t>Emergency Department</t>
        </is>
      </c>
      <c r="I291" t="inlineStr">
        <is>
          <t>Emergency</t>
        </is>
      </c>
      <c r="J291" t="inlineStr">
        <is>
          <t>Andrews, Michael</t>
        </is>
      </c>
      <c r="K291" t="inlineStr">
        <is>
          <t>U07.1</t>
        </is>
      </c>
      <c r="L291" t="inlineStr">
        <is>
          <t>Respiratory</t>
        </is>
      </c>
      <c r="M291" t="inlineStr">
        <is>
          <t>Keystone Health Partners</t>
        </is>
      </c>
      <c r="N291" t="inlineStr">
        <is>
          <t>Commercial</t>
        </is>
      </c>
      <c r="O291" s="39" t="n">
        <v>4101.47</v>
      </c>
    </row>
    <row r="292">
      <c r="A292" t="inlineStr">
        <is>
          <t>ENC112412</t>
        </is>
      </c>
      <c r="B292" t="inlineStr">
        <is>
          <t>PT10055</t>
        </is>
      </c>
      <c r="C292" s="42" t="n">
        <v>45705</v>
      </c>
      <c r="D292" s="42" t="n">
        <v>45705</v>
      </c>
      <c r="E292" s="38" t="n">
        <v>0</v>
      </c>
      <c r="F292" t="inlineStr">
        <is>
          <t>Outpatient</t>
        </is>
      </c>
      <c r="G292" t="inlineStr">
        <is>
          <t>Bluestone Outpatient Pavilion</t>
        </is>
      </c>
      <c r="H292" t="inlineStr">
        <is>
          <t>Infusion &amp; Oncology Clinic</t>
        </is>
      </c>
      <c r="I292" t="inlineStr">
        <is>
          <t>Oncology</t>
        </is>
      </c>
      <c r="J292" t="inlineStr">
        <is>
          <t>Hicks, Zachary</t>
        </is>
      </c>
      <c r="K292" t="inlineStr">
        <is>
          <t>Z51.11</t>
        </is>
      </c>
      <c r="L292" t="inlineStr">
        <is>
          <t>Factors Influencing Health</t>
        </is>
      </c>
      <c r="M292" t="inlineStr">
        <is>
          <t>Keystone Health Partners</t>
        </is>
      </c>
      <c r="N292" t="inlineStr">
        <is>
          <t>Commercial</t>
        </is>
      </c>
      <c r="O292" s="39" t="n">
        <v>14063.84</v>
      </c>
    </row>
    <row r="293">
      <c r="A293" t="inlineStr">
        <is>
          <t>ENC112414</t>
        </is>
      </c>
      <c r="B293" t="inlineStr">
        <is>
          <t>PT10063</t>
        </is>
      </c>
      <c r="C293" s="42" t="n">
        <v>45705</v>
      </c>
      <c r="D293" s="42" t="n">
        <v>45705</v>
      </c>
      <c r="E293" s="38" t="n">
        <v>0</v>
      </c>
      <c r="F293" t="inlineStr">
        <is>
          <t>Emergency</t>
        </is>
      </c>
      <c r="G293" t="inlineStr">
        <is>
          <t>Cedar Ridge Medical Center</t>
        </is>
      </c>
      <c r="H293" t="inlineStr">
        <is>
          <t>Emergency Department</t>
        </is>
      </c>
      <c r="I293" t="inlineStr">
        <is>
          <t>Emergency</t>
        </is>
      </c>
      <c r="J293" t="inlineStr">
        <is>
          <t>Schmidt, Anna</t>
        </is>
      </c>
      <c r="K293" t="inlineStr">
        <is>
          <t>J44.1</t>
        </is>
      </c>
      <c r="L293" t="inlineStr">
        <is>
          <t>Respiratory</t>
        </is>
      </c>
      <c r="M293" t="inlineStr">
        <is>
          <t>Silverline Medicare Advantage</t>
        </is>
      </c>
      <c r="N293" t="inlineStr">
        <is>
          <t>Medicare Advantage</t>
        </is>
      </c>
      <c r="O293" s="39" t="n">
        <v>6558.68</v>
      </c>
    </row>
    <row r="294">
      <c r="A294" t="inlineStr">
        <is>
          <t>ENC112428</t>
        </is>
      </c>
      <c r="B294" t="inlineStr">
        <is>
          <t>PT12643</t>
        </is>
      </c>
      <c r="C294" s="42" t="n">
        <v>45705</v>
      </c>
      <c r="D294" s="42" t="n">
        <v>45705</v>
      </c>
      <c r="E294" s="38" t="n">
        <v>0</v>
      </c>
      <c r="F294" t="inlineStr">
        <is>
          <t>Outpatient</t>
        </is>
      </c>
      <c r="G294" t="inlineStr">
        <is>
          <t>Bluestone Outpatient Pavilion</t>
        </is>
      </c>
      <c r="H294" t="inlineStr">
        <is>
          <t>Infusion &amp; Oncology Clinic</t>
        </is>
      </c>
      <c r="I294" t="inlineStr">
        <is>
          <t>Oncology</t>
        </is>
      </c>
      <c r="J294" t="inlineStr">
        <is>
          <t>Hicks, Zachary</t>
        </is>
      </c>
      <c r="K294" t="inlineStr">
        <is>
          <t>C34.90</t>
        </is>
      </c>
      <c r="L294" t="inlineStr">
        <is>
          <t>Neoplasms</t>
        </is>
      </c>
      <c r="M294" t="inlineStr">
        <is>
          <t>Silverline Medicare Advantage</t>
        </is>
      </c>
      <c r="N294" t="inlineStr">
        <is>
          <t>Medicare Advantage</t>
        </is>
      </c>
      <c r="O294" s="39" t="n">
        <v>1161.48</v>
      </c>
    </row>
    <row r="295">
      <c r="A295" t="inlineStr">
        <is>
          <t>ENC112429</t>
        </is>
      </c>
      <c r="B295" t="inlineStr">
        <is>
          <t>PT13464</t>
        </is>
      </c>
      <c r="C295" s="42" t="n">
        <v>45705</v>
      </c>
      <c r="D295" s="42" t="n">
        <v>45705</v>
      </c>
      <c r="E295" s="38" t="n">
        <v>0</v>
      </c>
      <c r="F295" t="inlineStr">
        <is>
          <t>Outpatient</t>
        </is>
      </c>
      <c r="G295" t="inlineStr">
        <is>
          <t>Bluestone Outpatient Pavilion</t>
        </is>
      </c>
      <c r="H295" t="inlineStr">
        <is>
          <t>Primary Care Clinic</t>
        </is>
      </c>
      <c r="I295" t="inlineStr">
        <is>
          <t>Ambulatory</t>
        </is>
      </c>
      <c r="J295" t="inlineStr">
        <is>
          <t>Fisher, Brandon</t>
        </is>
      </c>
      <c r="K295" t="inlineStr">
        <is>
          <t>Z00.00</t>
        </is>
      </c>
      <c r="L295" t="inlineStr">
        <is>
          <t>Factors Influencing Health</t>
        </is>
      </c>
      <c r="M295" t="inlineStr">
        <is>
          <t>Silverline Medicare Advantage</t>
        </is>
      </c>
      <c r="N295" t="inlineStr">
        <is>
          <t>Medicare Advantage</t>
        </is>
      </c>
      <c r="O295" s="39" t="n">
        <v>394.39</v>
      </c>
    </row>
    <row r="296">
      <c r="A296" t="inlineStr">
        <is>
          <t>ENC112439</t>
        </is>
      </c>
      <c r="B296" t="inlineStr">
        <is>
          <t>PT12860</t>
        </is>
      </c>
      <c r="C296" s="42" t="n">
        <v>45705</v>
      </c>
      <c r="D296" s="42" t="n">
        <v>45707</v>
      </c>
      <c r="E296" s="38" t="n">
        <v>2</v>
      </c>
      <c r="F296" t="inlineStr">
        <is>
          <t>Inpatient</t>
        </is>
      </c>
      <c r="G296" t="inlineStr">
        <is>
          <t>Cedar Ridge Medical Center</t>
        </is>
      </c>
      <c r="H296" t="inlineStr">
        <is>
          <t>Medical-Surgical</t>
        </is>
      </c>
      <c r="I296" t="inlineStr">
        <is>
          <t>Medicine</t>
        </is>
      </c>
      <c r="J296" t="inlineStr">
        <is>
          <t>Peters, Frank</t>
        </is>
      </c>
      <c r="K296" t="inlineStr">
        <is>
          <t>J18.9</t>
        </is>
      </c>
      <c r="L296" t="inlineStr">
        <is>
          <t>Respiratory</t>
        </is>
      </c>
      <c r="M296" t="inlineStr">
        <is>
          <t>Self-Pay</t>
        </is>
      </c>
      <c r="N296" t="inlineStr">
        <is>
          <t>Self-Pay</t>
        </is>
      </c>
      <c r="O296" s="39" t="n">
        <v>11654.5</v>
      </c>
      <c r="P296" t="inlineStr">
        <is>
          <t>N</t>
        </is>
      </c>
    </row>
    <row r="297">
      <c r="A297" t="inlineStr">
        <is>
          <t>ENC112430</t>
        </is>
      </c>
      <c r="B297" t="inlineStr">
        <is>
          <t>PT13421</t>
        </is>
      </c>
      <c r="C297" s="42" t="n">
        <v>45705</v>
      </c>
      <c r="D297" s="42" t="n">
        <v>45718</v>
      </c>
      <c r="E297" s="38" t="n">
        <v>13</v>
      </c>
      <c r="F297" t="inlineStr">
        <is>
          <t>Inpatient</t>
        </is>
      </c>
      <c r="G297" t="inlineStr">
        <is>
          <t>Ashby Falls Community Hospital</t>
        </is>
      </c>
      <c r="H297" t="inlineStr">
        <is>
          <t>Intensive Care Unit</t>
        </is>
      </c>
      <c r="I297" t="inlineStr">
        <is>
          <t>Critical Care</t>
        </is>
      </c>
      <c r="J297" t="inlineStr">
        <is>
          <t>Wallace, Frank</t>
        </is>
      </c>
      <c r="K297" t="inlineStr">
        <is>
          <t>A41.9</t>
        </is>
      </c>
      <c r="L297" t="inlineStr">
        <is>
          <t>Infectious</t>
        </is>
      </c>
      <c r="M297" t="inlineStr">
        <is>
          <t>Silverline Medicare Advantage</t>
        </is>
      </c>
      <c r="N297" t="inlineStr">
        <is>
          <t>Medicare Advantage</t>
        </is>
      </c>
      <c r="O297" s="39" t="n">
        <v>144441.66</v>
      </c>
      <c r="P297" t="inlineStr">
        <is>
          <t>N</t>
        </is>
      </c>
    </row>
    <row r="298">
      <c r="A298" t="inlineStr">
        <is>
          <t>ENC112445</t>
        </is>
      </c>
      <c r="B298" t="inlineStr">
        <is>
          <t>PT11086</t>
        </is>
      </c>
      <c r="C298" s="42" t="n">
        <v>45705</v>
      </c>
      <c r="D298" s="42" t="n">
        <v>45706</v>
      </c>
      <c r="E298" s="38" t="n">
        <v>1</v>
      </c>
      <c r="F298" t="inlineStr">
        <is>
          <t>Observation</t>
        </is>
      </c>
      <c r="G298" t="inlineStr">
        <is>
          <t>Bluestone Memorial Hospital</t>
        </is>
      </c>
      <c r="H298" t="inlineStr">
        <is>
          <t>Observation Unit</t>
        </is>
      </c>
      <c r="I298" t="inlineStr">
        <is>
          <t>Medicine</t>
        </is>
      </c>
      <c r="J298" t="inlineStr">
        <is>
          <t>Alvarado, Tyler</t>
        </is>
      </c>
      <c r="K298" t="inlineStr">
        <is>
          <t>J45.909</t>
        </is>
      </c>
      <c r="L298" t="inlineStr">
        <is>
          <t>Respiratory</t>
        </is>
      </c>
      <c r="M298" t="inlineStr">
        <is>
          <t>Evergreen Mutual Insurance</t>
        </is>
      </c>
      <c r="N298" t="inlineStr">
        <is>
          <t>Commercial</t>
        </is>
      </c>
      <c r="O298" s="39" t="n">
        <v>6777.18</v>
      </c>
    </row>
    <row r="299">
      <c r="A299" t="inlineStr">
        <is>
          <t>ENC112452</t>
        </is>
      </c>
      <c r="B299" t="inlineStr">
        <is>
          <t>PT11376</t>
        </is>
      </c>
      <c r="C299" s="42" t="n">
        <v>45706</v>
      </c>
      <c r="D299" s="42" t="n">
        <v>45706</v>
      </c>
      <c r="E299" s="38" t="n">
        <v>0</v>
      </c>
      <c r="F299" t="inlineStr">
        <is>
          <t>Outpatient</t>
        </is>
      </c>
      <c r="G299" t="inlineStr">
        <is>
          <t>Bluestone Outpatient Pavilion</t>
        </is>
      </c>
      <c r="H299" t="inlineStr">
        <is>
          <t>Primary Care Clinic</t>
        </is>
      </c>
      <c r="I299" t="inlineStr">
        <is>
          <t>Ambulatory</t>
        </is>
      </c>
      <c r="J299" t="inlineStr">
        <is>
          <t>Osei, Julie</t>
        </is>
      </c>
      <c r="K299" t="inlineStr">
        <is>
          <t>Z23</t>
        </is>
      </c>
      <c r="L299" t="inlineStr">
        <is>
          <t>Factors Influencing Health</t>
        </is>
      </c>
      <c r="M299" t="inlineStr">
        <is>
          <t>Medicare</t>
        </is>
      </c>
      <c r="N299" t="inlineStr">
        <is>
          <t>Government</t>
        </is>
      </c>
      <c r="O299" s="39" t="n">
        <v>123.55</v>
      </c>
    </row>
    <row r="300">
      <c r="A300" t="inlineStr">
        <is>
          <t>ENC112459</t>
        </is>
      </c>
      <c r="B300" t="inlineStr">
        <is>
          <t>PT12647</t>
        </is>
      </c>
      <c r="C300" s="42" t="n">
        <v>45706</v>
      </c>
      <c r="D300" s="42" t="n">
        <v>45706</v>
      </c>
      <c r="E300" s="38" t="n">
        <v>0</v>
      </c>
      <c r="F300" t="inlineStr">
        <is>
          <t>Emergency</t>
        </is>
      </c>
      <c r="G300" t="inlineStr">
        <is>
          <t>Bluestone Memorial Hospital</t>
        </is>
      </c>
      <c r="H300" t="inlineStr">
        <is>
          <t>Emergency Department</t>
        </is>
      </c>
      <c r="I300" t="inlineStr">
        <is>
          <t>Emergency</t>
        </is>
      </c>
      <c r="J300" t="inlineStr">
        <is>
          <t>Payne, Nancy</t>
        </is>
      </c>
      <c r="K300" t="inlineStr">
        <is>
          <t>R10.9</t>
        </is>
      </c>
      <c r="L300" t="inlineStr">
        <is>
          <t>Symptoms &amp; Signs</t>
        </is>
      </c>
      <c r="M300" t="inlineStr">
        <is>
          <t>Silverline Medicare Advantage</t>
        </is>
      </c>
      <c r="N300" t="inlineStr">
        <is>
          <t>Medicare Advantage</t>
        </is>
      </c>
      <c r="O300" s="39" t="n">
        <v>1917.91</v>
      </c>
    </row>
    <row r="301">
      <c r="A301" t="inlineStr">
        <is>
          <t>ENC112461</t>
        </is>
      </c>
      <c r="B301" t="inlineStr">
        <is>
          <t>PT10915</t>
        </is>
      </c>
      <c r="C301" s="42" t="n">
        <v>45706</v>
      </c>
      <c r="D301" s="42" t="n">
        <v>45712</v>
      </c>
      <c r="E301" s="38" t="n">
        <v>6</v>
      </c>
      <c r="F301" t="inlineStr">
        <is>
          <t>Inpatient</t>
        </is>
      </c>
      <c r="G301" t="inlineStr">
        <is>
          <t>Bluestone Memorial Hospital</t>
        </is>
      </c>
      <c r="H301" t="inlineStr">
        <is>
          <t>Cardiac Step-Down</t>
        </is>
      </c>
      <c r="I301" t="inlineStr">
        <is>
          <t>Cardiovascular</t>
        </is>
      </c>
      <c r="J301" t="inlineStr">
        <is>
          <t>Evans, Charles</t>
        </is>
      </c>
      <c r="K301" t="inlineStr">
        <is>
          <t>I50.9</t>
        </is>
      </c>
      <c r="L301" t="inlineStr">
        <is>
          <t>Circulatory</t>
        </is>
      </c>
      <c r="M301" t="inlineStr">
        <is>
          <t>Summit Choice PPO</t>
        </is>
      </c>
      <c r="N301" t="inlineStr">
        <is>
          <t>Commercial</t>
        </is>
      </c>
      <c r="O301" s="39" t="n">
        <v>35064.09</v>
      </c>
      <c r="P301" t="inlineStr">
        <is>
          <t>N</t>
        </is>
      </c>
    </row>
    <row r="302">
      <c r="A302" t="inlineStr">
        <is>
          <t>ENC112472</t>
        </is>
      </c>
      <c r="B302" t="inlineStr">
        <is>
          <t>PT10303</t>
        </is>
      </c>
      <c r="C302" s="42" t="n">
        <v>45706</v>
      </c>
      <c r="D302" s="42" t="n">
        <v>45706</v>
      </c>
      <c r="E302" s="38" t="n">
        <v>0</v>
      </c>
      <c r="F302" t="inlineStr">
        <is>
          <t>Emergency</t>
        </is>
      </c>
      <c r="G302" t="inlineStr">
        <is>
          <t>Bluestone Memorial Hospital</t>
        </is>
      </c>
      <c r="H302" t="inlineStr">
        <is>
          <t>Emergency Department</t>
        </is>
      </c>
      <c r="I302" t="inlineStr">
        <is>
          <t>Emergency</t>
        </is>
      </c>
      <c r="J302" t="inlineStr">
        <is>
          <t>Mendoza, Alexander</t>
        </is>
      </c>
      <c r="K302" t="inlineStr">
        <is>
          <t>R07.9</t>
        </is>
      </c>
      <c r="L302" t="inlineStr">
        <is>
          <t>Symptoms &amp; Signs</t>
        </is>
      </c>
      <c r="M302" t="inlineStr">
        <is>
          <t>Keystone Health Partners</t>
        </is>
      </c>
      <c r="N302" t="inlineStr">
        <is>
          <t>Commercial</t>
        </is>
      </c>
      <c r="O302" s="39" t="n">
        <v>3604.89</v>
      </c>
    </row>
    <row r="303">
      <c r="A303" t="inlineStr">
        <is>
          <t>ENC112475</t>
        </is>
      </c>
      <c r="B303" t="inlineStr">
        <is>
          <t>PT10278</t>
        </is>
      </c>
      <c r="C303" s="42" t="n">
        <v>45706</v>
      </c>
      <c r="D303" s="42" t="n">
        <v>45706</v>
      </c>
      <c r="E303" s="38" t="n">
        <v>0</v>
      </c>
      <c r="F303" t="inlineStr">
        <is>
          <t>Outpatient</t>
        </is>
      </c>
      <c r="G303" t="inlineStr">
        <is>
          <t>Bluestone Outpatient Pavilion</t>
        </is>
      </c>
      <c r="H303" t="inlineStr">
        <is>
          <t>Pediatric Clinic</t>
        </is>
      </c>
      <c r="I303" t="inlineStr">
        <is>
          <t>Women &amp; Children</t>
        </is>
      </c>
      <c r="J303" t="inlineStr">
        <is>
          <t>Alvarez, Susan</t>
        </is>
      </c>
      <c r="K303" t="inlineStr">
        <is>
          <t>Z23</t>
        </is>
      </c>
      <c r="L303" t="inlineStr">
        <is>
          <t>Factors Influencing Health</t>
        </is>
      </c>
      <c r="M303" t="inlineStr">
        <is>
          <t>Evergreen Mutual Insurance</t>
        </is>
      </c>
      <c r="N303" t="inlineStr">
        <is>
          <t>Commercial</t>
        </is>
      </c>
      <c r="O303" s="39" t="n">
        <v>96.28</v>
      </c>
    </row>
    <row r="304">
      <c r="A304" t="inlineStr">
        <is>
          <t>ENC112476</t>
        </is>
      </c>
      <c r="B304" t="inlineStr">
        <is>
          <t>PT10789</t>
        </is>
      </c>
      <c r="C304" s="42" t="n">
        <v>45706</v>
      </c>
      <c r="D304" s="42" t="n">
        <v>45706</v>
      </c>
      <c r="E304" s="38" t="n">
        <v>0</v>
      </c>
      <c r="F304" t="inlineStr">
        <is>
          <t>Emergency</t>
        </is>
      </c>
      <c r="G304" t="inlineStr">
        <is>
          <t>Ashby Falls Community Hospital</t>
        </is>
      </c>
      <c r="H304" t="inlineStr">
        <is>
          <t>Emergency Department</t>
        </is>
      </c>
      <c r="I304" t="inlineStr">
        <is>
          <t>Emergency</t>
        </is>
      </c>
      <c r="J304" t="inlineStr">
        <is>
          <t>Walker, Margaret</t>
        </is>
      </c>
      <c r="K304" t="inlineStr">
        <is>
          <t>J06.9</t>
        </is>
      </c>
      <c r="L304" t="inlineStr">
        <is>
          <t>Respiratory</t>
        </is>
      </c>
      <c r="M304" t="inlineStr">
        <is>
          <t>Medicare</t>
        </is>
      </c>
      <c r="N304" t="inlineStr">
        <is>
          <t>Government</t>
        </is>
      </c>
      <c r="O304" s="39" t="n">
        <v>1703.31</v>
      </c>
    </row>
    <row r="305">
      <c r="A305" t="inlineStr">
        <is>
          <t>ENC112477</t>
        </is>
      </c>
      <c r="B305" t="inlineStr">
        <is>
          <t>PT10615</t>
        </is>
      </c>
      <c r="C305" s="42" t="n">
        <v>45706</v>
      </c>
      <c r="D305" s="42" t="n">
        <v>45706</v>
      </c>
      <c r="E305" s="38" t="n">
        <v>0</v>
      </c>
      <c r="F305" t="inlineStr">
        <is>
          <t>Emergency</t>
        </is>
      </c>
      <c r="G305" t="inlineStr">
        <is>
          <t>Bluestone Memorial Hospital</t>
        </is>
      </c>
      <c r="H305" t="inlineStr">
        <is>
          <t>Emergency Department</t>
        </is>
      </c>
      <c r="I305" t="inlineStr">
        <is>
          <t>Emergency</t>
        </is>
      </c>
      <c r="J305" t="inlineStr">
        <is>
          <t>Kowalski, James</t>
        </is>
      </c>
      <c r="K305" t="inlineStr">
        <is>
          <t>S06.0X0A</t>
        </is>
      </c>
      <c r="L305" t="inlineStr">
        <is>
          <t>Injury</t>
        </is>
      </c>
      <c r="M305" t="inlineStr">
        <is>
          <t>Self-Pay</t>
        </is>
      </c>
      <c r="N305" t="inlineStr">
        <is>
          <t>Self-Pay</t>
        </is>
      </c>
      <c r="O305" s="39" t="n">
        <v>1782.81</v>
      </c>
    </row>
    <row r="306">
      <c r="A306" t="inlineStr">
        <is>
          <t>ENC112482</t>
        </is>
      </c>
      <c r="B306" t="inlineStr">
        <is>
          <t>PT13340</t>
        </is>
      </c>
      <c r="C306" s="42" t="n">
        <v>45706</v>
      </c>
      <c r="D306" s="42" t="n">
        <v>45707</v>
      </c>
      <c r="E306" s="38" t="n">
        <v>1</v>
      </c>
      <c r="F306" t="inlineStr">
        <is>
          <t>Emergency</t>
        </is>
      </c>
      <c r="G306" t="inlineStr">
        <is>
          <t>Bluestone Memorial Hospital</t>
        </is>
      </c>
      <c r="H306" t="inlineStr">
        <is>
          <t>Emergency Department</t>
        </is>
      </c>
      <c r="I306" t="inlineStr">
        <is>
          <t>Emergency</t>
        </is>
      </c>
      <c r="J306" t="inlineStr">
        <is>
          <t>Kowalski, James</t>
        </is>
      </c>
      <c r="K306" t="inlineStr">
        <is>
          <t>N39.0</t>
        </is>
      </c>
      <c r="L306" t="inlineStr">
        <is>
          <t>Genitourinary</t>
        </is>
      </c>
      <c r="M306" t="inlineStr">
        <is>
          <t>Evergreen Mutual Insurance</t>
        </is>
      </c>
      <c r="N306" t="inlineStr">
        <is>
          <t>Commercial</t>
        </is>
      </c>
      <c r="O306" s="39" t="n">
        <v>3411.64</v>
      </c>
    </row>
    <row r="307">
      <c r="A307" t="inlineStr">
        <is>
          <t>ENC112487</t>
        </is>
      </c>
      <c r="B307" t="inlineStr">
        <is>
          <t>PT11123</t>
        </is>
      </c>
      <c r="C307" s="42" t="n">
        <v>45707</v>
      </c>
      <c r="D307" s="42" t="n">
        <v>45707</v>
      </c>
      <c r="E307" s="38" t="n">
        <v>0</v>
      </c>
      <c r="F307" t="inlineStr">
        <is>
          <t>Outpatient</t>
        </is>
      </c>
      <c r="G307" t="inlineStr">
        <is>
          <t>Bluestone Outpatient Pavilion</t>
        </is>
      </c>
      <c r="H307" t="inlineStr">
        <is>
          <t>Pediatric Clinic</t>
        </is>
      </c>
      <c r="I307" t="inlineStr">
        <is>
          <t>Women &amp; Children</t>
        </is>
      </c>
      <c r="J307" t="inlineStr">
        <is>
          <t>Wallace, Kevin</t>
        </is>
      </c>
      <c r="K307" t="inlineStr">
        <is>
          <t>Z00.129</t>
        </is>
      </c>
      <c r="L307" t="inlineStr">
        <is>
          <t>Factors Influencing Health</t>
        </is>
      </c>
      <c r="M307" t="inlineStr">
        <is>
          <t>State Medicaid</t>
        </is>
      </c>
      <c r="N307" t="inlineStr">
        <is>
          <t>Government</t>
        </is>
      </c>
      <c r="O307" s="39" t="n">
        <v>449.14</v>
      </c>
    </row>
    <row r="308">
      <c r="A308" t="inlineStr">
        <is>
          <t>ENC112490</t>
        </is>
      </c>
      <c r="B308" t="inlineStr">
        <is>
          <t>PT12892</t>
        </is>
      </c>
      <c r="C308" s="42" t="n">
        <v>45707</v>
      </c>
      <c r="D308" s="42" t="n">
        <v>45709</v>
      </c>
      <c r="E308" s="38" t="n">
        <v>2</v>
      </c>
      <c r="F308" t="inlineStr">
        <is>
          <t>Inpatient</t>
        </is>
      </c>
      <c r="G308" t="inlineStr">
        <is>
          <t>Bluestone Memorial Hospital</t>
        </is>
      </c>
      <c r="H308" t="inlineStr">
        <is>
          <t>Labor &amp; Delivery</t>
        </is>
      </c>
      <c r="I308" t="inlineStr">
        <is>
          <t>Women &amp; Children</t>
        </is>
      </c>
      <c r="J308" t="inlineStr">
        <is>
          <t>Hill, Andrea</t>
        </is>
      </c>
      <c r="K308" t="inlineStr">
        <is>
          <t>O82</t>
        </is>
      </c>
      <c r="L308" t="inlineStr">
        <is>
          <t>Pregnancy</t>
        </is>
      </c>
      <c r="M308" t="inlineStr">
        <is>
          <t>Summit Choice PPO</t>
        </is>
      </c>
      <c r="N308" t="inlineStr">
        <is>
          <t>Commercial</t>
        </is>
      </c>
      <c r="O308" s="39" t="n">
        <v>29862.82</v>
      </c>
      <c r="P308" t="inlineStr">
        <is>
          <t>N</t>
        </is>
      </c>
    </row>
    <row r="309">
      <c r="A309" t="inlineStr">
        <is>
          <t>ENC112491</t>
        </is>
      </c>
      <c r="B309" t="inlineStr">
        <is>
          <t>PT11957</t>
        </is>
      </c>
      <c r="C309" s="42" t="n">
        <v>45707</v>
      </c>
      <c r="D309" s="42" t="n">
        <v>45714</v>
      </c>
      <c r="E309" s="38" t="n">
        <v>7</v>
      </c>
      <c r="F309" t="inlineStr">
        <is>
          <t>Inpatient</t>
        </is>
      </c>
      <c r="G309" t="inlineStr">
        <is>
          <t>Ashby Falls Community Hospital</t>
        </is>
      </c>
      <c r="H309" t="inlineStr">
        <is>
          <t>Medical-Surgical</t>
        </is>
      </c>
      <c r="I309" t="inlineStr">
        <is>
          <t>Medicine</t>
        </is>
      </c>
      <c r="J309" t="inlineStr">
        <is>
          <t>Carroll, Philip</t>
        </is>
      </c>
      <c r="K309" t="inlineStr">
        <is>
          <t>I50.9</t>
        </is>
      </c>
      <c r="L309" t="inlineStr">
        <is>
          <t>Circulatory</t>
        </is>
      </c>
      <c r="M309" t="inlineStr">
        <is>
          <t>Summit Choice PPO</t>
        </is>
      </c>
      <c r="N309" t="inlineStr">
        <is>
          <t>Commercial</t>
        </is>
      </c>
      <c r="O309" s="39" t="n">
        <v>32312.46</v>
      </c>
      <c r="P309" t="inlineStr">
        <is>
          <t>N</t>
        </is>
      </c>
    </row>
    <row r="310">
      <c r="A310" t="inlineStr">
        <is>
          <t>ENC112501</t>
        </is>
      </c>
      <c r="B310" t="inlineStr">
        <is>
          <t>PT10450</t>
        </is>
      </c>
      <c r="C310" s="42" t="n">
        <v>45707</v>
      </c>
      <c r="D310" s="42" t="n">
        <v>45707</v>
      </c>
      <c r="E310" s="38" t="n">
        <v>0</v>
      </c>
      <c r="F310" t="inlineStr">
        <is>
          <t>Outpatient</t>
        </is>
      </c>
      <c r="G310" t="inlineStr">
        <is>
          <t>Bluestone Outpatient Pavilion</t>
        </is>
      </c>
      <c r="H310" t="inlineStr">
        <is>
          <t>Primary Care Clinic</t>
        </is>
      </c>
      <c r="I310" t="inlineStr">
        <is>
          <t>Ambulatory</t>
        </is>
      </c>
      <c r="J310" t="inlineStr">
        <is>
          <t>Osei, Julie</t>
        </is>
      </c>
      <c r="K310" t="inlineStr">
        <is>
          <t>I10</t>
        </is>
      </c>
      <c r="L310" t="inlineStr">
        <is>
          <t>Circulatory</t>
        </is>
      </c>
      <c r="M310" t="inlineStr">
        <is>
          <t>Medicare</t>
        </is>
      </c>
      <c r="N310" t="inlineStr">
        <is>
          <t>Government</t>
        </is>
      </c>
      <c r="O310" s="39" t="n">
        <v>368.79</v>
      </c>
    </row>
    <row r="311">
      <c r="A311" t="inlineStr">
        <is>
          <t>ENC112504</t>
        </is>
      </c>
      <c r="B311" t="inlineStr">
        <is>
          <t>PT11083</t>
        </is>
      </c>
      <c r="C311" s="42" t="n">
        <v>45707</v>
      </c>
      <c r="D311" s="42" t="n">
        <v>45707</v>
      </c>
      <c r="E311" s="38" t="n">
        <v>0</v>
      </c>
      <c r="F311" t="inlineStr">
        <is>
          <t>Emergency</t>
        </is>
      </c>
      <c r="G311" t="inlineStr">
        <is>
          <t>Bluestone Memorial Hospital</t>
        </is>
      </c>
      <c r="H311" t="inlineStr">
        <is>
          <t>Emergency Department</t>
        </is>
      </c>
      <c r="I311" t="inlineStr">
        <is>
          <t>Emergency</t>
        </is>
      </c>
      <c r="J311" t="inlineStr">
        <is>
          <t>Olson, Christian</t>
        </is>
      </c>
      <c r="K311" t="inlineStr">
        <is>
          <t>A08.4</t>
        </is>
      </c>
      <c r="L311" t="inlineStr">
        <is>
          <t>Infectious</t>
        </is>
      </c>
      <c r="M311" t="inlineStr">
        <is>
          <t>State Medicaid</t>
        </is>
      </c>
      <c r="N311" t="inlineStr">
        <is>
          <t>Government</t>
        </is>
      </c>
      <c r="O311" s="39" t="n">
        <v>3681.32</v>
      </c>
    </row>
    <row r="312">
      <c r="A312" t="inlineStr">
        <is>
          <t>ENC112497</t>
        </is>
      </c>
      <c r="B312" t="inlineStr">
        <is>
          <t>PT11550</t>
        </is>
      </c>
      <c r="C312" s="42" t="n">
        <v>45707</v>
      </c>
      <c r="D312" s="42" t="n">
        <v>45709</v>
      </c>
      <c r="E312" s="38" t="n">
        <v>2</v>
      </c>
      <c r="F312" t="inlineStr">
        <is>
          <t>Inpatient</t>
        </is>
      </c>
      <c r="G312" t="inlineStr">
        <is>
          <t>Bluestone Memorial Hospital</t>
        </is>
      </c>
      <c r="H312" t="inlineStr">
        <is>
          <t>Medical-Surgical 4 West</t>
        </is>
      </c>
      <c r="I312" t="inlineStr">
        <is>
          <t>Medicine</t>
        </is>
      </c>
      <c r="J312" t="inlineStr">
        <is>
          <t>Ramirez, Jordan</t>
        </is>
      </c>
      <c r="K312" t="inlineStr">
        <is>
          <t>K35.80</t>
        </is>
      </c>
      <c r="L312" t="inlineStr">
        <is>
          <t>Digestive</t>
        </is>
      </c>
      <c r="M312" t="inlineStr">
        <is>
          <t>Self-Pay</t>
        </is>
      </c>
      <c r="N312" t="inlineStr">
        <is>
          <t>Self-Pay</t>
        </is>
      </c>
      <c r="O312" s="39" t="n">
        <v>27860.56</v>
      </c>
      <c r="P312" t="inlineStr">
        <is>
          <t>N</t>
        </is>
      </c>
    </row>
    <row r="313">
      <c r="A313" t="inlineStr">
        <is>
          <t>ENC112509</t>
        </is>
      </c>
      <c r="B313" t="inlineStr">
        <is>
          <t>PT10628</t>
        </is>
      </c>
      <c r="C313" s="42" t="n">
        <v>45707</v>
      </c>
      <c r="D313" s="42" t="n">
        <v>45707</v>
      </c>
      <c r="E313" s="38" t="n">
        <v>0</v>
      </c>
      <c r="F313" t="inlineStr">
        <is>
          <t>Emergency</t>
        </is>
      </c>
      <c r="G313" t="inlineStr">
        <is>
          <t>Bluestone Memorial Hospital</t>
        </is>
      </c>
      <c r="H313" t="inlineStr">
        <is>
          <t>Emergency Department</t>
        </is>
      </c>
      <c r="I313" t="inlineStr">
        <is>
          <t>Emergency</t>
        </is>
      </c>
      <c r="J313" t="inlineStr">
        <is>
          <t>Sullivan, Jacob</t>
        </is>
      </c>
      <c r="K313" t="inlineStr">
        <is>
          <t>R07.9</t>
        </is>
      </c>
      <c r="L313" t="inlineStr">
        <is>
          <t>Symptoms &amp; Signs</t>
        </is>
      </c>
      <c r="M313" t="inlineStr">
        <is>
          <t>Silverline Medicare Advantage</t>
        </is>
      </c>
      <c r="N313" t="inlineStr">
        <is>
          <t>Medicare Advantage</t>
        </is>
      </c>
      <c r="O313" s="39" t="n">
        <v>5442.19</v>
      </c>
    </row>
    <row r="314">
      <c r="A314" t="inlineStr">
        <is>
          <t>ENC112514</t>
        </is>
      </c>
      <c r="B314" t="inlineStr">
        <is>
          <t>PT10408</t>
        </is>
      </c>
      <c r="C314" s="42" t="n">
        <v>45707</v>
      </c>
      <c r="D314" s="42" t="n">
        <v>45709</v>
      </c>
      <c r="E314" s="38" t="n">
        <v>2</v>
      </c>
      <c r="F314" t="inlineStr">
        <is>
          <t>Inpatient</t>
        </is>
      </c>
      <c r="G314" t="inlineStr">
        <is>
          <t>Bluestone Memorial Hospital</t>
        </is>
      </c>
      <c r="H314" t="inlineStr">
        <is>
          <t>Medical-Surgical 5 East</t>
        </is>
      </c>
      <c r="I314" t="inlineStr">
        <is>
          <t>Medicine</t>
        </is>
      </c>
      <c r="J314" t="inlineStr">
        <is>
          <t>Kim, Jeffrey</t>
        </is>
      </c>
      <c r="K314" t="inlineStr">
        <is>
          <t>K80.20</t>
        </is>
      </c>
      <c r="L314" t="inlineStr">
        <is>
          <t>Digestive</t>
        </is>
      </c>
      <c r="M314" t="inlineStr">
        <is>
          <t>State Medicaid</t>
        </is>
      </c>
      <c r="N314" t="inlineStr">
        <is>
          <t>Government</t>
        </is>
      </c>
      <c r="O314" s="39" t="n">
        <v>27774.05</v>
      </c>
      <c r="P314" t="inlineStr">
        <is>
          <t>N</t>
        </is>
      </c>
    </row>
    <row r="315">
      <c r="A315" t="inlineStr">
        <is>
          <t>ENC112517</t>
        </is>
      </c>
      <c r="B315" t="inlineStr">
        <is>
          <t>PT13771</t>
        </is>
      </c>
      <c r="C315" s="42" t="n">
        <v>45707</v>
      </c>
      <c r="D315" s="42" t="n">
        <v>45707</v>
      </c>
      <c r="E315" s="38" t="n">
        <v>0</v>
      </c>
      <c r="F315" t="inlineStr">
        <is>
          <t>Outpatient</t>
        </is>
      </c>
      <c r="G315" t="inlineStr">
        <is>
          <t>Bluestone Outpatient Pavilion</t>
        </is>
      </c>
      <c r="H315" t="inlineStr">
        <is>
          <t>Endocrinology &amp; Diabetes Clinic</t>
        </is>
      </c>
      <c r="I315" t="inlineStr">
        <is>
          <t>Ambulatory</t>
        </is>
      </c>
      <c r="J315" t="inlineStr">
        <is>
          <t>Woods, Larry</t>
        </is>
      </c>
      <c r="K315" t="inlineStr">
        <is>
          <t>E11.9</t>
        </is>
      </c>
      <c r="L315" t="inlineStr">
        <is>
          <t>Endocrine</t>
        </is>
      </c>
      <c r="M315" t="inlineStr">
        <is>
          <t>State Medicaid</t>
        </is>
      </c>
      <c r="N315" t="inlineStr">
        <is>
          <t>Government</t>
        </is>
      </c>
      <c r="O315" s="39" t="n">
        <v>197.06</v>
      </c>
    </row>
    <row r="316">
      <c r="A316" t="inlineStr">
        <is>
          <t>ENC112521</t>
        </is>
      </c>
      <c r="B316" t="inlineStr">
        <is>
          <t>PT13234</t>
        </is>
      </c>
      <c r="C316" s="42" t="n">
        <v>45707</v>
      </c>
      <c r="D316" s="42" t="n">
        <v>45708</v>
      </c>
      <c r="E316" s="38" t="n">
        <v>1</v>
      </c>
      <c r="F316" t="inlineStr">
        <is>
          <t>Observation</t>
        </is>
      </c>
      <c r="G316" t="inlineStr">
        <is>
          <t>Bluestone Memorial Hospital</t>
        </is>
      </c>
      <c r="H316" t="inlineStr">
        <is>
          <t>Observation Unit</t>
        </is>
      </c>
      <c r="I316" t="inlineStr">
        <is>
          <t>Medicine</t>
        </is>
      </c>
      <c r="J316" t="inlineStr">
        <is>
          <t>Abbott, Kathleen</t>
        </is>
      </c>
      <c r="K316" t="inlineStr">
        <is>
          <t>J18.9</t>
        </is>
      </c>
      <c r="L316" t="inlineStr">
        <is>
          <t>Respiratory</t>
        </is>
      </c>
      <c r="M316" t="inlineStr">
        <is>
          <t>Silverline Medicare Advantage</t>
        </is>
      </c>
      <c r="N316" t="inlineStr">
        <is>
          <t>Medicare Advantage</t>
        </is>
      </c>
      <c r="O316" s="39" t="n">
        <v>3782.56</v>
      </c>
    </row>
    <row r="317">
      <c r="A317" t="inlineStr">
        <is>
          <t>ENC112522</t>
        </is>
      </c>
      <c r="B317" t="inlineStr">
        <is>
          <t>PT12301</t>
        </is>
      </c>
      <c r="C317" s="42" t="n">
        <v>45707</v>
      </c>
      <c r="D317" s="42" t="n">
        <v>45711</v>
      </c>
      <c r="E317" s="38" t="n">
        <v>4</v>
      </c>
      <c r="F317" t="inlineStr">
        <is>
          <t>Inpatient</t>
        </is>
      </c>
      <c r="G317" t="inlineStr">
        <is>
          <t>Bluestone Memorial Hospital</t>
        </is>
      </c>
      <c r="H317" t="inlineStr">
        <is>
          <t>Cardiac Step-Down</t>
        </is>
      </c>
      <c r="I317" t="inlineStr">
        <is>
          <t>Cardiovascular</t>
        </is>
      </c>
      <c r="J317" t="inlineStr">
        <is>
          <t>Evans, Charles</t>
        </is>
      </c>
      <c r="K317" t="inlineStr">
        <is>
          <t>I48.91</t>
        </is>
      </c>
      <c r="L317" t="inlineStr">
        <is>
          <t>Circulatory</t>
        </is>
      </c>
      <c r="M317" t="inlineStr">
        <is>
          <t>Medicare</t>
        </is>
      </c>
      <c r="N317" t="inlineStr">
        <is>
          <t>Government</t>
        </is>
      </c>
      <c r="O317" s="39" t="n">
        <v>23094.16</v>
      </c>
      <c r="P317" t="inlineStr">
        <is>
          <t>Y</t>
        </is>
      </c>
    </row>
    <row r="318">
      <c r="A318" t="inlineStr">
        <is>
          <t>ENC112534</t>
        </is>
      </c>
      <c r="B318" t="inlineStr">
        <is>
          <t>PT11190</t>
        </is>
      </c>
      <c r="C318" s="42" t="n">
        <v>45708</v>
      </c>
      <c r="D318" s="42" t="n">
        <v>45710</v>
      </c>
      <c r="E318" s="38" t="n">
        <v>2</v>
      </c>
      <c r="F318" t="inlineStr">
        <is>
          <t>Inpatient</t>
        </is>
      </c>
      <c r="G318" t="inlineStr">
        <is>
          <t>Cedar Ridge Medical Center</t>
        </is>
      </c>
      <c r="H318" t="inlineStr">
        <is>
          <t>Medical-Surgical</t>
        </is>
      </c>
      <c r="I318" t="inlineStr">
        <is>
          <t>Medicine</t>
        </is>
      </c>
      <c r="J318" t="inlineStr">
        <is>
          <t>Hall, Doris</t>
        </is>
      </c>
      <c r="K318" t="inlineStr">
        <is>
          <t>N39.0</t>
        </is>
      </c>
      <c r="L318" t="inlineStr">
        <is>
          <t>Genitourinary</t>
        </is>
      </c>
      <c r="M318" t="inlineStr">
        <is>
          <t>State Medicaid</t>
        </is>
      </c>
      <c r="N318" t="inlineStr">
        <is>
          <t>Government</t>
        </is>
      </c>
      <c r="O318" s="39" t="n">
        <v>11203.9</v>
      </c>
      <c r="P318" t="inlineStr">
        <is>
          <t>Y</t>
        </is>
      </c>
    </row>
    <row r="319">
      <c r="A319" t="inlineStr">
        <is>
          <t>ENC112542</t>
        </is>
      </c>
      <c r="B319" t="inlineStr">
        <is>
          <t>PT12411</t>
        </is>
      </c>
      <c r="C319" s="42" t="n">
        <v>45708</v>
      </c>
      <c r="D319" s="42" t="n">
        <v>45708</v>
      </c>
      <c r="E319" s="38" t="n">
        <v>0</v>
      </c>
      <c r="F319" t="inlineStr">
        <is>
          <t>Outpatient</t>
        </is>
      </c>
      <c r="G319" t="inlineStr">
        <is>
          <t>Bluestone Outpatient Pavilion</t>
        </is>
      </c>
      <c r="H319" t="inlineStr">
        <is>
          <t>Primary Care Clinic</t>
        </is>
      </c>
      <c r="I319" t="inlineStr">
        <is>
          <t>Ambulatory</t>
        </is>
      </c>
      <c r="J319" t="inlineStr">
        <is>
          <t>Elliott, Douglas</t>
        </is>
      </c>
      <c r="K319" t="inlineStr">
        <is>
          <t>E78.5</t>
        </is>
      </c>
      <c r="L319" t="inlineStr">
        <is>
          <t>Endocrine</t>
        </is>
      </c>
      <c r="M319" t="inlineStr">
        <is>
          <t>Evergreen Mutual Insurance</t>
        </is>
      </c>
      <c r="N319" t="inlineStr">
        <is>
          <t>Commercial</t>
        </is>
      </c>
      <c r="O319" s="39" t="n">
        <v>172.82</v>
      </c>
    </row>
    <row r="320">
      <c r="A320" t="inlineStr">
        <is>
          <t>ENC112544</t>
        </is>
      </c>
      <c r="B320" t="inlineStr">
        <is>
          <t>PT10078</t>
        </is>
      </c>
      <c r="C320" s="42" t="n">
        <v>45708</v>
      </c>
      <c r="D320" s="42" t="n">
        <v>45708</v>
      </c>
      <c r="E320" s="38" t="n">
        <v>0</v>
      </c>
      <c r="F320" t="inlineStr">
        <is>
          <t>Outpatient</t>
        </is>
      </c>
      <c r="G320" t="inlineStr">
        <is>
          <t>Bluestone Outpatient Pavilion</t>
        </is>
      </c>
      <c r="H320" t="inlineStr">
        <is>
          <t>Pediatric Clinic</t>
        </is>
      </c>
      <c r="I320" t="inlineStr">
        <is>
          <t>Women &amp; Children</t>
        </is>
      </c>
      <c r="J320" t="inlineStr">
        <is>
          <t>Alvarez, Susan</t>
        </is>
      </c>
      <c r="K320" t="inlineStr">
        <is>
          <t>H66.90</t>
        </is>
      </c>
      <c r="L320" t="inlineStr">
        <is>
          <t>Ear</t>
        </is>
      </c>
      <c r="M320" t="inlineStr">
        <is>
          <t>State Medicaid</t>
        </is>
      </c>
      <c r="N320" t="inlineStr">
        <is>
          <t>Government</t>
        </is>
      </c>
      <c r="O320" s="39" t="n">
        <v>393.44</v>
      </c>
    </row>
    <row r="321">
      <c r="A321" t="inlineStr">
        <is>
          <t>ENC112549</t>
        </is>
      </c>
      <c r="B321" t="inlineStr">
        <is>
          <t>PT10257</t>
        </is>
      </c>
      <c r="C321" s="42" t="n">
        <v>45708</v>
      </c>
      <c r="D321" s="42" t="n">
        <v>45708</v>
      </c>
      <c r="E321" s="38" t="n">
        <v>0</v>
      </c>
      <c r="F321" t="inlineStr">
        <is>
          <t>Emergency</t>
        </is>
      </c>
      <c r="G321" t="inlineStr">
        <is>
          <t>Bluestone Memorial Hospital</t>
        </is>
      </c>
      <c r="H321" t="inlineStr">
        <is>
          <t>Emergency Department</t>
        </is>
      </c>
      <c r="I321" t="inlineStr">
        <is>
          <t>Emergency</t>
        </is>
      </c>
      <c r="J321" t="inlineStr">
        <is>
          <t>Ferguson, Roy</t>
        </is>
      </c>
      <c r="K321" t="inlineStr">
        <is>
          <t>J18.9</t>
        </is>
      </c>
      <c r="L321" t="inlineStr">
        <is>
          <t>Respiratory</t>
        </is>
      </c>
      <c r="M321" t="inlineStr">
        <is>
          <t>Medicare</t>
        </is>
      </c>
      <c r="N321" t="inlineStr">
        <is>
          <t>Government</t>
        </is>
      </c>
      <c r="O321" s="39" t="n">
        <v>5737.4</v>
      </c>
    </row>
    <row r="322">
      <c r="A322" t="inlineStr">
        <is>
          <t>ENC112556</t>
        </is>
      </c>
      <c r="B322" t="inlineStr">
        <is>
          <t>PT11718</t>
        </is>
      </c>
      <c r="C322" s="42" t="n">
        <v>45708</v>
      </c>
      <c r="D322" s="42" t="n">
        <v>45708</v>
      </c>
      <c r="E322" s="38" t="n">
        <v>0</v>
      </c>
      <c r="F322" t="inlineStr">
        <is>
          <t>Emergency</t>
        </is>
      </c>
      <c r="G322" t="inlineStr">
        <is>
          <t>Bluestone Memorial Hospital</t>
        </is>
      </c>
      <c r="H322" t="inlineStr">
        <is>
          <t>Emergency Department</t>
        </is>
      </c>
      <c r="I322" t="inlineStr">
        <is>
          <t>Emergency</t>
        </is>
      </c>
      <c r="J322" t="inlineStr">
        <is>
          <t>Morris, Jordan</t>
        </is>
      </c>
      <c r="K322" t="inlineStr">
        <is>
          <t>J44.1</t>
        </is>
      </c>
      <c r="L322" t="inlineStr">
        <is>
          <t>Respiratory</t>
        </is>
      </c>
      <c r="M322" t="inlineStr">
        <is>
          <t>Evergreen Mutual Insurance</t>
        </is>
      </c>
      <c r="N322" t="inlineStr">
        <is>
          <t>Commercial</t>
        </is>
      </c>
      <c r="O322" s="39" t="n">
        <v>3503.29</v>
      </c>
    </row>
    <row r="323">
      <c r="A323" t="inlineStr">
        <is>
          <t>ENC112575</t>
        </is>
      </c>
      <c r="B323" t="inlineStr">
        <is>
          <t>PT11434</t>
        </is>
      </c>
      <c r="C323" s="42" t="n">
        <v>45708</v>
      </c>
      <c r="D323" s="42" t="n">
        <v>45709</v>
      </c>
      <c r="E323" s="38" t="n">
        <v>1</v>
      </c>
      <c r="F323" t="inlineStr">
        <is>
          <t>Emergency</t>
        </is>
      </c>
      <c r="G323" t="inlineStr">
        <is>
          <t>Bluestone Memorial Hospital</t>
        </is>
      </c>
      <c r="H323" t="inlineStr">
        <is>
          <t>Emergency Department</t>
        </is>
      </c>
      <c r="I323" t="inlineStr">
        <is>
          <t>Emergency</t>
        </is>
      </c>
      <c r="J323" t="inlineStr">
        <is>
          <t>Morris, Jordan</t>
        </is>
      </c>
      <c r="K323" t="inlineStr">
        <is>
          <t>F41.9</t>
        </is>
      </c>
      <c r="L323" t="inlineStr">
        <is>
          <t>Mental &amp; Behavioral</t>
        </is>
      </c>
      <c r="M323" t="inlineStr">
        <is>
          <t>Keystone Health Partners</t>
        </is>
      </c>
      <c r="N323" t="inlineStr">
        <is>
          <t>Commercial</t>
        </is>
      </c>
      <c r="O323" s="39" t="n">
        <v>3843.71</v>
      </c>
    </row>
    <row r="324">
      <c r="A324" t="inlineStr">
        <is>
          <t>ENC112584</t>
        </is>
      </c>
      <c r="B324" t="inlineStr">
        <is>
          <t>PT13960</t>
        </is>
      </c>
      <c r="C324" s="42" t="n">
        <v>45709</v>
      </c>
      <c r="D324" s="42" t="n">
        <v>45709</v>
      </c>
      <c r="E324" s="38" t="n">
        <v>0</v>
      </c>
      <c r="F324" t="inlineStr">
        <is>
          <t>Emergency</t>
        </is>
      </c>
      <c r="G324" t="inlineStr">
        <is>
          <t>Bluestone Memorial Hospital</t>
        </is>
      </c>
      <c r="H324" t="inlineStr">
        <is>
          <t>Emergency Department</t>
        </is>
      </c>
      <c r="I324" t="inlineStr">
        <is>
          <t>Emergency</t>
        </is>
      </c>
      <c r="J324" t="inlineStr">
        <is>
          <t>Gonzales, Mia</t>
        </is>
      </c>
      <c r="K324" t="inlineStr">
        <is>
          <t>J06.9</t>
        </is>
      </c>
      <c r="L324" t="inlineStr">
        <is>
          <t>Respiratory</t>
        </is>
      </c>
      <c r="M324" t="inlineStr">
        <is>
          <t>Medicare</t>
        </is>
      </c>
      <c r="N324" t="inlineStr">
        <is>
          <t>Government</t>
        </is>
      </c>
      <c r="O324" s="39" t="n">
        <v>818.15</v>
      </c>
    </row>
    <row r="325">
      <c r="A325" t="inlineStr">
        <is>
          <t>ENC112589</t>
        </is>
      </c>
      <c r="B325" t="inlineStr">
        <is>
          <t>PT12988</t>
        </is>
      </c>
      <c r="C325" s="42" t="n">
        <v>45709</v>
      </c>
      <c r="D325" s="42" t="n">
        <v>45709</v>
      </c>
      <c r="E325" s="38" t="n">
        <v>0</v>
      </c>
      <c r="F325" t="inlineStr">
        <is>
          <t>Outpatient</t>
        </is>
      </c>
      <c r="G325" t="inlineStr">
        <is>
          <t>Bluestone Outpatient Pavilion</t>
        </is>
      </c>
      <c r="H325" t="inlineStr">
        <is>
          <t>Primary Care Clinic</t>
        </is>
      </c>
      <c r="I325" t="inlineStr">
        <is>
          <t>Ambulatory</t>
        </is>
      </c>
      <c r="J325" t="inlineStr">
        <is>
          <t>Torres, Rebecca</t>
        </is>
      </c>
      <c r="K325" t="inlineStr">
        <is>
          <t>E78.5</t>
        </is>
      </c>
      <c r="L325" t="inlineStr">
        <is>
          <t>Endocrine</t>
        </is>
      </c>
      <c r="M325" t="inlineStr">
        <is>
          <t>Self-Pay</t>
        </is>
      </c>
      <c r="N325" t="inlineStr">
        <is>
          <t>Self-Pay</t>
        </is>
      </c>
      <c r="O325" s="39" t="n">
        <v>508.45</v>
      </c>
    </row>
    <row r="326">
      <c r="A326" t="inlineStr">
        <is>
          <t>ENC112593</t>
        </is>
      </c>
      <c r="B326" t="inlineStr">
        <is>
          <t>PT13748</t>
        </is>
      </c>
      <c r="C326" s="42" t="n">
        <v>45709</v>
      </c>
      <c r="D326" s="42" t="n">
        <v>45709</v>
      </c>
      <c r="E326" s="38" t="n">
        <v>0</v>
      </c>
      <c r="F326" t="inlineStr">
        <is>
          <t>Outpatient</t>
        </is>
      </c>
      <c r="G326" t="inlineStr">
        <is>
          <t>Bluestone Outpatient Pavilion</t>
        </is>
      </c>
      <c r="H326" t="inlineStr">
        <is>
          <t>Primary Care Clinic</t>
        </is>
      </c>
      <c r="I326" t="inlineStr">
        <is>
          <t>Ambulatory</t>
        </is>
      </c>
      <c r="J326" t="inlineStr">
        <is>
          <t>Elliott, Douglas</t>
        </is>
      </c>
      <c r="K326" t="inlineStr">
        <is>
          <t>J06.9</t>
        </is>
      </c>
      <c r="L326" t="inlineStr">
        <is>
          <t>Respiratory</t>
        </is>
      </c>
      <c r="M326" t="inlineStr">
        <is>
          <t>Evergreen Mutual Insurance</t>
        </is>
      </c>
      <c r="N326" t="inlineStr">
        <is>
          <t>Commercial</t>
        </is>
      </c>
      <c r="O326" s="39" t="n">
        <v>210.94</v>
      </c>
    </row>
    <row r="327">
      <c r="A327" t="inlineStr">
        <is>
          <t>ENC112598</t>
        </is>
      </c>
      <c r="B327" t="inlineStr">
        <is>
          <t>PT12137</t>
        </is>
      </c>
      <c r="C327" s="42" t="n">
        <v>45709</v>
      </c>
      <c r="D327" s="42" t="n">
        <v>45709</v>
      </c>
      <c r="E327" s="38" t="n">
        <v>0</v>
      </c>
      <c r="F327" t="inlineStr">
        <is>
          <t>Outpatient</t>
        </is>
      </c>
      <c r="G327" t="inlineStr">
        <is>
          <t>Bluestone Outpatient Pavilion</t>
        </is>
      </c>
      <c r="H327" t="inlineStr">
        <is>
          <t>Primary Care Clinic</t>
        </is>
      </c>
      <c r="I327" t="inlineStr">
        <is>
          <t>Ambulatory</t>
        </is>
      </c>
      <c r="J327" t="inlineStr">
        <is>
          <t>Petrov, Doris</t>
        </is>
      </c>
      <c r="K327" t="inlineStr">
        <is>
          <t>Z00.00</t>
        </is>
      </c>
      <c r="L327" t="inlineStr">
        <is>
          <t>Factors Influencing Health</t>
        </is>
      </c>
      <c r="M327" t="inlineStr">
        <is>
          <t>State Medicaid</t>
        </is>
      </c>
      <c r="N327" t="inlineStr">
        <is>
          <t>Government</t>
        </is>
      </c>
      <c r="O327" s="39" t="n">
        <v>187.3</v>
      </c>
    </row>
    <row r="328">
      <c r="A328" t="inlineStr">
        <is>
          <t>ENC112603</t>
        </is>
      </c>
      <c r="B328" t="inlineStr">
        <is>
          <t>PT12512</t>
        </is>
      </c>
      <c r="C328" s="42" t="n">
        <v>45709</v>
      </c>
      <c r="D328" s="42" t="n">
        <v>45709</v>
      </c>
      <c r="E328" s="38" t="n">
        <v>0</v>
      </c>
      <c r="F328" t="inlineStr">
        <is>
          <t>Outpatient</t>
        </is>
      </c>
      <c r="G328" t="inlineStr">
        <is>
          <t>Bluestone Outpatient Pavilion</t>
        </is>
      </c>
      <c r="H328" t="inlineStr">
        <is>
          <t>Primary Care Clinic</t>
        </is>
      </c>
      <c r="I328" t="inlineStr">
        <is>
          <t>Ambulatory</t>
        </is>
      </c>
      <c r="J328" t="inlineStr">
        <is>
          <t>Black, Kelly</t>
        </is>
      </c>
      <c r="K328" t="inlineStr">
        <is>
          <t>Z00.00</t>
        </is>
      </c>
      <c r="L328" t="inlineStr">
        <is>
          <t>Factors Influencing Health</t>
        </is>
      </c>
      <c r="M328" t="inlineStr">
        <is>
          <t>Keystone Health Partners</t>
        </is>
      </c>
      <c r="N328" t="inlineStr">
        <is>
          <t>Commercial</t>
        </is>
      </c>
      <c r="O328" s="39" t="n">
        <v>385.69</v>
      </c>
    </row>
    <row r="329">
      <c r="A329" t="inlineStr">
        <is>
          <t>ENC112606</t>
        </is>
      </c>
      <c r="B329" t="inlineStr">
        <is>
          <t>PT12934</t>
        </is>
      </c>
      <c r="C329" s="42" t="n">
        <v>45709</v>
      </c>
      <c r="D329" s="42" t="n">
        <v>45709</v>
      </c>
      <c r="E329" s="38" t="n">
        <v>0</v>
      </c>
      <c r="F329" t="inlineStr">
        <is>
          <t>Outpatient</t>
        </is>
      </c>
      <c r="G329" t="inlineStr">
        <is>
          <t>Bluestone Outpatient Pavilion</t>
        </is>
      </c>
      <c r="H329" t="inlineStr">
        <is>
          <t>Primary Care Clinic</t>
        </is>
      </c>
      <c r="I329" t="inlineStr">
        <is>
          <t>Ambulatory</t>
        </is>
      </c>
      <c r="J329" t="inlineStr">
        <is>
          <t>Fisher, Brandon</t>
        </is>
      </c>
      <c r="K329" t="inlineStr">
        <is>
          <t>Z00.00</t>
        </is>
      </c>
      <c r="L329" t="inlineStr">
        <is>
          <t>Factors Influencing Health</t>
        </is>
      </c>
      <c r="M329" t="inlineStr">
        <is>
          <t>Self-Pay</t>
        </is>
      </c>
      <c r="N329" t="inlineStr">
        <is>
          <t>Self-Pay</t>
        </is>
      </c>
      <c r="O329" s="39" t="n">
        <v>303.75</v>
      </c>
    </row>
    <row r="330">
      <c r="A330" t="inlineStr">
        <is>
          <t>ENC112600</t>
        </is>
      </c>
      <c r="B330" t="inlineStr">
        <is>
          <t>PT10194</t>
        </is>
      </c>
      <c r="C330" s="42" t="n">
        <v>45709</v>
      </c>
      <c r="D330" s="42" t="n">
        <v>45714</v>
      </c>
      <c r="E330" s="38" t="n">
        <v>5</v>
      </c>
      <c r="F330" t="inlineStr">
        <is>
          <t>Inpatient</t>
        </is>
      </c>
      <c r="G330" t="inlineStr">
        <is>
          <t>Bluestone Memorial Hospital</t>
        </is>
      </c>
      <c r="H330" t="inlineStr">
        <is>
          <t>Behavioral Health</t>
        </is>
      </c>
      <c r="I330" t="inlineStr">
        <is>
          <t>Behavioral Health</t>
        </is>
      </c>
      <c r="J330" t="inlineStr">
        <is>
          <t>Elliott, Emma</t>
        </is>
      </c>
      <c r="K330" t="inlineStr">
        <is>
          <t>F32.9</t>
        </is>
      </c>
      <c r="L330" t="inlineStr">
        <is>
          <t>Mental &amp; Behavioral</t>
        </is>
      </c>
      <c r="M330" t="inlineStr">
        <is>
          <t>Summit Choice PPO</t>
        </is>
      </c>
      <c r="N330" t="inlineStr">
        <is>
          <t>Commercial</t>
        </is>
      </c>
      <c r="O330" s="39" t="n">
        <v>11447.28</v>
      </c>
      <c r="P330" t="inlineStr">
        <is>
          <t>N</t>
        </is>
      </c>
    </row>
    <row r="331">
      <c r="A331" t="inlineStr">
        <is>
          <t>ENC112609</t>
        </is>
      </c>
      <c r="B331" t="inlineStr">
        <is>
          <t>PT10827</t>
        </is>
      </c>
      <c r="C331" s="42" t="n">
        <v>45709</v>
      </c>
      <c r="D331" s="42" t="n">
        <v>45709</v>
      </c>
      <c r="E331" s="38" t="n">
        <v>0</v>
      </c>
      <c r="F331" t="inlineStr">
        <is>
          <t>Emergency</t>
        </is>
      </c>
      <c r="G331" t="inlineStr">
        <is>
          <t>Bluestone Memorial Hospital</t>
        </is>
      </c>
      <c r="H331" t="inlineStr">
        <is>
          <t>Emergency Department</t>
        </is>
      </c>
      <c r="I331" t="inlineStr">
        <is>
          <t>Emergency</t>
        </is>
      </c>
      <c r="J331" t="inlineStr">
        <is>
          <t>Kowalski, James</t>
        </is>
      </c>
      <c r="K331" t="inlineStr">
        <is>
          <t>R07.9</t>
        </is>
      </c>
      <c r="L331" t="inlineStr">
        <is>
          <t>Symptoms &amp; Signs</t>
        </is>
      </c>
      <c r="M331" t="inlineStr">
        <is>
          <t>Medicare</t>
        </is>
      </c>
      <c r="N331" t="inlineStr">
        <is>
          <t>Government</t>
        </is>
      </c>
      <c r="O331" s="39" t="n">
        <v>2094.04</v>
      </c>
    </row>
    <row r="332">
      <c r="A332" t="inlineStr">
        <is>
          <t>ENC112610</t>
        </is>
      </c>
      <c r="B332" t="inlineStr">
        <is>
          <t>PT12524</t>
        </is>
      </c>
      <c r="C332" s="42" t="n">
        <v>45709</v>
      </c>
      <c r="D332" s="42" t="n">
        <v>45713</v>
      </c>
      <c r="E332" s="38" t="n">
        <v>4</v>
      </c>
      <c r="F332" t="inlineStr">
        <is>
          <t>Inpatient</t>
        </is>
      </c>
      <c r="G332" t="inlineStr">
        <is>
          <t>Bluestone Memorial Hospital</t>
        </is>
      </c>
      <c r="H332" t="inlineStr">
        <is>
          <t>Orthopedics &amp; Spine</t>
        </is>
      </c>
      <c r="I332" t="inlineStr">
        <is>
          <t>Orthopedics</t>
        </is>
      </c>
      <c r="J332" t="inlineStr">
        <is>
          <t>Santos, Grace</t>
        </is>
      </c>
      <c r="K332" t="inlineStr">
        <is>
          <t>S72.001A</t>
        </is>
      </c>
      <c r="L332" t="inlineStr">
        <is>
          <t>Injury</t>
        </is>
      </c>
      <c r="M332" t="inlineStr">
        <is>
          <t>Medicare</t>
        </is>
      </c>
      <c r="N332" t="inlineStr">
        <is>
          <t>Government</t>
        </is>
      </c>
      <c r="O332" s="39" t="n">
        <v>60958.85</v>
      </c>
      <c r="P332" t="inlineStr">
        <is>
          <t>N</t>
        </is>
      </c>
    </row>
    <row r="333">
      <c r="A333" t="inlineStr">
        <is>
          <t>ENC112617</t>
        </is>
      </c>
      <c r="B333" t="inlineStr">
        <is>
          <t>PT10756</t>
        </is>
      </c>
      <c r="C333" s="42" t="n">
        <v>45710</v>
      </c>
      <c r="D333" s="42" t="n">
        <v>45710</v>
      </c>
      <c r="E333" s="38" t="n">
        <v>0</v>
      </c>
      <c r="F333" t="inlineStr">
        <is>
          <t>Emergency</t>
        </is>
      </c>
      <c r="G333" t="inlineStr">
        <is>
          <t>Cedar Ridge Medical Center</t>
        </is>
      </c>
      <c r="H333" t="inlineStr">
        <is>
          <t>Emergency Department</t>
        </is>
      </c>
      <c r="I333" t="inlineStr">
        <is>
          <t>Emergency</t>
        </is>
      </c>
      <c r="J333" t="inlineStr">
        <is>
          <t>Riley, Shirley</t>
        </is>
      </c>
      <c r="K333" t="inlineStr">
        <is>
          <t>J45.909</t>
        </is>
      </c>
      <c r="L333" t="inlineStr">
        <is>
          <t>Respiratory</t>
        </is>
      </c>
      <c r="M333" t="inlineStr">
        <is>
          <t>Summit Choice PPO</t>
        </is>
      </c>
      <c r="N333" t="inlineStr">
        <is>
          <t>Commercial</t>
        </is>
      </c>
      <c r="O333" s="39" t="n">
        <v>3543.58</v>
      </c>
    </row>
    <row r="334">
      <c r="A334" t="inlineStr">
        <is>
          <t>ENC112621</t>
        </is>
      </c>
      <c r="B334" t="inlineStr">
        <is>
          <t>PT12490</t>
        </is>
      </c>
      <c r="C334" s="42" t="n">
        <v>45710</v>
      </c>
      <c r="D334" s="42" t="n">
        <v>45710</v>
      </c>
      <c r="E334" s="38" t="n">
        <v>0</v>
      </c>
      <c r="F334" t="inlineStr">
        <is>
          <t>Emergency</t>
        </is>
      </c>
      <c r="G334" t="inlineStr">
        <is>
          <t>Bluestone Memorial Hospital</t>
        </is>
      </c>
      <c r="H334" t="inlineStr">
        <is>
          <t>Emergency Department</t>
        </is>
      </c>
      <c r="I334" t="inlineStr">
        <is>
          <t>Emergency</t>
        </is>
      </c>
      <c r="J334" t="inlineStr">
        <is>
          <t>Payne, Nancy</t>
        </is>
      </c>
      <c r="K334" t="inlineStr">
        <is>
          <t>J44.1</t>
        </is>
      </c>
      <c r="L334" t="inlineStr">
        <is>
          <t>Respiratory</t>
        </is>
      </c>
      <c r="M334" t="inlineStr">
        <is>
          <t>Summit Choice PPO</t>
        </is>
      </c>
      <c r="N334" t="inlineStr">
        <is>
          <t>Commercial</t>
        </is>
      </c>
      <c r="O334" s="39" t="n">
        <v>2970.45</v>
      </c>
    </row>
    <row r="335">
      <c r="A335" t="inlineStr">
        <is>
          <t>ENC112631</t>
        </is>
      </c>
      <c r="B335" t="inlineStr">
        <is>
          <t>PT11867</t>
        </is>
      </c>
      <c r="C335" s="42" t="n">
        <v>45710</v>
      </c>
      <c r="D335" s="42" t="n">
        <v>45710</v>
      </c>
      <c r="E335" s="38" t="n">
        <v>0</v>
      </c>
      <c r="F335" t="inlineStr">
        <is>
          <t>Emergency</t>
        </is>
      </c>
      <c r="G335" t="inlineStr">
        <is>
          <t>Bluestone Memorial Hospital</t>
        </is>
      </c>
      <c r="H335" t="inlineStr">
        <is>
          <t>Emergency Department</t>
        </is>
      </c>
      <c r="I335" t="inlineStr">
        <is>
          <t>Emergency</t>
        </is>
      </c>
      <c r="J335" t="inlineStr">
        <is>
          <t>Cruz, Mia</t>
        </is>
      </c>
      <c r="K335" t="inlineStr">
        <is>
          <t>J18.9</t>
        </is>
      </c>
      <c r="L335" t="inlineStr">
        <is>
          <t>Respiratory</t>
        </is>
      </c>
      <c r="M335" t="inlineStr">
        <is>
          <t>Medicare</t>
        </is>
      </c>
      <c r="N335" t="inlineStr">
        <is>
          <t>Government</t>
        </is>
      </c>
      <c r="O335" s="39" t="n">
        <v>2968.44</v>
      </c>
    </row>
    <row r="336">
      <c r="A336" t="inlineStr">
        <is>
          <t>ENC112645</t>
        </is>
      </c>
      <c r="B336" t="inlineStr">
        <is>
          <t>PT11007</t>
        </is>
      </c>
      <c r="C336" s="42" t="n">
        <v>45711</v>
      </c>
      <c r="D336" s="42" t="n">
        <v>45715</v>
      </c>
      <c r="E336" s="38" t="n">
        <v>4</v>
      </c>
      <c r="F336" t="inlineStr">
        <is>
          <t>Inpatient</t>
        </is>
      </c>
      <c r="G336" t="inlineStr">
        <is>
          <t>Ashby Falls Community Hospital</t>
        </is>
      </c>
      <c r="H336" t="inlineStr">
        <is>
          <t>Intensive Care Unit</t>
        </is>
      </c>
      <c r="I336" t="inlineStr">
        <is>
          <t>Critical Care</t>
        </is>
      </c>
      <c r="J336" t="inlineStr">
        <is>
          <t>Gutierrez, Donald</t>
        </is>
      </c>
      <c r="K336" t="inlineStr">
        <is>
          <t>K92.2</t>
        </is>
      </c>
      <c r="L336" t="inlineStr">
        <is>
          <t>Digestive</t>
        </is>
      </c>
      <c r="M336" t="inlineStr">
        <is>
          <t>Keystone Health Partners</t>
        </is>
      </c>
      <c r="N336" t="inlineStr">
        <is>
          <t>Commercial</t>
        </is>
      </c>
      <c r="O336" s="39" t="n">
        <v>56462.54</v>
      </c>
      <c r="P336" t="inlineStr">
        <is>
          <t>N</t>
        </is>
      </c>
    </row>
    <row r="337">
      <c r="A337" t="inlineStr">
        <is>
          <t>ENC112652</t>
        </is>
      </c>
      <c r="B337" t="inlineStr">
        <is>
          <t>PT10489</t>
        </is>
      </c>
      <c r="C337" s="42" t="n">
        <v>45711</v>
      </c>
      <c r="D337" s="42" t="n">
        <v>45717</v>
      </c>
      <c r="E337" s="38" t="n">
        <v>6</v>
      </c>
      <c r="F337" t="inlineStr">
        <is>
          <t>Inpatient</t>
        </is>
      </c>
      <c r="G337" t="inlineStr">
        <is>
          <t>Bluestone Memorial Hospital</t>
        </is>
      </c>
      <c r="H337" t="inlineStr">
        <is>
          <t>Medical-Surgical 5 East</t>
        </is>
      </c>
      <c r="I337" t="inlineStr">
        <is>
          <t>Medicine</t>
        </is>
      </c>
      <c r="J337" t="inlineStr">
        <is>
          <t>Allen, Jean</t>
        </is>
      </c>
      <c r="K337" t="inlineStr">
        <is>
          <t>J18.9</t>
        </is>
      </c>
      <c r="L337" t="inlineStr">
        <is>
          <t>Respiratory</t>
        </is>
      </c>
      <c r="M337" t="inlineStr">
        <is>
          <t>Silverline Medicare Advantage</t>
        </is>
      </c>
      <c r="N337" t="inlineStr">
        <is>
          <t>Medicare Advantage</t>
        </is>
      </c>
      <c r="O337" s="39" t="n">
        <v>24128.84</v>
      </c>
      <c r="P337" t="inlineStr">
        <is>
          <t>N</t>
        </is>
      </c>
    </row>
    <row r="338">
      <c r="A338" t="inlineStr">
        <is>
          <t>ENC112654</t>
        </is>
      </c>
      <c r="B338" t="inlineStr">
        <is>
          <t>PT11536</t>
        </is>
      </c>
      <c r="C338" s="42" t="n">
        <v>45712</v>
      </c>
      <c r="D338" s="42" t="n">
        <v>45712</v>
      </c>
      <c r="E338" s="38" t="n">
        <v>0</v>
      </c>
      <c r="F338" t="inlineStr">
        <is>
          <t>Emergency</t>
        </is>
      </c>
      <c r="G338" t="inlineStr">
        <is>
          <t>Bluestone Memorial Hospital</t>
        </is>
      </c>
      <c r="H338" t="inlineStr">
        <is>
          <t>Emergency Department</t>
        </is>
      </c>
      <c r="I338" t="inlineStr">
        <is>
          <t>Emergency</t>
        </is>
      </c>
      <c r="J338" t="inlineStr">
        <is>
          <t>Sullivan, Jacob</t>
        </is>
      </c>
      <c r="K338" t="inlineStr">
        <is>
          <t>J45.909</t>
        </is>
      </c>
      <c r="L338" t="inlineStr">
        <is>
          <t>Respiratory</t>
        </is>
      </c>
      <c r="M338" t="inlineStr">
        <is>
          <t>State Medicaid</t>
        </is>
      </c>
      <c r="N338" t="inlineStr">
        <is>
          <t>Government</t>
        </is>
      </c>
      <c r="O338" s="39" t="n">
        <v>2790.18</v>
      </c>
    </row>
    <row r="339">
      <c r="A339" t="inlineStr">
        <is>
          <t>ENC112661</t>
        </is>
      </c>
      <c r="B339" t="inlineStr">
        <is>
          <t>PT10781</t>
        </is>
      </c>
      <c r="C339" s="42" t="n">
        <v>45712</v>
      </c>
      <c r="D339" s="42" t="n">
        <v>45712</v>
      </c>
      <c r="E339" s="38" t="n">
        <v>0</v>
      </c>
      <c r="F339" t="inlineStr">
        <is>
          <t>Outpatient</t>
        </is>
      </c>
      <c r="G339" t="inlineStr">
        <is>
          <t>Bluestone Outpatient Pavilion</t>
        </is>
      </c>
      <c r="H339" t="inlineStr">
        <is>
          <t>Primary Care Clinic</t>
        </is>
      </c>
      <c r="I339" t="inlineStr">
        <is>
          <t>Ambulatory</t>
        </is>
      </c>
      <c r="J339" t="inlineStr">
        <is>
          <t>Torres, Rebecca</t>
        </is>
      </c>
      <c r="K339" t="inlineStr">
        <is>
          <t>J06.9</t>
        </is>
      </c>
      <c r="L339" t="inlineStr">
        <is>
          <t>Respiratory</t>
        </is>
      </c>
      <c r="M339" t="inlineStr">
        <is>
          <t>Evergreen Mutual Insurance</t>
        </is>
      </c>
      <c r="N339" t="inlineStr">
        <is>
          <t>Commercial</t>
        </is>
      </c>
      <c r="O339" s="39" t="n">
        <v>267.74</v>
      </c>
    </row>
    <row r="340">
      <c r="A340" t="inlineStr">
        <is>
          <t>ENC112664</t>
        </is>
      </c>
      <c r="B340" t="inlineStr">
        <is>
          <t>PT12824</t>
        </is>
      </c>
      <c r="C340" s="42" t="n">
        <v>45712</v>
      </c>
      <c r="D340" s="42" t="n">
        <v>45712</v>
      </c>
      <c r="E340" s="38" t="n">
        <v>0</v>
      </c>
      <c r="F340" t="inlineStr">
        <is>
          <t>Emergency</t>
        </is>
      </c>
      <c r="G340" t="inlineStr">
        <is>
          <t>Cedar Ridge Medical Center</t>
        </is>
      </c>
      <c r="H340" t="inlineStr">
        <is>
          <t>Emergency Department</t>
        </is>
      </c>
      <c r="I340" t="inlineStr">
        <is>
          <t>Emergency</t>
        </is>
      </c>
      <c r="J340" t="inlineStr">
        <is>
          <t>Pena, Wayne</t>
        </is>
      </c>
      <c r="K340" t="inlineStr">
        <is>
          <t>N39.0</t>
        </is>
      </c>
      <c r="L340" t="inlineStr">
        <is>
          <t>Genitourinary</t>
        </is>
      </c>
      <c r="M340" t="inlineStr">
        <is>
          <t>Silverline Medicare Advantage</t>
        </is>
      </c>
      <c r="N340" t="inlineStr">
        <is>
          <t>Medicare Advantage</t>
        </is>
      </c>
      <c r="O340" s="39" t="n">
        <v>6693.58</v>
      </c>
    </row>
    <row r="341">
      <c r="A341" t="inlineStr">
        <is>
          <t>ENC112673</t>
        </is>
      </c>
      <c r="B341" t="inlineStr">
        <is>
          <t>PT10018</t>
        </is>
      </c>
      <c r="C341" s="42" t="n">
        <v>45712</v>
      </c>
      <c r="D341" s="42" t="n">
        <v>45712</v>
      </c>
      <c r="E341" s="38" t="n">
        <v>0</v>
      </c>
      <c r="F341" t="inlineStr">
        <is>
          <t>Emergency</t>
        </is>
      </c>
      <c r="G341" t="inlineStr">
        <is>
          <t>Bluestone Memorial Hospital</t>
        </is>
      </c>
      <c r="H341" t="inlineStr">
        <is>
          <t>Emergency Department</t>
        </is>
      </c>
      <c r="I341" t="inlineStr">
        <is>
          <t>Emergency</t>
        </is>
      </c>
      <c r="J341" t="inlineStr">
        <is>
          <t>Foster, Patrick</t>
        </is>
      </c>
      <c r="K341" t="inlineStr">
        <is>
          <t>S93.401A</t>
        </is>
      </c>
      <c r="L341" t="inlineStr">
        <is>
          <t>Injury</t>
        </is>
      </c>
      <c r="M341" t="inlineStr">
        <is>
          <t>Summit Choice PPO</t>
        </is>
      </c>
      <c r="N341" t="inlineStr">
        <is>
          <t>Commercial</t>
        </is>
      </c>
      <c r="O341" s="39" t="n">
        <v>2917</v>
      </c>
    </row>
    <row r="342">
      <c r="A342" t="inlineStr">
        <is>
          <t>ENC112676</t>
        </is>
      </c>
      <c r="B342" t="inlineStr">
        <is>
          <t>PT13157</t>
        </is>
      </c>
      <c r="C342" s="42" t="n">
        <v>45712</v>
      </c>
      <c r="D342" s="42" t="n">
        <v>45712</v>
      </c>
      <c r="E342" s="38" t="n">
        <v>0</v>
      </c>
      <c r="F342" t="inlineStr">
        <is>
          <t>Outpatient</t>
        </is>
      </c>
      <c r="G342" t="inlineStr">
        <is>
          <t>Bluestone Outpatient Pavilion</t>
        </is>
      </c>
      <c r="H342" t="inlineStr">
        <is>
          <t>Pediatric Clinic</t>
        </is>
      </c>
      <c r="I342" t="inlineStr">
        <is>
          <t>Women &amp; Children</t>
        </is>
      </c>
      <c r="J342" t="inlineStr">
        <is>
          <t>Alvarez, Susan</t>
        </is>
      </c>
      <c r="K342" t="inlineStr">
        <is>
          <t>Z00.129</t>
        </is>
      </c>
      <c r="L342" t="inlineStr">
        <is>
          <t>Factors Influencing Health</t>
        </is>
      </c>
      <c r="M342" t="inlineStr">
        <is>
          <t>Keystone Health Partners</t>
        </is>
      </c>
      <c r="N342" t="inlineStr">
        <is>
          <t>Commercial</t>
        </is>
      </c>
      <c r="O342" s="39" t="n">
        <v>291.84</v>
      </c>
    </row>
    <row r="343">
      <c r="A343" t="inlineStr">
        <is>
          <t>ENC112686</t>
        </is>
      </c>
      <c r="B343" t="inlineStr">
        <is>
          <t>PT13554</t>
        </is>
      </c>
      <c r="C343" s="42" t="n">
        <v>45712</v>
      </c>
      <c r="D343" s="42" t="n">
        <v>45712</v>
      </c>
      <c r="E343" s="38" t="n">
        <v>0</v>
      </c>
      <c r="F343" t="inlineStr">
        <is>
          <t>Emergency</t>
        </is>
      </c>
      <c r="G343" t="inlineStr">
        <is>
          <t>Bluestone Memorial Hospital</t>
        </is>
      </c>
      <c r="H343" t="inlineStr">
        <is>
          <t>Emergency Department</t>
        </is>
      </c>
      <c r="I343" t="inlineStr">
        <is>
          <t>Emergency</t>
        </is>
      </c>
      <c r="J343" t="inlineStr">
        <is>
          <t>Jordan, Wayne</t>
        </is>
      </c>
      <c r="K343" t="inlineStr">
        <is>
          <t>J21.9</t>
        </is>
      </c>
      <c r="L343" t="inlineStr">
        <is>
          <t>Respiratory</t>
        </is>
      </c>
      <c r="M343" t="inlineStr">
        <is>
          <t>State Medicaid</t>
        </is>
      </c>
      <c r="N343" t="inlineStr">
        <is>
          <t>Government</t>
        </is>
      </c>
      <c r="O343" s="39" t="n">
        <v>4791.92</v>
      </c>
    </row>
    <row r="344">
      <c r="A344" t="inlineStr">
        <is>
          <t>ENC112690</t>
        </is>
      </c>
      <c r="B344" t="inlineStr">
        <is>
          <t>PT12464</t>
        </is>
      </c>
      <c r="C344" s="42" t="n">
        <v>45712</v>
      </c>
      <c r="D344" s="42" t="n">
        <v>45713</v>
      </c>
      <c r="E344" s="38" t="n">
        <v>1</v>
      </c>
      <c r="F344" t="inlineStr">
        <is>
          <t>Observation</t>
        </is>
      </c>
      <c r="G344" t="inlineStr">
        <is>
          <t>Cedar Ridge Medical Center</t>
        </is>
      </c>
      <c r="H344" t="inlineStr">
        <is>
          <t>Medical-Surgical</t>
        </is>
      </c>
      <c r="I344" t="inlineStr">
        <is>
          <t>Medicine</t>
        </is>
      </c>
      <c r="J344" t="inlineStr">
        <is>
          <t>Peters, Frank</t>
        </is>
      </c>
      <c r="K344" t="inlineStr">
        <is>
          <t>G43.909</t>
        </is>
      </c>
      <c r="L344" t="inlineStr">
        <is>
          <t>Nervous System</t>
        </is>
      </c>
      <c r="M344" t="inlineStr">
        <is>
          <t>Self-Pay</t>
        </is>
      </c>
      <c r="N344" t="inlineStr">
        <is>
          <t>Self-Pay</t>
        </is>
      </c>
      <c r="O344" s="39" t="n">
        <v>10484.96</v>
      </c>
    </row>
    <row r="345">
      <c r="A345" t="inlineStr">
        <is>
          <t>ENC112691</t>
        </is>
      </c>
      <c r="B345" t="inlineStr">
        <is>
          <t>PT13111</t>
        </is>
      </c>
      <c r="C345" s="42" t="n">
        <v>45712</v>
      </c>
      <c r="D345" s="42" t="n">
        <v>45712</v>
      </c>
      <c r="E345" s="38" t="n">
        <v>0</v>
      </c>
      <c r="F345" t="inlineStr">
        <is>
          <t>Outpatient</t>
        </is>
      </c>
      <c r="G345" t="inlineStr">
        <is>
          <t>Bluestone Outpatient Pavilion</t>
        </is>
      </c>
      <c r="H345" t="inlineStr">
        <is>
          <t>Orthopedic Clinic</t>
        </is>
      </c>
      <c r="I345" t="inlineStr">
        <is>
          <t>Orthopedics</t>
        </is>
      </c>
      <c r="J345" t="inlineStr">
        <is>
          <t>Wagner, Carlos</t>
        </is>
      </c>
      <c r="K345" t="inlineStr">
        <is>
          <t>M16.11</t>
        </is>
      </c>
      <c r="L345" t="inlineStr">
        <is>
          <t>Musculoskeletal</t>
        </is>
      </c>
      <c r="M345" t="inlineStr">
        <is>
          <t>State Medicaid</t>
        </is>
      </c>
      <c r="N345" t="inlineStr">
        <is>
          <t>Government</t>
        </is>
      </c>
      <c r="O345" s="39" t="n">
        <v>366.54</v>
      </c>
    </row>
    <row r="346">
      <c r="A346" t="inlineStr">
        <is>
          <t>ENC112694</t>
        </is>
      </c>
      <c r="B346" t="inlineStr">
        <is>
          <t>PT13727</t>
        </is>
      </c>
      <c r="C346" s="42" t="n">
        <v>45712</v>
      </c>
      <c r="D346" s="42" t="n">
        <v>45712</v>
      </c>
      <c r="E346" s="38" t="n">
        <v>0</v>
      </c>
      <c r="F346" t="inlineStr">
        <is>
          <t>Outpatient</t>
        </is>
      </c>
      <c r="G346" t="inlineStr">
        <is>
          <t>Bluestone Outpatient Pavilion</t>
        </is>
      </c>
      <c r="H346" t="inlineStr">
        <is>
          <t>Primary Care Clinic</t>
        </is>
      </c>
      <c r="I346" t="inlineStr">
        <is>
          <t>Ambulatory</t>
        </is>
      </c>
      <c r="J346" t="inlineStr">
        <is>
          <t>Chen, Mei</t>
        </is>
      </c>
      <c r="K346" t="inlineStr">
        <is>
          <t>Z00.00</t>
        </is>
      </c>
      <c r="L346" t="inlineStr">
        <is>
          <t>Factors Influencing Health</t>
        </is>
      </c>
      <c r="M346" t="inlineStr">
        <is>
          <t>Keystone Health Partners</t>
        </is>
      </c>
      <c r="N346" t="inlineStr">
        <is>
          <t>Commercial</t>
        </is>
      </c>
      <c r="O346" s="39" t="n">
        <v>202.61</v>
      </c>
    </row>
    <row r="347">
      <c r="A347" t="inlineStr">
        <is>
          <t>ENC112696</t>
        </is>
      </c>
      <c r="B347" t="inlineStr">
        <is>
          <t>PT11433</t>
        </is>
      </c>
      <c r="C347" s="42" t="n">
        <v>45712</v>
      </c>
      <c r="D347" s="42" t="n">
        <v>45712</v>
      </c>
      <c r="E347" s="38" t="n">
        <v>0</v>
      </c>
      <c r="F347" t="inlineStr">
        <is>
          <t>Emergency</t>
        </is>
      </c>
      <c r="G347" t="inlineStr">
        <is>
          <t>Cedar Ridge Medical Center</t>
        </is>
      </c>
      <c r="H347" t="inlineStr">
        <is>
          <t>Emergency Department</t>
        </is>
      </c>
      <c r="I347" t="inlineStr">
        <is>
          <t>Emergency</t>
        </is>
      </c>
      <c r="J347" t="inlineStr">
        <is>
          <t>Andrews, Michael</t>
        </is>
      </c>
      <c r="K347" t="inlineStr">
        <is>
          <t>R10.9</t>
        </is>
      </c>
      <c r="L347" t="inlineStr">
        <is>
          <t>Symptoms &amp; Signs</t>
        </is>
      </c>
      <c r="M347" t="inlineStr">
        <is>
          <t>Medicare</t>
        </is>
      </c>
      <c r="N347" t="inlineStr">
        <is>
          <t>Government</t>
        </is>
      </c>
      <c r="O347" s="39" t="n">
        <v>2752.83</v>
      </c>
    </row>
    <row r="348">
      <c r="A348" t="inlineStr">
        <is>
          <t>ENC112702</t>
        </is>
      </c>
      <c r="B348" t="inlineStr">
        <is>
          <t>PT10290</t>
        </is>
      </c>
      <c r="C348" s="42" t="n">
        <v>45712</v>
      </c>
      <c r="D348" s="42" t="n">
        <v>45714</v>
      </c>
      <c r="E348" s="38" t="n">
        <v>2</v>
      </c>
      <c r="F348" t="inlineStr">
        <is>
          <t>Inpatient</t>
        </is>
      </c>
      <c r="G348" t="inlineStr">
        <is>
          <t>Ashby Falls Community Hospital</t>
        </is>
      </c>
      <c r="H348" t="inlineStr">
        <is>
          <t>Medical-Surgical</t>
        </is>
      </c>
      <c r="I348" t="inlineStr">
        <is>
          <t>Medicine</t>
        </is>
      </c>
      <c r="J348" t="inlineStr">
        <is>
          <t>Carter, Karen</t>
        </is>
      </c>
      <c r="K348" t="inlineStr">
        <is>
          <t>E87.1</t>
        </is>
      </c>
      <c r="L348" t="inlineStr">
        <is>
          <t>Endocrine</t>
        </is>
      </c>
      <c r="M348" t="inlineStr">
        <is>
          <t>Self-Pay</t>
        </is>
      </c>
      <c r="N348" t="inlineStr">
        <is>
          <t>Self-Pay</t>
        </is>
      </c>
      <c r="O348" s="39" t="n">
        <v>9463.440000000001</v>
      </c>
      <c r="P348" t="inlineStr">
        <is>
          <t>Y</t>
        </is>
      </c>
    </row>
    <row r="349">
      <c r="A349" t="inlineStr">
        <is>
          <t>ENC112706</t>
        </is>
      </c>
      <c r="B349" t="inlineStr">
        <is>
          <t>PT13378</t>
        </is>
      </c>
      <c r="C349" s="42" t="n">
        <v>45712</v>
      </c>
      <c r="D349" s="42" t="n">
        <v>45712</v>
      </c>
      <c r="E349" s="38" t="n">
        <v>0</v>
      </c>
      <c r="F349" t="inlineStr">
        <is>
          <t>Emergency</t>
        </is>
      </c>
      <c r="G349" t="inlineStr">
        <is>
          <t>Bluestone Memorial Hospital</t>
        </is>
      </c>
      <c r="H349" t="inlineStr">
        <is>
          <t>Emergency Department</t>
        </is>
      </c>
      <c r="I349" t="inlineStr">
        <is>
          <t>Emergency</t>
        </is>
      </c>
      <c r="J349" t="inlineStr">
        <is>
          <t>Olson, Christian</t>
        </is>
      </c>
      <c r="K349" t="inlineStr">
        <is>
          <t>J06.9</t>
        </is>
      </c>
      <c r="L349" t="inlineStr">
        <is>
          <t>Respiratory</t>
        </is>
      </c>
      <c r="M349" t="inlineStr">
        <is>
          <t>State Medicaid</t>
        </is>
      </c>
      <c r="N349" t="inlineStr">
        <is>
          <t>Government</t>
        </is>
      </c>
      <c r="O349" s="39" t="n">
        <v>1573.22</v>
      </c>
    </row>
    <row r="350">
      <c r="A350" t="inlineStr">
        <is>
          <t>ENC112697</t>
        </is>
      </c>
      <c r="B350" t="inlineStr">
        <is>
          <t>PT10288</t>
        </is>
      </c>
      <c r="C350" s="42" t="n">
        <v>45712</v>
      </c>
      <c r="D350" s="42" t="n">
        <v>45715</v>
      </c>
      <c r="E350" s="38" t="n">
        <v>3</v>
      </c>
      <c r="F350" t="inlineStr">
        <is>
          <t>Inpatient</t>
        </is>
      </c>
      <c r="G350" t="inlineStr">
        <is>
          <t>Ashby Falls Community Hospital</t>
        </is>
      </c>
      <c r="H350" t="inlineStr">
        <is>
          <t>Medical-Surgical</t>
        </is>
      </c>
      <c r="I350" t="inlineStr">
        <is>
          <t>Medicine</t>
        </is>
      </c>
      <c r="J350" t="inlineStr">
        <is>
          <t>Carroll, Philip</t>
        </is>
      </c>
      <c r="K350" t="inlineStr">
        <is>
          <t>J18.9</t>
        </is>
      </c>
      <c r="L350" t="inlineStr">
        <is>
          <t>Respiratory</t>
        </is>
      </c>
      <c r="M350" t="inlineStr">
        <is>
          <t>Medicare</t>
        </is>
      </c>
      <c r="N350" t="inlineStr">
        <is>
          <t>Government</t>
        </is>
      </c>
      <c r="O350" s="39" t="n">
        <v>21969.4</v>
      </c>
      <c r="P350" t="inlineStr">
        <is>
          <t>N</t>
        </is>
      </c>
    </row>
    <row r="351">
      <c r="A351" t="inlineStr">
        <is>
          <t>ENC112709</t>
        </is>
      </c>
      <c r="B351" t="inlineStr">
        <is>
          <t>PT12551</t>
        </is>
      </c>
      <c r="C351" s="42" t="n">
        <v>45713</v>
      </c>
      <c r="D351" s="42" t="n">
        <v>45713</v>
      </c>
      <c r="E351" s="38" t="n">
        <v>0</v>
      </c>
      <c r="F351" t="inlineStr">
        <is>
          <t>Emergency</t>
        </is>
      </c>
      <c r="G351" t="inlineStr">
        <is>
          <t>Bluestone Memorial Hospital</t>
        </is>
      </c>
      <c r="H351" t="inlineStr">
        <is>
          <t>Emergency Department</t>
        </is>
      </c>
      <c r="I351" t="inlineStr">
        <is>
          <t>Emergency</t>
        </is>
      </c>
      <c r="J351" t="inlineStr">
        <is>
          <t>Jordan, Wayne</t>
        </is>
      </c>
      <c r="K351" t="inlineStr">
        <is>
          <t>R55</t>
        </is>
      </c>
      <c r="L351" t="inlineStr">
        <is>
          <t>Symptoms &amp; Signs</t>
        </is>
      </c>
      <c r="M351" t="inlineStr">
        <is>
          <t>Medicare</t>
        </is>
      </c>
      <c r="N351" t="inlineStr">
        <is>
          <t>Government</t>
        </is>
      </c>
      <c r="O351" s="39" t="n">
        <v>2711.56</v>
      </c>
    </row>
    <row r="352">
      <c r="A352" t="inlineStr">
        <is>
          <t>ENC112711</t>
        </is>
      </c>
      <c r="B352" t="inlineStr">
        <is>
          <t>PT12787</t>
        </is>
      </c>
      <c r="C352" s="42" t="n">
        <v>45713</v>
      </c>
      <c r="D352" s="42" t="n">
        <v>45713</v>
      </c>
      <c r="E352" s="38" t="n">
        <v>0</v>
      </c>
      <c r="F352" t="inlineStr">
        <is>
          <t>Emergency</t>
        </is>
      </c>
      <c r="G352" t="inlineStr">
        <is>
          <t>Cedar Ridge Medical Center</t>
        </is>
      </c>
      <c r="H352" t="inlineStr">
        <is>
          <t>Emergency Department</t>
        </is>
      </c>
      <c r="I352" t="inlineStr">
        <is>
          <t>Emergency</t>
        </is>
      </c>
      <c r="J352" t="inlineStr">
        <is>
          <t>Andrews, Michael</t>
        </is>
      </c>
      <c r="K352" t="inlineStr">
        <is>
          <t>J06.9</t>
        </is>
      </c>
      <c r="L352" t="inlineStr">
        <is>
          <t>Respiratory</t>
        </is>
      </c>
      <c r="M352" t="inlineStr">
        <is>
          <t>State Medicaid</t>
        </is>
      </c>
      <c r="N352" t="inlineStr">
        <is>
          <t>Government</t>
        </is>
      </c>
      <c r="O352" s="39" t="n">
        <v>928.3099999999999</v>
      </c>
    </row>
    <row r="353">
      <c r="A353" t="inlineStr">
        <is>
          <t>ENC112717</t>
        </is>
      </c>
      <c r="B353" t="inlineStr">
        <is>
          <t>PT10450</t>
        </is>
      </c>
      <c r="C353" s="42" t="n">
        <v>45713</v>
      </c>
      <c r="D353" s="42" t="n">
        <v>45717</v>
      </c>
      <c r="E353" s="38" t="n">
        <v>4</v>
      </c>
      <c r="F353" t="inlineStr">
        <is>
          <t>Inpatient</t>
        </is>
      </c>
      <c r="G353" t="inlineStr">
        <is>
          <t>Bluestone Memorial Hospital</t>
        </is>
      </c>
      <c r="H353" t="inlineStr">
        <is>
          <t>Medical-Surgical 4 West</t>
        </is>
      </c>
      <c r="I353" t="inlineStr">
        <is>
          <t>Medicine</t>
        </is>
      </c>
      <c r="J353" t="inlineStr">
        <is>
          <t>Vasquez, Jose</t>
        </is>
      </c>
      <c r="K353" t="inlineStr">
        <is>
          <t>J44.1</t>
        </is>
      </c>
      <c r="L353" t="inlineStr">
        <is>
          <t>Respiratory</t>
        </is>
      </c>
      <c r="M353" t="inlineStr">
        <is>
          <t>Medicare</t>
        </is>
      </c>
      <c r="N353" t="inlineStr">
        <is>
          <t>Government</t>
        </is>
      </c>
      <c r="O353" s="39" t="n">
        <v>11924.97</v>
      </c>
      <c r="P353" t="inlineStr">
        <is>
          <t>N</t>
        </is>
      </c>
    </row>
    <row r="354">
      <c r="A354" t="inlineStr">
        <is>
          <t>ENC112728</t>
        </is>
      </c>
      <c r="B354" t="inlineStr">
        <is>
          <t>PT10784</t>
        </is>
      </c>
      <c r="C354" s="42" t="n">
        <v>45713</v>
      </c>
      <c r="D354" s="42" t="n">
        <v>45720</v>
      </c>
      <c r="E354" s="38" t="n">
        <v>7</v>
      </c>
      <c r="F354" t="inlineStr">
        <is>
          <t>Inpatient</t>
        </is>
      </c>
      <c r="G354" t="inlineStr">
        <is>
          <t>Bluestone Memorial Hospital</t>
        </is>
      </c>
      <c r="H354" t="inlineStr">
        <is>
          <t>Orthopedics &amp; Spine</t>
        </is>
      </c>
      <c r="I354" t="inlineStr">
        <is>
          <t>Orthopedics</t>
        </is>
      </c>
      <c r="J354" t="inlineStr">
        <is>
          <t>Richards, Anthony</t>
        </is>
      </c>
      <c r="K354" t="inlineStr">
        <is>
          <t>S72.001A</t>
        </is>
      </c>
      <c r="L354" t="inlineStr">
        <is>
          <t>Injury</t>
        </is>
      </c>
      <c r="M354" t="inlineStr">
        <is>
          <t>Silverline Medicare Advantage</t>
        </is>
      </c>
      <c r="N354" t="inlineStr">
        <is>
          <t>Medicare Advantage</t>
        </is>
      </c>
      <c r="O354" s="39" t="n">
        <v>68739.32000000001</v>
      </c>
      <c r="P354" t="inlineStr">
        <is>
          <t>N</t>
        </is>
      </c>
    </row>
    <row r="355">
      <c r="A355" t="inlineStr">
        <is>
          <t>ENC112734</t>
        </is>
      </c>
      <c r="B355" t="inlineStr">
        <is>
          <t>PT11003</t>
        </is>
      </c>
      <c r="C355" s="42" t="n">
        <v>45713</v>
      </c>
      <c r="D355" s="42" t="n">
        <v>45713</v>
      </c>
      <c r="E355" s="38" t="n">
        <v>0</v>
      </c>
      <c r="F355" t="inlineStr">
        <is>
          <t>Outpatient</t>
        </is>
      </c>
      <c r="G355" t="inlineStr">
        <is>
          <t>Bluestone Outpatient Pavilion</t>
        </is>
      </c>
      <c r="H355" t="inlineStr">
        <is>
          <t>Pediatric Clinic</t>
        </is>
      </c>
      <c r="I355" t="inlineStr">
        <is>
          <t>Women &amp; Children</t>
        </is>
      </c>
      <c r="J355" t="inlineStr">
        <is>
          <t>Wallace, Kevin</t>
        </is>
      </c>
      <c r="K355" t="inlineStr">
        <is>
          <t>H66.90</t>
        </is>
      </c>
      <c r="L355" t="inlineStr">
        <is>
          <t>Ear</t>
        </is>
      </c>
      <c r="M355" t="inlineStr">
        <is>
          <t>State Medicaid</t>
        </is>
      </c>
      <c r="N355" t="inlineStr">
        <is>
          <t>Government</t>
        </is>
      </c>
      <c r="O355" s="39" t="n">
        <v>263.33</v>
      </c>
    </row>
    <row r="356">
      <c r="A356" t="inlineStr">
        <is>
          <t>ENC112740</t>
        </is>
      </c>
      <c r="B356" t="inlineStr">
        <is>
          <t>PT10198</t>
        </is>
      </c>
      <c r="C356" s="42" t="n">
        <v>45713</v>
      </c>
      <c r="D356" s="42" t="n">
        <v>45713</v>
      </c>
      <c r="E356" s="38" t="n">
        <v>0</v>
      </c>
      <c r="F356" t="inlineStr">
        <is>
          <t>Outpatient</t>
        </is>
      </c>
      <c r="G356" t="inlineStr">
        <is>
          <t>Bluestone Outpatient Pavilion</t>
        </is>
      </c>
      <c r="H356" t="inlineStr">
        <is>
          <t>Primary Care Clinic</t>
        </is>
      </c>
      <c r="I356" t="inlineStr">
        <is>
          <t>Ambulatory</t>
        </is>
      </c>
      <c r="J356" t="inlineStr">
        <is>
          <t>Petrov, Doris</t>
        </is>
      </c>
      <c r="K356" t="inlineStr">
        <is>
          <t>I10</t>
        </is>
      </c>
      <c r="L356" t="inlineStr">
        <is>
          <t>Circulatory</t>
        </is>
      </c>
      <c r="M356" t="inlineStr">
        <is>
          <t>Summit Choice PPO</t>
        </is>
      </c>
      <c r="N356" t="inlineStr">
        <is>
          <t>Commercial</t>
        </is>
      </c>
      <c r="O356" s="39" t="n">
        <v>220.49</v>
      </c>
    </row>
    <row r="357">
      <c r="A357" t="inlineStr">
        <is>
          <t>ENC112754</t>
        </is>
      </c>
      <c r="B357" t="inlineStr">
        <is>
          <t>PT12081</t>
        </is>
      </c>
      <c r="C357" s="42" t="n">
        <v>45714</v>
      </c>
      <c r="D357" s="42" t="n">
        <v>45714</v>
      </c>
      <c r="E357" s="38" t="n">
        <v>0</v>
      </c>
      <c r="F357" t="inlineStr">
        <is>
          <t>Observation</t>
        </is>
      </c>
      <c r="G357" t="inlineStr">
        <is>
          <t>Cedar Ridge Medical Center</t>
        </is>
      </c>
      <c r="H357" t="inlineStr">
        <is>
          <t>Medical-Surgical</t>
        </is>
      </c>
      <c r="I357" t="inlineStr">
        <is>
          <t>Medicine</t>
        </is>
      </c>
      <c r="J357" t="inlineStr">
        <is>
          <t>Payne, Tyler</t>
        </is>
      </c>
      <c r="K357" t="inlineStr">
        <is>
          <t>R10.9</t>
        </is>
      </c>
      <c r="L357" t="inlineStr">
        <is>
          <t>Symptoms &amp; Signs</t>
        </is>
      </c>
      <c r="M357" t="inlineStr">
        <is>
          <t>Medicare</t>
        </is>
      </c>
      <c r="N357" t="inlineStr">
        <is>
          <t>Government</t>
        </is>
      </c>
      <c r="O357" s="39" t="n">
        <v>7214.32</v>
      </c>
    </row>
    <row r="358">
      <c r="A358" t="inlineStr">
        <is>
          <t>ENC112761</t>
        </is>
      </c>
      <c r="B358" t="inlineStr">
        <is>
          <t>PT13363</t>
        </is>
      </c>
      <c r="C358" s="42" t="n">
        <v>45714</v>
      </c>
      <c r="D358" s="42" t="n">
        <v>45714</v>
      </c>
      <c r="E358" s="38" t="n">
        <v>0</v>
      </c>
      <c r="F358" t="inlineStr">
        <is>
          <t>Outpatient</t>
        </is>
      </c>
      <c r="G358" t="inlineStr">
        <is>
          <t>Bluestone Outpatient Pavilion</t>
        </is>
      </c>
      <c r="H358" t="inlineStr">
        <is>
          <t>Primary Care Clinic</t>
        </is>
      </c>
      <c r="I358" t="inlineStr">
        <is>
          <t>Ambulatory</t>
        </is>
      </c>
      <c r="J358" t="inlineStr">
        <is>
          <t>Yilmaz, Richard</t>
        </is>
      </c>
      <c r="K358" t="inlineStr">
        <is>
          <t>I10</t>
        </is>
      </c>
      <c r="L358" t="inlineStr">
        <is>
          <t>Circulatory</t>
        </is>
      </c>
      <c r="M358" t="inlineStr">
        <is>
          <t>Medicare</t>
        </is>
      </c>
      <c r="N358" t="inlineStr">
        <is>
          <t>Government</t>
        </is>
      </c>
      <c r="O358" s="39" t="n">
        <v>199.37</v>
      </c>
    </row>
    <row r="359">
      <c r="A359" t="inlineStr">
        <is>
          <t>ENC112759</t>
        </is>
      </c>
      <c r="B359" t="inlineStr">
        <is>
          <t>PT11174</t>
        </is>
      </c>
      <c r="C359" s="42" t="n">
        <v>45714</v>
      </c>
      <c r="D359" s="42" t="n">
        <v>45716</v>
      </c>
      <c r="E359" s="38" t="n">
        <v>2</v>
      </c>
      <c r="F359" t="inlineStr">
        <is>
          <t>Inpatient</t>
        </is>
      </c>
      <c r="G359" t="inlineStr">
        <is>
          <t>Bluestone Memorial Hospital</t>
        </is>
      </c>
      <c r="H359" t="inlineStr">
        <is>
          <t>Labor &amp; Delivery</t>
        </is>
      </c>
      <c r="I359" t="inlineStr">
        <is>
          <t>Women &amp; Children</t>
        </is>
      </c>
      <c r="J359" t="inlineStr">
        <is>
          <t>Watson, Frank</t>
        </is>
      </c>
      <c r="K359" t="inlineStr">
        <is>
          <t>O80</t>
        </is>
      </c>
      <c r="L359" t="inlineStr">
        <is>
          <t>Pregnancy</t>
        </is>
      </c>
      <c r="M359" t="inlineStr">
        <is>
          <t>State Medicaid</t>
        </is>
      </c>
      <c r="N359" t="inlineStr">
        <is>
          <t>Government</t>
        </is>
      </c>
      <c r="O359" s="39" t="n">
        <v>18347.88</v>
      </c>
      <c r="P359" t="inlineStr">
        <is>
          <t>N</t>
        </is>
      </c>
    </row>
    <row r="360">
      <c r="A360" t="inlineStr">
        <is>
          <t>ENC112767</t>
        </is>
      </c>
      <c r="B360" t="inlineStr">
        <is>
          <t>PT10847</t>
        </is>
      </c>
      <c r="C360" s="42" t="n">
        <v>45714</v>
      </c>
      <c r="D360" s="42" t="n">
        <v>45714</v>
      </c>
      <c r="E360" s="38" t="n">
        <v>0</v>
      </c>
      <c r="F360" t="inlineStr">
        <is>
          <t>Outpatient</t>
        </is>
      </c>
      <c r="G360" t="inlineStr">
        <is>
          <t>Bluestone Outpatient Pavilion</t>
        </is>
      </c>
      <c r="H360" t="inlineStr">
        <is>
          <t>Infusion &amp; Oncology Clinic</t>
        </is>
      </c>
      <c r="I360" t="inlineStr">
        <is>
          <t>Oncology</t>
        </is>
      </c>
      <c r="J360" t="inlineStr">
        <is>
          <t>Hicks, Zachary</t>
        </is>
      </c>
      <c r="K360" t="inlineStr">
        <is>
          <t>Z51.11</t>
        </is>
      </c>
      <c r="L360" t="inlineStr">
        <is>
          <t>Factors Influencing Health</t>
        </is>
      </c>
      <c r="M360" t="inlineStr">
        <is>
          <t>Silverline Medicare Advantage</t>
        </is>
      </c>
      <c r="N360" t="inlineStr">
        <is>
          <t>Medicare Advantage</t>
        </is>
      </c>
      <c r="O360" s="39" t="n">
        <v>10255.48</v>
      </c>
    </row>
    <row r="361">
      <c r="A361" t="inlineStr">
        <is>
          <t>ENC112792</t>
        </is>
      </c>
      <c r="B361" t="inlineStr">
        <is>
          <t>PT10950</t>
        </is>
      </c>
      <c r="C361" s="42" t="n">
        <v>45714</v>
      </c>
      <c r="D361" s="42" t="n">
        <v>45715</v>
      </c>
      <c r="E361" s="38" t="n">
        <v>1</v>
      </c>
      <c r="F361" t="inlineStr">
        <is>
          <t>Emergency</t>
        </is>
      </c>
      <c r="G361" t="inlineStr">
        <is>
          <t>Bluestone Memorial Hospital</t>
        </is>
      </c>
      <c r="H361" t="inlineStr">
        <is>
          <t>Emergency Department</t>
        </is>
      </c>
      <c r="I361" t="inlineStr">
        <is>
          <t>Emergency</t>
        </is>
      </c>
      <c r="J361" t="inlineStr">
        <is>
          <t>Sullivan, Jacob</t>
        </is>
      </c>
      <c r="K361" t="inlineStr">
        <is>
          <t>J21.9</t>
        </is>
      </c>
      <c r="L361" t="inlineStr">
        <is>
          <t>Respiratory</t>
        </is>
      </c>
      <c r="M361" t="inlineStr">
        <is>
          <t>State Medicaid</t>
        </is>
      </c>
      <c r="N361" t="inlineStr">
        <is>
          <t>Government</t>
        </is>
      </c>
      <c r="O361" s="39" t="n">
        <v>3202.13</v>
      </c>
    </row>
    <row r="362">
      <c r="A362" t="inlineStr">
        <is>
          <t>ENC112794</t>
        </is>
      </c>
      <c r="B362" t="inlineStr">
        <is>
          <t>PT10082</t>
        </is>
      </c>
      <c r="C362" s="42" t="n">
        <v>45715</v>
      </c>
      <c r="D362" s="42" t="n">
        <v>45717</v>
      </c>
      <c r="E362" s="38" t="n">
        <v>2</v>
      </c>
      <c r="F362" t="inlineStr">
        <is>
          <t>Inpatient</t>
        </is>
      </c>
      <c r="G362" t="inlineStr">
        <is>
          <t>Bluestone Memorial Hospital</t>
        </is>
      </c>
      <c r="H362" t="inlineStr">
        <is>
          <t>Oncology</t>
        </is>
      </c>
      <c r="I362" t="inlineStr">
        <is>
          <t>Oncology</t>
        </is>
      </c>
      <c r="J362" t="inlineStr">
        <is>
          <t>Robertson, Eric</t>
        </is>
      </c>
      <c r="K362" t="inlineStr">
        <is>
          <t>C50.911</t>
        </is>
      </c>
      <c r="L362" t="inlineStr">
        <is>
          <t>Neoplasms</t>
        </is>
      </c>
      <c r="M362" t="inlineStr">
        <is>
          <t>Summit Choice PPO</t>
        </is>
      </c>
      <c r="N362" t="inlineStr">
        <is>
          <t>Commercial</t>
        </is>
      </c>
      <c r="O362" s="39" t="n">
        <v>16679.18</v>
      </c>
      <c r="P362" t="inlineStr">
        <is>
          <t>N</t>
        </is>
      </c>
    </row>
    <row r="363">
      <c r="A363" t="inlineStr">
        <is>
          <t>ENC112798</t>
        </is>
      </c>
      <c r="B363" t="inlineStr">
        <is>
          <t>PT13336</t>
        </is>
      </c>
      <c r="C363" s="42" t="n">
        <v>45715</v>
      </c>
      <c r="D363" s="42" t="n">
        <v>45715</v>
      </c>
      <c r="E363" s="38" t="n">
        <v>0</v>
      </c>
      <c r="F363" t="inlineStr">
        <is>
          <t>Outpatient</t>
        </is>
      </c>
      <c r="G363" t="inlineStr">
        <is>
          <t>Bluestone Outpatient Pavilion</t>
        </is>
      </c>
      <c r="H363" t="inlineStr">
        <is>
          <t>Infusion &amp; Oncology Clinic</t>
        </is>
      </c>
      <c r="I363" t="inlineStr">
        <is>
          <t>Oncology</t>
        </is>
      </c>
      <c r="J363" t="inlineStr">
        <is>
          <t>Long, Fatima</t>
        </is>
      </c>
      <c r="K363" t="inlineStr">
        <is>
          <t>C50.911</t>
        </is>
      </c>
      <c r="L363" t="inlineStr">
        <is>
          <t>Neoplasms</t>
        </is>
      </c>
      <c r="M363" t="inlineStr">
        <is>
          <t>Keystone Health Partners</t>
        </is>
      </c>
      <c r="N363" t="inlineStr">
        <is>
          <t>Commercial</t>
        </is>
      </c>
      <c r="O363" s="39" t="n">
        <v>1042.12</v>
      </c>
    </row>
    <row r="364">
      <c r="A364" t="inlineStr">
        <is>
          <t>ENC112804</t>
        </is>
      </c>
      <c r="B364" t="inlineStr">
        <is>
          <t>PT11082</t>
        </is>
      </c>
      <c r="C364" s="42" t="n">
        <v>45715</v>
      </c>
      <c r="D364" s="42" t="n">
        <v>45715</v>
      </c>
      <c r="E364" s="38" t="n">
        <v>0</v>
      </c>
      <c r="F364" t="inlineStr">
        <is>
          <t>Outpatient</t>
        </is>
      </c>
      <c r="G364" t="inlineStr">
        <is>
          <t>Bluestone Outpatient Pavilion</t>
        </is>
      </c>
      <c r="H364" t="inlineStr">
        <is>
          <t>Primary Care Clinic</t>
        </is>
      </c>
      <c r="I364" t="inlineStr">
        <is>
          <t>Ambulatory</t>
        </is>
      </c>
      <c r="J364" t="inlineStr">
        <is>
          <t>Petrov, Doris</t>
        </is>
      </c>
      <c r="K364" t="inlineStr">
        <is>
          <t>J06.9</t>
        </is>
      </c>
      <c r="L364" t="inlineStr">
        <is>
          <t>Respiratory</t>
        </is>
      </c>
      <c r="M364" t="inlineStr">
        <is>
          <t>Medicare</t>
        </is>
      </c>
      <c r="N364" t="inlineStr">
        <is>
          <t>Government</t>
        </is>
      </c>
      <c r="O364" s="39" t="n">
        <v>154.28</v>
      </c>
    </row>
    <row r="365">
      <c r="A365" t="inlineStr">
        <is>
          <t>ENC112816</t>
        </is>
      </c>
      <c r="B365" t="inlineStr">
        <is>
          <t>PT10211</t>
        </is>
      </c>
      <c r="C365" s="42" t="n">
        <v>45715</v>
      </c>
      <c r="D365" s="42" t="n">
        <v>45718</v>
      </c>
      <c r="E365" s="38" t="n">
        <v>3</v>
      </c>
      <c r="F365" t="inlineStr">
        <is>
          <t>Inpatient</t>
        </is>
      </c>
      <c r="G365" t="inlineStr">
        <is>
          <t>Bluestone Memorial Hospital</t>
        </is>
      </c>
      <c r="H365" t="inlineStr">
        <is>
          <t>Medical-Surgical 5 East</t>
        </is>
      </c>
      <c r="I365" t="inlineStr">
        <is>
          <t>Medicine</t>
        </is>
      </c>
      <c r="J365" t="inlineStr">
        <is>
          <t>Cox, Judith</t>
        </is>
      </c>
      <c r="K365" t="inlineStr">
        <is>
          <t>U07.1</t>
        </is>
      </c>
      <c r="L365" t="inlineStr">
        <is>
          <t>Respiratory</t>
        </is>
      </c>
      <c r="M365" t="inlineStr">
        <is>
          <t>Keystone Health Partners</t>
        </is>
      </c>
      <c r="N365" t="inlineStr">
        <is>
          <t>Commercial</t>
        </is>
      </c>
      <c r="O365" s="39" t="n">
        <v>12816.06</v>
      </c>
      <c r="P365" t="inlineStr">
        <is>
          <t>Y</t>
        </is>
      </c>
    </row>
    <row r="366">
      <c r="A366" t="inlineStr">
        <is>
          <t>ENC112820</t>
        </is>
      </c>
      <c r="B366" t="inlineStr">
        <is>
          <t>PT13783</t>
        </is>
      </c>
      <c r="C366" s="42" t="n">
        <v>45715</v>
      </c>
      <c r="D366" s="42" t="n">
        <v>45715</v>
      </c>
      <c r="E366" s="38" t="n">
        <v>0</v>
      </c>
      <c r="F366" t="inlineStr">
        <is>
          <t>Emergency</t>
        </is>
      </c>
      <c r="G366" t="inlineStr">
        <is>
          <t>Bluestone Memorial Hospital</t>
        </is>
      </c>
      <c r="H366" t="inlineStr">
        <is>
          <t>Emergency Department</t>
        </is>
      </c>
      <c r="I366" t="inlineStr">
        <is>
          <t>Emergency</t>
        </is>
      </c>
      <c r="J366" t="inlineStr">
        <is>
          <t>Foster, Patrick</t>
        </is>
      </c>
      <c r="K366" t="inlineStr">
        <is>
          <t>R07.9</t>
        </is>
      </c>
      <c r="L366" t="inlineStr">
        <is>
          <t>Symptoms &amp; Signs</t>
        </is>
      </c>
      <c r="M366" t="inlineStr">
        <is>
          <t>State Medicaid</t>
        </is>
      </c>
      <c r="N366" t="inlineStr">
        <is>
          <t>Government</t>
        </is>
      </c>
      <c r="O366" s="39" t="n">
        <v>3235.43</v>
      </c>
    </row>
    <row r="367">
      <c r="A367" t="inlineStr">
        <is>
          <t>ENC112823</t>
        </is>
      </c>
      <c r="B367" t="inlineStr">
        <is>
          <t>PT11903</t>
        </is>
      </c>
      <c r="C367" s="42" t="n">
        <v>45715</v>
      </c>
      <c r="D367" s="42" t="n">
        <v>45715</v>
      </c>
      <c r="E367" s="38" t="n">
        <v>0</v>
      </c>
      <c r="F367" t="inlineStr">
        <is>
          <t>Outpatient</t>
        </is>
      </c>
      <c r="G367" t="inlineStr">
        <is>
          <t>Bluestone Outpatient Pavilion</t>
        </is>
      </c>
      <c r="H367" t="inlineStr">
        <is>
          <t>Primary Care Clinic</t>
        </is>
      </c>
      <c r="I367" t="inlineStr">
        <is>
          <t>Ambulatory</t>
        </is>
      </c>
      <c r="J367" t="inlineStr">
        <is>
          <t>Yilmaz, Richard</t>
        </is>
      </c>
      <c r="K367" t="inlineStr">
        <is>
          <t>J06.9</t>
        </is>
      </c>
      <c r="L367" t="inlineStr">
        <is>
          <t>Respiratory</t>
        </is>
      </c>
      <c r="M367" t="inlineStr">
        <is>
          <t>Evergreen Mutual Insurance</t>
        </is>
      </c>
      <c r="N367" t="inlineStr">
        <is>
          <t>Commercial</t>
        </is>
      </c>
      <c r="O367" s="39" t="n">
        <v>329.75</v>
      </c>
    </row>
    <row r="368">
      <c r="A368" t="inlineStr">
        <is>
          <t>ENC112838</t>
        </is>
      </c>
      <c r="B368" t="inlineStr">
        <is>
          <t>PT11213</t>
        </is>
      </c>
      <c r="C368" s="42" t="n">
        <v>45716</v>
      </c>
      <c r="D368" s="42" t="n">
        <v>45716</v>
      </c>
      <c r="E368" s="38" t="n">
        <v>0</v>
      </c>
      <c r="F368" t="inlineStr">
        <is>
          <t>Outpatient</t>
        </is>
      </c>
      <c r="G368" t="inlineStr">
        <is>
          <t>Bluestone Outpatient Pavilion</t>
        </is>
      </c>
      <c r="H368" t="inlineStr">
        <is>
          <t>Pediatric Clinic</t>
        </is>
      </c>
      <c r="I368" t="inlineStr">
        <is>
          <t>Women &amp; Children</t>
        </is>
      </c>
      <c r="J368" t="inlineStr">
        <is>
          <t>Aguilar, Linh</t>
        </is>
      </c>
      <c r="K368" t="inlineStr">
        <is>
          <t>H66.90</t>
        </is>
      </c>
      <c r="L368" t="inlineStr">
        <is>
          <t>Ear</t>
        </is>
      </c>
      <c r="M368" t="inlineStr">
        <is>
          <t>State Medicaid</t>
        </is>
      </c>
      <c r="N368" t="inlineStr">
        <is>
          <t>Government</t>
        </is>
      </c>
      <c r="O368" s="39" t="n">
        <v>400.81</v>
      </c>
    </row>
    <row r="369">
      <c r="A369" t="inlineStr">
        <is>
          <t>ENC112849</t>
        </is>
      </c>
      <c r="B369" t="inlineStr">
        <is>
          <t>PT13406</t>
        </is>
      </c>
      <c r="C369" s="42" t="n">
        <v>45716</v>
      </c>
      <c r="D369" s="42" t="n">
        <v>45716</v>
      </c>
      <c r="E369" s="38" t="n">
        <v>0</v>
      </c>
      <c r="F369" t="inlineStr">
        <is>
          <t>Outpatient</t>
        </is>
      </c>
      <c r="G369" t="inlineStr">
        <is>
          <t>Bluestone Outpatient Pavilion</t>
        </is>
      </c>
      <c r="H369" t="inlineStr">
        <is>
          <t>Infusion &amp; Oncology Clinic</t>
        </is>
      </c>
      <c r="I369" t="inlineStr">
        <is>
          <t>Oncology</t>
        </is>
      </c>
      <c r="J369" t="inlineStr">
        <is>
          <t>Long, Fatima</t>
        </is>
      </c>
      <c r="K369" t="inlineStr">
        <is>
          <t>Z51.11</t>
        </is>
      </c>
      <c r="L369" t="inlineStr">
        <is>
          <t>Factors Influencing Health</t>
        </is>
      </c>
      <c r="M369" t="inlineStr">
        <is>
          <t>Summit Choice PPO</t>
        </is>
      </c>
      <c r="N369" t="inlineStr">
        <is>
          <t>Commercial</t>
        </is>
      </c>
      <c r="O369" s="39" t="n">
        <v>6403.58</v>
      </c>
    </row>
    <row r="370">
      <c r="A370" t="inlineStr">
        <is>
          <t>ENC112855</t>
        </is>
      </c>
      <c r="B370" t="inlineStr">
        <is>
          <t>PT10505</t>
        </is>
      </c>
      <c r="C370" s="42" t="n">
        <v>45716</v>
      </c>
      <c r="D370" s="42" t="n">
        <v>45716</v>
      </c>
      <c r="E370" s="38" t="n">
        <v>0</v>
      </c>
      <c r="F370" t="inlineStr">
        <is>
          <t>Outpatient</t>
        </is>
      </c>
      <c r="G370" t="inlineStr">
        <is>
          <t>Bluestone Outpatient Pavilion</t>
        </is>
      </c>
      <c r="H370" t="inlineStr">
        <is>
          <t>Primary Care Clinic</t>
        </is>
      </c>
      <c r="I370" t="inlineStr">
        <is>
          <t>Ambulatory</t>
        </is>
      </c>
      <c r="J370" t="inlineStr">
        <is>
          <t>Torres, Rebecca</t>
        </is>
      </c>
      <c r="K370" t="inlineStr">
        <is>
          <t>Z23</t>
        </is>
      </c>
      <c r="L370" t="inlineStr">
        <is>
          <t>Factors Influencing Health</t>
        </is>
      </c>
      <c r="M370" t="inlineStr">
        <is>
          <t>State Medicaid</t>
        </is>
      </c>
      <c r="N370" t="inlineStr">
        <is>
          <t>Government</t>
        </is>
      </c>
      <c r="O370" s="39" t="n">
        <v>109.61</v>
      </c>
    </row>
    <row r="371">
      <c r="A371" t="inlineStr">
        <is>
          <t>ENC112851</t>
        </is>
      </c>
      <c r="B371" t="inlineStr">
        <is>
          <t>PT13151</t>
        </is>
      </c>
      <c r="C371" s="42" t="n">
        <v>45716</v>
      </c>
      <c r="D371" s="42" t="n">
        <v>45717</v>
      </c>
      <c r="E371" s="38" t="n">
        <v>1</v>
      </c>
      <c r="F371" t="inlineStr">
        <is>
          <t>Observation</t>
        </is>
      </c>
      <c r="G371" t="inlineStr">
        <is>
          <t>Bluestone Memorial Hospital</t>
        </is>
      </c>
      <c r="H371" t="inlineStr">
        <is>
          <t>Observation Unit</t>
        </is>
      </c>
      <c r="I371" t="inlineStr">
        <is>
          <t>Medicine</t>
        </is>
      </c>
      <c r="J371" t="inlineStr">
        <is>
          <t>Abdi, Hassan</t>
        </is>
      </c>
      <c r="K371" t="inlineStr">
        <is>
          <t>U07.1</t>
        </is>
      </c>
      <c r="L371" t="inlineStr">
        <is>
          <t>Respiratory</t>
        </is>
      </c>
      <c r="M371" t="inlineStr">
        <is>
          <t>Silverline Medicare Advantage</t>
        </is>
      </c>
      <c r="N371" t="inlineStr">
        <is>
          <t>Medicare Advantage</t>
        </is>
      </c>
      <c r="O371" s="39" t="n">
        <v>6576.6</v>
      </c>
    </row>
    <row r="372">
      <c r="A372" t="inlineStr">
        <is>
          <t>ENC112862</t>
        </is>
      </c>
      <c r="B372" t="inlineStr">
        <is>
          <t>PT10994</t>
        </is>
      </c>
      <c r="C372" s="42" t="n">
        <v>45717</v>
      </c>
      <c r="D372" s="42" t="n">
        <v>45717</v>
      </c>
      <c r="E372" s="38" t="n">
        <v>0</v>
      </c>
      <c r="F372" t="inlineStr">
        <is>
          <t>Emergency</t>
        </is>
      </c>
      <c r="G372" t="inlineStr">
        <is>
          <t>Bluestone Memorial Hospital</t>
        </is>
      </c>
      <c r="H372" t="inlineStr">
        <is>
          <t>Emergency Department</t>
        </is>
      </c>
      <c r="I372" t="inlineStr">
        <is>
          <t>Emergency</t>
        </is>
      </c>
      <c r="J372" t="inlineStr">
        <is>
          <t>Foster, Patrick</t>
        </is>
      </c>
      <c r="K372" t="inlineStr">
        <is>
          <t>J21.9</t>
        </is>
      </c>
      <c r="L372" t="inlineStr">
        <is>
          <t>Respiratory</t>
        </is>
      </c>
      <c r="M372" t="inlineStr">
        <is>
          <t>State Medicaid</t>
        </is>
      </c>
      <c r="N372" t="inlineStr">
        <is>
          <t>Government</t>
        </is>
      </c>
      <c r="O372" s="39" t="n">
        <v>6421.52</v>
      </c>
    </row>
    <row r="373">
      <c r="A373" t="inlineStr">
        <is>
          <t>ENC112871</t>
        </is>
      </c>
      <c r="B373" t="inlineStr">
        <is>
          <t>PT13660</t>
        </is>
      </c>
      <c r="C373" s="42" t="n">
        <v>45717</v>
      </c>
      <c r="D373" s="42" t="n">
        <v>45717</v>
      </c>
      <c r="E373" s="38" t="n">
        <v>0</v>
      </c>
      <c r="F373" t="inlineStr">
        <is>
          <t>Emergency</t>
        </is>
      </c>
      <c r="G373" t="inlineStr">
        <is>
          <t>Bluestone Memorial Hospital</t>
        </is>
      </c>
      <c r="H373" t="inlineStr">
        <is>
          <t>Emergency Department</t>
        </is>
      </c>
      <c r="I373" t="inlineStr">
        <is>
          <t>Emergency</t>
        </is>
      </c>
      <c r="J373" t="inlineStr">
        <is>
          <t>Foster, Patrick</t>
        </is>
      </c>
      <c r="K373" t="inlineStr">
        <is>
          <t>N39.0</t>
        </is>
      </c>
      <c r="L373" t="inlineStr">
        <is>
          <t>Genitourinary</t>
        </is>
      </c>
      <c r="M373" t="inlineStr">
        <is>
          <t>Keystone Health Partners</t>
        </is>
      </c>
      <c r="N373" t="inlineStr">
        <is>
          <t>Commercial</t>
        </is>
      </c>
      <c r="O373" s="39" t="n">
        <v>1741.33</v>
      </c>
    </row>
    <row r="374">
      <c r="A374" t="inlineStr">
        <is>
          <t>ENC112872</t>
        </is>
      </c>
      <c r="B374" t="inlineStr">
        <is>
          <t>PT11143</t>
        </is>
      </c>
      <c r="C374" s="42" t="n">
        <v>45717</v>
      </c>
      <c r="D374" s="42" t="n">
        <v>45717</v>
      </c>
      <c r="E374" s="38" t="n">
        <v>0</v>
      </c>
      <c r="F374" t="inlineStr">
        <is>
          <t>Emergency</t>
        </is>
      </c>
      <c r="G374" t="inlineStr">
        <is>
          <t>Bluestone Memorial Hospital</t>
        </is>
      </c>
      <c r="H374" t="inlineStr">
        <is>
          <t>Emergency Department</t>
        </is>
      </c>
      <c r="I374" t="inlineStr">
        <is>
          <t>Emergency</t>
        </is>
      </c>
      <c r="J374" t="inlineStr">
        <is>
          <t>Myers, Doris</t>
        </is>
      </c>
      <c r="K374" t="inlineStr">
        <is>
          <t>R10.9</t>
        </is>
      </c>
      <c r="L374" t="inlineStr">
        <is>
          <t>Symptoms &amp; Signs</t>
        </is>
      </c>
      <c r="M374" t="inlineStr">
        <is>
          <t>State Medicaid</t>
        </is>
      </c>
      <c r="N374" t="inlineStr">
        <is>
          <t>Government</t>
        </is>
      </c>
      <c r="O374" s="39" t="n">
        <v>838.73</v>
      </c>
    </row>
    <row r="375">
      <c r="A375" t="inlineStr">
        <is>
          <t>ENC112875</t>
        </is>
      </c>
      <c r="B375" t="inlineStr">
        <is>
          <t>PT13985</t>
        </is>
      </c>
      <c r="C375" s="42" t="n">
        <v>45718</v>
      </c>
      <c r="D375" s="42" t="n">
        <v>45720</v>
      </c>
      <c r="E375" s="38" t="n">
        <v>2</v>
      </c>
      <c r="F375" t="inlineStr">
        <is>
          <t>Inpatient</t>
        </is>
      </c>
      <c r="G375" t="inlineStr">
        <is>
          <t>Bluestone Memorial Hospital</t>
        </is>
      </c>
      <c r="H375" t="inlineStr">
        <is>
          <t>Medical-Surgical 5 East</t>
        </is>
      </c>
      <c r="I375" t="inlineStr">
        <is>
          <t>Medicine</t>
        </is>
      </c>
      <c r="J375" t="inlineStr">
        <is>
          <t>Wallace, Alan</t>
        </is>
      </c>
      <c r="K375" t="inlineStr">
        <is>
          <t>J18.9</t>
        </is>
      </c>
      <c r="L375" t="inlineStr">
        <is>
          <t>Respiratory</t>
        </is>
      </c>
      <c r="M375" t="inlineStr">
        <is>
          <t>Medicare</t>
        </is>
      </c>
      <c r="N375" t="inlineStr">
        <is>
          <t>Government</t>
        </is>
      </c>
      <c r="O375" s="39" t="n">
        <v>14849.89</v>
      </c>
      <c r="P375" t="inlineStr">
        <is>
          <t>N</t>
        </is>
      </c>
    </row>
    <row r="376">
      <c r="A376" t="inlineStr">
        <is>
          <t>ENC112880</t>
        </is>
      </c>
      <c r="B376" t="inlineStr">
        <is>
          <t>PT12231</t>
        </is>
      </c>
      <c r="C376" s="42" t="n">
        <v>45718</v>
      </c>
      <c r="D376" s="42" t="n">
        <v>45726</v>
      </c>
      <c r="E376" s="38" t="n">
        <v>8</v>
      </c>
      <c r="F376" t="inlineStr">
        <is>
          <t>Inpatient</t>
        </is>
      </c>
      <c r="G376" t="inlineStr">
        <is>
          <t>Bluestone Memorial Hospital</t>
        </is>
      </c>
      <c r="H376" t="inlineStr">
        <is>
          <t>Intensive Care Unit</t>
        </is>
      </c>
      <c r="I376" t="inlineStr">
        <is>
          <t>Critical Care</t>
        </is>
      </c>
      <c r="J376" t="inlineStr">
        <is>
          <t>Hawkins, Bruce</t>
        </is>
      </c>
      <c r="K376" t="inlineStr">
        <is>
          <t>A41.9</t>
        </is>
      </c>
      <c r="L376" t="inlineStr">
        <is>
          <t>Infectious</t>
        </is>
      </c>
      <c r="M376" t="inlineStr">
        <is>
          <t>Self-Pay</t>
        </is>
      </c>
      <c r="N376" t="inlineStr">
        <is>
          <t>Self-Pay</t>
        </is>
      </c>
      <c r="O376" s="39" t="n">
        <v>68914.82000000001</v>
      </c>
      <c r="P376" t="inlineStr">
        <is>
          <t>N</t>
        </is>
      </c>
    </row>
    <row r="377">
      <c r="A377" t="inlineStr">
        <is>
          <t>ENC112885</t>
        </is>
      </c>
      <c r="B377" t="inlineStr">
        <is>
          <t>PT10678</t>
        </is>
      </c>
      <c r="C377" s="42" t="n">
        <v>45718</v>
      </c>
      <c r="D377" s="42" t="n">
        <v>45718</v>
      </c>
      <c r="E377" s="38" t="n">
        <v>0</v>
      </c>
      <c r="F377" t="inlineStr">
        <is>
          <t>Emergency</t>
        </is>
      </c>
      <c r="G377" t="inlineStr">
        <is>
          <t>Bluestone Memorial Hospital</t>
        </is>
      </c>
      <c r="H377" t="inlineStr">
        <is>
          <t>Emergency Department</t>
        </is>
      </c>
      <c r="I377" t="inlineStr">
        <is>
          <t>Emergency</t>
        </is>
      </c>
      <c r="J377" t="inlineStr">
        <is>
          <t>Morris, Jordan</t>
        </is>
      </c>
      <c r="K377" t="inlineStr">
        <is>
          <t>N39.0</t>
        </is>
      </c>
      <c r="L377" t="inlineStr">
        <is>
          <t>Genitourinary</t>
        </is>
      </c>
      <c r="M377" t="inlineStr">
        <is>
          <t>Keystone Health Partners</t>
        </is>
      </c>
      <c r="N377" t="inlineStr">
        <is>
          <t>Commercial</t>
        </is>
      </c>
      <c r="O377" s="39" t="n">
        <v>1874.37</v>
      </c>
    </row>
    <row r="378">
      <c r="A378" t="inlineStr">
        <is>
          <t>ENC112896</t>
        </is>
      </c>
      <c r="B378" t="inlineStr">
        <is>
          <t>PT11437</t>
        </is>
      </c>
      <c r="C378" s="42" t="n">
        <v>45719</v>
      </c>
      <c r="D378" s="42" t="n">
        <v>45722</v>
      </c>
      <c r="E378" s="38" t="n">
        <v>3</v>
      </c>
      <c r="F378" t="inlineStr">
        <is>
          <t>Inpatient</t>
        </is>
      </c>
      <c r="G378" t="inlineStr">
        <is>
          <t>Cedar Ridge Medical Center</t>
        </is>
      </c>
      <c r="H378" t="inlineStr">
        <is>
          <t>Medical-Surgical</t>
        </is>
      </c>
      <c r="I378" t="inlineStr">
        <is>
          <t>Medicine</t>
        </is>
      </c>
      <c r="J378" t="inlineStr">
        <is>
          <t>Hall, Doris</t>
        </is>
      </c>
      <c r="K378" t="inlineStr">
        <is>
          <t>J18.9</t>
        </is>
      </c>
      <c r="L378" t="inlineStr">
        <is>
          <t>Respiratory</t>
        </is>
      </c>
      <c r="M378" t="inlineStr">
        <is>
          <t>Silverline Medicare Advantage</t>
        </is>
      </c>
      <c r="N378" t="inlineStr">
        <is>
          <t>Medicare Advantage</t>
        </is>
      </c>
      <c r="O378" s="39" t="n">
        <v>12754.32</v>
      </c>
      <c r="P378" t="inlineStr">
        <is>
          <t>N</t>
        </is>
      </c>
    </row>
    <row r="379">
      <c r="A379" t="inlineStr">
        <is>
          <t>ENC112908</t>
        </is>
      </c>
      <c r="B379" t="inlineStr">
        <is>
          <t>PT10111</t>
        </is>
      </c>
      <c r="C379" s="42" t="n">
        <v>45719</v>
      </c>
      <c r="D379" s="42" t="n">
        <v>45719</v>
      </c>
      <c r="E379" s="38" t="n">
        <v>0</v>
      </c>
      <c r="F379" t="inlineStr">
        <is>
          <t>Outpatient</t>
        </is>
      </c>
      <c r="G379" t="inlineStr">
        <is>
          <t>Bluestone Outpatient Pavilion</t>
        </is>
      </c>
      <c r="H379" t="inlineStr">
        <is>
          <t>Pediatric Clinic</t>
        </is>
      </c>
      <c r="I379" t="inlineStr">
        <is>
          <t>Women &amp; Children</t>
        </is>
      </c>
      <c r="J379" t="inlineStr">
        <is>
          <t>Aguilar, Linh</t>
        </is>
      </c>
      <c r="K379" t="inlineStr">
        <is>
          <t>H66.90</t>
        </is>
      </c>
      <c r="L379" t="inlineStr">
        <is>
          <t>Ear</t>
        </is>
      </c>
      <c r="M379" t="inlineStr">
        <is>
          <t>Self-Pay</t>
        </is>
      </c>
      <c r="N379" t="inlineStr">
        <is>
          <t>Self-Pay</t>
        </is>
      </c>
      <c r="O379" s="39" t="n">
        <v>220.49</v>
      </c>
    </row>
    <row r="380">
      <c r="A380" t="inlineStr">
        <is>
          <t>ENC112916</t>
        </is>
      </c>
      <c r="B380" t="inlineStr">
        <is>
          <t>PT13865</t>
        </is>
      </c>
      <c r="C380" s="42" t="n">
        <v>45719</v>
      </c>
      <c r="D380" s="42" t="n">
        <v>45724</v>
      </c>
      <c r="E380" s="38" t="n">
        <v>5</v>
      </c>
      <c r="F380" t="inlineStr">
        <is>
          <t>Inpatient</t>
        </is>
      </c>
      <c r="G380" t="inlineStr">
        <is>
          <t>Cedar Ridge Medical Center</t>
        </is>
      </c>
      <c r="H380" t="inlineStr">
        <is>
          <t>Medical-Surgical</t>
        </is>
      </c>
      <c r="I380" t="inlineStr">
        <is>
          <t>Medicine</t>
        </is>
      </c>
      <c r="J380" t="inlineStr">
        <is>
          <t>Berry, Minh</t>
        </is>
      </c>
      <c r="K380" t="inlineStr">
        <is>
          <t>F10.239</t>
        </is>
      </c>
      <c r="L380" t="inlineStr">
        <is>
          <t>Mental &amp; Behavioral</t>
        </is>
      </c>
      <c r="M380" t="inlineStr">
        <is>
          <t>Silverline Medicare Advantage</t>
        </is>
      </c>
      <c r="N380" t="inlineStr">
        <is>
          <t>Medicare Advantage</t>
        </is>
      </c>
      <c r="O380" s="39" t="n">
        <v>15988.66</v>
      </c>
      <c r="P380" t="inlineStr">
        <is>
          <t>N</t>
        </is>
      </c>
    </row>
    <row r="381">
      <c r="A381" t="inlineStr">
        <is>
          <t>ENC112924</t>
        </is>
      </c>
      <c r="B381" t="inlineStr">
        <is>
          <t>PT12960</t>
        </is>
      </c>
      <c r="C381" s="42" t="n">
        <v>45719</v>
      </c>
      <c r="D381" s="42" t="n">
        <v>45719</v>
      </c>
      <c r="E381" s="38" t="n">
        <v>0</v>
      </c>
      <c r="F381" t="inlineStr">
        <is>
          <t>Emergency</t>
        </is>
      </c>
      <c r="G381" t="inlineStr">
        <is>
          <t>Bluestone Memorial Hospital</t>
        </is>
      </c>
      <c r="H381" t="inlineStr">
        <is>
          <t>Emergency Department</t>
        </is>
      </c>
      <c r="I381" t="inlineStr">
        <is>
          <t>Emergency</t>
        </is>
      </c>
      <c r="J381" t="inlineStr">
        <is>
          <t>Ferguson, Roy</t>
        </is>
      </c>
      <c r="K381" t="inlineStr">
        <is>
          <t>R55</t>
        </is>
      </c>
      <c r="L381" t="inlineStr">
        <is>
          <t>Symptoms &amp; Signs</t>
        </is>
      </c>
      <c r="M381" t="inlineStr">
        <is>
          <t>Evergreen Mutual Insurance</t>
        </is>
      </c>
      <c r="N381" t="inlineStr">
        <is>
          <t>Commercial</t>
        </is>
      </c>
      <c r="O381" s="39" t="n">
        <v>1554.89</v>
      </c>
    </row>
    <row r="382">
      <c r="A382" t="inlineStr">
        <is>
          <t>ENC112927</t>
        </is>
      </c>
      <c r="B382" t="inlineStr">
        <is>
          <t>PT10794</t>
        </is>
      </c>
      <c r="C382" s="42" t="n">
        <v>45719</v>
      </c>
      <c r="D382" s="42" t="n">
        <v>45719</v>
      </c>
      <c r="E382" s="38" t="n">
        <v>0</v>
      </c>
      <c r="F382" t="inlineStr">
        <is>
          <t>Emergency</t>
        </is>
      </c>
      <c r="G382" t="inlineStr">
        <is>
          <t>Bluestone Memorial Hospital</t>
        </is>
      </c>
      <c r="H382" t="inlineStr">
        <is>
          <t>Emergency Department</t>
        </is>
      </c>
      <c r="I382" t="inlineStr">
        <is>
          <t>Emergency</t>
        </is>
      </c>
      <c r="J382" t="inlineStr">
        <is>
          <t>Vasquez, Bruce</t>
        </is>
      </c>
      <c r="K382" t="inlineStr">
        <is>
          <t>J06.9</t>
        </is>
      </c>
      <c r="L382" t="inlineStr">
        <is>
          <t>Respiratory</t>
        </is>
      </c>
      <c r="M382" t="inlineStr">
        <is>
          <t>Silverline Medicare Advantage</t>
        </is>
      </c>
      <c r="N382" t="inlineStr">
        <is>
          <t>Medicare Advantage</t>
        </is>
      </c>
      <c r="O382" s="39" t="n">
        <v>1278.6</v>
      </c>
    </row>
    <row r="383">
      <c r="A383" t="inlineStr">
        <is>
          <t>ENC112932</t>
        </is>
      </c>
      <c r="B383" t="inlineStr">
        <is>
          <t>PT11968</t>
        </is>
      </c>
      <c r="C383" s="42" t="n">
        <v>45720</v>
      </c>
      <c r="D383" s="42" t="n">
        <v>45720</v>
      </c>
      <c r="E383" s="38" t="n">
        <v>0</v>
      </c>
      <c r="F383" t="inlineStr">
        <is>
          <t>Outpatient</t>
        </is>
      </c>
      <c r="G383" t="inlineStr">
        <is>
          <t>Bluestone Outpatient Pavilion</t>
        </is>
      </c>
      <c r="H383" t="inlineStr">
        <is>
          <t>Primary Care Clinic</t>
        </is>
      </c>
      <c r="I383" t="inlineStr">
        <is>
          <t>Ambulatory</t>
        </is>
      </c>
      <c r="J383" t="inlineStr">
        <is>
          <t>Chen, Mei</t>
        </is>
      </c>
      <c r="K383" t="inlineStr">
        <is>
          <t>J45.909</t>
        </is>
      </c>
      <c r="L383" t="inlineStr">
        <is>
          <t>Respiratory</t>
        </is>
      </c>
      <c r="M383" t="inlineStr">
        <is>
          <t>State Medicaid</t>
        </is>
      </c>
      <c r="N383" t="inlineStr">
        <is>
          <t>Government</t>
        </is>
      </c>
      <c r="O383" s="39" t="n">
        <v>254.69</v>
      </c>
    </row>
    <row r="384">
      <c r="A384" t="inlineStr">
        <is>
          <t>ENC112943</t>
        </is>
      </c>
      <c r="B384" t="inlineStr">
        <is>
          <t>PT12534</t>
        </is>
      </c>
      <c r="C384" s="42" t="n">
        <v>45720</v>
      </c>
      <c r="D384" s="42" t="n">
        <v>45720</v>
      </c>
      <c r="E384" s="38" t="n">
        <v>0</v>
      </c>
      <c r="F384" t="inlineStr">
        <is>
          <t>Outpatient</t>
        </is>
      </c>
      <c r="G384" t="inlineStr">
        <is>
          <t>Bluestone Outpatient Pavilion</t>
        </is>
      </c>
      <c r="H384" t="inlineStr">
        <is>
          <t>Cardiology Clinic</t>
        </is>
      </c>
      <c r="I384" t="inlineStr">
        <is>
          <t>Cardiovascular</t>
        </is>
      </c>
      <c r="J384" t="inlineStr">
        <is>
          <t>Brooks, Edward</t>
        </is>
      </c>
      <c r="K384" t="inlineStr">
        <is>
          <t>I48.91</t>
        </is>
      </c>
      <c r="L384" t="inlineStr">
        <is>
          <t>Circulatory</t>
        </is>
      </c>
      <c r="M384" t="inlineStr">
        <is>
          <t>Medicare</t>
        </is>
      </c>
      <c r="N384" t="inlineStr">
        <is>
          <t>Government</t>
        </is>
      </c>
      <c r="O384" s="39" t="n">
        <v>285.74</v>
      </c>
    </row>
    <row r="385">
      <c r="A385" t="inlineStr">
        <is>
          <t>ENC112951</t>
        </is>
      </c>
      <c r="B385" t="inlineStr">
        <is>
          <t>PT11058</t>
        </is>
      </c>
      <c r="C385" s="42" t="n">
        <v>45720</v>
      </c>
      <c r="D385" s="42" t="n">
        <v>45720</v>
      </c>
      <c r="E385" s="38" t="n">
        <v>0</v>
      </c>
      <c r="F385" t="inlineStr">
        <is>
          <t>Outpatient</t>
        </is>
      </c>
      <c r="G385" t="inlineStr">
        <is>
          <t>Bluestone Outpatient Pavilion</t>
        </is>
      </c>
      <c r="H385" t="inlineStr">
        <is>
          <t>Primary Care Clinic</t>
        </is>
      </c>
      <c r="I385" t="inlineStr">
        <is>
          <t>Ambulatory</t>
        </is>
      </c>
      <c r="J385" t="inlineStr">
        <is>
          <t>Vazquez, Carolyn</t>
        </is>
      </c>
      <c r="K385" t="inlineStr">
        <is>
          <t>L03.115</t>
        </is>
      </c>
      <c r="L385" t="inlineStr">
        <is>
          <t>Skin</t>
        </is>
      </c>
      <c r="M385" t="inlineStr">
        <is>
          <t>Silverline Medicare Advantage</t>
        </is>
      </c>
      <c r="N385" t="inlineStr">
        <is>
          <t>Medicare Advantage</t>
        </is>
      </c>
      <c r="O385" s="39" t="n">
        <v>208.85</v>
      </c>
    </row>
    <row r="386">
      <c r="A386" t="inlineStr">
        <is>
          <t>ENC112953</t>
        </is>
      </c>
      <c r="B386" t="inlineStr">
        <is>
          <t>PT10653</t>
        </is>
      </c>
      <c r="C386" s="42" t="n">
        <v>45720</v>
      </c>
      <c r="D386" s="42" t="n">
        <v>45721</v>
      </c>
      <c r="E386" s="38" t="n">
        <v>1</v>
      </c>
      <c r="F386" t="inlineStr">
        <is>
          <t>Observation</t>
        </is>
      </c>
      <c r="G386" t="inlineStr">
        <is>
          <t>Bluestone Memorial Hospital</t>
        </is>
      </c>
      <c r="H386" t="inlineStr">
        <is>
          <t>Observation Unit</t>
        </is>
      </c>
      <c r="I386" t="inlineStr">
        <is>
          <t>Medicine</t>
        </is>
      </c>
      <c r="J386" t="inlineStr">
        <is>
          <t>Yilmaz, Joe</t>
        </is>
      </c>
      <c r="K386" t="inlineStr">
        <is>
          <t>E87.1</t>
        </is>
      </c>
      <c r="L386" t="inlineStr">
        <is>
          <t>Endocrine</t>
        </is>
      </c>
      <c r="M386" t="inlineStr">
        <is>
          <t>Medicare</t>
        </is>
      </c>
      <c r="N386" t="inlineStr">
        <is>
          <t>Government</t>
        </is>
      </c>
      <c r="O386" s="39" t="n">
        <v>7173.79</v>
      </c>
    </row>
    <row r="387">
      <c r="A387" t="inlineStr">
        <is>
          <t>ENC112962</t>
        </is>
      </c>
      <c r="B387" t="inlineStr">
        <is>
          <t>PT13171</t>
        </is>
      </c>
      <c r="C387" s="42" t="n">
        <v>45721</v>
      </c>
      <c r="D387" s="42" t="n">
        <v>45721</v>
      </c>
      <c r="E387" s="38" t="n">
        <v>0</v>
      </c>
      <c r="F387" t="inlineStr">
        <is>
          <t>Outpatient</t>
        </is>
      </c>
      <c r="G387" t="inlineStr">
        <is>
          <t>Bluestone Outpatient Pavilion</t>
        </is>
      </c>
      <c r="H387" t="inlineStr">
        <is>
          <t>Primary Care Clinic</t>
        </is>
      </c>
      <c r="I387" t="inlineStr">
        <is>
          <t>Ambulatory</t>
        </is>
      </c>
      <c r="J387" t="inlineStr">
        <is>
          <t>Myers, Lucia</t>
        </is>
      </c>
      <c r="K387" t="inlineStr">
        <is>
          <t>F32.9</t>
        </is>
      </c>
      <c r="L387" t="inlineStr">
        <is>
          <t>Mental &amp; Behavioral</t>
        </is>
      </c>
      <c r="M387" t="inlineStr">
        <is>
          <t>State Medicaid</t>
        </is>
      </c>
      <c r="N387" t="inlineStr">
        <is>
          <t>Government</t>
        </is>
      </c>
      <c r="O387" s="39" t="n">
        <v>325.95</v>
      </c>
    </row>
    <row r="388">
      <c r="A388" t="inlineStr">
        <is>
          <t>ENC112974</t>
        </is>
      </c>
      <c r="B388" t="inlineStr">
        <is>
          <t>PT11148</t>
        </is>
      </c>
      <c r="C388" s="42" t="n">
        <v>45721</v>
      </c>
      <c r="D388" s="42" t="n">
        <v>45721</v>
      </c>
      <c r="E388" s="38" t="n">
        <v>0</v>
      </c>
      <c r="F388" t="inlineStr">
        <is>
          <t>Outpatient</t>
        </is>
      </c>
      <c r="G388" t="inlineStr">
        <is>
          <t>Bluestone Outpatient Pavilion</t>
        </is>
      </c>
      <c r="H388" t="inlineStr">
        <is>
          <t>Orthopedic Clinic</t>
        </is>
      </c>
      <c r="I388" t="inlineStr">
        <is>
          <t>Orthopedics</t>
        </is>
      </c>
      <c r="J388" t="inlineStr">
        <is>
          <t>Lewis, Jonathan</t>
        </is>
      </c>
      <c r="K388" t="inlineStr">
        <is>
          <t>S93.401A</t>
        </is>
      </c>
      <c r="L388" t="inlineStr">
        <is>
          <t>Injury</t>
        </is>
      </c>
      <c r="M388" t="inlineStr">
        <is>
          <t>Evergreen Mutual Insurance</t>
        </is>
      </c>
      <c r="N388" t="inlineStr">
        <is>
          <t>Commercial</t>
        </is>
      </c>
      <c r="O388" s="39" t="n">
        <v>233.08</v>
      </c>
    </row>
    <row r="389">
      <c r="A389" t="inlineStr">
        <is>
          <t>ENC112968</t>
        </is>
      </c>
      <c r="B389" t="inlineStr">
        <is>
          <t>PT13940</t>
        </is>
      </c>
      <c r="C389" s="42" t="n">
        <v>45721</v>
      </c>
      <c r="D389" s="42" t="n">
        <v>45724</v>
      </c>
      <c r="E389" s="38" t="n">
        <v>3</v>
      </c>
      <c r="F389" t="inlineStr">
        <is>
          <t>Inpatient</t>
        </is>
      </c>
      <c r="G389" t="inlineStr">
        <is>
          <t>Cedar Ridge Medical Center</t>
        </is>
      </c>
      <c r="H389" t="inlineStr">
        <is>
          <t>Medical-Surgical</t>
        </is>
      </c>
      <c r="I389" t="inlineStr">
        <is>
          <t>Medicine</t>
        </is>
      </c>
      <c r="J389" t="inlineStr">
        <is>
          <t>Peters, Frank</t>
        </is>
      </c>
      <c r="K389" t="inlineStr">
        <is>
          <t>E87.1</t>
        </is>
      </c>
      <c r="L389" t="inlineStr">
        <is>
          <t>Endocrine</t>
        </is>
      </c>
      <c r="M389" t="inlineStr">
        <is>
          <t>Evergreen Mutual Insurance</t>
        </is>
      </c>
      <c r="N389" t="inlineStr">
        <is>
          <t>Commercial</t>
        </is>
      </c>
      <c r="O389" s="39" t="n">
        <v>14855.64</v>
      </c>
      <c r="P389" t="inlineStr">
        <is>
          <t>N</t>
        </is>
      </c>
    </row>
    <row r="390">
      <c r="A390" t="inlineStr">
        <is>
          <t>ENC112987</t>
        </is>
      </c>
      <c r="B390" t="inlineStr">
        <is>
          <t>PT10328</t>
        </is>
      </c>
      <c r="C390" s="42" t="n">
        <v>45721</v>
      </c>
      <c r="D390" s="42" t="n">
        <v>45721</v>
      </c>
      <c r="E390" s="38" t="n">
        <v>0</v>
      </c>
      <c r="F390" t="inlineStr">
        <is>
          <t>Emergency</t>
        </is>
      </c>
      <c r="G390" t="inlineStr">
        <is>
          <t>Cedar Ridge Medical Center</t>
        </is>
      </c>
      <c r="H390" t="inlineStr">
        <is>
          <t>Emergency Department</t>
        </is>
      </c>
      <c r="I390" t="inlineStr">
        <is>
          <t>Emergency</t>
        </is>
      </c>
      <c r="J390" t="inlineStr">
        <is>
          <t>Andrews, Michael</t>
        </is>
      </c>
      <c r="K390" t="inlineStr">
        <is>
          <t>R10.9</t>
        </is>
      </c>
      <c r="L390" t="inlineStr">
        <is>
          <t>Symptoms &amp; Signs</t>
        </is>
      </c>
      <c r="M390" t="inlineStr">
        <is>
          <t>Keystone Health Partners</t>
        </is>
      </c>
      <c r="N390" t="inlineStr">
        <is>
          <t>Commercial</t>
        </is>
      </c>
      <c r="O390" s="39" t="n">
        <v>3246.99</v>
      </c>
    </row>
    <row r="391">
      <c r="A391" t="inlineStr">
        <is>
          <t>ENC112988</t>
        </is>
      </c>
      <c r="B391" t="inlineStr">
        <is>
          <t>PT12949</t>
        </is>
      </c>
      <c r="C391" s="42" t="n">
        <v>45721</v>
      </c>
      <c r="D391" s="42" t="n">
        <v>45721</v>
      </c>
      <c r="E391" s="38" t="n">
        <v>0</v>
      </c>
      <c r="F391" t="inlineStr">
        <is>
          <t>Emergency</t>
        </is>
      </c>
      <c r="G391" t="inlineStr">
        <is>
          <t>Bluestone Memorial Hospital</t>
        </is>
      </c>
      <c r="H391" t="inlineStr">
        <is>
          <t>Emergency Department</t>
        </is>
      </c>
      <c r="I391" t="inlineStr">
        <is>
          <t>Emergency</t>
        </is>
      </c>
      <c r="J391" t="inlineStr">
        <is>
          <t>Morris, Jordan</t>
        </is>
      </c>
      <c r="K391" t="inlineStr">
        <is>
          <t>M54.50</t>
        </is>
      </c>
      <c r="L391" t="inlineStr">
        <is>
          <t>Musculoskeletal</t>
        </is>
      </c>
      <c r="M391" t="inlineStr">
        <is>
          <t>State Medicaid</t>
        </is>
      </c>
      <c r="N391" t="inlineStr">
        <is>
          <t>Government</t>
        </is>
      </c>
      <c r="O391" s="39" t="n">
        <v>2226.06</v>
      </c>
    </row>
    <row r="392">
      <c r="A392" t="inlineStr">
        <is>
          <t>ENC112993</t>
        </is>
      </c>
      <c r="B392" t="inlineStr">
        <is>
          <t>PT10360</t>
        </is>
      </c>
      <c r="C392" s="42" t="n">
        <v>45721</v>
      </c>
      <c r="D392" s="42" t="n">
        <v>45721</v>
      </c>
      <c r="E392" s="38" t="n">
        <v>0</v>
      </c>
      <c r="F392" t="inlineStr">
        <is>
          <t>Emergency</t>
        </is>
      </c>
      <c r="G392" t="inlineStr">
        <is>
          <t>Bluestone Memorial Hospital</t>
        </is>
      </c>
      <c r="H392" t="inlineStr">
        <is>
          <t>Emergency Department</t>
        </is>
      </c>
      <c r="I392" t="inlineStr">
        <is>
          <t>Emergency</t>
        </is>
      </c>
      <c r="J392" t="inlineStr">
        <is>
          <t>Foster, Patrick</t>
        </is>
      </c>
      <c r="K392" t="inlineStr">
        <is>
          <t>G43.909</t>
        </is>
      </c>
      <c r="L392" t="inlineStr">
        <is>
          <t>Nervous System</t>
        </is>
      </c>
      <c r="M392" t="inlineStr">
        <is>
          <t>Silverline Medicare Advantage</t>
        </is>
      </c>
      <c r="N392" t="inlineStr">
        <is>
          <t>Medicare Advantage</t>
        </is>
      </c>
      <c r="O392" s="39" t="n">
        <v>1458.51</v>
      </c>
    </row>
    <row r="393">
      <c r="A393" t="inlineStr">
        <is>
          <t>ENC113018</t>
        </is>
      </c>
      <c r="B393" t="inlineStr">
        <is>
          <t>PT10807</t>
        </is>
      </c>
      <c r="C393" s="42" t="n">
        <v>45722</v>
      </c>
      <c r="D393" s="42" t="n">
        <v>45722</v>
      </c>
      <c r="E393" s="38" t="n">
        <v>0</v>
      </c>
      <c r="F393" t="inlineStr">
        <is>
          <t>Outpatient</t>
        </is>
      </c>
      <c r="G393" t="inlineStr">
        <is>
          <t>Bluestone Outpatient Pavilion</t>
        </is>
      </c>
      <c r="H393" t="inlineStr">
        <is>
          <t>Endocrinology &amp; Diabetes Clinic</t>
        </is>
      </c>
      <c r="I393" t="inlineStr">
        <is>
          <t>Ambulatory</t>
        </is>
      </c>
      <c r="J393" t="inlineStr">
        <is>
          <t>Woods, Larry</t>
        </is>
      </c>
      <c r="K393" t="inlineStr">
        <is>
          <t>E11.65</t>
        </is>
      </c>
      <c r="L393" t="inlineStr">
        <is>
          <t>Endocrine</t>
        </is>
      </c>
      <c r="M393" t="inlineStr">
        <is>
          <t>Evergreen Mutual Insurance</t>
        </is>
      </c>
      <c r="N393" t="inlineStr">
        <is>
          <t>Commercial</t>
        </is>
      </c>
      <c r="O393" s="39" t="n">
        <v>279.67</v>
      </c>
    </row>
    <row r="394">
      <c r="A394" t="inlineStr">
        <is>
          <t>ENC113020</t>
        </is>
      </c>
      <c r="B394" t="inlineStr">
        <is>
          <t>PT11109</t>
        </is>
      </c>
      <c r="C394" s="42" t="n">
        <v>45722</v>
      </c>
      <c r="D394" s="42" t="n">
        <v>45722</v>
      </c>
      <c r="E394" s="38" t="n">
        <v>0</v>
      </c>
      <c r="F394" t="inlineStr">
        <is>
          <t>Emergency</t>
        </is>
      </c>
      <c r="G394" t="inlineStr">
        <is>
          <t>Bluestone Memorial Hospital</t>
        </is>
      </c>
      <c r="H394" t="inlineStr">
        <is>
          <t>Emergency Department</t>
        </is>
      </c>
      <c r="I394" t="inlineStr">
        <is>
          <t>Emergency</t>
        </is>
      </c>
      <c r="J394" t="inlineStr">
        <is>
          <t>Kowalski, James</t>
        </is>
      </c>
      <c r="K394" t="inlineStr">
        <is>
          <t>R07.9</t>
        </is>
      </c>
      <c r="L394" t="inlineStr">
        <is>
          <t>Symptoms &amp; Signs</t>
        </is>
      </c>
      <c r="M394" t="inlineStr">
        <is>
          <t>Self-Pay</t>
        </is>
      </c>
      <c r="N394" t="inlineStr">
        <is>
          <t>Self-Pay</t>
        </is>
      </c>
      <c r="O394" s="39" t="n">
        <v>2836.37</v>
      </c>
    </row>
    <row r="395">
      <c r="A395" t="inlineStr">
        <is>
          <t>ENC113021</t>
        </is>
      </c>
      <c r="B395" t="inlineStr">
        <is>
          <t>PT12005</t>
        </is>
      </c>
      <c r="C395" s="42" t="n">
        <v>45722</v>
      </c>
      <c r="D395" s="42" t="n">
        <v>45722</v>
      </c>
      <c r="E395" s="38" t="n">
        <v>0</v>
      </c>
      <c r="F395" t="inlineStr">
        <is>
          <t>Emergency</t>
        </is>
      </c>
      <c r="G395" t="inlineStr">
        <is>
          <t>Bluestone Memorial Hospital</t>
        </is>
      </c>
      <c r="H395" t="inlineStr">
        <is>
          <t>Emergency Department</t>
        </is>
      </c>
      <c r="I395" t="inlineStr">
        <is>
          <t>Emergency</t>
        </is>
      </c>
      <c r="J395" t="inlineStr">
        <is>
          <t>Elliott, Jesse</t>
        </is>
      </c>
      <c r="K395" t="inlineStr">
        <is>
          <t>F20.9</t>
        </is>
      </c>
      <c r="L395" t="inlineStr">
        <is>
          <t>Mental &amp; Behavioral</t>
        </is>
      </c>
      <c r="M395" t="inlineStr">
        <is>
          <t>Keystone Health Partners</t>
        </is>
      </c>
      <c r="N395" t="inlineStr">
        <is>
          <t>Commercial</t>
        </is>
      </c>
      <c r="O395" s="39" t="n">
        <v>2318.62</v>
      </c>
    </row>
    <row r="396">
      <c r="A396" t="inlineStr">
        <is>
          <t>ENC113019</t>
        </is>
      </c>
      <c r="B396" t="inlineStr">
        <is>
          <t>PT11017</t>
        </is>
      </c>
      <c r="C396" s="42" t="n">
        <v>45722</v>
      </c>
      <c r="D396" s="42" t="n">
        <v>45733</v>
      </c>
      <c r="E396" s="38" t="n">
        <v>11</v>
      </c>
      <c r="F396" t="inlineStr">
        <is>
          <t>Inpatient</t>
        </is>
      </c>
      <c r="G396" t="inlineStr">
        <is>
          <t>Ashby Falls Community Hospital</t>
        </is>
      </c>
      <c r="H396" t="inlineStr">
        <is>
          <t>Medical-Surgical</t>
        </is>
      </c>
      <c r="I396" t="inlineStr">
        <is>
          <t>Medicine</t>
        </is>
      </c>
      <c r="J396" t="inlineStr">
        <is>
          <t>Moreno, Melissa</t>
        </is>
      </c>
      <c r="K396" t="inlineStr">
        <is>
          <t>U07.1</t>
        </is>
      </c>
      <c r="L396" t="inlineStr">
        <is>
          <t>Respiratory</t>
        </is>
      </c>
      <c r="M396" t="inlineStr">
        <is>
          <t>Evergreen Mutual Insurance</t>
        </is>
      </c>
      <c r="N396" t="inlineStr">
        <is>
          <t>Commercial</t>
        </is>
      </c>
      <c r="O396" s="39" t="n">
        <v>44007.29</v>
      </c>
      <c r="P396" t="inlineStr">
        <is>
          <t>N</t>
        </is>
      </c>
    </row>
    <row r="397">
      <c r="A397" t="inlineStr">
        <is>
          <t>ENC113029</t>
        </is>
      </c>
      <c r="B397" t="inlineStr">
        <is>
          <t>PT13779</t>
        </is>
      </c>
      <c r="C397" s="42" t="n">
        <v>45723</v>
      </c>
      <c r="D397" s="42" t="n">
        <v>45723</v>
      </c>
      <c r="E397" s="38" t="n">
        <v>0</v>
      </c>
      <c r="F397" t="inlineStr">
        <is>
          <t>Outpatient</t>
        </is>
      </c>
      <c r="G397" t="inlineStr">
        <is>
          <t>Bluestone Outpatient Pavilion</t>
        </is>
      </c>
      <c r="H397" t="inlineStr">
        <is>
          <t>Pediatric Clinic</t>
        </is>
      </c>
      <c r="I397" t="inlineStr">
        <is>
          <t>Women &amp; Children</t>
        </is>
      </c>
      <c r="J397" t="inlineStr">
        <is>
          <t>Brown, Stephanie</t>
        </is>
      </c>
      <c r="K397" t="inlineStr">
        <is>
          <t>Z23</t>
        </is>
      </c>
      <c r="L397" t="inlineStr">
        <is>
          <t>Factors Influencing Health</t>
        </is>
      </c>
      <c r="M397" t="inlineStr">
        <is>
          <t>Keystone Health Partners</t>
        </is>
      </c>
      <c r="N397" t="inlineStr">
        <is>
          <t>Commercial</t>
        </is>
      </c>
      <c r="O397" s="39" t="n">
        <v>98.20999999999999</v>
      </c>
    </row>
    <row r="398">
      <c r="A398" t="inlineStr">
        <is>
          <t>ENC113040</t>
        </is>
      </c>
      <c r="B398" t="inlineStr">
        <is>
          <t>PT11471</t>
        </is>
      </c>
      <c r="C398" s="42" t="n">
        <v>45723</v>
      </c>
      <c r="D398" s="42" t="n">
        <v>45723</v>
      </c>
      <c r="E398" s="38" t="n">
        <v>0</v>
      </c>
      <c r="F398" t="inlineStr">
        <is>
          <t>Emergency</t>
        </is>
      </c>
      <c r="G398" t="inlineStr">
        <is>
          <t>Bluestone Memorial Hospital</t>
        </is>
      </c>
      <c r="H398" t="inlineStr">
        <is>
          <t>Emergency Department</t>
        </is>
      </c>
      <c r="I398" t="inlineStr">
        <is>
          <t>Emergency</t>
        </is>
      </c>
      <c r="J398" t="inlineStr">
        <is>
          <t>Gonzales, Mia</t>
        </is>
      </c>
      <c r="K398" t="inlineStr">
        <is>
          <t>N39.0</t>
        </is>
      </c>
      <c r="L398" t="inlineStr">
        <is>
          <t>Genitourinary</t>
        </is>
      </c>
      <c r="M398" t="inlineStr">
        <is>
          <t>Medicare</t>
        </is>
      </c>
      <c r="N398" t="inlineStr">
        <is>
          <t>Government</t>
        </is>
      </c>
      <c r="O398" s="39" t="n">
        <v>4543.11</v>
      </c>
    </row>
    <row r="399">
      <c r="A399" t="inlineStr">
        <is>
          <t>ENC113049</t>
        </is>
      </c>
      <c r="B399" t="inlineStr">
        <is>
          <t>PT10033</t>
        </is>
      </c>
      <c r="C399" s="42" t="n">
        <v>45723</v>
      </c>
      <c r="D399" s="42" t="n">
        <v>45728</v>
      </c>
      <c r="E399" s="38" t="n">
        <v>5</v>
      </c>
      <c r="F399" t="inlineStr">
        <is>
          <t>Inpatient</t>
        </is>
      </c>
      <c r="G399" t="inlineStr">
        <is>
          <t>Bluestone Memorial Hospital</t>
        </is>
      </c>
      <c r="H399" t="inlineStr">
        <is>
          <t>Intensive Care Unit</t>
        </is>
      </c>
      <c r="I399" t="inlineStr">
        <is>
          <t>Critical Care</t>
        </is>
      </c>
      <c r="J399" t="inlineStr">
        <is>
          <t>Diaz, Adam</t>
        </is>
      </c>
      <c r="K399" t="inlineStr">
        <is>
          <t>A41.9</t>
        </is>
      </c>
      <c r="L399" t="inlineStr">
        <is>
          <t>Infectious</t>
        </is>
      </c>
      <c r="M399" t="inlineStr">
        <is>
          <t>State Medicaid</t>
        </is>
      </c>
      <c r="N399" t="inlineStr">
        <is>
          <t>Government</t>
        </is>
      </c>
      <c r="O399" s="39" t="n">
        <v>61113.55</v>
      </c>
      <c r="P399" t="inlineStr">
        <is>
          <t>N</t>
        </is>
      </c>
    </row>
    <row r="400">
      <c r="A400" t="inlineStr">
        <is>
          <t>ENC113051</t>
        </is>
      </c>
      <c r="B400" t="inlineStr">
        <is>
          <t>PT12735</t>
        </is>
      </c>
      <c r="C400" s="42" t="n">
        <v>45723</v>
      </c>
      <c r="D400" s="42" t="n">
        <v>45734</v>
      </c>
      <c r="E400" s="38" t="n">
        <v>11</v>
      </c>
      <c r="F400" t="inlineStr">
        <is>
          <t>Inpatient</t>
        </is>
      </c>
      <c r="G400" t="inlineStr">
        <is>
          <t>Bluestone Memorial Hospital</t>
        </is>
      </c>
      <c r="H400" t="inlineStr">
        <is>
          <t>Behavioral Health</t>
        </is>
      </c>
      <c r="I400" t="inlineStr">
        <is>
          <t>Behavioral Health</t>
        </is>
      </c>
      <c r="J400" t="inlineStr">
        <is>
          <t>Elliott, Emma</t>
        </is>
      </c>
      <c r="K400" t="inlineStr">
        <is>
          <t>F20.9</t>
        </is>
      </c>
      <c r="L400" t="inlineStr">
        <is>
          <t>Mental &amp; Behavioral</t>
        </is>
      </c>
      <c r="M400" t="inlineStr">
        <is>
          <t>State Medicaid</t>
        </is>
      </c>
      <c r="N400" t="inlineStr">
        <is>
          <t>Government</t>
        </is>
      </c>
      <c r="O400" s="39" t="n">
        <v>37300.08</v>
      </c>
      <c r="P400" t="inlineStr">
        <is>
          <t>Y</t>
        </is>
      </c>
    </row>
    <row r="401">
      <c r="A401" t="inlineStr">
        <is>
          <t>ENC113060</t>
        </is>
      </c>
      <c r="B401" t="inlineStr">
        <is>
          <t>PT11236</t>
        </is>
      </c>
      <c r="C401" s="42" t="n">
        <v>45724</v>
      </c>
      <c r="D401" s="42" t="n">
        <v>45724</v>
      </c>
      <c r="E401" s="38" t="n">
        <v>0</v>
      </c>
      <c r="F401" t="inlineStr">
        <is>
          <t>Emergency</t>
        </is>
      </c>
      <c r="G401" t="inlineStr">
        <is>
          <t>Bluestone Memorial Hospital</t>
        </is>
      </c>
      <c r="H401" t="inlineStr">
        <is>
          <t>Emergency Department</t>
        </is>
      </c>
      <c r="I401" t="inlineStr">
        <is>
          <t>Emergency</t>
        </is>
      </c>
      <c r="J401" t="inlineStr">
        <is>
          <t>Payne, Nancy</t>
        </is>
      </c>
      <c r="K401" t="inlineStr">
        <is>
          <t>A08.4</t>
        </is>
      </c>
      <c r="L401" t="inlineStr">
        <is>
          <t>Infectious</t>
        </is>
      </c>
      <c r="M401" t="inlineStr">
        <is>
          <t>State Medicaid</t>
        </is>
      </c>
      <c r="N401" t="inlineStr">
        <is>
          <t>Government</t>
        </is>
      </c>
      <c r="O401" s="39" t="n">
        <v>616.96</v>
      </c>
    </row>
    <row r="402">
      <c r="A402" t="inlineStr">
        <is>
          <t>ENC113063</t>
        </is>
      </c>
      <c r="B402" t="inlineStr">
        <is>
          <t>PT10733</t>
        </is>
      </c>
      <c r="C402" s="42" t="n">
        <v>45724</v>
      </c>
      <c r="D402" s="42" t="n">
        <v>45724</v>
      </c>
      <c r="E402" s="38" t="n">
        <v>0</v>
      </c>
      <c r="F402" t="inlineStr">
        <is>
          <t>Emergency</t>
        </is>
      </c>
      <c r="G402" t="inlineStr">
        <is>
          <t>Bluestone Memorial Hospital</t>
        </is>
      </c>
      <c r="H402" t="inlineStr">
        <is>
          <t>Emergency Department</t>
        </is>
      </c>
      <c r="I402" t="inlineStr">
        <is>
          <t>Emergency</t>
        </is>
      </c>
      <c r="J402" t="inlineStr">
        <is>
          <t>Ferguson, Roy</t>
        </is>
      </c>
      <c r="K402" t="inlineStr">
        <is>
          <t>N39.0</t>
        </is>
      </c>
      <c r="L402" t="inlineStr">
        <is>
          <t>Genitourinary</t>
        </is>
      </c>
      <c r="M402" t="inlineStr">
        <is>
          <t>Medicare</t>
        </is>
      </c>
      <c r="N402" t="inlineStr">
        <is>
          <t>Government</t>
        </is>
      </c>
      <c r="O402" s="39" t="n">
        <v>5834.33</v>
      </c>
    </row>
    <row r="403">
      <c r="A403" t="inlineStr">
        <is>
          <t>ENC113068</t>
        </is>
      </c>
      <c r="B403" t="inlineStr">
        <is>
          <t>PT11764</t>
        </is>
      </c>
      <c r="C403" s="42" t="n">
        <v>45724</v>
      </c>
      <c r="D403" s="42" t="n">
        <v>45731</v>
      </c>
      <c r="E403" s="38" t="n">
        <v>7</v>
      </c>
      <c r="F403" t="inlineStr">
        <is>
          <t>Inpatient</t>
        </is>
      </c>
      <c r="G403" t="inlineStr">
        <is>
          <t>Bluestone Memorial Hospital</t>
        </is>
      </c>
      <c r="H403" t="inlineStr">
        <is>
          <t>Medical-Surgical 4 West</t>
        </is>
      </c>
      <c r="I403" t="inlineStr">
        <is>
          <t>Medicine</t>
        </is>
      </c>
      <c r="J403" t="inlineStr">
        <is>
          <t>Ramirez, Emma</t>
        </is>
      </c>
      <c r="K403" t="inlineStr">
        <is>
          <t>J18.9</t>
        </is>
      </c>
      <c r="L403" t="inlineStr">
        <is>
          <t>Respiratory</t>
        </is>
      </c>
      <c r="M403" t="inlineStr">
        <is>
          <t>Medicare</t>
        </is>
      </c>
      <c r="N403" t="inlineStr">
        <is>
          <t>Government</t>
        </is>
      </c>
      <c r="O403" s="39" t="n">
        <v>34198.08</v>
      </c>
      <c r="P403" t="inlineStr">
        <is>
          <t>N</t>
        </is>
      </c>
    </row>
    <row r="404">
      <c r="A404" t="inlineStr">
        <is>
          <t>ENC113065</t>
        </is>
      </c>
      <c r="B404" t="inlineStr">
        <is>
          <t>PT12866</t>
        </is>
      </c>
      <c r="C404" s="42" t="n">
        <v>45724</v>
      </c>
      <c r="D404" s="42" t="n">
        <v>45727</v>
      </c>
      <c r="E404" s="38" t="n">
        <v>3</v>
      </c>
      <c r="F404" t="inlineStr">
        <is>
          <t>Inpatient</t>
        </is>
      </c>
      <c r="G404" t="inlineStr">
        <is>
          <t>Bluestone Memorial Hospital</t>
        </is>
      </c>
      <c r="H404" t="inlineStr">
        <is>
          <t>Medical-Surgical 4 West</t>
        </is>
      </c>
      <c r="I404" t="inlineStr">
        <is>
          <t>Medicine</t>
        </is>
      </c>
      <c r="J404" t="inlineStr">
        <is>
          <t>Alvarado, Tyler</t>
        </is>
      </c>
      <c r="K404" t="inlineStr">
        <is>
          <t>J18.9</t>
        </is>
      </c>
      <c r="L404" t="inlineStr">
        <is>
          <t>Respiratory</t>
        </is>
      </c>
      <c r="M404" t="inlineStr">
        <is>
          <t>State Medicaid</t>
        </is>
      </c>
      <c r="N404" t="inlineStr">
        <is>
          <t>Government</t>
        </is>
      </c>
      <c r="O404" s="39" t="n">
        <v>11880.86</v>
      </c>
      <c r="P404" t="inlineStr">
        <is>
          <t>N</t>
        </is>
      </c>
    </row>
    <row r="405">
      <c r="A405" t="inlineStr">
        <is>
          <t>ENC113079</t>
        </is>
      </c>
      <c r="B405" t="inlineStr">
        <is>
          <t>PT10416</t>
        </is>
      </c>
      <c r="C405" s="42" t="n">
        <v>45725</v>
      </c>
      <c r="D405" s="42" t="n">
        <v>45728</v>
      </c>
      <c r="E405" s="38" t="n">
        <v>3</v>
      </c>
      <c r="F405" t="inlineStr">
        <is>
          <t>Inpatient</t>
        </is>
      </c>
      <c r="G405" t="inlineStr">
        <is>
          <t>Bluestone Memorial Hospital</t>
        </is>
      </c>
      <c r="H405" t="inlineStr">
        <is>
          <t>Medical-Surgical 5 East</t>
        </is>
      </c>
      <c r="I405" t="inlineStr">
        <is>
          <t>Medicine</t>
        </is>
      </c>
      <c r="J405" t="inlineStr">
        <is>
          <t>Hunt, Richard</t>
        </is>
      </c>
      <c r="K405" t="inlineStr">
        <is>
          <t>J18.9</t>
        </is>
      </c>
      <c r="L405" t="inlineStr">
        <is>
          <t>Respiratory</t>
        </is>
      </c>
      <c r="M405" t="inlineStr">
        <is>
          <t>Self-Pay</t>
        </is>
      </c>
      <c r="N405" t="inlineStr">
        <is>
          <t>Self-Pay</t>
        </is>
      </c>
      <c r="O405" s="39" t="n">
        <v>18400.32</v>
      </c>
      <c r="P405" t="inlineStr">
        <is>
          <t>Y</t>
        </is>
      </c>
    </row>
    <row r="406">
      <c r="A406" t="inlineStr">
        <is>
          <t>ENC113080</t>
        </is>
      </c>
      <c r="B406" t="inlineStr">
        <is>
          <t>PT12968</t>
        </is>
      </c>
      <c r="C406" s="42" t="n">
        <v>45725</v>
      </c>
      <c r="D406" s="42" t="n">
        <v>45725</v>
      </c>
      <c r="E406" s="38" t="n">
        <v>0</v>
      </c>
      <c r="F406" t="inlineStr">
        <is>
          <t>Emergency</t>
        </is>
      </c>
      <c r="G406" t="inlineStr">
        <is>
          <t>Bluestone Memorial Hospital</t>
        </is>
      </c>
      <c r="H406" t="inlineStr">
        <is>
          <t>Emergency Department</t>
        </is>
      </c>
      <c r="I406" t="inlineStr">
        <is>
          <t>Emergency</t>
        </is>
      </c>
      <c r="J406" t="inlineStr">
        <is>
          <t>Foster, Patrick</t>
        </is>
      </c>
      <c r="K406" t="inlineStr">
        <is>
          <t>J06.9</t>
        </is>
      </c>
      <c r="L406" t="inlineStr">
        <is>
          <t>Respiratory</t>
        </is>
      </c>
      <c r="M406" t="inlineStr">
        <is>
          <t>Silverline Medicare Advantage</t>
        </is>
      </c>
      <c r="N406" t="inlineStr">
        <is>
          <t>Medicare Advantage</t>
        </is>
      </c>
      <c r="O406" s="39" t="n">
        <v>865.02</v>
      </c>
    </row>
    <row r="407">
      <c r="A407" t="inlineStr">
        <is>
          <t>ENC113093</t>
        </is>
      </c>
      <c r="B407" t="inlineStr">
        <is>
          <t>PT11633</t>
        </is>
      </c>
      <c r="C407" s="42" t="n">
        <v>45725</v>
      </c>
      <c r="D407" s="42" t="n">
        <v>45733</v>
      </c>
      <c r="E407" s="38" t="n">
        <v>8</v>
      </c>
      <c r="F407" t="inlineStr">
        <is>
          <t>Inpatient</t>
        </is>
      </c>
      <c r="G407" t="inlineStr">
        <is>
          <t>Bluestone Memorial Hospital</t>
        </is>
      </c>
      <c r="H407" t="inlineStr">
        <is>
          <t>Medical-Surgical 5 East</t>
        </is>
      </c>
      <c r="I407" t="inlineStr">
        <is>
          <t>Medicine</t>
        </is>
      </c>
      <c r="J407" t="inlineStr">
        <is>
          <t>Yilmaz, Joe</t>
        </is>
      </c>
      <c r="K407" t="inlineStr">
        <is>
          <t>A41.9</t>
        </is>
      </c>
      <c r="L407" t="inlineStr">
        <is>
          <t>Infectious</t>
        </is>
      </c>
      <c r="M407" t="inlineStr">
        <is>
          <t>Summit Choice PPO</t>
        </is>
      </c>
      <c r="N407" t="inlineStr">
        <is>
          <t>Commercial</t>
        </is>
      </c>
      <c r="O407" s="39" t="n">
        <v>76495.53999999999</v>
      </c>
      <c r="P407" t="inlineStr">
        <is>
          <t>N</t>
        </is>
      </c>
    </row>
    <row r="408">
      <c r="A408" t="inlineStr">
        <is>
          <t>ENC113094</t>
        </is>
      </c>
      <c r="B408" t="inlineStr">
        <is>
          <t>PT13086</t>
        </is>
      </c>
      <c r="C408" s="42" t="n">
        <v>45725</v>
      </c>
      <c r="D408" s="42" t="n">
        <v>45727</v>
      </c>
      <c r="E408" s="38" t="n">
        <v>2</v>
      </c>
      <c r="F408" t="inlineStr">
        <is>
          <t>Observation</t>
        </is>
      </c>
      <c r="G408" t="inlineStr">
        <is>
          <t>Bluestone Memorial Hospital</t>
        </is>
      </c>
      <c r="H408" t="inlineStr">
        <is>
          <t>Observation Unit</t>
        </is>
      </c>
      <c r="I408" t="inlineStr">
        <is>
          <t>Medicine</t>
        </is>
      </c>
      <c r="J408" t="inlineStr">
        <is>
          <t>Cox, Judith</t>
        </is>
      </c>
      <c r="K408" t="inlineStr">
        <is>
          <t>L03.115</t>
        </is>
      </c>
      <c r="L408" t="inlineStr">
        <is>
          <t>Skin</t>
        </is>
      </c>
      <c r="M408" t="inlineStr">
        <is>
          <t>Medicare</t>
        </is>
      </c>
      <c r="N408" t="inlineStr">
        <is>
          <t>Government</t>
        </is>
      </c>
      <c r="O408" s="39" t="n">
        <v>10711.36</v>
      </c>
    </row>
    <row r="409">
      <c r="A409" t="inlineStr">
        <is>
          <t>ENC113101</t>
        </is>
      </c>
      <c r="B409" t="inlineStr">
        <is>
          <t>PT10112</t>
        </is>
      </c>
      <c r="C409" s="42" t="n">
        <v>45726</v>
      </c>
      <c r="D409" s="42" t="n">
        <v>45726</v>
      </c>
      <c r="E409" s="38" t="n">
        <v>0</v>
      </c>
      <c r="F409" t="inlineStr">
        <is>
          <t>Emergency</t>
        </is>
      </c>
      <c r="G409" t="inlineStr">
        <is>
          <t>Bluestone Memorial Hospital</t>
        </is>
      </c>
      <c r="H409" t="inlineStr">
        <is>
          <t>Emergency Department</t>
        </is>
      </c>
      <c r="I409" t="inlineStr">
        <is>
          <t>Emergency</t>
        </is>
      </c>
      <c r="J409" t="inlineStr">
        <is>
          <t>Mendoza, Alexander</t>
        </is>
      </c>
      <c r="K409" t="inlineStr">
        <is>
          <t>R07.9</t>
        </is>
      </c>
      <c r="L409" t="inlineStr">
        <is>
          <t>Symptoms &amp; Signs</t>
        </is>
      </c>
      <c r="M409" t="inlineStr">
        <is>
          <t>Silverline Medicare Advantage</t>
        </is>
      </c>
      <c r="N409" t="inlineStr">
        <is>
          <t>Medicare Advantage</t>
        </is>
      </c>
      <c r="O409" s="39" t="n">
        <v>5666.77</v>
      </c>
    </row>
    <row r="410">
      <c r="A410" t="inlineStr">
        <is>
          <t>ENC113103</t>
        </is>
      </c>
      <c r="B410" t="inlineStr">
        <is>
          <t>PT12941</t>
        </is>
      </c>
      <c r="C410" s="42" t="n">
        <v>45726</v>
      </c>
      <c r="D410" s="42" t="n">
        <v>45726</v>
      </c>
      <c r="E410" s="38" t="n">
        <v>0</v>
      </c>
      <c r="F410" t="inlineStr">
        <is>
          <t>Outpatient</t>
        </is>
      </c>
      <c r="G410" t="inlineStr">
        <is>
          <t>Bluestone Outpatient Pavilion</t>
        </is>
      </c>
      <c r="H410" t="inlineStr">
        <is>
          <t>Pediatric Clinic</t>
        </is>
      </c>
      <c r="I410" t="inlineStr">
        <is>
          <t>Women &amp; Children</t>
        </is>
      </c>
      <c r="J410" t="inlineStr">
        <is>
          <t>Alvarez, Susan</t>
        </is>
      </c>
      <c r="K410" t="inlineStr">
        <is>
          <t>G40.909</t>
        </is>
      </c>
      <c r="L410" t="inlineStr">
        <is>
          <t>Nervous System</t>
        </is>
      </c>
      <c r="M410" t="inlineStr">
        <is>
          <t>State Medicaid</t>
        </is>
      </c>
      <c r="N410" t="inlineStr">
        <is>
          <t>Government</t>
        </is>
      </c>
      <c r="O410" s="39" t="n">
        <v>244.66</v>
      </c>
    </row>
    <row r="411">
      <c r="A411" t="inlineStr">
        <is>
          <t>ENC113104</t>
        </is>
      </c>
      <c r="B411" t="inlineStr">
        <is>
          <t>PT13707</t>
        </is>
      </c>
      <c r="C411" s="42" t="n">
        <v>45726</v>
      </c>
      <c r="D411" s="42" t="n">
        <v>45726</v>
      </c>
      <c r="E411" s="38" t="n">
        <v>0</v>
      </c>
      <c r="F411" t="inlineStr">
        <is>
          <t>Outpatient</t>
        </is>
      </c>
      <c r="G411" t="inlineStr">
        <is>
          <t>Bluestone Outpatient Pavilion</t>
        </is>
      </c>
      <c r="H411" t="inlineStr">
        <is>
          <t>Primary Care Clinic</t>
        </is>
      </c>
      <c r="I411" t="inlineStr">
        <is>
          <t>Ambulatory</t>
        </is>
      </c>
      <c r="J411" t="inlineStr">
        <is>
          <t>Arnold, Catherine</t>
        </is>
      </c>
      <c r="K411" t="inlineStr">
        <is>
          <t>Z23</t>
        </is>
      </c>
      <c r="L411" t="inlineStr">
        <is>
          <t>Factors Influencing Health</t>
        </is>
      </c>
      <c r="M411" t="inlineStr">
        <is>
          <t>State Medicaid</t>
        </is>
      </c>
      <c r="N411" t="inlineStr">
        <is>
          <t>Government</t>
        </is>
      </c>
      <c r="O411" s="39" t="n">
        <v>129.43</v>
      </c>
    </row>
    <row r="412">
      <c r="A412" t="inlineStr">
        <is>
          <t>ENC113130</t>
        </is>
      </c>
      <c r="B412" t="inlineStr">
        <is>
          <t>PT10616</t>
        </is>
      </c>
      <c r="C412" s="42" t="n">
        <v>45726</v>
      </c>
      <c r="D412" s="42" t="n">
        <v>45726</v>
      </c>
      <c r="E412" s="38" t="n">
        <v>0</v>
      </c>
      <c r="F412" t="inlineStr">
        <is>
          <t>Outpatient</t>
        </is>
      </c>
      <c r="G412" t="inlineStr">
        <is>
          <t>Bluestone Outpatient Pavilion</t>
        </is>
      </c>
      <c r="H412" t="inlineStr">
        <is>
          <t>Primary Care Clinic</t>
        </is>
      </c>
      <c r="I412" t="inlineStr">
        <is>
          <t>Ambulatory</t>
        </is>
      </c>
      <c r="J412" t="inlineStr">
        <is>
          <t>Santos, Edward</t>
        </is>
      </c>
      <c r="K412" t="inlineStr">
        <is>
          <t>I10</t>
        </is>
      </c>
      <c r="L412" t="inlineStr">
        <is>
          <t>Circulatory</t>
        </is>
      </c>
      <c r="M412" t="inlineStr">
        <is>
          <t>Medicare</t>
        </is>
      </c>
      <c r="N412" t="inlineStr">
        <is>
          <t>Government</t>
        </is>
      </c>
      <c r="O412" s="39" t="n">
        <v>327.05</v>
      </c>
    </row>
    <row r="413">
      <c r="A413" t="inlineStr">
        <is>
          <t>ENC113131</t>
        </is>
      </c>
      <c r="B413" t="inlineStr">
        <is>
          <t>PT13145</t>
        </is>
      </c>
      <c r="C413" s="42" t="n">
        <v>45726</v>
      </c>
      <c r="D413" s="42" t="n">
        <v>45726</v>
      </c>
      <c r="E413" s="38" t="n">
        <v>0</v>
      </c>
      <c r="F413" t="inlineStr">
        <is>
          <t>Outpatient</t>
        </is>
      </c>
      <c r="G413" t="inlineStr">
        <is>
          <t>Bluestone Outpatient Pavilion</t>
        </is>
      </c>
      <c r="H413" t="inlineStr">
        <is>
          <t>Pediatric Clinic</t>
        </is>
      </c>
      <c r="I413" t="inlineStr">
        <is>
          <t>Women &amp; Children</t>
        </is>
      </c>
      <c r="J413" t="inlineStr">
        <is>
          <t>Wallace, Kevin</t>
        </is>
      </c>
      <c r="K413" t="inlineStr">
        <is>
          <t>Z00.129</t>
        </is>
      </c>
      <c r="L413" t="inlineStr">
        <is>
          <t>Factors Influencing Health</t>
        </is>
      </c>
      <c r="M413" t="inlineStr">
        <is>
          <t>State Medicaid</t>
        </is>
      </c>
      <c r="N413" t="inlineStr">
        <is>
          <t>Government</t>
        </is>
      </c>
      <c r="O413" s="39" t="n">
        <v>357.3</v>
      </c>
    </row>
    <row r="414">
      <c r="A414" t="inlineStr">
        <is>
          <t>ENC113117</t>
        </is>
      </c>
      <c r="B414" t="inlineStr">
        <is>
          <t>PT11793</t>
        </is>
      </c>
      <c r="C414" s="42" t="n">
        <v>45726</v>
      </c>
      <c r="D414" s="42" t="n">
        <v>45728</v>
      </c>
      <c r="E414" s="38" t="n">
        <v>2</v>
      </c>
      <c r="F414" t="inlineStr">
        <is>
          <t>Inpatient</t>
        </is>
      </c>
      <c r="G414" t="inlineStr">
        <is>
          <t>Bluestone Memorial Hospital</t>
        </is>
      </c>
      <c r="H414" t="inlineStr">
        <is>
          <t>Medical-Surgical 4 West</t>
        </is>
      </c>
      <c r="I414" t="inlineStr">
        <is>
          <t>Medicine</t>
        </is>
      </c>
      <c r="J414" t="inlineStr">
        <is>
          <t>Hunt, Richard</t>
        </is>
      </c>
      <c r="K414" t="inlineStr">
        <is>
          <t>J18.9</t>
        </is>
      </c>
      <c r="L414" t="inlineStr">
        <is>
          <t>Respiratory</t>
        </is>
      </c>
      <c r="M414" t="inlineStr">
        <is>
          <t>Keystone Health Partners</t>
        </is>
      </c>
      <c r="N414" t="inlineStr">
        <is>
          <t>Commercial</t>
        </is>
      </c>
      <c r="O414" s="39" t="n">
        <v>12557.74</v>
      </c>
      <c r="P414" t="inlineStr">
        <is>
          <t>N</t>
        </is>
      </c>
    </row>
    <row r="415">
      <c r="A415" t="inlineStr">
        <is>
          <t>ENC113135</t>
        </is>
      </c>
      <c r="B415" t="inlineStr">
        <is>
          <t>PT13701</t>
        </is>
      </c>
      <c r="C415" s="42" t="n">
        <v>45726</v>
      </c>
      <c r="D415" s="42" t="n">
        <v>45726</v>
      </c>
      <c r="E415" s="38" t="n">
        <v>0</v>
      </c>
      <c r="F415" t="inlineStr">
        <is>
          <t>Emergency</t>
        </is>
      </c>
      <c r="G415" t="inlineStr">
        <is>
          <t>Cedar Ridge Medical Center</t>
        </is>
      </c>
      <c r="H415" t="inlineStr">
        <is>
          <t>Emergency Department</t>
        </is>
      </c>
      <c r="I415" t="inlineStr">
        <is>
          <t>Emergency</t>
        </is>
      </c>
      <c r="J415" t="inlineStr">
        <is>
          <t>Henry, Brenda</t>
        </is>
      </c>
      <c r="K415" t="inlineStr">
        <is>
          <t>N39.0</t>
        </is>
      </c>
      <c r="L415" t="inlineStr">
        <is>
          <t>Genitourinary</t>
        </is>
      </c>
      <c r="M415" t="inlineStr">
        <is>
          <t>State Medicaid</t>
        </is>
      </c>
      <c r="N415" t="inlineStr">
        <is>
          <t>Government</t>
        </is>
      </c>
      <c r="O415" s="39" t="n">
        <v>2472.61</v>
      </c>
    </row>
    <row r="416">
      <c r="A416" t="inlineStr">
        <is>
          <t>ENC113137</t>
        </is>
      </c>
      <c r="B416" t="inlineStr">
        <is>
          <t>PT11635</t>
        </is>
      </c>
      <c r="C416" s="42" t="n">
        <v>45726</v>
      </c>
      <c r="D416" s="42" t="n">
        <v>45726</v>
      </c>
      <c r="E416" s="38" t="n">
        <v>0</v>
      </c>
      <c r="F416" t="inlineStr">
        <is>
          <t>Emergency</t>
        </is>
      </c>
      <c r="G416" t="inlineStr">
        <is>
          <t>Cedar Ridge Medical Center</t>
        </is>
      </c>
      <c r="H416" t="inlineStr">
        <is>
          <t>Emergency Department</t>
        </is>
      </c>
      <c r="I416" t="inlineStr">
        <is>
          <t>Emergency</t>
        </is>
      </c>
      <c r="J416" t="inlineStr">
        <is>
          <t>Schmidt, Anna</t>
        </is>
      </c>
      <c r="K416" t="inlineStr">
        <is>
          <t>R55</t>
        </is>
      </c>
      <c r="L416" t="inlineStr">
        <is>
          <t>Symptoms &amp; Signs</t>
        </is>
      </c>
      <c r="M416" t="inlineStr">
        <is>
          <t>Self-Pay</t>
        </is>
      </c>
      <c r="N416" t="inlineStr">
        <is>
          <t>Self-Pay</t>
        </is>
      </c>
      <c r="O416" s="39" t="n">
        <v>1162.94</v>
      </c>
    </row>
    <row r="417">
      <c r="A417" t="inlineStr">
        <is>
          <t>ENC113140</t>
        </is>
      </c>
      <c r="B417" t="inlineStr">
        <is>
          <t>PT12849</t>
        </is>
      </c>
      <c r="C417" s="42" t="n">
        <v>45726</v>
      </c>
      <c r="D417" s="42" t="n">
        <v>45727</v>
      </c>
      <c r="E417" s="38" t="n">
        <v>1</v>
      </c>
      <c r="F417" t="inlineStr">
        <is>
          <t>Emergency</t>
        </is>
      </c>
      <c r="G417" t="inlineStr">
        <is>
          <t>Bluestone Memorial Hospital</t>
        </is>
      </c>
      <c r="H417" t="inlineStr">
        <is>
          <t>Emergency Department</t>
        </is>
      </c>
      <c r="I417" t="inlineStr">
        <is>
          <t>Emergency</t>
        </is>
      </c>
      <c r="J417" t="inlineStr">
        <is>
          <t>Sullivan, Jacob</t>
        </is>
      </c>
      <c r="K417" t="inlineStr">
        <is>
          <t>H66.90</t>
        </is>
      </c>
      <c r="L417" t="inlineStr">
        <is>
          <t>Ear</t>
        </is>
      </c>
      <c r="M417" t="inlineStr">
        <is>
          <t>Evergreen Mutual Insurance</t>
        </is>
      </c>
      <c r="N417" t="inlineStr">
        <is>
          <t>Commercial</t>
        </is>
      </c>
      <c r="O417" s="39" t="n">
        <v>734.34</v>
      </c>
    </row>
    <row r="418">
      <c r="A418" t="inlineStr">
        <is>
          <t>ENC113145</t>
        </is>
      </c>
      <c r="B418" t="inlineStr">
        <is>
          <t>PT10948</t>
        </is>
      </c>
      <c r="C418" s="42" t="n">
        <v>45727</v>
      </c>
      <c r="D418" s="42" t="n">
        <v>45727</v>
      </c>
      <c r="E418" s="38" t="n">
        <v>0</v>
      </c>
      <c r="F418" t="inlineStr">
        <is>
          <t>Outpatient</t>
        </is>
      </c>
      <c r="G418" t="inlineStr">
        <is>
          <t>Bluestone Outpatient Pavilion</t>
        </is>
      </c>
      <c r="H418" t="inlineStr">
        <is>
          <t>Cardiology Clinic</t>
        </is>
      </c>
      <c r="I418" t="inlineStr">
        <is>
          <t>Cardiovascular</t>
        </is>
      </c>
      <c r="J418" t="inlineStr">
        <is>
          <t>Jenkins, Brittany</t>
        </is>
      </c>
      <c r="K418" t="inlineStr">
        <is>
          <t>I48.91</t>
        </is>
      </c>
      <c r="L418" t="inlineStr">
        <is>
          <t>Circulatory</t>
        </is>
      </c>
      <c r="M418" t="inlineStr">
        <is>
          <t>State Medicaid</t>
        </is>
      </c>
      <c r="N418" t="inlineStr">
        <is>
          <t>Government</t>
        </is>
      </c>
      <c r="O418" s="39" t="n">
        <v>462.62</v>
      </c>
    </row>
    <row r="419">
      <c r="A419" t="inlineStr">
        <is>
          <t>ENC113150</t>
        </is>
      </c>
      <c r="B419" t="inlineStr">
        <is>
          <t>PT11504</t>
        </is>
      </c>
      <c r="C419" s="42" t="n">
        <v>45727</v>
      </c>
      <c r="D419" s="42" t="n">
        <v>45730</v>
      </c>
      <c r="E419" s="38" t="n">
        <v>3</v>
      </c>
      <c r="F419" t="inlineStr">
        <is>
          <t>Inpatient</t>
        </is>
      </c>
      <c r="G419" t="inlineStr">
        <is>
          <t>Cedar Ridge Medical Center</t>
        </is>
      </c>
      <c r="H419" t="inlineStr">
        <is>
          <t>Medical-Surgical</t>
        </is>
      </c>
      <c r="I419" t="inlineStr">
        <is>
          <t>Medicine</t>
        </is>
      </c>
      <c r="J419" t="inlineStr">
        <is>
          <t>Hall, Doris</t>
        </is>
      </c>
      <c r="K419" t="inlineStr">
        <is>
          <t>E86.0</t>
        </is>
      </c>
      <c r="L419" t="inlineStr">
        <is>
          <t>Endocrine</t>
        </is>
      </c>
      <c r="M419" t="inlineStr">
        <is>
          <t>Medicare</t>
        </is>
      </c>
      <c r="N419" t="inlineStr">
        <is>
          <t>Government</t>
        </is>
      </c>
      <c r="O419" s="39" t="n">
        <v>18627.42</v>
      </c>
      <c r="P419" t="inlineStr">
        <is>
          <t>Y</t>
        </is>
      </c>
    </row>
    <row r="420">
      <c r="A420" t="inlineStr">
        <is>
          <t>ENC113153</t>
        </is>
      </c>
      <c r="B420" t="inlineStr">
        <is>
          <t>PT13804</t>
        </is>
      </c>
      <c r="C420" s="42" t="n">
        <v>45727</v>
      </c>
      <c r="D420" s="42" t="n">
        <v>45733</v>
      </c>
      <c r="E420" s="38" t="n">
        <v>6</v>
      </c>
      <c r="F420" t="inlineStr">
        <is>
          <t>Inpatient</t>
        </is>
      </c>
      <c r="G420" t="inlineStr">
        <is>
          <t>Bluestone Memorial Hospital</t>
        </is>
      </c>
      <c r="H420" t="inlineStr">
        <is>
          <t>Orthopedics &amp; Spine</t>
        </is>
      </c>
      <c r="I420" t="inlineStr">
        <is>
          <t>Orthopedics</t>
        </is>
      </c>
      <c r="J420" t="inlineStr">
        <is>
          <t>King, Leila</t>
        </is>
      </c>
      <c r="K420" t="inlineStr">
        <is>
          <t>S72.001A</t>
        </is>
      </c>
      <c r="L420" t="inlineStr">
        <is>
          <t>Injury</t>
        </is>
      </c>
      <c r="M420" t="inlineStr">
        <is>
          <t>Self-Pay</t>
        </is>
      </c>
      <c r="N420" t="inlineStr">
        <is>
          <t>Self-Pay</t>
        </is>
      </c>
      <c r="O420" s="39" t="n">
        <v>57834.68</v>
      </c>
      <c r="P420" t="inlineStr">
        <is>
          <t>N</t>
        </is>
      </c>
    </row>
    <row r="421">
      <c r="A421" t="inlineStr">
        <is>
          <t>ENC113158</t>
        </is>
      </c>
      <c r="B421" t="inlineStr">
        <is>
          <t>PT11442</t>
        </is>
      </c>
      <c r="C421" s="42" t="n">
        <v>45727</v>
      </c>
      <c r="D421" s="42" t="n">
        <v>45727</v>
      </c>
      <c r="E421" s="38" t="n">
        <v>0</v>
      </c>
      <c r="F421" t="inlineStr">
        <is>
          <t>Outpatient</t>
        </is>
      </c>
      <c r="G421" t="inlineStr">
        <is>
          <t>Bluestone Outpatient Pavilion</t>
        </is>
      </c>
      <c r="H421" t="inlineStr">
        <is>
          <t>Primary Care Clinic</t>
        </is>
      </c>
      <c r="I421" t="inlineStr">
        <is>
          <t>Ambulatory</t>
        </is>
      </c>
      <c r="J421" t="inlineStr">
        <is>
          <t>Nguyen, Isabella</t>
        </is>
      </c>
      <c r="K421" t="inlineStr">
        <is>
          <t>N39.0</t>
        </is>
      </c>
      <c r="L421" t="inlineStr">
        <is>
          <t>Genitourinary</t>
        </is>
      </c>
      <c r="M421" t="inlineStr">
        <is>
          <t>Keystone Health Partners</t>
        </is>
      </c>
      <c r="N421" t="inlineStr">
        <is>
          <t>Commercial</t>
        </is>
      </c>
      <c r="O421" s="39" t="n">
        <v>317.17</v>
      </c>
    </row>
    <row r="422">
      <c r="A422" t="inlineStr">
        <is>
          <t>ENC113165</t>
        </is>
      </c>
      <c r="B422" t="inlineStr">
        <is>
          <t>PT12145</t>
        </is>
      </c>
      <c r="C422" s="42" t="n">
        <v>45727</v>
      </c>
      <c r="D422" s="42" t="n">
        <v>45727</v>
      </c>
      <c r="E422" s="38" t="n">
        <v>0</v>
      </c>
      <c r="F422" t="inlineStr">
        <is>
          <t>Outpatient</t>
        </is>
      </c>
      <c r="G422" t="inlineStr">
        <is>
          <t>Bluestone Outpatient Pavilion</t>
        </is>
      </c>
      <c r="H422" t="inlineStr">
        <is>
          <t>Pediatric Clinic</t>
        </is>
      </c>
      <c r="I422" t="inlineStr">
        <is>
          <t>Women &amp; Children</t>
        </is>
      </c>
      <c r="J422" t="inlineStr">
        <is>
          <t>Aguilar, Linh</t>
        </is>
      </c>
      <c r="K422" t="inlineStr">
        <is>
          <t>Z00.129</t>
        </is>
      </c>
      <c r="L422" t="inlineStr">
        <is>
          <t>Factors Influencing Health</t>
        </is>
      </c>
      <c r="M422" t="inlineStr">
        <is>
          <t>Evergreen Mutual Insurance</t>
        </is>
      </c>
      <c r="N422" t="inlineStr">
        <is>
          <t>Commercial</t>
        </is>
      </c>
      <c r="O422" s="39" t="n">
        <v>240.1</v>
      </c>
    </row>
    <row r="423">
      <c r="A423" t="inlineStr">
        <is>
          <t>ENC113167</t>
        </is>
      </c>
      <c r="B423" t="inlineStr">
        <is>
          <t>PT11983</t>
        </is>
      </c>
      <c r="C423" s="42" t="n">
        <v>45727</v>
      </c>
      <c r="D423" s="42" t="n">
        <v>45727</v>
      </c>
      <c r="E423" s="38" t="n">
        <v>0</v>
      </c>
      <c r="F423" t="inlineStr">
        <is>
          <t>Outpatient</t>
        </is>
      </c>
      <c r="G423" t="inlineStr">
        <is>
          <t>Bluestone Outpatient Pavilion</t>
        </is>
      </c>
      <c r="H423" t="inlineStr">
        <is>
          <t>Endocrinology &amp; Diabetes Clinic</t>
        </is>
      </c>
      <c r="I423" t="inlineStr">
        <is>
          <t>Ambulatory</t>
        </is>
      </c>
      <c r="J423" t="inlineStr">
        <is>
          <t>Lee, Amber</t>
        </is>
      </c>
      <c r="K423" t="inlineStr">
        <is>
          <t>E11.65</t>
        </is>
      </c>
      <c r="L423" t="inlineStr">
        <is>
          <t>Endocrine</t>
        </is>
      </c>
      <c r="M423" t="inlineStr">
        <is>
          <t>State Medicaid</t>
        </is>
      </c>
      <c r="N423" t="inlineStr">
        <is>
          <t>Government</t>
        </is>
      </c>
      <c r="O423" s="39" t="n">
        <v>342.48</v>
      </c>
    </row>
    <row r="424">
      <c r="A424" t="inlineStr">
        <is>
          <t>ENC113168</t>
        </is>
      </c>
      <c r="B424" t="inlineStr">
        <is>
          <t>PT10412</t>
        </is>
      </c>
      <c r="C424" s="42" t="n">
        <v>45727</v>
      </c>
      <c r="D424" s="42" t="n">
        <v>45727</v>
      </c>
      <c r="E424" s="38" t="n">
        <v>0</v>
      </c>
      <c r="F424" t="inlineStr">
        <is>
          <t>Outpatient</t>
        </is>
      </c>
      <c r="G424" t="inlineStr">
        <is>
          <t>Bluestone Outpatient Pavilion</t>
        </is>
      </c>
      <c r="H424" t="inlineStr">
        <is>
          <t>Primary Care Clinic</t>
        </is>
      </c>
      <c r="I424" t="inlineStr">
        <is>
          <t>Ambulatory</t>
        </is>
      </c>
      <c r="J424" t="inlineStr">
        <is>
          <t>Alvarado, George</t>
        </is>
      </c>
      <c r="K424" t="inlineStr">
        <is>
          <t>E78.5</t>
        </is>
      </c>
      <c r="L424" t="inlineStr">
        <is>
          <t>Endocrine</t>
        </is>
      </c>
      <c r="M424" t="inlineStr">
        <is>
          <t>Self-Pay</t>
        </is>
      </c>
      <c r="N424" t="inlineStr">
        <is>
          <t>Self-Pay</t>
        </is>
      </c>
      <c r="O424" s="39" t="n">
        <v>269.84</v>
      </c>
    </row>
    <row r="425">
      <c r="A425" t="inlineStr">
        <is>
          <t>ENC113174</t>
        </is>
      </c>
      <c r="B425" t="inlineStr">
        <is>
          <t>PT11335</t>
        </is>
      </c>
      <c r="C425" s="42" t="n">
        <v>45727</v>
      </c>
      <c r="D425" s="42" t="n">
        <v>45727</v>
      </c>
      <c r="E425" s="38" t="n">
        <v>0</v>
      </c>
      <c r="F425" t="inlineStr">
        <is>
          <t>Emergency</t>
        </is>
      </c>
      <c r="G425" t="inlineStr">
        <is>
          <t>Bluestone Memorial Hospital</t>
        </is>
      </c>
      <c r="H425" t="inlineStr">
        <is>
          <t>Emergency Department</t>
        </is>
      </c>
      <c r="I425" t="inlineStr">
        <is>
          <t>Emergency</t>
        </is>
      </c>
      <c r="J425" t="inlineStr">
        <is>
          <t>Ferguson, Roy</t>
        </is>
      </c>
      <c r="K425" t="inlineStr">
        <is>
          <t>K80.20</t>
        </is>
      </c>
      <c r="L425" t="inlineStr">
        <is>
          <t>Digestive</t>
        </is>
      </c>
      <c r="M425" t="inlineStr">
        <is>
          <t>State Medicaid</t>
        </is>
      </c>
      <c r="N425" t="inlineStr">
        <is>
          <t>Government</t>
        </is>
      </c>
      <c r="O425" s="39" t="n">
        <v>2195.68</v>
      </c>
    </row>
    <row r="426">
      <c r="A426" t="inlineStr">
        <is>
          <t>ENC113189</t>
        </is>
      </c>
      <c r="B426" t="inlineStr">
        <is>
          <t>PT13511</t>
        </is>
      </c>
      <c r="C426" s="42" t="n">
        <v>45728</v>
      </c>
      <c r="D426" s="42" t="n">
        <v>45730</v>
      </c>
      <c r="E426" s="38" t="n">
        <v>2</v>
      </c>
      <c r="F426" t="inlineStr">
        <is>
          <t>Inpatient</t>
        </is>
      </c>
      <c r="G426" t="inlineStr">
        <is>
          <t>Bluestone Memorial Hospital</t>
        </is>
      </c>
      <c r="H426" t="inlineStr">
        <is>
          <t>Pediatrics</t>
        </is>
      </c>
      <c r="I426" t="inlineStr">
        <is>
          <t>Women &amp; Children</t>
        </is>
      </c>
      <c r="J426" t="inlineStr">
        <is>
          <t>Soto, Michael</t>
        </is>
      </c>
      <c r="K426" t="inlineStr">
        <is>
          <t>J21.9</t>
        </is>
      </c>
      <c r="L426" t="inlineStr">
        <is>
          <t>Respiratory</t>
        </is>
      </c>
      <c r="M426" t="inlineStr">
        <is>
          <t>Evergreen Mutual Insurance</t>
        </is>
      </c>
      <c r="N426" t="inlineStr">
        <is>
          <t>Commercial</t>
        </is>
      </c>
      <c r="O426" s="39" t="n">
        <v>13799.45</v>
      </c>
      <c r="P426" t="inlineStr">
        <is>
          <t>N</t>
        </is>
      </c>
    </row>
    <row r="427">
      <c r="A427" t="inlineStr">
        <is>
          <t>ENC113197</t>
        </is>
      </c>
      <c r="B427" t="inlineStr">
        <is>
          <t>PT12801</t>
        </is>
      </c>
      <c r="C427" s="42" t="n">
        <v>45728</v>
      </c>
      <c r="D427" s="42" t="n">
        <v>45728</v>
      </c>
      <c r="E427" s="38" t="n">
        <v>0</v>
      </c>
      <c r="F427" t="inlineStr">
        <is>
          <t>Emergency</t>
        </is>
      </c>
      <c r="G427" t="inlineStr">
        <is>
          <t>Ashby Falls Community Hospital</t>
        </is>
      </c>
      <c r="H427" t="inlineStr">
        <is>
          <t>Emergency Department</t>
        </is>
      </c>
      <c r="I427" t="inlineStr">
        <is>
          <t>Emergency</t>
        </is>
      </c>
      <c r="J427" t="inlineStr">
        <is>
          <t>Wright, Bruce</t>
        </is>
      </c>
      <c r="K427" t="inlineStr">
        <is>
          <t>R55</t>
        </is>
      </c>
      <c r="L427" t="inlineStr">
        <is>
          <t>Symptoms &amp; Signs</t>
        </is>
      </c>
      <c r="M427" t="inlineStr">
        <is>
          <t>Evergreen Mutual Insurance</t>
        </is>
      </c>
      <c r="N427" t="inlineStr">
        <is>
          <t>Commercial</t>
        </is>
      </c>
      <c r="O427" s="39" t="n">
        <v>7515.19</v>
      </c>
    </row>
    <row r="428">
      <c r="A428" t="inlineStr">
        <is>
          <t>ENC113199</t>
        </is>
      </c>
      <c r="B428" t="inlineStr">
        <is>
          <t>PT10855</t>
        </is>
      </c>
      <c r="C428" s="42" t="n">
        <v>45728</v>
      </c>
      <c r="D428" s="42" t="n">
        <v>45728</v>
      </c>
      <c r="E428" s="38" t="n">
        <v>0</v>
      </c>
      <c r="F428" t="inlineStr">
        <is>
          <t>Outpatient</t>
        </is>
      </c>
      <c r="G428" t="inlineStr">
        <is>
          <t>Bluestone Outpatient Pavilion</t>
        </is>
      </c>
      <c r="H428" t="inlineStr">
        <is>
          <t>Primary Care Clinic</t>
        </is>
      </c>
      <c r="I428" t="inlineStr">
        <is>
          <t>Ambulatory</t>
        </is>
      </c>
      <c r="J428" t="inlineStr">
        <is>
          <t>Arnold, Catherine</t>
        </is>
      </c>
      <c r="K428" t="inlineStr">
        <is>
          <t>I10</t>
        </is>
      </c>
      <c r="L428" t="inlineStr">
        <is>
          <t>Circulatory</t>
        </is>
      </c>
      <c r="M428" t="inlineStr">
        <is>
          <t>Medicare</t>
        </is>
      </c>
      <c r="N428" t="inlineStr">
        <is>
          <t>Government</t>
        </is>
      </c>
      <c r="O428" s="39" t="n">
        <v>384.43</v>
      </c>
    </row>
    <row r="429">
      <c r="A429" t="inlineStr">
        <is>
          <t>ENC113206</t>
        </is>
      </c>
      <c r="B429" t="inlineStr">
        <is>
          <t>PT13661</t>
        </is>
      </c>
      <c r="C429" s="42" t="n">
        <v>45728</v>
      </c>
      <c r="D429" s="42" t="n">
        <v>45728</v>
      </c>
      <c r="E429" s="38" t="n">
        <v>0</v>
      </c>
      <c r="F429" t="inlineStr">
        <is>
          <t>Outpatient</t>
        </is>
      </c>
      <c r="G429" t="inlineStr">
        <is>
          <t>Bluestone Outpatient Pavilion</t>
        </is>
      </c>
      <c r="H429" t="inlineStr">
        <is>
          <t>Primary Care Clinic</t>
        </is>
      </c>
      <c r="I429" t="inlineStr">
        <is>
          <t>Ambulatory</t>
        </is>
      </c>
      <c r="J429" t="inlineStr">
        <is>
          <t>Nguyen, Isabella</t>
        </is>
      </c>
      <c r="K429" t="inlineStr">
        <is>
          <t>F41.9</t>
        </is>
      </c>
      <c r="L429" t="inlineStr">
        <is>
          <t>Mental &amp; Behavioral</t>
        </is>
      </c>
      <c r="M429" t="inlineStr">
        <is>
          <t>Keystone Health Partners</t>
        </is>
      </c>
      <c r="N429" t="inlineStr">
        <is>
          <t>Commercial</t>
        </is>
      </c>
      <c r="O429" s="39" t="n">
        <v>251.52</v>
      </c>
    </row>
    <row r="430">
      <c r="A430" t="inlineStr">
        <is>
          <t>ENC113196</t>
        </is>
      </c>
      <c r="B430" t="inlineStr">
        <is>
          <t>PT12701</t>
        </is>
      </c>
      <c r="C430" s="42" t="n">
        <v>45728</v>
      </c>
      <c r="D430" s="42" t="n">
        <v>45731</v>
      </c>
      <c r="E430" s="38" t="n">
        <v>3</v>
      </c>
      <c r="F430" t="inlineStr">
        <is>
          <t>Inpatient</t>
        </is>
      </c>
      <c r="G430" t="inlineStr">
        <is>
          <t>Bluestone Memorial Hospital</t>
        </is>
      </c>
      <c r="H430" t="inlineStr">
        <is>
          <t>Medical-Surgical 4 West</t>
        </is>
      </c>
      <c r="I430" t="inlineStr">
        <is>
          <t>Medicine</t>
        </is>
      </c>
      <c r="J430" t="inlineStr">
        <is>
          <t>Cruz, Roger</t>
        </is>
      </c>
      <c r="K430" t="inlineStr">
        <is>
          <t>K92.2</t>
        </is>
      </c>
      <c r="L430" t="inlineStr">
        <is>
          <t>Digestive</t>
        </is>
      </c>
      <c r="M430" t="inlineStr">
        <is>
          <t>Silverline Medicare Advantage</t>
        </is>
      </c>
      <c r="N430" t="inlineStr">
        <is>
          <t>Medicare Advantage</t>
        </is>
      </c>
      <c r="O430" s="39" t="n">
        <v>11053.37</v>
      </c>
      <c r="P430" t="inlineStr">
        <is>
          <t>N</t>
        </is>
      </c>
    </row>
    <row r="431">
      <c r="A431" t="inlineStr">
        <is>
          <t>ENC113210</t>
        </is>
      </c>
      <c r="B431" t="inlineStr">
        <is>
          <t>PT13575</t>
        </is>
      </c>
      <c r="C431" s="42" t="n">
        <v>45728</v>
      </c>
      <c r="D431" s="42" t="n">
        <v>45733</v>
      </c>
      <c r="E431" s="38" t="n">
        <v>5</v>
      </c>
      <c r="F431" t="inlineStr">
        <is>
          <t>Inpatient</t>
        </is>
      </c>
      <c r="G431" t="inlineStr">
        <is>
          <t>Cedar Ridge Medical Center</t>
        </is>
      </c>
      <c r="H431" t="inlineStr">
        <is>
          <t>Medical-Surgical</t>
        </is>
      </c>
      <c r="I431" t="inlineStr">
        <is>
          <t>Medicine</t>
        </is>
      </c>
      <c r="J431" t="inlineStr">
        <is>
          <t>Hansen, Wei</t>
        </is>
      </c>
      <c r="K431" t="inlineStr">
        <is>
          <t>U07.1</t>
        </is>
      </c>
      <c r="L431" t="inlineStr">
        <is>
          <t>Respiratory</t>
        </is>
      </c>
      <c r="M431" t="inlineStr">
        <is>
          <t>State Medicaid</t>
        </is>
      </c>
      <c r="N431" t="inlineStr">
        <is>
          <t>Government</t>
        </is>
      </c>
      <c r="O431" s="39" t="n">
        <v>19938.06</v>
      </c>
      <c r="P431" t="inlineStr">
        <is>
          <t>N</t>
        </is>
      </c>
    </row>
    <row r="432">
      <c r="A432" t="inlineStr">
        <is>
          <t>ENC113209</t>
        </is>
      </c>
      <c r="B432" t="inlineStr">
        <is>
          <t>PT11066</t>
        </is>
      </c>
      <c r="C432" s="42" t="n">
        <v>45728</v>
      </c>
      <c r="D432" s="42" t="n">
        <v>45734</v>
      </c>
      <c r="E432" s="38" t="n">
        <v>6</v>
      </c>
      <c r="F432" t="inlineStr">
        <is>
          <t>Inpatient</t>
        </is>
      </c>
      <c r="G432" t="inlineStr">
        <is>
          <t>Bluestone Memorial Hospital</t>
        </is>
      </c>
      <c r="H432" t="inlineStr">
        <is>
          <t>Medical-Surgical 4 West</t>
        </is>
      </c>
      <c r="I432" t="inlineStr">
        <is>
          <t>Medicine</t>
        </is>
      </c>
      <c r="J432" t="inlineStr">
        <is>
          <t>Yilmaz, Joe</t>
        </is>
      </c>
      <c r="K432" t="inlineStr">
        <is>
          <t>N39.0</t>
        </is>
      </c>
      <c r="L432" t="inlineStr">
        <is>
          <t>Genitourinary</t>
        </is>
      </c>
      <c r="M432" t="inlineStr">
        <is>
          <t>Medicare</t>
        </is>
      </c>
      <c r="N432" t="inlineStr">
        <is>
          <t>Government</t>
        </is>
      </c>
      <c r="O432" s="39" t="n">
        <v>39575.07</v>
      </c>
      <c r="P432" t="inlineStr">
        <is>
          <t>N</t>
        </is>
      </c>
    </row>
    <row r="433">
      <c r="A433" t="inlineStr">
        <is>
          <t>ENC113214</t>
        </is>
      </c>
      <c r="B433" t="inlineStr">
        <is>
          <t>PT10646</t>
        </is>
      </c>
      <c r="C433" s="42" t="n">
        <v>45728</v>
      </c>
      <c r="D433" s="42" t="n">
        <v>45730</v>
      </c>
      <c r="E433" s="38" t="n">
        <v>2</v>
      </c>
      <c r="F433" t="inlineStr">
        <is>
          <t>Observation</t>
        </is>
      </c>
      <c r="G433" t="inlineStr">
        <is>
          <t>Bluestone Memorial Hospital</t>
        </is>
      </c>
      <c r="H433" t="inlineStr">
        <is>
          <t>Observation Unit</t>
        </is>
      </c>
      <c r="I433" t="inlineStr">
        <is>
          <t>Medicine</t>
        </is>
      </c>
      <c r="J433" t="inlineStr">
        <is>
          <t>Allen, Jean</t>
        </is>
      </c>
      <c r="K433" t="inlineStr">
        <is>
          <t>E86.0</t>
        </is>
      </c>
      <c r="L433" t="inlineStr">
        <is>
          <t>Endocrine</t>
        </is>
      </c>
      <c r="M433" t="inlineStr">
        <is>
          <t>Evergreen Mutual Insurance</t>
        </is>
      </c>
      <c r="N433" t="inlineStr">
        <is>
          <t>Commercial</t>
        </is>
      </c>
      <c r="O433" s="39" t="n">
        <v>10916.94</v>
      </c>
    </row>
    <row r="434">
      <c r="A434" t="inlineStr">
        <is>
          <t>ENC113220</t>
        </is>
      </c>
      <c r="B434" t="inlineStr">
        <is>
          <t>PT11565</t>
        </is>
      </c>
      <c r="C434" s="42" t="n">
        <v>45729</v>
      </c>
      <c r="D434" s="42" t="n">
        <v>45729</v>
      </c>
      <c r="E434" s="38" t="n">
        <v>0</v>
      </c>
      <c r="F434" t="inlineStr">
        <is>
          <t>Outpatient</t>
        </is>
      </c>
      <c r="G434" t="inlineStr">
        <is>
          <t>Bluestone Outpatient Pavilion</t>
        </is>
      </c>
      <c r="H434" t="inlineStr">
        <is>
          <t>Infusion &amp; Oncology Clinic</t>
        </is>
      </c>
      <c r="I434" t="inlineStr">
        <is>
          <t>Oncology</t>
        </is>
      </c>
      <c r="J434" t="inlineStr">
        <is>
          <t>Hicks, Zachary</t>
        </is>
      </c>
      <c r="K434" t="inlineStr">
        <is>
          <t>Z51.11</t>
        </is>
      </c>
      <c r="L434" t="inlineStr">
        <is>
          <t>Factors Influencing Health</t>
        </is>
      </c>
      <c r="M434" t="inlineStr">
        <is>
          <t>Silverline Medicare Advantage</t>
        </is>
      </c>
      <c r="N434" t="inlineStr">
        <is>
          <t>Medicare Advantage</t>
        </is>
      </c>
      <c r="O434" s="39" t="n">
        <v>6840.9</v>
      </c>
    </row>
    <row r="435">
      <c r="A435" t="inlineStr">
        <is>
          <t>ENC113226</t>
        </is>
      </c>
      <c r="B435" t="inlineStr">
        <is>
          <t>PT11382</t>
        </is>
      </c>
      <c r="C435" s="42" t="n">
        <v>45729</v>
      </c>
      <c r="D435" s="42" t="n">
        <v>45729</v>
      </c>
      <c r="E435" s="38" t="n">
        <v>0</v>
      </c>
      <c r="F435" t="inlineStr">
        <is>
          <t>Outpatient</t>
        </is>
      </c>
      <c r="G435" t="inlineStr">
        <is>
          <t>Bluestone Outpatient Pavilion</t>
        </is>
      </c>
      <c r="H435" t="inlineStr">
        <is>
          <t>Primary Care Clinic</t>
        </is>
      </c>
      <c r="I435" t="inlineStr">
        <is>
          <t>Ambulatory</t>
        </is>
      </c>
      <c r="J435" t="inlineStr">
        <is>
          <t>Bennett, Randy</t>
        </is>
      </c>
      <c r="K435" t="inlineStr">
        <is>
          <t>Z00.00</t>
        </is>
      </c>
      <c r="L435" t="inlineStr">
        <is>
          <t>Factors Influencing Health</t>
        </is>
      </c>
      <c r="M435" t="inlineStr">
        <is>
          <t>Medicare</t>
        </is>
      </c>
      <c r="N435" t="inlineStr">
        <is>
          <t>Government</t>
        </is>
      </c>
      <c r="O435" s="39" t="n">
        <v>345.2</v>
      </c>
    </row>
    <row r="436">
      <c r="A436" t="inlineStr">
        <is>
          <t>ENC113221</t>
        </is>
      </c>
      <c r="B436" t="inlineStr">
        <is>
          <t>PT12055</t>
        </is>
      </c>
      <c r="C436" s="42" t="n">
        <v>45729</v>
      </c>
      <c r="D436" s="42" t="n">
        <v>45731</v>
      </c>
      <c r="E436" s="38" t="n">
        <v>2</v>
      </c>
      <c r="F436" t="inlineStr">
        <is>
          <t>Observation</t>
        </is>
      </c>
      <c r="G436" t="inlineStr">
        <is>
          <t>Bluestone Memorial Hospital</t>
        </is>
      </c>
      <c r="H436" t="inlineStr">
        <is>
          <t>Observation Unit</t>
        </is>
      </c>
      <c r="I436" t="inlineStr">
        <is>
          <t>Medicine</t>
        </is>
      </c>
      <c r="J436" t="inlineStr">
        <is>
          <t>Cox, Judith</t>
        </is>
      </c>
      <c r="K436" t="inlineStr">
        <is>
          <t>F10.239</t>
        </is>
      </c>
      <c r="L436" t="inlineStr">
        <is>
          <t>Mental &amp; Behavioral</t>
        </is>
      </c>
      <c r="M436" t="inlineStr">
        <is>
          <t>Keystone Health Partners</t>
        </is>
      </c>
      <c r="N436" t="inlineStr">
        <is>
          <t>Commercial</t>
        </is>
      </c>
      <c r="O436" s="39" t="n">
        <v>6811.83</v>
      </c>
    </row>
    <row r="437">
      <c r="A437" t="inlineStr">
        <is>
          <t>ENC113240</t>
        </is>
      </c>
      <c r="B437" t="inlineStr">
        <is>
          <t>PT10484</t>
        </is>
      </c>
      <c r="C437" s="42" t="n">
        <v>45729</v>
      </c>
      <c r="D437" s="42" t="n">
        <v>45729</v>
      </c>
      <c r="E437" s="38" t="n">
        <v>0</v>
      </c>
      <c r="F437" t="inlineStr">
        <is>
          <t>Emergency</t>
        </is>
      </c>
      <c r="G437" t="inlineStr">
        <is>
          <t>Bluestone Memorial Hospital</t>
        </is>
      </c>
      <c r="H437" t="inlineStr">
        <is>
          <t>Emergency Department</t>
        </is>
      </c>
      <c r="I437" t="inlineStr">
        <is>
          <t>Emergency</t>
        </is>
      </c>
      <c r="J437" t="inlineStr">
        <is>
          <t>Morris, Jordan</t>
        </is>
      </c>
      <c r="K437" t="inlineStr">
        <is>
          <t>J06.9</t>
        </is>
      </c>
      <c r="L437" t="inlineStr">
        <is>
          <t>Respiratory</t>
        </is>
      </c>
      <c r="M437" t="inlineStr">
        <is>
          <t>Medicare</t>
        </is>
      </c>
      <c r="N437" t="inlineStr">
        <is>
          <t>Government</t>
        </is>
      </c>
      <c r="O437" s="39" t="n">
        <v>707.9</v>
      </c>
    </row>
    <row r="438">
      <c r="A438" t="inlineStr">
        <is>
          <t>ENC113232</t>
        </is>
      </c>
      <c r="B438" t="inlineStr">
        <is>
          <t>PT13554</t>
        </is>
      </c>
      <c r="C438" s="42" t="n">
        <v>45729</v>
      </c>
      <c r="D438" s="42" t="n">
        <v>45730</v>
      </c>
      <c r="E438" s="38" t="n">
        <v>1</v>
      </c>
      <c r="F438" t="inlineStr">
        <is>
          <t>Observation</t>
        </is>
      </c>
      <c r="G438" t="inlineStr">
        <is>
          <t>Bluestone Memorial Hospital</t>
        </is>
      </c>
      <c r="H438" t="inlineStr">
        <is>
          <t>Observation Unit</t>
        </is>
      </c>
      <c r="I438" t="inlineStr">
        <is>
          <t>Medicine</t>
        </is>
      </c>
      <c r="J438" t="inlineStr">
        <is>
          <t>Soto, Emma</t>
        </is>
      </c>
      <c r="K438" t="inlineStr">
        <is>
          <t>J21.9</t>
        </is>
      </c>
      <c r="L438" t="inlineStr">
        <is>
          <t>Respiratory</t>
        </is>
      </c>
      <c r="M438" t="inlineStr">
        <is>
          <t>State Medicaid</t>
        </is>
      </c>
      <c r="N438" t="inlineStr">
        <is>
          <t>Government</t>
        </is>
      </c>
      <c r="O438" s="39" t="n">
        <v>9363.82</v>
      </c>
    </row>
    <row r="439">
      <c r="A439" t="inlineStr">
        <is>
          <t>ENC113247</t>
        </is>
      </c>
      <c r="B439" t="inlineStr">
        <is>
          <t>PT13510</t>
        </is>
      </c>
      <c r="C439" s="42" t="n">
        <v>45729</v>
      </c>
      <c r="D439" s="42" t="n">
        <v>45729</v>
      </c>
      <c r="E439" s="38" t="n">
        <v>0</v>
      </c>
      <c r="F439" t="inlineStr">
        <is>
          <t>Outpatient</t>
        </is>
      </c>
      <c r="G439" t="inlineStr">
        <is>
          <t>Bluestone Outpatient Pavilion</t>
        </is>
      </c>
      <c r="H439" t="inlineStr">
        <is>
          <t>Endocrinology &amp; Diabetes Clinic</t>
        </is>
      </c>
      <c r="I439" t="inlineStr">
        <is>
          <t>Ambulatory</t>
        </is>
      </c>
      <c r="J439" t="inlineStr">
        <is>
          <t>Rivera, Scott</t>
        </is>
      </c>
      <c r="K439" t="inlineStr">
        <is>
          <t>E11.65</t>
        </is>
      </c>
      <c r="L439" t="inlineStr">
        <is>
          <t>Endocrine</t>
        </is>
      </c>
      <c r="M439" t="inlineStr">
        <is>
          <t>Medicare</t>
        </is>
      </c>
      <c r="N439" t="inlineStr">
        <is>
          <t>Government</t>
        </is>
      </c>
      <c r="O439" s="39" t="n">
        <v>386.02</v>
      </c>
    </row>
    <row r="440">
      <c r="A440" t="inlineStr">
        <is>
          <t>ENC113253</t>
        </is>
      </c>
      <c r="B440" t="inlineStr">
        <is>
          <t>PT11438</t>
        </is>
      </c>
      <c r="C440" s="42" t="n">
        <v>45729</v>
      </c>
      <c r="D440" s="42" t="n">
        <v>45730</v>
      </c>
      <c r="E440" s="38" t="n">
        <v>1</v>
      </c>
      <c r="F440" t="inlineStr">
        <is>
          <t>Emergency</t>
        </is>
      </c>
      <c r="G440" t="inlineStr">
        <is>
          <t>Bluestone Memorial Hospital</t>
        </is>
      </c>
      <c r="H440" t="inlineStr">
        <is>
          <t>Emergency Department</t>
        </is>
      </c>
      <c r="I440" t="inlineStr">
        <is>
          <t>Emergency</t>
        </is>
      </c>
      <c r="J440" t="inlineStr">
        <is>
          <t>Olson, Christian</t>
        </is>
      </c>
      <c r="K440" t="inlineStr">
        <is>
          <t>N39.0</t>
        </is>
      </c>
      <c r="L440" t="inlineStr">
        <is>
          <t>Genitourinary</t>
        </is>
      </c>
      <c r="M440" t="inlineStr">
        <is>
          <t>State Medicaid</t>
        </is>
      </c>
      <c r="N440" t="inlineStr">
        <is>
          <t>Government</t>
        </is>
      </c>
      <c r="O440" s="39" t="n">
        <v>5003.97</v>
      </c>
    </row>
    <row r="441">
      <c r="A441" t="inlineStr">
        <is>
          <t>ENC113254</t>
        </is>
      </c>
      <c r="B441" t="inlineStr">
        <is>
          <t>PT13468</t>
        </is>
      </c>
      <c r="C441" s="42" t="n">
        <v>45729</v>
      </c>
      <c r="D441" s="42" t="n">
        <v>45730</v>
      </c>
      <c r="E441" s="38" t="n">
        <v>1</v>
      </c>
      <c r="F441" t="inlineStr">
        <is>
          <t>Emergency</t>
        </is>
      </c>
      <c r="G441" t="inlineStr">
        <is>
          <t>Ashby Falls Community Hospital</t>
        </is>
      </c>
      <c r="H441" t="inlineStr">
        <is>
          <t>Emergency Department</t>
        </is>
      </c>
      <c r="I441" t="inlineStr">
        <is>
          <t>Emergency</t>
        </is>
      </c>
      <c r="J441" t="inlineStr">
        <is>
          <t>Walker, Margaret</t>
        </is>
      </c>
      <c r="K441" t="inlineStr">
        <is>
          <t>R10.9</t>
        </is>
      </c>
      <c r="L441" t="inlineStr">
        <is>
          <t>Symptoms &amp; Signs</t>
        </is>
      </c>
      <c r="M441" t="inlineStr">
        <is>
          <t>Keystone Health Partners</t>
        </is>
      </c>
      <c r="N441" t="inlineStr">
        <is>
          <t>Commercial</t>
        </is>
      </c>
      <c r="O441" s="39" t="n">
        <v>1235.23</v>
      </c>
    </row>
    <row r="442">
      <c r="A442" t="inlineStr">
        <is>
          <t>ENC113256</t>
        </is>
      </c>
      <c r="B442" t="inlineStr">
        <is>
          <t>PT12308</t>
        </is>
      </c>
      <c r="C442" s="42" t="n">
        <v>45730</v>
      </c>
      <c r="D442" s="42" t="n">
        <v>45730</v>
      </c>
      <c r="E442" s="38" t="n">
        <v>0</v>
      </c>
      <c r="F442" t="inlineStr">
        <is>
          <t>Emergency</t>
        </is>
      </c>
      <c r="G442" t="inlineStr">
        <is>
          <t>Bluestone Memorial Hospital</t>
        </is>
      </c>
      <c r="H442" t="inlineStr">
        <is>
          <t>Emergency Department</t>
        </is>
      </c>
      <c r="I442" t="inlineStr">
        <is>
          <t>Emergency</t>
        </is>
      </c>
      <c r="J442" t="inlineStr">
        <is>
          <t>Payne, Nancy</t>
        </is>
      </c>
      <c r="K442" t="inlineStr">
        <is>
          <t>E86.0</t>
        </is>
      </c>
      <c r="L442" t="inlineStr">
        <is>
          <t>Endocrine</t>
        </is>
      </c>
      <c r="M442" t="inlineStr">
        <is>
          <t>Medicare</t>
        </is>
      </c>
      <c r="N442" t="inlineStr">
        <is>
          <t>Government</t>
        </is>
      </c>
      <c r="O442" s="39" t="n">
        <v>1531.79</v>
      </c>
    </row>
    <row r="443">
      <c r="A443" t="inlineStr">
        <is>
          <t>ENC113267</t>
        </is>
      </c>
      <c r="B443" t="inlineStr">
        <is>
          <t>PT12220</t>
        </is>
      </c>
      <c r="C443" s="42" t="n">
        <v>45730</v>
      </c>
      <c r="D443" s="42" t="n">
        <v>45730</v>
      </c>
      <c r="E443" s="38" t="n">
        <v>0</v>
      </c>
      <c r="F443" t="inlineStr">
        <is>
          <t>Outpatient</t>
        </is>
      </c>
      <c r="G443" t="inlineStr">
        <is>
          <t>Bluestone Outpatient Pavilion</t>
        </is>
      </c>
      <c r="H443" t="inlineStr">
        <is>
          <t>Infusion &amp; Oncology Clinic</t>
        </is>
      </c>
      <c r="I443" t="inlineStr">
        <is>
          <t>Oncology</t>
        </is>
      </c>
      <c r="J443" t="inlineStr">
        <is>
          <t>Cooper, Logan</t>
        </is>
      </c>
      <c r="K443" t="inlineStr">
        <is>
          <t>Z51.11</t>
        </is>
      </c>
      <c r="L443" t="inlineStr">
        <is>
          <t>Factors Influencing Health</t>
        </is>
      </c>
      <c r="M443" t="inlineStr">
        <is>
          <t>Keystone Health Partners</t>
        </is>
      </c>
      <c r="N443" t="inlineStr">
        <is>
          <t>Commercial</t>
        </is>
      </c>
      <c r="O443" s="39" t="n">
        <v>15169.02</v>
      </c>
    </row>
    <row r="444">
      <c r="A444" t="inlineStr">
        <is>
          <t>ENC113270</t>
        </is>
      </c>
      <c r="B444" t="inlineStr">
        <is>
          <t>PT11630</t>
        </is>
      </c>
      <c r="C444" s="42" t="n">
        <v>45730</v>
      </c>
      <c r="D444" s="42" t="n">
        <v>45730</v>
      </c>
      <c r="E444" s="38" t="n">
        <v>0</v>
      </c>
      <c r="F444" t="inlineStr">
        <is>
          <t>Outpatient</t>
        </is>
      </c>
      <c r="G444" t="inlineStr">
        <is>
          <t>Bluestone Outpatient Pavilion</t>
        </is>
      </c>
      <c r="H444" t="inlineStr">
        <is>
          <t>Pediatric Clinic</t>
        </is>
      </c>
      <c r="I444" t="inlineStr">
        <is>
          <t>Women &amp; Children</t>
        </is>
      </c>
      <c r="J444" t="inlineStr">
        <is>
          <t>Herrera, Christian</t>
        </is>
      </c>
      <c r="K444" t="inlineStr">
        <is>
          <t>H66.90</t>
        </is>
      </c>
      <c r="L444" t="inlineStr">
        <is>
          <t>Ear</t>
        </is>
      </c>
      <c r="M444" t="inlineStr">
        <is>
          <t>State Medicaid</t>
        </is>
      </c>
      <c r="N444" t="inlineStr">
        <is>
          <t>Government</t>
        </is>
      </c>
      <c r="O444" s="39" t="n">
        <v>313.07</v>
      </c>
    </row>
    <row r="445">
      <c r="A445" t="inlineStr">
        <is>
          <t>ENC113290</t>
        </is>
      </c>
      <c r="B445" t="inlineStr">
        <is>
          <t>PT10976</t>
        </is>
      </c>
      <c r="C445" s="42" t="n">
        <v>45731</v>
      </c>
      <c r="D445" s="42" t="n">
        <v>45731</v>
      </c>
      <c r="E445" s="38" t="n">
        <v>0</v>
      </c>
      <c r="F445" t="inlineStr">
        <is>
          <t>Emergency</t>
        </is>
      </c>
      <c r="G445" t="inlineStr">
        <is>
          <t>Cedar Ridge Medical Center</t>
        </is>
      </c>
      <c r="H445" t="inlineStr">
        <is>
          <t>Emergency Department</t>
        </is>
      </c>
      <c r="I445" t="inlineStr">
        <is>
          <t>Emergency</t>
        </is>
      </c>
      <c r="J445" t="inlineStr">
        <is>
          <t>Barnes, Gary</t>
        </is>
      </c>
      <c r="K445" t="inlineStr">
        <is>
          <t>J06.9</t>
        </is>
      </c>
      <c r="L445" t="inlineStr">
        <is>
          <t>Respiratory</t>
        </is>
      </c>
      <c r="M445" t="inlineStr">
        <is>
          <t>Keystone Health Partners</t>
        </is>
      </c>
      <c r="N445" t="inlineStr">
        <is>
          <t>Commercial</t>
        </is>
      </c>
      <c r="O445" s="39" t="n">
        <v>1450.04</v>
      </c>
    </row>
    <row r="446">
      <c r="A446" t="inlineStr">
        <is>
          <t>ENC113291</t>
        </is>
      </c>
      <c r="B446" t="inlineStr">
        <is>
          <t>PT11727</t>
        </is>
      </c>
      <c r="C446" s="42" t="n">
        <v>45731</v>
      </c>
      <c r="D446" s="42" t="n">
        <v>45734</v>
      </c>
      <c r="E446" s="38" t="n">
        <v>3</v>
      </c>
      <c r="F446" t="inlineStr">
        <is>
          <t>Inpatient</t>
        </is>
      </c>
      <c r="G446" t="inlineStr">
        <is>
          <t>Cedar Ridge Medical Center</t>
        </is>
      </c>
      <c r="H446" t="inlineStr">
        <is>
          <t>Medical-Surgical</t>
        </is>
      </c>
      <c r="I446" t="inlineStr">
        <is>
          <t>Medicine</t>
        </is>
      </c>
      <c r="J446" t="inlineStr">
        <is>
          <t>Payne, Tyler</t>
        </is>
      </c>
      <c r="K446" t="inlineStr">
        <is>
          <t>E86.0</t>
        </is>
      </c>
      <c r="L446" t="inlineStr">
        <is>
          <t>Endocrine</t>
        </is>
      </c>
      <c r="M446" t="inlineStr">
        <is>
          <t>Summit Choice PPO</t>
        </is>
      </c>
      <c r="N446" t="inlineStr">
        <is>
          <t>Commercial</t>
        </is>
      </c>
      <c r="O446" s="39" t="n">
        <v>14210.46</v>
      </c>
      <c r="P446" t="inlineStr">
        <is>
          <t>Y</t>
        </is>
      </c>
    </row>
    <row r="447">
      <c r="A447" t="inlineStr">
        <is>
          <t>ENC113307</t>
        </is>
      </c>
      <c r="B447" t="inlineStr">
        <is>
          <t>PT10890</t>
        </is>
      </c>
      <c r="C447" s="42" t="n">
        <v>45731</v>
      </c>
      <c r="D447" s="42" t="n">
        <v>45733</v>
      </c>
      <c r="E447" s="38" t="n">
        <v>2</v>
      </c>
      <c r="F447" t="inlineStr">
        <is>
          <t>Inpatient</t>
        </is>
      </c>
      <c r="G447" t="inlineStr">
        <is>
          <t>Bluestone Memorial Hospital</t>
        </is>
      </c>
      <c r="H447" t="inlineStr">
        <is>
          <t>Medical-Surgical 5 East</t>
        </is>
      </c>
      <c r="I447" t="inlineStr">
        <is>
          <t>Medicine</t>
        </is>
      </c>
      <c r="J447" t="inlineStr">
        <is>
          <t>Lopez, Teresa</t>
        </is>
      </c>
      <c r="K447" t="inlineStr">
        <is>
          <t>K35.80</t>
        </is>
      </c>
      <c r="L447" t="inlineStr">
        <is>
          <t>Digestive</t>
        </is>
      </c>
      <c r="M447" t="inlineStr">
        <is>
          <t>Evergreen Mutual Insurance</t>
        </is>
      </c>
      <c r="N447" t="inlineStr">
        <is>
          <t>Commercial</t>
        </is>
      </c>
      <c r="O447" s="39" t="n">
        <v>46080.24</v>
      </c>
      <c r="P447" t="inlineStr">
        <is>
          <t>N</t>
        </is>
      </c>
    </row>
    <row r="448">
      <c r="A448" t="inlineStr">
        <is>
          <t>ENC113303</t>
        </is>
      </c>
      <c r="B448" t="inlineStr">
        <is>
          <t>PT12885</t>
        </is>
      </c>
      <c r="C448" s="42" t="n">
        <v>45731</v>
      </c>
      <c r="D448" s="42" t="n">
        <v>45736</v>
      </c>
      <c r="E448" s="38" t="n">
        <v>5</v>
      </c>
      <c r="F448" t="inlineStr">
        <is>
          <t>Inpatient</t>
        </is>
      </c>
      <c r="G448" t="inlineStr">
        <is>
          <t>Bluestone Memorial Hospital</t>
        </is>
      </c>
      <c r="H448" t="inlineStr">
        <is>
          <t>Medical-Surgical 5 East</t>
        </is>
      </c>
      <c r="I448" t="inlineStr">
        <is>
          <t>Medicine</t>
        </is>
      </c>
      <c r="J448" t="inlineStr">
        <is>
          <t>Cruz, Roger</t>
        </is>
      </c>
      <c r="K448" t="inlineStr">
        <is>
          <t>J44.1</t>
        </is>
      </c>
      <c r="L448" t="inlineStr">
        <is>
          <t>Respiratory</t>
        </is>
      </c>
      <c r="M448" t="inlineStr">
        <is>
          <t>Medicare</t>
        </is>
      </c>
      <c r="N448" t="inlineStr">
        <is>
          <t>Government</t>
        </is>
      </c>
      <c r="O448" s="39" t="n">
        <v>11855.6</v>
      </c>
      <c r="P448" t="inlineStr">
        <is>
          <t>Y</t>
        </is>
      </c>
    </row>
    <row r="449">
      <c r="A449" t="inlineStr">
        <is>
          <t>ENC113314</t>
        </is>
      </c>
      <c r="B449" t="inlineStr">
        <is>
          <t>PT12745</t>
        </is>
      </c>
      <c r="C449" s="42" t="n">
        <v>45732</v>
      </c>
      <c r="D449" s="42" t="n">
        <v>45732</v>
      </c>
      <c r="E449" s="38" t="n">
        <v>0</v>
      </c>
      <c r="F449" t="inlineStr">
        <is>
          <t>Emergency</t>
        </is>
      </c>
      <c r="G449" t="inlineStr">
        <is>
          <t>Bluestone Memorial Hospital</t>
        </is>
      </c>
      <c r="H449" t="inlineStr">
        <is>
          <t>Emergency Department</t>
        </is>
      </c>
      <c r="I449" t="inlineStr">
        <is>
          <t>Emergency</t>
        </is>
      </c>
      <c r="J449" t="inlineStr">
        <is>
          <t>Payne, Nancy</t>
        </is>
      </c>
      <c r="K449" t="inlineStr">
        <is>
          <t>S06.0X0A</t>
        </is>
      </c>
      <c r="L449" t="inlineStr">
        <is>
          <t>Injury</t>
        </is>
      </c>
      <c r="M449" t="inlineStr">
        <is>
          <t>Medicare</t>
        </is>
      </c>
      <c r="N449" t="inlineStr">
        <is>
          <t>Government</t>
        </is>
      </c>
      <c r="O449" s="39" t="n">
        <v>1911.48</v>
      </c>
    </row>
    <row r="450">
      <c r="A450" t="inlineStr">
        <is>
          <t>ENC113318</t>
        </is>
      </c>
      <c r="B450" t="inlineStr">
        <is>
          <t>PT12973</t>
        </is>
      </c>
      <c r="C450" s="42" t="n">
        <v>45732</v>
      </c>
      <c r="D450" s="42" t="n">
        <v>45732</v>
      </c>
      <c r="E450" s="38" t="n">
        <v>0</v>
      </c>
      <c r="F450" t="inlineStr">
        <is>
          <t>Emergency</t>
        </is>
      </c>
      <c r="G450" t="inlineStr">
        <is>
          <t>Bluestone Memorial Hospital</t>
        </is>
      </c>
      <c r="H450" t="inlineStr">
        <is>
          <t>Emergency Department</t>
        </is>
      </c>
      <c r="I450" t="inlineStr">
        <is>
          <t>Emergency</t>
        </is>
      </c>
      <c r="J450" t="inlineStr">
        <is>
          <t>Elliott, Jesse</t>
        </is>
      </c>
      <c r="K450" t="inlineStr">
        <is>
          <t>J18.9</t>
        </is>
      </c>
      <c r="L450" t="inlineStr">
        <is>
          <t>Respiratory</t>
        </is>
      </c>
      <c r="M450" t="inlineStr">
        <is>
          <t>Silverline Medicare Advantage</t>
        </is>
      </c>
      <c r="N450" t="inlineStr">
        <is>
          <t>Medicare Advantage</t>
        </is>
      </c>
      <c r="O450" s="39" t="n">
        <v>3655.36</v>
      </c>
    </row>
    <row r="451">
      <c r="A451" t="inlineStr">
        <is>
          <t>ENC113317</t>
        </is>
      </c>
      <c r="B451" t="inlineStr">
        <is>
          <t>PT10749</t>
        </is>
      </c>
      <c r="C451" s="42" t="n">
        <v>45732</v>
      </c>
      <c r="D451" s="42" t="n">
        <v>45737</v>
      </c>
      <c r="E451" s="38" t="n">
        <v>5</v>
      </c>
      <c r="F451" t="inlineStr">
        <is>
          <t>Inpatient</t>
        </is>
      </c>
      <c r="G451" t="inlineStr">
        <is>
          <t>Cedar Ridge Medical Center</t>
        </is>
      </c>
      <c r="H451" t="inlineStr">
        <is>
          <t>Cardiac Step-Down</t>
        </is>
      </c>
      <c r="I451" t="inlineStr">
        <is>
          <t>Cardiovascular</t>
        </is>
      </c>
      <c r="J451" t="inlineStr">
        <is>
          <t>Gonzales, Edward</t>
        </is>
      </c>
      <c r="K451" t="inlineStr">
        <is>
          <t>I48.91</t>
        </is>
      </c>
      <c r="L451" t="inlineStr">
        <is>
          <t>Circulatory</t>
        </is>
      </c>
      <c r="M451" t="inlineStr">
        <is>
          <t>Medicare</t>
        </is>
      </c>
      <c r="N451" t="inlineStr">
        <is>
          <t>Government</t>
        </is>
      </c>
      <c r="O451" s="39" t="n">
        <v>37016.76</v>
      </c>
      <c r="P451" t="inlineStr">
        <is>
          <t>N</t>
        </is>
      </c>
    </row>
    <row r="452">
      <c r="A452" t="inlineStr">
        <is>
          <t>ENC113320</t>
        </is>
      </c>
      <c r="B452" t="inlineStr">
        <is>
          <t>PT13262</t>
        </is>
      </c>
      <c r="C452" s="42" t="n">
        <v>45732</v>
      </c>
      <c r="D452" s="42" t="n">
        <v>45744</v>
      </c>
      <c r="E452" s="38" t="n">
        <v>12</v>
      </c>
      <c r="F452" t="inlineStr">
        <is>
          <t>Inpatient</t>
        </is>
      </c>
      <c r="G452" t="inlineStr">
        <is>
          <t>Bluestone Memorial Hospital</t>
        </is>
      </c>
      <c r="H452" t="inlineStr">
        <is>
          <t>Intensive Care Unit</t>
        </is>
      </c>
      <c r="I452" t="inlineStr">
        <is>
          <t>Critical Care</t>
        </is>
      </c>
      <c r="J452" t="inlineStr">
        <is>
          <t>Hawkins, Bruce</t>
        </is>
      </c>
      <c r="K452" t="inlineStr">
        <is>
          <t>A41.9</t>
        </is>
      </c>
      <c r="L452" t="inlineStr">
        <is>
          <t>Infectious</t>
        </is>
      </c>
      <c r="M452" t="inlineStr">
        <is>
          <t>Silverline Medicare Advantage</t>
        </is>
      </c>
      <c r="N452" t="inlineStr">
        <is>
          <t>Medicare Advantage</t>
        </is>
      </c>
      <c r="O452" s="39" t="n">
        <v>105636.52</v>
      </c>
      <c r="P452" t="inlineStr">
        <is>
          <t>N</t>
        </is>
      </c>
    </row>
    <row r="453">
      <c r="A453" t="inlineStr">
        <is>
          <t>ENC113330</t>
        </is>
      </c>
      <c r="B453" t="inlineStr">
        <is>
          <t>PT10479</t>
        </is>
      </c>
      <c r="C453" s="42" t="n">
        <v>45732</v>
      </c>
      <c r="D453" s="42" t="n">
        <v>45733</v>
      </c>
      <c r="E453" s="38" t="n">
        <v>1</v>
      </c>
      <c r="F453" t="inlineStr">
        <is>
          <t>Emergency</t>
        </is>
      </c>
      <c r="G453" t="inlineStr">
        <is>
          <t>Bluestone Memorial Hospital</t>
        </is>
      </c>
      <c r="H453" t="inlineStr">
        <is>
          <t>Emergency Department</t>
        </is>
      </c>
      <c r="I453" t="inlineStr">
        <is>
          <t>Emergency</t>
        </is>
      </c>
      <c r="J453" t="inlineStr">
        <is>
          <t>Ferguson, Roy</t>
        </is>
      </c>
      <c r="K453" t="inlineStr">
        <is>
          <t>J21.9</t>
        </is>
      </c>
      <c r="L453" t="inlineStr">
        <is>
          <t>Respiratory</t>
        </is>
      </c>
      <c r="M453" t="inlineStr">
        <is>
          <t>State Medicaid</t>
        </is>
      </c>
      <c r="N453" t="inlineStr">
        <is>
          <t>Government</t>
        </is>
      </c>
      <c r="O453" s="39" t="n">
        <v>3880.36</v>
      </c>
    </row>
    <row r="454">
      <c r="A454" t="inlineStr">
        <is>
          <t>ENC113338</t>
        </is>
      </c>
      <c r="B454" t="inlineStr">
        <is>
          <t>PT13540</t>
        </is>
      </c>
      <c r="C454" s="42" t="n">
        <v>45733</v>
      </c>
      <c r="D454" s="42" t="n">
        <v>45733</v>
      </c>
      <c r="E454" s="38" t="n">
        <v>0</v>
      </c>
      <c r="F454" t="inlineStr">
        <is>
          <t>Emergency</t>
        </is>
      </c>
      <c r="G454" t="inlineStr">
        <is>
          <t>Bluestone Memorial Hospital</t>
        </is>
      </c>
      <c r="H454" t="inlineStr">
        <is>
          <t>Emergency Department</t>
        </is>
      </c>
      <c r="I454" t="inlineStr">
        <is>
          <t>Emergency</t>
        </is>
      </c>
      <c r="J454" t="inlineStr">
        <is>
          <t>Kowalski, James</t>
        </is>
      </c>
      <c r="K454" t="inlineStr">
        <is>
          <t>A08.4</t>
        </is>
      </c>
      <c r="L454" t="inlineStr">
        <is>
          <t>Infectious</t>
        </is>
      </c>
      <c r="M454" t="inlineStr">
        <is>
          <t>Silverline Medicare Advantage</t>
        </is>
      </c>
      <c r="N454" t="inlineStr">
        <is>
          <t>Medicare Advantage</t>
        </is>
      </c>
      <c r="O454" s="39" t="n">
        <v>1536.73</v>
      </c>
    </row>
    <row r="455">
      <c r="A455" t="inlineStr">
        <is>
          <t>ENC113344</t>
        </is>
      </c>
      <c r="B455" t="inlineStr">
        <is>
          <t>PT13910</t>
        </is>
      </c>
      <c r="C455" s="42" t="n">
        <v>45733</v>
      </c>
      <c r="D455" s="42" t="n">
        <v>45733</v>
      </c>
      <c r="E455" s="38" t="n">
        <v>0</v>
      </c>
      <c r="F455" t="inlineStr">
        <is>
          <t>Emergency</t>
        </is>
      </c>
      <c r="G455" t="inlineStr">
        <is>
          <t>Bluestone Memorial Hospital</t>
        </is>
      </c>
      <c r="H455" t="inlineStr">
        <is>
          <t>Emergency Department</t>
        </is>
      </c>
      <c r="I455" t="inlineStr">
        <is>
          <t>Emergency</t>
        </is>
      </c>
      <c r="J455" t="inlineStr">
        <is>
          <t>Jordan, Wayne</t>
        </is>
      </c>
      <c r="K455" t="inlineStr">
        <is>
          <t>R07.9</t>
        </is>
      </c>
      <c r="L455" t="inlineStr">
        <is>
          <t>Symptoms &amp; Signs</t>
        </is>
      </c>
      <c r="M455" t="inlineStr">
        <is>
          <t>Keystone Health Partners</t>
        </is>
      </c>
      <c r="N455" t="inlineStr">
        <is>
          <t>Commercial</t>
        </is>
      </c>
      <c r="O455" s="39" t="n">
        <v>3673.02</v>
      </c>
    </row>
    <row r="456">
      <c r="A456" t="inlineStr">
        <is>
          <t>ENC113340</t>
        </is>
      </c>
      <c r="B456" t="inlineStr">
        <is>
          <t>PT11504</t>
        </is>
      </c>
      <c r="C456" s="42" t="n">
        <v>45733</v>
      </c>
      <c r="D456" s="42" t="n">
        <v>45738</v>
      </c>
      <c r="E456" s="38" t="n">
        <v>5</v>
      </c>
      <c r="F456" t="inlineStr">
        <is>
          <t>Inpatient</t>
        </is>
      </c>
      <c r="G456" t="inlineStr">
        <is>
          <t>Bluestone Memorial Hospital</t>
        </is>
      </c>
      <c r="H456" t="inlineStr">
        <is>
          <t>Medical-Surgical 5 East</t>
        </is>
      </c>
      <c r="I456" t="inlineStr">
        <is>
          <t>Medicine</t>
        </is>
      </c>
      <c r="J456" t="inlineStr">
        <is>
          <t>Hunt, Richard</t>
        </is>
      </c>
      <c r="K456" t="inlineStr">
        <is>
          <t>J18.9</t>
        </is>
      </c>
      <c r="L456" t="inlineStr">
        <is>
          <t>Respiratory</t>
        </is>
      </c>
      <c r="M456" t="inlineStr">
        <is>
          <t>Medicare</t>
        </is>
      </c>
      <c r="N456" t="inlineStr">
        <is>
          <t>Government</t>
        </is>
      </c>
      <c r="O456" s="39" t="n">
        <v>16881.86</v>
      </c>
      <c r="P456" t="inlineStr">
        <is>
          <t>N</t>
        </is>
      </c>
    </row>
    <row r="457">
      <c r="A457" t="inlineStr">
        <is>
          <t>ENC113352</t>
        </is>
      </c>
      <c r="B457" t="inlineStr">
        <is>
          <t>PT13555</t>
        </is>
      </c>
      <c r="C457" s="42" t="n">
        <v>45733</v>
      </c>
      <c r="D457" s="42" t="n">
        <v>45733</v>
      </c>
      <c r="E457" s="38" t="n">
        <v>0</v>
      </c>
      <c r="F457" t="inlineStr">
        <is>
          <t>Outpatient</t>
        </is>
      </c>
      <c r="G457" t="inlineStr">
        <is>
          <t>Bluestone Outpatient Pavilion</t>
        </is>
      </c>
      <c r="H457" t="inlineStr">
        <is>
          <t>Endocrinology &amp; Diabetes Clinic</t>
        </is>
      </c>
      <c r="I457" t="inlineStr">
        <is>
          <t>Ambulatory</t>
        </is>
      </c>
      <c r="J457" t="inlineStr">
        <is>
          <t>Woods, Larry</t>
        </is>
      </c>
      <c r="K457" t="inlineStr">
        <is>
          <t>E11.9</t>
        </is>
      </c>
      <c r="L457" t="inlineStr">
        <is>
          <t>Endocrine</t>
        </is>
      </c>
      <c r="M457" t="inlineStr">
        <is>
          <t>Medicare</t>
        </is>
      </c>
      <c r="N457" t="inlineStr">
        <is>
          <t>Government</t>
        </is>
      </c>
      <c r="O457" s="39" t="n">
        <v>442.96</v>
      </c>
    </row>
    <row r="458">
      <c r="A458" t="inlineStr">
        <is>
          <t>ENC113353</t>
        </is>
      </c>
      <c r="B458" t="inlineStr">
        <is>
          <t>PT11751</t>
        </is>
      </c>
      <c r="C458" s="42" t="n">
        <v>45733</v>
      </c>
      <c r="D458" s="42" t="n">
        <v>45733</v>
      </c>
      <c r="E458" s="38" t="n">
        <v>0</v>
      </c>
      <c r="F458" t="inlineStr">
        <is>
          <t>Outpatient</t>
        </is>
      </c>
      <c r="G458" t="inlineStr">
        <is>
          <t>Bluestone Outpatient Pavilion</t>
        </is>
      </c>
      <c r="H458" t="inlineStr">
        <is>
          <t>Orthopedic Clinic</t>
        </is>
      </c>
      <c r="I458" t="inlineStr">
        <is>
          <t>Orthopedics</t>
        </is>
      </c>
      <c r="J458" t="inlineStr">
        <is>
          <t>Wagner, Carlos</t>
        </is>
      </c>
      <c r="K458" t="inlineStr">
        <is>
          <t>M16.11</t>
        </is>
      </c>
      <c r="L458" t="inlineStr">
        <is>
          <t>Musculoskeletal</t>
        </is>
      </c>
      <c r="M458" t="inlineStr">
        <is>
          <t>State Medicaid</t>
        </is>
      </c>
      <c r="N458" t="inlineStr">
        <is>
          <t>Government</t>
        </is>
      </c>
      <c r="O458" s="39" t="n">
        <v>299.88</v>
      </c>
    </row>
    <row r="459">
      <c r="A459" t="inlineStr">
        <is>
          <t>ENC113355</t>
        </is>
      </c>
      <c r="B459" t="inlineStr">
        <is>
          <t>PT13820</t>
        </is>
      </c>
      <c r="C459" s="42" t="n">
        <v>45733</v>
      </c>
      <c r="D459" s="42" t="n">
        <v>45733</v>
      </c>
      <c r="E459" s="38" t="n">
        <v>0</v>
      </c>
      <c r="F459" t="inlineStr">
        <is>
          <t>Emergency</t>
        </is>
      </c>
      <c r="G459" t="inlineStr">
        <is>
          <t>Bluestone Memorial Hospital</t>
        </is>
      </c>
      <c r="H459" t="inlineStr">
        <is>
          <t>Emergency Department</t>
        </is>
      </c>
      <c r="I459" t="inlineStr">
        <is>
          <t>Emergency</t>
        </is>
      </c>
      <c r="J459" t="inlineStr">
        <is>
          <t>Sullivan, Jacob</t>
        </is>
      </c>
      <c r="K459" t="inlineStr">
        <is>
          <t>R07.9</t>
        </is>
      </c>
      <c r="L459" t="inlineStr">
        <is>
          <t>Symptoms &amp; Signs</t>
        </is>
      </c>
      <c r="M459" t="inlineStr">
        <is>
          <t>Summit Choice PPO</t>
        </is>
      </c>
      <c r="N459" t="inlineStr">
        <is>
          <t>Commercial</t>
        </is>
      </c>
      <c r="O459" s="39" t="n">
        <v>3713.56</v>
      </c>
    </row>
    <row r="460">
      <c r="A460" t="inlineStr">
        <is>
          <t>ENC113356</t>
        </is>
      </c>
      <c r="B460" t="inlineStr">
        <is>
          <t>PT10973</t>
        </is>
      </c>
      <c r="C460" s="42" t="n">
        <v>45733</v>
      </c>
      <c r="D460" s="42" t="n">
        <v>45733</v>
      </c>
      <c r="E460" s="38" t="n">
        <v>0</v>
      </c>
      <c r="F460" t="inlineStr">
        <is>
          <t>Outpatient</t>
        </is>
      </c>
      <c r="G460" t="inlineStr">
        <is>
          <t>Bluestone Outpatient Pavilion</t>
        </is>
      </c>
      <c r="H460" t="inlineStr">
        <is>
          <t>Pediatric Clinic</t>
        </is>
      </c>
      <c r="I460" t="inlineStr">
        <is>
          <t>Women &amp; Children</t>
        </is>
      </c>
      <c r="J460" t="inlineStr">
        <is>
          <t>Wallace, Kevin</t>
        </is>
      </c>
      <c r="K460" t="inlineStr">
        <is>
          <t>Z23</t>
        </is>
      </c>
      <c r="L460" t="inlineStr">
        <is>
          <t>Factors Influencing Health</t>
        </is>
      </c>
      <c r="M460" t="inlineStr">
        <is>
          <t>State Medicaid</t>
        </is>
      </c>
      <c r="N460" t="inlineStr">
        <is>
          <t>Government</t>
        </is>
      </c>
      <c r="O460" s="39" t="n">
        <v>101.88</v>
      </c>
    </row>
    <row r="461">
      <c r="A461" t="inlineStr">
        <is>
          <t>ENC113361</t>
        </is>
      </c>
      <c r="B461" t="inlineStr">
        <is>
          <t>PT10350</t>
        </is>
      </c>
      <c r="C461" s="42" t="n">
        <v>45733</v>
      </c>
      <c r="D461" s="42" t="n">
        <v>45733</v>
      </c>
      <c r="E461" s="38" t="n">
        <v>0</v>
      </c>
      <c r="F461" t="inlineStr">
        <is>
          <t>Emergency</t>
        </is>
      </c>
      <c r="G461" t="inlineStr">
        <is>
          <t>Bluestone Memorial Hospital</t>
        </is>
      </c>
      <c r="H461" t="inlineStr">
        <is>
          <t>Emergency Department</t>
        </is>
      </c>
      <c r="I461" t="inlineStr">
        <is>
          <t>Emergency</t>
        </is>
      </c>
      <c r="J461" t="inlineStr">
        <is>
          <t>Foster, Patrick</t>
        </is>
      </c>
      <c r="K461" t="inlineStr">
        <is>
          <t>R55</t>
        </is>
      </c>
      <c r="L461" t="inlineStr">
        <is>
          <t>Symptoms &amp; Signs</t>
        </is>
      </c>
      <c r="M461" t="inlineStr">
        <is>
          <t>Summit Choice PPO</t>
        </is>
      </c>
      <c r="N461" t="inlineStr">
        <is>
          <t>Commercial</t>
        </is>
      </c>
      <c r="O461" s="39" t="n">
        <v>1570.44</v>
      </c>
    </row>
    <row r="462">
      <c r="A462" t="inlineStr">
        <is>
          <t>ENC113373</t>
        </is>
      </c>
      <c r="B462" t="inlineStr">
        <is>
          <t>PT10998</t>
        </is>
      </c>
      <c r="C462" s="42" t="n">
        <v>45734</v>
      </c>
      <c r="D462" s="42" t="n">
        <v>45735</v>
      </c>
      <c r="E462" s="38" t="n">
        <v>1</v>
      </c>
      <c r="F462" t="inlineStr">
        <is>
          <t>Inpatient</t>
        </is>
      </c>
      <c r="G462" t="inlineStr">
        <is>
          <t>Bluestone Memorial Hospital</t>
        </is>
      </c>
      <c r="H462" t="inlineStr">
        <is>
          <t>Labor &amp; Delivery</t>
        </is>
      </c>
      <c r="I462" t="inlineStr">
        <is>
          <t>Women &amp; Children</t>
        </is>
      </c>
      <c r="J462" t="inlineStr">
        <is>
          <t>Bradley, Nicole</t>
        </is>
      </c>
      <c r="K462" t="inlineStr">
        <is>
          <t>O80</t>
        </is>
      </c>
      <c r="L462" t="inlineStr">
        <is>
          <t>Pregnancy</t>
        </is>
      </c>
      <c r="M462" t="inlineStr">
        <is>
          <t>Summit Choice PPO</t>
        </is>
      </c>
      <c r="N462" t="inlineStr">
        <is>
          <t>Commercial</t>
        </is>
      </c>
      <c r="O462" s="39" t="n">
        <v>15280.13</v>
      </c>
      <c r="P462" t="inlineStr">
        <is>
          <t>N</t>
        </is>
      </c>
    </row>
    <row r="463">
      <c r="A463" t="inlineStr">
        <is>
          <t>ENC113381</t>
        </is>
      </c>
      <c r="B463" t="inlineStr">
        <is>
          <t>PT10443</t>
        </is>
      </c>
      <c r="C463" s="42" t="n">
        <v>45734</v>
      </c>
      <c r="D463" s="42" t="n">
        <v>45734</v>
      </c>
      <c r="E463" s="38" t="n">
        <v>0</v>
      </c>
      <c r="F463" t="inlineStr">
        <is>
          <t>Outpatient</t>
        </is>
      </c>
      <c r="G463" t="inlineStr">
        <is>
          <t>Bluestone Outpatient Pavilion</t>
        </is>
      </c>
      <c r="H463" t="inlineStr">
        <is>
          <t>Orthopedic Clinic</t>
        </is>
      </c>
      <c r="I463" t="inlineStr">
        <is>
          <t>Orthopedics</t>
        </is>
      </c>
      <c r="J463" t="inlineStr">
        <is>
          <t>Lewis, Jonathan</t>
        </is>
      </c>
      <c r="K463" t="inlineStr">
        <is>
          <t>M16.11</t>
        </is>
      </c>
      <c r="L463" t="inlineStr">
        <is>
          <t>Musculoskeletal</t>
        </is>
      </c>
      <c r="M463" t="inlineStr">
        <is>
          <t>Silverline Medicare Advantage</t>
        </is>
      </c>
      <c r="N463" t="inlineStr">
        <is>
          <t>Medicare Advantage</t>
        </is>
      </c>
      <c r="O463" s="39" t="n">
        <v>248.75</v>
      </c>
    </row>
    <row r="464">
      <c r="A464" t="inlineStr">
        <is>
          <t>ENC113393</t>
        </is>
      </c>
      <c r="B464" t="inlineStr">
        <is>
          <t>PT13341</t>
        </is>
      </c>
      <c r="C464" s="42" t="n">
        <v>45734</v>
      </c>
      <c r="D464" s="42" t="n">
        <v>45734</v>
      </c>
      <c r="E464" s="38" t="n">
        <v>0</v>
      </c>
      <c r="F464" t="inlineStr">
        <is>
          <t>Emergency</t>
        </is>
      </c>
      <c r="G464" t="inlineStr">
        <is>
          <t>Bluestone Memorial Hospital</t>
        </is>
      </c>
      <c r="H464" t="inlineStr">
        <is>
          <t>Emergency Department</t>
        </is>
      </c>
      <c r="I464" t="inlineStr">
        <is>
          <t>Emergency</t>
        </is>
      </c>
      <c r="J464" t="inlineStr">
        <is>
          <t>Cruz, Mia</t>
        </is>
      </c>
      <c r="K464" t="inlineStr">
        <is>
          <t>F32.9</t>
        </is>
      </c>
      <c r="L464" t="inlineStr">
        <is>
          <t>Mental &amp; Behavioral</t>
        </is>
      </c>
      <c r="M464" t="inlineStr">
        <is>
          <t>Keystone Health Partners</t>
        </is>
      </c>
      <c r="N464" t="inlineStr">
        <is>
          <t>Commercial</t>
        </is>
      </c>
      <c r="O464" s="39" t="n">
        <v>3033.46</v>
      </c>
    </row>
    <row r="465">
      <c r="A465" t="inlineStr">
        <is>
          <t>ENC113400</t>
        </is>
      </c>
      <c r="B465" t="inlineStr">
        <is>
          <t>PT10115</t>
        </is>
      </c>
      <c r="C465" s="42" t="n">
        <v>45734</v>
      </c>
      <c r="D465" s="42" t="n">
        <v>45735</v>
      </c>
      <c r="E465" s="38" t="n">
        <v>1</v>
      </c>
      <c r="F465" t="inlineStr">
        <is>
          <t>Emergency</t>
        </is>
      </c>
      <c r="G465" t="inlineStr">
        <is>
          <t>Bluestone Memorial Hospital</t>
        </is>
      </c>
      <c r="H465" t="inlineStr">
        <is>
          <t>Emergency Department</t>
        </is>
      </c>
      <c r="I465" t="inlineStr">
        <is>
          <t>Emergency</t>
        </is>
      </c>
      <c r="J465" t="inlineStr">
        <is>
          <t>Foster, Patrick</t>
        </is>
      </c>
      <c r="K465" t="inlineStr">
        <is>
          <t>R55</t>
        </is>
      </c>
      <c r="L465" t="inlineStr">
        <is>
          <t>Symptoms &amp; Signs</t>
        </is>
      </c>
      <c r="M465" t="inlineStr">
        <is>
          <t>Summit Choice PPO</t>
        </is>
      </c>
      <c r="N465" t="inlineStr">
        <is>
          <t>Commercial</t>
        </is>
      </c>
      <c r="O465" s="39" t="n">
        <v>3161.82</v>
      </c>
    </row>
    <row r="466">
      <c r="A466" t="inlineStr">
        <is>
          <t>ENC113399</t>
        </is>
      </c>
      <c r="B466" t="inlineStr">
        <is>
          <t>PT12202</t>
        </is>
      </c>
      <c r="C466" s="42" t="n">
        <v>45734</v>
      </c>
      <c r="D466" s="42" t="n">
        <v>45738</v>
      </c>
      <c r="E466" s="38" t="n">
        <v>4</v>
      </c>
      <c r="F466" t="inlineStr">
        <is>
          <t>Inpatient</t>
        </is>
      </c>
      <c r="G466" t="inlineStr">
        <is>
          <t>Bluestone Memorial Hospital</t>
        </is>
      </c>
      <c r="H466" t="inlineStr">
        <is>
          <t>Medical-Surgical 5 East</t>
        </is>
      </c>
      <c r="I466" t="inlineStr">
        <is>
          <t>Medicine</t>
        </is>
      </c>
      <c r="J466" t="inlineStr">
        <is>
          <t>Wallace, Alan</t>
        </is>
      </c>
      <c r="K466" t="inlineStr">
        <is>
          <t>J44.1</t>
        </is>
      </c>
      <c r="L466" t="inlineStr">
        <is>
          <t>Respiratory</t>
        </is>
      </c>
      <c r="M466" t="inlineStr">
        <is>
          <t>Medicare</t>
        </is>
      </c>
      <c r="N466" t="inlineStr">
        <is>
          <t>Government</t>
        </is>
      </c>
      <c r="O466" s="39" t="n">
        <v>20668.15</v>
      </c>
      <c r="P466" t="inlineStr">
        <is>
          <t>N</t>
        </is>
      </c>
    </row>
    <row r="467">
      <c r="A467" t="inlineStr">
        <is>
          <t>ENC113404</t>
        </is>
      </c>
      <c r="B467" t="inlineStr">
        <is>
          <t>PT13456</t>
        </is>
      </c>
      <c r="C467" s="42" t="n">
        <v>45734</v>
      </c>
      <c r="D467" s="42" t="n">
        <v>45735</v>
      </c>
      <c r="E467" s="38" t="n">
        <v>1</v>
      </c>
      <c r="F467" t="inlineStr">
        <is>
          <t>Observation</t>
        </is>
      </c>
      <c r="G467" t="inlineStr">
        <is>
          <t>Bluestone Memorial Hospital</t>
        </is>
      </c>
      <c r="H467" t="inlineStr">
        <is>
          <t>Observation Unit</t>
        </is>
      </c>
      <c r="I467" t="inlineStr">
        <is>
          <t>Medicine</t>
        </is>
      </c>
      <c r="J467" t="inlineStr">
        <is>
          <t>Cruz, Roger</t>
        </is>
      </c>
      <c r="K467" t="inlineStr">
        <is>
          <t>R10.9</t>
        </is>
      </c>
      <c r="L467" t="inlineStr">
        <is>
          <t>Symptoms &amp; Signs</t>
        </is>
      </c>
      <c r="M467" t="inlineStr">
        <is>
          <t>Summit Choice PPO</t>
        </is>
      </c>
      <c r="N467" t="inlineStr">
        <is>
          <t>Commercial</t>
        </is>
      </c>
      <c r="O467" s="39" t="n">
        <v>9683.969999999999</v>
      </c>
    </row>
    <row r="468">
      <c r="A468" t="inlineStr">
        <is>
          <t>ENC113405</t>
        </is>
      </c>
      <c r="B468" t="inlineStr">
        <is>
          <t>PT12250</t>
        </is>
      </c>
      <c r="C468" s="42" t="n">
        <v>45735</v>
      </c>
      <c r="D468" s="42" t="n">
        <v>45738</v>
      </c>
      <c r="E468" s="38" t="n">
        <v>3</v>
      </c>
      <c r="F468" t="inlineStr">
        <is>
          <t>Inpatient</t>
        </is>
      </c>
      <c r="G468" t="inlineStr">
        <is>
          <t>Bluestone Memorial Hospital</t>
        </is>
      </c>
      <c r="H468" t="inlineStr">
        <is>
          <t>Cardiac Step-Down</t>
        </is>
      </c>
      <c r="I468" t="inlineStr">
        <is>
          <t>Cardiovascular</t>
        </is>
      </c>
      <c r="J468" t="inlineStr">
        <is>
          <t>Evans, Charles</t>
        </is>
      </c>
      <c r="K468" t="inlineStr">
        <is>
          <t>I50.9</t>
        </is>
      </c>
      <c r="L468" t="inlineStr">
        <is>
          <t>Circulatory</t>
        </is>
      </c>
      <c r="M468" t="inlineStr">
        <is>
          <t>Medicare</t>
        </is>
      </c>
      <c r="N468" t="inlineStr">
        <is>
          <t>Government</t>
        </is>
      </c>
      <c r="O468" s="39" t="n">
        <v>22193.73</v>
      </c>
      <c r="P468" t="inlineStr">
        <is>
          <t>N</t>
        </is>
      </c>
    </row>
    <row r="469">
      <c r="A469" t="inlineStr">
        <is>
          <t>ENC113409</t>
        </is>
      </c>
      <c r="B469" t="inlineStr">
        <is>
          <t>PT12080</t>
        </is>
      </c>
      <c r="C469" s="42" t="n">
        <v>45735</v>
      </c>
      <c r="D469" s="42" t="n">
        <v>45735</v>
      </c>
      <c r="E469" s="38" t="n">
        <v>0</v>
      </c>
      <c r="F469" t="inlineStr">
        <is>
          <t>Emergency</t>
        </is>
      </c>
      <c r="G469" t="inlineStr">
        <is>
          <t>Bluestone Memorial Hospital</t>
        </is>
      </c>
      <c r="H469" t="inlineStr">
        <is>
          <t>Emergency Department</t>
        </is>
      </c>
      <c r="I469" t="inlineStr">
        <is>
          <t>Emergency</t>
        </is>
      </c>
      <c r="J469" t="inlineStr">
        <is>
          <t>Cruz, Mia</t>
        </is>
      </c>
      <c r="K469" t="inlineStr">
        <is>
          <t>G43.909</t>
        </is>
      </c>
      <c r="L469" t="inlineStr">
        <is>
          <t>Nervous System</t>
        </is>
      </c>
      <c r="M469" t="inlineStr">
        <is>
          <t>Self-Pay</t>
        </is>
      </c>
      <c r="N469" t="inlineStr">
        <is>
          <t>Self-Pay</t>
        </is>
      </c>
      <c r="O469" s="39" t="n">
        <v>1299.39</v>
      </c>
    </row>
    <row r="470">
      <c r="A470" t="inlineStr">
        <is>
          <t>ENC113412</t>
        </is>
      </c>
      <c r="B470" t="inlineStr">
        <is>
          <t>PT13724</t>
        </is>
      </c>
      <c r="C470" s="42" t="n">
        <v>45735</v>
      </c>
      <c r="D470" s="42" t="n">
        <v>45735</v>
      </c>
      <c r="E470" s="38" t="n">
        <v>0</v>
      </c>
      <c r="F470" t="inlineStr">
        <is>
          <t>Emergency</t>
        </is>
      </c>
      <c r="G470" t="inlineStr">
        <is>
          <t>Bluestone Memorial Hospital</t>
        </is>
      </c>
      <c r="H470" t="inlineStr">
        <is>
          <t>Emergency Department</t>
        </is>
      </c>
      <c r="I470" t="inlineStr">
        <is>
          <t>Emergency</t>
        </is>
      </c>
      <c r="J470" t="inlineStr">
        <is>
          <t>Myers, Doris</t>
        </is>
      </c>
      <c r="K470" t="inlineStr">
        <is>
          <t>R07.9</t>
        </is>
      </c>
      <c r="L470" t="inlineStr">
        <is>
          <t>Symptoms &amp; Signs</t>
        </is>
      </c>
      <c r="M470" t="inlineStr">
        <is>
          <t>State Medicaid</t>
        </is>
      </c>
      <c r="N470" t="inlineStr">
        <is>
          <t>Government</t>
        </is>
      </c>
      <c r="O470" s="39" t="n">
        <v>3075.87</v>
      </c>
    </row>
    <row r="471">
      <c r="A471" t="inlineStr">
        <is>
          <t>ENC113415</t>
        </is>
      </c>
      <c r="B471" t="inlineStr">
        <is>
          <t>PT12267</t>
        </is>
      </c>
      <c r="C471" s="42" t="n">
        <v>45735</v>
      </c>
      <c r="D471" s="42" t="n">
        <v>45735</v>
      </c>
      <c r="E471" s="38" t="n">
        <v>0</v>
      </c>
      <c r="F471" t="inlineStr">
        <is>
          <t>Outpatient</t>
        </is>
      </c>
      <c r="G471" t="inlineStr">
        <is>
          <t>Bluestone Outpatient Pavilion</t>
        </is>
      </c>
      <c r="H471" t="inlineStr">
        <is>
          <t>Cardiology Clinic</t>
        </is>
      </c>
      <c r="I471" t="inlineStr">
        <is>
          <t>Cardiovascular</t>
        </is>
      </c>
      <c r="J471" t="inlineStr">
        <is>
          <t>Brooks, Edward</t>
        </is>
      </c>
      <c r="K471" t="inlineStr">
        <is>
          <t>I48.91</t>
        </is>
      </c>
      <c r="L471" t="inlineStr">
        <is>
          <t>Circulatory</t>
        </is>
      </c>
      <c r="M471" t="inlineStr">
        <is>
          <t>State Medicaid</t>
        </is>
      </c>
      <c r="N471" t="inlineStr">
        <is>
          <t>Government</t>
        </is>
      </c>
      <c r="O471" s="39" t="n">
        <v>362.23</v>
      </c>
    </row>
    <row r="472">
      <c r="A472" t="inlineStr">
        <is>
          <t>ENC113416</t>
        </is>
      </c>
      <c r="B472" t="inlineStr">
        <is>
          <t>PT12718</t>
        </is>
      </c>
      <c r="C472" s="42" t="n">
        <v>45735</v>
      </c>
      <c r="D472" s="42" t="n">
        <v>45735</v>
      </c>
      <c r="E472" s="38" t="n">
        <v>0</v>
      </c>
      <c r="F472" t="inlineStr">
        <is>
          <t>Outpatient</t>
        </is>
      </c>
      <c r="G472" t="inlineStr">
        <is>
          <t>Bluestone Outpatient Pavilion</t>
        </is>
      </c>
      <c r="H472" t="inlineStr">
        <is>
          <t>Primary Care Clinic</t>
        </is>
      </c>
      <c r="I472" t="inlineStr">
        <is>
          <t>Ambulatory</t>
        </is>
      </c>
      <c r="J472" t="inlineStr">
        <is>
          <t>Torres, Rebecca</t>
        </is>
      </c>
      <c r="K472" t="inlineStr">
        <is>
          <t>M54.50</t>
        </is>
      </c>
      <c r="L472" t="inlineStr">
        <is>
          <t>Musculoskeletal</t>
        </is>
      </c>
      <c r="M472" t="inlineStr">
        <is>
          <t>Workers' Compensation</t>
        </is>
      </c>
      <c r="N472" t="inlineStr">
        <is>
          <t>Workers' Comp</t>
        </is>
      </c>
      <c r="O472" s="39" t="n">
        <v>370.51</v>
      </c>
    </row>
    <row r="473">
      <c r="A473" t="inlineStr">
        <is>
          <t>ENC113419</t>
        </is>
      </c>
      <c r="B473" t="inlineStr">
        <is>
          <t>PT11234</t>
        </is>
      </c>
      <c r="C473" s="42" t="n">
        <v>45735</v>
      </c>
      <c r="D473" s="42" t="n">
        <v>45735</v>
      </c>
      <c r="E473" s="38" t="n">
        <v>0</v>
      </c>
      <c r="F473" t="inlineStr">
        <is>
          <t>Outpatient</t>
        </is>
      </c>
      <c r="G473" t="inlineStr">
        <is>
          <t>Bluestone Outpatient Pavilion</t>
        </is>
      </c>
      <c r="H473" t="inlineStr">
        <is>
          <t>Primary Care Clinic</t>
        </is>
      </c>
      <c r="I473" t="inlineStr">
        <is>
          <t>Ambulatory</t>
        </is>
      </c>
      <c r="J473" t="inlineStr">
        <is>
          <t>Sullivan, Brenda</t>
        </is>
      </c>
      <c r="K473" t="inlineStr">
        <is>
          <t>Z00.00</t>
        </is>
      </c>
      <c r="L473" t="inlineStr">
        <is>
          <t>Factors Influencing Health</t>
        </is>
      </c>
      <c r="M473" t="inlineStr">
        <is>
          <t>Evergreen Mutual Insurance</t>
        </is>
      </c>
      <c r="N473" t="inlineStr">
        <is>
          <t>Commercial</t>
        </is>
      </c>
      <c r="O473" s="39" t="n">
        <v>278.36</v>
      </c>
    </row>
    <row r="474">
      <c r="A474" t="inlineStr">
        <is>
          <t>ENC113422</t>
        </is>
      </c>
      <c r="B474" t="inlineStr">
        <is>
          <t>PT10769</t>
        </is>
      </c>
      <c r="C474" s="42" t="n">
        <v>45735</v>
      </c>
      <c r="D474" s="42" t="n">
        <v>45735</v>
      </c>
      <c r="E474" s="38" t="n">
        <v>0</v>
      </c>
      <c r="F474" t="inlineStr">
        <is>
          <t>Outpatient</t>
        </is>
      </c>
      <c r="G474" t="inlineStr">
        <is>
          <t>Bluestone Outpatient Pavilion</t>
        </is>
      </c>
      <c r="H474" t="inlineStr">
        <is>
          <t>Endocrinology &amp; Diabetes Clinic</t>
        </is>
      </c>
      <c r="I474" t="inlineStr">
        <is>
          <t>Ambulatory</t>
        </is>
      </c>
      <c r="J474" t="inlineStr">
        <is>
          <t>Lee, Amber</t>
        </is>
      </c>
      <c r="K474" t="inlineStr">
        <is>
          <t>E11.65</t>
        </is>
      </c>
      <c r="L474" t="inlineStr">
        <is>
          <t>Endocrine</t>
        </is>
      </c>
      <c r="M474" t="inlineStr">
        <is>
          <t>Medicare</t>
        </is>
      </c>
      <c r="N474" t="inlineStr">
        <is>
          <t>Government</t>
        </is>
      </c>
      <c r="O474" s="39" t="n">
        <v>251.07</v>
      </c>
    </row>
    <row r="475">
      <c r="A475" t="inlineStr">
        <is>
          <t>ENC113428</t>
        </is>
      </c>
      <c r="B475" t="inlineStr">
        <is>
          <t>PT13506</t>
        </is>
      </c>
      <c r="C475" s="42" t="n">
        <v>45735</v>
      </c>
      <c r="D475" s="42" t="n">
        <v>45735</v>
      </c>
      <c r="E475" s="38" t="n">
        <v>0</v>
      </c>
      <c r="F475" t="inlineStr">
        <is>
          <t>Emergency</t>
        </is>
      </c>
      <c r="G475" t="inlineStr">
        <is>
          <t>Bluestone Memorial Hospital</t>
        </is>
      </c>
      <c r="H475" t="inlineStr">
        <is>
          <t>Emergency Department</t>
        </is>
      </c>
      <c r="I475" t="inlineStr">
        <is>
          <t>Emergency</t>
        </is>
      </c>
      <c r="J475" t="inlineStr">
        <is>
          <t>Gonzales, Mia</t>
        </is>
      </c>
      <c r="K475" t="inlineStr">
        <is>
          <t>J45.909</t>
        </is>
      </c>
      <c r="L475" t="inlineStr">
        <is>
          <t>Respiratory</t>
        </is>
      </c>
      <c r="M475" t="inlineStr">
        <is>
          <t>Evergreen Mutual Insurance</t>
        </is>
      </c>
      <c r="N475" t="inlineStr">
        <is>
          <t>Commercial</t>
        </is>
      </c>
      <c r="O475" s="39" t="n">
        <v>3609.7</v>
      </c>
    </row>
    <row r="476">
      <c r="A476" t="inlineStr">
        <is>
          <t>ENC113432</t>
        </is>
      </c>
      <c r="B476" t="inlineStr">
        <is>
          <t>PT10875</t>
        </is>
      </c>
      <c r="C476" s="42" t="n">
        <v>45735</v>
      </c>
      <c r="D476" s="42" t="n">
        <v>45735</v>
      </c>
      <c r="E476" s="38" t="n">
        <v>0</v>
      </c>
      <c r="F476" t="inlineStr">
        <is>
          <t>Outpatient</t>
        </is>
      </c>
      <c r="G476" t="inlineStr">
        <is>
          <t>Bluestone Outpatient Pavilion</t>
        </is>
      </c>
      <c r="H476" t="inlineStr">
        <is>
          <t>Primary Care Clinic</t>
        </is>
      </c>
      <c r="I476" t="inlineStr">
        <is>
          <t>Ambulatory</t>
        </is>
      </c>
      <c r="J476" t="inlineStr">
        <is>
          <t>Torres, Rebecca</t>
        </is>
      </c>
      <c r="K476" t="inlineStr">
        <is>
          <t>E78.5</t>
        </is>
      </c>
      <c r="L476" t="inlineStr">
        <is>
          <t>Endocrine</t>
        </is>
      </c>
      <c r="M476" t="inlineStr">
        <is>
          <t>Silverline Medicare Advantage</t>
        </is>
      </c>
      <c r="N476" t="inlineStr">
        <is>
          <t>Medicare Advantage</t>
        </is>
      </c>
      <c r="O476" s="39" t="n">
        <v>161.66</v>
      </c>
    </row>
    <row r="477">
      <c r="A477" t="inlineStr">
        <is>
          <t>ENC113433</t>
        </is>
      </c>
      <c r="B477" t="inlineStr">
        <is>
          <t>PT11014</t>
        </is>
      </c>
      <c r="C477" s="42" t="n">
        <v>45735</v>
      </c>
      <c r="D477" s="42" t="n">
        <v>45742</v>
      </c>
      <c r="E477" s="38" t="n">
        <v>7</v>
      </c>
      <c r="F477" t="inlineStr">
        <is>
          <t>Inpatient</t>
        </is>
      </c>
      <c r="G477" t="inlineStr">
        <is>
          <t>Bluestone Memorial Hospital</t>
        </is>
      </c>
      <c r="H477" t="inlineStr">
        <is>
          <t>Cardiac Step-Down</t>
        </is>
      </c>
      <c r="I477" t="inlineStr">
        <is>
          <t>Cardiovascular</t>
        </is>
      </c>
      <c r="J477" t="inlineStr">
        <is>
          <t>Boyd, Shirley</t>
        </is>
      </c>
      <c r="K477" t="inlineStr">
        <is>
          <t>I50.9</t>
        </is>
      </c>
      <c r="L477" t="inlineStr">
        <is>
          <t>Circulatory</t>
        </is>
      </c>
      <c r="M477" t="inlineStr">
        <is>
          <t>Silverline Medicare Advantage</t>
        </is>
      </c>
      <c r="N477" t="inlineStr">
        <is>
          <t>Medicare Advantage</t>
        </is>
      </c>
      <c r="O477" s="39" t="n">
        <v>47662.57</v>
      </c>
      <c r="P477" t="inlineStr">
        <is>
          <t>N</t>
        </is>
      </c>
    </row>
    <row r="478">
      <c r="A478" t="inlineStr">
        <is>
          <t>ENC113439</t>
        </is>
      </c>
      <c r="B478" t="inlineStr">
        <is>
          <t>PT12741</t>
        </is>
      </c>
      <c r="C478" s="42" t="n">
        <v>45735</v>
      </c>
      <c r="D478" s="42" t="n">
        <v>45736</v>
      </c>
      <c r="E478" s="38" t="n">
        <v>1</v>
      </c>
      <c r="F478" t="inlineStr">
        <is>
          <t>Observation</t>
        </is>
      </c>
      <c r="G478" t="inlineStr">
        <is>
          <t>Bluestone Memorial Hospital</t>
        </is>
      </c>
      <c r="H478" t="inlineStr">
        <is>
          <t>Observation Unit</t>
        </is>
      </c>
      <c r="I478" t="inlineStr">
        <is>
          <t>Medicine</t>
        </is>
      </c>
      <c r="J478" t="inlineStr">
        <is>
          <t>Simpson, Kelly</t>
        </is>
      </c>
      <c r="K478" t="inlineStr">
        <is>
          <t>R07.9</t>
        </is>
      </c>
      <c r="L478" t="inlineStr">
        <is>
          <t>Symptoms &amp; Signs</t>
        </is>
      </c>
      <c r="M478" t="inlineStr">
        <is>
          <t>Evergreen Mutual Insurance</t>
        </is>
      </c>
      <c r="N478" t="inlineStr">
        <is>
          <t>Commercial</t>
        </is>
      </c>
      <c r="O478" s="39" t="n">
        <v>10985.09</v>
      </c>
    </row>
    <row r="479">
      <c r="A479" t="inlineStr">
        <is>
          <t>ENC113445</t>
        </is>
      </c>
      <c r="B479" t="inlineStr">
        <is>
          <t>PT11694</t>
        </is>
      </c>
      <c r="C479" s="42" t="n">
        <v>45735</v>
      </c>
      <c r="D479" s="42" t="n">
        <v>45736</v>
      </c>
      <c r="E479" s="38" t="n">
        <v>1</v>
      </c>
      <c r="F479" t="inlineStr">
        <is>
          <t>Emergency</t>
        </is>
      </c>
      <c r="G479" t="inlineStr">
        <is>
          <t>Bluestone Memorial Hospital</t>
        </is>
      </c>
      <c r="H479" t="inlineStr">
        <is>
          <t>Emergency Department</t>
        </is>
      </c>
      <c r="I479" t="inlineStr">
        <is>
          <t>Emergency</t>
        </is>
      </c>
      <c r="J479" t="inlineStr">
        <is>
          <t>Jordan, Wayne</t>
        </is>
      </c>
      <c r="K479" t="inlineStr">
        <is>
          <t>M54.50</t>
        </is>
      </c>
      <c r="L479" t="inlineStr">
        <is>
          <t>Musculoskeletal</t>
        </is>
      </c>
      <c r="M479" t="inlineStr">
        <is>
          <t>Medicare</t>
        </is>
      </c>
      <c r="N479" t="inlineStr">
        <is>
          <t>Government</t>
        </is>
      </c>
      <c r="O479" s="39" t="n">
        <v>1001.97</v>
      </c>
    </row>
    <row r="480">
      <c r="A480" t="inlineStr">
        <is>
          <t>ENC113451</t>
        </is>
      </c>
      <c r="B480" t="inlineStr">
        <is>
          <t>PT10679</t>
        </is>
      </c>
      <c r="C480" s="42" t="n">
        <v>45736</v>
      </c>
      <c r="D480" s="42" t="n">
        <v>45736</v>
      </c>
      <c r="E480" s="38" t="n">
        <v>0</v>
      </c>
      <c r="F480" t="inlineStr">
        <is>
          <t>Outpatient</t>
        </is>
      </c>
      <c r="G480" t="inlineStr">
        <is>
          <t>Bluestone Outpatient Pavilion</t>
        </is>
      </c>
      <c r="H480" t="inlineStr">
        <is>
          <t>Endocrinology &amp; Diabetes Clinic</t>
        </is>
      </c>
      <c r="I480" t="inlineStr">
        <is>
          <t>Ambulatory</t>
        </is>
      </c>
      <c r="J480" t="inlineStr">
        <is>
          <t>Woods, Larry</t>
        </is>
      </c>
      <c r="K480" t="inlineStr">
        <is>
          <t>E11.9</t>
        </is>
      </c>
      <c r="L480" t="inlineStr">
        <is>
          <t>Endocrine</t>
        </is>
      </c>
      <c r="M480" t="inlineStr">
        <is>
          <t>Medicare</t>
        </is>
      </c>
      <c r="N480" t="inlineStr">
        <is>
          <t>Government</t>
        </is>
      </c>
      <c r="O480" s="39" t="n">
        <v>207.71</v>
      </c>
    </row>
    <row r="481">
      <c r="A481" t="inlineStr">
        <is>
          <t>ENC113457</t>
        </is>
      </c>
      <c r="B481" t="inlineStr">
        <is>
          <t>PT10208</t>
        </is>
      </c>
      <c r="C481" s="42" t="n">
        <v>45736</v>
      </c>
      <c r="D481" s="42" t="n">
        <v>45736</v>
      </c>
      <c r="E481" s="38" t="n">
        <v>0</v>
      </c>
      <c r="F481" t="inlineStr">
        <is>
          <t>Outpatient</t>
        </is>
      </c>
      <c r="G481" t="inlineStr">
        <is>
          <t>Bluestone Outpatient Pavilion</t>
        </is>
      </c>
      <c r="H481" t="inlineStr">
        <is>
          <t>Pediatric Clinic</t>
        </is>
      </c>
      <c r="I481" t="inlineStr">
        <is>
          <t>Women &amp; Children</t>
        </is>
      </c>
      <c r="J481" t="inlineStr">
        <is>
          <t>Aguilar, Linh</t>
        </is>
      </c>
      <c r="K481" t="inlineStr">
        <is>
          <t>Z00.129</t>
        </is>
      </c>
      <c r="L481" t="inlineStr">
        <is>
          <t>Factors Influencing Health</t>
        </is>
      </c>
      <c r="M481" t="inlineStr">
        <is>
          <t>State Medicaid</t>
        </is>
      </c>
      <c r="N481" t="inlineStr">
        <is>
          <t>Government</t>
        </is>
      </c>
      <c r="O481" s="39" t="n">
        <v>341.71</v>
      </c>
    </row>
    <row r="482">
      <c r="A482" t="inlineStr">
        <is>
          <t>ENC113464</t>
        </is>
      </c>
      <c r="B482" t="inlineStr">
        <is>
          <t>PT13531</t>
        </is>
      </c>
      <c r="C482" s="42" t="n">
        <v>45736</v>
      </c>
      <c r="D482" s="42" t="n">
        <v>45736</v>
      </c>
      <c r="E482" s="38" t="n">
        <v>0</v>
      </c>
      <c r="F482" t="inlineStr">
        <is>
          <t>Outpatient</t>
        </is>
      </c>
      <c r="G482" t="inlineStr">
        <is>
          <t>Bluestone Outpatient Pavilion</t>
        </is>
      </c>
      <c r="H482" t="inlineStr">
        <is>
          <t>Endocrinology &amp; Diabetes Clinic</t>
        </is>
      </c>
      <c r="I482" t="inlineStr">
        <is>
          <t>Ambulatory</t>
        </is>
      </c>
      <c r="J482" t="inlineStr">
        <is>
          <t>Rivera, Scott</t>
        </is>
      </c>
      <c r="K482" t="inlineStr">
        <is>
          <t>E11.9</t>
        </is>
      </c>
      <c r="L482" t="inlineStr">
        <is>
          <t>Endocrine</t>
        </is>
      </c>
      <c r="M482" t="inlineStr">
        <is>
          <t>State Medicaid</t>
        </is>
      </c>
      <c r="N482" t="inlineStr">
        <is>
          <t>Government</t>
        </is>
      </c>
      <c r="O482" s="39" t="n">
        <v>228.5</v>
      </c>
    </row>
    <row r="483">
      <c r="A483" t="inlineStr">
        <is>
          <t>ENC113468</t>
        </is>
      </c>
      <c r="B483" t="inlineStr">
        <is>
          <t>PT10246</t>
        </is>
      </c>
      <c r="C483" s="42" t="n">
        <v>45736</v>
      </c>
      <c r="D483" s="42" t="n">
        <v>45736</v>
      </c>
      <c r="E483" s="38" t="n">
        <v>0</v>
      </c>
      <c r="F483" t="inlineStr">
        <is>
          <t>Outpatient</t>
        </is>
      </c>
      <c r="G483" t="inlineStr">
        <is>
          <t>Bluestone Outpatient Pavilion</t>
        </is>
      </c>
      <c r="H483" t="inlineStr">
        <is>
          <t>Primary Care Clinic</t>
        </is>
      </c>
      <c r="I483" t="inlineStr">
        <is>
          <t>Ambulatory</t>
        </is>
      </c>
      <c r="J483" t="inlineStr">
        <is>
          <t>Yilmaz, Richard</t>
        </is>
      </c>
      <c r="K483" t="inlineStr">
        <is>
          <t>I10</t>
        </is>
      </c>
      <c r="L483" t="inlineStr">
        <is>
          <t>Circulatory</t>
        </is>
      </c>
      <c r="M483" t="inlineStr">
        <is>
          <t>Keystone Health Partners</t>
        </is>
      </c>
      <c r="N483" t="inlineStr">
        <is>
          <t>Commercial</t>
        </is>
      </c>
      <c r="O483" s="39" t="n">
        <v>169.09</v>
      </c>
    </row>
    <row r="484">
      <c r="A484" t="inlineStr">
        <is>
          <t>ENC113485</t>
        </is>
      </c>
      <c r="B484" t="inlineStr">
        <is>
          <t>PT11141</t>
        </is>
      </c>
      <c r="C484" s="42" t="n">
        <v>45737</v>
      </c>
      <c r="D484" s="42" t="n">
        <v>45740</v>
      </c>
      <c r="E484" s="38" t="n">
        <v>3</v>
      </c>
      <c r="F484" t="inlineStr">
        <is>
          <t>Inpatient</t>
        </is>
      </c>
      <c r="G484" t="inlineStr">
        <is>
          <t>Cedar Ridge Medical Center</t>
        </is>
      </c>
      <c r="H484" t="inlineStr">
        <is>
          <t>Medical-Surgical</t>
        </is>
      </c>
      <c r="I484" t="inlineStr">
        <is>
          <t>Medicine</t>
        </is>
      </c>
      <c r="J484" t="inlineStr">
        <is>
          <t>Payne, Tyler</t>
        </is>
      </c>
      <c r="K484" t="inlineStr">
        <is>
          <t>A41.9</t>
        </is>
      </c>
      <c r="L484" t="inlineStr">
        <is>
          <t>Infectious</t>
        </is>
      </c>
      <c r="M484" t="inlineStr">
        <is>
          <t>Silverline Medicare Advantage</t>
        </is>
      </c>
      <c r="N484" t="inlineStr">
        <is>
          <t>Medicare Advantage</t>
        </is>
      </c>
      <c r="O484" s="39" t="n">
        <v>23886.8</v>
      </c>
      <c r="P484" t="inlineStr">
        <is>
          <t>N</t>
        </is>
      </c>
    </row>
    <row r="485">
      <c r="A485" t="inlineStr">
        <is>
          <t>ENC113490</t>
        </is>
      </c>
      <c r="B485" t="inlineStr">
        <is>
          <t>PT12385</t>
        </is>
      </c>
      <c r="C485" s="42" t="n">
        <v>45737</v>
      </c>
      <c r="D485" s="42" t="n">
        <v>45737</v>
      </c>
      <c r="E485" s="38" t="n">
        <v>0</v>
      </c>
      <c r="F485" t="inlineStr">
        <is>
          <t>Emergency</t>
        </is>
      </c>
      <c r="G485" t="inlineStr">
        <is>
          <t>Bluestone Memorial Hospital</t>
        </is>
      </c>
      <c r="H485" t="inlineStr">
        <is>
          <t>Emergency Department</t>
        </is>
      </c>
      <c r="I485" t="inlineStr">
        <is>
          <t>Emergency</t>
        </is>
      </c>
      <c r="J485" t="inlineStr">
        <is>
          <t>Payne, Nancy</t>
        </is>
      </c>
      <c r="K485" t="inlineStr">
        <is>
          <t>J45.909</t>
        </is>
      </c>
      <c r="L485" t="inlineStr">
        <is>
          <t>Respiratory</t>
        </is>
      </c>
      <c r="M485" t="inlineStr">
        <is>
          <t>Evergreen Mutual Insurance</t>
        </is>
      </c>
      <c r="N485" t="inlineStr">
        <is>
          <t>Commercial</t>
        </is>
      </c>
      <c r="O485" s="39" t="n">
        <v>3196.74</v>
      </c>
    </row>
    <row r="486">
      <c r="A486" t="inlineStr">
        <is>
          <t>ENC113507</t>
        </is>
      </c>
      <c r="B486" t="inlineStr">
        <is>
          <t>PT10679</t>
        </is>
      </c>
      <c r="C486" s="42" t="n">
        <v>45737</v>
      </c>
      <c r="D486" s="42" t="n">
        <v>45737</v>
      </c>
      <c r="E486" s="38" t="n">
        <v>0</v>
      </c>
      <c r="F486" t="inlineStr">
        <is>
          <t>Outpatient</t>
        </is>
      </c>
      <c r="G486" t="inlineStr">
        <is>
          <t>Bluestone Outpatient Pavilion</t>
        </is>
      </c>
      <c r="H486" t="inlineStr">
        <is>
          <t>Endocrinology &amp; Diabetes Clinic</t>
        </is>
      </c>
      <c r="I486" t="inlineStr">
        <is>
          <t>Ambulatory</t>
        </is>
      </c>
      <c r="J486" t="inlineStr">
        <is>
          <t>Woods, Larry</t>
        </is>
      </c>
      <c r="K486" t="inlineStr">
        <is>
          <t>E11.9</t>
        </is>
      </c>
      <c r="L486" t="inlineStr">
        <is>
          <t>Endocrine</t>
        </is>
      </c>
      <c r="M486" t="inlineStr">
        <is>
          <t>Medicare</t>
        </is>
      </c>
      <c r="N486" t="inlineStr">
        <is>
          <t>Government</t>
        </is>
      </c>
      <c r="O486" s="39" t="n">
        <v>353.55</v>
      </c>
    </row>
    <row r="487">
      <c r="A487" t="inlineStr">
        <is>
          <t>ENC113511</t>
        </is>
      </c>
      <c r="B487" t="inlineStr">
        <is>
          <t>PT11097</t>
        </is>
      </c>
      <c r="C487" s="42" t="n">
        <v>45737</v>
      </c>
      <c r="D487" s="42" t="n">
        <v>45737</v>
      </c>
      <c r="E487" s="38" t="n">
        <v>0</v>
      </c>
      <c r="F487" t="inlineStr">
        <is>
          <t>Outpatient</t>
        </is>
      </c>
      <c r="G487" t="inlineStr">
        <is>
          <t>Bluestone Outpatient Pavilion</t>
        </is>
      </c>
      <c r="H487" t="inlineStr">
        <is>
          <t>Pediatric Clinic</t>
        </is>
      </c>
      <c r="I487" t="inlineStr">
        <is>
          <t>Women &amp; Children</t>
        </is>
      </c>
      <c r="J487" t="inlineStr">
        <is>
          <t>Wallace, Kevin</t>
        </is>
      </c>
      <c r="K487" t="inlineStr">
        <is>
          <t>H66.90</t>
        </is>
      </c>
      <c r="L487" t="inlineStr">
        <is>
          <t>Ear</t>
        </is>
      </c>
      <c r="M487" t="inlineStr">
        <is>
          <t>Evergreen Mutual Insurance</t>
        </is>
      </c>
      <c r="N487" t="inlineStr">
        <is>
          <t>Commercial</t>
        </is>
      </c>
      <c r="O487" s="39" t="n">
        <v>271.52</v>
      </c>
    </row>
    <row r="488">
      <c r="A488" t="inlineStr">
        <is>
          <t>ENC113513</t>
        </is>
      </c>
      <c r="B488" t="inlineStr">
        <is>
          <t>PT13733</t>
        </is>
      </c>
      <c r="C488" s="42" t="n">
        <v>45737</v>
      </c>
      <c r="D488" s="42" t="n">
        <v>45737</v>
      </c>
      <c r="E488" s="38" t="n">
        <v>0</v>
      </c>
      <c r="F488" t="inlineStr">
        <is>
          <t>Outpatient</t>
        </is>
      </c>
      <c r="G488" t="inlineStr">
        <is>
          <t>Bluestone Outpatient Pavilion</t>
        </is>
      </c>
      <c r="H488" t="inlineStr">
        <is>
          <t>Pediatric Clinic</t>
        </is>
      </c>
      <c r="I488" t="inlineStr">
        <is>
          <t>Women &amp; Children</t>
        </is>
      </c>
      <c r="J488" t="inlineStr">
        <is>
          <t>Wallace, Kevin</t>
        </is>
      </c>
      <c r="K488" t="inlineStr">
        <is>
          <t>Z00.129</t>
        </is>
      </c>
      <c r="L488" t="inlineStr">
        <is>
          <t>Factors Influencing Health</t>
        </is>
      </c>
      <c r="M488" t="inlineStr">
        <is>
          <t>Summit Choice PPO</t>
        </is>
      </c>
      <c r="N488" t="inlineStr">
        <is>
          <t>Commercial</t>
        </is>
      </c>
      <c r="O488" s="39" t="n">
        <v>441.9</v>
      </c>
    </row>
    <row r="489">
      <c r="A489" t="inlineStr">
        <is>
          <t>ENC113516</t>
        </is>
      </c>
      <c r="B489" t="inlineStr">
        <is>
          <t>PT11303</t>
        </is>
      </c>
      <c r="C489" s="42" t="n">
        <v>45737</v>
      </c>
      <c r="D489" s="42" t="n">
        <v>45737</v>
      </c>
      <c r="E489" s="38" t="n">
        <v>0</v>
      </c>
      <c r="F489" t="inlineStr">
        <is>
          <t>Emergency</t>
        </is>
      </c>
      <c r="G489" t="inlineStr">
        <is>
          <t>Bluestone Memorial Hospital</t>
        </is>
      </c>
      <c r="H489" t="inlineStr">
        <is>
          <t>Emergency Department</t>
        </is>
      </c>
      <c r="I489" t="inlineStr">
        <is>
          <t>Emergency</t>
        </is>
      </c>
      <c r="J489" t="inlineStr">
        <is>
          <t>Cruz, Mia</t>
        </is>
      </c>
      <c r="K489" t="inlineStr">
        <is>
          <t>F10.239</t>
        </is>
      </c>
      <c r="L489" t="inlineStr">
        <is>
          <t>Mental &amp; Behavioral</t>
        </is>
      </c>
      <c r="M489" t="inlineStr">
        <is>
          <t>State Medicaid</t>
        </is>
      </c>
      <c r="N489" t="inlineStr">
        <is>
          <t>Government</t>
        </is>
      </c>
      <c r="O489" s="39" t="n">
        <v>3791.66</v>
      </c>
    </row>
    <row r="490">
      <c r="A490" t="inlineStr">
        <is>
          <t>ENC113518</t>
        </is>
      </c>
      <c r="B490" t="inlineStr">
        <is>
          <t>PT10464</t>
        </is>
      </c>
      <c r="C490" s="42" t="n">
        <v>45737</v>
      </c>
      <c r="D490" s="42" t="n">
        <v>45741</v>
      </c>
      <c r="E490" s="38" t="n">
        <v>4</v>
      </c>
      <c r="F490" t="inlineStr">
        <is>
          <t>Inpatient</t>
        </is>
      </c>
      <c r="G490" t="inlineStr">
        <is>
          <t>Bluestone Memorial Hospital</t>
        </is>
      </c>
      <c r="H490" t="inlineStr">
        <is>
          <t>Medical-Surgical 5 East</t>
        </is>
      </c>
      <c r="I490" t="inlineStr">
        <is>
          <t>Medicine</t>
        </is>
      </c>
      <c r="J490" t="inlineStr">
        <is>
          <t>Abdi, Hassan</t>
        </is>
      </c>
      <c r="K490" t="inlineStr">
        <is>
          <t>J18.9</t>
        </is>
      </c>
      <c r="L490" t="inlineStr">
        <is>
          <t>Respiratory</t>
        </is>
      </c>
      <c r="M490" t="inlineStr">
        <is>
          <t>Evergreen Mutual Insurance</t>
        </is>
      </c>
      <c r="N490" t="inlineStr">
        <is>
          <t>Commercial</t>
        </is>
      </c>
      <c r="O490" s="39" t="n">
        <v>24153.3</v>
      </c>
      <c r="P490" t="inlineStr">
        <is>
          <t>N</t>
        </is>
      </c>
    </row>
    <row r="491">
      <c r="A491" t="inlineStr">
        <is>
          <t>ENC113517</t>
        </is>
      </c>
      <c r="B491" t="inlineStr">
        <is>
          <t>PT13034</t>
        </is>
      </c>
      <c r="C491" s="42" t="n">
        <v>45737</v>
      </c>
      <c r="D491" s="42" t="n">
        <v>45746</v>
      </c>
      <c r="E491" s="38" t="n">
        <v>9</v>
      </c>
      <c r="F491" t="inlineStr">
        <is>
          <t>Inpatient</t>
        </is>
      </c>
      <c r="G491" t="inlineStr">
        <is>
          <t>Bluestone Memorial Hospital</t>
        </is>
      </c>
      <c r="H491" t="inlineStr">
        <is>
          <t>Neuroscience &amp; Stroke</t>
        </is>
      </c>
      <c r="I491" t="inlineStr">
        <is>
          <t>Neuroscience</t>
        </is>
      </c>
      <c r="J491" t="inlineStr">
        <is>
          <t>Garcia, Alexis</t>
        </is>
      </c>
      <c r="K491" t="inlineStr">
        <is>
          <t>I63.9</t>
        </is>
      </c>
      <c r="L491" t="inlineStr">
        <is>
          <t>Circulatory</t>
        </is>
      </c>
      <c r="M491" t="inlineStr">
        <is>
          <t>Silverline Medicare Advantage</t>
        </is>
      </c>
      <c r="N491" t="inlineStr">
        <is>
          <t>Medicare Advantage</t>
        </is>
      </c>
      <c r="O491" s="39" t="n">
        <v>69243.98</v>
      </c>
      <c r="P491" t="inlineStr">
        <is>
          <t>N</t>
        </is>
      </c>
    </row>
    <row r="492">
      <c r="A492" t="inlineStr">
        <is>
          <t>ENC113535</t>
        </is>
      </c>
      <c r="B492" t="inlineStr">
        <is>
          <t>PT12781</t>
        </is>
      </c>
      <c r="C492" s="42" t="n">
        <v>45738</v>
      </c>
      <c r="D492" s="42" t="n">
        <v>45741</v>
      </c>
      <c r="E492" s="38" t="n">
        <v>3</v>
      </c>
      <c r="F492" t="inlineStr">
        <is>
          <t>Inpatient</t>
        </is>
      </c>
      <c r="G492" t="inlineStr">
        <is>
          <t>Bluestone Memorial Hospital</t>
        </is>
      </c>
      <c r="H492" t="inlineStr">
        <is>
          <t>Labor &amp; Delivery</t>
        </is>
      </c>
      <c r="I492" t="inlineStr">
        <is>
          <t>Women &amp; Children</t>
        </is>
      </c>
      <c r="J492" t="inlineStr">
        <is>
          <t>Phillips, Sophia</t>
        </is>
      </c>
      <c r="K492" t="inlineStr">
        <is>
          <t>O80</t>
        </is>
      </c>
      <c r="L492" t="inlineStr">
        <is>
          <t>Pregnancy</t>
        </is>
      </c>
      <c r="M492" t="inlineStr">
        <is>
          <t>State Medicaid</t>
        </is>
      </c>
      <c r="N492" t="inlineStr">
        <is>
          <t>Government</t>
        </is>
      </c>
      <c r="O492" s="39" t="n">
        <v>23529.21</v>
      </c>
      <c r="P492" t="inlineStr">
        <is>
          <t>Y</t>
        </is>
      </c>
    </row>
    <row r="493">
      <c r="A493" t="inlineStr">
        <is>
          <t>ENC113536</t>
        </is>
      </c>
      <c r="B493" t="inlineStr">
        <is>
          <t>PT11232</t>
        </is>
      </c>
      <c r="C493" s="42" t="n">
        <v>45739</v>
      </c>
      <c r="D493" s="42" t="n">
        <v>45748</v>
      </c>
      <c r="E493" s="38" t="n">
        <v>9</v>
      </c>
      <c r="F493" t="inlineStr">
        <is>
          <t>Inpatient</t>
        </is>
      </c>
      <c r="G493" t="inlineStr">
        <is>
          <t>Bluestone Memorial Hospital</t>
        </is>
      </c>
      <c r="H493" t="inlineStr">
        <is>
          <t>Intensive Care Unit</t>
        </is>
      </c>
      <c r="I493" t="inlineStr">
        <is>
          <t>Critical Care</t>
        </is>
      </c>
      <c r="J493" t="inlineStr">
        <is>
          <t>Allen, Grace</t>
        </is>
      </c>
      <c r="K493" t="inlineStr">
        <is>
          <t>A41.9</t>
        </is>
      </c>
      <c r="L493" t="inlineStr">
        <is>
          <t>Infectious</t>
        </is>
      </c>
      <c r="M493" t="inlineStr">
        <is>
          <t>State Medicaid</t>
        </is>
      </c>
      <c r="N493" t="inlineStr">
        <is>
          <t>Government</t>
        </is>
      </c>
      <c r="O493" s="39" t="n">
        <v>79944.99000000001</v>
      </c>
      <c r="P493" t="inlineStr">
        <is>
          <t>N</t>
        </is>
      </c>
    </row>
    <row r="494">
      <c r="A494" t="inlineStr">
        <is>
          <t>ENC113540</t>
        </is>
      </c>
      <c r="B494" t="inlineStr">
        <is>
          <t>PT12116</t>
        </is>
      </c>
      <c r="C494" s="42" t="n">
        <v>45739</v>
      </c>
      <c r="D494" s="42" t="n">
        <v>45743</v>
      </c>
      <c r="E494" s="38" t="n">
        <v>4</v>
      </c>
      <c r="F494" t="inlineStr">
        <is>
          <t>Inpatient</t>
        </is>
      </c>
      <c r="G494" t="inlineStr">
        <is>
          <t>Ashby Falls Community Hospital</t>
        </is>
      </c>
      <c r="H494" t="inlineStr">
        <is>
          <t>Intensive Care Unit</t>
        </is>
      </c>
      <c r="I494" t="inlineStr">
        <is>
          <t>Critical Care</t>
        </is>
      </c>
      <c r="J494" t="inlineStr">
        <is>
          <t>Gutierrez, Donald</t>
        </is>
      </c>
      <c r="K494" t="inlineStr">
        <is>
          <t>J96.01</t>
        </is>
      </c>
      <c r="L494" t="inlineStr">
        <is>
          <t>Respiratory</t>
        </is>
      </c>
      <c r="M494" t="inlineStr">
        <is>
          <t>Keystone Health Partners</t>
        </is>
      </c>
      <c r="N494" t="inlineStr">
        <is>
          <t>Commercial</t>
        </is>
      </c>
      <c r="O494" s="39" t="n">
        <v>46911.18</v>
      </c>
      <c r="P494" t="inlineStr">
        <is>
          <t>N</t>
        </is>
      </c>
    </row>
    <row r="495">
      <c r="A495" t="inlineStr">
        <is>
          <t>ENC113547</t>
        </is>
      </c>
      <c r="B495" t="inlineStr">
        <is>
          <t>PT10291</t>
        </is>
      </c>
      <c r="C495" s="42" t="n">
        <v>45739</v>
      </c>
      <c r="D495" s="42" t="n">
        <v>45739</v>
      </c>
      <c r="E495" s="38" t="n">
        <v>0</v>
      </c>
      <c r="F495" t="inlineStr">
        <is>
          <t>Emergency</t>
        </is>
      </c>
      <c r="G495" t="inlineStr">
        <is>
          <t>Bluestone Memorial Hospital</t>
        </is>
      </c>
      <c r="H495" t="inlineStr">
        <is>
          <t>Emergency Department</t>
        </is>
      </c>
      <c r="I495" t="inlineStr">
        <is>
          <t>Emergency</t>
        </is>
      </c>
      <c r="J495" t="inlineStr">
        <is>
          <t>Ferguson, Roy</t>
        </is>
      </c>
      <c r="K495" t="inlineStr">
        <is>
          <t>R07.9</t>
        </is>
      </c>
      <c r="L495" t="inlineStr">
        <is>
          <t>Symptoms &amp; Signs</t>
        </is>
      </c>
      <c r="M495" t="inlineStr">
        <is>
          <t>Evergreen Mutual Insurance</t>
        </is>
      </c>
      <c r="N495" t="inlineStr">
        <is>
          <t>Commercial</t>
        </is>
      </c>
      <c r="O495" s="39" t="n">
        <v>2932.21</v>
      </c>
    </row>
    <row r="496">
      <c r="A496" t="inlineStr">
        <is>
          <t>ENC113548</t>
        </is>
      </c>
      <c r="B496" t="inlineStr">
        <is>
          <t>PT10913</t>
        </is>
      </c>
      <c r="C496" s="42" t="n">
        <v>45739</v>
      </c>
      <c r="D496" s="42" t="n">
        <v>45739</v>
      </c>
      <c r="E496" s="38" t="n">
        <v>0</v>
      </c>
      <c r="F496" t="inlineStr">
        <is>
          <t>Emergency</t>
        </is>
      </c>
      <c r="G496" t="inlineStr">
        <is>
          <t>Bluestone Memorial Hospital</t>
        </is>
      </c>
      <c r="H496" t="inlineStr">
        <is>
          <t>Emergency Department</t>
        </is>
      </c>
      <c r="I496" t="inlineStr">
        <is>
          <t>Emergency</t>
        </is>
      </c>
      <c r="J496" t="inlineStr">
        <is>
          <t>Elliott, Jesse</t>
        </is>
      </c>
      <c r="K496" t="inlineStr">
        <is>
          <t>F32.9</t>
        </is>
      </c>
      <c r="L496" t="inlineStr">
        <is>
          <t>Mental &amp; Behavioral</t>
        </is>
      </c>
      <c r="M496" t="inlineStr">
        <is>
          <t>Medicare</t>
        </is>
      </c>
      <c r="N496" t="inlineStr">
        <is>
          <t>Government</t>
        </is>
      </c>
      <c r="O496" s="39" t="n">
        <v>6140.35</v>
      </c>
    </row>
    <row r="497">
      <c r="A497" t="inlineStr">
        <is>
          <t>ENC113560</t>
        </is>
      </c>
      <c r="B497" t="inlineStr">
        <is>
          <t>PT10562</t>
        </is>
      </c>
      <c r="C497" s="42" t="n">
        <v>45740</v>
      </c>
      <c r="D497" s="42" t="n">
        <v>45740</v>
      </c>
      <c r="E497" s="38" t="n">
        <v>0</v>
      </c>
      <c r="F497" t="inlineStr">
        <is>
          <t>Outpatient</t>
        </is>
      </c>
      <c r="G497" t="inlineStr">
        <is>
          <t>Bluestone Outpatient Pavilion</t>
        </is>
      </c>
      <c r="H497" t="inlineStr">
        <is>
          <t>Primary Care Clinic</t>
        </is>
      </c>
      <c r="I497" t="inlineStr">
        <is>
          <t>Ambulatory</t>
        </is>
      </c>
      <c r="J497" t="inlineStr">
        <is>
          <t>Vazquez, Carolyn</t>
        </is>
      </c>
      <c r="K497" t="inlineStr">
        <is>
          <t>J45.909</t>
        </is>
      </c>
      <c r="L497" t="inlineStr">
        <is>
          <t>Respiratory</t>
        </is>
      </c>
      <c r="M497" t="inlineStr">
        <is>
          <t>Evergreen Mutual Insurance</t>
        </is>
      </c>
      <c r="N497" t="inlineStr">
        <is>
          <t>Commercial</t>
        </is>
      </c>
      <c r="O497" s="39" t="n">
        <v>248</v>
      </c>
    </row>
    <row r="498">
      <c r="A498" t="inlineStr">
        <is>
          <t>ENC113563</t>
        </is>
      </c>
      <c r="B498" t="inlineStr">
        <is>
          <t>PT11070</t>
        </is>
      </c>
      <c r="C498" s="42" t="n">
        <v>45740</v>
      </c>
      <c r="D498" s="42" t="n">
        <v>45740</v>
      </c>
      <c r="E498" s="38" t="n">
        <v>0</v>
      </c>
      <c r="F498" t="inlineStr">
        <is>
          <t>Outpatient</t>
        </is>
      </c>
      <c r="G498" t="inlineStr">
        <is>
          <t>Bluestone Outpatient Pavilion</t>
        </is>
      </c>
      <c r="H498" t="inlineStr">
        <is>
          <t>Infusion &amp; Oncology Clinic</t>
        </is>
      </c>
      <c r="I498" t="inlineStr">
        <is>
          <t>Oncology</t>
        </is>
      </c>
      <c r="J498" t="inlineStr">
        <is>
          <t>Long, Fatima</t>
        </is>
      </c>
      <c r="K498" t="inlineStr">
        <is>
          <t>C50.911</t>
        </is>
      </c>
      <c r="L498" t="inlineStr">
        <is>
          <t>Neoplasms</t>
        </is>
      </c>
      <c r="M498" t="inlineStr">
        <is>
          <t>Keystone Health Partners</t>
        </is>
      </c>
      <c r="N498" t="inlineStr">
        <is>
          <t>Commercial</t>
        </is>
      </c>
      <c r="O498" s="39" t="n">
        <v>1743.07</v>
      </c>
    </row>
    <row r="499">
      <c r="A499" t="inlineStr">
        <is>
          <t>ENC113564</t>
        </is>
      </c>
      <c r="B499" t="inlineStr">
        <is>
          <t>PT13380</t>
        </is>
      </c>
      <c r="C499" s="42" t="n">
        <v>45740</v>
      </c>
      <c r="D499" s="42" t="n">
        <v>45740</v>
      </c>
      <c r="E499" s="38" t="n">
        <v>0</v>
      </c>
      <c r="F499" t="inlineStr">
        <is>
          <t>Outpatient</t>
        </is>
      </c>
      <c r="G499" t="inlineStr">
        <is>
          <t>Bluestone Outpatient Pavilion</t>
        </is>
      </c>
      <c r="H499" t="inlineStr">
        <is>
          <t>Primary Care Clinic</t>
        </is>
      </c>
      <c r="I499" t="inlineStr">
        <is>
          <t>Ambulatory</t>
        </is>
      </c>
      <c r="J499" t="inlineStr">
        <is>
          <t>Chen, Mei</t>
        </is>
      </c>
      <c r="K499" t="inlineStr">
        <is>
          <t>J06.9</t>
        </is>
      </c>
      <c r="L499" t="inlineStr">
        <is>
          <t>Respiratory</t>
        </is>
      </c>
      <c r="M499" t="inlineStr">
        <is>
          <t>Summit Choice PPO</t>
        </is>
      </c>
      <c r="N499" t="inlineStr">
        <is>
          <t>Commercial</t>
        </is>
      </c>
      <c r="O499" s="39" t="n">
        <v>282.95</v>
      </c>
    </row>
    <row r="500">
      <c r="A500" t="inlineStr">
        <is>
          <t>ENC113557</t>
        </is>
      </c>
      <c r="B500" t="inlineStr">
        <is>
          <t>PT10513</t>
        </is>
      </c>
      <c r="C500" s="42" t="n">
        <v>45740</v>
      </c>
      <c r="D500" s="42" t="n">
        <v>45744</v>
      </c>
      <c r="E500" s="38" t="n">
        <v>4</v>
      </c>
      <c r="F500" t="inlineStr">
        <is>
          <t>Inpatient</t>
        </is>
      </c>
      <c r="G500" t="inlineStr">
        <is>
          <t>Bluestone Memorial Hospital</t>
        </is>
      </c>
      <c r="H500" t="inlineStr">
        <is>
          <t>Medical-Surgical 5 East</t>
        </is>
      </c>
      <c r="I500" t="inlineStr">
        <is>
          <t>Medicine</t>
        </is>
      </c>
      <c r="J500" t="inlineStr">
        <is>
          <t>Lopez, Teresa</t>
        </is>
      </c>
      <c r="K500" t="inlineStr">
        <is>
          <t>K56.609</t>
        </is>
      </c>
      <c r="L500" t="inlineStr">
        <is>
          <t>Digestive</t>
        </is>
      </c>
      <c r="M500" t="inlineStr">
        <is>
          <t>Keystone Health Partners</t>
        </is>
      </c>
      <c r="N500" t="inlineStr">
        <is>
          <t>Commercial</t>
        </is>
      </c>
      <c r="O500" s="39" t="n">
        <v>16858.19</v>
      </c>
      <c r="P500" t="inlineStr">
        <is>
          <t>Y</t>
        </is>
      </c>
    </row>
    <row r="501">
      <c r="A501" t="inlineStr">
        <is>
          <t>ENC113572</t>
        </is>
      </c>
      <c r="B501" t="inlineStr">
        <is>
          <t>PT12687</t>
        </is>
      </c>
      <c r="C501" s="42" t="n">
        <v>45740</v>
      </c>
      <c r="D501" s="42" t="n">
        <v>45740</v>
      </c>
      <c r="E501" s="38" t="n">
        <v>0</v>
      </c>
      <c r="F501" t="inlineStr">
        <is>
          <t>Outpatient</t>
        </is>
      </c>
      <c r="G501" t="inlineStr">
        <is>
          <t>Bluestone Outpatient Pavilion</t>
        </is>
      </c>
      <c r="H501" t="inlineStr">
        <is>
          <t>Primary Care Clinic</t>
        </is>
      </c>
      <c r="I501" t="inlineStr">
        <is>
          <t>Ambulatory</t>
        </is>
      </c>
      <c r="J501" t="inlineStr">
        <is>
          <t>Arnold, Catherine</t>
        </is>
      </c>
      <c r="K501" t="inlineStr">
        <is>
          <t>A08.4</t>
        </is>
      </c>
      <c r="L501" t="inlineStr">
        <is>
          <t>Infectious</t>
        </is>
      </c>
      <c r="M501" t="inlineStr">
        <is>
          <t>Medicare</t>
        </is>
      </c>
      <c r="N501" t="inlineStr">
        <is>
          <t>Government</t>
        </is>
      </c>
      <c r="O501" s="39" t="n">
        <v>213.83</v>
      </c>
    </row>
    <row r="502">
      <c r="A502" t="inlineStr">
        <is>
          <t>ENC113573</t>
        </is>
      </c>
      <c r="B502" t="inlineStr">
        <is>
          <t>PT10961</t>
        </is>
      </c>
      <c r="C502" s="42" t="n">
        <v>45740</v>
      </c>
      <c r="D502" s="42" t="n">
        <v>45740</v>
      </c>
      <c r="E502" s="38" t="n">
        <v>0</v>
      </c>
      <c r="F502" t="inlineStr">
        <is>
          <t>Emergency</t>
        </is>
      </c>
      <c r="G502" t="inlineStr">
        <is>
          <t>Bluestone Memorial Hospital</t>
        </is>
      </c>
      <c r="H502" t="inlineStr">
        <is>
          <t>Emergency Department</t>
        </is>
      </c>
      <c r="I502" t="inlineStr">
        <is>
          <t>Emergency</t>
        </is>
      </c>
      <c r="J502" t="inlineStr">
        <is>
          <t>Myers, Doris</t>
        </is>
      </c>
      <c r="K502" t="inlineStr">
        <is>
          <t>H66.90</t>
        </is>
      </c>
      <c r="L502" t="inlineStr">
        <is>
          <t>Ear</t>
        </is>
      </c>
      <c r="M502" t="inlineStr">
        <is>
          <t>Summit Choice PPO</t>
        </is>
      </c>
      <c r="N502" t="inlineStr">
        <is>
          <t>Commercial</t>
        </is>
      </c>
      <c r="O502" s="39" t="n">
        <v>1879.12</v>
      </c>
    </row>
    <row r="503">
      <c r="A503" t="inlineStr">
        <is>
          <t>ENC113580</t>
        </is>
      </c>
      <c r="B503" t="inlineStr">
        <is>
          <t>PT11115</t>
        </is>
      </c>
      <c r="C503" s="42" t="n">
        <v>45740</v>
      </c>
      <c r="D503" s="42" t="n">
        <v>45740</v>
      </c>
      <c r="E503" s="38" t="n">
        <v>0</v>
      </c>
      <c r="F503" t="inlineStr">
        <is>
          <t>Outpatient</t>
        </is>
      </c>
      <c r="G503" t="inlineStr">
        <is>
          <t>Bluestone Outpatient Pavilion</t>
        </is>
      </c>
      <c r="H503" t="inlineStr">
        <is>
          <t>Endocrinology &amp; Diabetes Clinic</t>
        </is>
      </c>
      <c r="I503" t="inlineStr">
        <is>
          <t>Ambulatory</t>
        </is>
      </c>
      <c r="J503" t="inlineStr">
        <is>
          <t>Rivera, Scott</t>
        </is>
      </c>
      <c r="K503" t="inlineStr">
        <is>
          <t>E11.65</t>
        </is>
      </c>
      <c r="L503" t="inlineStr">
        <is>
          <t>Endocrine</t>
        </is>
      </c>
      <c r="M503" t="inlineStr">
        <is>
          <t>Silverline Medicare Advantage</t>
        </is>
      </c>
      <c r="N503" t="inlineStr">
        <is>
          <t>Medicare Advantage</t>
        </is>
      </c>
      <c r="O503" s="39" t="n">
        <v>395.56</v>
      </c>
    </row>
    <row r="504">
      <c r="A504" t="inlineStr">
        <is>
          <t>ENC113569</t>
        </is>
      </c>
      <c r="B504" t="inlineStr">
        <is>
          <t>PT11694</t>
        </is>
      </c>
      <c r="C504" s="42" t="n">
        <v>45740</v>
      </c>
      <c r="D504" s="42" t="n">
        <v>45747</v>
      </c>
      <c r="E504" s="38" t="n">
        <v>7</v>
      </c>
      <c r="F504" t="inlineStr">
        <is>
          <t>Inpatient</t>
        </is>
      </c>
      <c r="G504" t="inlineStr">
        <is>
          <t>Bluestone Memorial Hospital</t>
        </is>
      </c>
      <c r="H504" t="inlineStr">
        <is>
          <t>Medical-Surgical 5 East</t>
        </is>
      </c>
      <c r="I504" t="inlineStr">
        <is>
          <t>Medicine</t>
        </is>
      </c>
      <c r="J504" t="inlineStr">
        <is>
          <t>Price, Juan</t>
        </is>
      </c>
      <c r="K504" t="inlineStr">
        <is>
          <t>A41.9</t>
        </is>
      </c>
      <c r="L504" t="inlineStr">
        <is>
          <t>Infectious</t>
        </is>
      </c>
      <c r="M504" t="inlineStr">
        <is>
          <t>Medicare</t>
        </is>
      </c>
      <c r="N504" t="inlineStr">
        <is>
          <t>Government</t>
        </is>
      </c>
      <c r="O504" s="39" t="n">
        <v>76970.97</v>
      </c>
      <c r="P504" t="inlineStr">
        <is>
          <t>N</t>
        </is>
      </c>
    </row>
    <row r="505">
      <c r="A505" t="inlineStr">
        <is>
          <t>ENC113590</t>
        </is>
      </c>
      <c r="B505" t="inlineStr">
        <is>
          <t>PT10583</t>
        </is>
      </c>
      <c r="C505" s="42" t="n">
        <v>45740</v>
      </c>
      <c r="D505" s="42" t="n">
        <v>45740</v>
      </c>
      <c r="E505" s="38" t="n">
        <v>0</v>
      </c>
      <c r="F505" t="inlineStr">
        <is>
          <t>Outpatient</t>
        </is>
      </c>
      <c r="G505" t="inlineStr">
        <is>
          <t>Bluestone Outpatient Pavilion</t>
        </is>
      </c>
      <c r="H505" t="inlineStr">
        <is>
          <t>Primary Care Clinic</t>
        </is>
      </c>
      <c r="I505" t="inlineStr">
        <is>
          <t>Ambulatory</t>
        </is>
      </c>
      <c r="J505" t="inlineStr">
        <is>
          <t>Myers, Lucia</t>
        </is>
      </c>
      <c r="K505" t="inlineStr">
        <is>
          <t>J44.1</t>
        </is>
      </c>
      <c r="L505" t="inlineStr">
        <is>
          <t>Respiratory</t>
        </is>
      </c>
      <c r="M505" t="inlineStr">
        <is>
          <t>Medicare</t>
        </is>
      </c>
      <c r="N505" t="inlineStr">
        <is>
          <t>Government</t>
        </is>
      </c>
      <c r="O505" s="39" t="n">
        <v>186.03</v>
      </c>
    </row>
    <row r="506">
      <c r="A506" t="inlineStr">
        <is>
          <t>ENC113601</t>
        </is>
      </c>
      <c r="B506" t="inlineStr">
        <is>
          <t>PT10491</t>
        </is>
      </c>
      <c r="C506" s="42" t="n">
        <v>45741</v>
      </c>
      <c r="D506" s="42" t="n">
        <v>45741</v>
      </c>
      <c r="E506" s="38" t="n">
        <v>0</v>
      </c>
      <c r="F506" t="inlineStr">
        <is>
          <t>Outpatient</t>
        </is>
      </c>
      <c r="G506" t="inlineStr">
        <is>
          <t>Bluestone Outpatient Pavilion</t>
        </is>
      </c>
      <c r="H506" t="inlineStr">
        <is>
          <t>Infusion &amp; Oncology Clinic</t>
        </is>
      </c>
      <c r="I506" t="inlineStr">
        <is>
          <t>Oncology</t>
        </is>
      </c>
      <c r="J506" t="inlineStr">
        <is>
          <t>Hicks, Zachary</t>
        </is>
      </c>
      <c r="K506" t="inlineStr">
        <is>
          <t>C50.911</t>
        </is>
      </c>
      <c r="L506" t="inlineStr">
        <is>
          <t>Neoplasms</t>
        </is>
      </c>
      <c r="M506" t="inlineStr">
        <is>
          <t>Summit Choice PPO</t>
        </is>
      </c>
      <c r="N506" t="inlineStr">
        <is>
          <t>Commercial</t>
        </is>
      </c>
      <c r="O506" s="39" t="n">
        <v>545.88</v>
      </c>
    </row>
    <row r="507">
      <c r="A507" t="inlineStr">
        <is>
          <t>ENC113605</t>
        </is>
      </c>
      <c r="B507" t="inlineStr">
        <is>
          <t>PT13630</t>
        </is>
      </c>
      <c r="C507" s="42" t="n">
        <v>45741</v>
      </c>
      <c r="D507" s="42" t="n">
        <v>45741</v>
      </c>
      <c r="E507" s="38" t="n">
        <v>0</v>
      </c>
      <c r="F507" t="inlineStr">
        <is>
          <t>Outpatient</t>
        </is>
      </c>
      <c r="G507" t="inlineStr">
        <is>
          <t>Bluestone Outpatient Pavilion</t>
        </is>
      </c>
      <c r="H507" t="inlineStr">
        <is>
          <t>Orthopedic Clinic</t>
        </is>
      </c>
      <c r="I507" t="inlineStr">
        <is>
          <t>Orthopedics</t>
        </is>
      </c>
      <c r="J507" t="inlineStr">
        <is>
          <t>Cox, Lori</t>
        </is>
      </c>
      <c r="K507" t="inlineStr">
        <is>
          <t>S93.401A</t>
        </is>
      </c>
      <c r="L507" t="inlineStr">
        <is>
          <t>Injury</t>
        </is>
      </c>
      <c r="M507" t="inlineStr">
        <is>
          <t>Summit Choice PPO</t>
        </is>
      </c>
      <c r="N507" t="inlineStr">
        <is>
          <t>Commercial</t>
        </is>
      </c>
      <c r="O507" s="39" t="n">
        <v>202.63</v>
      </c>
    </row>
    <row r="508">
      <c r="A508" t="inlineStr">
        <is>
          <t>ENC113607</t>
        </is>
      </c>
      <c r="B508" t="inlineStr">
        <is>
          <t>PT13383</t>
        </is>
      </c>
      <c r="C508" s="42" t="n">
        <v>45741</v>
      </c>
      <c r="D508" s="42" t="n">
        <v>45741</v>
      </c>
      <c r="E508" s="38" t="n">
        <v>0</v>
      </c>
      <c r="F508" t="inlineStr">
        <is>
          <t>Outpatient</t>
        </is>
      </c>
      <c r="G508" t="inlineStr">
        <is>
          <t>Bluestone Outpatient Pavilion</t>
        </is>
      </c>
      <c r="H508" t="inlineStr">
        <is>
          <t>Endocrinology &amp; Diabetes Clinic</t>
        </is>
      </c>
      <c r="I508" t="inlineStr">
        <is>
          <t>Ambulatory</t>
        </is>
      </c>
      <c r="J508" t="inlineStr">
        <is>
          <t>Rivera, Scott</t>
        </is>
      </c>
      <c r="K508" t="inlineStr">
        <is>
          <t>E11.9</t>
        </is>
      </c>
      <c r="L508" t="inlineStr">
        <is>
          <t>Endocrine</t>
        </is>
      </c>
      <c r="M508" t="inlineStr">
        <is>
          <t>Medicare</t>
        </is>
      </c>
      <c r="N508" t="inlineStr">
        <is>
          <t>Government</t>
        </is>
      </c>
      <c r="O508" s="39" t="n">
        <v>258.35</v>
      </c>
    </row>
    <row r="509">
      <c r="A509" t="inlineStr">
        <is>
          <t>ENC113612</t>
        </is>
      </c>
      <c r="B509" t="inlineStr">
        <is>
          <t>PT10673</t>
        </is>
      </c>
      <c r="C509" s="42" t="n">
        <v>45741</v>
      </c>
      <c r="D509" s="42" t="n">
        <v>45741</v>
      </c>
      <c r="E509" s="38" t="n">
        <v>0</v>
      </c>
      <c r="F509" t="inlineStr">
        <is>
          <t>Outpatient</t>
        </is>
      </c>
      <c r="G509" t="inlineStr">
        <is>
          <t>Bluestone Outpatient Pavilion</t>
        </is>
      </c>
      <c r="H509" t="inlineStr">
        <is>
          <t>Endocrinology &amp; Diabetes Clinic</t>
        </is>
      </c>
      <c r="I509" t="inlineStr">
        <is>
          <t>Ambulatory</t>
        </is>
      </c>
      <c r="J509" t="inlineStr">
        <is>
          <t>Woods, Larry</t>
        </is>
      </c>
      <c r="K509" t="inlineStr">
        <is>
          <t>E11.65</t>
        </is>
      </c>
      <c r="L509" t="inlineStr">
        <is>
          <t>Endocrine</t>
        </is>
      </c>
      <c r="M509" t="inlineStr">
        <is>
          <t>Evergreen Mutual Insurance</t>
        </is>
      </c>
      <c r="N509" t="inlineStr">
        <is>
          <t>Commercial</t>
        </is>
      </c>
      <c r="O509" s="39" t="n">
        <v>197.69</v>
      </c>
    </row>
    <row r="510">
      <c r="A510" t="inlineStr">
        <is>
          <t>ENC113613</t>
        </is>
      </c>
      <c r="B510" t="inlineStr">
        <is>
          <t>PT13610</t>
        </is>
      </c>
      <c r="C510" s="42" t="n">
        <v>45741</v>
      </c>
      <c r="D510" s="42" t="n">
        <v>45741</v>
      </c>
      <c r="E510" s="38" t="n">
        <v>0</v>
      </c>
      <c r="F510" t="inlineStr">
        <is>
          <t>Emergency</t>
        </is>
      </c>
      <c r="G510" t="inlineStr">
        <is>
          <t>Ashby Falls Community Hospital</t>
        </is>
      </c>
      <c r="H510" t="inlineStr">
        <is>
          <t>Emergency Department</t>
        </is>
      </c>
      <c r="I510" t="inlineStr">
        <is>
          <t>Emergency</t>
        </is>
      </c>
      <c r="J510" t="inlineStr">
        <is>
          <t>Walker, Margaret</t>
        </is>
      </c>
      <c r="K510" t="inlineStr">
        <is>
          <t>J45.909</t>
        </is>
      </c>
      <c r="L510" t="inlineStr">
        <is>
          <t>Respiratory</t>
        </is>
      </c>
      <c r="M510" t="inlineStr">
        <is>
          <t>Medicare</t>
        </is>
      </c>
      <c r="N510" t="inlineStr">
        <is>
          <t>Government</t>
        </is>
      </c>
      <c r="O510" s="39" t="n">
        <v>4132.29</v>
      </c>
    </row>
    <row r="511">
      <c r="A511" t="inlineStr">
        <is>
          <t>ENC113614</t>
        </is>
      </c>
      <c r="B511" t="inlineStr">
        <is>
          <t>PT13090</t>
        </is>
      </c>
      <c r="C511" s="42" t="n">
        <v>45741</v>
      </c>
      <c r="D511" s="42" t="n">
        <v>45741</v>
      </c>
      <c r="E511" s="38" t="n">
        <v>0</v>
      </c>
      <c r="F511" t="inlineStr">
        <is>
          <t>Outpatient</t>
        </is>
      </c>
      <c r="G511" t="inlineStr">
        <is>
          <t>Bluestone Outpatient Pavilion</t>
        </is>
      </c>
      <c r="H511" t="inlineStr">
        <is>
          <t>Endocrinology &amp; Diabetes Clinic</t>
        </is>
      </c>
      <c r="I511" t="inlineStr">
        <is>
          <t>Ambulatory</t>
        </is>
      </c>
      <c r="J511" t="inlineStr">
        <is>
          <t>Woods, Larry</t>
        </is>
      </c>
      <c r="K511" t="inlineStr">
        <is>
          <t>E11.9</t>
        </is>
      </c>
      <c r="L511" t="inlineStr">
        <is>
          <t>Endocrine</t>
        </is>
      </c>
      <c r="M511" t="inlineStr">
        <is>
          <t>Medicare</t>
        </is>
      </c>
      <c r="N511" t="inlineStr">
        <is>
          <t>Government</t>
        </is>
      </c>
      <c r="O511" s="39" t="n">
        <v>318.23</v>
      </c>
    </row>
    <row r="512">
      <c r="A512" t="inlineStr">
        <is>
          <t>ENC113616</t>
        </is>
      </c>
      <c r="B512" t="inlineStr">
        <is>
          <t>PT10192</t>
        </is>
      </c>
      <c r="C512" s="42" t="n">
        <v>45741</v>
      </c>
      <c r="D512" s="42" t="n">
        <v>45741</v>
      </c>
      <c r="E512" s="38" t="n">
        <v>0</v>
      </c>
      <c r="F512" t="inlineStr">
        <is>
          <t>Outpatient</t>
        </is>
      </c>
      <c r="G512" t="inlineStr">
        <is>
          <t>Bluestone Outpatient Pavilion</t>
        </is>
      </c>
      <c r="H512" t="inlineStr">
        <is>
          <t>Primary Care Clinic</t>
        </is>
      </c>
      <c r="I512" t="inlineStr">
        <is>
          <t>Ambulatory</t>
        </is>
      </c>
      <c r="J512" t="inlineStr">
        <is>
          <t>Elliott, Douglas</t>
        </is>
      </c>
      <c r="K512" t="inlineStr">
        <is>
          <t>M54.50</t>
        </is>
      </c>
      <c r="L512" t="inlineStr">
        <is>
          <t>Musculoskeletal</t>
        </is>
      </c>
      <c r="M512" t="inlineStr">
        <is>
          <t>Summit Choice PPO</t>
        </is>
      </c>
      <c r="N512" t="inlineStr">
        <is>
          <t>Commercial</t>
        </is>
      </c>
      <c r="O512" s="39" t="n">
        <v>437.36</v>
      </c>
    </row>
    <row r="513">
      <c r="A513" t="inlineStr">
        <is>
          <t>ENC113617</t>
        </is>
      </c>
      <c r="B513" t="inlineStr">
        <is>
          <t>PT10062</t>
        </is>
      </c>
      <c r="C513" s="42" t="n">
        <v>45741</v>
      </c>
      <c r="D513" s="42" t="n">
        <v>45741</v>
      </c>
      <c r="E513" s="38" t="n">
        <v>0</v>
      </c>
      <c r="F513" t="inlineStr">
        <is>
          <t>Emergency</t>
        </is>
      </c>
      <c r="G513" t="inlineStr">
        <is>
          <t>Cedar Ridge Medical Center</t>
        </is>
      </c>
      <c r="H513" t="inlineStr">
        <is>
          <t>Emergency Department</t>
        </is>
      </c>
      <c r="I513" t="inlineStr">
        <is>
          <t>Emergency</t>
        </is>
      </c>
      <c r="J513" t="inlineStr">
        <is>
          <t>Andrews, Michael</t>
        </is>
      </c>
      <c r="K513" t="inlineStr">
        <is>
          <t>A08.4</t>
        </is>
      </c>
      <c r="L513" t="inlineStr">
        <is>
          <t>Infectious</t>
        </is>
      </c>
      <c r="M513" t="inlineStr">
        <is>
          <t>Medicare</t>
        </is>
      </c>
      <c r="N513" t="inlineStr">
        <is>
          <t>Government</t>
        </is>
      </c>
      <c r="O513" s="39" t="n">
        <v>790.3</v>
      </c>
    </row>
    <row r="514">
      <c r="A514" t="inlineStr">
        <is>
          <t>ENC113618</t>
        </is>
      </c>
      <c r="B514" t="inlineStr">
        <is>
          <t>PT12951</t>
        </is>
      </c>
      <c r="C514" s="42" t="n">
        <v>45741</v>
      </c>
      <c r="D514" s="42" t="n">
        <v>45741</v>
      </c>
      <c r="E514" s="38" t="n">
        <v>0</v>
      </c>
      <c r="F514" t="inlineStr">
        <is>
          <t>Outpatient</t>
        </is>
      </c>
      <c r="G514" t="inlineStr">
        <is>
          <t>Bluestone Outpatient Pavilion</t>
        </is>
      </c>
      <c r="H514" t="inlineStr">
        <is>
          <t>Primary Care Clinic</t>
        </is>
      </c>
      <c r="I514" t="inlineStr">
        <is>
          <t>Ambulatory</t>
        </is>
      </c>
      <c r="J514" t="inlineStr">
        <is>
          <t>Vazquez, Carolyn</t>
        </is>
      </c>
      <c r="K514" t="inlineStr">
        <is>
          <t>G40.909</t>
        </is>
      </c>
      <c r="L514" t="inlineStr">
        <is>
          <t>Nervous System</t>
        </is>
      </c>
      <c r="M514" t="inlineStr">
        <is>
          <t>Evergreen Mutual Insurance</t>
        </is>
      </c>
      <c r="N514" t="inlineStr">
        <is>
          <t>Commercial</t>
        </is>
      </c>
      <c r="O514" s="39" t="n">
        <v>241.67</v>
      </c>
    </row>
    <row r="515">
      <c r="A515" t="inlineStr">
        <is>
          <t>ENC113625</t>
        </is>
      </c>
      <c r="B515" t="inlineStr">
        <is>
          <t>PT12219</t>
        </is>
      </c>
      <c r="C515" s="42" t="n">
        <v>45741</v>
      </c>
      <c r="D515" s="42" t="n">
        <v>45741</v>
      </c>
      <c r="E515" s="38" t="n">
        <v>0</v>
      </c>
      <c r="F515" t="inlineStr">
        <is>
          <t>Emergency</t>
        </is>
      </c>
      <c r="G515" t="inlineStr">
        <is>
          <t>Bluestone Memorial Hospital</t>
        </is>
      </c>
      <c r="H515" t="inlineStr">
        <is>
          <t>Emergency Department</t>
        </is>
      </c>
      <c r="I515" t="inlineStr">
        <is>
          <t>Emergency</t>
        </is>
      </c>
      <c r="J515" t="inlineStr">
        <is>
          <t>Myers, Doris</t>
        </is>
      </c>
      <c r="K515" t="inlineStr">
        <is>
          <t>U07.1</t>
        </is>
      </c>
      <c r="L515" t="inlineStr">
        <is>
          <t>Respiratory</t>
        </is>
      </c>
      <c r="M515" t="inlineStr">
        <is>
          <t>Evergreen Mutual Insurance</t>
        </is>
      </c>
      <c r="N515" t="inlineStr">
        <is>
          <t>Commercial</t>
        </is>
      </c>
      <c r="O515" s="39" t="n">
        <v>3382.67</v>
      </c>
    </row>
    <row r="516">
      <c r="A516" t="inlineStr">
        <is>
          <t>ENC113637</t>
        </is>
      </c>
      <c r="B516" t="inlineStr">
        <is>
          <t>PT12359</t>
        </is>
      </c>
      <c r="C516" s="42" t="n">
        <v>45742</v>
      </c>
      <c r="D516" s="42" t="n">
        <v>45742</v>
      </c>
      <c r="E516" s="38" t="n">
        <v>0</v>
      </c>
      <c r="F516" t="inlineStr">
        <is>
          <t>Outpatient</t>
        </is>
      </c>
      <c r="G516" t="inlineStr">
        <is>
          <t>Bluestone Outpatient Pavilion</t>
        </is>
      </c>
      <c r="H516" t="inlineStr">
        <is>
          <t>Infusion &amp; Oncology Clinic</t>
        </is>
      </c>
      <c r="I516" t="inlineStr">
        <is>
          <t>Oncology</t>
        </is>
      </c>
      <c r="J516" t="inlineStr">
        <is>
          <t>Long, Fatima</t>
        </is>
      </c>
      <c r="K516" t="inlineStr">
        <is>
          <t>Z51.11</t>
        </is>
      </c>
      <c r="L516" t="inlineStr">
        <is>
          <t>Factors Influencing Health</t>
        </is>
      </c>
      <c r="M516" t="inlineStr">
        <is>
          <t>Medicare</t>
        </is>
      </c>
      <c r="N516" t="inlineStr">
        <is>
          <t>Government</t>
        </is>
      </c>
      <c r="O516" s="39" t="n">
        <v>7540.3</v>
      </c>
    </row>
    <row r="517">
      <c r="A517" t="inlineStr">
        <is>
          <t>ENC113638</t>
        </is>
      </c>
      <c r="B517" t="inlineStr">
        <is>
          <t>PT11352</t>
        </is>
      </c>
      <c r="C517" s="42" t="n">
        <v>45742</v>
      </c>
      <c r="D517" s="42" t="n">
        <v>45742</v>
      </c>
      <c r="E517" s="38" t="n">
        <v>0</v>
      </c>
      <c r="F517" t="inlineStr">
        <is>
          <t>Outpatient</t>
        </is>
      </c>
      <c r="G517" t="inlineStr">
        <is>
          <t>Bluestone Outpatient Pavilion</t>
        </is>
      </c>
      <c r="H517" t="inlineStr">
        <is>
          <t>Endocrinology &amp; Diabetes Clinic</t>
        </is>
      </c>
      <c r="I517" t="inlineStr">
        <is>
          <t>Ambulatory</t>
        </is>
      </c>
      <c r="J517" t="inlineStr">
        <is>
          <t>Rivera, Scott</t>
        </is>
      </c>
      <c r="K517" t="inlineStr">
        <is>
          <t>E11.65</t>
        </is>
      </c>
      <c r="L517" t="inlineStr">
        <is>
          <t>Endocrine</t>
        </is>
      </c>
      <c r="M517" t="inlineStr">
        <is>
          <t>Evergreen Mutual Insurance</t>
        </is>
      </c>
      <c r="N517" t="inlineStr">
        <is>
          <t>Commercial</t>
        </is>
      </c>
      <c r="O517" s="39" t="n">
        <v>406.37</v>
      </c>
    </row>
    <row r="518">
      <c r="A518" t="inlineStr">
        <is>
          <t>ENC113647</t>
        </is>
      </c>
      <c r="B518" t="inlineStr">
        <is>
          <t>PT10217</t>
        </is>
      </c>
      <c r="C518" s="42" t="n">
        <v>45742</v>
      </c>
      <c r="D518" s="42" t="n">
        <v>45742</v>
      </c>
      <c r="E518" s="38" t="n">
        <v>0</v>
      </c>
      <c r="F518" t="inlineStr">
        <is>
          <t>Outpatient</t>
        </is>
      </c>
      <c r="G518" t="inlineStr">
        <is>
          <t>Bluestone Outpatient Pavilion</t>
        </is>
      </c>
      <c r="H518" t="inlineStr">
        <is>
          <t>Endocrinology &amp; Diabetes Clinic</t>
        </is>
      </c>
      <c r="I518" t="inlineStr">
        <is>
          <t>Ambulatory</t>
        </is>
      </c>
      <c r="J518" t="inlineStr">
        <is>
          <t>Woods, Larry</t>
        </is>
      </c>
      <c r="K518" t="inlineStr">
        <is>
          <t>E11.9</t>
        </is>
      </c>
      <c r="L518" t="inlineStr">
        <is>
          <t>Endocrine</t>
        </is>
      </c>
      <c r="M518" t="inlineStr">
        <is>
          <t>Medicare</t>
        </is>
      </c>
      <c r="N518" t="inlineStr">
        <is>
          <t>Government</t>
        </is>
      </c>
      <c r="O518" s="39" t="n">
        <v>415.08</v>
      </c>
    </row>
    <row r="519">
      <c r="A519" t="inlineStr">
        <is>
          <t>ENC113646</t>
        </is>
      </c>
      <c r="B519" t="inlineStr">
        <is>
          <t>PT13931</t>
        </is>
      </c>
      <c r="C519" s="42" t="n">
        <v>45742</v>
      </c>
      <c r="D519" s="42" t="n">
        <v>45745</v>
      </c>
      <c r="E519" s="38" t="n">
        <v>3</v>
      </c>
      <c r="F519" t="inlineStr">
        <is>
          <t>Inpatient</t>
        </is>
      </c>
      <c r="G519" t="inlineStr">
        <is>
          <t>Bluestone Memorial Hospital</t>
        </is>
      </c>
      <c r="H519" t="inlineStr">
        <is>
          <t>Medical-Surgical 4 West</t>
        </is>
      </c>
      <c r="I519" t="inlineStr">
        <is>
          <t>Medicine</t>
        </is>
      </c>
      <c r="J519" t="inlineStr">
        <is>
          <t>White, Kathleen</t>
        </is>
      </c>
      <c r="K519" t="inlineStr">
        <is>
          <t>K56.609</t>
        </is>
      </c>
      <c r="L519" t="inlineStr">
        <is>
          <t>Digestive</t>
        </is>
      </c>
      <c r="M519" t="inlineStr">
        <is>
          <t>Summit Choice PPO</t>
        </is>
      </c>
      <c r="N519" t="inlineStr">
        <is>
          <t>Commercial</t>
        </is>
      </c>
      <c r="O519" s="39" t="n">
        <v>26532.61</v>
      </c>
      <c r="P519" t="inlineStr">
        <is>
          <t>N</t>
        </is>
      </c>
    </row>
    <row r="520">
      <c r="A520" t="inlineStr">
        <is>
          <t>ENC113658</t>
        </is>
      </c>
      <c r="B520" t="inlineStr">
        <is>
          <t>PT10764</t>
        </is>
      </c>
      <c r="C520" s="42" t="n">
        <v>45742</v>
      </c>
      <c r="D520" s="42" t="n">
        <v>45742</v>
      </c>
      <c r="E520" s="38" t="n">
        <v>0</v>
      </c>
      <c r="F520" t="inlineStr">
        <is>
          <t>Emergency</t>
        </is>
      </c>
      <c r="G520" t="inlineStr">
        <is>
          <t>Bluestone Memorial Hospital</t>
        </is>
      </c>
      <c r="H520" t="inlineStr">
        <is>
          <t>Emergency Department</t>
        </is>
      </c>
      <c r="I520" t="inlineStr">
        <is>
          <t>Emergency</t>
        </is>
      </c>
      <c r="J520" t="inlineStr">
        <is>
          <t>Kowalski, James</t>
        </is>
      </c>
      <c r="K520" t="inlineStr">
        <is>
          <t>I10</t>
        </is>
      </c>
      <c r="L520" t="inlineStr">
        <is>
          <t>Circulatory</t>
        </is>
      </c>
      <c r="M520" t="inlineStr">
        <is>
          <t>Summit Choice PPO</t>
        </is>
      </c>
      <c r="N520" t="inlineStr">
        <is>
          <t>Commercial</t>
        </is>
      </c>
      <c r="O520" s="39" t="n">
        <v>1173.36</v>
      </c>
    </row>
    <row r="521">
      <c r="A521" t="inlineStr">
        <is>
          <t>ENC113665</t>
        </is>
      </c>
      <c r="B521" t="inlineStr">
        <is>
          <t>PT11210</t>
        </is>
      </c>
      <c r="C521" s="42" t="n">
        <v>45742</v>
      </c>
      <c r="D521" s="42" t="n">
        <v>45742</v>
      </c>
      <c r="E521" s="38" t="n">
        <v>0</v>
      </c>
      <c r="F521" t="inlineStr">
        <is>
          <t>Emergency</t>
        </is>
      </c>
      <c r="G521" t="inlineStr">
        <is>
          <t>Bluestone Memorial Hospital</t>
        </is>
      </c>
      <c r="H521" t="inlineStr">
        <is>
          <t>Emergency Department</t>
        </is>
      </c>
      <c r="I521" t="inlineStr">
        <is>
          <t>Emergency</t>
        </is>
      </c>
      <c r="J521" t="inlineStr">
        <is>
          <t>Foster, Patrick</t>
        </is>
      </c>
      <c r="K521" t="inlineStr">
        <is>
          <t>J06.9</t>
        </is>
      </c>
      <c r="L521" t="inlineStr">
        <is>
          <t>Respiratory</t>
        </is>
      </c>
      <c r="M521" t="inlineStr">
        <is>
          <t>State Medicaid</t>
        </is>
      </c>
      <c r="N521" t="inlineStr">
        <is>
          <t>Government</t>
        </is>
      </c>
      <c r="O521" s="39" t="n">
        <v>2155.22</v>
      </c>
    </row>
    <row r="522">
      <c r="A522" t="inlineStr">
        <is>
          <t>ENC113671</t>
        </is>
      </c>
      <c r="B522" t="inlineStr">
        <is>
          <t>PT13810</t>
        </is>
      </c>
      <c r="C522" s="42" t="n">
        <v>45743</v>
      </c>
      <c r="D522" s="42" t="n">
        <v>45746</v>
      </c>
      <c r="E522" s="38" t="n">
        <v>3</v>
      </c>
      <c r="F522" t="inlineStr">
        <is>
          <t>Inpatient</t>
        </is>
      </c>
      <c r="G522" t="inlineStr">
        <is>
          <t>Bluestone Memorial Hospital</t>
        </is>
      </c>
      <c r="H522" t="inlineStr">
        <is>
          <t>Labor &amp; Delivery</t>
        </is>
      </c>
      <c r="I522" t="inlineStr">
        <is>
          <t>Women &amp; Children</t>
        </is>
      </c>
      <c r="J522" t="inlineStr">
        <is>
          <t>Bradley, Nicole</t>
        </is>
      </c>
      <c r="K522" t="inlineStr">
        <is>
          <t>O82</t>
        </is>
      </c>
      <c r="L522" t="inlineStr">
        <is>
          <t>Pregnancy</t>
        </is>
      </c>
      <c r="M522" t="inlineStr">
        <is>
          <t>Keystone Health Partners</t>
        </is>
      </c>
      <c r="N522" t="inlineStr">
        <is>
          <t>Commercial</t>
        </is>
      </c>
      <c r="O522" s="39" t="n">
        <v>32611.75</v>
      </c>
      <c r="P522" t="inlineStr">
        <is>
          <t>Y</t>
        </is>
      </c>
    </row>
    <row r="523">
      <c r="A523" t="inlineStr">
        <is>
          <t>ENC113672</t>
        </is>
      </c>
      <c r="B523" t="inlineStr">
        <is>
          <t>PT10032</t>
        </is>
      </c>
      <c r="C523" s="42" t="n">
        <v>45743</v>
      </c>
      <c r="D523" s="42" t="n">
        <v>45743</v>
      </c>
      <c r="E523" s="38" t="n">
        <v>0</v>
      </c>
      <c r="F523" t="inlineStr">
        <is>
          <t>Emergency</t>
        </is>
      </c>
      <c r="G523" t="inlineStr">
        <is>
          <t>Bluestone Memorial Hospital</t>
        </is>
      </c>
      <c r="H523" t="inlineStr">
        <is>
          <t>Emergency Department</t>
        </is>
      </c>
      <c r="I523" t="inlineStr">
        <is>
          <t>Emergency</t>
        </is>
      </c>
      <c r="J523" t="inlineStr">
        <is>
          <t>Sullivan, Jacob</t>
        </is>
      </c>
      <c r="K523" t="inlineStr">
        <is>
          <t>F41.9</t>
        </is>
      </c>
      <c r="L523" t="inlineStr">
        <is>
          <t>Mental &amp; Behavioral</t>
        </is>
      </c>
      <c r="M523" t="inlineStr">
        <is>
          <t>State Medicaid</t>
        </is>
      </c>
      <c r="N523" t="inlineStr">
        <is>
          <t>Government</t>
        </is>
      </c>
      <c r="O523" s="39" t="n">
        <v>875.22</v>
      </c>
    </row>
    <row r="524">
      <c r="A524" t="inlineStr">
        <is>
          <t>ENC113673</t>
        </is>
      </c>
      <c r="B524" t="inlineStr">
        <is>
          <t>PT10667</t>
        </is>
      </c>
      <c r="C524" s="42" t="n">
        <v>45743</v>
      </c>
      <c r="D524" s="42" t="n">
        <v>45747</v>
      </c>
      <c r="E524" s="38" t="n">
        <v>4</v>
      </c>
      <c r="F524" t="inlineStr">
        <is>
          <t>Inpatient</t>
        </is>
      </c>
      <c r="G524" t="inlineStr">
        <is>
          <t>Cedar Ridge Medical Center</t>
        </is>
      </c>
      <c r="H524" t="inlineStr">
        <is>
          <t>Orthopedics</t>
        </is>
      </c>
      <c r="I524" t="inlineStr">
        <is>
          <t>Orthopedics</t>
        </is>
      </c>
      <c r="J524" t="inlineStr">
        <is>
          <t>Yilmaz, Brittany</t>
        </is>
      </c>
      <c r="K524" t="inlineStr">
        <is>
          <t>M16.11</t>
        </is>
      </c>
      <c r="L524" t="inlineStr">
        <is>
          <t>Musculoskeletal</t>
        </is>
      </c>
      <c r="M524" t="inlineStr">
        <is>
          <t>State Medicaid</t>
        </is>
      </c>
      <c r="N524" t="inlineStr">
        <is>
          <t>Government</t>
        </is>
      </c>
      <c r="O524" s="39" t="n">
        <v>66562.14999999999</v>
      </c>
      <c r="P524" t="inlineStr">
        <is>
          <t>Y</t>
        </is>
      </c>
    </row>
    <row r="525">
      <c r="A525" t="inlineStr">
        <is>
          <t>ENC113684</t>
        </is>
      </c>
      <c r="B525" t="inlineStr">
        <is>
          <t>PT12734</t>
        </is>
      </c>
      <c r="C525" s="42" t="n">
        <v>45743</v>
      </c>
      <c r="D525" s="42" t="n">
        <v>45743</v>
      </c>
      <c r="E525" s="38" t="n">
        <v>0</v>
      </c>
      <c r="F525" t="inlineStr">
        <is>
          <t>Outpatient</t>
        </is>
      </c>
      <c r="G525" t="inlineStr">
        <is>
          <t>Bluestone Outpatient Pavilion</t>
        </is>
      </c>
      <c r="H525" t="inlineStr">
        <is>
          <t>Primary Care Clinic</t>
        </is>
      </c>
      <c r="I525" t="inlineStr">
        <is>
          <t>Ambulatory</t>
        </is>
      </c>
      <c r="J525" t="inlineStr">
        <is>
          <t>Yilmaz, Richard</t>
        </is>
      </c>
      <c r="K525" t="inlineStr">
        <is>
          <t>J06.9</t>
        </is>
      </c>
      <c r="L525" t="inlineStr">
        <is>
          <t>Respiratory</t>
        </is>
      </c>
      <c r="M525" t="inlineStr">
        <is>
          <t>Silverline Medicare Advantage</t>
        </is>
      </c>
      <c r="N525" t="inlineStr">
        <is>
          <t>Medicare Advantage</t>
        </is>
      </c>
      <c r="O525" s="39" t="n">
        <v>396.85</v>
      </c>
    </row>
    <row r="526">
      <c r="A526" t="inlineStr">
        <is>
          <t>ENC113688</t>
        </is>
      </c>
      <c r="B526" t="inlineStr">
        <is>
          <t>PT10957</t>
        </is>
      </c>
      <c r="C526" s="42" t="n">
        <v>45743</v>
      </c>
      <c r="D526" s="42" t="n">
        <v>45743</v>
      </c>
      <c r="E526" s="38" t="n">
        <v>0</v>
      </c>
      <c r="F526" t="inlineStr">
        <is>
          <t>Outpatient</t>
        </is>
      </c>
      <c r="G526" t="inlineStr">
        <is>
          <t>Bluestone Outpatient Pavilion</t>
        </is>
      </c>
      <c r="H526" t="inlineStr">
        <is>
          <t>Primary Care Clinic</t>
        </is>
      </c>
      <c r="I526" t="inlineStr">
        <is>
          <t>Ambulatory</t>
        </is>
      </c>
      <c r="J526" t="inlineStr">
        <is>
          <t>Black, Kelly</t>
        </is>
      </c>
      <c r="K526" t="inlineStr">
        <is>
          <t>I10</t>
        </is>
      </c>
      <c r="L526" t="inlineStr">
        <is>
          <t>Circulatory</t>
        </is>
      </c>
      <c r="M526" t="inlineStr">
        <is>
          <t>Medicare</t>
        </is>
      </c>
      <c r="N526" t="inlineStr">
        <is>
          <t>Government</t>
        </is>
      </c>
      <c r="O526" s="39" t="n">
        <v>229.07</v>
      </c>
    </row>
    <row r="527">
      <c r="A527" t="inlineStr">
        <is>
          <t>ENC113693</t>
        </is>
      </c>
      <c r="B527" t="inlineStr">
        <is>
          <t>PT13154</t>
        </is>
      </c>
      <c r="C527" s="42" t="n">
        <v>45743</v>
      </c>
      <c r="D527" s="42" t="n">
        <v>45743</v>
      </c>
      <c r="E527" s="38" t="n">
        <v>0</v>
      </c>
      <c r="F527" t="inlineStr">
        <is>
          <t>Outpatient</t>
        </is>
      </c>
      <c r="G527" t="inlineStr">
        <is>
          <t>Bluestone Outpatient Pavilion</t>
        </is>
      </c>
      <c r="H527" t="inlineStr">
        <is>
          <t>Pediatric Clinic</t>
        </is>
      </c>
      <c r="I527" t="inlineStr">
        <is>
          <t>Women &amp; Children</t>
        </is>
      </c>
      <c r="J527" t="inlineStr">
        <is>
          <t>Brown, Stephanie</t>
        </is>
      </c>
      <c r="K527" t="inlineStr">
        <is>
          <t>Z00.129</t>
        </is>
      </c>
      <c r="L527" t="inlineStr">
        <is>
          <t>Factors Influencing Health</t>
        </is>
      </c>
      <c r="M527" t="inlineStr">
        <is>
          <t>Evergreen Mutual Insurance</t>
        </is>
      </c>
      <c r="N527" t="inlineStr">
        <is>
          <t>Commercial</t>
        </is>
      </c>
      <c r="O527" s="39" t="n">
        <v>238.73</v>
      </c>
    </row>
    <row r="528">
      <c r="A528" t="inlineStr">
        <is>
          <t>ENC113696</t>
        </is>
      </c>
      <c r="B528" t="inlineStr">
        <is>
          <t>PT13291</t>
        </is>
      </c>
      <c r="C528" s="42" t="n">
        <v>45743</v>
      </c>
      <c r="D528" s="42" t="n">
        <v>45743</v>
      </c>
      <c r="E528" s="38" t="n">
        <v>0</v>
      </c>
      <c r="F528" t="inlineStr">
        <is>
          <t>Outpatient</t>
        </is>
      </c>
      <c r="G528" t="inlineStr">
        <is>
          <t>Bluestone Outpatient Pavilion</t>
        </is>
      </c>
      <c r="H528" t="inlineStr">
        <is>
          <t>Pediatric Clinic</t>
        </is>
      </c>
      <c r="I528" t="inlineStr">
        <is>
          <t>Women &amp; Children</t>
        </is>
      </c>
      <c r="J528" t="inlineStr">
        <is>
          <t>Brown, Stephanie</t>
        </is>
      </c>
      <c r="K528" t="inlineStr">
        <is>
          <t>H66.90</t>
        </is>
      </c>
      <c r="L528" t="inlineStr">
        <is>
          <t>Ear</t>
        </is>
      </c>
      <c r="M528" t="inlineStr">
        <is>
          <t>State Medicaid</t>
        </is>
      </c>
      <c r="N528" t="inlineStr">
        <is>
          <t>Government</t>
        </is>
      </c>
      <c r="O528" s="39" t="n">
        <v>453.48</v>
      </c>
    </row>
    <row r="529">
      <c r="A529" t="inlineStr">
        <is>
          <t>ENC113702</t>
        </is>
      </c>
      <c r="B529" t="inlineStr">
        <is>
          <t>PT11242</t>
        </is>
      </c>
      <c r="C529" s="42" t="n">
        <v>45743</v>
      </c>
      <c r="D529" s="42" t="n">
        <v>45745</v>
      </c>
      <c r="E529" s="38" t="n">
        <v>2</v>
      </c>
      <c r="F529" t="inlineStr">
        <is>
          <t>Observation</t>
        </is>
      </c>
      <c r="G529" t="inlineStr">
        <is>
          <t>Cedar Ridge Medical Center</t>
        </is>
      </c>
      <c r="H529" t="inlineStr">
        <is>
          <t>Medical-Surgical</t>
        </is>
      </c>
      <c r="I529" t="inlineStr">
        <is>
          <t>Medicine</t>
        </is>
      </c>
      <c r="J529" t="inlineStr">
        <is>
          <t>Vazquez, Leila</t>
        </is>
      </c>
      <c r="K529" t="inlineStr">
        <is>
          <t>I21.4</t>
        </is>
      </c>
      <c r="L529" t="inlineStr">
        <is>
          <t>Circulatory</t>
        </is>
      </c>
      <c r="M529" t="inlineStr">
        <is>
          <t>Keystone Health Partners</t>
        </is>
      </c>
      <c r="N529" t="inlineStr">
        <is>
          <t>Commercial</t>
        </is>
      </c>
      <c r="O529" s="39" t="n">
        <v>8298.379999999999</v>
      </c>
    </row>
    <row r="530">
      <c r="A530" t="inlineStr">
        <is>
          <t>ENC113709</t>
        </is>
      </c>
      <c r="B530" t="inlineStr">
        <is>
          <t>PT10180</t>
        </is>
      </c>
      <c r="C530" s="42" t="n">
        <v>45744</v>
      </c>
      <c r="D530" s="42" t="n">
        <v>45744</v>
      </c>
      <c r="E530" s="38" t="n">
        <v>0</v>
      </c>
      <c r="F530" t="inlineStr">
        <is>
          <t>Outpatient</t>
        </is>
      </c>
      <c r="G530" t="inlineStr">
        <is>
          <t>Bluestone Outpatient Pavilion</t>
        </is>
      </c>
      <c r="H530" t="inlineStr">
        <is>
          <t>Primary Care Clinic</t>
        </is>
      </c>
      <c r="I530" t="inlineStr">
        <is>
          <t>Ambulatory</t>
        </is>
      </c>
      <c r="J530" t="inlineStr">
        <is>
          <t>Petrov, Doris</t>
        </is>
      </c>
      <c r="K530" t="inlineStr">
        <is>
          <t>Z00.00</t>
        </is>
      </c>
      <c r="L530" t="inlineStr">
        <is>
          <t>Factors Influencing Health</t>
        </is>
      </c>
      <c r="M530" t="inlineStr">
        <is>
          <t>Silverline Medicare Advantage</t>
        </is>
      </c>
      <c r="N530" t="inlineStr">
        <is>
          <t>Medicare Advantage</t>
        </is>
      </c>
      <c r="O530" s="39" t="n">
        <v>435.39</v>
      </c>
    </row>
    <row r="531">
      <c r="A531" t="inlineStr">
        <is>
          <t>ENC113720</t>
        </is>
      </c>
      <c r="B531" t="inlineStr">
        <is>
          <t>PT13425</t>
        </is>
      </c>
      <c r="C531" s="42" t="n">
        <v>45744</v>
      </c>
      <c r="D531" s="42" t="n">
        <v>45744</v>
      </c>
      <c r="E531" s="38" t="n">
        <v>0</v>
      </c>
      <c r="F531" t="inlineStr">
        <is>
          <t>Outpatient</t>
        </is>
      </c>
      <c r="G531" t="inlineStr">
        <is>
          <t>Bluestone Outpatient Pavilion</t>
        </is>
      </c>
      <c r="H531" t="inlineStr">
        <is>
          <t>Orthopedic Clinic</t>
        </is>
      </c>
      <c r="I531" t="inlineStr">
        <is>
          <t>Orthopedics</t>
        </is>
      </c>
      <c r="J531" t="inlineStr">
        <is>
          <t>Hernandez, Kyle</t>
        </is>
      </c>
      <c r="K531" t="inlineStr">
        <is>
          <t>M16.11</t>
        </is>
      </c>
      <c r="L531" t="inlineStr">
        <is>
          <t>Musculoskeletal</t>
        </is>
      </c>
      <c r="M531" t="inlineStr">
        <is>
          <t>State Medicaid</t>
        </is>
      </c>
      <c r="N531" t="inlineStr">
        <is>
          <t>Government</t>
        </is>
      </c>
      <c r="O531" s="39" t="n">
        <v>148.9</v>
      </c>
    </row>
    <row r="532">
      <c r="A532" t="inlineStr">
        <is>
          <t>ENC113729</t>
        </is>
      </c>
      <c r="B532" t="inlineStr">
        <is>
          <t>PT13150</t>
        </is>
      </c>
      <c r="C532" s="42" t="n">
        <v>45744</v>
      </c>
      <c r="D532" s="42" t="n">
        <v>45744</v>
      </c>
      <c r="E532" s="38" t="n">
        <v>0</v>
      </c>
      <c r="F532" t="inlineStr">
        <is>
          <t>Outpatient</t>
        </is>
      </c>
      <c r="G532" t="inlineStr">
        <is>
          <t>Bluestone Outpatient Pavilion</t>
        </is>
      </c>
      <c r="H532" t="inlineStr">
        <is>
          <t>Pediatric Clinic</t>
        </is>
      </c>
      <c r="I532" t="inlineStr">
        <is>
          <t>Women &amp; Children</t>
        </is>
      </c>
      <c r="J532" t="inlineStr">
        <is>
          <t>Brown, Stephanie</t>
        </is>
      </c>
      <c r="K532" t="inlineStr">
        <is>
          <t>Z00.129</t>
        </is>
      </c>
      <c r="L532" t="inlineStr">
        <is>
          <t>Factors Influencing Health</t>
        </is>
      </c>
      <c r="M532" t="inlineStr">
        <is>
          <t>State Medicaid</t>
        </is>
      </c>
      <c r="N532" t="inlineStr">
        <is>
          <t>Government</t>
        </is>
      </c>
      <c r="O532" s="39" t="n">
        <v>337.59</v>
      </c>
    </row>
    <row r="533">
      <c r="A533" t="inlineStr">
        <is>
          <t>ENC113731</t>
        </is>
      </c>
      <c r="B533" t="inlineStr">
        <is>
          <t>PT13060</t>
        </is>
      </c>
      <c r="C533" s="42" t="n">
        <v>45744</v>
      </c>
      <c r="D533" s="42" t="n">
        <v>45753</v>
      </c>
      <c r="E533" s="38" t="n">
        <v>9</v>
      </c>
      <c r="F533" t="inlineStr">
        <is>
          <t>Inpatient</t>
        </is>
      </c>
      <c r="G533" t="inlineStr">
        <is>
          <t>Bluestone Memorial Hospital</t>
        </is>
      </c>
      <c r="H533" t="inlineStr">
        <is>
          <t>Behavioral Health</t>
        </is>
      </c>
      <c r="I533" t="inlineStr">
        <is>
          <t>Behavioral Health</t>
        </is>
      </c>
      <c r="J533" t="inlineStr">
        <is>
          <t>Lindqvist, Joe</t>
        </is>
      </c>
      <c r="K533" t="inlineStr">
        <is>
          <t>F32.9</t>
        </is>
      </c>
      <c r="L533" t="inlineStr">
        <is>
          <t>Mental &amp; Behavioral</t>
        </is>
      </c>
      <c r="M533" t="inlineStr">
        <is>
          <t>State Medicaid</t>
        </is>
      </c>
      <c r="N533" t="inlineStr">
        <is>
          <t>Government</t>
        </is>
      </c>
      <c r="O533" s="39" t="n">
        <v>32019.2</v>
      </c>
      <c r="P533" t="inlineStr">
        <is>
          <t>N</t>
        </is>
      </c>
    </row>
    <row r="534">
      <c r="A534" t="inlineStr">
        <is>
          <t>ENC113735</t>
        </is>
      </c>
      <c r="B534" t="inlineStr">
        <is>
          <t>PT12982</t>
        </is>
      </c>
      <c r="C534" s="42" t="n">
        <v>45744</v>
      </c>
      <c r="D534" s="42" t="n">
        <v>45744</v>
      </c>
      <c r="E534" s="38" t="n">
        <v>0</v>
      </c>
      <c r="F534" t="inlineStr">
        <is>
          <t>Outpatient</t>
        </is>
      </c>
      <c r="G534" t="inlineStr">
        <is>
          <t>Bluestone Outpatient Pavilion</t>
        </is>
      </c>
      <c r="H534" t="inlineStr">
        <is>
          <t>Primary Care Clinic</t>
        </is>
      </c>
      <c r="I534" t="inlineStr">
        <is>
          <t>Ambulatory</t>
        </is>
      </c>
      <c r="J534" t="inlineStr">
        <is>
          <t>Black, Nancy</t>
        </is>
      </c>
      <c r="K534" t="inlineStr">
        <is>
          <t>Z00.00</t>
        </is>
      </c>
      <c r="L534" t="inlineStr">
        <is>
          <t>Factors Influencing Health</t>
        </is>
      </c>
      <c r="M534" t="inlineStr">
        <is>
          <t>Silverline Medicare Advantage</t>
        </is>
      </c>
      <c r="N534" t="inlineStr">
        <is>
          <t>Medicare Advantage</t>
        </is>
      </c>
      <c r="O534" s="39" t="n">
        <v>328.87</v>
      </c>
    </row>
    <row r="535">
      <c r="A535" t="inlineStr">
        <is>
          <t>ENC113736</t>
        </is>
      </c>
      <c r="B535" t="inlineStr">
        <is>
          <t>PT10397</t>
        </is>
      </c>
      <c r="C535" s="42" t="n">
        <v>45744</v>
      </c>
      <c r="D535" s="42" t="n">
        <v>45744</v>
      </c>
      <c r="E535" s="38" t="n">
        <v>0</v>
      </c>
      <c r="F535" t="inlineStr">
        <is>
          <t>Outpatient</t>
        </is>
      </c>
      <c r="G535" t="inlineStr">
        <is>
          <t>Bluestone Outpatient Pavilion</t>
        </is>
      </c>
      <c r="H535" t="inlineStr">
        <is>
          <t>Primary Care Clinic</t>
        </is>
      </c>
      <c r="I535" t="inlineStr">
        <is>
          <t>Ambulatory</t>
        </is>
      </c>
      <c r="J535" t="inlineStr">
        <is>
          <t>Torres, Rebecca</t>
        </is>
      </c>
      <c r="K535" t="inlineStr">
        <is>
          <t>Z23</t>
        </is>
      </c>
      <c r="L535" t="inlineStr">
        <is>
          <t>Factors Influencing Health</t>
        </is>
      </c>
      <c r="M535" t="inlineStr">
        <is>
          <t>Evergreen Mutual Insurance</t>
        </is>
      </c>
      <c r="N535" t="inlineStr">
        <is>
          <t>Commercial</t>
        </is>
      </c>
      <c r="O535" s="39" t="n">
        <v>128.34</v>
      </c>
    </row>
    <row r="536">
      <c r="A536" t="inlineStr">
        <is>
          <t>ENC113737</t>
        </is>
      </c>
      <c r="B536" t="inlineStr">
        <is>
          <t>PT10817</t>
        </is>
      </c>
      <c r="C536" s="42" t="n">
        <v>45744</v>
      </c>
      <c r="D536" s="42" t="n">
        <v>45744</v>
      </c>
      <c r="E536" s="38" t="n">
        <v>0</v>
      </c>
      <c r="F536" t="inlineStr">
        <is>
          <t>Emergency</t>
        </is>
      </c>
      <c r="G536" t="inlineStr">
        <is>
          <t>Ashby Falls Community Hospital</t>
        </is>
      </c>
      <c r="H536" t="inlineStr">
        <is>
          <t>Emergency Department</t>
        </is>
      </c>
      <c r="I536" t="inlineStr">
        <is>
          <t>Emergency</t>
        </is>
      </c>
      <c r="J536" t="inlineStr">
        <is>
          <t>Richardson, Mei</t>
        </is>
      </c>
      <c r="K536" t="inlineStr">
        <is>
          <t>G43.909</t>
        </is>
      </c>
      <c r="L536" t="inlineStr">
        <is>
          <t>Nervous System</t>
        </is>
      </c>
      <c r="M536" t="inlineStr">
        <is>
          <t>State Medicaid</t>
        </is>
      </c>
      <c r="N536" t="inlineStr">
        <is>
          <t>Government</t>
        </is>
      </c>
      <c r="O536" s="39" t="n">
        <v>1098.93</v>
      </c>
    </row>
    <row r="537">
      <c r="A537" t="inlineStr">
        <is>
          <t>ENC113741</t>
        </is>
      </c>
      <c r="B537" t="inlineStr">
        <is>
          <t>PT11941</t>
        </is>
      </c>
      <c r="C537" s="42" t="n">
        <v>45744</v>
      </c>
      <c r="D537" s="42" t="n">
        <v>45745</v>
      </c>
      <c r="E537" s="38" t="n">
        <v>1</v>
      </c>
      <c r="F537" t="inlineStr">
        <is>
          <t>Observation</t>
        </is>
      </c>
      <c r="G537" t="inlineStr">
        <is>
          <t>Cedar Ridge Medical Center</t>
        </is>
      </c>
      <c r="H537" t="inlineStr">
        <is>
          <t>Medical-Surgical</t>
        </is>
      </c>
      <c r="I537" t="inlineStr">
        <is>
          <t>Medicine</t>
        </is>
      </c>
      <c r="J537" t="inlineStr">
        <is>
          <t>Hall, Doris</t>
        </is>
      </c>
      <c r="K537" t="inlineStr">
        <is>
          <t>I50.9</t>
        </is>
      </c>
      <c r="L537" t="inlineStr">
        <is>
          <t>Circulatory</t>
        </is>
      </c>
      <c r="M537" t="inlineStr">
        <is>
          <t>Medicare</t>
        </is>
      </c>
      <c r="N537" t="inlineStr">
        <is>
          <t>Government</t>
        </is>
      </c>
      <c r="O537" s="39" t="n">
        <v>5897.08</v>
      </c>
    </row>
    <row r="538">
      <c r="A538" t="inlineStr">
        <is>
          <t>ENC113745</t>
        </is>
      </c>
      <c r="B538" t="inlineStr">
        <is>
          <t>PT10406</t>
        </is>
      </c>
      <c r="C538" s="42" t="n">
        <v>45744</v>
      </c>
      <c r="D538" s="42" t="n">
        <v>45748</v>
      </c>
      <c r="E538" s="38" t="n">
        <v>4</v>
      </c>
      <c r="F538" t="inlineStr">
        <is>
          <t>Inpatient</t>
        </is>
      </c>
      <c r="G538" t="inlineStr">
        <is>
          <t>Bluestone Memorial Hospital</t>
        </is>
      </c>
      <c r="H538" t="inlineStr">
        <is>
          <t>Intensive Care Unit</t>
        </is>
      </c>
      <c r="I538" t="inlineStr">
        <is>
          <t>Critical Care</t>
        </is>
      </c>
      <c r="J538" t="inlineStr">
        <is>
          <t>Diaz, Adam</t>
        </is>
      </c>
      <c r="K538" t="inlineStr">
        <is>
          <t>A41.9</t>
        </is>
      </c>
      <c r="L538" t="inlineStr">
        <is>
          <t>Infectious</t>
        </is>
      </c>
      <c r="M538" t="inlineStr">
        <is>
          <t>Evergreen Mutual Insurance</t>
        </is>
      </c>
      <c r="N538" t="inlineStr">
        <is>
          <t>Commercial</t>
        </is>
      </c>
      <c r="O538" s="39" t="n">
        <v>36788.22</v>
      </c>
      <c r="P538" t="inlineStr">
        <is>
          <t>N</t>
        </is>
      </c>
    </row>
    <row r="539">
      <c r="A539" t="inlineStr">
        <is>
          <t>ENC113743</t>
        </is>
      </c>
      <c r="B539" t="inlineStr">
        <is>
          <t>PT12111</t>
        </is>
      </c>
      <c r="C539" s="42" t="n">
        <v>45744</v>
      </c>
      <c r="D539" s="42" t="n">
        <v>45745</v>
      </c>
      <c r="E539" s="38" t="n">
        <v>1</v>
      </c>
      <c r="F539" t="inlineStr">
        <is>
          <t>Observation</t>
        </is>
      </c>
      <c r="G539" t="inlineStr">
        <is>
          <t>Bluestone Memorial Hospital</t>
        </is>
      </c>
      <c r="H539" t="inlineStr">
        <is>
          <t>Observation Unit</t>
        </is>
      </c>
      <c r="I539" t="inlineStr">
        <is>
          <t>Medicine</t>
        </is>
      </c>
      <c r="J539" t="inlineStr">
        <is>
          <t>Cruz, Roger</t>
        </is>
      </c>
      <c r="K539" t="inlineStr">
        <is>
          <t>R55</t>
        </is>
      </c>
      <c r="L539" t="inlineStr">
        <is>
          <t>Symptoms &amp; Signs</t>
        </is>
      </c>
      <c r="M539" t="inlineStr">
        <is>
          <t>Evergreen Mutual Insurance</t>
        </is>
      </c>
      <c r="N539" t="inlineStr">
        <is>
          <t>Commercial</t>
        </is>
      </c>
      <c r="O539" s="39" t="n">
        <v>8384.190000000001</v>
      </c>
    </row>
    <row r="540">
      <c r="A540" t="inlineStr">
        <is>
          <t>ENC113749</t>
        </is>
      </c>
      <c r="B540" t="inlineStr">
        <is>
          <t>PT12662</t>
        </is>
      </c>
      <c r="C540" s="42" t="n">
        <v>45745</v>
      </c>
      <c r="D540" s="42" t="n">
        <v>45745</v>
      </c>
      <c r="E540" s="38" t="n">
        <v>0</v>
      </c>
      <c r="F540" t="inlineStr">
        <is>
          <t>Emergency</t>
        </is>
      </c>
      <c r="G540" t="inlineStr">
        <is>
          <t>Bluestone Memorial Hospital</t>
        </is>
      </c>
      <c r="H540" t="inlineStr">
        <is>
          <t>Emergency Department</t>
        </is>
      </c>
      <c r="I540" t="inlineStr">
        <is>
          <t>Emergency</t>
        </is>
      </c>
      <c r="J540" t="inlineStr">
        <is>
          <t>Elliott, Jesse</t>
        </is>
      </c>
      <c r="K540" t="inlineStr">
        <is>
          <t>R10.9</t>
        </is>
      </c>
      <c r="L540" t="inlineStr">
        <is>
          <t>Symptoms &amp; Signs</t>
        </is>
      </c>
      <c r="M540" t="inlineStr">
        <is>
          <t>Medicare</t>
        </is>
      </c>
      <c r="N540" t="inlineStr">
        <is>
          <t>Government</t>
        </is>
      </c>
      <c r="O540" s="39" t="n">
        <v>1278.01</v>
      </c>
    </row>
    <row r="541">
      <c r="A541" t="inlineStr">
        <is>
          <t>ENC113754</t>
        </is>
      </c>
      <c r="B541" t="inlineStr">
        <is>
          <t>PT10411</t>
        </is>
      </c>
      <c r="C541" s="42" t="n">
        <v>45745</v>
      </c>
      <c r="D541" s="42" t="n">
        <v>45748</v>
      </c>
      <c r="E541" s="38" t="n">
        <v>3</v>
      </c>
      <c r="F541" t="inlineStr">
        <is>
          <t>Inpatient</t>
        </is>
      </c>
      <c r="G541" t="inlineStr">
        <is>
          <t>Cedar Ridge Medical Center</t>
        </is>
      </c>
      <c r="H541" t="inlineStr">
        <is>
          <t>Medical-Surgical</t>
        </is>
      </c>
      <c r="I541" t="inlineStr">
        <is>
          <t>Medicine</t>
        </is>
      </c>
      <c r="J541" t="inlineStr">
        <is>
          <t>Hall, Doris</t>
        </is>
      </c>
      <c r="K541" t="inlineStr">
        <is>
          <t>E11.65</t>
        </is>
      </c>
      <c r="L541" t="inlineStr">
        <is>
          <t>Endocrine</t>
        </is>
      </c>
      <c r="M541" t="inlineStr">
        <is>
          <t>Medicare</t>
        </is>
      </c>
      <c r="N541" t="inlineStr">
        <is>
          <t>Government</t>
        </is>
      </c>
      <c r="O541" s="39" t="n">
        <v>17060.24</v>
      </c>
      <c r="P541" t="inlineStr">
        <is>
          <t>N</t>
        </is>
      </c>
    </row>
    <row r="542">
      <c r="A542" t="inlineStr">
        <is>
          <t>ENC113759</t>
        </is>
      </c>
      <c r="B542" t="inlineStr">
        <is>
          <t>PT11385</t>
        </is>
      </c>
      <c r="C542" s="42" t="n">
        <v>45745</v>
      </c>
      <c r="D542" s="42" t="n">
        <v>45745</v>
      </c>
      <c r="E542" s="38" t="n">
        <v>0</v>
      </c>
      <c r="F542" t="inlineStr">
        <is>
          <t>Emergency</t>
        </is>
      </c>
      <c r="G542" t="inlineStr">
        <is>
          <t>Bluestone Memorial Hospital</t>
        </is>
      </c>
      <c r="H542" t="inlineStr">
        <is>
          <t>Emergency Department</t>
        </is>
      </c>
      <c r="I542" t="inlineStr">
        <is>
          <t>Emergency</t>
        </is>
      </c>
      <c r="J542" t="inlineStr">
        <is>
          <t>Sullivan, Jacob</t>
        </is>
      </c>
      <c r="K542" t="inlineStr">
        <is>
          <t>J06.9</t>
        </is>
      </c>
      <c r="L542" t="inlineStr">
        <is>
          <t>Respiratory</t>
        </is>
      </c>
      <c r="M542" t="inlineStr">
        <is>
          <t>Self-Pay</t>
        </is>
      </c>
      <c r="N542" t="inlineStr">
        <is>
          <t>Self-Pay</t>
        </is>
      </c>
      <c r="O542" s="39" t="n">
        <v>1016.78</v>
      </c>
    </row>
    <row r="543">
      <c r="A543" t="inlineStr">
        <is>
          <t>ENC113763</t>
        </is>
      </c>
      <c r="B543" t="inlineStr">
        <is>
          <t>PT13306</t>
        </is>
      </c>
      <c r="C543" s="42" t="n">
        <v>45745</v>
      </c>
      <c r="D543" s="42" t="n">
        <v>45745</v>
      </c>
      <c r="E543" s="38" t="n">
        <v>0</v>
      </c>
      <c r="F543" t="inlineStr">
        <is>
          <t>Emergency</t>
        </is>
      </c>
      <c r="G543" t="inlineStr">
        <is>
          <t>Cedar Ridge Medical Center</t>
        </is>
      </c>
      <c r="H543" t="inlineStr">
        <is>
          <t>Emergency Department</t>
        </is>
      </c>
      <c r="I543" t="inlineStr">
        <is>
          <t>Emergency</t>
        </is>
      </c>
      <c r="J543" t="inlineStr">
        <is>
          <t>Warren, Victoria</t>
        </is>
      </c>
      <c r="K543" t="inlineStr">
        <is>
          <t>R07.9</t>
        </is>
      </c>
      <c r="L543" t="inlineStr">
        <is>
          <t>Symptoms &amp; Signs</t>
        </is>
      </c>
      <c r="M543" t="inlineStr">
        <is>
          <t>Evergreen Mutual Insurance</t>
        </is>
      </c>
      <c r="N543" t="inlineStr">
        <is>
          <t>Commercial</t>
        </is>
      </c>
      <c r="O543" s="39" t="n">
        <v>2421.55</v>
      </c>
    </row>
    <row r="544">
      <c r="A544" t="inlineStr">
        <is>
          <t>ENC113766</t>
        </is>
      </c>
      <c r="B544" t="inlineStr">
        <is>
          <t>PT12484</t>
        </is>
      </c>
      <c r="C544" s="42" t="n">
        <v>45745</v>
      </c>
      <c r="D544" s="42" t="n">
        <v>45745</v>
      </c>
      <c r="E544" s="38" t="n">
        <v>0</v>
      </c>
      <c r="F544" t="inlineStr">
        <is>
          <t>Emergency</t>
        </is>
      </c>
      <c r="G544" t="inlineStr">
        <is>
          <t>Bluestone Memorial Hospital</t>
        </is>
      </c>
      <c r="H544" t="inlineStr">
        <is>
          <t>Emergency Department</t>
        </is>
      </c>
      <c r="I544" t="inlineStr">
        <is>
          <t>Emergency</t>
        </is>
      </c>
      <c r="J544" t="inlineStr">
        <is>
          <t>Jordan, Wayne</t>
        </is>
      </c>
      <c r="K544" t="inlineStr">
        <is>
          <t>N39.0</t>
        </is>
      </c>
      <c r="L544" t="inlineStr">
        <is>
          <t>Genitourinary</t>
        </is>
      </c>
      <c r="M544" t="inlineStr">
        <is>
          <t>Medicare</t>
        </is>
      </c>
      <c r="N544" t="inlineStr">
        <is>
          <t>Government</t>
        </is>
      </c>
      <c r="O544" s="39" t="n">
        <v>2304.59</v>
      </c>
    </row>
    <row r="545">
      <c r="A545" t="inlineStr">
        <is>
          <t>ENC113773</t>
        </is>
      </c>
      <c r="B545" t="inlineStr">
        <is>
          <t>PT12007</t>
        </is>
      </c>
      <c r="C545" s="42" t="n">
        <v>45746</v>
      </c>
      <c r="D545" s="42" t="n">
        <v>45747</v>
      </c>
      <c r="E545" s="38" t="n">
        <v>1</v>
      </c>
      <c r="F545" t="inlineStr">
        <is>
          <t>Observation</t>
        </is>
      </c>
      <c r="G545" t="inlineStr">
        <is>
          <t>Bluestone Memorial Hospital</t>
        </is>
      </c>
      <c r="H545" t="inlineStr">
        <is>
          <t>Observation Unit</t>
        </is>
      </c>
      <c r="I545" t="inlineStr">
        <is>
          <t>Medicine</t>
        </is>
      </c>
      <c r="J545" t="inlineStr">
        <is>
          <t>Vasquez, Jose</t>
        </is>
      </c>
      <c r="K545" t="inlineStr">
        <is>
          <t>R07.9</t>
        </is>
      </c>
      <c r="L545" t="inlineStr">
        <is>
          <t>Symptoms &amp; Signs</t>
        </is>
      </c>
      <c r="M545" t="inlineStr">
        <is>
          <t>Silverline Medicare Advantage</t>
        </is>
      </c>
      <c r="N545" t="inlineStr">
        <is>
          <t>Medicare Advantage</t>
        </is>
      </c>
      <c r="O545" s="39" t="n">
        <v>4326.75</v>
      </c>
    </row>
    <row r="546">
      <c r="A546" t="inlineStr">
        <is>
          <t>ENC113777</t>
        </is>
      </c>
      <c r="B546" t="inlineStr">
        <is>
          <t>PT10429</t>
        </is>
      </c>
      <c r="C546" s="42" t="n">
        <v>45746</v>
      </c>
      <c r="D546" s="42" t="n">
        <v>45752</v>
      </c>
      <c r="E546" s="38" t="n">
        <v>6</v>
      </c>
      <c r="F546" t="inlineStr">
        <is>
          <t>Inpatient</t>
        </is>
      </c>
      <c r="G546" t="inlineStr">
        <is>
          <t>Ashby Falls Community Hospital</t>
        </is>
      </c>
      <c r="H546" t="inlineStr">
        <is>
          <t>Medical-Surgical</t>
        </is>
      </c>
      <c r="I546" t="inlineStr">
        <is>
          <t>Medicine</t>
        </is>
      </c>
      <c r="J546" t="inlineStr">
        <is>
          <t>Carroll, Philip</t>
        </is>
      </c>
      <c r="K546" t="inlineStr">
        <is>
          <t>J44.1</t>
        </is>
      </c>
      <c r="L546" t="inlineStr">
        <is>
          <t>Respiratory</t>
        </is>
      </c>
      <c r="M546" t="inlineStr">
        <is>
          <t>Silverline Medicare Advantage</t>
        </is>
      </c>
      <c r="N546" t="inlineStr">
        <is>
          <t>Medicare Advantage</t>
        </is>
      </c>
      <c r="O546" s="39" t="n">
        <v>28846.55</v>
      </c>
      <c r="P546" t="inlineStr">
        <is>
          <t>N</t>
        </is>
      </c>
    </row>
    <row r="547">
      <c r="A547" t="inlineStr">
        <is>
          <t>ENC113778</t>
        </is>
      </c>
      <c r="B547" t="inlineStr">
        <is>
          <t>PT13780</t>
        </is>
      </c>
      <c r="C547" s="42" t="n">
        <v>45746</v>
      </c>
      <c r="D547" s="42" t="n">
        <v>45746</v>
      </c>
      <c r="E547" s="38" t="n">
        <v>0</v>
      </c>
      <c r="F547" t="inlineStr">
        <is>
          <t>Emergency</t>
        </is>
      </c>
      <c r="G547" t="inlineStr">
        <is>
          <t>Bluestone Memorial Hospital</t>
        </is>
      </c>
      <c r="H547" t="inlineStr">
        <is>
          <t>Emergency Department</t>
        </is>
      </c>
      <c r="I547" t="inlineStr">
        <is>
          <t>Emergency</t>
        </is>
      </c>
      <c r="J547" t="inlineStr">
        <is>
          <t>Ferguson, Roy</t>
        </is>
      </c>
      <c r="K547" t="inlineStr">
        <is>
          <t>J06.9</t>
        </is>
      </c>
      <c r="L547" t="inlineStr">
        <is>
          <t>Respiratory</t>
        </is>
      </c>
      <c r="M547" t="inlineStr">
        <is>
          <t>Summit Choice PPO</t>
        </is>
      </c>
      <c r="N547" t="inlineStr">
        <is>
          <t>Commercial</t>
        </is>
      </c>
      <c r="O547" s="39" t="n">
        <v>1698.45</v>
      </c>
    </row>
    <row r="548">
      <c r="A548" t="inlineStr">
        <is>
          <t>ENC113783</t>
        </is>
      </c>
      <c r="B548" t="inlineStr">
        <is>
          <t>PT10921</t>
        </is>
      </c>
      <c r="C548" s="42" t="n">
        <v>45747</v>
      </c>
      <c r="D548" s="42" t="n">
        <v>45750</v>
      </c>
      <c r="E548" s="38" t="n">
        <v>3</v>
      </c>
      <c r="F548" t="inlineStr">
        <is>
          <t>Inpatient</t>
        </is>
      </c>
      <c r="G548" t="inlineStr">
        <is>
          <t>Bluestone Memorial Hospital</t>
        </is>
      </c>
      <c r="H548" t="inlineStr">
        <is>
          <t>Medical-Surgical 4 West</t>
        </is>
      </c>
      <c r="I548" t="inlineStr">
        <is>
          <t>Medicine</t>
        </is>
      </c>
      <c r="J548" t="inlineStr">
        <is>
          <t>Cox, Judith</t>
        </is>
      </c>
      <c r="K548" t="inlineStr">
        <is>
          <t>J18.9</t>
        </is>
      </c>
      <c r="L548" t="inlineStr">
        <is>
          <t>Respiratory</t>
        </is>
      </c>
      <c r="M548" t="inlineStr">
        <is>
          <t>Keystone Health Partners</t>
        </is>
      </c>
      <c r="N548" t="inlineStr">
        <is>
          <t>Commercial</t>
        </is>
      </c>
      <c r="O548" s="39" t="n">
        <v>12124.57</v>
      </c>
      <c r="P548" t="inlineStr">
        <is>
          <t>N</t>
        </is>
      </c>
    </row>
    <row r="549">
      <c r="A549" t="inlineStr">
        <is>
          <t>ENC113788</t>
        </is>
      </c>
      <c r="B549" t="inlineStr">
        <is>
          <t>PT12690</t>
        </is>
      </c>
      <c r="C549" s="42" t="n">
        <v>45747</v>
      </c>
      <c r="D549" s="42" t="n">
        <v>45758</v>
      </c>
      <c r="E549" s="38" t="n">
        <v>11</v>
      </c>
      <c r="F549" t="inlineStr">
        <is>
          <t>Inpatient</t>
        </is>
      </c>
      <c r="G549" t="inlineStr">
        <is>
          <t>Bluestone Memorial Hospital</t>
        </is>
      </c>
      <c r="H549" t="inlineStr">
        <is>
          <t>Medical-Surgical 4 West</t>
        </is>
      </c>
      <c r="I549" t="inlineStr">
        <is>
          <t>Medicine</t>
        </is>
      </c>
      <c r="J549" t="inlineStr">
        <is>
          <t>Hunt, Richard</t>
        </is>
      </c>
      <c r="K549" t="inlineStr">
        <is>
          <t>A41.9</t>
        </is>
      </c>
      <c r="L549" t="inlineStr">
        <is>
          <t>Infectious</t>
        </is>
      </c>
      <c r="M549" t="inlineStr">
        <is>
          <t>Medicare</t>
        </is>
      </c>
      <c r="N549" t="inlineStr">
        <is>
          <t>Government</t>
        </is>
      </c>
      <c r="O549" s="39" t="n">
        <v>143361.61</v>
      </c>
      <c r="P549" t="inlineStr">
        <is>
          <t>N</t>
        </is>
      </c>
    </row>
    <row r="550">
      <c r="A550" t="inlineStr">
        <is>
          <t>ENC113797</t>
        </is>
      </c>
      <c r="B550" t="inlineStr">
        <is>
          <t>PT10185</t>
        </is>
      </c>
      <c r="C550" s="42" t="n">
        <v>45747</v>
      </c>
      <c r="D550" s="42" t="n">
        <v>45747</v>
      </c>
      <c r="E550" s="38" t="n">
        <v>0</v>
      </c>
      <c r="F550" t="inlineStr">
        <is>
          <t>Emergency</t>
        </is>
      </c>
      <c r="G550" t="inlineStr">
        <is>
          <t>Bluestone Memorial Hospital</t>
        </is>
      </c>
      <c r="H550" t="inlineStr">
        <is>
          <t>Emergency Department</t>
        </is>
      </c>
      <c r="I550" t="inlineStr">
        <is>
          <t>Emergency</t>
        </is>
      </c>
      <c r="J550" t="inlineStr">
        <is>
          <t>Morris, Jordan</t>
        </is>
      </c>
      <c r="K550" t="inlineStr">
        <is>
          <t>L03.115</t>
        </is>
      </c>
      <c r="L550" t="inlineStr">
        <is>
          <t>Skin</t>
        </is>
      </c>
      <c r="M550" t="inlineStr">
        <is>
          <t>Medicare</t>
        </is>
      </c>
      <c r="N550" t="inlineStr">
        <is>
          <t>Government</t>
        </is>
      </c>
      <c r="O550" s="39" t="n">
        <v>1565.46</v>
      </c>
    </row>
    <row r="551">
      <c r="A551" t="inlineStr">
        <is>
          <t>ENC113798</t>
        </is>
      </c>
      <c r="B551" t="inlineStr">
        <is>
          <t>PT12867</t>
        </is>
      </c>
      <c r="C551" s="42" t="n">
        <v>45747</v>
      </c>
      <c r="D551" s="42" t="n">
        <v>45747</v>
      </c>
      <c r="E551" s="38" t="n">
        <v>0</v>
      </c>
      <c r="F551" t="inlineStr">
        <is>
          <t>Outpatient</t>
        </is>
      </c>
      <c r="G551" t="inlineStr">
        <is>
          <t>Bluestone Outpatient Pavilion</t>
        </is>
      </c>
      <c r="H551" t="inlineStr">
        <is>
          <t>Primary Care Clinic</t>
        </is>
      </c>
      <c r="I551" t="inlineStr">
        <is>
          <t>Ambulatory</t>
        </is>
      </c>
      <c r="J551" t="inlineStr">
        <is>
          <t>Santos, Edward</t>
        </is>
      </c>
      <c r="K551" t="inlineStr">
        <is>
          <t>Z23</t>
        </is>
      </c>
      <c r="L551" t="inlineStr">
        <is>
          <t>Factors Influencing Health</t>
        </is>
      </c>
      <c r="M551" t="inlineStr">
        <is>
          <t>Medicare</t>
        </is>
      </c>
      <c r="N551" t="inlineStr">
        <is>
          <t>Government</t>
        </is>
      </c>
      <c r="O551" s="39" t="n">
        <v>138.43</v>
      </c>
    </row>
    <row r="552">
      <c r="A552" t="inlineStr">
        <is>
          <t>ENC113799</t>
        </is>
      </c>
      <c r="B552" t="inlineStr">
        <is>
          <t>PT12532</t>
        </is>
      </c>
      <c r="C552" s="42" t="n">
        <v>45747</v>
      </c>
      <c r="D552" s="42" t="n">
        <v>45747</v>
      </c>
      <c r="E552" s="38" t="n">
        <v>0</v>
      </c>
      <c r="F552" t="inlineStr">
        <is>
          <t>Emergency</t>
        </is>
      </c>
      <c r="G552" t="inlineStr">
        <is>
          <t>Bluestone Memorial Hospital</t>
        </is>
      </c>
      <c r="H552" t="inlineStr">
        <is>
          <t>Emergency Department</t>
        </is>
      </c>
      <c r="I552" t="inlineStr">
        <is>
          <t>Emergency</t>
        </is>
      </c>
      <c r="J552" t="inlineStr">
        <is>
          <t>Sullivan, Jacob</t>
        </is>
      </c>
      <c r="K552" t="inlineStr">
        <is>
          <t>I48.91</t>
        </is>
      </c>
      <c r="L552" t="inlineStr">
        <is>
          <t>Circulatory</t>
        </is>
      </c>
      <c r="M552" t="inlineStr">
        <is>
          <t>Keystone Health Partners</t>
        </is>
      </c>
      <c r="N552" t="inlineStr">
        <is>
          <t>Commercial</t>
        </is>
      </c>
      <c r="O552" s="39" t="n">
        <v>1404.28</v>
      </c>
    </row>
    <row r="553">
      <c r="A553" t="inlineStr">
        <is>
          <t>ENC113803</t>
        </is>
      </c>
      <c r="B553" t="inlineStr">
        <is>
          <t>PT10956</t>
        </is>
      </c>
      <c r="C553" s="42" t="n">
        <v>45747</v>
      </c>
      <c r="D553" s="42" t="n">
        <v>45747</v>
      </c>
      <c r="E553" s="38" t="n">
        <v>0</v>
      </c>
      <c r="F553" t="inlineStr">
        <is>
          <t>Outpatient</t>
        </is>
      </c>
      <c r="G553" t="inlineStr">
        <is>
          <t>Bluestone Outpatient Pavilion</t>
        </is>
      </c>
      <c r="H553" t="inlineStr">
        <is>
          <t>Endocrinology &amp; Diabetes Clinic</t>
        </is>
      </c>
      <c r="I553" t="inlineStr">
        <is>
          <t>Ambulatory</t>
        </is>
      </c>
      <c r="J553" t="inlineStr">
        <is>
          <t>Woods, Larry</t>
        </is>
      </c>
      <c r="K553" t="inlineStr">
        <is>
          <t>E11.9</t>
        </is>
      </c>
      <c r="L553" t="inlineStr">
        <is>
          <t>Endocrine</t>
        </is>
      </c>
      <c r="M553" t="inlineStr">
        <is>
          <t>Keystone Health Partners</t>
        </is>
      </c>
      <c r="N553" t="inlineStr">
        <is>
          <t>Commercial</t>
        </is>
      </c>
      <c r="O553" s="39" t="n">
        <v>231.27</v>
      </c>
    </row>
    <row r="554">
      <c r="A554" t="inlineStr">
        <is>
          <t>ENC113808</t>
        </is>
      </c>
      <c r="B554" t="inlineStr">
        <is>
          <t>PT10228</t>
        </is>
      </c>
      <c r="C554" s="42" t="n">
        <v>45747</v>
      </c>
      <c r="D554" s="42" t="n">
        <v>45747</v>
      </c>
      <c r="E554" s="38" t="n">
        <v>0</v>
      </c>
      <c r="F554" t="inlineStr">
        <is>
          <t>Emergency</t>
        </is>
      </c>
      <c r="G554" t="inlineStr">
        <is>
          <t>Bluestone Memorial Hospital</t>
        </is>
      </c>
      <c r="H554" t="inlineStr">
        <is>
          <t>Emergency Department</t>
        </is>
      </c>
      <c r="I554" t="inlineStr">
        <is>
          <t>Emergency</t>
        </is>
      </c>
      <c r="J554" t="inlineStr">
        <is>
          <t>Mendoza, Alexander</t>
        </is>
      </c>
      <c r="K554" t="inlineStr">
        <is>
          <t>M54.50</t>
        </is>
      </c>
      <c r="L554" t="inlineStr">
        <is>
          <t>Musculoskeletal</t>
        </is>
      </c>
      <c r="M554" t="inlineStr">
        <is>
          <t>Evergreen Mutual Insurance</t>
        </is>
      </c>
      <c r="N554" t="inlineStr">
        <is>
          <t>Commercial</t>
        </is>
      </c>
      <c r="O554" s="39" t="n">
        <v>2019.23</v>
      </c>
    </row>
    <row r="555">
      <c r="A555" t="inlineStr">
        <is>
          <t>ENC113812</t>
        </is>
      </c>
      <c r="B555" t="inlineStr">
        <is>
          <t>PT13671</t>
        </is>
      </c>
      <c r="C555" s="42" t="n">
        <v>45747</v>
      </c>
      <c r="D555" s="42" t="n">
        <v>45747</v>
      </c>
      <c r="E555" s="38" t="n">
        <v>0</v>
      </c>
      <c r="F555" t="inlineStr">
        <is>
          <t>Emergency</t>
        </is>
      </c>
      <c r="G555" t="inlineStr">
        <is>
          <t>Bluestone Memorial Hospital</t>
        </is>
      </c>
      <c r="H555" t="inlineStr">
        <is>
          <t>Emergency Department</t>
        </is>
      </c>
      <c r="I555" t="inlineStr">
        <is>
          <t>Emergency</t>
        </is>
      </c>
      <c r="J555" t="inlineStr">
        <is>
          <t>Morris, Jordan</t>
        </is>
      </c>
      <c r="K555" t="inlineStr">
        <is>
          <t>R55</t>
        </is>
      </c>
      <c r="L555" t="inlineStr">
        <is>
          <t>Symptoms &amp; Signs</t>
        </is>
      </c>
      <c r="M555" t="inlineStr">
        <is>
          <t>Medicare</t>
        </is>
      </c>
      <c r="N555" t="inlineStr">
        <is>
          <t>Government</t>
        </is>
      </c>
      <c r="O555" s="39" t="n">
        <v>2152.92</v>
      </c>
    </row>
    <row r="556">
      <c r="A556" t="inlineStr">
        <is>
          <t>ENC113817</t>
        </is>
      </c>
      <c r="B556" t="inlineStr">
        <is>
          <t>PT13316</t>
        </is>
      </c>
      <c r="C556" s="42" t="n">
        <v>45748</v>
      </c>
      <c r="D556" s="42" t="n">
        <v>45748</v>
      </c>
      <c r="E556" s="38" t="n">
        <v>0</v>
      </c>
      <c r="F556" t="inlineStr">
        <is>
          <t>Outpatient</t>
        </is>
      </c>
      <c r="G556" t="inlineStr">
        <is>
          <t>Bluestone Outpatient Pavilion</t>
        </is>
      </c>
      <c r="H556" t="inlineStr">
        <is>
          <t>Pediatric Clinic</t>
        </is>
      </c>
      <c r="I556" t="inlineStr">
        <is>
          <t>Women &amp; Children</t>
        </is>
      </c>
      <c r="J556" t="inlineStr">
        <is>
          <t>Aguilar, Linh</t>
        </is>
      </c>
      <c r="K556" t="inlineStr">
        <is>
          <t>Z00.129</t>
        </is>
      </c>
      <c r="L556" t="inlineStr">
        <is>
          <t>Factors Influencing Health</t>
        </is>
      </c>
      <c r="M556" t="inlineStr">
        <is>
          <t>Keystone Health Partners</t>
        </is>
      </c>
      <c r="N556" t="inlineStr">
        <is>
          <t>Commercial</t>
        </is>
      </c>
      <c r="O556" s="39" t="n">
        <v>394.62</v>
      </c>
    </row>
    <row r="557">
      <c r="A557" t="inlineStr">
        <is>
          <t>ENC113820</t>
        </is>
      </c>
      <c r="B557" t="inlineStr">
        <is>
          <t>PT11812</t>
        </is>
      </c>
      <c r="C557" s="42" t="n">
        <v>45748</v>
      </c>
      <c r="D557" s="42" t="n">
        <v>45748</v>
      </c>
      <c r="E557" s="38" t="n">
        <v>0</v>
      </c>
      <c r="F557" t="inlineStr">
        <is>
          <t>Outpatient</t>
        </is>
      </c>
      <c r="G557" t="inlineStr">
        <is>
          <t>Bluestone Outpatient Pavilion</t>
        </is>
      </c>
      <c r="H557" t="inlineStr">
        <is>
          <t>Primary Care Clinic</t>
        </is>
      </c>
      <c r="I557" t="inlineStr">
        <is>
          <t>Ambulatory</t>
        </is>
      </c>
      <c r="J557" t="inlineStr">
        <is>
          <t>Torres, Rebecca</t>
        </is>
      </c>
      <c r="K557" t="inlineStr">
        <is>
          <t>G40.909</t>
        </is>
      </c>
      <c r="L557" t="inlineStr">
        <is>
          <t>Nervous System</t>
        </is>
      </c>
      <c r="M557" t="inlineStr">
        <is>
          <t>Silverline Medicare Advantage</t>
        </is>
      </c>
      <c r="N557" t="inlineStr">
        <is>
          <t>Medicare Advantage</t>
        </is>
      </c>
      <c r="O557" s="39" t="n">
        <v>509.31</v>
      </c>
    </row>
    <row r="558">
      <c r="A558" t="inlineStr">
        <is>
          <t>ENC113834</t>
        </is>
      </c>
      <c r="B558" t="inlineStr">
        <is>
          <t>PT12741</t>
        </is>
      </c>
      <c r="C558" s="42" t="n">
        <v>45748</v>
      </c>
      <c r="D558" s="42" t="n">
        <v>45753</v>
      </c>
      <c r="E558" s="38" t="n">
        <v>5</v>
      </c>
      <c r="F558" t="inlineStr">
        <is>
          <t>Inpatient</t>
        </is>
      </c>
      <c r="G558" t="inlineStr">
        <is>
          <t>Bluestone Memorial Hospital</t>
        </is>
      </c>
      <c r="H558" t="inlineStr">
        <is>
          <t>Medical-Surgical 5 East</t>
        </is>
      </c>
      <c r="I558" t="inlineStr">
        <is>
          <t>Medicine</t>
        </is>
      </c>
      <c r="J558" t="inlineStr">
        <is>
          <t>Alvarado, Tyler</t>
        </is>
      </c>
      <c r="K558" t="inlineStr">
        <is>
          <t>F10.239</t>
        </is>
      </c>
      <c r="L558" t="inlineStr">
        <is>
          <t>Mental &amp; Behavioral</t>
        </is>
      </c>
      <c r="M558" t="inlineStr">
        <is>
          <t>Evergreen Mutual Insurance</t>
        </is>
      </c>
      <c r="N558" t="inlineStr">
        <is>
          <t>Commercial</t>
        </is>
      </c>
      <c r="O558" s="39" t="n">
        <v>22372.56</v>
      </c>
      <c r="P558" t="inlineStr">
        <is>
          <t>N</t>
        </is>
      </c>
    </row>
    <row r="559">
      <c r="A559" t="inlineStr">
        <is>
          <t>ENC113828</t>
        </is>
      </c>
      <c r="B559" t="inlineStr">
        <is>
          <t>PT10971</t>
        </is>
      </c>
      <c r="C559" s="42" t="n">
        <v>45748</v>
      </c>
      <c r="D559" s="42" t="n">
        <v>45749</v>
      </c>
      <c r="E559" s="38" t="n">
        <v>1</v>
      </c>
      <c r="F559" t="inlineStr">
        <is>
          <t>Inpatient</t>
        </is>
      </c>
      <c r="G559" t="inlineStr">
        <is>
          <t>Bluestone Memorial Hospital</t>
        </is>
      </c>
      <c r="H559" t="inlineStr">
        <is>
          <t>Cardiac Step-Down</t>
        </is>
      </c>
      <c r="I559" t="inlineStr">
        <is>
          <t>Cardiovascular</t>
        </is>
      </c>
      <c r="J559" t="inlineStr">
        <is>
          <t>Yilmaz, Joe</t>
        </is>
      </c>
      <c r="K559" t="inlineStr">
        <is>
          <t>I48.91</t>
        </is>
      </c>
      <c r="L559" t="inlineStr">
        <is>
          <t>Circulatory</t>
        </is>
      </c>
      <c r="M559" t="inlineStr">
        <is>
          <t>Keystone Health Partners</t>
        </is>
      </c>
      <c r="N559" t="inlineStr">
        <is>
          <t>Commercial</t>
        </is>
      </c>
      <c r="O559" s="39" t="n">
        <v>14876.59</v>
      </c>
      <c r="P559" t="inlineStr">
        <is>
          <t>N</t>
        </is>
      </c>
    </row>
    <row r="560">
      <c r="A560" t="inlineStr">
        <is>
          <t>ENC113829</t>
        </is>
      </c>
      <c r="B560" t="inlineStr">
        <is>
          <t>PT13053</t>
        </is>
      </c>
      <c r="C560" s="42" t="n">
        <v>45748</v>
      </c>
      <c r="D560" s="42" t="n">
        <v>45759</v>
      </c>
      <c r="E560" s="38" t="n">
        <v>11</v>
      </c>
      <c r="F560" t="inlineStr">
        <is>
          <t>Inpatient</t>
        </is>
      </c>
      <c r="G560" t="inlineStr">
        <is>
          <t>Bluestone Memorial Hospital</t>
        </is>
      </c>
      <c r="H560" t="inlineStr">
        <is>
          <t>Neuroscience &amp; Stroke</t>
        </is>
      </c>
      <c r="I560" t="inlineStr">
        <is>
          <t>Neuroscience</t>
        </is>
      </c>
      <c r="J560" t="inlineStr">
        <is>
          <t>Garcia, Alexis</t>
        </is>
      </c>
      <c r="K560" t="inlineStr">
        <is>
          <t>I63.9</t>
        </is>
      </c>
      <c r="L560" t="inlineStr">
        <is>
          <t>Circulatory</t>
        </is>
      </c>
      <c r="M560" t="inlineStr">
        <is>
          <t>Silverline Medicare Advantage</t>
        </is>
      </c>
      <c r="N560" t="inlineStr">
        <is>
          <t>Medicare Advantage</t>
        </is>
      </c>
      <c r="O560" s="39" t="n">
        <v>57212.01</v>
      </c>
      <c r="P560" t="inlineStr">
        <is>
          <t>N</t>
        </is>
      </c>
    </row>
    <row r="561">
      <c r="A561" t="inlineStr">
        <is>
          <t>ENC113856</t>
        </is>
      </c>
      <c r="B561" t="inlineStr">
        <is>
          <t>PT12372</t>
        </is>
      </c>
      <c r="C561" s="42" t="n">
        <v>45749</v>
      </c>
      <c r="D561" s="42" t="n">
        <v>45749</v>
      </c>
      <c r="E561" s="38" t="n">
        <v>0</v>
      </c>
      <c r="F561" t="inlineStr">
        <is>
          <t>Outpatient</t>
        </is>
      </c>
      <c r="G561" t="inlineStr">
        <is>
          <t>Bluestone Outpatient Pavilion</t>
        </is>
      </c>
      <c r="H561" t="inlineStr">
        <is>
          <t>Primary Care Clinic</t>
        </is>
      </c>
      <c r="I561" t="inlineStr">
        <is>
          <t>Ambulatory</t>
        </is>
      </c>
      <c r="J561" t="inlineStr">
        <is>
          <t>Petrov, Doris</t>
        </is>
      </c>
      <c r="K561" t="inlineStr">
        <is>
          <t>J06.9</t>
        </is>
      </c>
      <c r="L561" t="inlineStr">
        <is>
          <t>Respiratory</t>
        </is>
      </c>
      <c r="M561" t="inlineStr">
        <is>
          <t>Evergreen Mutual Insurance</t>
        </is>
      </c>
      <c r="N561" t="inlineStr">
        <is>
          <t>Commercial</t>
        </is>
      </c>
      <c r="O561" s="39" t="n">
        <v>337.29</v>
      </c>
    </row>
    <row r="562">
      <c r="A562" t="inlineStr">
        <is>
          <t>ENC113866</t>
        </is>
      </c>
      <c r="B562" t="inlineStr">
        <is>
          <t>PT10796</t>
        </is>
      </c>
      <c r="C562" s="42" t="n">
        <v>45749</v>
      </c>
      <c r="D562" s="42" t="n">
        <v>45749</v>
      </c>
      <c r="E562" s="38" t="n">
        <v>0</v>
      </c>
      <c r="F562" t="inlineStr">
        <is>
          <t>Emergency</t>
        </is>
      </c>
      <c r="G562" t="inlineStr">
        <is>
          <t>Ashby Falls Community Hospital</t>
        </is>
      </c>
      <c r="H562" t="inlineStr">
        <is>
          <t>Emergency Department</t>
        </is>
      </c>
      <c r="I562" t="inlineStr">
        <is>
          <t>Emergency</t>
        </is>
      </c>
      <c r="J562" t="inlineStr">
        <is>
          <t>Peters, Megan</t>
        </is>
      </c>
      <c r="K562" t="inlineStr">
        <is>
          <t>S93.401A</t>
        </is>
      </c>
      <c r="L562" t="inlineStr">
        <is>
          <t>Injury</t>
        </is>
      </c>
      <c r="M562" t="inlineStr">
        <is>
          <t>Medicare</t>
        </is>
      </c>
      <c r="N562" t="inlineStr">
        <is>
          <t>Government</t>
        </is>
      </c>
      <c r="O562" s="39" t="n">
        <v>2182.97</v>
      </c>
    </row>
    <row r="563">
      <c r="A563" t="inlineStr">
        <is>
          <t>ENC113870</t>
        </is>
      </c>
      <c r="B563" t="inlineStr">
        <is>
          <t>PT13693</t>
        </is>
      </c>
      <c r="C563" s="42" t="n">
        <v>45749</v>
      </c>
      <c r="D563" s="42" t="n">
        <v>45749</v>
      </c>
      <c r="E563" s="38" t="n">
        <v>0</v>
      </c>
      <c r="F563" t="inlineStr">
        <is>
          <t>Outpatient</t>
        </is>
      </c>
      <c r="G563" t="inlineStr">
        <is>
          <t>Bluestone Outpatient Pavilion</t>
        </is>
      </c>
      <c r="H563" t="inlineStr">
        <is>
          <t>Orthopedic Clinic</t>
        </is>
      </c>
      <c r="I563" t="inlineStr">
        <is>
          <t>Orthopedics</t>
        </is>
      </c>
      <c r="J563" t="inlineStr">
        <is>
          <t>Cox, Lori</t>
        </is>
      </c>
      <c r="K563" t="inlineStr">
        <is>
          <t>M17.11</t>
        </is>
      </c>
      <c r="L563" t="inlineStr">
        <is>
          <t>Musculoskeletal</t>
        </is>
      </c>
      <c r="M563" t="inlineStr">
        <is>
          <t>Medicare</t>
        </is>
      </c>
      <c r="N563" t="inlineStr">
        <is>
          <t>Government</t>
        </is>
      </c>
      <c r="O563" s="39" t="n">
        <v>213.62</v>
      </c>
    </row>
    <row r="564">
      <c r="A564" t="inlineStr">
        <is>
          <t>ENC113863</t>
        </is>
      </c>
      <c r="B564" t="inlineStr">
        <is>
          <t>PT13234</t>
        </is>
      </c>
      <c r="C564" s="42" t="n">
        <v>45749</v>
      </c>
      <c r="D564" s="42" t="n">
        <v>45751</v>
      </c>
      <c r="E564" s="38" t="n">
        <v>2</v>
      </c>
      <c r="F564" t="inlineStr">
        <is>
          <t>Observation</t>
        </is>
      </c>
      <c r="G564" t="inlineStr">
        <is>
          <t>Bluestone Memorial Hospital</t>
        </is>
      </c>
      <c r="H564" t="inlineStr">
        <is>
          <t>Observation Unit</t>
        </is>
      </c>
      <c r="I564" t="inlineStr">
        <is>
          <t>Medicine</t>
        </is>
      </c>
      <c r="J564" t="inlineStr">
        <is>
          <t>Haddad, David</t>
        </is>
      </c>
      <c r="K564" t="inlineStr">
        <is>
          <t>K80.20</t>
        </is>
      </c>
      <c r="L564" t="inlineStr">
        <is>
          <t>Digestive</t>
        </is>
      </c>
      <c r="M564" t="inlineStr">
        <is>
          <t>Silverline Medicare Advantage</t>
        </is>
      </c>
      <c r="N564" t="inlineStr">
        <is>
          <t>Medicare Advantage</t>
        </is>
      </c>
      <c r="O564" s="39" t="n">
        <v>9482.959999999999</v>
      </c>
    </row>
    <row r="565">
      <c r="A565" t="inlineStr">
        <is>
          <t>ENC113868</t>
        </is>
      </c>
      <c r="B565" t="inlineStr">
        <is>
          <t>PT11644</t>
        </is>
      </c>
      <c r="C565" s="42" t="n">
        <v>45749</v>
      </c>
      <c r="D565" s="42" t="n">
        <v>45754</v>
      </c>
      <c r="E565" s="38" t="n">
        <v>5</v>
      </c>
      <c r="F565" t="inlineStr">
        <is>
          <t>Inpatient</t>
        </is>
      </c>
      <c r="G565" t="inlineStr">
        <is>
          <t>Bluestone Memorial Hospital</t>
        </is>
      </c>
      <c r="H565" t="inlineStr">
        <is>
          <t>Orthopedics &amp; Spine</t>
        </is>
      </c>
      <c r="I565" t="inlineStr">
        <is>
          <t>Orthopedics</t>
        </is>
      </c>
      <c r="J565" t="inlineStr">
        <is>
          <t>Woods, Pamela</t>
        </is>
      </c>
      <c r="K565" t="inlineStr">
        <is>
          <t>S72.001A</t>
        </is>
      </c>
      <c r="L565" t="inlineStr">
        <is>
          <t>Injury</t>
        </is>
      </c>
      <c r="M565" t="inlineStr">
        <is>
          <t>Summit Choice PPO</t>
        </is>
      </c>
      <c r="N565" t="inlineStr">
        <is>
          <t>Commercial</t>
        </is>
      </c>
      <c r="O565" s="39" t="n">
        <v>82008.28</v>
      </c>
      <c r="P565" t="inlineStr">
        <is>
          <t>N</t>
        </is>
      </c>
    </row>
    <row r="566">
      <c r="A566" t="inlineStr">
        <is>
          <t>ENC113875</t>
        </is>
      </c>
      <c r="B566" t="inlineStr">
        <is>
          <t>PT13993</t>
        </is>
      </c>
      <c r="C566" s="42" t="n">
        <v>45749</v>
      </c>
      <c r="D566" s="42" t="n">
        <v>45749</v>
      </c>
      <c r="E566" s="38" t="n">
        <v>0</v>
      </c>
      <c r="F566" t="inlineStr">
        <is>
          <t>Emergency</t>
        </is>
      </c>
      <c r="G566" t="inlineStr">
        <is>
          <t>Bluestone Memorial Hospital</t>
        </is>
      </c>
      <c r="H566" t="inlineStr">
        <is>
          <t>Emergency Department</t>
        </is>
      </c>
      <c r="I566" t="inlineStr">
        <is>
          <t>Emergency</t>
        </is>
      </c>
      <c r="J566" t="inlineStr">
        <is>
          <t>Kowalski, James</t>
        </is>
      </c>
      <c r="K566" t="inlineStr">
        <is>
          <t>S93.401A</t>
        </is>
      </c>
      <c r="L566" t="inlineStr">
        <is>
          <t>Injury</t>
        </is>
      </c>
      <c r="M566" t="inlineStr">
        <is>
          <t>Evergreen Mutual Insurance</t>
        </is>
      </c>
      <c r="N566" t="inlineStr">
        <is>
          <t>Commercial</t>
        </is>
      </c>
      <c r="O566" s="39" t="n">
        <v>1469.75</v>
      </c>
    </row>
    <row r="567">
      <c r="A567" t="inlineStr">
        <is>
          <t>ENC113879</t>
        </is>
      </c>
      <c r="B567" t="inlineStr">
        <is>
          <t>PT13119</t>
        </is>
      </c>
      <c r="C567" s="42" t="n">
        <v>45749</v>
      </c>
      <c r="D567" s="42" t="n">
        <v>45750</v>
      </c>
      <c r="E567" s="38" t="n">
        <v>1</v>
      </c>
      <c r="F567" t="inlineStr">
        <is>
          <t>Emergency</t>
        </is>
      </c>
      <c r="G567" t="inlineStr">
        <is>
          <t>Bluestone Memorial Hospital</t>
        </is>
      </c>
      <c r="H567" t="inlineStr">
        <is>
          <t>Emergency Department</t>
        </is>
      </c>
      <c r="I567" t="inlineStr">
        <is>
          <t>Emergency</t>
        </is>
      </c>
      <c r="J567" t="inlineStr">
        <is>
          <t>Mendoza, Alexander</t>
        </is>
      </c>
      <c r="K567" t="inlineStr">
        <is>
          <t>R55</t>
        </is>
      </c>
      <c r="L567" t="inlineStr">
        <is>
          <t>Symptoms &amp; Signs</t>
        </is>
      </c>
      <c r="M567" t="inlineStr">
        <is>
          <t>State Medicaid</t>
        </is>
      </c>
      <c r="N567" t="inlineStr">
        <is>
          <t>Government</t>
        </is>
      </c>
      <c r="O567" s="39" t="n">
        <v>1605.09</v>
      </c>
    </row>
    <row r="568">
      <c r="A568" t="inlineStr">
        <is>
          <t>ENC113878</t>
        </is>
      </c>
      <c r="B568" t="inlineStr">
        <is>
          <t>PT10093</t>
        </is>
      </c>
      <c r="C568" s="42" t="n">
        <v>45750</v>
      </c>
      <c r="D568" s="42" t="n">
        <v>45756</v>
      </c>
      <c r="E568" s="38" t="n">
        <v>6</v>
      </c>
      <c r="F568" t="inlineStr">
        <is>
          <t>Inpatient</t>
        </is>
      </c>
      <c r="G568" t="inlineStr">
        <is>
          <t>Bluestone Memorial Hospital</t>
        </is>
      </c>
      <c r="H568" t="inlineStr">
        <is>
          <t>Medical-Surgical 4 West</t>
        </is>
      </c>
      <c r="I568" t="inlineStr">
        <is>
          <t>Medicine</t>
        </is>
      </c>
      <c r="J568" t="inlineStr">
        <is>
          <t>Yilmaz, Joe</t>
        </is>
      </c>
      <c r="K568" t="inlineStr">
        <is>
          <t>J18.9</t>
        </is>
      </c>
      <c r="L568" t="inlineStr">
        <is>
          <t>Respiratory</t>
        </is>
      </c>
      <c r="M568" t="inlineStr">
        <is>
          <t>Silverline Medicare Advantage</t>
        </is>
      </c>
      <c r="N568" t="inlineStr">
        <is>
          <t>Medicare Advantage</t>
        </is>
      </c>
      <c r="O568" s="39" t="n">
        <v>28501.36</v>
      </c>
      <c r="P568" t="inlineStr">
        <is>
          <t>Y</t>
        </is>
      </c>
    </row>
    <row r="569">
      <c r="A569" t="inlineStr">
        <is>
          <t>ENC113892</t>
        </is>
      </c>
      <c r="B569" t="inlineStr">
        <is>
          <t>PT10568</t>
        </is>
      </c>
      <c r="C569" s="42" t="n">
        <v>45750</v>
      </c>
      <c r="D569" s="42" t="n">
        <v>45750</v>
      </c>
      <c r="E569" s="38" t="n">
        <v>0</v>
      </c>
      <c r="F569" t="inlineStr">
        <is>
          <t>Emergency</t>
        </is>
      </c>
      <c r="G569" t="inlineStr">
        <is>
          <t>Ashby Falls Community Hospital</t>
        </is>
      </c>
      <c r="H569" t="inlineStr">
        <is>
          <t>Emergency Department</t>
        </is>
      </c>
      <c r="I569" t="inlineStr">
        <is>
          <t>Emergency</t>
        </is>
      </c>
      <c r="J569" t="inlineStr">
        <is>
          <t>Wright, Bruce</t>
        </is>
      </c>
      <c r="K569" t="inlineStr">
        <is>
          <t>N39.0</t>
        </is>
      </c>
      <c r="L569" t="inlineStr">
        <is>
          <t>Genitourinary</t>
        </is>
      </c>
      <c r="M569" t="inlineStr">
        <is>
          <t>Silverline Medicare Advantage</t>
        </is>
      </c>
      <c r="N569" t="inlineStr">
        <is>
          <t>Medicare Advantage</t>
        </is>
      </c>
      <c r="O569" s="39" t="n">
        <v>2174.3</v>
      </c>
    </row>
    <row r="570">
      <c r="A570" t="inlineStr">
        <is>
          <t>ENC113888</t>
        </is>
      </c>
      <c r="B570" t="inlineStr">
        <is>
          <t>PT12841</t>
        </is>
      </c>
      <c r="C570" s="42" t="n">
        <v>45750</v>
      </c>
      <c r="D570" s="42" t="n">
        <v>45755</v>
      </c>
      <c r="E570" s="38" t="n">
        <v>5</v>
      </c>
      <c r="F570" t="inlineStr">
        <is>
          <t>Inpatient</t>
        </is>
      </c>
      <c r="G570" t="inlineStr">
        <is>
          <t>Bluestone Memorial Hospital</t>
        </is>
      </c>
      <c r="H570" t="inlineStr">
        <is>
          <t>Orthopedics &amp; Spine</t>
        </is>
      </c>
      <c r="I570" t="inlineStr">
        <is>
          <t>Orthopedics</t>
        </is>
      </c>
      <c r="J570" t="inlineStr">
        <is>
          <t>Woods, Pamela</t>
        </is>
      </c>
      <c r="K570" t="inlineStr">
        <is>
          <t>S72.001A</t>
        </is>
      </c>
      <c r="L570" t="inlineStr">
        <is>
          <t>Injury</t>
        </is>
      </c>
      <c r="M570" t="inlineStr">
        <is>
          <t>Silverline Medicare Advantage</t>
        </is>
      </c>
      <c r="N570" t="inlineStr">
        <is>
          <t>Medicare Advantage</t>
        </is>
      </c>
      <c r="O570" s="39" t="n">
        <v>40410.64</v>
      </c>
      <c r="P570" t="inlineStr">
        <is>
          <t>N</t>
        </is>
      </c>
    </row>
    <row r="571">
      <c r="A571" t="inlineStr">
        <is>
          <t>ENC113902</t>
        </is>
      </c>
      <c r="B571" t="inlineStr">
        <is>
          <t>PT12358</t>
        </is>
      </c>
      <c r="C571" s="42" t="n">
        <v>45750</v>
      </c>
      <c r="D571" s="42" t="n">
        <v>45750</v>
      </c>
      <c r="E571" s="38" t="n">
        <v>0</v>
      </c>
      <c r="F571" t="inlineStr">
        <is>
          <t>Outpatient</t>
        </is>
      </c>
      <c r="G571" t="inlineStr">
        <is>
          <t>Bluestone Outpatient Pavilion</t>
        </is>
      </c>
      <c r="H571" t="inlineStr">
        <is>
          <t>Endocrinology &amp; Diabetes Clinic</t>
        </is>
      </c>
      <c r="I571" t="inlineStr">
        <is>
          <t>Ambulatory</t>
        </is>
      </c>
      <c r="J571" t="inlineStr">
        <is>
          <t>Rivera, Scott</t>
        </is>
      </c>
      <c r="K571" t="inlineStr">
        <is>
          <t>E11.9</t>
        </is>
      </c>
      <c r="L571" t="inlineStr">
        <is>
          <t>Endocrine</t>
        </is>
      </c>
      <c r="M571" t="inlineStr">
        <is>
          <t>Keystone Health Partners</t>
        </is>
      </c>
      <c r="N571" t="inlineStr">
        <is>
          <t>Commercial</t>
        </is>
      </c>
      <c r="O571" s="39" t="n">
        <v>260.59</v>
      </c>
    </row>
    <row r="572">
      <c r="A572" t="inlineStr">
        <is>
          <t>ENC113906</t>
        </is>
      </c>
      <c r="B572" t="inlineStr">
        <is>
          <t>PT13014</t>
        </is>
      </c>
      <c r="C572" s="42" t="n">
        <v>45750</v>
      </c>
      <c r="D572" s="42" t="n">
        <v>45750</v>
      </c>
      <c r="E572" s="38" t="n">
        <v>0</v>
      </c>
      <c r="F572" t="inlineStr">
        <is>
          <t>Emergency</t>
        </is>
      </c>
      <c r="G572" t="inlineStr">
        <is>
          <t>Bluestone Memorial Hospital</t>
        </is>
      </c>
      <c r="H572" t="inlineStr">
        <is>
          <t>Emergency Department</t>
        </is>
      </c>
      <c r="I572" t="inlineStr">
        <is>
          <t>Emergency</t>
        </is>
      </c>
      <c r="J572" t="inlineStr">
        <is>
          <t>Myers, Doris</t>
        </is>
      </c>
      <c r="K572" t="inlineStr">
        <is>
          <t>F10.239</t>
        </is>
      </c>
      <c r="L572" t="inlineStr">
        <is>
          <t>Mental &amp; Behavioral</t>
        </is>
      </c>
      <c r="M572" t="inlineStr">
        <is>
          <t>State Medicaid</t>
        </is>
      </c>
      <c r="N572" t="inlineStr">
        <is>
          <t>Government</t>
        </is>
      </c>
      <c r="O572" s="39" t="n">
        <v>3095.65</v>
      </c>
    </row>
    <row r="573">
      <c r="A573" t="inlineStr">
        <is>
          <t>ENC113907</t>
        </is>
      </c>
      <c r="B573" t="inlineStr">
        <is>
          <t>PT12556</t>
        </is>
      </c>
      <c r="C573" s="42" t="n">
        <v>45750</v>
      </c>
      <c r="D573" s="42" t="n">
        <v>45751</v>
      </c>
      <c r="E573" s="38" t="n">
        <v>1</v>
      </c>
      <c r="F573" t="inlineStr">
        <is>
          <t>Observation</t>
        </is>
      </c>
      <c r="G573" t="inlineStr">
        <is>
          <t>Bluestone Memorial Hospital</t>
        </is>
      </c>
      <c r="H573" t="inlineStr">
        <is>
          <t>Observation Unit</t>
        </is>
      </c>
      <c r="I573" t="inlineStr">
        <is>
          <t>Medicine</t>
        </is>
      </c>
      <c r="J573" t="inlineStr">
        <is>
          <t>Taylor, Jonathan</t>
        </is>
      </c>
      <c r="K573" t="inlineStr">
        <is>
          <t>I50.9</t>
        </is>
      </c>
      <c r="L573" t="inlineStr">
        <is>
          <t>Circulatory</t>
        </is>
      </c>
      <c r="M573" t="inlineStr">
        <is>
          <t>State Medicaid</t>
        </is>
      </c>
      <c r="N573" t="inlineStr">
        <is>
          <t>Government</t>
        </is>
      </c>
      <c r="O573" s="39" t="n">
        <v>5831.99</v>
      </c>
    </row>
    <row r="574">
      <c r="A574" t="inlineStr">
        <is>
          <t>ENC113914</t>
        </is>
      </c>
      <c r="B574" t="inlineStr">
        <is>
          <t>PT12084</t>
        </is>
      </c>
      <c r="C574" s="42" t="n">
        <v>45750</v>
      </c>
      <c r="D574" s="42" t="n">
        <v>45751</v>
      </c>
      <c r="E574" s="38" t="n">
        <v>1</v>
      </c>
      <c r="F574" t="inlineStr">
        <is>
          <t>Emergency</t>
        </is>
      </c>
      <c r="G574" t="inlineStr">
        <is>
          <t>Bluestone Memorial Hospital</t>
        </is>
      </c>
      <c r="H574" t="inlineStr">
        <is>
          <t>Emergency Department</t>
        </is>
      </c>
      <c r="I574" t="inlineStr">
        <is>
          <t>Emergency</t>
        </is>
      </c>
      <c r="J574" t="inlineStr">
        <is>
          <t>Kowalski, James</t>
        </is>
      </c>
      <c r="K574" t="inlineStr">
        <is>
          <t>N39.0</t>
        </is>
      </c>
      <c r="L574" t="inlineStr">
        <is>
          <t>Genitourinary</t>
        </is>
      </c>
      <c r="M574" t="inlineStr">
        <is>
          <t>Medicare</t>
        </is>
      </c>
      <c r="N574" t="inlineStr">
        <is>
          <t>Government</t>
        </is>
      </c>
      <c r="O574" s="39" t="n">
        <v>3530.65</v>
      </c>
    </row>
    <row r="575">
      <c r="A575" t="inlineStr">
        <is>
          <t>ENC113916</t>
        </is>
      </c>
      <c r="B575" t="inlineStr">
        <is>
          <t>PT12345</t>
        </is>
      </c>
      <c r="C575" s="42" t="n">
        <v>45751</v>
      </c>
      <c r="D575" s="42" t="n">
        <v>45752</v>
      </c>
      <c r="E575" s="38" t="n">
        <v>1</v>
      </c>
      <c r="F575" t="inlineStr">
        <is>
          <t>Observation</t>
        </is>
      </c>
      <c r="G575" t="inlineStr">
        <is>
          <t>Bluestone Memorial Hospital</t>
        </is>
      </c>
      <c r="H575" t="inlineStr">
        <is>
          <t>Observation Unit</t>
        </is>
      </c>
      <c r="I575" t="inlineStr">
        <is>
          <t>Medicine</t>
        </is>
      </c>
      <c r="J575" t="inlineStr">
        <is>
          <t>Cruz, Roger</t>
        </is>
      </c>
      <c r="K575" t="inlineStr">
        <is>
          <t>R07.9</t>
        </is>
      </c>
      <c r="L575" t="inlineStr">
        <is>
          <t>Symptoms &amp; Signs</t>
        </is>
      </c>
      <c r="M575" t="inlineStr">
        <is>
          <t>Medicare</t>
        </is>
      </c>
      <c r="N575" t="inlineStr">
        <is>
          <t>Government</t>
        </is>
      </c>
      <c r="O575" s="39" t="n">
        <v>5361.4</v>
      </c>
    </row>
    <row r="576">
      <c r="A576" t="inlineStr">
        <is>
          <t>ENC113917</t>
        </is>
      </c>
      <c r="B576" t="inlineStr">
        <is>
          <t>PT11070</t>
        </is>
      </c>
      <c r="C576" s="42" t="n">
        <v>45751</v>
      </c>
      <c r="D576" s="42" t="n">
        <v>45755</v>
      </c>
      <c r="E576" s="38" t="n">
        <v>4</v>
      </c>
      <c r="F576" t="inlineStr">
        <is>
          <t>Inpatient</t>
        </is>
      </c>
      <c r="G576" t="inlineStr">
        <is>
          <t>Bluestone Memorial Hospital</t>
        </is>
      </c>
      <c r="H576" t="inlineStr">
        <is>
          <t>Orthopedics &amp; Spine</t>
        </is>
      </c>
      <c r="I576" t="inlineStr">
        <is>
          <t>Orthopedics</t>
        </is>
      </c>
      <c r="J576" t="inlineStr">
        <is>
          <t>King, Leila</t>
        </is>
      </c>
      <c r="K576" t="inlineStr">
        <is>
          <t>M17.11</t>
        </is>
      </c>
      <c r="L576" t="inlineStr">
        <is>
          <t>Musculoskeletal</t>
        </is>
      </c>
      <c r="M576" t="inlineStr">
        <is>
          <t>Keystone Health Partners</t>
        </is>
      </c>
      <c r="N576" t="inlineStr">
        <is>
          <t>Commercial</t>
        </is>
      </c>
      <c r="O576" s="39" t="n">
        <v>82259.63</v>
      </c>
      <c r="P576" t="inlineStr">
        <is>
          <t>N</t>
        </is>
      </c>
    </row>
    <row r="577">
      <c r="A577" t="inlineStr">
        <is>
          <t>ENC113920</t>
        </is>
      </c>
      <c r="B577" t="inlineStr">
        <is>
          <t>PT13942</t>
        </is>
      </c>
      <c r="C577" s="42" t="n">
        <v>45751</v>
      </c>
      <c r="D577" s="42" t="n">
        <v>45751</v>
      </c>
      <c r="E577" s="38" t="n">
        <v>0</v>
      </c>
      <c r="F577" t="inlineStr">
        <is>
          <t>Outpatient</t>
        </is>
      </c>
      <c r="G577" t="inlineStr">
        <is>
          <t>Bluestone Outpatient Pavilion</t>
        </is>
      </c>
      <c r="H577" t="inlineStr">
        <is>
          <t>Primary Care Clinic</t>
        </is>
      </c>
      <c r="I577" t="inlineStr">
        <is>
          <t>Ambulatory</t>
        </is>
      </c>
      <c r="J577" t="inlineStr">
        <is>
          <t>Alvarado, George</t>
        </is>
      </c>
      <c r="K577" t="inlineStr">
        <is>
          <t>I10</t>
        </is>
      </c>
      <c r="L577" t="inlineStr">
        <is>
          <t>Circulatory</t>
        </is>
      </c>
      <c r="M577" t="inlineStr">
        <is>
          <t>Silverline Medicare Advantage</t>
        </is>
      </c>
      <c r="N577" t="inlineStr">
        <is>
          <t>Medicare Advantage</t>
        </is>
      </c>
      <c r="O577" s="39" t="n">
        <v>234.67</v>
      </c>
    </row>
    <row r="578">
      <c r="A578" t="inlineStr">
        <is>
          <t>ENC113921</t>
        </is>
      </c>
      <c r="B578" t="inlineStr">
        <is>
          <t>PT13480</t>
        </is>
      </c>
      <c r="C578" s="42" t="n">
        <v>45751</v>
      </c>
      <c r="D578" s="42" t="n">
        <v>45755</v>
      </c>
      <c r="E578" s="38" t="n">
        <v>4</v>
      </c>
      <c r="F578" t="inlineStr">
        <is>
          <t>Inpatient</t>
        </is>
      </c>
      <c r="G578" t="inlineStr">
        <is>
          <t>Bluestone Memorial Hospital</t>
        </is>
      </c>
      <c r="H578" t="inlineStr">
        <is>
          <t>Medical-Surgical 4 West</t>
        </is>
      </c>
      <c r="I578" t="inlineStr">
        <is>
          <t>Medicine</t>
        </is>
      </c>
      <c r="J578" t="inlineStr">
        <is>
          <t>Yilmaz, Joe</t>
        </is>
      </c>
      <c r="K578" t="inlineStr">
        <is>
          <t>L03.115</t>
        </is>
      </c>
      <c r="L578" t="inlineStr">
        <is>
          <t>Skin</t>
        </is>
      </c>
      <c r="M578" t="inlineStr">
        <is>
          <t>Summit Choice PPO</t>
        </is>
      </c>
      <c r="N578" t="inlineStr">
        <is>
          <t>Commercial</t>
        </is>
      </c>
      <c r="O578" s="39" t="n">
        <v>23752.11</v>
      </c>
      <c r="P578" t="inlineStr">
        <is>
          <t>Y</t>
        </is>
      </c>
    </row>
    <row r="579">
      <c r="A579" t="inlineStr">
        <is>
          <t>ENC113931</t>
        </is>
      </c>
      <c r="B579" t="inlineStr">
        <is>
          <t>PT11016</t>
        </is>
      </c>
      <c r="C579" s="42" t="n">
        <v>45751</v>
      </c>
      <c r="D579" s="42" t="n">
        <v>45751</v>
      </c>
      <c r="E579" s="38" t="n">
        <v>0</v>
      </c>
      <c r="F579" t="inlineStr">
        <is>
          <t>Outpatient</t>
        </is>
      </c>
      <c r="G579" t="inlineStr">
        <is>
          <t>Bluestone Outpatient Pavilion</t>
        </is>
      </c>
      <c r="H579" t="inlineStr">
        <is>
          <t>Primary Care Clinic</t>
        </is>
      </c>
      <c r="I579" t="inlineStr">
        <is>
          <t>Ambulatory</t>
        </is>
      </c>
      <c r="J579" t="inlineStr">
        <is>
          <t>Osei, Julie</t>
        </is>
      </c>
      <c r="K579" t="inlineStr">
        <is>
          <t>F32.9</t>
        </is>
      </c>
      <c r="L579" t="inlineStr">
        <is>
          <t>Mental &amp; Behavioral</t>
        </is>
      </c>
      <c r="M579" t="inlineStr">
        <is>
          <t>Keystone Health Partners</t>
        </is>
      </c>
      <c r="N579" t="inlineStr">
        <is>
          <t>Commercial</t>
        </is>
      </c>
      <c r="O579" s="39" t="n">
        <v>382.86</v>
      </c>
    </row>
    <row r="580">
      <c r="A580" t="inlineStr">
        <is>
          <t>ENC113984</t>
        </is>
      </c>
      <c r="B580" t="inlineStr">
        <is>
          <t>PT10023</t>
        </is>
      </c>
      <c r="C580" s="42" t="n">
        <v>45754</v>
      </c>
      <c r="D580" s="42" t="n">
        <v>45754</v>
      </c>
      <c r="E580" s="38" t="n">
        <v>0</v>
      </c>
      <c r="F580" t="inlineStr">
        <is>
          <t>Emergency</t>
        </is>
      </c>
      <c r="G580" t="inlineStr">
        <is>
          <t>Bluestone Memorial Hospital</t>
        </is>
      </c>
      <c r="H580" t="inlineStr">
        <is>
          <t>Emergency Department</t>
        </is>
      </c>
      <c r="I580" t="inlineStr">
        <is>
          <t>Emergency</t>
        </is>
      </c>
      <c r="J580" t="inlineStr">
        <is>
          <t>Mendoza, Alexander</t>
        </is>
      </c>
      <c r="K580" t="inlineStr">
        <is>
          <t>R10.9</t>
        </is>
      </c>
      <c r="L580" t="inlineStr">
        <is>
          <t>Symptoms &amp; Signs</t>
        </is>
      </c>
      <c r="M580" t="inlineStr">
        <is>
          <t>State Medicaid</t>
        </is>
      </c>
      <c r="N580" t="inlineStr">
        <is>
          <t>Government</t>
        </is>
      </c>
      <c r="O580" s="39" t="n">
        <v>5277.39</v>
      </c>
    </row>
    <row r="581">
      <c r="A581" t="inlineStr">
        <is>
          <t>ENC113995</t>
        </is>
      </c>
      <c r="B581" t="inlineStr">
        <is>
          <t>PT12583</t>
        </is>
      </c>
      <c r="C581" s="42" t="n">
        <v>45754</v>
      </c>
      <c r="D581" s="42" t="n">
        <v>45754</v>
      </c>
      <c r="E581" s="38" t="n">
        <v>0</v>
      </c>
      <c r="F581" t="inlineStr">
        <is>
          <t>Outpatient</t>
        </is>
      </c>
      <c r="G581" t="inlineStr">
        <is>
          <t>Bluestone Outpatient Pavilion</t>
        </is>
      </c>
      <c r="H581" t="inlineStr">
        <is>
          <t>Primary Care Clinic</t>
        </is>
      </c>
      <c r="I581" t="inlineStr">
        <is>
          <t>Ambulatory</t>
        </is>
      </c>
      <c r="J581" t="inlineStr">
        <is>
          <t>Black, Nancy</t>
        </is>
      </c>
      <c r="K581" t="inlineStr">
        <is>
          <t>M54.50</t>
        </is>
      </c>
      <c r="L581" t="inlineStr">
        <is>
          <t>Musculoskeletal</t>
        </is>
      </c>
      <c r="M581" t="inlineStr">
        <is>
          <t>Keystone Health Partners</t>
        </is>
      </c>
      <c r="N581" t="inlineStr">
        <is>
          <t>Commercial</t>
        </is>
      </c>
      <c r="O581" s="39" t="n">
        <v>200.86</v>
      </c>
    </row>
    <row r="582">
      <c r="A582" t="inlineStr">
        <is>
          <t>ENC113985</t>
        </is>
      </c>
      <c r="B582" t="inlineStr">
        <is>
          <t>PT11620</t>
        </is>
      </c>
      <c r="C582" s="42" t="n">
        <v>45754</v>
      </c>
      <c r="D582" s="42" t="n">
        <v>45759</v>
      </c>
      <c r="E582" s="38" t="n">
        <v>5</v>
      </c>
      <c r="F582" t="inlineStr">
        <is>
          <t>Inpatient</t>
        </is>
      </c>
      <c r="G582" t="inlineStr">
        <is>
          <t>Bluestone Memorial Hospital</t>
        </is>
      </c>
      <c r="H582" t="inlineStr">
        <is>
          <t>Medical-Surgical 5 East</t>
        </is>
      </c>
      <c r="I582" t="inlineStr">
        <is>
          <t>Medicine</t>
        </is>
      </c>
      <c r="J582" t="inlineStr">
        <is>
          <t>Hunt, Richard</t>
        </is>
      </c>
      <c r="K582" t="inlineStr">
        <is>
          <t>F10.239</t>
        </is>
      </c>
      <c r="L582" t="inlineStr">
        <is>
          <t>Mental &amp; Behavioral</t>
        </is>
      </c>
      <c r="M582" t="inlineStr">
        <is>
          <t>Medicare</t>
        </is>
      </c>
      <c r="N582" t="inlineStr">
        <is>
          <t>Government</t>
        </is>
      </c>
      <c r="O582" s="39" t="n">
        <v>31504.31</v>
      </c>
      <c r="P582" t="inlineStr">
        <is>
          <t>N</t>
        </is>
      </c>
    </row>
    <row r="583">
      <c r="A583" t="inlineStr">
        <is>
          <t>ENC113998</t>
        </is>
      </c>
      <c r="B583" t="inlineStr">
        <is>
          <t>PT12283</t>
        </is>
      </c>
      <c r="C583" s="42" t="n">
        <v>45754</v>
      </c>
      <c r="D583" s="42" t="n">
        <v>45754</v>
      </c>
      <c r="E583" s="38" t="n">
        <v>0</v>
      </c>
      <c r="F583" t="inlineStr">
        <is>
          <t>Outpatient</t>
        </is>
      </c>
      <c r="G583" t="inlineStr">
        <is>
          <t>Bluestone Outpatient Pavilion</t>
        </is>
      </c>
      <c r="H583" t="inlineStr">
        <is>
          <t>Orthopedic Clinic</t>
        </is>
      </c>
      <c r="I583" t="inlineStr">
        <is>
          <t>Orthopedics</t>
        </is>
      </c>
      <c r="J583" t="inlineStr">
        <is>
          <t>Lewis, Jonathan</t>
        </is>
      </c>
      <c r="K583" t="inlineStr">
        <is>
          <t>M17.11</t>
        </is>
      </c>
      <c r="L583" t="inlineStr">
        <is>
          <t>Musculoskeletal</t>
        </is>
      </c>
      <c r="M583" t="inlineStr">
        <is>
          <t>Silverline Medicare Advantage</t>
        </is>
      </c>
      <c r="N583" t="inlineStr">
        <is>
          <t>Medicare Advantage</t>
        </is>
      </c>
      <c r="O583" s="39" t="n">
        <v>177.13</v>
      </c>
    </row>
    <row r="584">
      <c r="A584" t="inlineStr">
        <is>
          <t>ENC114000</t>
        </is>
      </c>
      <c r="B584" t="inlineStr">
        <is>
          <t>PT13076</t>
        </is>
      </c>
      <c r="C584" s="42" t="n">
        <v>45754</v>
      </c>
      <c r="D584" s="42" t="n">
        <v>45754</v>
      </c>
      <c r="E584" s="38" t="n">
        <v>0</v>
      </c>
      <c r="F584" t="inlineStr">
        <is>
          <t>Emergency</t>
        </is>
      </c>
      <c r="G584" t="inlineStr">
        <is>
          <t>Bluestone Memorial Hospital</t>
        </is>
      </c>
      <c r="H584" t="inlineStr">
        <is>
          <t>Emergency Department</t>
        </is>
      </c>
      <c r="I584" t="inlineStr">
        <is>
          <t>Emergency</t>
        </is>
      </c>
      <c r="J584" t="inlineStr">
        <is>
          <t>Morris, Jordan</t>
        </is>
      </c>
      <c r="K584" t="inlineStr">
        <is>
          <t>S93.401A</t>
        </is>
      </c>
      <c r="L584" t="inlineStr">
        <is>
          <t>Injury</t>
        </is>
      </c>
      <c r="M584" t="inlineStr">
        <is>
          <t>Keystone Health Partners</t>
        </is>
      </c>
      <c r="N584" t="inlineStr">
        <is>
          <t>Commercial</t>
        </is>
      </c>
      <c r="O584" s="39" t="n">
        <v>842.48</v>
      </c>
    </row>
    <row r="585">
      <c r="A585" t="inlineStr">
        <is>
          <t>ENC114001</t>
        </is>
      </c>
      <c r="B585" t="inlineStr">
        <is>
          <t>PT12504</t>
        </is>
      </c>
      <c r="C585" s="42" t="n">
        <v>45754</v>
      </c>
      <c r="D585" s="42" t="n">
        <v>45754</v>
      </c>
      <c r="E585" s="38" t="n">
        <v>0</v>
      </c>
      <c r="F585" t="inlineStr">
        <is>
          <t>Outpatient</t>
        </is>
      </c>
      <c r="G585" t="inlineStr">
        <is>
          <t>Bluestone Outpatient Pavilion</t>
        </is>
      </c>
      <c r="H585" t="inlineStr">
        <is>
          <t>Endocrinology &amp; Diabetes Clinic</t>
        </is>
      </c>
      <c r="I585" t="inlineStr">
        <is>
          <t>Ambulatory</t>
        </is>
      </c>
      <c r="J585" t="inlineStr">
        <is>
          <t>Rivera, Scott</t>
        </is>
      </c>
      <c r="K585" t="inlineStr">
        <is>
          <t>E11.9</t>
        </is>
      </c>
      <c r="L585" t="inlineStr">
        <is>
          <t>Endocrine</t>
        </is>
      </c>
      <c r="M585" t="inlineStr">
        <is>
          <t>Medicare</t>
        </is>
      </c>
      <c r="N585" t="inlineStr">
        <is>
          <t>Government</t>
        </is>
      </c>
      <c r="O585" s="39" t="n">
        <v>237.66</v>
      </c>
    </row>
    <row r="586">
      <c r="A586" t="inlineStr">
        <is>
          <t>ENC114002</t>
        </is>
      </c>
      <c r="B586" t="inlineStr">
        <is>
          <t>PT12299</t>
        </is>
      </c>
      <c r="C586" s="42" t="n">
        <v>45754</v>
      </c>
      <c r="D586" s="42" t="n">
        <v>45754</v>
      </c>
      <c r="E586" s="38" t="n">
        <v>0</v>
      </c>
      <c r="F586" t="inlineStr">
        <is>
          <t>Outpatient</t>
        </is>
      </c>
      <c r="G586" t="inlineStr">
        <is>
          <t>Bluestone Outpatient Pavilion</t>
        </is>
      </c>
      <c r="H586" t="inlineStr">
        <is>
          <t>Primary Care Clinic</t>
        </is>
      </c>
      <c r="I586" t="inlineStr">
        <is>
          <t>Ambulatory</t>
        </is>
      </c>
      <c r="J586" t="inlineStr">
        <is>
          <t>Black, Nancy</t>
        </is>
      </c>
      <c r="K586" t="inlineStr">
        <is>
          <t>Z00.00</t>
        </is>
      </c>
      <c r="L586" t="inlineStr">
        <is>
          <t>Factors Influencing Health</t>
        </is>
      </c>
      <c r="M586" t="inlineStr">
        <is>
          <t>Silverline Medicare Advantage</t>
        </is>
      </c>
      <c r="N586" t="inlineStr">
        <is>
          <t>Medicare Advantage</t>
        </is>
      </c>
      <c r="O586" s="39" t="n">
        <v>305.99</v>
      </c>
    </row>
    <row r="587">
      <c r="A587" t="inlineStr">
        <is>
          <t>ENC114013</t>
        </is>
      </c>
      <c r="B587" t="inlineStr">
        <is>
          <t>PT11727</t>
        </is>
      </c>
      <c r="C587" s="42" t="n">
        <v>45755</v>
      </c>
      <c r="D587" s="42" t="n">
        <v>45756</v>
      </c>
      <c r="E587" s="38" t="n">
        <v>1</v>
      </c>
      <c r="F587" t="inlineStr">
        <is>
          <t>Inpatient</t>
        </is>
      </c>
      <c r="G587" t="inlineStr">
        <is>
          <t>Bluestone Memorial Hospital</t>
        </is>
      </c>
      <c r="H587" t="inlineStr">
        <is>
          <t>Orthopedics &amp; Spine</t>
        </is>
      </c>
      <c r="I587" t="inlineStr">
        <is>
          <t>Orthopedics</t>
        </is>
      </c>
      <c r="J587" t="inlineStr">
        <is>
          <t>Richards, Anthony</t>
        </is>
      </c>
      <c r="K587" t="inlineStr">
        <is>
          <t>M17.11</t>
        </is>
      </c>
      <c r="L587" t="inlineStr">
        <is>
          <t>Musculoskeletal</t>
        </is>
      </c>
      <c r="M587" t="inlineStr">
        <is>
          <t>Summit Choice PPO</t>
        </is>
      </c>
      <c r="N587" t="inlineStr">
        <is>
          <t>Commercial</t>
        </is>
      </c>
      <c r="O587" s="39" t="n">
        <v>40947.52</v>
      </c>
      <c r="P587" t="inlineStr">
        <is>
          <t>N</t>
        </is>
      </c>
    </row>
    <row r="588">
      <c r="A588" t="inlineStr">
        <is>
          <t>ENC114026</t>
        </is>
      </c>
      <c r="B588" t="inlineStr">
        <is>
          <t>PT13792</t>
        </is>
      </c>
      <c r="C588" s="42" t="n">
        <v>45755</v>
      </c>
      <c r="D588" s="42" t="n">
        <v>45755</v>
      </c>
      <c r="E588" s="38" t="n">
        <v>0</v>
      </c>
      <c r="F588" t="inlineStr">
        <is>
          <t>Outpatient</t>
        </is>
      </c>
      <c r="G588" t="inlineStr">
        <is>
          <t>Bluestone Outpatient Pavilion</t>
        </is>
      </c>
      <c r="H588" t="inlineStr">
        <is>
          <t>Endocrinology &amp; Diabetes Clinic</t>
        </is>
      </c>
      <c r="I588" t="inlineStr">
        <is>
          <t>Ambulatory</t>
        </is>
      </c>
      <c r="J588" t="inlineStr">
        <is>
          <t>Lee, Amber</t>
        </is>
      </c>
      <c r="K588" t="inlineStr">
        <is>
          <t>E11.9</t>
        </is>
      </c>
      <c r="L588" t="inlineStr">
        <is>
          <t>Endocrine</t>
        </is>
      </c>
      <c r="M588" t="inlineStr">
        <is>
          <t>Medicare</t>
        </is>
      </c>
      <c r="N588" t="inlineStr">
        <is>
          <t>Government</t>
        </is>
      </c>
      <c r="O588" s="39" t="n">
        <v>275.73</v>
      </c>
    </row>
    <row r="589">
      <c r="A589" t="inlineStr">
        <is>
          <t>ENC114033</t>
        </is>
      </c>
      <c r="B589" t="inlineStr">
        <is>
          <t>PT11836</t>
        </is>
      </c>
      <c r="C589" s="42" t="n">
        <v>45755</v>
      </c>
      <c r="D589" s="42" t="n">
        <v>45755</v>
      </c>
      <c r="E589" s="38" t="n">
        <v>0</v>
      </c>
      <c r="F589" t="inlineStr">
        <is>
          <t>Outpatient</t>
        </is>
      </c>
      <c r="G589" t="inlineStr">
        <is>
          <t>Bluestone Outpatient Pavilion</t>
        </is>
      </c>
      <c r="H589" t="inlineStr">
        <is>
          <t>Pediatric Clinic</t>
        </is>
      </c>
      <c r="I589" t="inlineStr">
        <is>
          <t>Women &amp; Children</t>
        </is>
      </c>
      <c r="J589" t="inlineStr">
        <is>
          <t>Aguilar, Linh</t>
        </is>
      </c>
      <c r="K589" t="inlineStr">
        <is>
          <t>H66.90</t>
        </is>
      </c>
      <c r="L589" t="inlineStr">
        <is>
          <t>Ear</t>
        </is>
      </c>
      <c r="M589" t="inlineStr">
        <is>
          <t>Evergreen Mutual Insurance</t>
        </is>
      </c>
      <c r="N589" t="inlineStr">
        <is>
          <t>Commercial</t>
        </is>
      </c>
      <c r="O589" s="39" t="n">
        <v>213.69</v>
      </c>
    </row>
    <row r="590">
      <c r="A590" t="inlineStr">
        <is>
          <t>ENC114051</t>
        </is>
      </c>
      <c r="B590" t="inlineStr">
        <is>
          <t>PT12170</t>
        </is>
      </c>
      <c r="C590" s="42" t="n">
        <v>45756</v>
      </c>
      <c r="D590" s="42" t="n">
        <v>45756</v>
      </c>
      <c r="E590" s="38" t="n">
        <v>0</v>
      </c>
      <c r="F590" t="inlineStr">
        <is>
          <t>Outpatient</t>
        </is>
      </c>
      <c r="G590" t="inlineStr">
        <is>
          <t>Bluestone Outpatient Pavilion</t>
        </is>
      </c>
      <c r="H590" t="inlineStr">
        <is>
          <t>Primary Care Clinic</t>
        </is>
      </c>
      <c r="I590" t="inlineStr">
        <is>
          <t>Ambulatory</t>
        </is>
      </c>
      <c r="J590" t="inlineStr">
        <is>
          <t>Nguyen, Isabella</t>
        </is>
      </c>
      <c r="K590" t="inlineStr">
        <is>
          <t>J06.9</t>
        </is>
      </c>
      <c r="L590" t="inlineStr">
        <is>
          <t>Respiratory</t>
        </is>
      </c>
      <c r="M590" t="inlineStr">
        <is>
          <t>Medicare</t>
        </is>
      </c>
      <c r="N590" t="inlineStr">
        <is>
          <t>Government</t>
        </is>
      </c>
      <c r="O590" s="39" t="n">
        <v>276.15</v>
      </c>
    </row>
    <row r="591">
      <c r="A591" t="inlineStr">
        <is>
          <t>ENC114056</t>
        </is>
      </c>
      <c r="B591" t="inlineStr">
        <is>
          <t>PT13070</t>
        </is>
      </c>
      <c r="C591" s="42" t="n">
        <v>45756</v>
      </c>
      <c r="D591" s="42" t="n">
        <v>45756</v>
      </c>
      <c r="E591" s="38" t="n">
        <v>0</v>
      </c>
      <c r="F591" t="inlineStr">
        <is>
          <t>Outpatient</t>
        </is>
      </c>
      <c r="G591" t="inlineStr">
        <is>
          <t>Bluestone Outpatient Pavilion</t>
        </is>
      </c>
      <c r="H591" t="inlineStr">
        <is>
          <t>Primary Care Clinic</t>
        </is>
      </c>
      <c r="I591" t="inlineStr">
        <is>
          <t>Ambulatory</t>
        </is>
      </c>
      <c r="J591" t="inlineStr">
        <is>
          <t>Santos, Edward</t>
        </is>
      </c>
      <c r="K591" t="inlineStr">
        <is>
          <t>Z00.00</t>
        </is>
      </c>
      <c r="L591" t="inlineStr">
        <is>
          <t>Factors Influencing Health</t>
        </is>
      </c>
      <c r="M591" t="inlineStr">
        <is>
          <t>Medicare</t>
        </is>
      </c>
      <c r="N591" t="inlineStr">
        <is>
          <t>Government</t>
        </is>
      </c>
      <c r="O591" s="39" t="n">
        <v>213.45</v>
      </c>
    </row>
    <row r="592">
      <c r="A592" t="inlineStr">
        <is>
          <t>ENC114059</t>
        </is>
      </c>
      <c r="B592" t="inlineStr">
        <is>
          <t>PT11126</t>
        </is>
      </c>
      <c r="C592" s="42" t="n">
        <v>45756</v>
      </c>
      <c r="D592" s="42" t="n">
        <v>45756</v>
      </c>
      <c r="E592" s="38" t="n">
        <v>0</v>
      </c>
      <c r="F592" t="inlineStr">
        <is>
          <t>Emergency</t>
        </is>
      </c>
      <c r="G592" t="inlineStr">
        <is>
          <t>Cedar Ridge Medical Center</t>
        </is>
      </c>
      <c r="H592" t="inlineStr">
        <is>
          <t>Emergency Department</t>
        </is>
      </c>
      <c r="I592" t="inlineStr">
        <is>
          <t>Emergency</t>
        </is>
      </c>
      <c r="J592" t="inlineStr">
        <is>
          <t>Henry, Brenda</t>
        </is>
      </c>
      <c r="K592" t="inlineStr">
        <is>
          <t>R10.9</t>
        </is>
      </c>
      <c r="L592" t="inlineStr">
        <is>
          <t>Symptoms &amp; Signs</t>
        </is>
      </c>
      <c r="M592" t="inlineStr">
        <is>
          <t>Summit Choice PPO</t>
        </is>
      </c>
      <c r="N592" t="inlineStr">
        <is>
          <t>Commercial</t>
        </is>
      </c>
      <c r="O592" s="39" t="n">
        <v>3312.47</v>
      </c>
    </row>
    <row r="593">
      <c r="A593" t="inlineStr">
        <is>
          <t>ENC114069</t>
        </is>
      </c>
      <c r="B593" t="inlineStr">
        <is>
          <t>PT11272</t>
        </is>
      </c>
      <c r="C593" s="42" t="n">
        <v>45757</v>
      </c>
      <c r="D593" s="42" t="n">
        <v>45757</v>
      </c>
      <c r="E593" s="38" t="n">
        <v>0</v>
      </c>
      <c r="F593" t="inlineStr">
        <is>
          <t>Outpatient</t>
        </is>
      </c>
      <c r="G593" t="inlineStr">
        <is>
          <t>Bluestone Outpatient Pavilion</t>
        </is>
      </c>
      <c r="H593" t="inlineStr">
        <is>
          <t>Pediatric Clinic</t>
        </is>
      </c>
      <c r="I593" t="inlineStr">
        <is>
          <t>Women &amp; Children</t>
        </is>
      </c>
      <c r="J593" t="inlineStr">
        <is>
          <t>Herrera, Christian</t>
        </is>
      </c>
      <c r="K593" t="inlineStr">
        <is>
          <t>Z00.129</t>
        </is>
      </c>
      <c r="L593" t="inlineStr">
        <is>
          <t>Factors Influencing Health</t>
        </is>
      </c>
      <c r="M593" t="inlineStr">
        <is>
          <t>State Medicaid</t>
        </is>
      </c>
      <c r="N593" t="inlineStr">
        <is>
          <t>Government</t>
        </is>
      </c>
      <c r="O593" s="39" t="n">
        <v>279.16</v>
      </c>
    </row>
    <row r="594">
      <c r="A594" t="inlineStr">
        <is>
          <t>ENC114070</t>
        </is>
      </c>
      <c r="B594" t="inlineStr">
        <is>
          <t>PT13163</t>
        </is>
      </c>
      <c r="C594" s="42" t="n">
        <v>45757</v>
      </c>
      <c r="D594" s="42" t="n">
        <v>45757</v>
      </c>
      <c r="E594" s="38" t="n">
        <v>0</v>
      </c>
      <c r="F594" t="inlineStr">
        <is>
          <t>Outpatient</t>
        </is>
      </c>
      <c r="G594" t="inlineStr">
        <is>
          <t>Bluestone Outpatient Pavilion</t>
        </is>
      </c>
      <c r="H594" t="inlineStr">
        <is>
          <t>Primary Care Clinic</t>
        </is>
      </c>
      <c r="I594" t="inlineStr">
        <is>
          <t>Ambulatory</t>
        </is>
      </c>
      <c r="J594" t="inlineStr">
        <is>
          <t>Nguyen, Isabella</t>
        </is>
      </c>
      <c r="K594" t="inlineStr">
        <is>
          <t>J06.9</t>
        </is>
      </c>
      <c r="L594" t="inlineStr">
        <is>
          <t>Respiratory</t>
        </is>
      </c>
      <c r="M594" t="inlineStr">
        <is>
          <t>Self-Pay</t>
        </is>
      </c>
      <c r="N594" t="inlineStr">
        <is>
          <t>Self-Pay</t>
        </is>
      </c>
      <c r="O594" s="39" t="n">
        <v>254.05</v>
      </c>
    </row>
    <row r="595">
      <c r="A595" t="inlineStr">
        <is>
          <t>ENC114071</t>
        </is>
      </c>
      <c r="B595" t="inlineStr">
        <is>
          <t>PT10210</t>
        </is>
      </c>
      <c r="C595" s="42" t="n">
        <v>45757</v>
      </c>
      <c r="D595" s="42" t="n">
        <v>45757</v>
      </c>
      <c r="E595" s="38" t="n">
        <v>0</v>
      </c>
      <c r="F595" t="inlineStr">
        <is>
          <t>Emergency</t>
        </is>
      </c>
      <c r="G595" t="inlineStr">
        <is>
          <t>Bluestone Memorial Hospital</t>
        </is>
      </c>
      <c r="H595" t="inlineStr">
        <is>
          <t>Emergency Department</t>
        </is>
      </c>
      <c r="I595" t="inlineStr">
        <is>
          <t>Emergency</t>
        </is>
      </c>
      <c r="J595" t="inlineStr">
        <is>
          <t>Cruz, Mia</t>
        </is>
      </c>
      <c r="K595" t="inlineStr">
        <is>
          <t>R10.9</t>
        </is>
      </c>
      <c r="L595" t="inlineStr">
        <is>
          <t>Symptoms &amp; Signs</t>
        </is>
      </c>
      <c r="M595" t="inlineStr">
        <is>
          <t>State Medicaid</t>
        </is>
      </c>
      <c r="N595" t="inlineStr">
        <is>
          <t>Government</t>
        </is>
      </c>
      <c r="O595" s="39" t="n">
        <v>3143.1</v>
      </c>
    </row>
    <row r="596">
      <c r="A596" t="inlineStr">
        <is>
          <t>ENC114072</t>
        </is>
      </c>
      <c r="B596" t="inlineStr">
        <is>
          <t>PT11037</t>
        </is>
      </c>
      <c r="C596" s="42" t="n">
        <v>45757</v>
      </c>
      <c r="D596" s="42" t="n">
        <v>45757</v>
      </c>
      <c r="E596" s="38" t="n">
        <v>0</v>
      </c>
      <c r="F596" t="inlineStr">
        <is>
          <t>Emergency</t>
        </is>
      </c>
      <c r="G596" t="inlineStr">
        <is>
          <t>Bluestone Memorial Hospital</t>
        </is>
      </c>
      <c r="H596" t="inlineStr">
        <is>
          <t>Emergency Department</t>
        </is>
      </c>
      <c r="I596" t="inlineStr">
        <is>
          <t>Emergency</t>
        </is>
      </c>
      <c r="J596" t="inlineStr">
        <is>
          <t>Sullivan, Jacob</t>
        </is>
      </c>
      <c r="K596" t="inlineStr">
        <is>
          <t>F10.239</t>
        </is>
      </c>
      <c r="L596" t="inlineStr">
        <is>
          <t>Mental &amp; Behavioral</t>
        </is>
      </c>
      <c r="M596" t="inlineStr">
        <is>
          <t>Silverline Medicare Advantage</t>
        </is>
      </c>
      <c r="N596" t="inlineStr">
        <is>
          <t>Medicare Advantage</t>
        </is>
      </c>
      <c r="O596" s="39" t="n">
        <v>5672.45</v>
      </c>
    </row>
    <row r="597">
      <c r="A597" t="inlineStr">
        <is>
          <t>ENC114074</t>
        </is>
      </c>
      <c r="B597" t="inlineStr">
        <is>
          <t>PT10453</t>
        </is>
      </c>
      <c r="C597" s="42" t="n">
        <v>45757</v>
      </c>
      <c r="D597" s="42" t="n">
        <v>45757</v>
      </c>
      <c r="E597" s="38" t="n">
        <v>0</v>
      </c>
      <c r="F597" t="inlineStr">
        <is>
          <t>Emergency</t>
        </is>
      </c>
      <c r="G597" t="inlineStr">
        <is>
          <t>Bluestone Memorial Hospital</t>
        </is>
      </c>
      <c r="H597" t="inlineStr">
        <is>
          <t>Emergency Department</t>
        </is>
      </c>
      <c r="I597" t="inlineStr">
        <is>
          <t>Emergency</t>
        </is>
      </c>
      <c r="J597" t="inlineStr">
        <is>
          <t>Cruz, Mia</t>
        </is>
      </c>
      <c r="K597" t="inlineStr">
        <is>
          <t>F32.9</t>
        </is>
      </c>
      <c r="L597" t="inlineStr">
        <is>
          <t>Mental &amp; Behavioral</t>
        </is>
      </c>
      <c r="M597" t="inlineStr">
        <is>
          <t>State Medicaid</t>
        </is>
      </c>
      <c r="N597" t="inlineStr">
        <is>
          <t>Government</t>
        </is>
      </c>
      <c r="O597" s="39" t="n">
        <v>5604.46</v>
      </c>
    </row>
    <row r="598">
      <c r="A598" t="inlineStr">
        <is>
          <t>ENC114077</t>
        </is>
      </c>
      <c r="B598" t="inlineStr">
        <is>
          <t>PT13683</t>
        </is>
      </c>
      <c r="C598" s="42" t="n">
        <v>45757</v>
      </c>
      <c r="D598" s="42" t="n">
        <v>45757</v>
      </c>
      <c r="E598" s="38" t="n">
        <v>0</v>
      </c>
      <c r="F598" t="inlineStr">
        <is>
          <t>Outpatient</t>
        </is>
      </c>
      <c r="G598" t="inlineStr">
        <is>
          <t>Bluestone Outpatient Pavilion</t>
        </is>
      </c>
      <c r="H598" t="inlineStr">
        <is>
          <t>Cardiology Clinic</t>
        </is>
      </c>
      <c r="I598" t="inlineStr">
        <is>
          <t>Cardiovascular</t>
        </is>
      </c>
      <c r="J598" t="inlineStr">
        <is>
          <t>Jenkins, Brittany</t>
        </is>
      </c>
      <c r="K598" t="inlineStr">
        <is>
          <t>I50.9</t>
        </is>
      </c>
      <c r="L598" t="inlineStr">
        <is>
          <t>Circulatory</t>
        </is>
      </c>
      <c r="M598" t="inlineStr">
        <is>
          <t>Evergreen Mutual Insurance</t>
        </is>
      </c>
      <c r="N598" t="inlineStr">
        <is>
          <t>Commercial</t>
        </is>
      </c>
      <c r="O598" s="39" t="n">
        <v>315.86</v>
      </c>
    </row>
    <row r="599">
      <c r="A599" t="inlineStr">
        <is>
          <t>ENC114087</t>
        </is>
      </c>
      <c r="B599" t="inlineStr">
        <is>
          <t>PT13531</t>
        </is>
      </c>
      <c r="C599" s="42" t="n">
        <v>45757</v>
      </c>
      <c r="D599" s="42" t="n">
        <v>45766</v>
      </c>
      <c r="E599" s="38" t="n">
        <v>9</v>
      </c>
      <c r="F599" t="inlineStr">
        <is>
          <t>Inpatient</t>
        </is>
      </c>
      <c r="G599" t="inlineStr">
        <is>
          <t>Bluestone Memorial Hospital</t>
        </is>
      </c>
      <c r="H599" t="inlineStr">
        <is>
          <t>Medical-Surgical 4 West</t>
        </is>
      </c>
      <c r="I599" t="inlineStr">
        <is>
          <t>Medicine</t>
        </is>
      </c>
      <c r="J599" t="inlineStr">
        <is>
          <t>Cruz, Roger</t>
        </is>
      </c>
      <c r="K599" t="inlineStr">
        <is>
          <t>J18.9</t>
        </is>
      </c>
      <c r="L599" t="inlineStr">
        <is>
          <t>Respiratory</t>
        </is>
      </c>
      <c r="M599" t="inlineStr">
        <is>
          <t>State Medicaid</t>
        </is>
      </c>
      <c r="N599" t="inlineStr">
        <is>
          <t>Government</t>
        </is>
      </c>
      <c r="O599" s="39" t="n">
        <v>57737.77</v>
      </c>
      <c r="P599" t="inlineStr">
        <is>
          <t>N</t>
        </is>
      </c>
    </row>
    <row r="600">
      <c r="A600" t="inlineStr">
        <is>
          <t>ENC114093</t>
        </is>
      </c>
      <c r="B600" t="inlineStr">
        <is>
          <t>PT10047</t>
        </is>
      </c>
      <c r="C600" s="42" t="n">
        <v>45757</v>
      </c>
      <c r="D600" s="42" t="n">
        <v>45757</v>
      </c>
      <c r="E600" s="38" t="n">
        <v>0</v>
      </c>
      <c r="F600" t="inlineStr">
        <is>
          <t>Emergency</t>
        </is>
      </c>
      <c r="G600" t="inlineStr">
        <is>
          <t>Cedar Ridge Medical Center</t>
        </is>
      </c>
      <c r="H600" t="inlineStr">
        <is>
          <t>Emergency Department</t>
        </is>
      </c>
      <c r="I600" t="inlineStr">
        <is>
          <t>Emergency</t>
        </is>
      </c>
      <c r="J600" t="inlineStr">
        <is>
          <t>Henry, Brenda</t>
        </is>
      </c>
      <c r="K600" t="inlineStr">
        <is>
          <t>A08.4</t>
        </is>
      </c>
      <c r="L600" t="inlineStr">
        <is>
          <t>Infectious</t>
        </is>
      </c>
      <c r="M600" t="inlineStr">
        <is>
          <t>State Medicaid</t>
        </is>
      </c>
      <c r="N600" t="inlineStr">
        <is>
          <t>Government</t>
        </is>
      </c>
      <c r="O600" s="39" t="n">
        <v>1223.79</v>
      </c>
    </row>
    <row r="601">
      <c r="A601" t="inlineStr">
        <is>
          <t>ENC114094</t>
        </is>
      </c>
      <c r="B601" t="inlineStr">
        <is>
          <t>PT12230</t>
        </is>
      </c>
      <c r="C601" s="42" t="n">
        <v>45757</v>
      </c>
      <c r="D601" s="42" t="n">
        <v>45761</v>
      </c>
      <c r="E601" s="38" t="n">
        <v>4</v>
      </c>
      <c r="F601" t="inlineStr">
        <is>
          <t>Inpatient</t>
        </is>
      </c>
      <c r="G601" t="inlineStr">
        <is>
          <t>Ashby Falls Community Hospital</t>
        </is>
      </c>
      <c r="H601" t="inlineStr">
        <is>
          <t>Medical-Surgical</t>
        </is>
      </c>
      <c r="I601" t="inlineStr">
        <is>
          <t>Medicine</t>
        </is>
      </c>
      <c r="J601" t="inlineStr">
        <is>
          <t>Murray, Stephanie</t>
        </is>
      </c>
      <c r="K601" t="inlineStr">
        <is>
          <t>I50.9</t>
        </is>
      </c>
      <c r="L601" t="inlineStr">
        <is>
          <t>Circulatory</t>
        </is>
      </c>
      <c r="M601" t="inlineStr">
        <is>
          <t>Medicare</t>
        </is>
      </c>
      <c r="N601" t="inlineStr">
        <is>
          <t>Government</t>
        </is>
      </c>
      <c r="O601" s="39" t="n">
        <v>17346.28</v>
      </c>
      <c r="P601" t="inlineStr">
        <is>
          <t>N</t>
        </is>
      </c>
    </row>
    <row r="602">
      <c r="A602" t="inlineStr">
        <is>
          <t>ENC114098</t>
        </is>
      </c>
      <c r="B602" t="inlineStr">
        <is>
          <t>PT11461</t>
        </is>
      </c>
      <c r="C602" s="42" t="n">
        <v>45758</v>
      </c>
      <c r="D602" s="42" t="n">
        <v>45758</v>
      </c>
      <c r="E602" s="38" t="n">
        <v>0</v>
      </c>
      <c r="F602" t="inlineStr">
        <is>
          <t>Emergency</t>
        </is>
      </c>
      <c r="G602" t="inlineStr">
        <is>
          <t>Bluestone Memorial Hospital</t>
        </is>
      </c>
      <c r="H602" t="inlineStr">
        <is>
          <t>Emergency Department</t>
        </is>
      </c>
      <c r="I602" t="inlineStr">
        <is>
          <t>Emergency</t>
        </is>
      </c>
      <c r="J602" t="inlineStr">
        <is>
          <t>Foster, Patrick</t>
        </is>
      </c>
      <c r="K602" t="inlineStr">
        <is>
          <t>J45.909</t>
        </is>
      </c>
      <c r="L602" t="inlineStr">
        <is>
          <t>Respiratory</t>
        </is>
      </c>
      <c r="M602" t="inlineStr">
        <is>
          <t>State Medicaid</t>
        </is>
      </c>
      <c r="N602" t="inlineStr">
        <is>
          <t>Government</t>
        </is>
      </c>
      <c r="O602" s="39" t="n">
        <v>3317.38</v>
      </c>
    </row>
    <row r="603">
      <c r="A603" t="inlineStr">
        <is>
          <t>ENC114109</t>
        </is>
      </c>
      <c r="B603" t="inlineStr">
        <is>
          <t>PT12608</t>
        </is>
      </c>
      <c r="C603" s="42" t="n">
        <v>45758</v>
      </c>
      <c r="D603" s="42" t="n">
        <v>45758</v>
      </c>
      <c r="E603" s="38" t="n">
        <v>0</v>
      </c>
      <c r="F603" t="inlineStr">
        <is>
          <t>Outpatient</t>
        </is>
      </c>
      <c r="G603" t="inlineStr">
        <is>
          <t>Bluestone Outpatient Pavilion</t>
        </is>
      </c>
      <c r="H603" t="inlineStr">
        <is>
          <t>Primary Care Clinic</t>
        </is>
      </c>
      <c r="I603" t="inlineStr">
        <is>
          <t>Ambulatory</t>
        </is>
      </c>
      <c r="J603" t="inlineStr">
        <is>
          <t>Alvarado, George</t>
        </is>
      </c>
      <c r="K603" t="inlineStr">
        <is>
          <t>A08.4</t>
        </is>
      </c>
      <c r="L603" t="inlineStr">
        <is>
          <t>Infectious</t>
        </is>
      </c>
      <c r="M603" t="inlineStr">
        <is>
          <t>Summit Choice PPO</t>
        </is>
      </c>
      <c r="N603" t="inlineStr">
        <is>
          <t>Commercial</t>
        </is>
      </c>
      <c r="O603" s="39" t="n">
        <v>261.61</v>
      </c>
    </row>
    <row r="604">
      <c r="A604" t="inlineStr">
        <is>
          <t>ENC114113</t>
        </is>
      </c>
      <c r="B604" t="inlineStr">
        <is>
          <t>PT12698</t>
        </is>
      </c>
      <c r="C604" s="42" t="n">
        <v>45758</v>
      </c>
      <c r="D604" s="42" t="n">
        <v>45758</v>
      </c>
      <c r="E604" s="38" t="n">
        <v>0</v>
      </c>
      <c r="F604" t="inlineStr">
        <is>
          <t>Outpatient</t>
        </is>
      </c>
      <c r="G604" t="inlineStr">
        <is>
          <t>Bluestone Outpatient Pavilion</t>
        </is>
      </c>
      <c r="H604" t="inlineStr">
        <is>
          <t>Pediatric Clinic</t>
        </is>
      </c>
      <c r="I604" t="inlineStr">
        <is>
          <t>Women &amp; Children</t>
        </is>
      </c>
      <c r="J604" t="inlineStr">
        <is>
          <t>Brown, Stephanie</t>
        </is>
      </c>
      <c r="K604" t="inlineStr">
        <is>
          <t>J06.9</t>
        </is>
      </c>
      <c r="L604" t="inlineStr">
        <is>
          <t>Respiratory</t>
        </is>
      </c>
      <c r="M604" t="inlineStr">
        <is>
          <t>State Medicaid</t>
        </is>
      </c>
      <c r="N604" t="inlineStr">
        <is>
          <t>Government</t>
        </is>
      </c>
      <c r="O604" s="39" t="n">
        <v>221.27</v>
      </c>
    </row>
    <row r="605">
      <c r="A605" t="inlineStr">
        <is>
          <t>ENC114123</t>
        </is>
      </c>
      <c r="B605" t="inlineStr">
        <is>
          <t>PT12331</t>
        </is>
      </c>
      <c r="C605" s="42" t="n">
        <v>45758</v>
      </c>
      <c r="D605" s="42" t="n">
        <v>45758</v>
      </c>
      <c r="E605" s="38" t="n">
        <v>0</v>
      </c>
      <c r="F605" t="inlineStr">
        <is>
          <t>Outpatient</t>
        </is>
      </c>
      <c r="G605" t="inlineStr">
        <is>
          <t>Bluestone Outpatient Pavilion</t>
        </is>
      </c>
      <c r="H605" t="inlineStr">
        <is>
          <t>Cardiology Clinic</t>
        </is>
      </c>
      <c r="I605" t="inlineStr">
        <is>
          <t>Cardiovascular</t>
        </is>
      </c>
      <c r="J605" t="inlineStr">
        <is>
          <t>Jenkins, Brittany</t>
        </is>
      </c>
      <c r="K605" t="inlineStr">
        <is>
          <t>I48.91</t>
        </is>
      </c>
      <c r="L605" t="inlineStr">
        <is>
          <t>Circulatory</t>
        </is>
      </c>
      <c r="M605" t="inlineStr">
        <is>
          <t>Medicare</t>
        </is>
      </c>
      <c r="N605" t="inlineStr">
        <is>
          <t>Government</t>
        </is>
      </c>
      <c r="O605" s="39" t="n">
        <v>325.54</v>
      </c>
    </row>
    <row r="606">
      <c r="A606" t="inlineStr">
        <is>
          <t>ENC114132</t>
        </is>
      </c>
      <c r="B606" t="inlineStr">
        <is>
          <t>PT12811</t>
        </is>
      </c>
      <c r="C606" s="42" t="n">
        <v>45758</v>
      </c>
      <c r="D606" s="42" t="n">
        <v>45759</v>
      </c>
      <c r="E606" s="38" t="n">
        <v>1</v>
      </c>
      <c r="F606" t="inlineStr">
        <is>
          <t>Emergency</t>
        </is>
      </c>
      <c r="G606" t="inlineStr">
        <is>
          <t>Bluestone Memorial Hospital</t>
        </is>
      </c>
      <c r="H606" t="inlineStr">
        <is>
          <t>Emergency Department</t>
        </is>
      </c>
      <c r="I606" t="inlineStr">
        <is>
          <t>Emergency</t>
        </is>
      </c>
      <c r="J606" t="inlineStr">
        <is>
          <t>Morris, Jordan</t>
        </is>
      </c>
      <c r="K606" t="inlineStr">
        <is>
          <t>G43.909</t>
        </is>
      </c>
      <c r="L606" t="inlineStr">
        <is>
          <t>Nervous System</t>
        </is>
      </c>
      <c r="M606" t="inlineStr">
        <is>
          <t>Keystone Health Partners</t>
        </is>
      </c>
      <c r="N606" t="inlineStr">
        <is>
          <t>Commercial</t>
        </is>
      </c>
      <c r="O606" s="39" t="n">
        <v>3625.39</v>
      </c>
    </row>
    <row r="607">
      <c r="A607" t="inlineStr">
        <is>
          <t>ENC114141</t>
        </is>
      </c>
      <c r="B607" t="inlineStr">
        <is>
          <t>PT12615</t>
        </is>
      </c>
      <c r="C607" s="42" t="n">
        <v>45759</v>
      </c>
      <c r="D607" s="42" t="n">
        <v>45759</v>
      </c>
      <c r="E607" s="38" t="n">
        <v>0</v>
      </c>
      <c r="F607" t="inlineStr">
        <is>
          <t>Emergency</t>
        </is>
      </c>
      <c r="G607" t="inlineStr">
        <is>
          <t>Bluestone Memorial Hospital</t>
        </is>
      </c>
      <c r="H607" t="inlineStr">
        <is>
          <t>Emergency Department</t>
        </is>
      </c>
      <c r="I607" t="inlineStr">
        <is>
          <t>Emergency</t>
        </is>
      </c>
      <c r="J607" t="inlineStr">
        <is>
          <t>Mendoza, Alexander</t>
        </is>
      </c>
      <c r="K607" t="inlineStr">
        <is>
          <t>G40.909</t>
        </is>
      </c>
      <c r="L607" t="inlineStr">
        <is>
          <t>Nervous System</t>
        </is>
      </c>
      <c r="M607" t="inlineStr">
        <is>
          <t>State Medicaid</t>
        </is>
      </c>
      <c r="N607" t="inlineStr">
        <is>
          <t>Government</t>
        </is>
      </c>
      <c r="O607" s="39" t="n">
        <v>3524.12</v>
      </c>
    </row>
    <row r="608">
      <c r="A608" t="inlineStr">
        <is>
          <t>ENC114145</t>
        </is>
      </c>
      <c r="B608" t="inlineStr">
        <is>
          <t>PT13227</t>
        </is>
      </c>
      <c r="C608" s="42" t="n">
        <v>45759</v>
      </c>
      <c r="D608" s="42" t="n">
        <v>45760</v>
      </c>
      <c r="E608" s="38" t="n">
        <v>1</v>
      </c>
      <c r="F608" t="inlineStr">
        <is>
          <t>Emergency</t>
        </is>
      </c>
      <c r="G608" t="inlineStr">
        <is>
          <t>Bluestone Memorial Hospital</t>
        </is>
      </c>
      <c r="H608" t="inlineStr">
        <is>
          <t>Emergency Department</t>
        </is>
      </c>
      <c r="I608" t="inlineStr">
        <is>
          <t>Emergency</t>
        </is>
      </c>
      <c r="J608" t="inlineStr">
        <is>
          <t>Gonzales, Mia</t>
        </is>
      </c>
      <c r="K608" t="inlineStr">
        <is>
          <t>J06.9</t>
        </is>
      </c>
      <c r="L608" t="inlineStr">
        <is>
          <t>Respiratory</t>
        </is>
      </c>
      <c r="M608" t="inlineStr">
        <is>
          <t>Medicare</t>
        </is>
      </c>
      <c r="N608" t="inlineStr">
        <is>
          <t>Government</t>
        </is>
      </c>
      <c r="O608" s="39" t="n">
        <v>884.46</v>
      </c>
    </row>
    <row r="609">
      <c r="A609" t="inlineStr">
        <is>
          <t>ENC114147</t>
        </is>
      </c>
      <c r="B609" t="inlineStr">
        <is>
          <t>PT10635</t>
        </is>
      </c>
      <c r="C609" s="42" t="n">
        <v>45760</v>
      </c>
      <c r="D609" s="42" t="n">
        <v>45765</v>
      </c>
      <c r="E609" s="38" t="n">
        <v>5</v>
      </c>
      <c r="F609" t="inlineStr">
        <is>
          <t>Inpatient</t>
        </is>
      </c>
      <c r="G609" t="inlineStr">
        <is>
          <t>Bluestone Memorial Hospital</t>
        </is>
      </c>
      <c r="H609" t="inlineStr">
        <is>
          <t>Cardiac Step-Down</t>
        </is>
      </c>
      <c r="I609" t="inlineStr">
        <is>
          <t>Cardiovascular</t>
        </is>
      </c>
      <c r="J609" t="inlineStr">
        <is>
          <t>Russell, Larry</t>
        </is>
      </c>
      <c r="K609" t="inlineStr">
        <is>
          <t>I48.91</t>
        </is>
      </c>
      <c r="L609" t="inlineStr">
        <is>
          <t>Circulatory</t>
        </is>
      </c>
      <c r="M609" t="inlineStr">
        <is>
          <t>Silverline Medicare Advantage</t>
        </is>
      </c>
      <c r="N609" t="inlineStr">
        <is>
          <t>Medicare Advantage</t>
        </is>
      </c>
      <c r="O609" s="39" t="n">
        <v>32059.69</v>
      </c>
      <c r="P609" t="inlineStr">
        <is>
          <t>Y</t>
        </is>
      </c>
    </row>
    <row r="610">
      <c r="A610" t="inlineStr">
        <is>
          <t>ENC114148</t>
        </is>
      </c>
      <c r="B610" t="inlineStr">
        <is>
          <t>PT12874</t>
        </is>
      </c>
      <c r="C610" s="42" t="n">
        <v>45760</v>
      </c>
      <c r="D610" s="42" t="n">
        <v>45764</v>
      </c>
      <c r="E610" s="38" t="n">
        <v>4</v>
      </c>
      <c r="F610" t="inlineStr">
        <is>
          <t>Inpatient</t>
        </is>
      </c>
      <c r="G610" t="inlineStr">
        <is>
          <t>Ashby Falls Community Hospital</t>
        </is>
      </c>
      <c r="H610" t="inlineStr">
        <is>
          <t>Intensive Care Unit</t>
        </is>
      </c>
      <c r="I610" t="inlineStr">
        <is>
          <t>Critical Care</t>
        </is>
      </c>
      <c r="J610" t="inlineStr">
        <is>
          <t>Gutierrez, Donald</t>
        </is>
      </c>
      <c r="K610" t="inlineStr">
        <is>
          <t>A41.9</t>
        </is>
      </c>
      <c r="L610" t="inlineStr">
        <is>
          <t>Infectious</t>
        </is>
      </c>
      <c r="M610" t="inlineStr">
        <is>
          <t>Keystone Health Partners</t>
        </is>
      </c>
      <c r="N610" t="inlineStr">
        <is>
          <t>Commercial</t>
        </is>
      </c>
      <c r="O610" s="39" t="n">
        <v>42336.11</v>
      </c>
      <c r="P610" t="inlineStr">
        <is>
          <t>Y</t>
        </is>
      </c>
    </row>
    <row r="611">
      <c r="A611" t="inlineStr">
        <is>
          <t>ENC114150</t>
        </is>
      </c>
      <c r="B611" t="inlineStr">
        <is>
          <t>PT10876</t>
        </is>
      </c>
      <c r="C611" s="42" t="n">
        <v>45760</v>
      </c>
      <c r="D611" s="42" t="n">
        <v>45763</v>
      </c>
      <c r="E611" s="38" t="n">
        <v>3</v>
      </c>
      <c r="F611" t="inlineStr">
        <is>
          <t>Inpatient</t>
        </is>
      </c>
      <c r="G611" t="inlineStr">
        <is>
          <t>Ashby Falls Community Hospital</t>
        </is>
      </c>
      <c r="H611" t="inlineStr">
        <is>
          <t>Medical-Surgical</t>
        </is>
      </c>
      <c r="I611" t="inlineStr">
        <is>
          <t>Medicine</t>
        </is>
      </c>
      <c r="J611" t="inlineStr">
        <is>
          <t>Murray, Stephanie</t>
        </is>
      </c>
      <c r="K611" t="inlineStr">
        <is>
          <t>N39.0</t>
        </is>
      </c>
      <c r="L611" t="inlineStr">
        <is>
          <t>Genitourinary</t>
        </is>
      </c>
      <c r="M611" t="inlineStr">
        <is>
          <t>State Medicaid</t>
        </is>
      </c>
      <c r="N611" t="inlineStr">
        <is>
          <t>Government</t>
        </is>
      </c>
      <c r="O611" s="39" t="n">
        <v>17107.79</v>
      </c>
      <c r="P611" t="inlineStr">
        <is>
          <t>N</t>
        </is>
      </c>
    </row>
    <row r="612">
      <c r="A612" t="inlineStr">
        <is>
          <t>ENC114154</t>
        </is>
      </c>
      <c r="B612" t="inlineStr">
        <is>
          <t>PT11298</t>
        </is>
      </c>
      <c r="C612" s="42" t="n">
        <v>45760</v>
      </c>
      <c r="D612" s="42" t="n">
        <v>45766</v>
      </c>
      <c r="E612" s="38" t="n">
        <v>6</v>
      </c>
      <c r="F612" t="inlineStr">
        <is>
          <t>Inpatient</t>
        </is>
      </c>
      <c r="G612" t="inlineStr">
        <is>
          <t>Bluestone Memorial Hospital</t>
        </is>
      </c>
      <c r="H612" t="inlineStr">
        <is>
          <t>Medical-Surgical 4 West</t>
        </is>
      </c>
      <c r="I612" t="inlineStr">
        <is>
          <t>Medicine</t>
        </is>
      </c>
      <c r="J612" t="inlineStr">
        <is>
          <t>Hunt, Richard</t>
        </is>
      </c>
      <c r="K612" t="inlineStr">
        <is>
          <t>J44.1</t>
        </is>
      </c>
      <c r="L612" t="inlineStr">
        <is>
          <t>Respiratory</t>
        </is>
      </c>
      <c r="M612" t="inlineStr">
        <is>
          <t>Silverline Medicare Advantage</t>
        </is>
      </c>
      <c r="N612" t="inlineStr">
        <is>
          <t>Medicare Advantage</t>
        </is>
      </c>
      <c r="O612" s="39" t="n">
        <v>18264.59</v>
      </c>
      <c r="P612" t="inlineStr">
        <is>
          <t>N</t>
        </is>
      </c>
    </row>
    <row r="613">
      <c r="A613" t="inlineStr">
        <is>
          <t>ENC114168</t>
        </is>
      </c>
      <c r="B613" t="inlineStr">
        <is>
          <t>PT10021</t>
        </is>
      </c>
      <c r="C613" s="42" t="n">
        <v>45761</v>
      </c>
      <c r="D613" s="42" t="n">
        <v>45761</v>
      </c>
      <c r="E613" s="38" t="n">
        <v>0</v>
      </c>
      <c r="F613" t="inlineStr">
        <is>
          <t>Outpatient</t>
        </is>
      </c>
      <c r="G613" t="inlineStr">
        <is>
          <t>Bluestone Outpatient Pavilion</t>
        </is>
      </c>
      <c r="H613" t="inlineStr">
        <is>
          <t>Orthopedic Clinic</t>
        </is>
      </c>
      <c r="I613" t="inlineStr">
        <is>
          <t>Orthopedics</t>
        </is>
      </c>
      <c r="J613" t="inlineStr">
        <is>
          <t>Wagner, Carlos</t>
        </is>
      </c>
      <c r="K613" t="inlineStr">
        <is>
          <t>M16.11</t>
        </is>
      </c>
      <c r="L613" t="inlineStr">
        <is>
          <t>Musculoskeletal</t>
        </is>
      </c>
      <c r="M613" t="inlineStr">
        <is>
          <t>Summit Choice PPO</t>
        </is>
      </c>
      <c r="N613" t="inlineStr">
        <is>
          <t>Commercial</t>
        </is>
      </c>
      <c r="O613" s="39" t="n">
        <v>122.55</v>
      </c>
    </row>
    <row r="614">
      <c r="A614" t="inlineStr">
        <is>
          <t>ENC114169</t>
        </is>
      </c>
      <c r="B614" t="inlineStr">
        <is>
          <t>PT10652</t>
        </is>
      </c>
      <c r="C614" s="42" t="n">
        <v>45761</v>
      </c>
      <c r="D614" s="42" t="n">
        <v>45761</v>
      </c>
      <c r="E614" s="38" t="n">
        <v>0</v>
      </c>
      <c r="F614" t="inlineStr">
        <is>
          <t>Outpatient</t>
        </is>
      </c>
      <c r="G614" t="inlineStr">
        <is>
          <t>Bluestone Outpatient Pavilion</t>
        </is>
      </c>
      <c r="H614" t="inlineStr">
        <is>
          <t>Pediatric Clinic</t>
        </is>
      </c>
      <c r="I614" t="inlineStr">
        <is>
          <t>Women &amp; Children</t>
        </is>
      </c>
      <c r="J614" t="inlineStr">
        <is>
          <t>Aguilar, Linh</t>
        </is>
      </c>
      <c r="K614" t="inlineStr">
        <is>
          <t>Z00.129</t>
        </is>
      </c>
      <c r="L614" t="inlineStr">
        <is>
          <t>Factors Influencing Health</t>
        </is>
      </c>
      <c r="M614" t="inlineStr">
        <is>
          <t>Evergreen Mutual Insurance</t>
        </is>
      </c>
      <c r="N614" t="inlineStr">
        <is>
          <t>Commercial</t>
        </is>
      </c>
      <c r="O614" s="39" t="n">
        <v>343.88</v>
      </c>
    </row>
    <row r="615">
      <c r="A615" t="inlineStr">
        <is>
          <t>ENC114170</t>
        </is>
      </c>
      <c r="B615" t="inlineStr">
        <is>
          <t>PT11480</t>
        </is>
      </c>
      <c r="C615" s="42" t="n">
        <v>45761</v>
      </c>
      <c r="D615" s="42" t="n">
        <v>45761</v>
      </c>
      <c r="E615" s="38" t="n">
        <v>0</v>
      </c>
      <c r="F615" t="inlineStr">
        <is>
          <t>Outpatient</t>
        </is>
      </c>
      <c r="G615" t="inlineStr">
        <is>
          <t>Bluestone Outpatient Pavilion</t>
        </is>
      </c>
      <c r="H615" t="inlineStr">
        <is>
          <t>Primary Care Clinic</t>
        </is>
      </c>
      <c r="I615" t="inlineStr">
        <is>
          <t>Ambulatory</t>
        </is>
      </c>
      <c r="J615" t="inlineStr">
        <is>
          <t>Black, Nancy</t>
        </is>
      </c>
      <c r="K615" t="inlineStr">
        <is>
          <t>M54.50</t>
        </is>
      </c>
      <c r="L615" t="inlineStr">
        <is>
          <t>Musculoskeletal</t>
        </is>
      </c>
      <c r="M615" t="inlineStr">
        <is>
          <t>Keystone Health Partners</t>
        </is>
      </c>
      <c r="N615" t="inlineStr">
        <is>
          <t>Commercial</t>
        </is>
      </c>
      <c r="O615" s="39" t="n">
        <v>395.56</v>
      </c>
    </row>
    <row r="616">
      <c r="A616" t="inlineStr">
        <is>
          <t>ENC114178</t>
        </is>
      </c>
      <c r="B616" t="inlineStr">
        <is>
          <t>PT13475</t>
        </is>
      </c>
      <c r="C616" s="42" t="n">
        <v>45761</v>
      </c>
      <c r="D616" s="42" t="n">
        <v>45761</v>
      </c>
      <c r="E616" s="38" t="n">
        <v>0</v>
      </c>
      <c r="F616" t="inlineStr">
        <is>
          <t>Emergency</t>
        </is>
      </c>
      <c r="G616" t="inlineStr">
        <is>
          <t>Cedar Ridge Medical Center</t>
        </is>
      </c>
      <c r="H616" t="inlineStr">
        <is>
          <t>Emergency Department</t>
        </is>
      </c>
      <c r="I616" t="inlineStr">
        <is>
          <t>Emergency</t>
        </is>
      </c>
      <c r="J616" t="inlineStr">
        <is>
          <t>Pena, Wayne</t>
        </is>
      </c>
      <c r="K616" t="inlineStr">
        <is>
          <t>R10.9</t>
        </is>
      </c>
      <c r="L616" t="inlineStr">
        <is>
          <t>Symptoms &amp; Signs</t>
        </is>
      </c>
      <c r="M616" t="inlineStr">
        <is>
          <t>Evergreen Mutual Insurance</t>
        </is>
      </c>
      <c r="N616" t="inlineStr">
        <is>
          <t>Commercial</t>
        </is>
      </c>
      <c r="O616" s="39" t="n">
        <v>1615.07</v>
      </c>
    </row>
    <row r="617">
      <c r="A617" t="inlineStr">
        <is>
          <t>ENC114179</t>
        </is>
      </c>
      <c r="B617" t="inlineStr">
        <is>
          <t>PT11705</t>
        </is>
      </c>
      <c r="C617" s="42" t="n">
        <v>45761</v>
      </c>
      <c r="D617" s="42" t="n">
        <v>45761</v>
      </c>
      <c r="E617" s="38" t="n">
        <v>0</v>
      </c>
      <c r="F617" t="inlineStr">
        <is>
          <t>Outpatient</t>
        </is>
      </c>
      <c r="G617" t="inlineStr">
        <is>
          <t>Bluestone Outpatient Pavilion</t>
        </is>
      </c>
      <c r="H617" t="inlineStr">
        <is>
          <t>Primary Care Clinic</t>
        </is>
      </c>
      <c r="I617" t="inlineStr">
        <is>
          <t>Ambulatory</t>
        </is>
      </c>
      <c r="J617" t="inlineStr">
        <is>
          <t>Osei, Julie</t>
        </is>
      </c>
      <c r="K617" t="inlineStr">
        <is>
          <t>E78.5</t>
        </is>
      </c>
      <c r="L617" t="inlineStr">
        <is>
          <t>Endocrine</t>
        </is>
      </c>
      <c r="M617" t="inlineStr">
        <is>
          <t>Evergreen Mutual Insurance</t>
        </is>
      </c>
      <c r="N617" t="inlineStr">
        <is>
          <t>Commercial</t>
        </is>
      </c>
      <c r="O617" s="39" t="n">
        <v>542.1900000000001</v>
      </c>
    </row>
    <row r="618">
      <c r="A618" t="inlineStr">
        <is>
          <t>ENC114197</t>
        </is>
      </c>
      <c r="B618" t="inlineStr">
        <is>
          <t>PT11462</t>
        </is>
      </c>
      <c r="C618" s="42" t="n">
        <v>45761</v>
      </c>
      <c r="D618" s="42" t="n">
        <v>45761</v>
      </c>
      <c r="E618" s="38" t="n">
        <v>0</v>
      </c>
      <c r="F618" t="inlineStr">
        <is>
          <t>Emergency</t>
        </is>
      </c>
      <c r="G618" t="inlineStr">
        <is>
          <t>Bluestone Memorial Hospital</t>
        </is>
      </c>
      <c r="H618" t="inlineStr">
        <is>
          <t>Emergency Department</t>
        </is>
      </c>
      <c r="I618" t="inlineStr">
        <is>
          <t>Emergency</t>
        </is>
      </c>
      <c r="J618" t="inlineStr">
        <is>
          <t>Foster, Patrick</t>
        </is>
      </c>
      <c r="K618" t="inlineStr">
        <is>
          <t>F20.9</t>
        </is>
      </c>
      <c r="L618" t="inlineStr">
        <is>
          <t>Mental &amp; Behavioral</t>
        </is>
      </c>
      <c r="M618" t="inlineStr">
        <is>
          <t>Keystone Health Partners</t>
        </is>
      </c>
      <c r="N618" t="inlineStr">
        <is>
          <t>Commercial</t>
        </is>
      </c>
      <c r="O618" s="39" t="n">
        <v>8323.09</v>
      </c>
    </row>
    <row r="619">
      <c r="A619" t="inlineStr">
        <is>
          <t>ENC114195</t>
        </is>
      </c>
      <c r="B619" t="inlineStr">
        <is>
          <t>PT10814</t>
        </is>
      </c>
      <c r="C619" s="42" t="n">
        <v>45761</v>
      </c>
      <c r="D619" s="42" t="n">
        <v>45786</v>
      </c>
      <c r="E619" s="38" t="n">
        <v>25</v>
      </c>
      <c r="F619" t="inlineStr">
        <is>
          <t>Inpatient</t>
        </is>
      </c>
      <c r="G619" t="inlineStr">
        <is>
          <t>Bluestone Memorial Hospital</t>
        </is>
      </c>
      <c r="H619" t="inlineStr">
        <is>
          <t>Behavioral Health</t>
        </is>
      </c>
      <c r="I619" t="inlineStr">
        <is>
          <t>Behavioral Health</t>
        </is>
      </c>
      <c r="J619" t="inlineStr">
        <is>
          <t>Clark, Frank</t>
        </is>
      </c>
      <c r="K619" t="inlineStr">
        <is>
          <t>F20.9</t>
        </is>
      </c>
      <c r="L619" t="inlineStr">
        <is>
          <t>Mental &amp; Behavioral</t>
        </is>
      </c>
      <c r="M619" t="inlineStr">
        <is>
          <t>Summit Choice PPO</t>
        </is>
      </c>
      <c r="N619" t="inlineStr">
        <is>
          <t>Commercial</t>
        </is>
      </c>
      <c r="O619" s="39" t="n">
        <v>73224.42</v>
      </c>
      <c r="P619" t="inlineStr">
        <is>
          <t>N</t>
        </is>
      </c>
    </row>
    <row r="620">
      <c r="A620" t="inlineStr">
        <is>
          <t>ENC114208</t>
        </is>
      </c>
      <c r="B620" t="inlineStr">
        <is>
          <t>PT11736</t>
        </is>
      </c>
      <c r="C620" s="42" t="n">
        <v>45762</v>
      </c>
      <c r="D620" s="42" t="n">
        <v>45762</v>
      </c>
      <c r="E620" s="38" t="n">
        <v>0</v>
      </c>
      <c r="F620" t="inlineStr">
        <is>
          <t>Outpatient</t>
        </is>
      </c>
      <c r="G620" t="inlineStr">
        <is>
          <t>Bluestone Outpatient Pavilion</t>
        </is>
      </c>
      <c r="H620" t="inlineStr">
        <is>
          <t>Endocrinology &amp; Diabetes Clinic</t>
        </is>
      </c>
      <c r="I620" t="inlineStr">
        <is>
          <t>Ambulatory</t>
        </is>
      </c>
      <c r="J620" t="inlineStr">
        <is>
          <t>Lee, Amber</t>
        </is>
      </c>
      <c r="K620" t="inlineStr">
        <is>
          <t>E11.9</t>
        </is>
      </c>
      <c r="L620" t="inlineStr">
        <is>
          <t>Endocrine</t>
        </is>
      </c>
      <c r="M620" t="inlineStr">
        <is>
          <t>Keystone Health Partners</t>
        </is>
      </c>
      <c r="N620" t="inlineStr">
        <is>
          <t>Commercial</t>
        </is>
      </c>
      <c r="O620" s="39" t="n">
        <v>422.31</v>
      </c>
    </row>
    <row r="621">
      <c r="A621" t="inlineStr">
        <is>
          <t>ENC114212</t>
        </is>
      </c>
      <c r="B621" t="inlineStr">
        <is>
          <t>PT11224</t>
        </is>
      </c>
      <c r="C621" s="42" t="n">
        <v>45762</v>
      </c>
      <c r="D621" s="42" t="n">
        <v>45762</v>
      </c>
      <c r="E621" s="38" t="n">
        <v>0</v>
      </c>
      <c r="F621" t="inlineStr">
        <is>
          <t>Outpatient</t>
        </is>
      </c>
      <c r="G621" t="inlineStr">
        <is>
          <t>Bluestone Outpatient Pavilion</t>
        </is>
      </c>
      <c r="H621" t="inlineStr">
        <is>
          <t>Primary Care Clinic</t>
        </is>
      </c>
      <c r="I621" t="inlineStr">
        <is>
          <t>Ambulatory</t>
        </is>
      </c>
      <c r="J621" t="inlineStr">
        <is>
          <t>Torres, Rebecca</t>
        </is>
      </c>
      <c r="K621" t="inlineStr">
        <is>
          <t>Z23</t>
        </is>
      </c>
      <c r="L621" t="inlineStr">
        <is>
          <t>Factors Influencing Health</t>
        </is>
      </c>
      <c r="M621" t="inlineStr">
        <is>
          <t>Medicare</t>
        </is>
      </c>
      <c r="N621" t="inlineStr">
        <is>
          <t>Government</t>
        </is>
      </c>
      <c r="O621" s="39" t="n">
        <v>108.4</v>
      </c>
    </row>
    <row r="622">
      <c r="A622" t="inlineStr">
        <is>
          <t>ENC114213</t>
        </is>
      </c>
      <c r="B622" t="inlineStr">
        <is>
          <t>PT11993</t>
        </is>
      </c>
      <c r="C622" s="42" t="n">
        <v>45762</v>
      </c>
      <c r="D622" s="42" t="n">
        <v>45762</v>
      </c>
      <c r="E622" s="38" t="n">
        <v>0</v>
      </c>
      <c r="F622" t="inlineStr">
        <is>
          <t>Emergency</t>
        </is>
      </c>
      <c r="G622" t="inlineStr">
        <is>
          <t>Bluestone Memorial Hospital</t>
        </is>
      </c>
      <c r="H622" t="inlineStr">
        <is>
          <t>Emergency Department</t>
        </is>
      </c>
      <c r="I622" t="inlineStr">
        <is>
          <t>Emergency</t>
        </is>
      </c>
      <c r="J622" t="inlineStr">
        <is>
          <t>Vasquez, Bruce</t>
        </is>
      </c>
      <c r="K622" t="inlineStr">
        <is>
          <t>R07.9</t>
        </is>
      </c>
      <c r="L622" t="inlineStr">
        <is>
          <t>Symptoms &amp; Signs</t>
        </is>
      </c>
      <c r="M622" t="inlineStr">
        <is>
          <t>State Medicaid</t>
        </is>
      </c>
      <c r="N622" t="inlineStr">
        <is>
          <t>Government</t>
        </is>
      </c>
      <c r="O622" s="39" t="n">
        <v>4794.73</v>
      </c>
    </row>
    <row r="623">
      <c r="A623" t="inlineStr">
        <is>
          <t>ENC114215</t>
        </is>
      </c>
      <c r="B623" t="inlineStr">
        <is>
          <t>PT10489</t>
        </is>
      </c>
      <c r="C623" s="42" t="n">
        <v>45762</v>
      </c>
      <c r="D623" s="42" t="n">
        <v>45762</v>
      </c>
      <c r="E623" s="38" t="n">
        <v>0</v>
      </c>
      <c r="F623" t="inlineStr">
        <is>
          <t>Outpatient</t>
        </is>
      </c>
      <c r="G623" t="inlineStr">
        <is>
          <t>Bluestone Outpatient Pavilion</t>
        </is>
      </c>
      <c r="H623" t="inlineStr">
        <is>
          <t>Infusion &amp; Oncology Clinic</t>
        </is>
      </c>
      <c r="I623" t="inlineStr">
        <is>
          <t>Oncology</t>
        </is>
      </c>
      <c r="J623" t="inlineStr">
        <is>
          <t>Hicks, Zachary</t>
        </is>
      </c>
      <c r="K623" t="inlineStr">
        <is>
          <t>Z51.11</t>
        </is>
      </c>
      <c r="L623" t="inlineStr">
        <is>
          <t>Factors Influencing Health</t>
        </is>
      </c>
      <c r="M623" t="inlineStr">
        <is>
          <t>Silverline Medicare Advantage</t>
        </is>
      </c>
      <c r="N623" t="inlineStr">
        <is>
          <t>Medicare Advantage</t>
        </is>
      </c>
      <c r="O623" s="39" t="n">
        <v>12443</v>
      </c>
    </row>
    <row r="624">
      <c r="A624" t="inlineStr">
        <is>
          <t>ENC114216</t>
        </is>
      </c>
      <c r="B624" t="inlineStr">
        <is>
          <t>PT10423</t>
        </is>
      </c>
      <c r="C624" s="42" t="n">
        <v>45762</v>
      </c>
      <c r="D624" s="42" t="n">
        <v>45762</v>
      </c>
      <c r="E624" s="38" t="n">
        <v>0</v>
      </c>
      <c r="F624" t="inlineStr">
        <is>
          <t>Outpatient</t>
        </is>
      </c>
      <c r="G624" t="inlineStr">
        <is>
          <t>Bluestone Outpatient Pavilion</t>
        </is>
      </c>
      <c r="H624" t="inlineStr">
        <is>
          <t>Primary Care Clinic</t>
        </is>
      </c>
      <c r="I624" t="inlineStr">
        <is>
          <t>Ambulatory</t>
        </is>
      </c>
      <c r="J624" t="inlineStr">
        <is>
          <t>Nguyen, Isabella</t>
        </is>
      </c>
      <c r="K624" t="inlineStr">
        <is>
          <t>J06.9</t>
        </is>
      </c>
      <c r="L624" t="inlineStr">
        <is>
          <t>Respiratory</t>
        </is>
      </c>
      <c r="M624" t="inlineStr">
        <is>
          <t>Silverline Medicare Advantage</t>
        </is>
      </c>
      <c r="N624" t="inlineStr">
        <is>
          <t>Medicare Advantage</t>
        </is>
      </c>
      <c r="O624" s="39" t="n">
        <v>362.83</v>
      </c>
    </row>
    <row r="625">
      <c r="A625" t="inlineStr">
        <is>
          <t>ENC114219</t>
        </is>
      </c>
      <c r="B625" t="inlineStr">
        <is>
          <t>PT10691</t>
        </is>
      </c>
      <c r="C625" s="42" t="n">
        <v>45762</v>
      </c>
      <c r="D625" s="42" t="n">
        <v>45762</v>
      </c>
      <c r="E625" s="38" t="n">
        <v>0</v>
      </c>
      <c r="F625" t="inlineStr">
        <is>
          <t>Outpatient</t>
        </is>
      </c>
      <c r="G625" t="inlineStr">
        <is>
          <t>Bluestone Outpatient Pavilion</t>
        </is>
      </c>
      <c r="H625" t="inlineStr">
        <is>
          <t>Primary Care Clinic</t>
        </is>
      </c>
      <c r="I625" t="inlineStr">
        <is>
          <t>Ambulatory</t>
        </is>
      </c>
      <c r="J625" t="inlineStr">
        <is>
          <t>Arnold, Catherine</t>
        </is>
      </c>
      <c r="K625" t="inlineStr">
        <is>
          <t>Z00.00</t>
        </is>
      </c>
      <c r="L625" t="inlineStr">
        <is>
          <t>Factors Influencing Health</t>
        </is>
      </c>
      <c r="M625" t="inlineStr">
        <is>
          <t>Keystone Health Partners</t>
        </is>
      </c>
      <c r="N625" t="inlineStr">
        <is>
          <t>Commercial</t>
        </is>
      </c>
      <c r="O625" s="39" t="n">
        <v>549.3200000000001</v>
      </c>
    </row>
    <row r="626">
      <c r="A626" t="inlineStr">
        <is>
          <t>ENC114220</t>
        </is>
      </c>
      <c r="B626" t="inlineStr">
        <is>
          <t>PT13725</t>
        </is>
      </c>
      <c r="C626" s="42" t="n">
        <v>45762</v>
      </c>
      <c r="D626" s="42" t="n">
        <v>45762</v>
      </c>
      <c r="E626" s="38" t="n">
        <v>0</v>
      </c>
      <c r="F626" t="inlineStr">
        <is>
          <t>Emergency</t>
        </is>
      </c>
      <c r="G626" t="inlineStr">
        <is>
          <t>Bluestone Memorial Hospital</t>
        </is>
      </c>
      <c r="H626" t="inlineStr">
        <is>
          <t>Emergency Department</t>
        </is>
      </c>
      <c r="I626" t="inlineStr">
        <is>
          <t>Emergency</t>
        </is>
      </c>
      <c r="J626" t="inlineStr">
        <is>
          <t>Gonzales, Mia</t>
        </is>
      </c>
      <c r="K626" t="inlineStr">
        <is>
          <t>G40.909</t>
        </is>
      </c>
      <c r="L626" t="inlineStr">
        <is>
          <t>Nervous System</t>
        </is>
      </c>
      <c r="M626" t="inlineStr">
        <is>
          <t>Self-Pay</t>
        </is>
      </c>
      <c r="N626" t="inlineStr">
        <is>
          <t>Self-Pay</t>
        </is>
      </c>
      <c r="O626" s="39" t="n">
        <v>3807.63</v>
      </c>
    </row>
    <row r="627">
      <c r="A627" t="inlineStr">
        <is>
          <t>ENC114221</t>
        </is>
      </c>
      <c r="B627" t="inlineStr">
        <is>
          <t>PT10395</t>
        </is>
      </c>
      <c r="C627" s="42" t="n">
        <v>45762</v>
      </c>
      <c r="D627" s="42" t="n">
        <v>45762</v>
      </c>
      <c r="E627" s="38" t="n">
        <v>0</v>
      </c>
      <c r="F627" t="inlineStr">
        <is>
          <t>Outpatient</t>
        </is>
      </c>
      <c r="G627" t="inlineStr">
        <is>
          <t>Bluestone Outpatient Pavilion</t>
        </is>
      </c>
      <c r="H627" t="inlineStr">
        <is>
          <t>Orthopedic Clinic</t>
        </is>
      </c>
      <c r="I627" t="inlineStr">
        <is>
          <t>Orthopedics</t>
        </is>
      </c>
      <c r="J627" t="inlineStr">
        <is>
          <t>Hernandez, Kyle</t>
        </is>
      </c>
      <c r="K627" t="inlineStr">
        <is>
          <t>M17.11</t>
        </is>
      </c>
      <c r="L627" t="inlineStr">
        <is>
          <t>Musculoskeletal</t>
        </is>
      </c>
      <c r="M627" t="inlineStr">
        <is>
          <t>Silverline Medicare Advantage</t>
        </is>
      </c>
      <c r="N627" t="inlineStr">
        <is>
          <t>Medicare Advantage</t>
        </is>
      </c>
      <c r="O627" s="39" t="n">
        <v>700.48</v>
      </c>
    </row>
    <row r="628">
      <c r="A628" t="inlineStr">
        <is>
          <t>ENC114222</t>
        </is>
      </c>
      <c r="B628" t="inlineStr">
        <is>
          <t>PT12641</t>
        </is>
      </c>
      <c r="C628" s="42" t="n">
        <v>45762</v>
      </c>
      <c r="D628" s="42" t="n">
        <v>45762</v>
      </c>
      <c r="E628" s="38" t="n">
        <v>0</v>
      </c>
      <c r="F628" t="inlineStr">
        <is>
          <t>Emergency</t>
        </is>
      </c>
      <c r="G628" t="inlineStr">
        <is>
          <t>Cedar Ridge Medical Center</t>
        </is>
      </c>
      <c r="H628" t="inlineStr">
        <is>
          <t>Emergency Department</t>
        </is>
      </c>
      <c r="I628" t="inlineStr">
        <is>
          <t>Emergency</t>
        </is>
      </c>
      <c r="J628" t="inlineStr">
        <is>
          <t>Andrews, Michael</t>
        </is>
      </c>
      <c r="K628" t="inlineStr">
        <is>
          <t>R07.9</t>
        </is>
      </c>
      <c r="L628" t="inlineStr">
        <is>
          <t>Symptoms &amp; Signs</t>
        </is>
      </c>
      <c r="M628" t="inlineStr">
        <is>
          <t>Keystone Health Partners</t>
        </is>
      </c>
      <c r="N628" t="inlineStr">
        <is>
          <t>Commercial</t>
        </is>
      </c>
      <c r="O628" s="39" t="n">
        <v>1444.54</v>
      </c>
    </row>
    <row r="629">
      <c r="A629" t="inlineStr">
        <is>
          <t>ENC114224</t>
        </is>
      </c>
      <c r="B629" t="inlineStr">
        <is>
          <t>PT10500</t>
        </is>
      </c>
      <c r="C629" s="42" t="n">
        <v>45762</v>
      </c>
      <c r="D629" s="42" t="n">
        <v>45762</v>
      </c>
      <c r="E629" s="38" t="n">
        <v>0</v>
      </c>
      <c r="F629" t="inlineStr">
        <is>
          <t>Emergency</t>
        </is>
      </c>
      <c r="G629" t="inlineStr">
        <is>
          <t>Ashby Falls Community Hospital</t>
        </is>
      </c>
      <c r="H629" t="inlineStr">
        <is>
          <t>Emergency Department</t>
        </is>
      </c>
      <c r="I629" t="inlineStr">
        <is>
          <t>Emergency</t>
        </is>
      </c>
      <c r="J629" t="inlineStr">
        <is>
          <t>Richardson, Mei</t>
        </is>
      </c>
      <c r="K629" t="inlineStr">
        <is>
          <t>J06.9</t>
        </is>
      </c>
      <c r="L629" t="inlineStr">
        <is>
          <t>Respiratory</t>
        </is>
      </c>
      <c r="M629" t="inlineStr">
        <is>
          <t>Evergreen Mutual Insurance</t>
        </is>
      </c>
      <c r="N629" t="inlineStr">
        <is>
          <t>Commercial</t>
        </is>
      </c>
      <c r="O629" s="39" t="n">
        <v>1198.12</v>
      </c>
    </row>
    <row r="630">
      <c r="A630" t="inlineStr">
        <is>
          <t>ENC114225</t>
        </is>
      </c>
      <c r="B630" t="inlineStr">
        <is>
          <t>PT13502</t>
        </is>
      </c>
      <c r="C630" s="42" t="n">
        <v>45762</v>
      </c>
      <c r="D630" s="42" t="n">
        <v>45762</v>
      </c>
      <c r="E630" s="38" t="n">
        <v>0</v>
      </c>
      <c r="F630" t="inlineStr">
        <is>
          <t>Emergency</t>
        </is>
      </c>
      <c r="G630" t="inlineStr">
        <is>
          <t>Ashby Falls Community Hospital</t>
        </is>
      </c>
      <c r="H630" t="inlineStr">
        <is>
          <t>Emergency Department</t>
        </is>
      </c>
      <c r="I630" t="inlineStr">
        <is>
          <t>Emergency</t>
        </is>
      </c>
      <c r="J630" t="inlineStr">
        <is>
          <t>Wright, Bruce</t>
        </is>
      </c>
      <c r="K630" t="inlineStr">
        <is>
          <t>N39.0</t>
        </is>
      </c>
      <c r="L630" t="inlineStr">
        <is>
          <t>Genitourinary</t>
        </is>
      </c>
      <c r="M630" t="inlineStr">
        <is>
          <t>Medicare</t>
        </is>
      </c>
      <c r="N630" t="inlineStr">
        <is>
          <t>Government</t>
        </is>
      </c>
      <c r="O630" s="39" t="n">
        <v>2862.5</v>
      </c>
    </row>
    <row r="631">
      <c r="A631" t="inlineStr">
        <is>
          <t>ENC114228</t>
        </is>
      </c>
      <c r="B631" t="inlineStr">
        <is>
          <t>PT11169</t>
        </is>
      </c>
      <c r="C631" s="42" t="n">
        <v>45763</v>
      </c>
      <c r="D631" s="42" t="n">
        <v>45765</v>
      </c>
      <c r="E631" s="38" t="n">
        <v>2</v>
      </c>
      <c r="F631" t="inlineStr">
        <is>
          <t>Inpatient</t>
        </is>
      </c>
      <c r="G631" t="inlineStr">
        <is>
          <t>Bluestone Memorial Hospital</t>
        </is>
      </c>
      <c r="H631" t="inlineStr">
        <is>
          <t>Labor &amp; Delivery</t>
        </is>
      </c>
      <c r="I631" t="inlineStr">
        <is>
          <t>Women &amp; Children</t>
        </is>
      </c>
      <c r="J631" t="inlineStr">
        <is>
          <t>Watson, Frank</t>
        </is>
      </c>
      <c r="K631" t="inlineStr">
        <is>
          <t>O80</t>
        </is>
      </c>
      <c r="L631" t="inlineStr">
        <is>
          <t>Pregnancy</t>
        </is>
      </c>
      <c r="M631" t="inlineStr">
        <is>
          <t>State Medicaid</t>
        </is>
      </c>
      <c r="N631" t="inlineStr">
        <is>
          <t>Government</t>
        </is>
      </c>
      <c r="O631" s="39" t="n">
        <v>17193.32</v>
      </c>
      <c r="P631" t="inlineStr">
        <is>
          <t>N</t>
        </is>
      </c>
    </row>
    <row r="632">
      <c r="A632" t="inlineStr">
        <is>
          <t>ENC114233</t>
        </is>
      </c>
      <c r="B632" t="inlineStr">
        <is>
          <t>PT13614</t>
        </is>
      </c>
      <c r="C632" s="42" t="n">
        <v>45763</v>
      </c>
      <c r="D632" s="42" t="n">
        <v>45763</v>
      </c>
      <c r="E632" s="38" t="n">
        <v>0</v>
      </c>
      <c r="F632" t="inlineStr">
        <is>
          <t>Outpatient</t>
        </is>
      </c>
      <c r="G632" t="inlineStr">
        <is>
          <t>Bluestone Outpatient Pavilion</t>
        </is>
      </c>
      <c r="H632" t="inlineStr">
        <is>
          <t>Cardiology Clinic</t>
        </is>
      </c>
      <c r="I632" t="inlineStr">
        <is>
          <t>Cardiovascular</t>
        </is>
      </c>
      <c r="J632" t="inlineStr">
        <is>
          <t>Jenkins, Brittany</t>
        </is>
      </c>
      <c r="K632" t="inlineStr">
        <is>
          <t>I48.91</t>
        </is>
      </c>
      <c r="L632" t="inlineStr">
        <is>
          <t>Circulatory</t>
        </is>
      </c>
      <c r="M632" t="inlineStr">
        <is>
          <t>State Medicaid</t>
        </is>
      </c>
      <c r="N632" t="inlineStr">
        <is>
          <t>Government</t>
        </is>
      </c>
      <c r="O632" s="39" t="n">
        <v>513.04</v>
      </c>
    </row>
    <row r="633">
      <c r="A633" t="inlineStr">
        <is>
          <t>ENC114237</t>
        </is>
      </c>
      <c r="B633" t="inlineStr">
        <is>
          <t>PT12811</t>
        </is>
      </c>
      <c r="C633" s="42" t="n">
        <v>45763</v>
      </c>
      <c r="D633" s="42" t="n">
        <v>45763</v>
      </c>
      <c r="E633" s="38" t="n">
        <v>0</v>
      </c>
      <c r="F633" t="inlineStr">
        <is>
          <t>Outpatient</t>
        </is>
      </c>
      <c r="G633" t="inlineStr">
        <is>
          <t>Bluestone Outpatient Pavilion</t>
        </is>
      </c>
      <c r="H633" t="inlineStr">
        <is>
          <t>Primary Care Clinic</t>
        </is>
      </c>
      <c r="I633" t="inlineStr">
        <is>
          <t>Ambulatory</t>
        </is>
      </c>
      <c r="J633" t="inlineStr">
        <is>
          <t>Santos, Edward</t>
        </is>
      </c>
      <c r="K633" t="inlineStr">
        <is>
          <t>G43.909</t>
        </is>
      </c>
      <c r="L633" t="inlineStr">
        <is>
          <t>Nervous System</t>
        </is>
      </c>
      <c r="M633" t="inlineStr">
        <is>
          <t>Keystone Health Partners</t>
        </is>
      </c>
      <c r="N633" t="inlineStr">
        <is>
          <t>Commercial</t>
        </is>
      </c>
      <c r="O633" s="39" t="n">
        <v>395.08</v>
      </c>
    </row>
    <row r="634">
      <c r="A634" t="inlineStr">
        <is>
          <t>ENC114249</t>
        </is>
      </c>
      <c r="B634" t="inlineStr">
        <is>
          <t>PT11605</t>
        </is>
      </c>
      <c r="C634" s="42" t="n">
        <v>45763</v>
      </c>
      <c r="D634" s="42" t="n">
        <v>45763</v>
      </c>
      <c r="E634" s="38" t="n">
        <v>0</v>
      </c>
      <c r="F634" t="inlineStr">
        <is>
          <t>Emergency</t>
        </is>
      </c>
      <c r="G634" t="inlineStr">
        <is>
          <t>Bluestone Memorial Hospital</t>
        </is>
      </c>
      <c r="H634" t="inlineStr">
        <is>
          <t>Emergency Department</t>
        </is>
      </c>
      <c r="I634" t="inlineStr">
        <is>
          <t>Emergency</t>
        </is>
      </c>
      <c r="J634" t="inlineStr">
        <is>
          <t>Morris, Jordan</t>
        </is>
      </c>
      <c r="K634" t="inlineStr">
        <is>
          <t>R07.9</t>
        </is>
      </c>
      <c r="L634" t="inlineStr">
        <is>
          <t>Symptoms &amp; Signs</t>
        </is>
      </c>
      <c r="M634" t="inlineStr">
        <is>
          <t>Keystone Health Partners</t>
        </is>
      </c>
      <c r="N634" t="inlineStr">
        <is>
          <t>Commercial</t>
        </is>
      </c>
      <c r="O634" s="39" t="n">
        <v>2648.52</v>
      </c>
    </row>
    <row r="635">
      <c r="A635" t="inlineStr">
        <is>
          <t>ENC114257</t>
        </is>
      </c>
      <c r="B635" t="inlineStr">
        <is>
          <t>PT11095</t>
        </is>
      </c>
      <c r="C635" s="42" t="n">
        <v>45763</v>
      </c>
      <c r="D635" s="42" t="n">
        <v>45763</v>
      </c>
      <c r="E635" s="38" t="n">
        <v>0</v>
      </c>
      <c r="F635" t="inlineStr">
        <is>
          <t>Outpatient</t>
        </is>
      </c>
      <c r="G635" t="inlineStr">
        <is>
          <t>Bluestone Outpatient Pavilion</t>
        </is>
      </c>
      <c r="H635" t="inlineStr">
        <is>
          <t>Endocrinology &amp; Diabetes Clinic</t>
        </is>
      </c>
      <c r="I635" t="inlineStr">
        <is>
          <t>Ambulatory</t>
        </is>
      </c>
      <c r="J635" t="inlineStr">
        <is>
          <t>Woods, Larry</t>
        </is>
      </c>
      <c r="K635" t="inlineStr">
        <is>
          <t>E11.9</t>
        </is>
      </c>
      <c r="L635" t="inlineStr">
        <is>
          <t>Endocrine</t>
        </is>
      </c>
      <c r="M635" t="inlineStr">
        <is>
          <t>Summit Choice PPO</t>
        </is>
      </c>
      <c r="N635" t="inlineStr">
        <is>
          <t>Commercial</t>
        </is>
      </c>
      <c r="O635" s="39" t="n">
        <v>291.74</v>
      </c>
    </row>
    <row r="636">
      <c r="A636" t="inlineStr">
        <is>
          <t>ENC114258</t>
        </is>
      </c>
      <c r="B636" t="inlineStr">
        <is>
          <t>PT10721</t>
        </is>
      </c>
      <c r="C636" s="42" t="n">
        <v>45763</v>
      </c>
      <c r="D636" s="42" t="n">
        <v>45763</v>
      </c>
      <c r="E636" s="38" t="n">
        <v>0</v>
      </c>
      <c r="F636" t="inlineStr">
        <is>
          <t>Emergency</t>
        </is>
      </c>
      <c r="G636" t="inlineStr">
        <is>
          <t>Cedar Ridge Medical Center</t>
        </is>
      </c>
      <c r="H636" t="inlineStr">
        <is>
          <t>Emergency Department</t>
        </is>
      </c>
      <c r="I636" t="inlineStr">
        <is>
          <t>Emergency</t>
        </is>
      </c>
      <c r="J636" t="inlineStr">
        <is>
          <t>Pena, Wayne</t>
        </is>
      </c>
      <c r="K636" t="inlineStr">
        <is>
          <t>M54.50</t>
        </is>
      </c>
      <c r="L636" t="inlineStr">
        <is>
          <t>Musculoskeletal</t>
        </is>
      </c>
      <c r="M636" t="inlineStr">
        <is>
          <t>Medicare</t>
        </is>
      </c>
      <c r="N636" t="inlineStr">
        <is>
          <t>Government</t>
        </is>
      </c>
      <c r="O636" s="39" t="n">
        <v>3368.49</v>
      </c>
    </row>
    <row r="637">
      <c r="A637" t="inlineStr">
        <is>
          <t>ENC114271</t>
        </is>
      </c>
      <c r="B637" t="inlineStr">
        <is>
          <t>PT11995</t>
        </is>
      </c>
      <c r="C637" s="42" t="n">
        <v>45764</v>
      </c>
      <c r="D637" s="42" t="n">
        <v>45764</v>
      </c>
      <c r="E637" s="38" t="n">
        <v>0</v>
      </c>
      <c r="F637" t="inlineStr">
        <is>
          <t>Outpatient</t>
        </is>
      </c>
      <c r="G637" t="inlineStr">
        <is>
          <t>Bluestone Outpatient Pavilion</t>
        </is>
      </c>
      <c r="H637" t="inlineStr">
        <is>
          <t>Primary Care Clinic</t>
        </is>
      </c>
      <c r="I637" t="inlineStr">
        <is>
          <t>Ambulatory</t>
        </is>
      </c>
      <c r="J637" t="inlineStr">
        <is>
          <t>Fisher, Brandon</t>
        </is>
      </c>
      <c r="K637" t="inlineStr">
        <is>
          <t>Z00.00</t>
        </is>
      </c>
      <c r="L637" t="inlineStr">
        <is>
          <t>Factors Influencing Health</t>
        </is>
      </c>
      <c r="M637" t="inlineStr">
        <is>
          <t>Keystone Health Partners</t>
        </is>
      </c>
      <c r="N637" t="inlineStr">
        <is>
          <t>Commercial</t>
        </is>
      </c>
      <c r="O637" s="39" t="n">
        <v>219.87</v>
      </c>
    </row>
    <row r="638">
      <c r="A638" t="inlineStr">
        <is>
          <t>ENC114288</t>
        </is>
      </c>
      <c r="B638" t="inlineStr">
        <is>
          <t>PT12176</t>
        </is>
      </c>
      <c r="C638" s="42" t="n">
        <v>45764</v>
      </c>
      <c r="D638" s="42" t="n">
        <v>45764</v>
      </c>
      <c r="E638" s="38" t="n">
        <v>0</v>
      </c>
      <c r="F638" t="inlineStr">
        <is>
          <t>Outpatient</t>
        </is>
      </c>
      <c r="G638" t="inlineStr">
        <is>
          <t>Bluestone Outpatient Pavilion</t>
        </is>
      </c>
      <c r="H638" t="inlineStr">
        <is>
          <t>Cardiology Clinic</t>
        </is>
      </c>
      <c r="I638" t="inlineStr">
        <is>
          <t>Cardiovascular</t>
        </is>
      </c>
      <c r="J638" t="inlineStr">
        <is>
          <t>Brooks, Edward</t>
        </is>
      </c>
      <c r="K638" t="inlineStr">
        <is>
          <t>I50.9</t>
        </is>
      </c>
      <c r="L638" t="inlineStr">
        <is>
          <t>Circulatory</t>
        </is>
      </c>
      <c r="M638" t="inlineStr">
        <is>
          <t>Silverline Medicare Advantage</t>
        </is>
      </c>
      <c r="N638" t="inlineStr">
        <is>
          <t>Medicare Advantage</t>
        </is>
      </c>
      <c r="O638" s="39" t="n">
        <v>308.79</v>
      </c>
    </row>
    <row r="639">
      <c r="A639" t="inlineStr">
        <is>
          <t>ENC114289</t>
        </is>
      </c>
      <c r="B639" t="inlineStr">
        <is>
          <t>PT12016</t>
        </is>
      </c>
      <c r="C639" s="42" t="n">
        <v>45764</v>
      </c>
      <c r="D639" s="42" t="n">
        <v>45764</v>
      </c>
      <c r="E639" s="38" t="n">
        <v>0</v>
      </c>
      <c r="F639" t="inlineStr">
        <is>
          <t>Emergency</t>
        </is>
      </c>
      <c r="G639" t="inlineStr">
        <is>
          <t>Bluestone Memorial Hospital</t>
        </is>
      </c>
      <c r="H639" t="inlineStr">
        <is>
          <t>Emergency Department</t>
        </is>
      </c>
      <c r="I639" t="inlineStr">
        <is>
          <t>Emergency</t>
        </is>
      </c>
      <c r="J639" t="inlineStr">
        <is>
          <t>Kowalski, James</t>
        </is>
      </c>
      <c r="K639" t="inlineStr">
        <is>
          <t>N39.0</t>
        </is>
      </c>
      <c r="L639" t="inlineStr">
        <is>
          <t>Genitourinary</t>
        </is>
      </c>
      <c r="M639" t="inlineStr">
        <is>
          <t>State Medicaid</t>
        </is>
      </c>
      <c r="N639" t="inlineStr">
        <is>
          <t>Government</t>
        </is>
      </c>
      <c r="O639" s="39" t="n">
        <v>3382.14</v>
      </c>
    </row>
    <row r="640">
      <c r="A640" t="inlineStr">
        <is>
          <t>ENC114293</t>
        </is>
      </c>
      <c r="B640" t="inlineStr">
        <is>
          <t>PT12765</t>
        </is>
      </c>
      <c r="C640" s="42" t="n">
        <v>45764</v>
      </c>
      <c r="D640" s="42" t="n">
        <v>45764</v>
      </c>
      <c r="E640" s="38" t="n">
        <v>0</v>
      </c>
      <c r="F640" t="inlineStr">
        <is>
          <t>Outpatient</t>
        </is>
      </c>
      <c r="G640" t="inlineStr">
        <is>
          <t>Bluestone Outpatient Pavilion</t>
        </is>
      </c>
      <c r="H640" t="inlineStr">
        <is>
          <t>Infusion &amp; Oncology Clinic</t>
        </is>
      </c>
      <c r="I640" t="inlineStr">
        <is>
          <t>Oncology</t>
        </is>
      </c>
      <c r="J640" t="inlineStr">
        <is>
          <t>Cooper, Logan</t>
        </is>
      </c>
      <c r="K640" t="inlineStr">
        <is>
          <t>Z51.11</t>
        </is>
      </c>
      <c r="L640" t="inlineStr">
        <is>
          <t>Factors Influencing Health</t>
        </is>
      </c>
      <c r="M640" t="inlineStr">
        <is>
          <t>State Medicaid</t>
        </is>
      </c>
      <c r="N640" t="inlineStr">
        <is>
          <t>Government</t>
        </is>
      </c>
      <c r="O640" s="39" t="n">
        <v>10847.67</v>
      </c>
    </row>
    <row r="641">
      <c r="A641" t="inlineStr">
        <is>
          <t>ENC114283</t>
        </is>
      </c>
      <c r="B641" t="inlineStr">
        <is>
          <t>PT13934</t>
        </is>
      </c>
      <c r="C641" s="42" t="n">
        <v>45764</v>
      </c>
      <c r="D641" s="42" t="n">
        <v>45765</v>
      </c>
      <c r="E641" s="38" t="n">
        <v>1</v>
      </c>
      <c r="F641" t="inlineStr">
        <is>
          <t>Observation</t>
        </is>
      </c>
      <c r="G641" t="inlineStr">
        <is>
          <t>Bluestone Memorial Hospital</t>
        </is>
      </c>
      <c r="H641" t="inlineStr">
        <is>
          <t>Observation Unit</t>
        </is>
      </c>
      <c r="I641" t="inlineStr">
        <is>
          <t>Medicine</t>
        </is>
      </c>
      <c r="J641" t="inlineStr">
        <is>
          <t>Stone, Frank</t>
        </is>
      </c>
      <c r="K641" t="inlineStr">
        <is>
          <t>I63.9</t>
        </is>
      </c>
      <c r="L641" t="inlineStr">
        <is>
          <t>Circulatory</t>
        </is>
      </c>
      <c r="M641" t="inlineStr">
        <is>
          <t>Keystone Health Partners</t>
        </is>
      </c>
      <c r="N641" t="inlineStr">
        <is>
          <t>Commercial</t>
        </is>
      </c>
      <c r="O641" s="39" t="n">
        <v>11146.8</v>
      </c>
    </row>
    <row r="642">
      <c r="A642" t="inlineStr">
        <is>
          <t>ENC114294</t>
        </is>
      </c>
      <c r="B642" t="inlineStr">
        <is>
          <t>PT12979</t>
        </is>
      </c>
      <c r="C642" s="42" t="n">
        <v>45764</v>
      </c>
      <c r="D642" s="42" t="n">
        <v>45767</v>
      </c>
      <c r="E642" s="38" t="n">
        <v>3</v>
      </c>
      <c r="F642" t="inlineStr">
        <is>
          <t>Inpatient</t>
        </is>
      </c>
      <c r="G642" t="inlineStr">
        <is>
          <t>Cedar Ridge Medical Center</t>
        </is>
      </c>
      <c r="H642" t="inlineStr">
        <is>
          <t>Cardiac Step-Down</t>
        </is>
      </c>
      <c r="I642" t="inlineStr">
        <is>
          <t>Cardiovascular</t>
        </is>
      </c>
      <c r="J642" t="inlineStr">
        <is>
          <t>Vazquez, Leila</t>
        </is>
      </c>
      <c r="K642" t="inlineStr">
        <is>
          <t>I21.4</t>
        </is>
      </c>
      <c r="L642" t="inlineStr">
        <is>
          <t>Circulatory</t>
        </is>
      </c>
      <c r="M642" t="inlineStr">
        <is>
          <t>State Medicaid</t>
        </is>
      </c>
      <c r="N642" t="inlineStr">
        <is>
          <t>Government</t>
        </is>
      </c>
      <c r="O642" s="39" t="n">
        <v>53743.43</v>
      </c>
      <c r="P642" t="inlineStr">
        <is>
          <t>Y</t>
        </is>
      </c>
    </row>
    <row r="643">
      <c r="A643" t="inlineStr">
        <is>
          <t>ENC114296</t>
        </is>
      </c>
      <c r="B643" t="inlineStr">
        <is>
          <t>PT11624</t>
        </is>
      </c>
      <c r="C643" s="42" t="n">
        <v>45765</v>
      </c>
      <c r="D643" s="42" t="n">
        <v>45766</v>
      </c>
      <c r="E643" s="38" t="n">
        <v>1</v>
      </c>
      <c r="F643" t="inlineStr">
        <is>
          <t>Observation</t>
        </is>
      </c>
      <c r="G643" t="inlineStr">
        <is>
          <t>Bluestone Memorial Hospital</t>
        </is>
      </c>
      <c r="H643" t="inlineStr">
        <is>
          <t>Observation Unit</t>
        </is>
      </c>
      <c r="I643" t="inlineStr">
        <is>
          <t>Medicine</t>
        </is>
      </c>
      <c r="J643" t="inlineStr">
        <is>
          <t>Taylor, Jonathan</t>
        </is>
      </c>
      <c r="K643" t="inlineStr">
        <is>
          <t>I50.9</t>
        </is>
      </c>
      <c r="L643" t="inlineStr">
        <is>
          <t>Circulatory</t>
        </is>
      </c>
      <c r="M643" t="inlineStr">
        <is>
          <t>State Medicaid</t>
        </is>
      </c>
      <c r="N643" t="inlineStr">
        <is>
          <t>Government</t>
        </is>
      </c>
      <c r="O643" s="39" t="n">
        <v>7974.05</v>
      </c>
    </row>
    <row r="644">
      <c r="A644" t="inlineStr">
        <is>
          <t>ENC114303</t>
        </is>
      </c>
      <c r="B644" t="inlineStr">
        <is>
          <t>PT12502</t>
        </is>
      </c>
      <c r="C644" s="42" t="n">
        <v>45765</v>
      </c>
      <c r="D644" s="42" t="n">
        <v>45767</v>
      </c>
      <c r="E644" s="38" t="n">
        <v>2</v>
      </c>
      <c r="F644" t="inlineStr">
        <is>
          <t>Inpatient</t>
        </is>
      </c>
      <c r="G644" t="inlineStr">
        <is>
          <t>Bluestone Memorial Hospital</t>
        </is>
      </c>
      <c r="H644" t="inlineStr">
        <is>
          <t>Orthopedics &amp; Spine</t>
        </is>
      </c>
      <c r="I644" t="inlineStr">
        <is>
          <t>Orthopedics</t>
        </is>
      </c>
      <c r="J644" t="inlineStr">
        <is>
          <t>King, Leila</t>
        </is>
      </c>
      <c r="K644" t="inlineStr">
        <is>
          <t>M16.11</t>
        </is>
      </c>
      <c r="L644" t="inlineStr">
        <is>
          <t>Musculoskeletal</t>
        </is>
      </c>
      <c r="M644" t="inlineStr">
        <is>
          <t>Medicare</t>
        </is>
      </c>
      <c r="N644" t="inlineStr">
        <is>
          <t>Government</t>
        </is>
      </c>
      <c r="O644" s="39" t="n">
        <v>42809.4</v>
      </c>
      <c r="P644" t="inlineStr">
        <is>
          <t>N</t>
        </is>
      </c>
    </row>
    <row r="645">
      <c r="A645" t="inlineStr">
        <is>
          <t>ENC114304</t>
        </is>
      </c>
      <c r="B645" t="inlineStr">
        <is>
          <t>PT12714</t>
        </is>
      </c>
      <c r="C645" s="42" t="n">
        <v>45765</v>
      </c>
      <c r="D645" s="42" t="n">
        <v>45768</v>
      </c>
      <c r="E645" s="38" t="n">
        <v>3</v>
      </c>
      <c r="F645" t="inlineStr">
        <is>
          <t>Inpatient</t>
        </is>
      </c>
      <c r="G645" t="inlineStr">
        <is>
          <t>Bluestone Memorial Hospital</t>
        </is>
      </c>
      <c r="H645" t="inlineStr">
        <is>
          <t>Intensive Care Unit</t>
        </is>
      </c>
      <c r="I645" t="inlineStr">
        <is>
          <t>Critical Care</t>
        </is>
      </c>
      <c r="J645" t="inlineStr">
        <is>
          <t>Allen, Grace</t>
        </is>
      </c>
      <c r="K645" t="inlineStr">
        <is>
          <t>A41.9</t>
        </is>
      </c>
      <c r="L645" t="inlineStr">
        <is>
          <t>Infectious</t>
        </is>
      </c>
      <c r="M645" t="inlineStr">
        <is>
          <t>State Medicaid</t>
        </is>
      </c>
      <c r="N645" t="inlineStr">
        <is>
          <t>Government</t>
        </is>
      </c>
      <c r="O645" s="39" t="n">
        <v>38320.47</v>
      </c>
      <c r="P645" t="inlineStr">
        <is>
          <t>N</t>
        </is>
      </c>
    </row>
    <row r="646">
      <c r="A646" t="inlineStr">
        <is>
          <t>ENC114311</t>
        </is>
      </c>
      <c r="B646" t="inlineStr">
        <is>
          <t>PT12641</t>
        </is>
      </c>
      <c r="C646" s="42" t="n">
        <v>45765</v>
      </c>
      <c r="D646" s="42" t="n">
        <v>45765</v>
      </c>
      <c r="E646" s="38" t="n">
        <v>0</v>
      </c>
      <c r="F646" t="inlineStr">
        <is>
          <t>Outpatient</t>
        </is>
      </c>
      <c r="G646" t="inlineStr">
        <is>
          <t>Bluestone Outpatient Pavilion</t>
        </is>
      </c>
      <c r="H646" t="inlineStr">
        <is>
          <t>Orthopedic Clinic</t>
        </is>
      </c>
      <c r="I646" t="inlineStr">
        <is>
          <t>Orthopedics</t>
        </is>
      </c>
      <c r="J646" t="inlineStr">
        <is>
          <t>Hernandez, Kyle</t>
        </is>
      </c>
      <c r="K646" t="inlineStr">
        <is>
          <t>M17.11</t>
        </is>
      </c>
      <c r="L646" t="inlineStr">
        <is>
          <t>Musculoskeletal</t>
        </is>
      </c>
      <c r="M646" t="inlineStr">
        <is>
          <t>Keystone Health Partners</t>
        </is>
      </c>
      <c r="N646" t="inlineStr">
        <is>
          <t>Commercial</t>
        </is>
      </c>
      <c r="O646" s="39" t="n">
        <v>376.34</v>
      </c>
    </row>
    <row r="647">
      <c r="A647" t="inlineStr">
        <is>
          <t>ENC114308</t>
        </is>
      </c>
      <c r="B647" t="inlineStr">
        <is>
          <t>PT10093</t>
        </is>
      </c>
      <c r="C647" s="42" t="n">
        <v>45765</v>
      </c>
      <c r="D647" s="42" t="n">
        <v>45772</v>
      </c>
      <c r="E647" s="38" t="n">
        <v>7</v>
      </c>
      <c r="F647" t="inlineStr">
        <is>
          <t>Inpatient</t>
        </is>
      </c>
      <c r="G647" t="inlineStr">
        <is>
          <t>Bluestone Memorial Hospital</t>
        </is>
      </c>
      <c r="H647" t="inlineStr">
        <is>
          <t>Cardiac Step-Down</t>
        </is>
      </c>
      <c r="I647" t="inlineStr">
        <is>
          <t>Cardiovascular</t>
        </is>
      </c>
      <c r="J647" t="inlineStr">
        <is>
          <t>Ramirez, Emma</t>
        </is>
      </c>
      <c r="K647" t="inlineStr">
        <is>
          <t>I50.9</t>
        </is>
      </c>
      <c r="L647" t="inlineStr">
        <is>
          <t>Circulatory</t>
        </is>
      </c>
      <c r="M647" t="inlineStr">
        <is>
          <t>Silverline Medicare Advantage</t>
        </is>
      </c>
      <c r="N647" t="inlineStr">
        <is>
          <t>Medicare Advantage</t>
        </is>
      </c>
      <c r="O647" s="39" t="n">
        <v>47359.11</v>
      </c>
      <c r="P647" t="inlineStr">
        <is>
          <t>N</t>
        </is>
      </c>
    </row>
    <row r="648">
      <c r="A648" t="inlineStr">
        <is>
          <t>ENC114327</t>
        </is>
      </c>
      <c r="B648" t="inlineStr">
        <is>
          <t>PT12468</t>
        </is>
      </c>
      <c r="C648" s="42" t="n">
        <v>45765</v>
      </c>
      <c r="D648" s="42" t="n">
        <v>45765</v>
      </c>
      <c r="E648" s="38" t="n">
        <v>0</v>
      </c>
      <c r="F648" t="inlineStr">
        <is>
          <t>Outpatient</t>
        </is>
      </c>
      <c r="G648" t="inlineStr">
        <is>
          <t>Bluestone Outpatient Pavilion</t>
        </is>
      </c>
      <c r="H648" t="inlineStr">
        <is>
          <t>Infusion &amp; Oncology Clinic</t>
        </is>
      </c>
      <c r="I648" t="inlineStr">
        <is>
          <t>Oncology</t>
        </is>
      </c>
      <c r="J648" t="inlineStr">
        <is>
          <t>Long, Fatima</t>
        </is>
      </c>
      <c r="K648" t="inlineStr">
        <is>
          <t>Z51.11</t>
        </is>
      </c>
      <c r="L648" t="inlineStr">
        <is>
          <t>Factors Influencing Health</t>
        </is>
      </c>
      <c r="M648" t="inlineStr">
        <is>
          <t>Medicare</t>
        </is>
      </c>
      <c r="N648" t="inlineStr">
        <is>
          <t>Government</t>
        </is>
      </c>
      <c r="O648" s="39" t="n">
        <v>9529.98</v>
      </c>
    </row>
    <row r="649">
      <c r="A649" t="inlineStr">
        <is>
          <t>ENC114328</t>
        </is>
      </c>
      <c r="B649" t="inlineStr">
        <is>
          <t>PT10879</t>
        </is>
      </c>
      <c r="C649" s="42" t="n">
        <v>45765</v>
      </c>
      <c r="D649" s="42" t="n">
        <v>45765</v>
      </c>
      <c r="E649" s="38" t="n">
        <v>0</v>
      </c>
      <c r="F649" t="inlineStr">
        <is>
          <t>Outpatient</t>
        </is>
      </c>
      <c r="G649" t="inlineStr">
        <is>
          <t>Bluestone Outpatient Pavilion</t>
        </is>
      </c>
      <c r="H649" t="inlineStr">
        <is>
          <t>Primary Care Clinic</t>
        </is>
      </c>
      <c r="I649" t="inlineStr">
        <is>
          <t>Ambulatory</t>
        </is>
      </c>
      <c r="J649" t="inlineStr">
        <is>
          <t>Osei, Julie</t>
        </is>
      </c>
      <c r="K649" t="inlineStr">
        <is>
          <t>I10</t>
        </is>
      </c>
      <c r="L649" t="inlineStr">
        <is>
          <t>Circulatory</t>
        </is>
      </c>
      <c r="M649" t="inlineStr">
        <is>
          <t>Medicare</t>
        </is>
      </c>
      <c r="N649" t="inlineStr">
        <is>
          <t>Government</t>
        </is>
      </c>
      <c r="O649" s="39" t="n">
        <v>415.43</v>
      </c>
    </row>
    <row r="650">
      <c r="A650" t="inlineStr">
        <is>
          <t>ENC114332</t>
        </is>
      </c>
      <c r="B650" t="inlineStr">
        <is>
          <t>PT13845</t>
        </is>
      </c>
      <c r="C650" s="42" t="n">
        <v>45765</v>
      </c>
      <c r="D650" s="42" t="n">
        <v>45766</v>
      </c>
      <c r="E650" s="38" t="n">
        <v>1</v>
      </c>
      <c r="F650" t="inlineStr">
        <is>
          <t>Emergency</t>
        </is>
      </c>
      <c r="G650" t="inlineStr">
        <is>
          <t>Bluestone Memorial Hospital</t>
        </is>
      </c>
      <c r="H650" t="inlineStr">
        <is>
          <t>Emergency Department</t>
        </is>
      </c>
      <c r="I650" t="inlineStr">
        <is>
          <t>Emergency</t>
        </is>
      </c>
      <c r="J650" t="inlineStr">
        <is>
          <t>Morris, Jordan</t>
        </is>
      </c>
      <c r="K650" t="inlineStr">
        <is>
          <t>G40.909</t>
        </is>
      </c>
      <c r="L650" t="inlineStr">
        <is>
          <t>Nervous System</t>
        </is>
      </c>
      <c r="M650" t="inlineStr">
        <is>
          <t>State Medicaid</t>
        </is>
      </c>
      <c r="N650" t="inlineStr">
        <is>
          <t>Government</t>
        </is>
      </c>
      <c r="O650" s="39" t="n">
        <v>4464.03</v>
      </c>
    </row>
    <row r="651">
      <c r="A651" t="inlineStr">
        <is>
          <t>ENC114336</t>
        </is>
      </c>
      <c r="B651" t="inlineStr">
        <is>
          <t>PT12533</t>
        </is>
      </c>
      <c r="C651" s="42" t="n">
        <v>45766</v>
      </c>
      <c r="D651" s="42" t="n">
        <v>45766</v>
      </c>
      <c r="E651" s="38" t="n">
        <v>0</v>
      </c>
      <c r="F651" t="inlineStr">
        <is>
          <t>Emergency</t>
        </is>
      </c>
      <c r="G651" t="inlineStr">
        <is>
          <t>Bluestone Memorial Hospital</t>
        </is>
      </c>
      <c r="H651" t="inlineStr">
        <is>
          <t>Emergency Department</t>
        </is>
      </c>
      <c r="I651" t="inlineStr">
        <is>
          <t>Emergency</t>
        </is>
      </c>
      <c r="J651" t="inlineStr">
        <is>
          <t>Ferguson, Roy</t>
        </is>
      </c>
      <c r="K651" t="inlineStr">
        <is>
          <t>N39.0</t>
        </is>
      </c>
      <c r="L651" t="inlineStr">
        <is>
          <t>Genitourinary</t>
        </is>
      </c>
      <c r="M651" t="inlineStr">
        <is>
          <t>State Medicaid</t>
        </is>
      </c>
      <c r="N651" t="inlineStr">
        <is>
          <t>Government</t>
        </is>
      </c>
      <c r="O651" s="39" t="n">
        <v>3396.41</v>
      </c>
    </row>
    <row r="652">
      <c r="A652" t="inlineStr">
        <is>
          <t>ENC114337</t>
        </is>
      </c>
      <c r="B652" t="inlineStr">
        <is>
          <t>PT12070</t>
        </is>
      </c>
      <c r="C652" s="42" t="n">
        <v>45766</v>
      </c>
      <c r="D652" s="42" t="n">
        <v>45766</v>
      </c>
      <c r="E652" s="38" t="n">
        <v>0</v>
      </c>
      <c r="F652" t="inlineStr">
        <is>
          <t>Emergency</t>
        </is>
      </c>
      <c r="G652" t="inlineStr">
        <is>
          <t>Bluestone Memorial Hospital</t>
        </is>
      </c>
      <c r="H652" t="inlineStr">
        <is>
          <t>Emergency Department</t>
        </is>
      </c>
      <c r="I652" t="inlineStr">
        <is>
          <t>Emergency</t>
        </is>
      </c>
      <c r="J652" t="inlineStr">
        <is>
          <t>Olson, Christian</t>
        </is>
      </c>
      <c r="K652" t="inlineStr">
        <is>
          <t>R10.9</t>
        </is>
      </c>
      <c r="L652" t="inlineStr">
        <is>
          <t>Symptoms &amp; Signs</t>
        </is>
      </c>
      <c r="M652" t="inlineStr">
        <is>
          <t>Keystone Health Partners</t>
        </is>
      </c>
      <c r="N652" t="inlineStr">
        <is>
          <t>Commercial</t>
        </is>
      </c>
      <c r="O652" s="39" t="n">
        <v>2339.62</v>
      </c>
    </row>
    <row r="653">
      <c r="A653" t="inlineStr">
        <is>
          <t>ENC114341</t>
        </is>
      </c>
      <c r="B653" t="inlineStr">
        <is>
          <t>PT13036</t>
        </is>
      </c>
      <c r="C653" s="42" t="n">
        <v>45766</v>
      </c>
      <c r="D653" s="42" t="n">
        <v>45772</v>
      </c>
      <c r="E653" s="38" t="n">
        <v>6</v>
      </c>
      <c r="F653" t="inlineStr">
        <is>
          <t>Inpatient</t>
        </is>
      </c>
      <c r="G653" t="inlineStr">
        <is>
          <t>Bluestone Memorial Hospital</t>
        </is>
      </c>
      <c r="H653" t="inlineStr">
        <is>
          <t>Labor &amp; Delivery</t>
        </is>
      </c>
      <c r="I653" t="inlineStr">
        <is>
          <t>Women &amp; Children</t>
        </is>
      </c>
      <c r="J653" t="inlineStr">
        <is>
          <t>Watson, Frank</t>
        </is>
      </c>
      <c r="K653" t="inlineStr">
        <is>
          <t>O82</t>
        </is>
      </c>
      <c r="L653" t="inlineStr">
        <is>
          <t>Pregnancy</t>
        </is>
      </c>
      <c r="M653" t="inlineStr">
        <is>
          <t>Keystone Health Partners</t>
        </is>
      </c>
      <c r="N653" t="inlineStr">
        <is>
          <t>Commercial</t>
        </is>
      </c>
      <c r="O653" s="39" t="n">
        <v>27465.91</v>
      </c>
      <c r="P653" t="inlineStr">
        <is>
          <t>N</t>
        </is>
      </c>
    </row>
    <row r="654">
      <c r="A654" t="inlineStr">
        <is>
          <t>ENC114344</t>
        </is>
      </c>
      <c r="B654" t="inlineStr">
        <is>
          <t>PT11377</t>
        </is>
      </c>
      <c r="C654" s="42" t="n">
        <v>45766</v>
      </c>
      <c r="D654" s="42" t="n">
        <v>45766</v>
      </c>
      <c r="E654" s="38" t="n">
        <v>0</v>
      </c>
      <c r="F654" t="inlineStr">
        <is>
          <t>Emergency</t>
        </is>
      </c>
      <c r="G654" t="inlineStr">
        <is>
          <t>Bluestone Memorial Hospital</t>
        </is>
      </c>
      <c r="H654" t="inlineStr">
        <is>
          <t>Emergency Department</t>
        </is>
      </c>
      <c r="I654" t="inlineStr">
        <is>
          <t>Emergency</t>
        </is>
      </c>
      <c r="J654" t="inlineStr">
        <is>
          <t>Sullivan, Jacob</t>
        </is>
      </c>
      <c r="K654" t="inlineStr">
        <is>
          <t>J45.909</t>
        </is>
      </c>
      <c r="L654" t="inlineStr">
        <is>
          <t>Respiratory</t>
        </is>
      </c>
      <c r="M654" t="inlineStr">
        <is>
          <t>State Medicaid</t>
        </is>
      </c>
      <c r="N654" t="inlineStr">
        <is>
          <t>Government</t>
        </is>
      </c>
      <c r="O654" s="39" t="n">
        <v>4648.54</v>
      </c>
    </row>
    <row r="655">
      <c r="A655" t="inlineStr">
        <is>
          <t>ENC114346</t>
        </is>
      </c>
      <c r="B655" t="inlineStr">
        <is>
          <t>PT10323</t>
        </is>
      </c>
      <c r="C655" s="42" t="n">
        <v>45766</v>
      </c>
      <c r="D655" s="42" t="n">
        <v>45767</v>
      </c>
      <c r="E655" s="38" t="n">
        <v>1</v>
      </c>
      <c r="F655" t="inlineStr">
        <is>
          <t>Observation</t>
        </is>
      </c>
      <c r="G655" t="inlineStr">
        <is>
          <t>Cedar Ridge Medical Center</t>
        </is>
      </c>
      <c r="H655" t="inlineStr">
        <is>
          <t>Medical-Surgical</t>
        </is>
      </c>
      <c r="I655" t="inlineStr">
        <is>
          <t>Medicine</t>
        </is>
      </c>
      <c r="J655" t="inlineStr">
        <is>
          <t>Berry, Minh</t>
        </is>
      </c>
      <c r="K655" t="inlineStr">
        <is>
          <t>R10.9</t>
        </is>
      </c>
      <c r="L655" t="inlineStr">
        <is>
          <t>Symptoms &amp; Signs</t>
        </is>
      </c>
      <c r="M655" t="inlineStr">
        <is>
          <t>State Medicaid</t>
        </is>
      </c>
      <c r="N655" t="inlineStr">
        <is>
          <t>Government</t>
        </is>
      </c>
      <c r="O655" s="39" t="n">
        <v>10641</v>
      </c>
    </row>
    <row r="656">
      <c r="A656" t="inlineStr">
        <is>
          <t>ENC114347</t>
        </is>
      </c>
      <c r="B656" t="inlineStr">
        <is>
          <t>PT10295</t>
        </is>
      </c>
      <c r="C656" s="42" t="n">
        <v>45767</v>
      </c>
      <c r="D656" s="42" t="n">
        <v>45770</v>
      </c>
      <c r="E656" s="38" t="n">
        <v>3</v>
      </c>
      <c r="F656" t="inlineStr">
        <is>
          <t>Inpatient</t>
        </is>
      </c>
      <c r="G656" t="inlineStr">
        <is>
          <t>Bluestone Memorial Hospital</t>
        </is>
      </c>
      <c r="H656" t="inlineStr">
        <is>
          <t>Cardiac Step-Down</t>
        </is>
      </c>
      <c r="I656" t="inlineStr">
        <is>
          <t>Cardiovascular</t>
        </is>
      </c>
      <c r="J656" t="inlineStr">
        <is>
          <t>Evans, Charles</t>
        </is>
      </c>
      <c r="K656" t="inlineStr">
        <is>
          <t>I48.91</t>
        </is>
      </c>
      <c r="L656" t="inlineStr">
        <is>
          <t>Circulatory</t>
        </is>
      </c>
      <c r="M656" t="inlineStr">
        <is>
          <t>State Medicaid</t>
        </is>
      </c>
      <c r="N656" t="inlineStr">
        <is>
          <t>Government</t>
        </is>
      </c>
      <c r="O656" s="39" t="n">
        <v>33016.49</v>
      </c>
      <c r="P656" t="inlineStr">
        <is>
          <t>N</t>
        </is>
      </c>
    </row>
    <row r="657">
      <c r="A657" t="inlineStr">
        <is>
          <t>ENC114350</t>
        </is>
      </c>
      <c r="B657" t="inlineStr">
        <is>
          <t>PT13786</t>
        </is>
      </c>
      <c r="C657" s="42" t="n">
        <v>45767</v>
      </c>
      <c r="D657" s="42" t="n">
        <v>45770</v>
      </c>
      <c r="E657" s="38" t="n">
        <v>3</v>
      </c>
      <c r="F657" t="inlineStr">
        <is>
          <t>Inpatient</t>
        </is>
      </c>
      <c r="G657" t="inlineStr">
        <is>
          <t>Cedar Ridge Medical Center</t>
        </is>
      </c>
      <c r="H657" t="inlineStr">
        <is>
          <t>Cardiac Step-Down</t>
        </is>
      </c>
      <c r="I657" t="inlineStr">
        <is>
          <t>Cardiovascular</t>
        </is>
      </c>
      <c r="J657" t="inlineStr">
        <is>
          <t>Berry, Minh</t>
        </is>
      </c>
      <c r="K657" t="inlineStr">
        <is>
          <t>I21.4</t>
        </is>
      </c>
      <c r="L657" t="inlineStr">
        <is>
          <t>Circulatory</t>
        </is>
      </c>
      <c r="M657" t="inlineStr">
        <is>
          <t>Self-Pay</t>
        </is>
      </c>
      <c r="N657" t="inlineStr">
        <is>
          <t>Self-Pay</t>
        </is>
      </c>
      <c r="O657" s="39" t="n">
        <v>57381.04</v>
      </c>
      <c r="P657" t="inlineStr">
        <is>
          <t>N</t>
        </is>
      </c>
    </row>
    <row r="658">
      <c r="A658" t="inlineStr">
        <is>
          <t>ENC114364</t>
        </is>
      </c>
      <c r="B658" t="inlineStr">
        <is>
          <t>PT11050</t>
        </is>
      </c>
      <c r="C658" s="42" t="n">
        <v>45767</v>
      </c>
      <c r="D658" s="42" t="n">
        <v>45770</v>
      </c>
      <c r="E658" s="38" t="n">
        <v>3</v>
      </c>
      <c r="F658" t="inlineStr">
        <is>
          <t>Inpatient</t>
        </is>
      </c>
      <c r="G658" t="inlineStr">
        <is>
          <t>Ashby Falls Community Hospital</t>
        </is>
      </c>
      <c r="H658" t="inlineStr">
        <is>
          <t>Medical-Surgical</t>
        </is>
      </c>
      <c r="I658" t="inlineStr">
        <is>
          <t>Medicine</t>
        </is>
      </c>
      <c r="J658" t="inlineStr">
        <is>
          <t>Moreno, Melissa</t>
        </is>
      </c>
      <c r="K658" t="inlineStr">
        <is>
          <t>K92.2</t>
        </is>
      </c>
      <c r="L658" t="inlineStr">
        <is>
          <t>Digestive</t>
        </is>
      </c>
      <c r="M658" t="inlineStr">
        <is>
          <t>Summit Choice PPO</t>
        </is>
      </c>
      <c r="N658" t="inlineStr">
        <is>
          <t>Commercial</t>
        </is>
      </c>
      <c r="O658" s="39" t="n">
        <v>15687.77</v>
      </c>
      <c r="P658" t="inlineStr">
        <is>
          <t>N</t>
        </is>
      </c>
    </row>
    <row r="659">
      <c r="A659" t="inlineStr">
        <is>
          <t>ENC114366</t>
        </is>
      </c>
      <c r="B659" t="inlineStr">
        <is>
          <t>PT12411</t>
        </is>
      </c>
      <c r="C659" s="42" t="n">
        <v>45768</v>
      </c>
      <c r="D659" s="42" t="n">
        <v>45768</v>
      </c>
      <c r="E659" s="38" t="n">
        <v>0</v>
      </c>
      <c r="F659" t="inlineStr">
        <is>
          <t>Emergency</t>
        </is>
      </c>
      <c r="G659" t="inlineStr">
        <is>
          <t>Ashby Falls Community Hospital</t>
        </is>
      </c>
      <c r="H659" t="inlineStr">
        <is>
          <t>Emergency Department</t>
        </is>
      </c>
      <c r="I659" t="inlineStr">
        <is>
          <t>Emergency</t>
        </is>
      </c>
      <c r="J659" t="inlineStr">
        <is>
          <t>Wright, Bruce</t>
        </is>
      </c>
      <c r="K659" t="inlineStr">
        <is>
          <t>N39.0</t>
        </is>
      </c>
      <c r="L659" t="inlineStr">
        <is>
          <t>Genitourinary</t>
        </is>
      </c>
      <c r="M659" t="inlineStr">
        <is>
          <t>Evergreen Mutual Insurance</t>
        </is>
      </c>
      <c r="N659" t="inlineStr">
        <is>
          <t>Commercial</t>
        </is>
      </c>
      <c r="O659" s="39" t="n">
        <v>4201.09</v>
      </c>
    </row>
    <row r="660">
      <c r="A660" t="inlineStr">
        <is>
          <t>ENC114376</t>
        </is>
      </c>
      <c r="B660" t="inlineStr">
        <is>
          <t>PT11139</t>
        </is>
      </c>
      <c r="C660" s="42" t="n">
        <v>45768</v>
      </c>
      <c r="D660" s="42" t="n">
        <v>45768</v>
      </c>
      <c r="E660" s="38" t="n">
        <v>0</v>
      </c>
      <c r="F660" t="inlineStr">
        <is>
          <t>Outpatient</t>
        </is>
      </c>
      <c r="G660" t="inlineStr">
        <is>
          <t>Bluestone Outpatient Pavilion</t>
        </is>
      </c>
      <c r="H660" t="inlineStr">
        <is>
          <t>Primary Care Clinic</t>
        </is>
      </c>
      <c r="I660" t="inlineStr">
        <is>
          <t>Ambulatory</t>
        </is>
      </c>
      <c r="J660" t="inlineStr">
        <is>
          <t>Myers, Lucia</t>
        </is>
      </c>
      <c r="K660" t="inlineStr">
        <is>
          <t>M54.50</t>
        </is>
      </c>
      <c r="L660" t="inlineStr">
        <is>
          <t>Musculoskeletal</t>
        </is>
      </c>
      <c r="M660" t="inlineStr">
        <is>
          <t>Keystone Health Partners</t>
        </is>
      </c>
      <c r="N660" t="inlineStr">
        <is>
          <t>Commercial</t>
        </is>
      </c>
      <c r="O660" s="39" t="n">
        <v>363.13</v>
      </c>
    </row>
    <row r="661">
      <c r="A661" t="inlineStr">
        <is>
          <t>ENC114384</t>
        </is>
      </c>
      <c r="B661" t="inlineStr">
        <is>
          <t>PT13828</t>
        </is>
      </c>
      <c r="C661" s="42" t="n">
        <v>45768</v>
      </c>
      <c r="D661" s="42" t="n">
        <v>45768</v>
      </c>
      <c r="E661" s="38" t="n">
        <v>0</v>
      </c>
      <c r="F661" t="inlineStr">
        <is>
          <t>Outpatient</t>
        </is>
      </c>
      <c r="G661" t="inlineStr">
        <is>
          <t>Bluestone Outpatient Pavilion</t>
        </is>
      </c>
      <c r="H661" t="inlineStr">
        <is>
          <t>Orthopedic Clinic</t>
        </is>
      </c>
      <c r="I661" t="inlineStr">
        <is>
          <t>Orthopedics</t>
        </is>
      </c>
      <c r="J661" t="inlineStr">
        <is>
          <t>Hernandez, Kyle</t>
        </is>
      </c>
      <c r="K661" t="inlineStr">
        <is>
          <t>M17.11</t>
        </is>
      </c>
      <c r="L661" t="inlineStr">
        <is>
          <t>Musculoskeletal</t>
        </is>
      </c>
      <c r="M661" t="inlineStr">
        <is>
          <t>Medicare</t>
        </is>
      </c>
      <c r="N661" t="inlineStr">
        <is>
          <t>Government</t>
        </is>
      </c>
      <c r="O661" s="39" t="n">
        <v>351.45</v>
      </c>
    </row>
    <row r="662">
      <c r="A662" t="inlineStr">
        <is>
          <t>ENC114386</t>
        </is>
      </c>
      <c r="B662" t="inlineStr">
        <is>
          <t>PT11024</t>
        </is>
      </c>
      <c r="C662" s="42" t="n">
        <v>45768</v>
      </c>
      <c r="D662" s="42" t="n">
        <v>45768</v>
      </c>
      <c r="E662" s="38" t="n">
        <v>0</v>
      </c>
      <c r="F662" t="inlineStr">
        <is>
          <t>Outpatient</t>
        </is>
      </c>
      <c r="G662" t="inlineStr">
        <is>
          <t>Bluestone Outpatient Pavilion</t>
        </is>
      </c>
      <c r="H662" t="inlineStr">
        <is>
          <t>Primary Care Clinic</t>
        </is>
      </c>
      <c r="I662" t="inlineStr">
        <is>
          <t>Ambulatory</t>
        </is>
      </c>
      <c r="J662" t="inlineStr">
        <is>
          <t>Yilmaz, Richard</t>
        </is>
      </c>
      <c r="K662" t="inlineStr">
        <is>
          <t>Z23</t>
        </is>
      </c>
      <c r="L662" t="inlineStr">
        <is>
          <t>Factors Influencing Health</t>
        </is>
      </c>
      <c r="M662" t="inlineStr">
        <is>
          <t>Evergreen Mutual Insurance</t>
        </is>
      </c>
      <c r="N662" t="inlineStr">
        <is>
          <t>Commercial</t>
        </is>
      </c>
      <c r="O662" s="39" t="n">
        <v>101.64</v>
      </c>
    </row>
    <row r="663">
      <c r="A663" t="inlineStr">
        <is>
          <t>ENC114390</t>
        </is>
      </c>
      <c r="B663" t="inlineStr">
        <is>
          <t>PT11728</t>
        </is>
      </c>
      <c r="C663" s="42" t="n">
        <v>45768</v>
      </c>
      <c r="D663" s="42" t="n">
        <v>45768</v>
      </c>
      <c r="E663" s="38" t="n">
        <v>0</v>
      </c>
      <c r="F663" t="inlineStr">
        <is>
          <t>Outpatient</t>
        </is>
      </c>
      <c r="G663" t="inlineStr">
        <is>
          <t>Bluestone Outpatient Pavilion</t>
        </is>
      </c>
      <c r="H663" t="inlineStr">
        <is>
          <t>Primary Care Clinic</t>
        </is>
      </c>
      <c r="I663" t="inlineStr">
        <is>
          <t>Ambulatory</t>
        </is>
      </c>
      <c r="J663" t="inlineStr">
        <is>
          <t>Elliott, Douglas</t>
        </is>
      </c>
      <c r="K663" t="inlineStr">
        <is>
          <t>F32.9</t>
        </is>
      </c>
      <c r="L663" t="inlineStr">
        <is>
          <t>Mental &amp; Behavioral</t>
        </is>
      </c>
      <c r="M663" t="inlineStr">
        <is>
          <t>State Medicaid</t>
        </is>
      </c>
      <c r="N663" t="inlineStr">
        <is>
          <t>Government</t>
        </is>
      </c>
      <c r="O663" s="39" t="n">
        <v>382.26</v>
      </c>
    </row>
    <row r="664">
      <c r="A664" t="inlineStr">
        <is>
          <t>ENC114391</t>
        </is>
      </c>
      <c r="B664" t="inlineStr">
        <is>
          <t>PT12737</t>
        </is>
      </c>
      <c r="C664" s="42" t="n">
        <v>45768</v>
      </c>
      <c r="D664" s="42" t="n">
        <v>45768</v>
      </c>
      <c r="E664" s="38" t="n">
        <v>0</v>
      </c>
      <c r="F664" t="inlineStr">
        <is>
          <t>Emergency</t>
        </is>
      </c>
      <c r="G664" t="inlineStr">
        <is>
          <t>Ashby Falls Community Hospital</t>
        </is>
      </c>
      <c r="H664" t="inlineStr">
        <is>
          <t>Emergency Department</t>
        </is>
      </c>
      <c r="I664" t="inlineStr">
        <is>
          <t>Emergency</t>
        </is>
      </c>
      <c r="J664" t="inlineStr">
        <is>
          <t>Wright, Bruce</t>
        </is>
      </c>
      <c r="K664" t="inlineStr">
        <is>
          <t>S06.0X0A</t>
        </is>
      </c>
      <c r="L664" t="inlineStr">
        <is>
          <t>Injury</t>
        </is>
      </c>
      <c r="M664" t="inlineStr">
        <is>
          <t>Medicare</t>
        </is>
      </c>
      <c r="N664" t="inlineStr">
        <is>
          <t>Government</t>
        </is>
      </c>
      <c r="O664" s="39" t="n">
        <v>3657.35</v>
      </c>
    </row>
    <row r="665">
      <c r="A665" t="inlineStr">
        <is>
          <t>ENC114393</t>
        </is>
      </c>
      <c r="B665" t="inlineStr">
        <is>
          <t>PT10181</t>
        </is>
      </c>
      <c r="C665" s="42" t="n">
        <v>45768</v>
      </c>
      <c r="D665" s="42" t="n">
        <v>45768</v>
      </c>
      <c r="E665" s="38" t="n">
        <v>0</v>
      </c>
      <c r="F665" t="inlineStr">
        <is>
          <t>Emergency</t>
        </is>
      </c>
      <c r="G665" t="inlineStr">
        <is>
          <t>Cedar Ridge Medical Center</t>
        </is>
      </c>
      <c r="H665" t="inlineStr">
        <is>
          <t>Emergency Department</t>
        </is>
      </c>
      <c r="I665" t="inlineStr">
        <is>
          <t>Emergency</t>
        </is>
      </c>
      <c r="J665" t="inlineStr">
        <is>
          <t>Schmidt, Anna</t>
        </is>
      </c>
      <c r="K665" t="inlineStr">
        <is>
          <t>J06.9</t>
        </is>
      </c>
      <c r="L665" t="inlineStr">
        <is>
          <t>Respiratory</t>
        </is>
      </c>
      <c r="M665" t="inlineStr">
        <is>
          <t>Keystone Health Partners</t>
        </is>
      </c>
      <c r="N665" t="inlineStr">
        <is>
          <t>Commercial</t>
        </is>
      </c>
      <c r="O665" s="39" t="n">
        <v>637.4400000000001</v>
      </c>
    </row>
    <row r="666">
      <c r="A666" t="inlineStr">
        <is>
          <t>ENC114395</t>
        </is>
      </c>
      <c r="B666" t="inlineStr">
        <is>
          <t>PT11898</t>
        </is>
      </c>
      <c r="C666" s="42" t="n">
        <v>45768</v>
      </c>
      <c r="D666" s="42" t="n">
        <v>45768</v>
      </c>
      <c r="E666" s="38" t="n">
        <v>0</v>
      </c>
      <c r="F666" t="inlineStr">
        <is>
          <t>Emergency</t>
        </is>
      </c>
      <c r="G666" t="inlineStr">
        <is>
          <t>Bluestone Memorial Hospital</t>
        </is>
      </c>
      <c r="H666" t="inlineStr">
        <is>
          <t>Emergency Department</t>
        </is>
      </c>
      <c r="I666" t="inlineStr">
        <is>
          <t>Emergency</t>
        </is>
      </c>
      <c r="J666" t="inlineStr">
        <is>
          <t>Mendoza, Alexander</t>
        </is>
      </c>
      <c r="K666" t="inlineStr">
        <is>
          <t>E86.0</t>
        </is>
      </c>
      <c r="L666" t="inlineStr">
        <is>
          <t>Endocrine</t>
        </is>
      </c>
      <c r="M666" t="inlineStr">
        <is>
          <t>Self-Pay</t>
        </is>
      </c>
      <c r="N666" t="inlineStr">
        <is>
          <t>Self-Pay</t>
        </is>
      </c>
      <c r="O666" s="39" t="n">
        <v>2311.24</v>
      </c>
    </row>
    <row r="667">
      <c r="A667" t="inlineStr">
        <is>
          <t>ENC114397</t>
        </is>
      </c>
      <c r="B667" t="inlineStr">
        <is>
          <t>PT10367</t>
        </is>
      </c>
      <c r="C667" s="42" t="n">
        <v>45768</v>
      </c>
      <c r="D667" s="42" t="n">
        <v>45774</v>
      </c>
      <c r="E667" s="38" t="n">
        <v>6</v>
      </c>
      <c r="F667" t="inlineStr">
        <is>
          <t>Inpatient</t>
        </is>
      </c>
      <c r="G667" t="inlineStr">
        <is>
          <t>Bluestone Memorial Hospital</t>
        </is>
      </c>
      <c r="H667" t="inlineStr">
        <is>
          <t>Medical-Surgical 5 East</t>
        </is>
      </c>
      <c r="I667" t="inlineStr">
        <is>
          <t>Medicine</t>
        </is>
      </c>
      <c r="J667" t="inlineStr">
        <is>
          <t>Price, Juan</t>
        </is>
      </c>
      <c r="K667" t="inlineStr">
        <is>
          <t>J18.9</t>
        </is>
      </c>
      <c r="L667" t="inlineStr">
        <is>
          <t>Respiratory</t>
        </is>
      </c>
      <c r="M667" t="inlineStr">
        <is>
          <t>Medicare</t>
        </is>
      </c>
      <c r="N667" t="inlineStr">
        <is>
          <t>Government</t>
        </is>
      </c>
      <c r="O667" s="39" t="n">
        <v>29809.1</v>
      </c>
      <c r="P667" t="inlineStr">
        <is>
          <t>N</t>
        </is>
      </c>
    </row>
    <row r="668">
      <c r="A668" t="inlineStr">
        <is>
          <t>ENC114404</t>
        </is>
      </c>
      <c r="B668" t="inlineStr">
        <is>
          <t>PT12537</t>
        </is>
      </c>
      <c r="C668" s="42" t="n">
        <v>45769</v>
      </c>
      <c r="D668" s="42" t="n">
        <v>45769</v>
      </c>
      <c r="E668" s="38" t="n">
        <v>0</v>
      </c>
      <c r="F668" t="inlineStr">
        <is>
          <t>Emergency</t>
        </is>
      </c>
      <c r="G668" t="inlineStr">
        <is>
          <t>Cedar Ridge Medical Center</t>
        </is>
      </c>
      <c r="H668" t="inlineStr">
        <is>
          <t>Emergency Department</t>
        </is>
      </c>
      <c r="I668" t="inlineStr">
        <is>
          <t>Emergency</t>
        </is>
      </c>
      <c r="J668" t="inlineStr">
        <is>
          <t>Munoz, Linda</t>
        </is>
      </c>
      <c r="K668" t="inlineStr">
        <is>
          <t>N39.0</t>
        </is>
      </c>
      <c r="L668" t="inlineStr">
        <is>
          <t>Genitourinary</t>
        </is>
      </c>
      <c r="M668" t="inlineStr">
        <is>
          <t>Medicare</t>
        </is>
      </c>
      <c r="N668" t="inlineStr">
        <is>
          <t>Government</t>
        </is>
      </c>
      <c r="O668" s="39" t="n">
        <v>1162.49</v>
      </c>
    </row>
    <row r="669">
      <c r="A669" t="inlineStr">
        <is>
          <t>ENC114408</t>
        </is>
      </c>
      <c r="B669" t="inlineStr">
        <is>
          <t>PT12173</t>
        </is>
      </c>
      <c r="C669" s="42" t="n">
        <v>45769</v>
      </c>
      <c r="D669" s="42" t="n">
        <v>45769</v>
      </c>
      <c r="E669" s="38" t="n">
        <v>0</v>
      </c>
      <c r="F669" t="inlineStr">
        <is>
          <t>Emergency</t>
        </is>
      </c>
      <c r="G669" t="inlineStr">
        <is>
          <t>Bluestone Memorial Hospital</t>
        </is>
      </c>
      <c r="H669" t="inlineStr">
        <is>
          <t>Emergency Department</t>
        </is>
      </c>
      <c r="I669" t="inlineStr">
        <is>
          <t>Emergency</t>
        </is>
      </c>
      <c r="J669" t="inlineStr">
        <is>
          <t>Foster, Patrick</t>
        </is>
      </c>
      <c r="K669" t="inlineStr">
        <is>
          <t>J45.909</t>
        </is>
      </c>
      <c r="L669" t="inlineStr">
        <is>
          <t>Respiratory</t>
        </is>
      </c>
      <c r="M669" t="inlineStr">
        <is>
          <t>Medicare</t>
        </is>
      </c>
      <c r="N669" t="inlineStr">
        <is>
          <t>Government</t>
        </is>
      </c>
      <c r="O669" s="39" t="n">
        <v>2575.57</v>
      </c>
    </row>
    <row r="670">
      <c r="A670" t="inlineStr">
        <is>
          <t>ENC114432</t>
        </is>
      </c>
      <c r="B670" t="inlineStr">
        <is>
          <t>PT13940</t>
        </is>
      </c>
      <c r="C670" s="42" t="n">
        <v>45770</v>
      </c>
      <c r="D670" s="42" t="n">
        <v>45774</v>
      </c>
      <c r="E670" s="38" t="n">
        <v>4</v>
      </c>
      <c r="F670" t="inlineStr">
        <is>
          <t>Inpatient</t>
        </is>
      </c>
      <c r="G670" t="inlineStr">
        <is>
          <t>Bluestone Memorial Hospital</t>
        </is>
      </c>
      <c r="H670" t="inlineStr">
        <is>
          <t>Neuroscience &amp; Stroke</t>
        </is>
      </c>
      <c r="I670" t="inlineStr">
        <is>
          <t>Neuroscience</t>
        </is>
      </c>
      <c r="J670" t="inlineStr">
        <is>
          <t>Abbott, Isabella</t>
        </is>
      </c>
      <c r="K670" t="inlineStr">
        <is>
          <t>I63.9</t>
        </is>
      </c>
      <c r="L670" t="inlineStr">
        <is>
          <t>Circulatory</t>
        </is>
      </c>
      <c r="M670" t="inlineStr">
        <is>
          <t>Evergreen Mutual Insurance</t>
        </is>
      </c>
      <c r="N670" t="inlineStr">
        <is>
          <t>Commercial</t>
        </is>
      </c>
      <c r="O670" s="39" t="n">
        <v>26617.81</v>
      </c>
      <c r="P670" t="inlineStr">
        <is>
          <t>N</t>
        </is>
      </c>
    </row>
    <row r="671">
      <c r="A671" t="inlineStr">
        <is>
          <t>ENC114437</t>
        </is>
      </c>
      <c r="B671" t="inlineStr">
        <is>
          <t>PT13384</t>
        </is>
      </c>
      <c r="C671" s="42" t="n">
        <v>45770</v>
      </c>
      <c r="D671" s="42" t="n">
        <v>45781</v>
      </c>
      <c r="E671" s="38" t="n">
        <v>11</v>
      </c>
      <c r="F671" t="inlineStr">
        <is>
          <t>Inpatient</t>
        </is>
      </c>
      <c r="G671" t="inlineStr">
        <is>
          <t>Cedar Ridge Medical Center</t>
        </is>
      </c>
      <c r="H671" t="inlineStr">
        <is>
          <t>Medical-Surgical</t>
        </is>
      </c>
      <c r="I671" t="inlineStr">
        <is>
          <t>Medicine</t>
        </is>
      </c>
      <c r="J671" t="inlineStr">
        <is>
          <t>Peters, Frank</t>
        </is>
      </c>
      <c r="K671" t="inlineStr">
        <is>
          <t>J44.1</t>
        </is>
      </c>
      <c r="L671" t="inlineStr">
        <is>
          <t>Respiratory</t>
        </is>
      </c>
      <c r="M671" t="inlineStr">
        <is>
          <t>Keystone Health Partners</t>
        </is>
      </c>
      <c r="N671" t="inlineStr">
        <is>
          <t>Commercial</t>
        </is>
      </c>
      <c r="O671" s="39" t="n">
        <v>41297.66</v>
      </c>
      <c r="P671" t="inlineStr">
        <is>
          <t>N</t>
        </is>
      </c>
    </row>
    <row r="672">
      <c r="A672" t="inlineStr">
        <is>
          <t>ENC114438</t>
        </is>
      </c>
      <c r="B672" t="inlineStr">
        <is>
          <t>PT12938</t>
        </is>
      </c>
      <c r="C672" s="42" t="n">
        <v>45770</v>
      </c>
      <c r="D672" s="42" t="n">
        <v>45770</v>
      </c>
      <c r="E672" s="38" t="n">
        <v>0</v>
      </c>
      <c r="F672" t="inlineStr">
        <is>
          <t>Emergency</t>
        </is>
      </c>
      <c r="G672" t="inlineStr">
        <is>
          <t>Bluestone Memorial Hospital</t>
        </is>
      </c>
      <c r="H672" t="inlineStr">
        <is>
          <t>Emergency Department</t>
        </is>
      </c>
      <c r="I672" t="inlineStr">
        <is>
          <t>Emergency</t>
        </is>
      </c>
      <c r="J672" t="inlineStr">
        <is>
          <t>Cruz, Mia</t>
        </is>
      </c>
      <c r="K672" t="inlineStr">
        <is>
          <t>S93.401A</t>
        </is>
      </c>
      <c r="L672" t="inlineStr">
        <is>
          <t>Injury</t>
        </is>
      </c>
      <c r="M672" t="inlineStr">
        <is>
          <t>Medicare</t>
        </is>
      </c>
      <c r="N672" t="inlineStr">
        <is>
          <t>Government</t>
        </is>
      </c>
      <c r="O672" s="39" t="n">
        <v>2967.17</v>
      </c>
    </row>
    <row r="673">
      <c r="A673" t="inlineStr">
        <is>
          <t>ENC114441</t>
        </is>
      </c>
      <c r="B673" t="inlineStr">
        <is>
          <t>PT12895</t>
        </is>
      </c>
      <c r="C673" s="42" t="n">
        <v>45770</v>
      </c>
      <c r="D673" s="42" t="n">
        <v>45770</v>
      </c>
      <c r="E673" s="38" t="n">
        <v>0</v>
      </c>
      <c r="F673" t="inlineStr">
        <is>
          <t>Outpatient</t>
        </is>
      </c>
      <c r="G673" t="inlineStr">
        <is>
          <t>Bluestone Outpatient Pavilion</t>
        </is>
      </c>
      <c r="H673" t="inlineStr">
        <is>
          <t>Primary Care Clinic</t>
        </is>
      </c>
      <c r="I673" t="inlineStr">
        <is>
          <t>Ambulatory</t>
        </is>
      </c>
      <c r="J673" t="inlineStr">
        <is>
          <t>Black, Nancy</t>
        </is>
      </c>
      <c r="K673" t="inlineStr">
        <is>
          <t>N39.0</t>
        </is>
      </c>
      <c r="L673" t="inlineStr">
        <is>
          <t>Genitourinary</t>
        </is>
      </c>
      <c r="M673" t="inlineStr">
        <is>
          <t>Keystone Health Partners</t>
        </is>
      </c>
      <c r="N673" t="inlineStr">
        <is>
          <t>Commercial</t>
        </is>
      </c>
      <c r="O673" s="39" t="n">
        <v>259.31</v>
      </c>
    </row>
    <row r="674">
      <c r="A674" t="inlineStr">
        <is>
          <t>ENC114442</t>
        </is>
      </c>
      <c r="B674" t="inlineStr">
        <is>
          <t>PT10217</t>
        </is>
      </c>
      <c r="C674" s="42" t="n">
        <v>45770</v>
      </c>
      <c r="D674" s="42" t="n">
        <v>45770</v>
      </c>
      <c r="E674" s="38" t="n">
        <v>0</v>
      </c>
      <c r="F674" t="inlineStr">
        <is>
          <t>Outpatient</t>
        </is>
      </c>
      <c r="G674" t="inlineStr">
        <is>
          <t>Bluestone Outpatient Pavilion</t>
        </is>
      </c>
      <c r="H674" t="inlineStr">
        <is>
          <t>Primary Care Clinic</t>
        </is>
      </c>
      <c r="I674" t="inlineStr">
        <is>
          <t>Ambulatory</t>
        </is>
      </c>
      <c r="J674" t="inlineStr">
        <is>
          <t>Myers, Lucia</t>
        </is>
      </c>
      <c r="K674" t="inlineStr">
        <is>
          <t>Z00.00</t>
        </is>
      </c>
      <c r="L674" t="inlineStr">
        <is>
          <t>Factors Influencing Health</t>
        </is>
      </c>
      <c r="M674" t="inlineStr">
        <is>
          <t>Medicare</t>
        </is>
      </c>
      <c r="N674" t="inlineStr">
        <is>
          <t>Government</t>
        </is>
      </c>
      <c r="O674" s="39" t="n">
        <v>347.42</v>
      </c>
    </row>
    <row r="675">
      <c r="A675" t="inlineStr">
        <is>
          <t>ENC114454</t>
        </is>
      </c>
      <c r="B675" t="inlineStr">
        <is>
          <t>PT10750</t>
        </is>
      </c>
      <c r="C675" s="42" t="n">
        <v>45770</v>
      </c>
      <c r="D675" s="42" t="n">
        <v>45774</v>
      </c>
      <c r="E675" s="38" t="n">
        <v>4</v>
      </c>
      <c r="F675" t="inlineStr">
        <is>
          <t>Inpatient</t>
        </is>
      </c>
      <c r="G675" t="inlineStr">
        <is>
          <t>Cedar Ridge Medical Center</t>
        </is>
      </c>
      <c r="H675" t="inlineStr">
        <is>
          <t>Intensive Care Unit</t>
        </is>
      </c>
      <c r="I675" t="inlineStr">
        <is>
          <t>Critical Care</t>
        </is>
      </c>
      <c r="J675" t="inlineStr">
        <is>
          <t>White, Danielle</t>
        </is>
      </c>
      <c r="K675" t="inlineStr">
        <is>
          <t>A41.9</t>
        </is>
      </c>
      <c r="L675" t="inlineStr">
        <is>
          <t>Infectious</t>
        </is>
      </c>
      <c r="M675" t="inlineStr">
        <is>
          <t>Medicare</t>
        </is>
      </c>
      <c r="N675" t="inlineStr">
        <is>
          <t>Government</t>
        </is>
      </c>
      <c r="O675" s="39" t="n">
        <v>38401.75</v>
      </c>
      <c r="P675" t="inlineStr">
        <is>
          <t>N</t>
        </is>
      </c>
    </row>
    <row r="676">
      <c r="A676" t="inlineStr">
        <is>
          <t>ENC114460</t>
        </is>
      </c>
      <c r="B676" t="inlineStr">
        <is>
          <t>PT12730</t>
        </is>
      </c>
      <c r="C676" s="42" t="n">
        <v>45770</v>
      </c>
      <c r="D676" s="42" t="n">
        <v>45770</v>
      </c>
      <c r="E676" s="38" t="n">
        <v>0</v>
      </c>
      <c r="F676" t="inlineStr">
        <is>
          <t>Outpatient</t>
        </is>
      </c>
      <c r="G676" t="inlineStr">
        <is>
          <t>Bluestone Outpatient Pavilion</t>
        </is>
      </c>
      <c r="H676" t="inlineStr">
        <is>
          <t>Primary Care Clinic</t>
        </is>
      </c>
      <c r="I676" t="inlineStr">
        <is>
          <t>Ambulatory</t>
        </is>
      </c>
      <c r="J676" t="inlineStr">
        <is>
          <t>Torres, Rebecca</t>
        </is>
      </c>
      <c r="K676" t="inlineStr">
        <is>
          <t>I10</t>
        </is>
      </c>
      <c r="L676" t="inlineStr">
        <is>
          <t>Circulatory</t>
        </is>
      </c>
      <c r="M676" t="inlineStr">
        <is>
          <t>Medicare</t>
        </is>
      </c>
      <c r="N676" t="inlineStr">
        <is>
          <t>Government</t>
        </is>
      </c>
      <c r="O676" s="39" t="n">
        <v>234.37</v>
      </c>
    </row>
    <row r="677">
      <c r="A677" t="inlineStr">
        <is>
          <t>ENC114471</t>
        </is>
      </c>
      <c r="B677" t="inlineStr">
        <is>
          <t>PT11159</t>
        </is>
      </c>
      <c r="C677" s="42" t="n">
        <v>45771</v>
      </c>
      <c r="D677" s="42" t="n">
        <v>45778</v>
      </c>
      <c r="E677" s="38" t="n">
        <v>7</v>
      </c>
      <c r="F677" t="inlineStr">
        <is>
          <t>Inpatient</t>
        </is>
      </c>
      <c r="G677" t="inlineStr">
        <is>
          <t>Ashby Falls Community Hospital</t>
        </is>
      </c>
      <c r="H677" t="inlineStr">
        <is>
          <t>Intensive Care Unit</t>
        </is>
      </c>
      <c r="I677" t="inlineStr">
        <is>
          <t>Critical Care</t>
        </is>
      </c>
      <c r="J677" t="inlineStr">
        <is>
          <t>Wallace, Frank</t>
        </is>
      </c>
      <c r="K677" t="inlineStr">
        <is>
          <t>J96.01</t>
        </is>
      </c>
      <c r="L677" t="inlineStr">
        <is>
          <t>Respiratory</t>
        </is>
      </c>
      <c r="M677" t="inlineStr">
        <is>
          <t>State Medicaid</t>
        </is>
      </c>
      <c r="N677" t="inlineStr">
        <is>
          <t>Government</t>
        </is>
      </c>
      <c r="O677" s="39" t="n">
        <v>88812.25999999999</v>
      </c>
      <c r="P677" t="inlineStr">
        <is>
          <t>N</t>
        </is>
      </c>
    </row>
    <row r="678">
      <c r="A678" t="inlineStr">
        <is>
          <t>ENC114473</t>
        </is>
      </c>
      <c r="B678" t="inlineStr">
        <is>
          <t>PT11931</t>
        </is>
      </c>
      <c r="C678" s="42" t="n">
        <v>45771</v>
      </c>
      <c r="D678" s="42" t="n">
        <v>45775</v>
      </c>
      <c r="E678" s="38" t="n">
        <v>4</v>
      </c>
      <c r="F678" t="inlineStr">
        <is>
          <t>Inpatient</t>
        </is>
      </c>
      <c r="G678" t="inlineStr">
        <is>
          <t>Bluestone Memorial Hospital</t>
        </is>
      </c>
      <c r="H678" t="inlineStr">
        <is>
          <t>Cardiac Step-Down</t>
        </is>
      </c>
      <c r="I678" t="inlineStr">
        <is>
          <t>Cardiovascular</t>
        </is>
      </c>
      <c r="J678" t="inlineStr">
        <is>
          <t>Taylor, Jonathan</t>
        </is>
      </c>
      <c r="K678" t="inlineStr">
        <is>
          <t>I21.4</t>
        </is>
      </c>
      <c r="L678" t="inlineStr">
        <is>
          <t>Circulatory</t>
        </is>
      </c>
      <c r="M678" t="inlineStr">
        <is>
          <t>Medicare</t>
        </is>
      </c>
      <c r="N678" t="inlineStr">
        <is>
          <t>Government</t>
        </is>
      </c>
      <c r="O678" s="39" t="n">
        <v>64009.8</v>
      </c>
      <c r="P678" t="inlineStr">
        <is>
          <t>Y</t>
        </is>
      </c>
    </row>
    <row r="679">
      <c r="A679" t="inlineStr">
        <is>
          <t>ENC114477</t>
        </is>
      </c>
      <c r="B679" t="inlineStr">
        <is>
          <t>PT12197</t>
        </is>
      </c>
      <c r="C679" s="42" t="n">
        <v>45771</v>
      </c>
      <c r="D679" s="42" t="n">
        <v>45771</v>
      </c>
      <c r="E679" s="38" t="n">
        <v>0</v>
      </c>
      <c r="F679" t="inlineStr">
        <is>
          <t>Emergency</t>
        </is>
      </c>
      <c r="G679" t="inlineStr">
        <is>
          <t>Bluestone Memorial Hospital</t>
        </is>
      </c>
      <c r="H679" t="inlineStr">
        <is>
          <t>Emergency Department</t>
        </is>
      </c>
      <c r="I679" t="inlineStr">
        <is>
          <t>Emergency</t>
        </is>
      </c>
      <c r="J679" t="inlineStr">
        <is>
          <t>Mendoza, Alexander</t>
        </is>
      </c>
      <c r="K679" t="inlineStr">
        <is>
          <t>F32.9</t>
        </is>
      </c>
      <c r="L679" t="inlineStr">
        <is>
          <t>Mental &amp; Behavioral</t>
        </is>
      </c>
      <c r="M679" t="inlineStr">
        <is>
          <t>State Medicaid</t>
        </is>
      </c>
      <c r="N679" t="inlineStr">
        <is>
          <t>Government</t>
        </is>
      </c>
      <c r="O679" s="39" t="n">
        <v>2258.26</v>
      </c>
    </row>
    <row r="680">
      <c r="A680" t="inlineStr">
        <is>
          <t>ENC114486</t>
        </is>
      </c>
      <c r="B680" t="inlineStr">
        <is>
          <t>PT10390</t>
        </is>
      </c>
      <c r="C680" s="42" t="n">
        <v>45771</v>
      </c>
      <c r="D680" s="42" t="n">
        <v>45771</v>
      </c>
      <c r="E680" s="38" t="n">
        <v>0</v>
      </c>
      <c r="F680" t="inlineStr">
        <is>
          <t>Outpatient</t>
        </is>
      </c>
      <c r="G680" t="inlineStr">
        <is>
          <t>Bluestone Outpatient Pavilion</t>
        </is>
      </c>
      <c r="H680" t="inlineStr">
        <is>
          <t>Endocrinology &amp; Diabetes Clinic</t>
        </is>
      </c>
      <c r="I680" t="inlineStr">
        <is>
          <t>Ambulatory</t>
        </is>
      </c>
      <c r="J680" t="inlineStr">
        <is>
          <t>Rivera, Scott</t>
        </is>
      </c>
      <c r="K680" t="inlineStr">
        <is>
          <t>E11.9</t>
        </is>
      </c>
      <c r="L680" t="inlineStr">
        <is>
          <t>Endocrine</t>
        </is>
      </c>
      <c r="M680" t="inlineStr">
        <is>
          <t>Medicare</t>
        </is>
      </c>
      <c r="N680" t="inlineStr">
        <is>
          <t>Government</t>
        </is>
      </c>
      <c r="O680" s="39" t="n">
        <v>215.67</v>
      </c>
    </row>
    <row r="681">
      <c r="A681" t="inlineStr">
        <is>
          <t>ENC114488</t>
        </is>
      </c>
      <c r="B681" t="inlineStr">
        <is>
          <t>PT11520</t>
        </is>
      </c>
      <c r="C681" s="42" t="n">
        <v>45771</v>
      </c>
      <c r="D681" s="42" t="n">
        <v>45771</v>
      </c>
      <c r="E681" s="38" t="n">
        <v>0</v>
      </c>
      <c r="F681" t="inlineStr">
        <is>
          <t>Outpatient</t>
        </is>
      </c>
      <c r="G681" t="inlineStr">
        <is>
          <t>Bluestone Outpatient Pavilion</t>
        </is>
      </c>
      <c r="H681" t="inlineStr">
        <is>
          <t>Primary Care Clinic</t>
        </is>
      </c>
      <c r="I681" t="inlineStr">
        <is>
          <t>Ambulatory</t>
        </is>
      </c>
      <c r="J681" t="inlineStr">
        <is>
          <t>Bennett, Randy</t>
        </is>
      </c>
      <c r="K681" t="inlineStr">
        <is>
          <t>I10</t>
        </is>
      </c>
      <c r="L681" t="inlineStr">
        <is>
          <t>Circulatory</t>
        </is>
      </c>
      <c r="M681" t="inlineStr">
        <is>
          <t>State Medicaid</t>
        </is>
      </c>
      <c r="N681" t="inlineStr">
        <is>
          <t>Government</t>
        </is>
      </c>
      <c r="O681" s="39" t="n">
        <v>356.02</v>
      </c>
    </row>
    <row r="682">
      <c r="A682" t="inlineStr">
        <is>
          <t>ENC114491</t>
        </is>
      </c>
      <c r="B682" t="inlineStr">
        <is>
          <t>PT11819</t>
        </is>
      </c>
      <c r="C682" s="42" t="n">
        <v>45771</v>
      </c>
      <c r="D682" s="42" t="n">
        <v>45771</v>
      </c>
      <c r="E682" s="38" t="n">
        <v>0</v>
      </c>
      <c r="F682" t="inlineStr">
        <is>
          <t>Outpatient</t>
        </is>
      </c>
      <c r="G682" t="inlineStr">
        <is>
          <t>Bluestone Outpatient Pavilion</t>
        </is>
      </c>
      <c r="H682" t="inlineStr">
        <is>
          <t>Primary Care Clinic</t>
        </is>
      </c>
      <c r="I682" t="inlineStr">
        <is>
          <t>Ambulatory</t>
        </is>
      </c>
      <c r="J682" t="inlineStr">
        <is>
          <t>Alvarado, George</t>
        </is>
      </c>
      <c r="K682" t="inlineStr">
        <is>
          <t>M54.50</t>
        </is>
      </c>
      <c r="L682" t="inlineStr">
        <is>
          <t>Musculoskeletal</t>
        </is>
      </c>
      <c r="M682" t="inlineStr">
        <is>
          <t>Keystone Health Partners</t>
        </is>
      </c>
      <c r="N682" t="inlineStr">
        <is>
          <t>Commercial</t>
        </is>
      </c>
      <c r="O682" s="39" t="n">
        <v>197.31</v>
      </c>
    </row>
    <row r="683">
      <c r="A683" t="inlineStr">
        <is>
          <t>ENC114493</t>
        </is>
      </c>
      <c r="B683" t="inlineStr">
        <is>
          <t>PT12869</t>
        </is>
      </c>
      <c r="C683" s="42" t="n">
        <v>45771</v>
      </c>
      <c r="D683" s="42" t="n">
        <v>45771</v>
      </c>
      <c r="E683" s="38" t="n">
        <v>0</v>
      </c>
      <c r="F683" t="inlineStr">
        <is>
          <t>Outpatient</t>
        </is>
      </c>
      <c r="G683" t="inlineStr">
        <is>
          <t>Bluestone Outpatient Pavilion</t>
        </is>
      </c>
      <c r="H683" t="inlineStr">
        <is>
          <t>Orthopedic Clinic</t>
        </is>
      </c>
      <c r="I683" t="inlineStr">
        <is>
          <t>Orthopedics</t>
        </is>
      </c>
      <c r="J683" t="inlineStr">
        <is>
          <t>Wagner, Carlos</t>
        </is>
      </c>
      <c r="K683" t="inlineStr">
        <is>
          <t>M17.11</t>
        </is>
      </c>
      <c r="L683" t="inlineStr">
        <is>
          <t>Musculoskeletal</t>
        </is>
      </c>
      <c r="M683" t="inlineStr">
        <is>
          <t>State Medicaid</t>
        </is>
      </c>
      <c r="N683" t="inlineStr">
        <is>
          <t>Government</t>
        </is>
      </c>
      <c r="O683" s="39" t="n">
        <v>157.53</v>
      </c>
    </row>
    <row r="684">
      <c r="A684" t="inlineStr">
        <is>
          <t>ENC114487</t>
        </is>
      </c>
      <c r="B684" t="inlineStr">
        <is>
          <t>PT13896</t>
        </is>
      </c>
      <c r="C684" s="42" t="n">
        <v>45771</v>
      </c>
      <c r="D684" s="42" t="n">
        <v>45774</v>
      </c>
      <c r="E684" s="38" t="n">
        <v>3</v>
      </c>
      <c r="F684" t="inlineStr">
        <is>
          <t>Inpatient</t>
        </is>
      </c>
      <c r="G684" t="inlineStr">
        <is>
          <t>Bluestone Memorial Hospital</t>
        </is>
      </c>
      <c r="H684" t="inlineStr">
        <is>
          <t>Labor &amp; Delivery</t>
        </is>
      </c>
      <c r="I684" t="inlineStr">
        <is>
          <t>Women &amp; Children</t>
        </is>
      </c>
      <c r="J684" t="inlineStr">
        <is>
          <t>Hill, Andrea</t>
        </is>
      </c>
      <c r="K684" t="inlineStr">
        <is>
          <t>O80</t>
        </is>
      </c>
      <c r="L684" t="inlineStr">
        <is>
          <t>Pregnancy</t>
        </is>
      </c>
      <c r="M684" t="inlineStr">
        <is>
          <t>Evergreen Mutual Insurance</t>
        </is>
      </c>
      <c r="N684" t="inlineStr">
        <is>
          <t>Commercial</t>
        </is>
      </c>
      <c r="O684" s="39" t="n">
        <v>28417.77</v>
      </c>
      <c r="P684" t="inlineStr">
        <is>
          <t>N</t>
        </is>
      </c>
    </row>
    <row r="685">
      <c r="A685" t="inlineStr">
        <is>
          <t>ENC114509</t>
        </is>
      </c>
      <c r="B685" t="inlineStr">
        <is>
          <t>PT11988</t>
        </is>
      </c>
      <c r="C685" s="42" t="n">
        <v>45772</v>
      </c>
      <c r="D685" s="42" t="n">
        <v>45772</v>
      </c>
      <c r="E685" s="38" t="n">
        <v>0</v>
      </c>
      <c r="F685" t="inlineStr">
        <is>
          <t>Outpatient</t>
        </is>
      </c>
      <c r="G685" t="inlineStr">
        <is>
          <t>Bluestone Outpatient Pavilion</t>
        </is>
      </c>
      <c r="H685" t="inlineStr">
        <is>
          <t>Cardiology Clinic</t>
        </is>
      </c>
      <c r="I685" t="inlineStr">
        <is>
          <t>Cardiovascular</t>
        </is>
      </c>
      <c r="J685" t="inlineStr">
        <is>
          <t>Jenkins, Brittany</t>
        </is>
      </c>
      <c r="K685" t="inlineStr">
        <is>
          <t>I48.91</t>
        </is>
      </c>
      <c r="L685" t="inlineStr">
        <is>
          <t>Circulatory</t>
        </is>
      </c>
      <c r="M685" t="inlineStr">
        <is>
          <t>Medicare</t>
        </is>
      </c>
      <c r="N685" t="inlineStr">
        <is>
          <t>Government</t>
        </is>
      </c>
      <c r="O685" s="39" t="n">
        <v>434.15</v>
      </c>
    </row>
    <row r="686">
      <c r="A686" t="inlineStr">
        <is>
          <t>ENC114511</t>
        </is>
      </c>
      <c r="B686" t="inlineStr">
        <is>
          <t>PT13513</t>
        </is>
      </c>
      <c r="C686" s="42" t="n">
        <v>45772</v>
      </c>
      <c r="D686" s="42" t="n">
        <v>45772</v>
      </c>
      <c r="E686" s="38" t="n">
        <v>0</v>
      </c>
      <c r="F686" t="inlineStr">
        <is>
          <t>Outpatient</t>
        </is>
      </c>
      <c r="G686" t="inlineStr">
        <is>
          <t>Bluestone Outpatient Pavilion</t>
        </is>
      </c>
      <c r="H686" t="inlineStr">
        <is>
          <t>Pediatric Clinic</t>
        </is>
      </c>
      <c r="I686" t="inlineStr">
        <is>
          <t>Women &amp; Children</t>
        </is>
      </c>
      <c r="J686" t="inlineStr">
        <is>
          <t>Aguilar, Linh</t>
        </is>
      </c>
      <c r="K686" t="inlineStr">
        <is>
          <t>Z00.129</t>
        </is>
      </c>
      <c r="L686" t="inlineStr">
        <is>
          <t>Factors Influencing Health</t>
        </is>
      </c>
      <c r="M686" t="inlineStr">
        <is>
          <t>State Medicaid</t>
        </is>
      </c>
      <c r="N686" t="inlineStr">
        <is>
          <t>Government</t>
        </is>
      </c>
      <c r="O686" s="39" t="n">
        <v>297.06</v>
      </c>
    </row>
    <row r="687">
      <c r="A687" t="inlineStr">
        <is>
          <t>ENC114526</t>
        </is>
      </c>
      <c r="B687" t="inlineStr">
        <is>
          <t>PT10608</t>
        </is>
      </c>
      <c r="C687" s="42" t="n">
        <v>45772</v>
      </c>
      <c r="D687" s="42" t="n">
        <v>45772</v>
      </c>
      <c r="E687" s="38" t="n">
        <v>0</v>
      </c>
      <c r="F687" t="inlineStr">
        <is>
          <t>Emergency</t>
        </is>
      </c>
      <c r="G687" t="inlineStr">
        <is>
          <t>Bluestone Memorial Hospital</t>
        </is>
      </c>
      <c r="H687" t="inlineStr">
        <is>
          <t>Emergency Department</t>
        </is>
      </c>
      <c r="I687" t="inlineStr">
        <is>
          <t>Emergency</t>
        </is>
      </c>
      <c r="J687" t="inlineStr">
        <is>
          <t>Olson, Christian</t>
        </is>
      </c>
      <c r="K687" t="inlineStr">
        <is>
          <t>G40.909</t>
        </is>
      </c>
      <c r="L687" t="inlineStr">
        <is>
          <t>Nervous System</t>
        </is>
      </c>
      <c r="M687" t="inlineStr">
        <is>
          <t>Silverline Medicare Advantage</t>
        </is>
      </c>
      <c r="N687" t="inlineStr">
        <is>
          <t>Medicare Advantage</t>
        </is>
      </c>
      <c r="O687" s="39" t="n">
        <v>4010.89</v>
      </c>
    </row>
    <row r="688">
      <c r="A688" t="inlineStr">
        <is>
          <t>ENC114531</t>
        </is>
      </c>
      <c r="B688" t="inlineStr">
        <is>
          <t>PT13109</t>
        </is>
      </c>
      <c r="C688" s="42" t="n">
        <v>45772</v>
      </c>
      <c r="D688" s="42" t="n">
        <v>45772</v>
      </c>
      <c r="E688" s="38" t="n">
        <v>0</v>
      </c>
      <c r="F688" t="inlineStr">
        <is>
          <t>Emergency</t>
        </is>
      </c>
      <c r="G688" t="inlineStr">
        <is>
          <t>Bluestone Memorial Hospital</t>
        </is>
      </c>
      <c r="H688" t="inlineStr">
        <is>
          <t>Emergency Department</t>
        </is>
      </c>
      <c r="I688" t="inlineStr">
        <is>
          <t>Emergency</t>
        </is>
      </c>
      <c r="J688" t="inlineStr">
        <is>
          <t>Mendoza, Alexander</t>
        </is>
      </c>
      <c r="K688" t="inlineStr">
        <is>
          <t>I10</t>
        </is>
      </c>
      <c r="L688" t="inlineStr">
        <is>
          <t>Circulatory</t>
        </is>
      </c>
      <c r="M688" t="inlineStr">
        <is>
          <t>Self-Pay</t>
        </is>
      </c>
      <c r="N688" t="inlineStr">
        <is>
          <t>Self-Pay</t>
        </is>
      </c>
      <c r="O688" s="39" t="n">
        <v>3012.25</v>
      </c>
    </row>
    <row r="689">
      <c r="A689" t="inlineStr">
        <is>
          <t>ENC114537</t>
        </is>
      </c>
      <c r="B689" t="inlineStr">
        <is>
          <t>PT11166</t>
        </is>
      </c>
      <c r="C689" s="42" t="n">
        <v>45773</v>
      </c>
      <c r="D689" s="42" t="n">
        <v>45779</v>
      </c>
      <c r="E689" s="38" t="n">
        <v>6</v>
      </c>
      <c r="F689" t="inlineStr">
        <is>
          <t>Inpatient</t>
        </is>
      </c>
      <c r="G689" t="inlineStr">
        <is>
          <t>Bluestone Memorial Hospital</t>
        </is>
      </c>
      <c r="H689" t="inlineStr">
        <is>
          <t>Medical-Surgical 5 East</t>
        </is>
      </c>
      <c r="I689" t="inlineStr">
        <is>
          <t>Medicine</t>
        </is>
      </c>
      <c r="J689" t="inlineStr">
        <is>
          <t>Price, Juan</t>
        </is>
      </c>
      <c r="K689" t="inlineStr">
        <is>
          <t>N17.9</t>
        </is>
      </c>
      <c r="L689" t="inlineStr">
        <is>
          <t>Genitourinary</t>
        </is>
      </c>
      <c r="M689" t="inlineStr">
        <is>
          <t>Keystone Health Partners</t>
        </is>
      </c>
      <c r="N689" t="inlineStr">
        <is>
          <t>Commercial</t>
        </is>
      </c>
      <c r="O689" s="39" t="n">
        <v>24700.41</v>
      </c>
      <c r="P689" t="inlineStr">
        <is>
          <t>N</t>
        </is>
      </c>
    </row>
    <row r="690">
      <c r="A690" t="inlineStr">
        <is>
          <t>ENC114539</t>
        </is>
      </c>
      <c r="B690" t="inlineStr">
        <is>
          <t>PT10609</t>
        </is>
      </c>
      <c r="C690" s="42" t="n">
        <v>45773</v>
      </c>
      <c r="D690" s="42" t="n">
        <v>45773</v>
      </c>
      <c r="E690" s="38" t="n">
        <v>0</v>
      </c>
      <c r="F690" t="inlineStr">
        <is>
          <t>Emergency</t>
        </is>
      </c>
      <c r="G690" t="inlineStr">
        <is>
          <t>Bluestone Memorial Hospital</t>
        </is>
      </c>
      <c r="H690" t="inlineStr">
        <is>
          <t>Emergency Department</t>
        </is>
      </c>
      <c r="I690" t="inlineStr">
        <is>
          <t>Emergency</t>
        </is>
      </c>
      <c r="J690" t="inlineStr">
        <is>
          <t>Payne, Nancy</t>
        </is>
      </c>
      <c r="K690" t="inlineStr">
        <is>
          <t>J06.9</t>
        </is>
      </c>
      <c r="L690" t="inlineStr">
        <is>
          <t>Respiratory</t>
        </is>
      </c>
      <c r="M690" t="inlineStr">
        <is>
          <t>Keystone Health Partners</t>
        </is>
      </c>
      <c r="N690" t="inlineStr">
        <is>
          <t>Commercial</t>
        </is>
      </c>
      <c r="O690" s="39" t="n">
        <v>1424.53</v>
      </c>
    </row>
    <row r="691">
      <c r="A691" t="inlineStr">
        <is>
          <t>ENC114542</t>
        </is>
      </c>
      <c r="B691" t="inlineStr">
        <is>
          <t>PT12961</t>
        </is>
      </c>
      <c r="C691" s="42" t="n">
        <v>45773</v>
      </c>
      <c r="D691" s="42" t="n">
        <v>45773</v>
      </c>
      <c r="E691" s="38" t="n">
        <v>0</v>
      </c>
      <c r="F691" t="inlineStr">
        <is>
          <t>Emergency</t>
        </is>
      </c>
      <c r="G691" t="inlineStr">
        <is>
          <t>Bluestone Memorial Hospital</t>
        </is>
      </c>
      <c r="H691" t="inlineStr">
        <is>
          <t>Emergency Department</t>
        </is>
      </c>
      <c r="I691" t="inlineStr">
        <is>
          <t>Emergency</t>
        </is>
      </c>
      <c r="J691" t="inlineStr">
        <is>
          <t>Ferguson, Roy</t>
        </is>
      </c>
      <c r="K691" t="inlineStr">
        <is>
          <t>G43.909</t>
        </is>
      </c>
      <c r="L691" t="inlineStr">
        <is>
          <t>Nervous System</t>
        </is>
      </c>
      <c r="M691" t="inlineStr">
        <is>
          <t>Medicare</t>
        </is>
      </c>
      <c r="N691" t="inlineStr">
        <is>
          <t>Government</t>
        </is>
      </c>
      <c r="O691" s="39" t="n">
        <v>927.4299999999999</v>
      </c>
    </row>
    <row r="692">
      <c r="A692" t="inlineStr">
        <is>
          <t>ENC114541</t>
        </is>
      </c>
      <c r="B692" t="inlineStr">
        <is>
          <t>PT11300</t>
        </is>
      </c>
      <c r="C692" s="42" t="n">
        <v>45773</v>
      </c>
      <c r="D692" s="42" t="n">
        <v>45774</v>
      </c>
      <c r="E692" s="38" t="n">
        <v>1</v>
      </c>
      <c r="F692" t="inlineStr">
        <is>
          <t>Inpatient</t>
        </is>
      </c>
      <c r="G692" t="inlineStr">
        <is>
          <t>Bluestone Memorial Hospital</t>
        </is>
      </c>
      <c r="H692" t="inlineStr">
        <is>
          <t>Cardiac Step-Down</t>
        </is>
      </c>
      <c r="I692" t="inlineStr">
        <is>
          <t>Cardiovascular</t>
        </is>
      </c>
      <c r="J692" t="inlineStr">
        <is>
          <t>Guzman, Michelle</t>
        </is>
      </c>
      <c r="K692" t="inlineStr">
        <is>
          <t>I48.91</t>
        </is>
      </c>
      <c r="L692" t="inlineStr">
        <is>
          <t>Circulatory</t>
        </is>
      </c>
      <c r="M692" t="inlineStr">
        <is>
          <t>Keystone Health Partners</t>
        </is>
      </c>
      <c r="N692" t="inlineStr">
        <is>
          <t>Commercial</t>
        </is>
      </c>
      <c r="O692" s="39" t="n">
        <v>5740.44</v>
      </c>
      <c r="P692" t="inlineStr">
        <is>
          <t>N</t>
        </is>
      </c>
    </row>
    <row r="693">
      <c r="A693" t="inlineStr">
        <is>
          <t>ENC114548</t>
        </is>
      </c>
      <c r="B693" t="inlineStr">
        <is>
          <t>PT13393</t>
        </is>
      </c>
      <c r="C693" s="42" t="n">
        <v>45773</v>
      </c>
      <c r="D693" s="42" t="n">
        <v>45777</v>
      </c>
      <c r="E693" s="38" t="n">
        <v>4</v>
      </c>
      <c r="F693" t="inlineStr">
        <is>
          <t>Inpatient</t>
        </is>
      </c>
      <c r="G693" t="inlineStr">
        <is>
          <t>Cedar Ridge Medical Center</t>
        </is>
      </c>
      <c r="H693" t="inlineStr">
        <is>
          <t>Intensive Care Unit</t>
        </is>
      </c>
      <c r="I693" t="inlineStr">
        <is>
          <t>Critical Care</t>
        </is>
      </c>
      <c r="J693" t="inlineStr">
        <is>
          <t>Abbott, Leila</t>
        </is>
      </c>
      <c r="K693" t="inlineStr">
        <is>
          <t>A41.9</t>
        </is>
      </c>
      <c r="L693" t="inlineStr">
        <is>
          <t>Infectious</t>
        </is>
      </c>
      <c r="M693" t="inlineStr">
        <is>
          <t>Summit Choice PPO</t>
        </is>
      </c>
      <c r="N693" t="inlineStr">
        <is>
          <t>Commercial</t>
        </is>
      </c>
      <c r="O693" s="39" t="n">
        <v>30969.23</v>
      </c>
      <c r="P693" t="inlineStr">
        <is>
          <t>N</t>
        </is>
      </c>
    </row>
    <row r="694">
      <c r="A694" t="inlineStr">
        <is>
          <t>ENC114562</t>
        </is>
      </c>
      <c r="B694" t="inlineStr">
        <is>
          <t>PT11952</t>
        </is>
      </c>
      <c r="C694" s="42" t="n">
        <v>45774</v>
      </c>
      <c r="D694" s="42" t="n">
        <v>45781</v>
      </c>
      <c r="E694" s="38" t="n">
        <v>7</v>
      </c>
      <c r="F694" t="inlineStr">
        <is>
          <t>Inpatient</t>
        </is>
      </c>
      <c r="G694" t="inlineStr">
        <is>
          <t>Bluestone Memorial Hospital</t>
        </is>
      </c>
      <c r="H694" t="inlineStr">
        <is>
          <t>Cardiac Step-Down</t>
        </is>
      </c>
      <c r="I694" t="inlineStr">
        <is>
          <t>Cardiovascular</t>
        </is>
      </c>
      <c r="J694" t="inlineStr">
        <is>
          <t>Russell, Larry</t>
        </is>
      </c>
      <c r="K694" t="inlineStr">
        <is>
          <t>I50.9</t>
        </is>
      </c>
      <c r="L694" t="inlineStr">
        <is>
          <t>Circulatory</t>
        </is>
      </c>
      <c r="M694" t="inlineStr">
        <is>
          <t>Silverline Medicare Advantage</t>
        </is>
      </c>
      <c r="N694" t="inlineStr">
        <is>
          <t>Medicare Advantage</t>
        </is>
      </c>
      <c r="O694" s="39" t="n">
        <v>43710.53</v>
      </c>
      <c r="P694" t="inlineStr">
        <is>
          <t>Y</t>
        </is>
      </c>
    </row>
    <row r="695">
      <c r="A695" t="inlineStr">
        <is>
          <t>ENC114563</t>
        </is>
      </c>
      <c r="B695" t="inlineStr">
        <is>
          <t>PT13507</t>
        </is>
      </c>
      <c r="C695" s="42" t="n">
        <v>45775</v>
      </c>
      <c r="D695" s="42" t="n">
        <v>45775</v>
      </c>
      <c r="E695" s="38" t="n">
        <v>0</v>
      </c>
      <c r="F695" t="inlineStr">
        <is>
          <t>Emergency</t>
        </is>
      </c>
      <c r="G695" t="inlineStr">
        <is>
          <t>Bluestone Memorial Hospital</t>
        </is>
      </c>
      <c r="H695" t="inlineStr">
        <is>
          <t>Emergency Department</t>
        </is>
      </c>
      <c r="I695" t="inlineStr">
        <is>
          <t>Emergency</t>
        </is>
      </c>
      <c r="J695" t="inlineStr">
        <is>
          <t>Kowalski, James</t>
        </is>
      </c>
      <c r="K695" t="inlineStr">
        <is>
          <t>J45.909</t>
        </is>
      </c>
      <c r="L695" t="inlineStr">
        <is>
          <t>Respiratory</t>
        </is>
      </c>
      <c r="M695" t="inlineStr">
        <is>
          <t>State Medicaid</t>
        </is>
      </c>
      <c r="N695" t="inlineStr">
        <is>
          <t>Government</t>
        </is>
      </c>
      <c r="O695" s="39" t="n">
        <v>2200.58</v>
      </c>
    </row>
    <row r="696">
      <c r="A696" t="inlineStr">
        <is>
          <t>ENC114571</t>
        </is>
      </c>
      <c r="B696" t="inlineStr">
        <is>
          <t>PT11121</t>
        </is>
      </c>
      <c r="C696" s="42" t="n">
        <v>45775</v>
      </c>
      <c r="D696" s="42" t="n">
        <v>45775</v>
      </c>
      <c r="E696" s="38" t="n">
        <v>0</v>
      </c>
      <c r="F696" t="inlineStr">
        <is>
          <t>Outpatient</t>
        </is>
      </c>
      <c r="G696" t="inlineStr">
        <is>
          <t>Bluestone Outpatient Pavilion</t>
        </is>
      </c>
      <c r="H696" t="inlineStr">
        <is>
          <t>Endocrinology &amp; Diabetes Clinic</t>
        </is>
      </c>
      <c r="I696" t="inlineStr">
        <is>
          <t>Ambulatory</t>
        </is>
      </c>
      <c r="J696" t="inlineStr">
        <is>
          <t>Rivera, Scott</t>
        </is>
      </c>
      <c r="K696" t="inlineStr">
        <is>
          <t>E11.65</t>
        </is>
      </c>
      <c r="L696" t="inlineStr">
        <is>
          <t>Endocrine</t>
        </is>
      </c>
      <c r="M696" t="inlineStr">
        <is>
          <t>Medicare</t>
        </is>
      </c>
      <c r="N696" t="inlineStr">
        <is>
          <t>Government</t>
        </is>
      </c>
      <c r="O696" s="39" t="n">
        <v>400.11</v>
      </c>
    </row>
    <row r="697">
      <c r="A697" t="inlineStr">
        <is>
          <t>ENC114574</t>
        </is>
      </c>
      <c r="B697" t="inlineStr">
        <is>
          <t>PT12715</t>
        </is>
      </c>
      <c r="C697" s="42" t="n">
        <v>45775</v>
      </c>
      <c r="D697" s="42" t="n">
        <v>45775</v>
      </c>
      <c r="E697" s="38" t="n">
        <v>0</v>
      </c>
      <c r="F697" t="inlineStr">
        <is>
          <t>Emergency</t>
        </is>
      </c>
      <c r="G697" t="inlineStr">
        <is>
          <t>Bluestone Memorial Hospital</t>
        </is>
      </c>
      <c r="H697" t="inlineStr">
        <is>
          <t>Emergency Department</t>
        </is>
      </c>
      <c r="I697" t="inlineStr">
        <is>
          <t>Emergency</t>
        </is>
      </c>
      <c r="J697" t="inlineStr">
        <is>
          <t>Jordan, Wayne</t>
        </is>
      </c>
      <c r="K697" t="inlineStr">
        <is>
          <t>J06.9</t>
        </is>
      </c>
      <c r="L697" t="inlineStr">
        <is>
          <t>Respiratory</t>
        </is>
      </c>
      <c r="M697" t="inlineStr">
        <is>
          <t>Keystone Health Partners</t>
        </is>
      </c>
      <c r="N697" t="inlineStr">
        <is>
          <t>Commercial</t>
        </is>
      </c>
      <c r="O697" s="39" t="n">
        <v>712.87</v>
      </c>
    </row>
    <row r="698">
      <c r="A698" t="inlineStr">
        <is>
          <t>ENC114579</t>
        </is>
      </c>
      <c r="B698" t="inlineStr">
        <is>
          <t>PT13686</t>
        </is>
      </c>
      <c r="C698" s="42" t="n">
        <v>45775</v>
      </c>
      <c r="D698" s="42" t="n">
        <v>45779</v>
      </c>
      <c r="E698" s="38" t="n">
        <v>4</v>
      </c>
      <c r="F698" t="inlineStr">
        <is>
          <t>Inpatient</t>
        </is>
      </c>
      <c r="G698" t="inlineStr">
        <is>
          <t>Bluestone Memorial Hospital</t>
        </is>
      </c>
      <c r="H698" t="inlineStr">
        <is>
          <t>Cardiac Step-Down</t>
        </is>
      </c>
      <c r="I698" t="inlineStr">
        <is>
          <t>Cardiovascular</t>
        </is>
      </c>
      <c r="J698" t="inlineStr">
        <is>
          <t>Hunt, Richard</t>
        </is>
      </c>
      <c r="K698" t="inlineStr">
        <is>
          <t>I50.9</t>
        </is>
      </c>
      <c r="L698" t="inlineStr">
        <is>
          <t>Circulatory</t>
        </is>
      </c>
      <c r="M698" t="inlineStr">
        <is>
          <t>Medicare</t>
        </is>
      </c>
      <c r="N698" t="inlineStr">
        <is>
          <t>Government</t>
        </is>
      </c>
      <c r="O698" s="39" t="n">
        <v>25905.01</v>
      </c>
      <c r="P698" t="inlineStr">
        <is>
          <t>N</t>
        </is>
      </c>
    </row>
    <row r="699">
      <c r="A699" t="inlineStr">
        <is>
          <t>ENC114595</t>
        </is>
      </c>
      <c r="B699" t="inlineStr">
        <is>
          <t>PT11055</t>
        </is>
      </c>
      <c r="C699" s="42" t="n">
        <v>45776</v>
      </c>
      <c r="D699" s="42" t="n">
        <v>45778</v>
      </c>
      <c r="E699" s="38" t="n">
        <v>2</v>
      </c>
      <c r="F699" t="inlineStr">
        <is>
          <t>Inpatient</t>
        </is>
      </c>
      <c r="G699" t="inlineStr">
        <is>
          <t>Bluestone Memorial Hospital</t>
        </is>
      </c>
      <c r="H699" t="inlineStr">
        <is>
          <t>Cardiac Step-Down</t>
        </is>
      </c>
      <c r="I699" t="inlineStr">
        <is>
          <t>Cardiovascular</t>
        </is>
      </c>
      <c r="J699" t="inlineStr">
        <is>
          <t>Evans, Charles</t>
        </is>
      </c>
      <c r="K699" t="inlineStr">
        <is>
          <t>I50.9</t>
        </is>
      </c>
      <c r="L699" t="inlineStr">
        <is>
          <t>Circulatory</t>
        </is>
      </c>
      <c r="M699" t="inlineStr">
        <is>
          <t>Medicare</t>
        </is>
      </c>
      <c r="N699" t="inlineStr">
        <is>
          <t>Government</t>
        </is>
      </c>
      <c r="O699" s="39" t="n">
        <v>9981.09</v>
      </c>
      <c r="P699" t="inlineStr">
        <is>
          <t>N</t>
        </is>
      </c>
    </row>
    <row r="700">
      <c r="A700" t="inlineStr">
        <is>
          <t>ENC114599</t>
        </is>
      </c>
      <c r="B700" t="inlineStr">
        <is>
          <t>PT10554</t>
        </is>
      </c>
      <c r="C700" s="42" t="n">
        <v>45776</v>
      </c>
      <c r="D700" s="42" t="n">
        <v>45776</v>
      </c>
      <c r="E700" s="38" t="n">
        <v>0</v>
      </c>
      <c r="F700" t="inlineStr">
        <is>
          <t>Emergency</t>
        </is>
      </c>
      <c r="G700" t="inlineStr">
        <is>
          <t>Bluestone Memorial Hospital</t>
        </is>
      </c>
      <c r="H700" t="inlineStr">
        <is>
          <t>Emergency Department</t>
        </is>
      </c>
      <c r="I700" t="inlineStr">
        <is>
          <t>Emergency</t>
        </is>
      </c>
      <c r="J700" t="inlineStr">
        <is>
          <t>Payne, Nancy</t>
        </is>
      </c>
      <c r="K700" t="inlineStr">
        <is>
          <t>G43.909</t>
        </is>
      </c>
      <c r="L700" t="inlineStr">
        <is>
          <t>Nervous System</t>
        </is>
      </c>
      <c r="M700" t="inlineStr">
        <is>
          <t>Keystone Health Partners</t>
        </is>
      </c>
      <c r="N700" t="inlineStr">
        <is>
          <t>Commercial</t>
        </is>
      </c>
      <c r="O700" s="39" t="n">
        <v>1305.89</v>
      </c>
    </row>
    <row r="701">
      <c r="A701" t="inlineStr">
        <is>
          <t>ENC114601</t>
        </is>
      </c>
      <c r="B701" t="inlineStr">
        <is>
          <t>PT10847</t>
        </is>
      </c>
      <c r="C701" s="42" t="n">
        <v>45776</v>
      </c>
      <c r="D701" s="42" t="n">
        <v>45776</v>
      </c>
      <c r="E701" s="38" t="n">
        <v>0</v>
      </c>
      <c r="F701" t="inlineStr">
        <is>
          <t>Outpatient</t>
        </is>
      </c>
      <c r="G701" t="inlineStr">
        <is>
          <t>Bluestone Outpatient Pavilion</t>
        </is>
      </c>
      <c r="H701" t="inlineStr">
        <is>
          <t>Infusion &amp; Oncology Clinic</t>
        </is>
      </c>
      <c r="I701" t="inlineStr">
        <is>
          <t>Oncology</t>
        </is>
      </c>
      <c r="J701" t="inlineStr">
        <is>
          <t>Hicks, Zachary</t>
        </is>
      </c>
      <c r="K701" t="inlineStr">
        <is>
          <t>Z51.11</t>
        </is>
      </c>
      <c r="L701" t="inlineStr">
        <is>
          <t>Factors Influencing Health</t>
        </is>
      </c>
      <c r="M701" t="inlineStr">
        <is>
          <t>Silverline Medicare Advantage</t>
        </is>
      </c>
      <c r="N701" t="inlineStr">
        <is>
          <t>Medicare Advantage</t>
        </is>
      </c>
      <c r="O701" s="39" t="n">
        <v>11049.44</v>
      </c>
    </row>
    <row r="702">
      <c r="A702" t="inlineStr">
        <is>
          <t>ENC114602</t>
        </is>
      </c>
      <c r="B702" t="inlineStr">
        <is>
          <t>PT11700</t>
        </is>
      </c>
      <c r="C702" s="42" t="n">
        <v>45776</v>
      </c>
      <c r="D702" s="42" t="n">
        <v>45779</v>
      </c>
      <c r="E702" s="38" t="n">
        <v>3</v>
      </c>
      <c r="F702" t="inlineStr">
        <is>
          <t>Inpatient</t>
        </is>
      </c>
      <c r="G702" t="inlineStr">
        <is>
          <t>Bluestone Memorial Hospital</t>
        </is>
      </c>
      <c r="H702" t="inlineStr">
        <is>
          <t>Labor &amp; Delivery</t>
        </is>
      </c>
      <c r="I702" t="inlineStr">
        <is>
          <t>Women &amp; Children</t>
        </is>
      </c>
      <c r="J702" t="inlineStr">
        <is>
          <t>Hill, Andrea</t>
        </is>
      </c>
      <c r="K702" t="inlineStr">
        <is>
          <t>O82</t>
        </is>
      </c>
      <c r="L702" t="inlineStr">
        <is>
          <t>Pregnancy</t>
        </is>
      </c>
      <c r="M702" t="inlineStr">
        <is>
          <t>State Medicaid</t>
        </is>
      </c>
      <c r="N702" t="inlineStr">
        <is>
          <t>Government</t>
        </is>
      </c>
      <c r="O702" s="39" t="n">
        <v>25447.12</v>
      </c>
      <c r="P702" t="inlineStr">
        <is>
          <t>N</t>
        </is>
      </c>
    </row>
    <row r="703">
      <c r="A703" t="inlineStr">
        <is>
          <t>ENC114616</t>
        </is>
      </c>
      <c r="B703" t="inlineStr">
        <is>
          <t>PT11467</t>
        </is>
      </c>
      <c r="C703" s="42" t="n">
        <v>45777</v>
      </c>
      <c r="D703" s="42" t="n">
        <v>45777</v>
      </c>
      <c r="E703" s="38" t="n">
        <v>0</v>
      </c>
      <c r="F703" t="inlineStr">
        <is>
          <t>Emergency</t>
        </is>
      </c>
      <c r="G703" t="inlineStr">
        <is>
          <t>Ashby Falls Community Hospital</t>
        </is>
      </c>
      <c r="H703" t="inlineStr">
        <is>
          <t>Emergency Department</t>
        </is>
      </c>
      <c r="I703" t="inlineStr">
        <is>
          <t>Emergency</t>
        </is>
      </c>
      <c r="J703" t="inlineStr">
        <is>
          <t>Walker, Margaret</t>
        </is>
      </c>
      <c r="K703" t="inlineStr">
        <is>
          <t>R07.9</t>
        </is>
      </c>
      <c r="L703" t="inlineStr">
        <is>
          <t>Symptoms &amp; Signs</t>
        </is>
      </c>
      <c r="M703" t="inlineStr">
        <is>
          <t>Evergreen Mutual Insurance</t>
        </is>
      </c>
      <c r="N703" t="inlineStr">
        <is>
          <t>Commercial</t>
        </is>
      </c>
      <c r="O703" s="39" t="n">
        <v>5433.43</v>
      </c>
    </row>
    <row r="704">
      <c r="A704" t="inlineStr">
        <is>
          <t>ENC114619</t>
        </is>
      </c>
      <c r="B704" t="inlineStr">
        <is>
          <t>PT12254</t>
        </is>
      </c>
      <c r="C704" s="42" t="n">
        <v>45777</v>
      </c>
      <c r="D704" s="42" t="n">
        <v>45777</v>
      </c>
      <c r="E704" s="38" t="n">
        <v>0</v>
      </c>
      <c r="F704" t="inlineStr">
        <is>
          <t>Outpatient</t>
        </is>
      </c>
      <c r="G704" t="inlineStr">
        <is>
          <t>Bluestone Outpatient Pavilion</t>
        </is>
      </c>
      <c r="H704" t="inlineStr">
        <is>
          <t>Orthopedic Clinic</t>
        </is>
      </c>
      <c r="I704" t="inlineStr">
        <is>
          <t>Orthopedics</t>
        </is>
      </c>
      <c r="J704" t="inlineStr">
        <is>
          <t>Hernandez, Kyle</t>
        </is>
      </c>
      <c r="K704" t="inlineStr">
        <is>
          <t>M17.11</t>
        </is>
      </c>
      <c r="L704" t="inlineStr">
        <is>
          <t>Musculoskeletal</t>
        </is>
      </c>
      <c r="M704" t="inlineStr">
        <is>
          <t>Keystone Health Partners</t>
        </is>
      </c>
      <c r="N704" t="inlineStr">
        <is>
          <t>Commercial</t>
        </is>
      </c>
      <c r="O704" s="39" t="n">
        <v>343.71</v>
      </c>
    </row>
    <row r="705">
      <c r="A705" t="inlineStr">
        <is>
          <t>ENC114622</t>
        </is>
      </c>
      <c r="B705" t="inlineStr">
        <is>
          <t>PT11733</t>
        </is>
      </c>
      <c r="C705" s="42" t="n">
        <v>45777</v>
      </c>
      <c r="D705" s="42" t="n">
        <v>45777</v>
      </c>
      <c r="E705" s="38" t="n">
        <v>0</v>
      </c>
      <c r="F705" t="inlineStr">
        <is>
          <t>Outpatient</t>
        </is>
      </c>
      <c r="G705" t="inlineStr">
        <is>
          <t>Bluestone Outpatient Pavilion</t>
        </is>
      </c>
      <c r="H705" t="inlineStr">
        <is>
          <t>Primary Care Clinic</t>
        </is>
      </c>
      <c r="I705" t="inlineStr">
        <is>
          <t>Ambulatory</t>
        </is>
      </c>
      <c r="J705" t="inlineStr">
        <is>
          <t>Bennett, Randy</t>
        </is>
      </c>
      <c r="K705" t="inlineStr">
        <is>
          <t>G40.909</t>
        </is>
      </c>
      <c r="L705" t="inlineStr">
        <is>
          <t>Nervous System</t>
        </is>
      </c>
      <c r="M705" t="inlineStr">
        <is>
          <t>Silverline Medicare Advantage</t>
        </is>
      </c>
      <c r="N705" t="inlineStr">
        <is>
          <t>Medicare Advantage</t>
        </is>
      </c>
      <c r="O705" s="39" t="n">
        <v>347.8</v>
      </c>
    </row>
    <row r="706">
      <c r="A706" t="inlineStr">
        <is>
          <t>ENC114629</t>
        </is>
      </c>
      <c r="B706" t="inlineStr">
        <is>
          <t>PT13869</t>
        </is>
      </c>
      <c r="C706" s="42" t="n">
        <v>45777</v>
      </c>
      <c r="D706" s="42" t="n">
        <v>45777</v>
      </c>
      <c r="E706" s="38" t="n">
        <v>0</v>
      </c>
      <c r="F706" t="inlineStr">
        <is>
          <t>Outpatient</t>
        </is>
      </c>
      <c r="G706" t="inlineStr">
        <is>
          <t>Bluestone Outpatient Pavilion</t>
        </is>
      </c>
      <c r="H706" t="inlineStr">
        <is>
          <t>Primary Care Clinic</t>
        </is>
      </c>
      <c r="I706" t="inlineStr">
        <is>
          <t>Ambulatory</t>
        </is>
      </c>
      <c r="J706" t="inlineStr">
        <is>
          <t>Black, Nancy</t>
        </is>
      </c>
      <c r="K706" t="inlineStr">
        <is>
          <t>I10</t>
        </is>
      </c>
      <c r="L706" t="inlineStr">
        <is>
          <t>Circulatory</t>
        </is>
      </c>
      <c r="M706" t="inlineStr">
        <is>
          <t>Medicare</t>
        </is>
      </c>
      <c r="N706" t="inlineStr">
        <is>
          <t>Government</t>
        </is>
      </c>
      <c r="O706" s="39" t="n">
        <v>502.07</v>
      </c>
    </row>
    <row r="707">
      <c r="A707" t="inlineStr">
        <is>
          <t>ENC114632</t>
        </is>
      </c>
      <c r="B707" t="inlineStr">
        <is>
          <t>PT12625</t>
        </is>
      </c>
      <c r="C707" s="42" t="n">
        <v>45777</v>
      </c>
      <c r="D707" s="42" t="n">
        <v>45777</v>
      </c>
      <c r="E707" s="38" t="n">
        <v>0</v>
      </c>
      <c r="F707" t="inlineStr">
        <is>
          <t>Outpatient</t>
        </is>
      </c>
      <c r="G707" t="inlineStr">
        <is>
          <t>Bluestone Outpatient Pavilion</t>
        </is>
      </c>
      <c r="H707" t="inlineStr">
        <is>
          <t>Infusion &amp; Oncology Clinic</t>
        </is>
      </c>
      <c r="I707" t="inlineStr">
        <is>
          <t>Oncology</t>
        </is>
      </c>
      <c r="J707" t="inlineStr">
        <is>
          <t>Hicks, Zachary</t>
        </is>
      </c>
      <c r="K707" t="inlineStr">
        <is>
          <t>Z51.11</t>
        </is>
      </c>
      <c r="L707" t="inlineStr">
        <is>
          <t>Factors Influencing Health</t>
        </is>
      </c>
      <c r="M707" t="inlineStr">
        <is>
          <t>Evergreen Mutual Insurance</t>
        </is>
      </c>
      <c r="N707" t="inlineStr">
        <is>
          <t>Commercial</t>
        </is>
      </c>
      <c r="O707" s="39" t="n">
        <v>12973.72</v>
      </c>
    </row>
    <row r="708">
      <c r="A708" t="inlineStr">
        <is>
          <t>ENC114628</t>
        </is>
      </c>
      <c r="B708" t="inlineStr">
        <is>
          <t>PT13354</t>
        </is>
      </c>
      <c r="C708" s="42" t="n">
        <v>45777</v>
      </c>
      <c r="D708" s="42" t="n">
        <v>45778</v>
      </c>
      <c r="E708" s="38" t="n">
        <v>1</v>
      </c>
      <c r="F708" t="inlineStr">
        <is>
          <t>Observation</t>
        </is>
      </c>
      <c r="G708" t="inlineStr">
        <is>
          <t>Bluestone Memorial Hospital</t>
        </is>
      </c>
      <c r="H708" t="inlineStr">
        <is>
          <t>Observation Unit</t>
        </is>
      </c>
      <c r="I708" t="inlineStr">
        <is>
          <t>Medicine</t>
        </is>
      </c>
      <c r="J708" t="inlineStr">
        <is>
          <t>Allen, Jean</t>
        </is>
      </c>
      <c r="K708" t="inlineStr">
        <is>
          <t>R07.9</t>
        </is>
      </c>
      <c r="L708" t="inlineStr">
        <is>
          <t>Symptoms &amp; Signs</t>
        </is>
      </c>
      <c r="M708" t="inlineStr">
        <is>
          <t>Medicare</t>
        </is>
      </c>
      <c r="N708" t="inlineStr">
        <is>
          <t>Government</t>
        </is>
      </c>
      <c r="O708" s="39" t="n">
        <v>9166.620000000001</v>
      </c>
    </row>
    <row r="709">
      <c r="A709" t="inlineStr">
        <is>
          <t>ENC114636</t>
        </is>
      </c>
      <c r="B709" t="inlineStr">
        <is>
          <t>PT12090</t>
        </is>
      </c>
      <c r="C709" s="42" t="n">
        <v>45777</v>
      </c>
      <c r="D709" s="42" t="n">
        <v>45779</v>
      </c>
      <c r="E709" s="38" t="n">
        <v>2</v>
      </c>
      <c r="F709" t="inlineStr">
        <is>
          <t>Inpatient</t>
        </is>
      </c>
      <c r="G709" t="inlineStr">
        <is>
          <t>Bluestone Memorial Hospital</t>
        </is>
      </c>
      <c r="H709" t="inlineStr">
        <is>
          <t>Labor &amp; Delivery</t>
        </is>
      </c>
      <c r="I709" t="inlineStr">
        <is>
          <t>Women &amp; Children</t>
        </is>
      </c>
      <c r="J709" t="inlineStr">
        <is>
          <t>Arnold, Marie</t>
        </is>
      </c>
      <c r="K709" t="inlineStr">
        <is>
          <t>O80</t>
        </is>
      </c>
      <c r="L709" t="inlineStr">
        <is>
          <t>Pregnancy</t>
        </is>
      </c>
      <c r="M709" t="inlineStr">
        <is>
          <t>Evergreen Mutual Insurance</t>
        </is>
      </c>
      <c r="N709" t="inlineStr">
        <is>
          <t>Commercial</t>
        </is>
      </c>
      <c r="O709" s="39" t="n">
        <v>18515.36</v>
      </c>
      <c r="P709" t="inlineStr">
        <is>
          <t>N</t>
        </is>
      </c>
    </row>
    <row r="710">
      <c r="A710" t="inlineStr">
        <is>
          <t>ENC114633</t>
        </is>
      </c>
      <c r="B710" t="inlineStr">
        <is>
          <t>PT13529</t>
        </is>
      </c>
      <c r="C710" s="42" t="n">
        <v>45777</v>
      </c>
      <c r="D710" s="42" t="n">
        <v>45785</v>
      </c>
      <c r="E710" s="38" t="n">
        <v>8</v>
      </c>
      <c r="F710" t="inlineStr">
        <is>
          <t>Inpatient</t>
        </is>
      </c>
      <c r="G710" t="inlineStr">
        <is>
          <t>Bluestone Memorial Hospital</t>
        </is>
      </c>
      <c r="H710" t="inlineStr">
        <is>
          <t>Behavioral Health</t>
        </is>
      </c>
      <c r="I710" t="inlineStr">
        <is>
          <t>Behavioral Health</t>
        </is>
      </c>
      <c r="J710" t="inlineStr">
        <is>
          <t>Clark, Frank</t>
        </is>
      </c>
      <c r="K710" t="inlineStr">
        <is>
          <t>F32.9</t>
        </is>
      </c>
      <c r="L710" t="inlineStr">
        <is>
          <t>Mental &amp; Behavioral</t>
        </is>
      </c>
      <c r="M710" t="inlineStr">
        <is>
          <t>Medicare</t>
        </is>
      </c>
      <c r="N710" t="inlineStr">
        <is>
          <t>Government</t>
        </is>
      </c>
      <c r="O710" s="39" t="n">
        <v>31339.66</v>
      </c>
      <c r="P710" t="inlineStr">
        <is>
          <t>N</t>
        </is>
      </c>
    </row>
    <row r="711">
      <c r="A711" t="inlineStr">
        <is>
          <t>ENC114642</t>
        </is>
      </c>
      <c r="B711" t="inlineStr">
        <is>
          <t>PT11061</t>
        </is>
      </c>
      <c r="C711" s="42" t="n">
        <v>45778</v>
      </c>
      <c r="D711" s="42" t="n">
        <v>45784</v>
      </c>
      <c r="E711" s="38" t="n">
        <v>6</v>
      </c>
      <c r="F711" t="inlineStr">
        <is>
          <t>Inpatient</t>
        </is>
      </c>
      <c r="G711" t="inlineStr">
        <is>
          <t>Bluestone Memorial Hospital</t>
        </is>
      </c>
      <c r="H711" t="inlineStr">
        <is>
          <t>Behavioral Health</t>
        </is>
      </c>
      <c r="I711" t="inlineStr">
        <is>
          <t>Behavioral Health</t>
        </is>
      </c>
      <c r="J711" t="inlineStr">
        <is>
          <t>Elliott, Emma</t>
        </is>
      </c>
      <c r="K711" t="inlineStr">
        <is>
          <t>F32.9</t>
        </is>
      </c>
      <c r="L711" t="inlineStr">
        <is>
          <t>Mental &amp; Behavioral</t>
        </is>
      </c>
      <c r="M711" t="inlineStr">
        <is>
          <t>Summit Choice PPO</t>
        </is>
      </c>
      <c r="N711" t="inlineStr">
        <is>
          <t>Commercial</t>
        </is>
      </c>
      <c r="O711" s="39" t="n">
        <v>32198.8</v>
      </c>
      <c r="P711" t="inlineStr">
        <is>
          <t>N</t>
        </is>
      </c>
    </row>
    <row r="712">
      <c r="A712" t="inlineStr">
        <is>
          <t>ENC114648</t>
        </is>
      </c>
      <c r="B712" t="inlineStr">
        <is>
          <t>PT11215</t>
        </is>
      </c>
      <c r="C712" s="42" t="n">
        <v>45778</v>
      </c>
      <c r="D712" s="42" t="n">
        <v>45791</v>
      </c>
      <c r="E712" s="38" t="n">
        <v>13</v>
      </c>
      <c r="F712" t="inlineStr">
        <is>
          <t>Inpatient</t>
        </is>
      </c>
      <c r="G712" t="inlineStr">
        <is>
          <t>Ashby Falls Community Hospital</t>
        </is>
      </c>
      <c r="H712" t="inlineStr">
        <is>
          <t>Intensive Care Unit</t>
        </is>
      </c>
      <c r="I712" t="inlineStr">
        <is>
          <t>Critical Care</t>
        </is>
      </c>
      <c r="J712" t="inlineStr">
        <is>
          <t>Gutierrez, Donald</t>
        </is>
      </c>
      <c r="K712" t="inlineStr">
        <is>
          <t>A41.9</t>
        </is>
      </c>
      <c r="L712" t="inlineStr">
        <is>
          <t>Infectious</t>
        </is>
      </c>
      <c r="M712" t="inlineStr">
        <is>
          <t>State Medicaid</t>
        </is>
      </c>
      <c r="N712" t="inlineStr">
        <is>
          <t>Government</t>
        </is>
      </c>
      <c r="O712" s="39" t="n">
        <v>165828.09</v>
      </c>
      <c r="P712" t="inlineStr">
        <is>
          <t>N</t>
        </is>
      </c>
    </row>
    <row r="713">
      <c r="A713" t="inlineStr">
        <is>
          <t>ENC114653</t>
        </is>
      </c>
      <c r="B713" t="inlineStr">
        <is>
          <t>PT11948</t>
        </is>
      </c>
      <c r="C713" s="42" t="n">
        <v>45778</v>
      </c>
      <c r="D713" s="42" t="n">
        <v>45778</v>
      </c>
      <c r="E713" s="38" t="n">
        <v>0</v>
      </c>
      <c r="F713" t="inlineStr">
        <is>
          <t>Emergency</t>
        </is>
      </c>
      <c r="G713" t="inlineStr">
        <is>
          <t>Ashby Falls Community Hospital</t>
        </is>
      </c>
      <c r="H713" t="inlineStr">
        <is>
          <t>Emergency Department</t>
        </is>
      </c>
      <c r="I713" t="inlineStr">
        <is>
          <t>Emergency</t>
        </is>
      </c>
      <c r="J713" t="inlineStr">
        <is>
          <t>Walker, Margaret</t>
        </is>
      </c>
      <c r="K713" t="inlineStr">
        <is>
          <t>R10.9</t>
        </is>
      </c>
      <c r="L713" t="inlineStr">
        <is>
          <t>Symptoms &amp; Signs</t>
        </is>
      </c>
      <c r="M713" t="inlineStr">
        <is>
          <t>Medicare</t>
        </is>
      </c>
      <c r="N713" t="inlineStr">
        <is>
          <t>Government</t>
        </is>
      </c>
      <c r="O713" s="39" t="n">
        <v>1354.09</v>
      </c>
    </row>
    <row r="714">
      <c r="A714" t="inlineStr">
        <is>
          <t>ENC114658</t>
        </is>
      </c>
      <c r="B714" t="inlineStr">
        <is>
          <t>PT12354</t>
        </is>
      </c>
      <c r="C714" s="42" t="n">
        <v>45778</v>
      </c>
      <c r="D714" s="42" t="n">
        <v>45778</v>
      </c>
      <c r="E714" s="38" t="n">
        <v>0</v>
      </c>
      <c r="F714" t="inlineStr">
        <is>
          <t>Emergency</t>
        </is>
      </c>
      <c r="G714" t="inlineStr">
        <is>
          <t>Bluestone Memorial Hospital</t>
        </is>
      </c>
      <c r="H714" t="inlineStr">
        <is>
          <t>Emergency Department</t>
        </is>
      </c>
      <c r="I714" t="inlineStr">
        <is>
          <t>Emergency</t>
        </is>
      </c>
      <c r="J714" t="inlineStr">
        <is>
          <t>Olson, Christian</t>
        </is>
      </c>
      <c r="K714" t="inlineStr">
        <is>
          <t>M54.50</t>
        </is>
      </c>
      <c r="L714" t="inlineStr">
        <is>
          <t>Musculoskeletal</t>
        </is>
      </c>
      <c r="M714" t="inlineStr">
        <is>
          <t>Medicare</t>
        </is>
      </c>
      <c r="N714" t="inlineStr">
        <is>
          <t>Government</t>
        </is>
      </c>
      <c r="O714" s="39" t="n">
        <v>1370.95</v>
      </c>
    </row>
    <row r="715">
      <c r="A715" t="inlineStr">
        <is>
          <t>ENC114670</t>
        </is>
      </c>
      <c r="B715" t="inlineStr">
        <is>
          <t>PT12625</t>
        </is>
      </c>
      <c r="C715" s="42" t="n">
        <v>45778</v>
      </c>
      <c r="D715" s="42" t="n">
        <v>45778</v>
      </c>
      <c r="E715" s="38" t="n">
        <v>0</v>
      </c>
      <c r="F715" t="inlineStr">
        <is>
          <t>Emergency</t>
        </is>
      </c>
      <c r="G715" t="inlineStr">
        <is>
          <t>Bluestone Memorial Hospital</t>
        </is>
      </c>
      <c r="H715" t="inlineStr">
        <is>
          <t>Emergency Department</t>
        </is>
      </c>
      <c r="I715" t="inlineStr">
        <is>
          <t>Emergency</t>
        </is>
      </c>
      <c r="J715" t="inlineStr">
        <is>
          <t>Mendoza, Alexander</t>
        </is>
      </c>
      <c r="K715" t="inlineStr">
        <is>
          <t>R10.9</t>
        </is>
      </c>
      <c r="L715" t="inlineStr">
        <is>
          <t>Symptoms &amp; Signs</t>
        </is>
      </c>
      <c r="M715" t="inlineStr">
        <is>
          <t>Evergreen Mutual Insurance</t>
        </is>
      </c>
      <c r="N715" t="inlineStr">
        <is>
          <t>Commercial</t>
        </is>
      </c>
      <c r="O715" s="39" t="n">
        <v>1689.29</v>
      </c>
    </row>
    <row r="716">
      <c r="A716" t="inlineStr">
        <is>
          <t>ENC114673</t>
        </is>
      </c>
      <c r="B716" t="inlineStr">
        <is>
          <t>PT12542</t>
        </is>
      </c>
      <c r="C716" s="42" t="n">
        <v>45778</v>
      </c>
      <c r="D716" s="42" t="n">
        <v>45778</v>
      </c>
      <c r="E716" s="38" t="n">
        <v>0</v>
      </c>
      <c r="F716" t="inlineStr">
        <is>
          <t>Emergency</t>
        </is>
      </c>
      <c r="G716" t="inlineStr">
        <is>
          <t>Bluestone Memorial Hospital</t>
        </is>
      </c>
      <c r="H716" t="inlineStr">
        <is>
          <t>Emergency Department</t>
        </is>
      </c>
      <c r="I716" t="inlineStr">
        <is>
          <t>Emergency</t>
        </is>
      </c>
      <c r="J716" t="inlineStr">
        <is>
          <t>Elliott, Jesse</t>
        </is>
      </c>
      <c r="K716" t="inlineStr">
        <is>
          <t>R07.9</t>
        </is>
      </c>
      <c r="L716" t="inlineStr">
        <is>
          <t>Symptoms &amp; Signs</t>
        </is>
      </c>
      <c r="M716" t="inlineStr">
        <is>
          <t>Medicare</t>
        </is>
      </c>
      <c r="N716" t="inlineStr">
        <is>
          <t>Government</t>
        </is>
      </c>
      <c r="O716" s="39" t="n">
        <v>3236.45</v>
      </c>
    </row>
    <row r="717">
      <c r="A717" t="inlineStr">
        <is>
          <t>ENC114679</t>
        </is>
      </c>
      <c r="B717" t="inlineStr">
        <is>
          <t>PT13673</t>
        </is>
      </c>
      <c r="C717" s="42" t="n">
        <v>45778</v>
      </c>
      <c r="D717" s="42" t="n">
        <v>45779</v>
      </c>
      <c r="E717" s="38" t="n">
        <v>1</v>
      </c>
      <c r="F717" t="inlineStr">
        <is>
          <t>Emergency</t>
        </is>
      </c>
      <c r="G717" t="inlineStr">
        <is>
          <t>Bluestone Memorial Hospital</t>
        </is>
      </c>
      <c r="H717" t="inlineStr">
        <is>
          <t>Emergency Department</t>
        </is>
      </c>
      <c r="I717" t="inlineStr">
        <is>
          <t>Emergency</t>
        </is>
      </c>
      <c r="J717" t="inlineStr">
        <is>
          <t>Ferguson, Roy</t>
        </is>
      </c>
      <c r="K717" t="inlineStr">
        <is>
          <t>U07.1</t>
        </is>
      </c>
      <c r="L717" t="inlineStr">
        <is>
          <t>Respiratory</t>
        </is>
      </c>
      <c r="M717" t="inlineStr">
        <is>
          <t>Medicare</t>
        </is>
      </c>
      <c r="N717" t="inlineStr">
        <is>
          <t>Government</t>
        </is>
      </c>
      <c r="O717" s="39" t="n">
        <v>4142.08</v>
      </c>
    </row>
    <row r="718">
      <c r="A718" t="inlineStr">
        <is>
          <t>ENC114678</t>
        </is>
      </c>
      <c r="B718" t="inlineStr">
        <is>
          <t>PT10802</t>
        </is>
      </c>
      <c r="C718" s="42" t="n">
        <v>45779</v>
      </c>
      <c r="D718" s="42" t="n">
        <v>45784</v>
      </c>
      <c r="E718" s="38" t="n">
        <v>5</v>
      </c>
      <c r="F718" t="inlineStr">
        <is>
          <t>Inpatient</t>
        </is>
      </c>
      <c r="G718" t="inlineStr">
        <is>
          <t>Bluestone Memorial Hospital</t>
        </is>
      </c>
      <c r="H718" t="inlineStr">
        <is>
          <t>Medical-Surgical 4 West</t>
        </is>
      </c>
      <c r="I718" t="inlineStr">
        <is>
          <t>Medicine</t>
        </is>
      </c>
      <c r="J718" t="inlineStr">
        <is>
          <t>Price, Juan</t>
        </is>
      </c>
      <c r="K718" t="inlineStr">
        <is>
          <t>J18.9</t>
        </is>
      </c>
      <c r="L718" t="inlineStr">
        <is>
          <t>Respiratory</t>
        </is>
      </c>
      <c r="M718" t="inlineStr">
        <is>
          <t>Silverline Medicare Advantage</t>
        </is>
      </c>
      <c r="N718" t="inlineStr">
        <is>
          <t>Medicare Advantage</t>
        </is>
      </c>
      <c r="O718" s="39" t="n">
        <v>23420.67</v>
      </c>
      <c r="P718" t="inlineStr">
        <is>
          <t>N</t>
        </is>
      </c>
    </row>
    <row r="719">
      <c r="A719" t="inlineStr">
        <is>
          <t>ENC114680</t>
        </is>
      </c>
      <c r="B719" t="inlineStr">
        <is>
          <t>PT13590</t>
        </is>
      </c>
      <c r="C719" s="42" t="n">
        <v>45779</v>
      </c>
      <c r="D719" s="42" t="n">
        <v>45779</v>
      </c>
      <c r="E719" s="38" t="n">
        <v>0</v>
      </c>
      <c r="F719" t="inlineStr">
        <is>
          <t>Emergency</t>
        </is>
      </c>
      <c r="G719" t="inlineStr">
        <is>
          <t>Cedar Ridge Medical Center</t>
        </is>
      </c>
      <c r="H719" t="inlineStr">
        <is>
          <t>Emergency Department</t>
        </is>
      </c>
      <c r="I719" t="inlineStr">
        <is>
          <t>Emergency</t>
        </is>
      </c>
      <c r="J719" t="inlineStr">
        <is>
          <t>Schmidt, Anna</t>
        </is>
      </c>
      <c r="K719" t="inlineStr">
        <is>
          <t>A08.4</t>
        </is>
      </c>
      <c r="L719" t="inlineStr">
        <is>
          <t>Infectious</t>
        </is>
      </c>
      <c r="M719" t="inlineStr">
        <is>
          <t>Self-Pay</t>
        </is>
      </c>
      <c r="N719" t="inlineStr">
        <is>
          <t>Self-Pay</t>
        </is>
      </c>
      <c r="O719" s="39" t="n">
        <v>2491.12</v>
      </c>
    </row>
    <row r="720">
      <c r="A720" t="inlineStr">
        <is>
          <t>ENC114701</t>
        </is>
      </c>
      <c r="B720" t="inlineStr">
        <is>
          <t>PT10842</t>
        </is>
      </c>
      <c r="C720" s="42" t="n">
        <v>45779</v>
      </c>
      <c r="D720" s="42" t="n">
        <v>45779</v>
      </c>
      <c r="E720" s="38" t="n">
        <v>0</v>
      </c>
      <c r="F720" t="inlineStr">
        <is>
          <t>Emergency</t>
        </is>
      </c>
      <c r="G720" t="inlineStr">
        <is>
          <t>Bluestone Memorial Hospital</t>
        </is>
      </c>
      <c r="H720" t="inlineStr">
        <is>
          <t>Emergency Department</t>
        </is>
      </c>
      <c r="I720" t="inlineStr">
        <is>
          <t>Emergency</t>
        </is>
      </c>
      <c r="J720" t="inlineStr">
        <is>
          <t>Elliott, Jesse</t>
        </is>
      </c>
      <c r="K720" t="inlineStr">
        <is>
          <t>R07.9</t>
        </is>
      </c>
      <c r="L720" t="inlineStr">
        <is>
          <t>Symptoms &amp; Signs</t>
        </is>
      </c>
      <c r="M720" t="inlineStr">
        <is>
          <t>State Medicaid</t>
        </is>
      </c>
      <c r="N720" t="inlineStr">
        <is>
          <t>Government</t>
        </is>
      </c>
      <c r="O720" s="39" t="n">
        <v>3101.01</v>
      </c>
    </row>
    <row r="721">
      <c r="A721" t="inlineStr">
        <is>
          <t>ENC114692</t>
        </is>
      </c>
      <c r="B721" t="inlineStr">
        <is>
          <t>PT11500</t>
        </is>
      </c>
      <c r="C721" s="42" t="n">
        <v>45779</v>
      </c>
      <c r="D721" s="42" t="n">
        <v>45780</v>
      </c>
      <c r="E721" s="38" t="n">
        <v>1</v>
      </c>
      <c r="F721" t="inlineStr">
        <is>
          <t>Observation</t>
        </is>
      </c>
      <c r="G721" t="inlineStr">
        <is>
          <t>Bluestone Memorial Hospital</t>
        </is>
      </c>
      <c r="H721" t="inlineStr">
        <is>
          <t>Observation Unit</t>
        </is>
      </c>
      <c r="I721" t="inlineStr">
        <is>
          <t>Medicine</t>
        </is>
      </c>
      <c r="J721" t="inlineStr">
        <is>
          <t>Cruz, Roger</t>
        </is>
      </c>
      <c r="K721" t="inlineStr">
        <is>
          <t>J44.1</t>
        </is>
      </c>
      <c r="L721" t="inlineStr">
        <is>
          <t>Respiratory</t>
        </is>
      </c>
      <c r="M721" t="inlineStr">
        <is>
          <t>Medicare</t>
        </is>
      </c>
      <c r="N721" t="inlineStr">
        <is>
          <t>Government</t>
        </is>
      </c>
      <c r="O721" s="39" t="n">
        <v>9713.190000000001</v>
      </c>
    </row>
    <row r="722">
      <c r="A722" t="inlineStr">
        <is>
          <t>ENC114704</t>
        </is>
      </c>
      <c r="B722" t="inlineStr">
        <is>
          <t>PT10600</t>
        </is>
      </c>
      <c r="C722" s="42" t="n">
        <v>45779</v>
      </c>
      <c r="D722" s="42" t="n">
        <v>45781</v>
      </c>
      <c r="E722" s="38" t="n">
        <v>2</v>
      </c>
      <c r="F722" t="inlineStr">
        <is>
          <t>Inpatient</t>
        </is>
      </c>
      <c r="G722" t="inlineStr">
        <is>
          <t>Bluestone Memorial Hospital</t>
        </is>
      </c>
      <c r="H722" t="inlineStr">
        <is>
          <t>Medical-Surgical 4 West</t>
        </is>
      </c>
      <c r="I722" t="inlineStr">
        <is>
          <t>Medicine</t>
        </is>
      </c>
      <c r="J722" t="inlineStr">
        <is>
          <t>Wallace, Alan</t>
        </is>
      </c>
      <c r="K722" t="inlineStr">
        <is>
          <t>E87.1</t>
        </is>
      </c>
      <c r="L722" t="inlineStr">
        <is>
          <t>Endocrine</t>
        </is>
      </c>
      <c r="M722" t="inlineStr">
        <is>
          <t>Summit Choice PPO</t>
        </is>
      </c>
      <c r="N722" t="inlineStr">
        <is>
          <t>Commercial</t>
        </is>
      </c>
      <c r="O722" s="39" t="n">
        <v>13442.77</v>
      </c>
      <c r="P722" t="inlineStr">
        <is>
          <t>N</t>
        </is>
      </c>
    </row>
    <row r="723">
      <c r="A723" t="inlineStr">
        <is>
          <t>ENC114718</t>
        </is>
      </c>
      <c r="B723" t="inlineStr">
        <is>
          <t>PT10754</t>
        </is>
      </c>
      <c r="C723" s="42" t="n">
        <v>45780</v>
      </c>
      <c r="D723" s="42" t="n">
        <v>45786</v>
      </c>
      <c r="E723" s="38" t="n">
        <v>6</v>
      </c>
      <c r="F723" t="inlineStr">
        <is>
          <t>Inpatient</t>
        </is>
      </c>
      <c r="G723" t="inlineStr">
        <is>
          <t>Bluestone Memorial Hospital</t>
        </is>
      </c>
      <c r="H723" t="inlineStr">
        <is>
          <t>Neuroscience &amp; Stroke</t>
        </is>
      </c>
      <c r="I723" t="inlineStr">
        <is>
          <t>Neuroscience</t>
        </is>
      </c>
      <c r="J723" t="inlineStr">
        <is>
          <t>Garcia, Alexis</t>
        </is>
      </c>
      <c r="K723" t="inlineStr">
        <is>
          <t>G40.909</t>
        </is>
      </c>
      <c r="L723" t="inlineStr">
        <is>
          <t>Nervous System</t>
        </is>
      </c>
      <c r="M723" t="inlineStr">
        <is>
          <t>State Medicaid</t>
        </is>
      </c>
      <c r="N723" t="inlineStr">
        <is>
          <t>Government</t>
        </is>
      </c>
      <c r="O723" s="39" t="n">
        <v>35226.4</v>
      </c>
      <c r="P723" t="inlineStr">
        <is>
          <t>N</t>
        </is>
      </c>
    </row>
    <row r="724">
      <c r="A724" t="inlineStr">
        <is>
          <t>ENC114721</t>
        </is>
      </c>
      <c r="B724" t="inlineStr">
        <is>
          <t>PT11779</t>
        </is>
      </c>
      <c r="C724" s="42" t="n">
        <v>45780</v>
      </c>
      <c r="D724" s="42" t="n">
        <v>45783</v>
      </c>
      <c r="E724" s="38" t="n">
        <v>3</v>
      </c>
      <c r="F724" t="inlineStr">
        <is>
          <t>Inpatient</t>
        </is>
      </c>
      <c r="G724" t="inlineStr">
        <is>
          <t>Bluestone Memorial Hospital</t>
        </is>
      </c>
      <c r="H724" t="inlineStr">
        <is>
          <t>Medical-Surgical 5 East</t>
        </is>
      </c>
      <c r="I724" t="inlineStr">
        <is>
          <t>Medicine</t>
        </is>
      </c>
      <c r="J724" t="inlineStr">
        <is>
          <t>Russell, Larry</t>
        </is>
      </c>
      <c r="K724" t="inlineStr">
        <is>
          <t>N39.0</t>
        </is>
      </c>
      <c r="L724" t="inlineStr">
        <is>
          <t>Genitourinary</t>
        </is>
      </c>
      <c r="M724" t="inlineStr">
        <is>
          <t>State Medicaid</t>
        </is>
      </c>
      <c r="N724" t="inlineStr">
        <is>
          <t>Government</t>
        </is>
      </c>
      <c r="O724" s="39" t="n">
        <v>14385.4</v>
      </c>
      <c r="P724" t="inlineStr">
        <is>
          <t>N</t>
        </is>
      </c>
    </row>
    <row r="725">
      <c r="A725" t="inlineStr">
        <is>
          <t>ENC114736</t>
        </is>
      </c>
      <c r="B725" t="inlineStr">
        <is>
          <t>PT10696</t>
        </is>
      </c>
      <c r="C725" s="42" t="n">
        <v>45781</v>
      </c>
      <c r="D725" s="42" t="n">
        <v>45781</v>
      </c>
      <c r="E725" s="38" t="n">
        <v>0</v>
      </c>
      <c r="F725" t="inlineStr">
        <is>
          <t>Emergency</t>
        </is>
      </c>
      <c r="G725" t="inlineStr">
        <is>
          <t>Ashby Falls Community Hospital</t>
        </is>
      </c>
      <c r="H725" t="inlineStr">
        <is>
          <t>Emergency Department</t>
        </is>
      </c>
      <c r="I725" t="inlineStr">
        <is>
          <t>Emergency</t>
        </is>
      </c>
      <c r="J725" t="inlineStr">
        <is>
          <t>Richardson, Mei</t>
        </is>
      </c>
      <c r="K725" t="inlineStr">
        <is>
          <t>G43.909</t>
        </is>
      </c>
      <c r="L725" t="inlineStr">
        <is>
          <t>Nervous System</t>
        </is>
      </c>
      <c r="M725" t="inlineStr">
        <is>
          <t>Medicare</t>
        </is>
      </c>
      <c r="N725" t="inlineStr">
        <is>
          <t>Government</t>
        </is>
      </c>
      <c r="O725" s="39" t="n">
        <v>638.34</v>
      </c>
    </row>
    <row r="726">
      <c r="A726" t="inlineStr">
        <is>
          <t>ENC114744</t>
        </is>
      </c>
      <c r="B726" t="inlineStr">
        <is>
          <t>PT12130</t>
        </is>
      </c>
      <c r="C726" s="42" t="n">
        <v>45781</v>
      </c>
      <c r="D726" s="42" t="n">
        <v>45781</v>
      </c>
      <c r="E726" s="38" t="n">
        <v>0</v>
      </c>
      <c r="F726" t="inlineStr">
        <is>
          <t>Emergency</t>
        </is>
      </c>
      <c r="G726" t="inlineStr">
        <is>
          <t>Ashby Falls Community Hospital</t>
        </is>
      </c>
      <c r="H726" t="inlineStr">
        <is>
          <t>Emergency Department</t>
        </is>
      </c>
      <c r="I726" t="inlineStr">
        <is>
          <t>Emergency</t>
        </is>
      </c>
      <c r="J726" t="inlineStr">
        <is>
          <t>Peters, Megan</t>
        </is>
      </c>
      <c r="K726" t="inlineStr">
        <is>
          <t>J18.9</t>
        </is>
      </c>
      <c r="L726" t="inlineStr">
        <is>
          <t>Respiratory</t>
        </is>
      </c>
      <c r="M726" t="inlineStr">
        <is>
          <t>Silverline Medicare Advantage</t>
        </is>
      </c>
      <c r="N726" t="inlineStr">
        <is>
          <t>Medicare Advantage</t>
        </is>
      </c>
      <c r="O726" s="39" t="n">
        <v>7033.92</v>
      </c>
    </row>
    <row r="727">
      <c r="A727" t="inlineStr">
        <is>
          <t>ENC114742</t>
        </is>
      </c>
      <c r="B727" t="inlineStr">
        <is>
          <t>PT11487</t>
        </is>
      </c>
      <c r="C727" s="42" t="n">
        <v>45781</v>
      </c>
      <c r="D727" s="42" t="n">
        <v>45782</v>
      </c>
      <c r="E727" s="38" t="n">
        <v>1</v>
      </c>
      <c r="F727" t="inlineStr">
        <is>
          <t>Observation</t>
        </is>
      </c>
      <c r="G727" t="inlineStr">
        <is>
          <t>Bluestone Memorial Hospital</t>
        </is>
      </c>
      <c r="H727" t="inlineStr">
        <is>
          <t>Observation Unit</t>
        </is>
      </c>
      <c r="I727" t="inlineStr">
        <is>
          <t>Medicine</t>
        </is>
      </c>
      <c r="J727" t="inlineStr">
        <is>
          <t>Abdi, Hassan</t>
        </is>
      </c>
      <c r="K727" t="inlineStr">
        <is>
          <t>J18.9</t>
        </is>
      </c>
      <c r="L727" t="inlineStr">
        <is>
          <t>Respiratory</t>
        </is>
      </c>
      <c r="M727" t="inlineStr">
        <is>
          <t>State Medicaid</t>
        </is>
      </c>
      <c r="N727" t="inlineStr">
        <is>
          <t>Government</t>
        </is>
      </c>
      <c r="O727" s="39" t="n">
        <v>7271.32</v>
      </c>
    </row>
    <row r="728">
      <c r="A728" t="inlineStr">
        <is>
          <t>ENC114747</t>
        </is>
      </c>
      <c r="B728" t="inlineStr">
        <is>
          <t>PT10171</t>
        </is>
      </c>
      <c r="C728" s="42" t="n">
        <v>45781</v>
      </c>
      <c r="D728" s="42" t="n">
        <v>45784</v>
      </c>
      <c r="E728" s="38" t="n">
        <v>3</v>
      </c>
      <c r="F728" t="inlineStr">
        <is>
          <t>Inpatient</t>
        </is>
      </c>
      <c r="G728" t="inlineStr">
        <is>
          <t>Cedar Ridge Medical Center</t>
        </is>
      </c>
      <c r="H728" t="inlineStr">
        <is>
          <t>Medical-Surgical</t>
        </is>
      </c>
      <c r="I728" t="inlineStr">
        <is>
          <t>Medicine</t>
        </is>
      </c>
      <c r="J728" t="inlineStr">
        <is>
          <t>Hansen, Wei</t>
        </is>
      </c>
      <c r="K728" t="inlineStr">
        <is>
          <t>J18.9</t>
        </is>
      </c>
      <c r="L728" t="inlineStr">
        <is>
          <t>Respiratory</t>
        </is>
      </c>
      <c r="M728" t="inlineStr">
        <is>
          <t>Medicare</t>
        </is>
      </c>
      <c r="N728" t="inlineStr">
        <is>
          <t>Government</t>
        </is>
      </c>
      <c r="O728" s="39" t="n">
        <v>14779.55</v>
      </c>
      <c r="P728" t="inlineStr">
        <is>
          <t>N</t>
        </is>
      </c>
    </row>
    <row r="729">
      <c r="A729" t="inlineStr">
        <is>
          <t>ENC114750</t>
        </is>
      </c>
      <c r="B729" t="inlineStr">
        <is>
          <t>PT12323</t>
        </is>
      </c>
      <c r="C729" s="42" t="n">
        <v>45782</v>
      </c>
      <c r="D729" s="42" t="n">
        <v>45782</v>
      </c>
      <c r="E729" s="38" t="n">
        <v>0</v>
      </c>
      <c r="F729" t="inlineStr">
        <is>
          <t>Emergency</t>
        </is>
      </c>
      <c r="G729" t="inlineStr">
        <is>
          <t>Bluestone Memorial Hospital</t>
        </is>
      </c>
      <c r="H729" t="inlineStr">
        <is>
          <t>Emergency Department</t>
        </is>
      </c>
      <c r="I729" t="inlineStr">
        <is>
          <t>Emergency</t>
        </is>
      </c>
      <c r="J729" t="inlineStr">
        <is>
          <t>Mendoza, Alexander</t>
        </is>
      </c>
      <c r="K729" t="inlineStr">
        <is>
          <t>N39.0</t>
        </is>
      </c>
      <c r="L729" t="inlineStr">
        <is>
          <t>Genitourinary</t>
        </is>
      </c>
      <c r="M729" t="inlineStr">
        <is>
          <t>Self-Pay</t>
        </is>
      </c>
      <c r="N729" t="inlineStr">
        <is>
          <t>Self-Pay</t>
        </is>
      </c>
      <c r="O729" s="39" t="n">
        <v>3307.01</v>
      </c>
    </row>
    <row r="730">
      <c r="A730" t="inlineStr">
        <is>
          <t>ENC114752</t>
        </is>
      </c>
      <c r="B730" t="inlineStr">
        <is>
          <t>PT13190</t>
        </is>
      </c>
      <c r="C730" s="42" t="n">
        <v>45782</v>
      </c>
      <c r="D730" s="42" t="n">
        <v>45783</v>
      </c>
      <c r="E730" s="38" t="n">
        <v>1</v>
      </c>
      <c r="F730" t="inlineStr">
        <is>
          <t>Inpatient</t>
        </is>
      </c>
      <c r="G730" t="inlineStr">
        <is>
          <t>Bluestone Memorial Hospital</t>
        </is>
      </c>
      <c r="H730" t="inlineStr">
        <is>
          <t>Medical-Surgical 4 West</t>
        </is>
      </c>
      <c r="I730" t="inlineStr">
        <is>
          <t>Medicine</t>
        </is>
      </c>
      <c r="J730" t="inlineStr">
        <is>
          <t>Cruz, Roger</t>
        </is>
      </c>
      <c r="K730" t="inlineStr">
        <is>
          <t>L03.115</t>
        </is>
      </c>
      <c r="L730" t="inlineStr">
        <is>
          <t>Skin</t>
        </is>
      </c>
      <c r="M730" t="inlineStr">
        <is>
          <t>Summit Choice PPO</t>
        </is>
      </c>
      <c r="N730" t="inlineStr">
        <is>
          <t>Commercial</t>
        </is>
      </c>
      <c r="O730" s="39" t="n">
        <v>5688.96</v>
      </c>
      <c r="P730" t="inlineStr">
        <is>
          <t>N</t>
        </is>
      </c>
    </row>
    <row r="731">
      <c r="A731" t="inlineStr">
        <is>
          <t>ENC114753</t>
        </is>
      </c>
      <c r="B731" t="inlineStr">
        <is>
          <t>PT10612</t>
        </is>
      </c>
      <c r="C731" s="42" t="n">
        <v>45782</v>
      </c>
      <c r="D731" s="42" t="n">
        <v>45782</v>
      </c>
      <c r="E731" s="38" t="n">
        <v>0</v>
      </c>
      <c r="F731" t="inlineStr">
        <is>
          <t>Emergency</t>
        </is>
      </c>
      <c r="G731" t="inlineStr">
        <is>
          <t>Cedar Ridge Medical Center</t>
        </is>
      </c>
      <c r="H731" t="inlineStr">
        <is>
          <t>Emergency Department</t>
        </is>
      </c>
      <c r="I731" t="inlineStr">
        <is>
          <t>Emergency</t>
        </is>
      </c>
      <c r="J731" t="inlineStr">
        <is>
          <t>Barnes, Gary</t>
        </is>
      </c>
      <c r="K731" t="inlineStr">
        <is>
          <t>G43.909</t>
        </is>
      </c>
      <c r="L731" t="inlineStr">
        <is>
          <t>Nervous System</t>
        </is>
      </c>
      <c r="M731" t="inlineStr">
        <is>
          <t>Medicare</t>
        </is>
      </c>
      <c r="N731" t="inlineStr">
        <is>
          <t>Government</t>
        </is>
      </c>
      <c r="O731" s="39" t="n">
        <v>1543.1</v>
      </c>
    </row>
    <row r="732">
      <c r="A732" t="inlineStr">
        <is>
          <t>ENC114754</t>
        </is>
      </c>
      <c r="B732" t="inlineStr">
        <is>
          <t>PT13066</t>
        </is>
      </c>
      <c r="C732" s="42" t="n">
        <v>45782</v>
      </c>
      <c r="D732" s="42" t="n">
        <v>45782</v>
      </c>
      <c r="E732" s="38" t="n">
        <v>0</v>
      </c>
      <c r="F732" t="inlineStr">
        <is>
          <t>Emergency</t>
        </is>
      </c>
      <c r="G732" t="inlineStr">
        <is>
          <t>Bluestone Memorial Hospital</t>
        </is>
      </c>
      <c r="H732" t="inlineStr">
        <is>
          <t>Emergency Department</t>
        </is>
      </c>
      <c r="I732" t="inlineStr">
        <is>
          <t>Emergency</t>
        </is>
      </c>
      <c r="J732" t="inlineStr">
        <is>
          <t>Foster, Patrick</t>
        </is>
      </c>
      <c r="K732" t="inlineStr">
        <is>
          <t>E11.9</t>
        </is>
      </c>
      <c r="L732" t="inlineStr">
        <is>
          <t>Endocrine</t>
        </is>
      </c>
      <c r="M732" t="inlineStr">
        <is>
          <t>Self-Pay</t>
        </is>
      </c>
      <c r="N732" t="inlineStr">
        <is>
          <t>Self-Pay</t>
        </is>
      </c>
      <c r="O732" s="39" t="n">
        <v>3868.18</v>
      </c>
    </row>
    <row r="733">
      <c r="A733" t="inlineStr">
        <is>
          <t>ENC114760</t>
        </is>
      </c>
      <c r="B733" t="inlineStr">
        <is>
          <t>PT13869</t>
        </is>
      </c>
      <c r="C733" s="42" t="n">
        <v>45782</v>
      </c>
      <c r="D733" s="42" t="n">
        <v>45782</v>
      </c>
      <c r="E733" s="38" t="n">
        <v>0</v>
      </c>
      <c r="F733" t="inlineStr">
        <is>
          <t>Outpatient</t>
        </is>
      </c>
      <c r="G733" t="inlineStr">
        <is>
          <t>Bluestone Outpatient Pavilion</t>
        </is>
      </c>
      <c r="H733" t="inlineStr">
        <is>
          <t>Primary Care Clinic</t>
        </is>
      </c>
      <c r="I733" t="inlineStr">
        <is>
          <t>Ambulatory</t>
        </is>
      </c>
      <c r="J733" t="inlineStr">
        <is>
          <t>Black, Nancy</t>
        </is>
      </c>
      <c r="K733" t="inlineStr">
        <is>
          <t>L03.115</t>
        </is>
      </c>
      <c r="L733" t="inlineStr">
        <is>
          <t>Skin</t>
        </is>
      </c>
      <c r="M733" t="inlineStr">
        <is>
          <t>Medicare</t>
        </is>
      </c>
      <c r="N733" t="inlineStr">
        <is>
          <t>Government</t>
        </is>
      </c>
      <c r="O733" s="39" t="n">
        <v>149.48</v>
      </c>
    </row>
    <row r="734">
      <c r="A734" t="inlineStr">
        <is>
          <t>ENC114762</t>
        </is>
      </c>
      <c r="B734" t="inlineStr">
        <is>
          <t>PT10238</t>
        </is>
      </c>
      <c r="C734" s="42" t="n">
        <v>45782</v>
      </c>
      <c r="D734" s="42" t="n">
        <v>45782</v>
      </c>
      <c r="E734" s="38" t="n">
        <v>0</v>
      </c>
      <c r="F734" t="inlineStr">
        <is>
          <t>Outpatient</t>
        </is>
      </c>
      <c r="G734" t="inlineStr">
        <is>
          <t>Bluestone Outpatient Pavilion</t>
        </is>
      </c>
      <c r="H734" t="inlineStr">
        <is>
          <t>Primary Care Clinic</t>
        </is>
      </c>
      <c r="I734" t="inlineStr">
        <is>
          <t>Ambulatory</t>
        </is>
      </c>
      <c r="J734" t="inlineStr">
        <is>
          <t>Chen, Mei</t>
        </is>
      </c>
      <c r="K734" t="inlineStr">
        <is>
          <t>F41.9</t>
        </is>
      </c>
      <c r="L734" t="inlineStr">
        <is>
          <t>Mental &amp; Behavioral</t>
        </is>
      </c>
      <c r="M734" t="inlineStr">
        <is>
          <t>Medicare</t>
        </is>
      </c>
      <c r="N734" t="inlineStr">
        <is>
          <t>Government</t>
        </is>
      </c>
      <c r="O734" s="39" t="n">
        <v>408.56</v>
      </c>
    </row>
    <row r="735">
      <c r="A735" t="inlineStr">
        <is>
          <t>ENC114777</t>
        </is>
      </c>
      <c r="B735" t="inlineStr">
        <is>
          <t>PT12671</t>
        </is>
      </c>
      <c r="C735" s="42" t="n">
        <v>45782</v>
      </c>
      <c r="D735" s="42" t="n">
        <v>45782</v>
      </c>
      <c r="E735" s="38" t="n">
        <v>0</v>
      </c>
      <c r="F735" t="inlineStr">
        <is>
          <t>Outpatient</t>
        </is>
      </c>
      <c r="G735" t="inlineStr">
        <is>
          <t>Bluestone Outpatient Pavilion</t>
        </is>
      </c>
      <c r="H735" t="inlineStr">
        <is>
          <t>Primary Care Clinic</t>
        </is>
      </c>
      <c r="I735" t="inlineStr">
        <is>
          <t>Ambulatory</t>
        </is>
      </c>
      <c r="J735" t="inlineStr">
        <is>
          <t>Nguyen, Isabella</t>
        </is>
      </c>
      <c r="K735" t="inlineStr">
        <is>
          <t>F41.9</t>
        </is>
      </c>
      <c r="L735" t="inlineStr">
        <is>
          <t>Mental &amp; Behavioral</t>
        </is>
      </c>
      <c r="M735" t="inlineStr">
        <is>
          <t>Summit Choice PPO</t>
        </is>
      </c>
      <c r="N735" t="inlineStr">
        <is>
          <t>Commercial</t>
        </is>
      </c>
      <c r="O735" s="39" t="n">
        <v>403.28</v>
      </c>
    </row>
    <row r="736">
      <c r="A736" t="inlineStr">
        <is>
          <t>ENC114790</t>
        </is>
      </c>
      <c r="B736" t="inlineStr">
        <is>
          <t>PT10445</t>
        </is>
      </c>
      <c r="C736" s="42" t="n">
        <v>45782</v>
      </c>
      <c r="D736" s="42" t="n">
        <v>45783</v>
      </c>
      <c r="E736" s="38" t="n">
        <v>1</v>
      </c>
      <c r="F736" t="inlineStr">
        <is>
          <t>Emergency</t>
        </is>
      </c>
      <c r="G736" t="inlineStr">
        <is>
          <t>Bluestone Memorial Hospital</t>
        </is>
      </c>
      <c r="H736" t="inlineStr">
        <is>
          <t>Emergency Department</t>
        </is>
      </c>
      <c r="I736" t="inlineStr">
        <is>
          <t>Emergency</t>
        </is>
      </c>
      <c r="J736" t="inlineStr">
        <is>
          <t>Sullivan, Jacob</t>
        </is>
      </c>
      <c r="K736" t="inlineStr">
        <is>
          <t>F32.9</t>
        </is>
      </c>
      <c r="L736" t="inlineStr">
        <is>
          <t>Mental &amp; Behavioral</t>
        </is>
      </c>
      <c r="M736" t="inlineStr">
        <is>
          <t>Summit Choice PPO</t>
        </is>
      </c>
      <c r="N736" t="inlineStr">
        <is>
          <t>Commercial</t>
        </is>
      </c>
      <c r="O736" s="39" t="n">
        <v>3736.1</v>
      </c>
    </row>
    <row r="737">
      <c r="A737" t="inlineStr">
        <is>
          <t>ENC114793</t>
        </is>
      </c>
      <c r="B737" t="inlineStr">
        <is>
          <t>PT13209</t>
        </is>
      </c>
      <c r="C737" s="42" t="n">
        <v>45782</v>
      </c>
      <c r="D737" s="42" t="n">
        <v>45782</v>
      </c>
      <c r="E737" s="38" t="n">
        <v>0</v>
      </c>
      <c r="F737" t="inlineStr">
        <is>
          <t>Emergency</t>
        </is>
      </c>
      <c r="G737" t="inlineStr">
        <is>
          <t>Cedar Ridge Medical Center</t>
        </is>
      </c>
      <c r="H737" t="inlineStr">
        <is>
          <t>Emergency Department</t>
        </is>
      </c>
      <c r="I737" t="inlineStr">
        <is>
          <t>Emergency</t>
        </is>
      </c>
      <c r="J737" t="inlineStr">
        <is>
          <t>Henry, Brenda</t>
        </is>
      </c>
      <c r="K737" t="inlineStr">
        <is>
          <t>A08.4</t>
        </is>
      </c>
      <c r="L737" t="inlineStr">
        <is>
          <t>Infectious</t>
        </is>
      </c>
      <c r="M737" t="inlineStr">
        <is>
          <t>Keystone Health Partners</t>
        </is>
      </c>
      <c r="N737" t="inlineStr">
        <is>
          <t>Commercial</t>
        </is>
      </c>
      <c r="O737" s="39" t="n">
        <v>1249.54</v>
      </c>
    </row>
    <row r="738">
      <c r="A738" t="inlineStr">
        <is>
          <t>ENC114804</t>
        </is>
      </c>
      <c r="B738" t="inlineStr">
        <is>
          <t>PT12542</t>
        </is>
      </c>
      <c r="C738" s="42" t="n">
        <v>45783</v>
      </c>
      <c r="D738" s="42" t="n">
        <v>45783</v>
      </c>
      <c r="E738" s="38" t="n">
        <v>0</v>
      </c>
      <c r="F738" t="inlineStr">
        <is>
          <t>Emergency</t>
        </is>
      </c>
      <c r="G738" t="inlineStr">
        <is>
          <t>Bluestone Memorial Hospital</t>
        </is>
      </c>
      <c r="H738" t="inlineStr">
        <is>
          <t>Emergency Department</t>
        </is>
      </c>
      <c r="I738" t="inlineStr">
        <is>
          <t>Emergency</t>
        </is>
      </c>
      <c r="J738" t="inlineStr">
        <is>
          <t>Ferguson, Roy</t>
        </is>
      </c>
      <c r="K738" t="inlineStr">
        <is>
          <t>N39.0</t>
        </is>
      </c>
      <c r="L738" t="inlineStr">
        <is>
          <t>Genitourinary</t>
        </is>
      </c>
      <c r="M738" t="inlineStr">
        <is>
          <t>Medicare</t>
        </is>
      </c>
      <c r="N738" t="inlineStr">
        <is>
          <t>Government</t>
        </is>
      </c>
      <c r="O738" s="39" t="n">
        <v>2082.26</v>
      </c>
    </row>
    <row r="739">
      <c r="A739" t="inlineStr">
        <is>
          <t>ENC114806</t>
        </is>
      </c>
      <c r="B739" t="inlineStr">
        <is>
          <t>PT13519</t>
        </is>
      </c>
      <c r="C739" s="42" t="n">
        <v>45783</v>
      </c>
      <c r="D739" s="42" t="n">
        <v>45784</v>
      </c>
      <c r="E739" s="38" t="n">
        <v>1</v>
      </c>
      <c r="F739" t="inlineStr">
        <is>
          <t>Inpatient</t>
        </is>
      </c>
      <c r="G739" t="inlineStr">
        <is>
          <t>Cedar Ridge Medical Center</t>
        </is>
      </c>
      <c r="H739" t="inlineStr">
        <is>
          <t>Orthopedics</t>
        </is>
      </c>
      <c r="I739" t="inlineStr">
        <is>
          <t>Orthopedics</t>
        </is>
      </c>
      <c r="J739" t="inlineStr">
        <is>
          <t>Yilmaz, Brittany</t>
        </is>
      </c>
      <c r="K739" t="inlineStr">
        <is>
          <t>M16.11</t>
        </is>
      </c>
      <c r="L739" t="inlineStr">
        <is>
          <t>Musculoskeletal</t>
        </is>
      </c>
      <c r="M739" t="inlineStr">
        <is>
          <t>Evergreen Mutual Insurance</t>
        </is>
      </c>
      <c r="N739" t="inlineStr">
        <is>
          <t>Commercial</t>
        </is>
      </c>
      <c r="O739" s="39" t="n">
        <v>43986.18</v>
      </c>
      <c r="P739" t="inlineStr">
        <is>
          <t>N</t>
        </is>
      </c>
    </row>
    <row r="740">
      <c r="A740" t="inlineStr">
        <is>
          <t>ENC114811</t>
        </is>
      </c>
      <c r="B740" t="inlineStr">
        <is>
          <t>PT11961</t>
        </is>
      </c>
      <c r="C740" s="42" t="n">
        <v>45783</v>
      </c>
      <c r="D740" s="42" t="n">
        <v>45783</v>
      </c>
      <c r="E740" s="38" t="n">
        <v>0</v>
      </c>
      <c r="F740" t="inlineStr">
        <is>
          <t>Outpatient</t>
        </is>
      </c>
      <c r="G740" t="inlineStr">
        <is>
          <t>Bluestone Outpatient Pavilion</t>
        </is>
      </c>
      <c r="H740" t="inlineStr">
        <is>
          <t>Pediatric Clinic</t>
        </is>
      </c>
      <c r="I740" t="inlineStr">
        <is>
          <t>Women &amp; Children</t>
        </is>
      </c>
      <c r="J740" t="inlineStr">
        <is>
          <t>Wallace, Kevin</t>
        </is>
      </c>
      <c r="K740" t="inlineStr">
        <is>
          <t>Z00.129</t>
        </is>
      </c>
      <c r="L740" t="inlineStr">
        <is>
          <t>Factors Influencing Health</t>
        </is>
      </c>
      <c r="M740" t="inlineStr">
        <is>
          <t>Evergreen Mutual Insurance</t>
        </is>
      </c>
      <c r="N740" t="inlineStr">
        <is>
          <t>Commercial</t>
        </is>
      </c>
      <c r="O740" s="39" t="n">
        <v>313.73</v>
      </c>
    </row>
    <row r="741">
      <c r="A741" t="inlineStr">
        <is>
          <t>ENC114812</t>
        </is>
      </c>
      <c r="B741" t="inlineStr">
        <is>
          <t>PT12750</t>
        </is>
      </c>
      <c r="C741" s="42" t="n">
        <v>45783</v>
      </c>
      <c r="D741" s="42" t="n">
        <v>45783</v>
      </c>
      <c r="E741" s="38" t="n">
        <v>0</v>
      </c>
      <c r="F741" t="inlineStr">
        <is>
          <t>Outpatient</t>
        </is>
      </c>
      <c r="G741" t="inlineStr">
        <is>
          <t>Bluestone Outpatient Pavilion</t>
        </is>
      </c>
      <c r="H741" t="inlineStr">
        <is>
          <t>Primary Care Clinic</t>
        </is>
      </c>
      <c r="I741" t="inlineStr">
        <is>
          <t>Ambulatory</t>
        </is>
      </c>
      <c r="J741" t="inlineStr">
        <is>
          <t>Nguyen, Isabella</t>
        </is>
      </c>
      <c r="K741" t="inlineStr">
        <is>
          <t>F41.9</t>
        </is>
      </c>
      <c r="L741" t="inlineStr">
        <is>
          <t>Mental &amp; Behavioral</t>
        </is>
      </c>
      <c r="M741" t="inlineStr">
        <is>
          <t>Keystone Health Partners</t>
        </is>
      </c>
      <c r="N741" t="inlineStr">
        <is>
          <t>Commercial</t>
        </is>
      </c>
      <c r="O741" s="39" t="n">
        <v>159.84</v>
      </c>
    </row>
    <row r="742">
      <c r="A742" t="inlineStr">
        <is>
          <t>ENC114820</t>
        </is>
      </c>
      <c r="B742" t="inlineStr">
        <is>
          <t>PT12503</t>
        </is>
      </c>
      <c r="C742" s="42" t="n">
        <v>45783</v>
      </c>
      <c r="D742" s="42" t="n">
        <v>45783</v>
      </c>
      <c r="E742" s="38" t="n">
        <v>0</v>
      </c>
      <c r="F742" t="inlineStr">
        <is>
          <t>Outpatient</t>
        </is>
      </c>
      <c r="G742" t="inlineStr">
        <is>
          <t>Bluestone Outpatient Pavilion</t>
        </is>
      </c>
      <c r="H742" t="inlineStr">
        <is>
          <t>Endocrinology &amp; Diabetes Clinic</t>
        </is>
      </c>
      <c r="I742" t="inlineStr">
        <is>
          <t>Ambulatory</t>
        </is>
      </c>
      <c r="J742" t="inlineStr">
        <is>
          <t>Lee, Amber</t>
        </is>
      </c>
      <c r="K742" t="inlineStr">
        <is>
          <t>E11.9</t>
        </is>
      </c>
      <c r="L742" t="inlineStr">
        <is>
          <t>Endocrine</t>
        </is>
      </c>
      <c r="M742" t="inlineStr">
        <is>
          <t>Keystone Health Partners</t>
        </is>
      </c>
      <c r="N742" t="inlineStr">
        <is>
          <t>Commercial</t>
        </is>
      </c>
      <c r="O742" s="39" t="n">
        <v>210.74</v>
      </c>
    </row>
    <row r="743">
      <c r="A743" t="inlineStr">
        <is>
          <t>ENC114821</t>
        </is>
      </c>
      <c r="B743" t="inlineStr">
        <is>
          <t>PT11469</t>
        </is>
      </c>
      <c r="C743" s="42" t="n">
        <v>45783</v>
      </c>
      <c r="D743" s="42" t="n">
        <v>45783</v>
      </c>
      <c r="E743" s="38" t="n">
        <v>0</v>
      </c>
      <c r="F743" t="inlineStr">
        <is>
          <t>Outpatient</t>
        </is>
      </c>
      <c r="G743" t="inlineStr">
        <is>
          <t>Bluestone Outpatient Pavilion</t>
        </is>
      </c>
      <c r="H743" t="inlineStr">
        <is>
          <t>Orthopedic Clinic</t>
        </is>
      </c>
      <c r="I743" t="inlineStr">
        <is>
          <t>Orthopedics</t>
        </is>
      </c>
      <c r="J743" t="inlineStr">
        <is>
          <t>Hernandez, Kyle</t>
        </is>
      </c>
      <c r="K743" t="inlineStr">
        <is>
          <t>M16.11</t>
        </is>
      </c>
      <c r="L743" t="inlineStr">
        <is>
          <t>Musculoskeletal</t>
        </is>
      </c>
      <c r="M743" t="inlineStr">
        <is>
          <t>Keystone Health Partners</t>
        </is>
      </c>
      <c r="N743" t="inlineStr">
        <is>
          <t>Commercial</t>
        </is>
      </c>
      <c r="O743" s="39" t="n">
        <v>187.26</v>
      </c>
    </row>
    <row r="744">
      <c r="A744" t="inlineStr">
        <is>
          <t>ENC114814</t>
        </is>
      </c>
      <c r="B744" t="inlineStr">
        <is>
          <t>PT13925</t>
        </is>
      </c>
      <c r="C744" s="42" t="n">
        <v>45783</v>
      </c>
      <c r="D744" s="42" t="n">
        <v>45789</v>
      </c>
      <c r="E744" s="38" t="n">
        <v>6</v>
      </c>
      <c r="F744" t="inlineStr">
        <is>
          <t>Inpatient</t>
        </is>
      </c>
      <c r="G744" t="inlineStr">
        <is>
          <t>Bluestone Memorial Hospital</t>
        </is>
      </c>
      <c r="H744" t="inlineStr">
        <is>
          <t>Medical-Surgical 4 West</t>
        </is>
      </c>
      <c r="I744" t="inlineStr">
        <is>
          <t>Medicine</t>
        </is>
      </c>
      <c r="J744" t="inlineStr">
        <is>
          <t>Ramirez, Emma</t>
        </is>
      </c>
      <c r="K744" t="inlineStr">
        <is>
          <t>A41.9</t>
        </is>
      </c>
      <c r="L744" t="inlineStr">
        <is>
          <t>Infectious</t>
        </is>
      </c>
      <c r="M744" t="inlineStr">
        <is>
          <t>Medicare</t>
        </is>
      </c>
      <c r="N744" t="inlineStr">
        <is>
          <t>Government</t>
        </is>
      </c>
      <c r="O744" s="39" t="n">
        <v>67249.7</v>
      </c>
      <c r="P744" t="inlineStr">
        <is>
          <t>N</t>
        </is>
      </c>
    </row>
    <row r="745">
      <c r="A745" t="inlineStr">
        <is>
          <t>ENC114824</t>
        </is>
      </c>
      <c r="B745" t="inlineStr">
        <is>
          <t>PT13801</t>
        </is>
      </c>
      <c r="C745" s="42" t="n">
        <v>45783</v>
      </c>
      <c r="D745" s="42" t="n">
        <v>45783</v>
      </c>
      <c r="E745" s="38" t="n">
        <v>0</v>
      </c>
      <c r="F745" t="inlineStr">
        <is>
          <t>Emergency</t>
        </is>
      </c>
      <c r="G745" t="inlineStr">
        <is>
          <t>Cedar Ridge Medical Center</t>
        </is>
      </c>
      <c r="H745" t="inlineStr">
        <is>
          <t>Emergency Department</t>
        </is>
      </c>
      <c r="I745" t="inlineStr">
        <is>
          <t>Emergency</t>
        </is>
      </c>
      <c r="J745" t="inlineStr">
        <is>
          <t>Schmidt, Anna</t>
        </is>
      </c>
      <c r="K745" t="inlineStr">
        <is>
          <t>N39.0</t>
        </is>
      </c>
      <c r="L745" t="inlineStr">
        <is>
          <t>Genitourinary</t>
        </is>
      </c>
      <c r="M745" t="inlineStr">
        <is>
          <t>State Medicaid</t>
        </is>
      </c>
      <c r="N745" t="inlineStr">
        <is>
          <t>Government</t>
        </is>
      </c>
      <c r="O745" s="39" t="n">
        <v>5082.63</v>
      </c>
    </row>
    <row r="746">
      <c r="A746" t="inlineStr">
        <is>
          <t>ENC114826</t>
        </is>
      </c>
      <c r="B746" t="inlineStr">
        <is>
          <t>PT11081</t>
        </is>
      </c>
      <c r="C746" s="42" t="n">
        <v>45783</v>
      </c>
      <c r="D746" s="42" t="n">
        <v>45783</v>
      </c>
      <c r="E746" s="38" t="n">
        <v>0</v>
      </c>
      <c r="F746" t="inlineStr">
        <is>
          <t>Outpatient</t>
        </is>
      </c>
      <c r="G746" t="inlineStr">
        <is>
          <t>Bluestone Outpatient Pavilion</t>
        </is>
      </c>
      <c r="H746" t="inlineStr">
        <is>
          <t>Primary Care Clinic</t>
        </is>
      </c>
      <c r="I746" t="inlineStr">
        <is>
          <t>Ambulatory</t>
        </is>
      </c>
      <c r="J746" t="inlineStr">
        <is>
          <t>Osei, Julie</t>
        </is>
      </c>
      <c r="K746" t="inlineStr">
        <is>
          <t>M54.50</t>
        </is>
      </c>
      <c r="L746" t="inlineStr">
        <is>
          <t>Musculoskeletal</t>
        </is>
      </c>
      <c r="M746" t="inlineStr">
        <is>
          <t>State Medicaid</t>
        </is>
      </c>
      <c r="N746" t="inlineStr">
        <is>
          <t>Government</t>
        </is>
      </c>
      <c r="O746" s="39" t="n">
        <v>392.91</v>
      </c>
    </row>
    <row r="747">
      <c r="A747" t="inlineStr">
        <is>
          <t>ENC114839</t>
        </is>
      </c>
      <c r="B747" t="inlineStr">
        <is>
          <t>PT10198</t>
        </is>
      </c>
      <c r="C747" s="42" t="n">
        <v>45783</v>
      </c>
      <c r="D747" s="42" t="n">
        <v>45784</v>
      </c>
      <c r="E747" s="38" t="n">
        <v>1</v>
      </c>
      <c r="F747" t="inlineStr">
        <is>
          <t>Emergency</t>
        </is>
      </c>
      <c r="G747" t="inlineStr">
        <is>
          <t>Cedar Ridge Medical Center</t>
        </is>
      </c>
      <c r="H747" t="inlineStr">
        <is>
          <t>Emergency Department</t>
        </is>
      </c>
      <c r="I747" t="inlineStr">
        <is>
          <t>Emergency</t>
        </is>
      </c>
      <c r="J747" t="inlineStr">
        <is>
          <t>Munoz, Linda</t>
        </is>
      </c>
      <c r="K747" t="inlineStr">
        <is>
          <t>S06.0X0A</t>
        </is>
      </c>
      <c r="L747" t="inlineStr">
        <is>
          <t>Injury</t>
        </is>
      </c>
      <c r="M747" t="inlineStr">
        <is>
          <t>Summit Choice PPO</t>
        </is>
      </c>
      <c r="N747" t="inlineStr">
        <is>
          <t>Commercial</t>
        </is>
      </c>
      <c r="O747" s="39" t="n">
        <v>2674.39</v>
      </c>
    </row>
    <row r="748">
      <c r="A748" t="inlineStr">
        <is>
          <t>ENC114844</t>
        </is>
      </c>
      <c r="B748" t="inlineStr">
        <is>
          <t>PT12093</t>
        </is>
      </c>
      <c r="C748" s="42" t="n">
        <v>45784</v>
      </c>
      <c r="D748" s="42" t="n">
        <v>45786</v>
      </c>
      <c r="E748" s="38" t="n">
        <v>2</v>
      </c>
      <c r="F748" t="inlineStr">
        <is>
          <t>Inpatient</t>
        </is>
      </c>
      <c r="G748" t="inlineStr">
        <is>
          <t>Bluestone Memorial Hospital</t>
        </is>
      </c>
      <c r="H748" t="inlineStr">
        <is>
          <t>Labor &amp; Delivery</t>
        </is>
      </c>
      <c r="I748" t="inlineStr">
        <is>
          <t>Women &amp; Children</t>
        </is>
      </c>
      <c r="J748" t="inlineStr">
        <is>
          <t>James, Pamela</t>
        </is>
      </c>
      <c r="K748" t="inlineStr">
        <is>
          <t>O80</t>
        </is>
      </c>
      <c r="L748" t="inlineStr">
        <is>
          <t>Pregnancy</t>
        </is>
      </c>
      <c r="M748" t="inlineStr">
        <is>
          <t>Keystone Health Partners</t>
        </is>
      </c>
      <c r="N748" t="inlineStr">
        <is>
          <t>Commercial</t>
        </is>
      </c>
      <c r="O748" s="39" t="n">
        <v>14037.04</v>
      </c>
      <c r="P748" t="inlineStr">
        <is>
          <t>N</t>
        </is>
      </c>
    </row>
    <row r="749">
      <c r="A749" t="inlineStr">
        <is>
          <t>ENC114849</t>
        </is>
      </c>
      <c r="B749" t="inlineStr">
        <is>
          <t>PT11766</t>
        </is>
      </c>
      <c r="C749" s="42" t="n">
        <v>45784</v>
      </c>
      <c r="D749" s="42" t="n">
        <v>45784</v>
      </c>
      <c r="E749" s="38" t="n">
        <v>0</v>
      </c>
      <c r="F749" t="inlineStr">
        <is>
          <t>Outpatient</t>
        </is>
      </c>
      <c r="G749" t="inlineStr">
        <is>
          <t>Bluestone Outpatient Pavilion</t>
        </is>
      </c>
      <c r="H749" t="inlineStr">
        <is>
          <t>Primary Care Clinic</t>
        </is>
      </c>
      <c r="I749" t="inlineStr">
        <is>
          <t>Ambulatory</t>
        </is>
      </c>
      <c r="J749" t="inlineStr">
        <is>
          <t>Fisher, Brandon</t>
        </is>
      </c>
      <c r="K749" t="inlineStr">
        <is>
          <t>Z00.00</t>
        </is>
      </c>
      <c r="L749" t="inlineStr">
        <is>
          <t>Factors Influencing Health</t>
        </is>
      </c>
      <c r="M749" t="inlineStr">
        <is>
          <t>Medicare</t>
        </is>
      </c>
      <c r="N749" t="inlineStr">
        <is>
          <t>Government</t>
        </is>
      </c>
      <c r="O749" s="39" t="n">
        <v>436.66</v>
      </c>
    </row>
    <row r="750">
      <c r="A750" t="inlineStr">
        <is>
          <t>ENC114855</t>
        </is>
      </c>
      <c r="B750" t="inlineStr">
        <is>
          <t>PT11077</t>
        </is>
      </c>
      <c r="C750" s="42" t="n">
        <v>45784</v>
      </c>
      <c r="D750" s="42" t="n">
        <v>45784</v>
      </c>
      <c r="E750" s="38" t="n">
        <v>0</v>
      </c>
      <c r="F750" t="inlineStr">
        <is>
          <t>Outpatient</t>
        </is>
      </c>
      <c r="G750" t="inlineStr">
        <is>
          <t>Bluestone Outpatient Pavilion</t>
        </is>
      </c>
      <c r="H750" t="inlineStr">
        <is>
          <t>Primary Care Clinic</t>
        </is>
      </c>
      <c r="I750" t="inlineStr">
        <is>
          <t>Ambulatory</t>
        </is>
      </c>
      <c r="J750" t="inlineStr">
        <is>
          <t>Fisher, Brandon</t>
        </is>
      </c>
      <c r="K750" t="inlineStr">
        <is>
          <t>Z00.00</t>
        </is>
      </c>
      <c r="L750" t="inlineStr">
        <is>
          <t>Factors Influencing Health</t>
        </is>
      </c>
      <c r="M750" t="inlineStr">
        <is>
          <t>State Medicaid</t>
        </is>
      </c>
      <c r="N750" t="inlineStr">
        <is>
          <t>Government</t>
        </is>
      </c>
      <c r="O750" s="39" t="n">
        <v>354.86</v>
      </c>
    </row>
    <row r="751">
      <c r="A751" t="inlineStr">
        <is>
          <t>ENC114872</t>
        </is>
      </c>
      <c r="B751" t="inlineStr">
        <is>
          <t>PT12480</t>
        </is>
      </c>
      <c r="C751" s="42" t="n">
        <v>45785</v>
      </c>
      <c r="D751" s="42" t="n">
        <v>45787</v>
      </c>
      <c r="E751" s="38" t="n">
        <v>2</v>
      </c>
      <c r="F751" t="inlineStr">
        <is>
          <t>Inpatient</t>
        </is>
      </c>
      <c r="G751" t="inlineStr">
        <is>
          <t>Bluestone Memorial Hospital</t>
        </is>
      </c>
      <c r="H751" t="inlineStr">
        <is>
          <t>Labor &amp; Delivery</t>
        </is>
      </c>
      <c r="I751" t="inlineStr">
        <is>
          <t>Women &amp; Children</t>
        </is>
      </c>
      <c r="J751" t="inlineStr">
        <is>
          <t>Taylor, Lauren</t>
        </is>
      </c>
      <c r="K751" t="inlineStr">
        <is>
          <t>O80</t>
        </is>
      </c>
      <c r="L751" t="inlineStr">
        <is>
          <t>Pregnancy</t>
        </is>
      </c>
      <c r="M751" t="inlineStr">
        <is>
          <t>State Medicaid</t>
        </is>
      </c>
      <c r="N751" t="inlineStr">
        <is>
          <t>Government</t>
        </is>
      </c>
      <c r="O751" s="39" t="n">
        <v>21054.18</v>
      </c>
      <c r="P751" t="inlineStr">
        <is>
          <t>N</t>
        </is>
      </c>
    </row>
    <row r="752">
      <c r="A752" t="inlineStr">
        <is>
          <t>ENC114873</t>
        </is>
      </c>
      <c r="B752" t="inlineStr">
        <is>
          <t>PT12973</t>
        </is>
      </c>
      <c r="C752" s="42" t="n">
        <v>45785</v>
      </c>
      <c r="D752" s="42" t="n">
        <v>45788</v>
      </c>
      <c r="E752" s="38" t="n">
        <v>3</v>
      </c>
      <c r="F752" t="inlineStr">
        <is>
          <t>Inpatient</t>
        </is>
      </c>
      <c r="G752" t="inlineStr">
        <is>
          <t>Bluestone Memorial Hospital</t>
        </is>
      </c>
      <c r="H752" t="inlineStr">
        <is>
          <t>Oncology</t>
        </is>
      </c>
      <c r="I752" t="inlineStr">
        <is>
          <t>Oncology</t>
        </is>
      </c>
      <c r="J752" t="inlineStr">
        <is>
          <t>Hughes, Larry</t>
        </is>
      </c>
      <c r="K752" t="inlineStr">
        <is>
          <t>C34.90</t>
        </is>
      </c>
      <c r="L752" t="inlineStr">
        <is>
          <t>Neoplasms</t>
        </is>
      </c>
      <c r="M752" t="inlineStr">
        <is>
          <t>Silverline Medicare Advantage</t>
        </is>
      </c>
      <c r="N752" t="inlineStr">
        <is>
          <t>Medicare Advantage</t>
        </is>
      </c>
      <c r="O752" s="39" t="n">
        <v>13291.61</v>
      </c>
      <c r="P752" t="inlineStr">
        <is>
          <t>N</t>
        </is>
      </c>
    </row>
    <row r="753">
      <c r="A753" t="inlineStr">
        <is>
          <t>ENC114874</t>
        </is>
      </c>
      <c r="B753" t="inlineStr">
        <is>
          <t>PT12205</t>
        </is>
      </c>
      <c r="C753" s="42" t="n">
        <v>45785</v>
      </c>
      <c r="D753" s="42" t="n">
        <v>45785</v>
      </c>
      <c r="E753" s="38" t="n">
        <v>0</v>
      </c>
      <c r="F753" t="inlineStr">
        <is>
          <t>Outpatient</t>
        </is>
      </c>
      <c r="G753" t="inlineStr">
        <is>
          <t>Bluestone Outpatient Pavilion</t>
        </is>
      </c>
      <c r="H753" t="inlineStr">
        <is>
          <t>Cardiology Clinic</t>
        </is>
      </c>
      <c r="I753" t="inlineStr">
        <is>
          <t>Cardiovascular</t>
        </is>
      </c>
      <c r="J753" t="inlineStr">
        <is>
          <t>Brooks, Edward</t>
        </is>
      </c>
      <c r="K753" t="inlineStr">
        <is>
          <t>I50.9</t>
        </is>
      </c>
      <c r="L753" t="inlineStr">
        <is>
          <t>Circulatory</t>
        </is>
      </c>
      <c r="M753" t="inlineStr">
        <is>
          <t>Evergreen Mutual Insurance</t>
        </is>
      </c>
      <c r="N753" t="inlineStr">
        <is>
          <t>Commercial</t>
        </is>
      </c>
      <c r="O753" s="39" t="n">
        <v>181.22</v>
      </c>
    </row>
    <row r="754">
      <c r="A754" t="inlineStr">
        <is>
          <t>ENC114883</t>
        </is>
      </c>
      <c r="B754" t="inlineStr">
        <is>
          <t>PT12394</t>
        </is>
      </c>
      <c r="C754" s="42" t="n">
        <v>45785</v>
      </c>
      <c r="D754" s="42" t="n">
        <v>45785</v>
      </c>
      <c r="E754" s="38" t="n">
        <v>0</v>
      </c>
      <c r="F754" t="inlineStr">
        <is>
          <t>Outpatient</t>
        </is>
      </c>
      <c r="G754" t="inlineStr">
        <is>
          <t>Bluestone Outpatient Pavilion</t>
        </is>
      </c>
      <c r="H754" t="inlineStr">
        <is>
          <t>Primary Care Clinic</t>
        </is>
      </c>
      <c r="I754" t="inlineStr">
        <is>
          <t>Ambulatory</t>
        </is>
      </c>
      <c r="J754" t="inlineStr">
        <is>
          <t>Yilmaz, Richard</t>
        </is>
      </c>
      <c r="K754" t="inlineStr">
        <is>
          <t>Z00.00</t>
        </is>
      </c>
      <c r="L754" t="inlineStr">
        <is>
          <t>Factors Influencing Health</t>
        </is>
      </c>
      <c r="M754" t="inlineStr">
        <is>
          <t>Silverline Medicare Advantage</t>
        </is>
      </c>
      <c r="N754" t="inlineStr">
        <is>
          <t>Medicare Advantage</t>
        </is>
      </c>
      <c r="O754" s="39" t="n">
        <v>293.44</v>
      </c>
    </row>
    <row r="755">
      <c r="A755" t="inlineStr">
        <is>
          <t>ENC114887</t>
        </is>
      </c>
      <c r="B755" t="inlineStr">
        <is>
          <t>PT12484</t>
        </is>
      </c>
      <c r="C755" s="42" t="n">
        <v>45785</v>
      </c>
      <c r="D755" s="42" t="n">
        <v>45785</v>
      </c>
      <c r="E755" s="38" t="n">
        <v>0</v>
      </c>
      <c r="F755" t="inlineStr">
        <is>
          <t>Emergency</t>
        </is>
      </c>
      <c r="G755" t="inlineStr">
        <is>
          <t>Bluestone Memorial Hospital</t>
        </is>
      </c>
      <c r="H755" t="inlineStr">
        <is>
          <t>Emergency Department</t>
        </is>
      </c>
      <c r="I755" t="inlineStr">
        <is>
          <t>Emergency</t>
        </is>
      </c>
      <c r="J755" t="inlineStr">
        <is>
          <t>Jordan, Wayne</t>
        </is>
      </c>
      <c r="K755" t="inlineStr">
        <is>
          <t>N39.0</t>
        </is>
      </c>
      <c r="L755" t="inlineStr">
        <is>
          <t>Genitourinary</t>
        </is>
      </c>
      <c r="M755" t="inlineStr">
        <is>
          <t>Medicare</t>
        </is>
      </c>
      <c r="N755" t="inlineStr">
        <is>
          <t>Government</t>
        </is>
      </c>
      <c r="O755" s="39" t="n">
        <v>2925.31</v>
      </c>
    </row>
    <row r="756">
      <c r="A756" t="inlineStr">
        <is>
          <t>ENC114898</t>
        </is>
      </c>
      <c r="B756" t="inlineStr">
        <is>
          <t>PT13584</t>
        </is>
      </c>
      <c r="C756" s="42" t="n">
        <v>45785</v>
      </c>
      <c r="D756" s="42" t="n">
        <v>45795</v>
      </c>
      <c r="E756" s="38" t="n">
        <v>10</v>
      </c>
      <c r="F756" t="inlineStr">
        <is>
          <t>Inpatient</t>
        </is>
      </c>
      <c r="G756" t="inlineStr">
        <is>
          <t>Bluestone Memorial Hospital</t>
        </is>
      </c>
      <c r="H756" t="inlineStr">
        <is>
          <t>Medical-Surgical 4 West</t>
        </is>
      </c>
      <c r="I756" t="inlineStr">
        <is>
          <t>Medicine</t>
        </is>
      </c>
      <c r="J756" t="inlineStr">
        <is>
          <t>Abbott, Kathleen</t>
        </is>
      </c>
      <c r="K756" t="inlineStr">
        <is>
          <t>U07.1</t>
        </is>
      </c>
      <c r="L756" t="inlineStr">
        <is>
          <t>Respiratory</t>
        </is>
      </c>
      <c r="M756" t="inlineStr">
        <is>
          <t>Summit Choice PPO</t>
        </is>
      </c>
      <c r="N756" t="inlineStr">
        <is>
          <t>Commercial</t>
        </is>
      </c>
      <c r="O756" s="39" t="n">
        <v>41775.86</v>
      </c>
      <c r="P756" t="inlineStr">
        <is>
          <t>N</t>
        </is>
      </c>
    </row>
    <row r="757">
      <c r="A757" t="inlineStr">
        <is>
          <t>ENC114899</t>
        </is>
      </c>
      <c r="B757" t="inlineStr">
        <is>
          <t>PT11004</t>
        </is>
      </c>
      <c r="C757" s="42" t="n">
        <v>45785</v>
      </c>
      <c r="D757" s="42" t="n">
        <v>45787</v>
      </c>
      <c r="E757" s="38" t="n">
        <v>2</v>
      </c>
      <c r="F757" t="inlineStr">
        <is>
          <t>Observation</t>
        </is>
      </c>
      <c r="G757" t="inlineStr">
        <is>
          <t>Ashby Falls Community Hospital</t>
        </is>
      </c>
      <c r="H757" t="inlineStr">
        <is>
          <t>Medical-Surgical</t>
        </is>
      </c>
      <c r="I757" t="inlineStr">
        <is>
          <t>Medicine</t>
        </is>
      </c>
      <c r="J757" t="inlineStr">
        <is>
          <t>Carroll, Philip</t>
        </is>
      </c>
      <c r="K757" t="inlineStr">
        <is>
          <t>U07.1</t>
        </is>
      </c>
      <c r="L757" t="inlineStr">
        <is>
          <t>Respiratory</t>
        </is>
      </c>
      <c r="M757" t="inlineStr">
        <is>
          <t>Silverline Medicare Advantage</t>
        </is>
      </c>
      <c r="N757" t="inlineStr">
        <is>
          <t>Medicare Advantage</t>
        </is>
      </c>
      <c r="O757" s="39" t="n">
        <v>9821.620000000001</v>
      </c>
    </row>
    <row r="758">
      <c r="A758" t="inlineStr">
        <is>
          <t>ENC114912</t>
        </is>
      </c>
      <c r="B758" t="inlineStr">
        <is>
          <t>PT10276</t>
        </is>
      </c>
      <c r="C758" s="42" t="n">
        <v>45786</v>
      </c>
      <c r="D758" s="42" t="n">
        <v>45793</v>
      </c>
      <c r="E758" s="38" t="n">
        <v>7</v>
      </c>
      <c r="F758" t="inlineStr">
        <is>
          <t>Inpatient</t>
        </is>
      </c>
      <c r="G758" t="inlineStr">
        <is>
          <t>Bluestone Memorial Hospital</t>
        </is>
      </c>
      <c r="H758" t="inlineStr">
        <is>
          <t>Intensive Care Unit</t>
        </is>
      </c>
      <c r="I758" t="inlineStr">
        <is>
          <t>Critical Care</t>
        </is>
      </c>
      <c r="J758" t="inlineStr">
        <is>
          <t>Hawkins, Bruce</t>
        </is>
      </c>
      <c r="K758" t="inlineStr">
        <is>
          <t>A41.9</t>
        </is>
      </c>
      <c r="L758" t="inlineStr">
        <is>
          <t>Infectious</t>
        </is>
      </c>
      <c r="M758" t="inlineStr">
        <is>
          <t>Keystone Health Partners</t>
        </is>
      </c>
      <c r="N758" t="inlineStr">
        <is>
          <t>Commercial</t>
        </is>
      </c>
      <c r="O758" s="39" t="n">
        <v>113305.51</v>
      </c>
      <c r="P758" t="inlineStr">
        <is>
          <t>N</t>
        </is>
      </c>
    </row>
    <row r="759">
      <c r="A759" t="inlineStr">
        <is>
          <t>ENC114926</t>
        </is>
      </c>
      <c r="B759" t="inlineStr">
        <is>
          <t>PT13203</t>
        </is>
      </c>
      <c r="C759" s="42" t="n">
        <v>45786</v>
      </c>
      <c r="D759" s="42" t="n">
        <v>45786</v>
      </c>
      <c r="E759" s="38" t="n">
        <v>0</v>
      </c>
      <c r="F759" t="inlineStr">
        <is>
          <t>Emergency</t>
        </is>
      </c>
      <c r="G759" t="inlineStr">
        <is>
          <t>Bluestone Memorial Hospital</t>
        </is>
      </c>
      <c r="H759" t="inlineStr">
        <is>
          <t>Emergency Department</t>
        </is>
      </c>
      <c r="I759" t="inlineStr">
        <is>
          <t>Emergency</t>
        </is>
      </c>
      <c r="J759" t="inlineStr">
        <is>
          <t>Gonzales, Mia</t>
        </is>
      </c>
      <c r="K759" t="inlineStr">
        <is>
          <t>J06.9</t>
        </is>
      </c>
      <c r="L759" t="inlineStr">
        <is>
          <t>Respiratory</t>
        </is>
      </c>
      <c r="M759" t="inlineStr">
        <is>
          <t>State Medicaid</t>
        </is>
      </c>
      <c r="N759" t="inlineStr">
        <is>
          <t>Government</t>
        </is>
      </c>
      <c r="O759" s="39" t="n">
        <v>1969.57</v>
      </c>
    </row>
    <row r="760">
      <c r="A760" t="inlineStr">
        <is>
          <t>ENC114932</t>
        </is>
      </c>
      <c r="B760" t="inlineStr">
        <is>
          <t>PT12023</t>
        </is>
      </c>
      <c r="C760" s="42" t="n">
        <v>45786</v>
      </c>
      <c r="D760" s="42" t="n">
        <v>45794</v>
      </c>
      <c r="E760" s="38" t="n">
        <v>8</v>
      </c>
      <c r="F760" t="inlineStr">
        <is>
          <t>Inpatient</t>
        </is>
      </c>
      <c r="G760" t="inlineStr">
        <is>
          <t>Bluestone Memorial Hospital</t>
        </is>
      </c>
      <c r="H760" t="inlineStr">
        <is>
          <t>Medical-Surgical 4 West</t>
        </is>
      </c>
      <c r="I760" t="inlineStr">
        <is>
          <t>Medicine</t>
        </is>
      </c>
      <c r="J760" t="inlineStr">
        <is>
          <t>Price, Juan</t>
        </is>
      </c>
      <c r="K760" t="inlineStr">
        <is>
          <t>A41.9</t>
        </is>
      </c>
      <c r="L760" t="inlineStr">
        <is>
          <t>Infectious</t>
        </is>
      </c>
      <c r="M760" t="inlineStr">
        <is>
          <t>Medicare</t>
        </is>
      </c>
      <c r="N760" t="inlineStr">
        <is>
          <t>Government</t>
        </is>
      </c>
      <c r="O760" s="39" t="n">
        <v>90539.28999999999</v>
      </c>
      <c r="P760" t="inlineStr">
        <is>
          <t>N</t>
        </is>
      </c>
    </row>
    <row r="761">
      <c r="A761" t="inlineStr">
        <is>
          <t>ENC114934</t>
        </is>
      </c>
      <c r="B761" t="inlineStr">
        <is>
          <t>PT10589</t>
        </is>
      </c>
      <c r="C761" s="42" t="n">
        <v>45787</v>
      </c>
      <c r="D761" s="42" t="n">
        <v>45789</v>
      </c>
      <c r="E761" s="38" t="n">
        <v>2</v>
      </c>
      <c r="F761" t="inlineStr">
        <is>
          <t>Observation</t>
        </is>
      </c>
      <c r="G761" t="inlineStr">
        <is>
          <t>Cedar Ridge Medical Center</t>
        </is>
      </c>
      <c r="H761" t="inlineStr">
        <is>
          <t>Medical-Surgical</t>
        </is>
      </c>
      <c r="I761" t="inlineStr">
        <is>
          <t>Medicine</t>
        </is>
      </c>
      <c r="J761" t="inlineStr">
        <is>
          <t>Hansen, Wei</t>
        </is>
      </c>
      <c r="K761" t="inlineStr">
        <is>
          <t>L03.115</t>
        </is>
      </c>
      <c r="L761" t="inlineStr">
        <is>
          <t>Skin</t>
        </is>
      </c>
      <c r="M761" t="inlineStr">
        <is>
          <t>Keystone Health Partners</t>
        </is>
      </c>
      <c r="N761" t="inlineStr">
        <is>
          <t>Commercial</t>
        </is>
      </c>
      <c r="O761" s="39" t="n">
        <v>8907.540000000001</v>
      </c>
    </row>
    <row r="762">
      <c r="A762" t="inlineStr">
        <is>
          <t>ENC114938</t>
        </is>
      </c>
      <c r="B762" t="inlineStr">
        <is>
          <t>PT11340</t>
        </is>
      </c>
      <c r="C762" s="42" t="n">
        <v>45787</v>
      </c>
      <c r="D762" s="42" t="n">
        <v>45787</v>
      </c>
      <c r="E762" s="38" t="n">
        <v>0</v>
      </c>
      <c r="F762" t="inlineStr">
        <is>
          <t>Emergency</t>
        </is>
      </c>
      <c r="G762" t="inlineStr">
        <is>
          <t>Bluestone Memorial Hospital</t>
        </is>
      </c>
      <c r="H762" t="inlineStr">
        <is>
          <t>Emergency Department</t>
        </is>
      </c>
      <c r="I762" t="inlineStr">
        <is>
          <t>Emergency</t>
        </is>
      </c>
      <c r="J762" t="inlineStr">
        <is>
          <t>Elliott, Jesse</t>
        </is>
      </c>
      <c r="K762" t="inlineStr">
        <is>
          <t>A08.4</t>
        </is>
      </c>
      <c r="L762" t="inlineStr">
        <is>
          <t>Infectious</t>
        </is>
      </c>
      <c r="M762" t="inlineStr">
        <is>
          <t>Evergreen Mutual Insurance</t>
        </is>
      </c>
      <c r="N762" t="inlineStr">
        <is>
          <t>Commercial</t>
        </is>
      </c>
      <c r="O762" s="39" t="n">
        <v>3101.76</v>
      </c>
    </row>
    <row r="763">
      <c r="A763" t="inlineStr">
        <is>
          <t>ENC114945</t>
        </is>
      </c>
      <c r="B763" t="inlineStr">
        <is>
          <t>PT10666</t>
        </is>
      </c>
      <c r="C763" s="42" t="n">
        <v>45787</v>
      </c>
      <c r="D763" s="42" t="n">
        <v>45788</v>
      </c>
      <c r="E763" s="38" t="n">
        <v>1</v>
      </c>
      <c r="F763" t="inlineStr">
        <is>
          <t>Emergency</t>
        </is>
      </c>
      <c r="G763" t="inlineStr">
        <is>
          <t>Bluestone Memorial Hospital</t>
        </is>
      </c>
      <c r="H763" t="inlineStr">
        <is>
          <t>Emergency Department</t>
        </is>
      </c>
      <c r="I763" t="inlineStr">
        <is>
          <t>Emergency</t>
        </is>
      </c>
      <c r="J763" t="inlineStr">
        <is>
          <t>Myers, Doris</t>
        </is>
      </c>
      <c r="K763" t="inlineStr">
        <is>
          <t>F41.9</t>
        </is>
      </c>
      <c r="L763" t="inlineStr">
        <is>
          <t>Mental &amp; Behavioral</t>
        </is>
      </c>
      <c r="M763" t="inlineStr">
        <is>
          <t>State Medicaid</t>
        </is>
      </c>
      <c r="N763" t="inlineStr">
        <is>
          <t>Government</t>
        </is>
      </c>
      <c r="O763" s="39" t="n">
        <v>4853.93</v>
      </c>
    </row>
    <row r="764">
      <c r="A764" t="inlineStr">
        <is>
          <t>ENC114953</t>
        </is>
      </c>
      <c r="B764" t="inlineStr">
        <is>
          <t>PT11491</t>
        </is>
      </c>
      <c r="C764" s="42" t="n">
        <v>45788</v>
      </c>
      <c r="D764" s="42" t="n">
        <v>45791</v>
      </c>
      <c r="E764" s="38" t="n">
        <v>3</v>
      </c>
      <c r="F764" t="inlineStr">
        <is>
          <t>Inpatient</t>
        </is>
      </c>
      <c r="G764" t="inlineStr">
        <is>
          <t>Bluestone Memorial Hospital</t>
        </is>
      </c>
      <c r="H764" t="inlineStr">
        <is>
          <t>Medical-Surgical 4 West</t>
        </is>
      </c>
      <c r="I764" t="inlineStr">
        <is>
          <t>Medicine</t>
        </is>
      </c>
      <c r="J764" t="inlineStr">
        <is>
          <t>Ramirez, Emma</t>
        </is>
      </c>
      <c r="K764" t="inlineStr">
        <is>
          <t>J44.1</t>
        </is>
      </c>
      <c r="L764" t="inlineStr">
        <is>
          <t>Respiratory</t>
        </is>
      </c>
      <c r="M764" t="inlineStr">
        <is>
          <t>Keystone Health Partners</t>
        </is>
      </c>
      <c r="N764" t="inlineStr">
        <is>
          <t>Commercial</t>
        </is>
      </c>
      <c r="O764" s="39" t="n">
        <v>14845.54</v>
      </c>
      <c r="P764" t="inlineStr">
        <is>
          <t>N</t>
        </is>
      </c>
    </row>
    <row r="765">
      <c r="A765" t="inlineStr">
        <is>
          <t>ENC114956</t>
        </is>
      </c>
      <c r="B765" t="inlineStr">
        <is>
          <t>PT11619</t>
        </is>
      </c>
      <c r="C765" s="42" t="n">
        <v>45788</v>
      </c>
      <c r="D765" s="42" t="n">
        <v>45788</v>
      </c>
      <c r="E765" s="38" t="n">
        <v>0</v>
      </c>
      <c r="F765" t="inlineStr">
        <is>
          <t>Emergency</t>
        </is>
      </c>
      <c r="G765" t="inlineStr">
        <is>
          <t>Ashby Falls Community Hospital</t>
        </is>
      </c>
      <c r="H765" t="inlineStr">
        <is>
          <t>Emergency Department</t>
        </is>
      </c>
      <c r="I765" t="inlineStr">
        <is>
          <t>Emergency</t>
        </is>
      </c>
      <c r="J765" t="inlineStr">
        <is>
          <t>Marshall, Lisa</t>
        </is>
      </c>
      <c r="K765" t="inlineStr">
        <is>
          <t>N39.0</t>
        </is>
      </c>
      <c r="L765" t="inlineStr">
        <is>
          <t>Genitourinary</t>
        </is>
      </c>
      <c r="M765" t="inlineStr">
        <is>
          <t>Medicare</t>
        </is>
      </c>
      <c r="N765" t="inlineStr">
        <is>
          <t>Government</t>
        </is>
      </c>
      <c r="O765" s="39" t="n">
        <v>1513.77</v>
      </c>
    </row>
    <row r="766">
      <c r="A766" t="inlineStr">
        <is>
          <t>ENC114964</t>
        </is>
      </c>
      <c r="B766" t="inlineStr">
        <is>
          <t>PT11792</t>
        </is>
      </c>
      <c r="C766" s="42" t="n">
        <v>45788</v>
      </c>
      <c r="D766" s="42" t="n">
        <v>45789</v>
      </c>
      <c r="E766" s="38" t="n">
        <v>1</v>
      </c>
      <c r="F766" t="inlineStr">
        <is>
          <t>Emergency</t>
        </is>
      </c>
      <c r="G766" t="inlineStr">
        <is>
          <t>Bluestone Memorial Hospital</t>
        </is>
      </c>
      <c r="H766" t="inlineStr">
        <is>
          <t>Emergency Department</t>
        </is>
      </c>
      <c r="I766" t="inlineStr">
        <is>
          <t>Emergency</t>
        </is>
      </c>
      <c r="J766" t="inlineStr">
        <is>
          <t>Jordan, Wayne</t>
        </is>
      </c>
      <c r="K766" t="inlineStr">
        <is>
          <t>R07.9</t>
        </is>
      </c>
      <c r="L766" t="inlineStr">
        <is>
          <t>Symptoms &amp; Signs</t>
        </is>
      </c>
      <c r="M766" t="inlineStr">
        <is>
          <t>Silverline Medicare Advantage</t>
        </is>
      </c>
      <c r="N766" t="inlineStr">
        <is>
          <t>Medicare Advantage</t>
        </is>
      </c>
      <c r="O766" s="39" t="n">
        <v>5858.77</v>
      </c>
    </row>
    <row r="767">
      <c r="A767" t="inlineStr">
        <is>
          <t>ENC114962</t>
        </is>
      </c>
      <c r="B767" t="inlineStr">
        <is>
          <t>PT10493</t>
        </is>
      </c>
      <c r="C767" s="42" t="n">
        <v>45789</v>
      </c>
      <c r="D767" s="42" t="n">
        <v>45794</v>
      </c>
      <c r="E767" s="38" t="n">
        <v>5</v>
      </c>
      <c r="F767" t="inlineStr">
        <is>
          <t>Inpatient</t>
        </is>
      </c>
      <c r="G767" t="inlineStr">
        <is>
          <t>Bluestone Memorial Hospital</t>
        </is>
      </c>
      <c r="H767" t="inlineStr">
        <is>
          <t>Behavioral Health</t>
        </is>
      </c>
      <c r="I767" t="inlineStr">
        <is>
          <t>Behavioral Health</t>
        </is>
      </c>
      <c r="J767" t="inlineStr">
        <is>
          <t>Clark, Frank</t>
        </is>
      </c>
      <c r="K767" t="inlineStr">
        <is>
          <t>F32.9</t>
        </is>
      </c>
      <c r="L767" t="inlineStr">
        <is>
          <t>Mental &amp; Behavioral</t>
        </is>
      </c>
      <c r="M767" t="inlineStr">
        <is>
          <t>Evergreen Mutual Insurance</t>
        </is>
      </c>
      <c r="N767" t="inlineStr">
        <is>
          <t>Commercial</t>
        </is>
      </c>
      <c r="O767" s="39" t="n">
        <v>13038.29</v>
      </c>
      <c r="P767" t="inlineStr">
        <is>
          <t>N</t>
        </is>
      </c>
    </row>
    <row r="768">
      <c r="A768" t="inlineStr">
        <is>
          <t>ENC114963</t>
        </is>
      </c>
      <c r="B768" t="inlineStr">
        <is>
          <t>PT10281</t>
        </is>
      </c>
      <c r="C768" s="42" t="n">
        <v>45789</v>
      </c>
      <c r="D768" s="42" t="n">
        <v>45803</v>
      </c>
      <c r="E768" s="38" t="n">
        <v>14</v>
      </c>
      <c r="F768" t="inlineStr">
        <is>
          <t>Inpatient</t>
        </is>
      </c>
      <c r="G768" t="inlineStr">
        <is>
          <t>Bluestone Memorial Hospital</t>
        </is>
      </c>
      <c r="H768" t="inlineStr">
        <is>
          <t>Behavioral Health</t>
        </is>
      </c>
      <c r="I768" t="inlineStr">
        <is>
          <t>Behavioral Health</t>
        </is>
      </c>
      <c r="J768" t="inlineStr">
        <is>
          <t>Elliott, Emma</t>
        </is>
      </c>
      <c r="K768" t="inlineStr">
        <is>
          <t>F32.9</t>
        </is>
      </c>
      <c r="L768" t="inlineStr">
        <is>
          <t>Mental &amp; Behavioral</t>
        </is>
      </c>
      <c r="M768" t="inlineStr">
        <is>
          <t>State Medicaid</t>
        </is>
      </c>
      <c r="N768" t="inlineStr">
        <is>
          <t>Government</t>
        </is>
      </c>
      <c r="O768" s="39" t="n">
        <v>39018.56</v>
      </c>
      <c r="P768" t="inlineStr">
        <is>
          <t>N</t>
        </is>
      </c>
    </row>
    <row r="769">
      <c r="A769" t="inlineStr">
        <is>
          <t>ENC114967</t>
        </is>
      </c>
      <c r="B769" t="inlineStr">
        <is>
          <t>PT13682</t>
        </is>
      </c>
      <c r="C769" s="42" t="n">
        <v>45789</v>
      </c>
      <c r="D769" s="42" t="n">
        <v>45789</v>
      </c>
      <c r="E769" s="38" t="n">
        <v>0</v>
      </c>
      <c r="F769" t="inlineStr">
        <is>
          <t>Outpatient</t>
        </is>
      </c>
      <c r="G769" t="inlineStr">
        <is>
          <t>Bluestone Outpatient Pavilion</t>
        </is>
      </c>
      <c r="H769" t="inlineStr">
        <is>
          <t>Primary Care Clinic</t>
        </is>
      </c>
      <c r="I769" t="inlineStr">
        <is>
          <t>Ambulatory</t>
        </is>
      </c>
      <c r="J769" t="inlineStr">
        <is>
          <t>Nguyen, Isabella</t>
        </is>
      </c>
      <c r="K769" t="inlineStr">
        <is>
          <t>I10</t>
        </is>
      </c>
      <c r="L769" t="inlineStr">
        <is>
          <t>Circulatory</t>
        </is>
      </c>
      <c r="M769" t="inlineStr">
        <is>
          <t>State Medicaid</t>
        </is>
      </c>
      <c r="N769" t="inlineStr">
        <is>
          <t>Government</t>
        </is>
      </c>
      <c r="O769" s="39" t="n">
        <v>305.44</v>
      </c>
    </row>
    <row r="770">
      <c r="A770" t="inlineStr">
        <is>
          <t>ENC114982</t>
        </is>
      </c>
      <c r="B770" t="inlineStr">
        <is>
          <t>PT10375</t>
        </is>
      </c>
      <c r="C770" s="42" t="n">
        <v>45789</v>
      </c>
      <c r="D770" s="42" t="n">
        <v>45789</v>
      </c>
      <c r="E770" s="38" t="n">
        <v>0</v>
      </c>
      <c r="F770" t="inlineStr">
        <is>
          <t>Outpatient</t>
        </is>
      </c>
      <c r="G770" t="inlineStr">
        <is>
          <t>Bluestone Outpatient Pavilion</t>
        </is>
      </c>
      <c r="H770" t="inlineStr">
        <is>
          <t>Infusion &amp; Oncology Clinic</t>
        </is>
      </c>
      <c r="I770" t="inlineStr">
        <is>
          <t>Oncology</t>
        </is>
      </c>
      <c r="J770" t="inlineStr">
        <is>
          <t>Long, Fatima</t>
        </is>
      </c>
      <c r="K770" t="inlineStr">
        <is>
          <t>Z51.11</t>
        </is>
      </c>
      <c r="L770" t="inlineStr">
        <is>
          <t>Factors Influencing Health</t>
        </is>
      </c>
      <c r="M770" t="inlineStr">
        <is>
          <t>Medicare</t>
        </is>
      </c>
      <c r="N770" t="inlineStr">
        <is>
          <t>Government</t>
        </is>
      </c>
      <c r="O770" s="39" t="n">
        <v>6815.73</v>
      </c>
    </row>
    <row r="771">
      <c r="A771" t="inlineStr">
        <is>
          <t>ENC114987</t>
        </is>
      </c>
      <c r="B771" t="inlineStr">
        <is>
          <t>PT12218</t>
        </is>
      </c>
      <c r="C771" s="42" t="n">
        <v>45789</v>
      </c>
      <c r="D771" s="42" t="n">
        <v>45789</v>
      </c>
      <c r="E771" s="38" t="n">
        <v>0</v>
      </c>
      <c r="F771" t="inlineStr">
        <is>
          <t>Outpatient</t>
        </is>
      </c>
      <c r="G771" t="inlineStr">
        <is>
          <t>Bluestone Outpatient Pavilion</t>
        </is>
      </c>
      <c r="H771" t="inlineStr">
        <is>
          <t>Primary Care Clinic</t>
        </is>
      </c>
      <c r="I771" t="inlineStr">
        <is>
          <t>Ambulatory</t>
        </is>
      </c>
      <c r="J771" t="inlineStr">
        <is>
          <t>Fisher, Brandon</t>
        </is>
      </c>
      <c r="K771" t="inlineStr">
        <is>
          <t>J45.909</t>
        </is>
      </c>
      <c r="L771" t="inlineStr">
        <is>
          <t>Respiratory</t>
        </is>
      </c>
      <c r="M771" t="inlineStr">
        <is>
          <t>State Medicaid</t>
        </is>
      </c>
      <c r="N771" t="inlineStr">
        <is>
          <t>Government</t>
        </is>
      </c>
      <c r="O771" s="39" t="n">
        <v>357.41</v>
      </c>
    </row>
    <row r="772">
      <c r="A772" t="inlineStr">
        <is>
          <t>ENC114996</t>
        </is>
      </c>
      <c r="B772" t="inlineStr">
        <is>
          <t>PT11803</t>
        </is>
      </c>
      <c r="C772" s="42" t="n">
        <v>45789</v>
      </c>
      <c r="D772" s="42" t="n">
        <v>45789</v>
      </c>
      <c r="E772" s="38" t="n">
        <v>0</v>
      </c>
      <c r="F772" t="inlineStr">
        <is>
          <t>Emergency</t>
        </is>
      </c>
      <c r="G772" t="inlineStr">
        <is>
          <t>Bluestone Memorial Hospital</t>
        </is>
      </c>
      <c r="H772" t="inlineStr">
        <is>
          <t>Emergency Department</t>
        </is>
      </c>
      <c r="I772" t="inlineStr">
        <is>
          <t>Emergency</t>
        </is>
      </c>
      <c r="J772" t="inlineStr">
        <is>
          <t>Cruz, Mia</t>
        </is>
      </c>
      <c r="K772" t="inlineStr">
        <is>
          <t>M54.50</t>
        </is>
      </c>
      <c r="L772" t="inlineStr">
        <is>
          <t>Musculoskeletal</t>
        </is>
      </c>
      <c r="M772" t="inlineStr">
        <is>
          <t>State Medicaid</t>
        </is>
      </c>
      <c r="N772" t="inlineStr">
        <is>
          <t>Government</t>
        </is>
      </c>
      <c r="O772" s="39" t="n">
        <v>4120.17</v>
      </c>
    </row>
    <row r="773">
      <c r="A773" t="inlineStr">
        <is>
          <t>ENC115000</t>
        </is>
      </c>
      <c r="B773" t="inlineStr">
        <is>
          <t>PT10255</t>
        </is>
      </c>
      <c r="C773" s="42" t="n">
        <v>45790</v>
      </c>
      <c r="D773" s="42" t="n">
        <v>45790</v>
      </c>
      <c r="E773" s="38" t="n">
        <v>0</v>
      </c>
      <c r="F773" t="inlineStr">
        <is>
          <t>Emergency</t>
        </is>
      </c>
      <c r="G773" t="inlineStr">
        <is>
          <t>Ashby Falls Community Hospital</t>
        </is>
      </c>
      <c r="H773" t="inlineStr">
        <is>
          <t>Emergency Department</t>
        </is>
      </c>
      <c r="I773" t="inlineStr">
        <is>
          <t>Emergency</t>
        </is>
      </c>
      <c r="J773" t="inlineStr">
        <is>
          <t>Collins, Frank</t>
        </is>
      </c>
      <c r="K773" t="inlineStr">
        <is>
          <t>L03.115</t>
        </is>
      </c>
      <c r="L773" t="inlineStr">
        <is>
          <t>Skin</t>
        </is>
      </c>
      <c r="M773" t="inlineStr">
        <is>
          <t>Silverline Medicare Advantage</t>
        </is>
      </c>
      <c r="N773" t="inlineStr">
        <is>
          <t>Medicare Advantage</t>
        </is>
      </c>
      <c r="O773" s="39" t="n">
        <v>1764.41</v>
      </c>
    </row>
    <row r="774">
      <c r="A774" t="inlineStr">
        <is>
          <t>ENC115004</t>
        </is>
      </c>
      <c r="B774" t="inlineStr">
        <is>
          <t>PT13921</t>
        </is>
      </c>
      <c r="C774" s="42" t="n">
        <v>45790</v>
      </c>
      <c r="D774" s="42" t="n">
        <v>45790</v>
      </c>
      <c r="E774" s="38" t="n">
        <v>0</v>
      </c>
      <c r="F774" t="inlineStr">
        <is>
          <t>Outpatient</t>
        </is>
      </c>
      <c r="G774" t="inlineStr">
        <is>
          <t>Bluestone Outpatient Pavilion</t>
        </is>
      </c>
      <c r="H774" t="inlineStr">
        <is>
          <t>Primary Care Clinic</t>
        </is>
      </c>
      <c r="I774" t="inlineStr">
        <is>
          <t>Ambulatory</t>
        </is>
      </c>
      <c r="J774" t="inlineStr">
        <is>
          <t>Myers, Lucia</t>
        </is>
      </c>
      <c r="K774" t="inlineStr">
        <is>
          <t>E78.5</t>
        </is>
      </c>
      <c r="L774" t="inlineStr">
        <is>
          <t>Endocrine</t>
        </is>
      </c>
      <c r="M774" t="inlineStr">
        <is>
          <t>Keystone Health Partners</t>
        </is>
      </c>
      <c r="N774" t="inlineStr">
        <is>
          <t>Commercial</t>
        </is>
      </c>
      <c r="O774" s="39" t="n">
        <v>308.45</v>
      </c>
    </row>
    <row r="775">
      <c r="A775" t="inlineStr">
        <is>
          <t>ENC115001</t>
        </is>
      </c>
      <c r="B775" t="inlineStr">
        <is>
          <t>PT12981</t>
        </is>
      </c>
      <c r="C775" s="42" t="n">
        <v>45790</v>
      </c>
      <c r="D775" s="42" t="n">
        <v>45794</v>
      </c>
      <c r="E775" s="38" t="n">
        <v>4</v>
      </c>
      <c r="F775" t="inlineStr">
        <is>
          <t>Inpatient</t>
        </is>
      </c>
      <c r="G775" t="inlineStr">
        <is>
          <t>Bluestone Memorial Hospital</t>
        </is>
      </c>
      <c r="H775" t="inlineStr">
        <is>
          <t>Cardiac Step-Down</t>
        </is>
      </c>
      <c r="I775" t="inlineStr">
        <is>
          <t>Cardiovascular</t>
        </is>
      </c>
      <c r="J775" t="inlineStr">
        <is>
          <t>Vasquez, Jose</t>
        </is>
      </c>
      <c r="K775" t="inlineStr">
        <is>
          <t>I21.4</t>
        </is>
      </c>
      <c r="L775" t="inlineStr">
        <is>
          <t>Circulatory</t>
        </is>
      </c>
      <c r="M775" t="inlineStr">
        <is>
          <t>Evergreen Mutual Insurance</t>
        </is>
      </c>
      <c r="N775" t="inlineStr">
        <is>
          <t>Commercial</t>
        </is>
      </c>
      <c r="O775" s="39" t="n">
        <v>53099.89</v>
      </c>
      <c r="P775" t="inlineStr">
        <is>
          <t>N</t>
        </is>
      </c>
    </row>
    <row r="776">
      <c r="A776" t="inlineStr">
        <is>
          <t>ENC115008</t>
        </is>
      </c>
      <c r="B776" t="inlineStr">
        <is>
          <t>PT12954</t>
        </is>
      </c>
      <c r="C776" s="42" t="n">
        <v>45790</v>
      </c>
      <c r="D776" s="42" t="n">
        <v>45790</v>
      </c>
      <c r="E776" s="38" t="n">
        <v>0</v>
      </c>
      <c r="F776" t="inlineStr">
        <is>
          <t>Outpatient</t>
        </is>
      </c>
      <c r="G776" t="inlineStr">
        <is>
          <t>Bluestone Outpatient Pavilion</t>
        </is>
      </c>
      <c r="H776" t="inlineStr">
        <is>
          <t>Endocrinology &amp; Diabetes Clinic</t>
        </is>
      </c>
      <c r="I776" t="inlineStr">
        <is>
          <t>Ambulatory</t>
        </is>
      </c>
      <c r="J776" t="inlineStr">
        <is>
          <t>Woods, Larry</t>
        </is>
      </c>
      <c r="K776" t="inlineStr">
        <is>
          <t>E11.9</t>
        </is>
      </c>
      <c r="L776" t="inlineStr">
        <is>
          <t>Endocrine</t>
        </is>
      </c>
      <c r="M776" t="inlineStr">
        <is>
          <t>Summit Choice PPO</t>
        </is>
      </c>
      <c r="N776" t="inlineStr">
        <is>
          <t>Commercial</t>
        </is>
      </c>
      <c r="O776" s="39" t="n">
        <v>353.15</v>
      </c>
    </row>
    <row r="777">
      <c r="A777" t="inlineStr">
        <is>
          <t>ENC115009</t>
        </is>
      </c>
      <c r="B777" t="inlineStr">
        <is>
          <t>PT10544</t>
        </is>
      </c>
      <c r="C777" s="42" t="n">
        <v>45790</v>
      </c>
      <c r="D777" s="42" t="n">
        <v>45790</v>
      </c>
      <c r="E777" s="38" t="n">
        <v>0</v>
      </c>
      <c r="F777" t="inlineStr">
        <is>
          <t>Outpatient</t>
        </is>
      </c>
      <c r="G777" t="inlineStr">
        <is>
          <t>Bluestone Outpatient Pavilion</t>
        </is>
      </c>
      <c r="H777" t="inlineStr">
        <is>
          <t>Primary Care Clinic</t>
        </is>
      </c>
      <c r="I777" t="inlineStr">
        <is>
          <t>Ambulatory</t>
        </is>
      </c>
      <c r="J777" t="inlineStr">
        <is>
          <t>Bennett, Randy</t>
        </is>
      </c>
      <c r="K777" t="inlineStr">
        <is>
          <t>M54.50</t>
        </is>
      </c>
      <c r="L777" t="inlineStr">
        <is>
          <t>Musculoskeletal</t>
        </is>
      </c>
      <c r="M777" t="inlineStr">
        <is>
          <t>Self-Pay</t>
        </is>
      </c>
      <c r="N777" t="inlineStr">
        <is>
          <t>Self-Pay</t>
        </is>
      </c>
      <c r="O777" s="39" t="n">
        <v>163.32</v>
      </c>
    </row>
    <row r="778">
      <c r="A778" t="inlineStr">
        <is>
          <t>ENC115010</t>
        </is>
      </c>
      <c r="B778" t="inlineStr">
        <is>
          <t>PT11064</t>
        </is>
      </c>
      <c r="C778" s="42" t="n">
        <v>45790</v>
      </c>
      <c r="D778" s="42" t="n">
        <v>45790</v>
      </c>
      <c r="E778" s="38" t="n">
        <v>0</v>
      </c>
      <c r="F778" t="inlineStr">
        <is>
          <t>Outpatient</t>
        </is>
      </c>
      <c r="G778" t="inlineStr">
        <is>
          <t>Bluestone Outpatient Pavilion</t>
        </is>
      </c>
      <c r="H778" t="inlineStr">
        <is>
          <t>Primary Care Clinic</t>
        </is>
      </c>
      <c r="I778" t="inlineStr">
        <is>
          <t>Ambulatory</t>
        </is>
      </c>
      <c r="J778" t="inlineStr">
        <is>
          <t>Arnold, Catherine</t>
        </is>
      </c>
      <c r="K778" t="inlineStr">
        <is>
          <t>J06.9</t>
        </is>
      </c>
      <c r="L778" t="inlineStr">
        <is>
          <t>Respiratory</t>
        </is>
      </c>
      <c r="M778" t="inlineStr">
        <is>
          <t>Keystone Health Partners</t>
        </is>
      </c>
      <c r="N778" t="inlineStr">
        <is>
          <t>Commercial</t>
        </is>
      </c>
      <c r="O778" s="39" t="n">
        <v>367.34</v>
      </c>
    </row>
    <row r="779">
      <c r="A779" t="inlineStr">
        <is>
          <t>ENC115020</t>
        </is>
      </c>
      <c r="B779" t="inlineStr">
        <is>
          <t>PT11281</t>
        </is>
      </c>
      <c r="C779" s="42" t="n">
        <v>45790</v>
      </c>
      <c r="D779" s="42" t="n">
        <v>45790</v>
      </c>
      <c r="E779" s="38" t="n">
        <v>0</v>
      </c>
      <c r="F779" t="inlineStr">
        <is>
          <t>Outpatient</t>
        </is>
      </c>
      <c r="G779" t="inlineStr">
        <is>
          <t>Bluestone Outpatient Pavilion</t>
        </is>
      </c>
      <c r="H779" t="inlineStr">
        <is>
          <t>Primary Care Clinic</t>
        </is>
      </c>
      <c r="I779" t="inlineStr">
        <is>
          <t>Ambulatory</t>
        </is>
      </c>
      <c r="J779" t="inlineStr">
        <is>
          <t>Torres, Rebecca</t>
        </is>
      </c>
      <c r="K779" t="inlineStr">
        <is>
          <t>I10</t>
        </is>
      </c>
      <c r="L779" t="inlineStr">
        <is>
          <t>Circulatory</t>
        </is>
      </c>
      <c r="M779" t="inlineStr">
        <is>
          <t>Medicare</t>
        </is>
      </c>
      <c r="N779" t="inlineStr">
        <is>
          <t>Government</t>
        </is>
      </c>
      <c r="O779" s="39" t="n">
        <v>688.97</v>
      </c>
    </row>
    <row r="780">
      <c r="A780" t="inlineStr">
        <is>
          <t>ENC115042</t>
        </is>
      </c>
      <c r="B780" t="inlineStr">
        <is>
          <t>PT11986</t>
        </is>
      </c>
      <c r="C780" s="42" t="n">
        <v>45791</v>
      </c>
      <c r="D780" s="42" t="n">
        <v>45791</v>
      </c>
      <c r="E780" s="38" t="n">
        <v>0</v>
      </c>
      <c r="F780" t="inlineStr">
        <is>
          <t>Emergency</t>
        </is>
      </c>
      <c r="G780" t="inlineStr">
        <is>
          <t>Ashby Falls Community Hospital</t>
        </is>
      </c>
      <c r="H780" t="inlineStr">
        <is>
          <t>Emergency Department</t>
        </is>
      </c>
      <c r="I780" t="inlineStr">
        <is>
          <t>Emergency</t>
        </is>
      </c>
      <c r="J780" t="inlineStr">
        <is>
          <t>Marshall, Lisa</t>
        </is>
      </c>
      <c r="K780" t="inlineStr">
        <is>
          <t>U07.1</t>
        </is>
      </c>
      <c r="L780" t="inlineStr">
        <is>
          <t>Respiratory</t>
        </is>
      </c>
      <c r="M780" t="inlineStr">
        <is>
          <t>State Medicaid</t>
        </is>
      </c>
      <c r="N780" t="inlineStr">
        <is>
          <t>Government</t>
        </is>
      </c>
      <c r="O780" s="39" t="n">
        <v>1491.66</v>
      </c>
    </row>
    <row r="781">
      <c r="A781" t="inlineStr">
        <is>
          <t>ENC115043</t>
        </is>
      </c>
      <c r="B781" t="inlineStr">
        <is>
          <t>PT10120</t>
        </is>
      </c>
      <c r="C781" s="42" t="n">
        <v>45791</v>
      </c>
      <c r="D781" s="42" t="n">
        <v>45791</v>
      </c>
      <c r="E781" s="38" t="n">
        <v>0</v>
      </c>
      <c r="F781" t="inlineStr">
        <is>
          <t>Emergency</t>
        </is>
      </c>
      <c r="G781" t="inlineStr">
        <is>
          <t>Bluestone Memorial Hospital</t>
        </is>
      </c>
      <c r="H781" t="inlineStr">
        <is>
          <t>Emergency Department</t>
        </is>
      </c>
      <c r="I781" t="inlineStr">
        <is>
          <t>Emergency</t>
        </is>
      </c>
      <c r="J781" t="inlineStr">
        <is>
          <t>Elliott, Jesse</t>
        </is>
      </c>
      <c r="K781" t="inlineStr">
        <is>
          <t>G40.909</t>
        </is>
      </c>
      <c r="L781" t="inlineStr">
        <is>
          <t>Nervous System</t>
        </is>
      </c>
      <c r="M781" t="inlineStr">
        <is>
          <t>Evergreen Mutual Insurance</t>
        </is>
      </c>
      <c r="N781" t="inlineStr">
        <is>
          <t>Commercial</t>
        </is>
      </c>
      <c r="O781" s="39" t="n">
        <v>3328.77</v>
      </c>
    </row>
    <row r="782">
      <c r="A782" t="inlineStr">
        <is>
          <t>ENC115045</t>
        </is>
      </c>
      <c r="B782" t="inlineStr">
        <is>
          <t>PT11786</t>
        </is>
      </c>
      <c r="C782" s="42" t="n">
        <v>45791</v>
      </c>
      <c r="D782" s="42" t="n">
        <v>45793</v>
      </c>
      <c r="E782" s="38" t="n">
        <v>2</v>
      </c>
      <c r="F782" t="inlineStr">
        <is>
          <t>Inpatient</t>
        </is>
      </c>
      <c r="G782" t="inlineStr">
        <is>
          <t>Bluestone Memorial Hospital</t>
        </is>
      </c>
      <c r="H782" t="inlineStr">
        <is>
          <t>Orthopedics &amp; Spine</t>
        </is>
      </c>
      <c r="I782" t="inlineStr">
        <is>
          <t>Orthopedics</t>
        </is>
      </c>
      <c r="J782" t="inlineStr">
        <is>
          <t>Santos, Grace</t>
        </is>
      </c>
      <c r="K782" t="inlineStr">
        <is>
          <t>M17.11</t>
        </is>
      </c>
      <c r="L782" t="inlineStr">
        <is>
          <t>Musculoskeletal</t>
        </is>
      </c>
      <c r="M782" t="inlineStr">
        <is>
          <t>Silverline Medicare Advantage</t>
        </is>
      </c>
      <c r="N782" t="inlineStr">
        <is>
          <t>Medicare Advantage</t>
        </is>
      </c>
      <c r="O782" s="39" t="n">
        <v>34658.11</v>
      </c>
      <c r="P782" t="inlineStr">
        <is>
          <t>N</t>
        </is>
      </c>
    </row>
    <row r="783">
      <c r="A783" t="inlineStr">
        <is>
          <t>ENC115046</t>
        </is>
      </c>
      <c r="B783" t="inlineStr">
        <is>
          <t>PT12069</t>
        </is>
      </c>
      <c r="C783" s="42" t="n">
        <v>45791</v>
      </c>
      <c r="D783" s="42" t="n">
        <v>45797</v>
      </c>
      <c r="E783" s="38" t="n">
        <v>6</v>
      </c>
      <c r="F783" t="inlineStr">
        <is>
          <t>Inpatient</t>
        </is>
      </c>
      <c r="G783" t="inlineStr">
        <is>
          <t>Bluestone Memorial Hospital</t>
        </is>
      </c>
      <c r="H783" t="inlineStr">
        <is>
          <t>Medical-Surgical 4 West</t>
        </is>
      </c>
      <c r="I783" t="inlineStr">
        <is>
          <t>Medicine</t>
        </is>
      </c>
      <c r="J783" t="inlineStr">
        <is>
          <t>Ramirez, Emma</t>
        </is>
      </c>
      <c r="K783" t="inlineStr">
        <is>
          <t>J18.9</t>
        </is>
      </c>
      <c r="L783" t="inlineStr">
        <is>
          <t>Respiratory</t>
        </is>
      </c>
      <c r="M783" t="inlineStr">
        <is>
          <t>Medicare</t>
        </is>
      </c>
      <c r="N783" t="inlineStr">
        <is>
          <t>Government</t>
        </is>
      </c>
      <c r="O783" s="39" t="n">
        <v>39479.84</v>
      </c>
      <c r="P783" t="inlineStr">
        <is>
          <t>N</t>
        </is>
      </c>
    </row>
    <row r="784">
      <c r="A784" t="inlineStr">
        <is>
          <t>ENC115063</t>
        </is>
      </c>
      <c r="B784" t="inlineStr">
        <is>
          <t>PT13225</t>
        </is>
      </c>
      <c r="C784" s="42" t="n">
        <v>45791</v>
      </c>
      <c r="D784" s="42" t="n">
        <v>45791</v>
      </c>
      <c r="E784" s="38" t="n">
        <v>0</v>
      </c>
      <c r="F784" t="inlineStr">
        <is>
          <t>Outpatient</t>
        </is>
      </c>
      <c r="G784" t="inlineStr">
        <is>
          <t>Bluestone Outpatient Pavilion</t>
        </is>
      </c>
      <c r="H784" t="inlineStr">
        <is>
          <t>Primary Care Clinic</t>
        </is>
      </c>
      <c r="I784" t="inlineStr">
        <is>
          <t>Ambulatory</t>
        </is>
      </c>
      <c r="J784" t="inlineStr">
        <is>
          <t>Bennett, Randy</t>
        </is>
      </c>
      <c r="K784" t="inlineStr">
        <is>
          <t>Z00.00</t>
        </is>
      </c>
      <c r="L784" t="inlineStr">
        <is>
          <t>Factors Influencing Health</t>
        </is>
      </c>
      <c r="M784" t="inlineStr">
        <is>
          <t>Evergreen Mutual Insurance</t>
        </is>
      </c>
      <c r="N784" t="inlineStr">
        <is>
          <t>Commercial</t>
        </is>
      </c>
      <c r="O784" s="39" t="n">
        <v>330.67</v>
      </c>
    </row>
    <row r="785">
      <c r="A785" t="inlineStr">
        <is>
          <t>ENC115068</t>
        </is>
      </c>
      <c r="B785" t="inlineStr">
        <is>
          <t>PT10356</t>
        </is>
      </c>
      <c r="C785" s="42" t="n">
        <v>45791</v>
      </c>
      <c r="D785" s="42" t="n">
        <v>45791</v>
      </c>
      <c r="E785" s="38" t="n">
        <v>0</v>
      </c>
      <c r="F785" t="inlineStr">
        <is>
          <t>Emergency</t>
        </is>
      </c>
      <c r="G785" t="inlineStr">
        <is>
          <t>Bluestone Memorial Hospital</t>
        </is>
      </c>
      <c r="H785" t="inlineStr">
        <is>
          <t>Emergency Department</t>
        </is>
      </c>
      <c r="I785" t="inlineStr">
        <is>
          <t>Emergency</t>
        </is>
      </c>
      <c r="J785" t="inlineStr">
        <is>
          <t>Gonzales, Mia</t>
        </is>
      </c>
      <c r="K785" t="inlineStr">
        <is>
          <t>J06.9</t>
        </is>
      </c>
      <c r="L785" t="inlineStr">
        <is>
          <t>Respiratory</t>
        </is>
      </c>
      <c r="M785" t="inlineStr">
        <is>
          <t>Medicare</t>
        </is>
      </c>
      <c r="N785" t="inlineStr">
        <is>
          <t>Government</t>
        </is>
      </c>
      <c r="O785" s="39" t="n">
        <v>820.23</v>
      </c>
    </row>
    <row r="786">
      <c r="A786" t="inlineStr">
        <is>
          <t>ENC115060</t>
        </is>
      </c>
      <c r="B786" t="inlineStr">
        <is>
          <t>PT12896</t>
        </is>
      </c>
      <c r="C786" s="42" t="n">
        <v>45791</v>
      </c>
      <c r="D786" s="42" t="n">
        <v>45795</v>
      </c>
      <c r="E786" s="38" t="n">
        <v>4</v>
      </c>
      <c r="F786" t="inlineStr">
        <is>
          <t>Inpatient</t>
        </is>
      </c>
      <c r="G786" t="inlineStr">
        <is>
          <t>Cedar Ridge Medical Center</t>
        </is>
      </c>
      <c r="H786" t="inlineStr">
        <is>
          <t>Medical-Surgical</t>
        </is>
      </c>
      <c r="I786" t="inlineStr">
        <is>
          <t>Medicine</t>
        </is>
      </c>
      <c r="J786" t="inlineStr">
        <is>
          <t>Payne, Tyler</t>
        </is>
      </c>
      <c r="K786" t="inlineStr">
        <is>
          <t>J18.9</t>
        </is>
      </c>
      <c r="L786" t="inlineStr">
        <is>
          <t>Respiratory</t>
        </is>
      </c>
      <c r="M786" t="inlineStr">
        <is>
          <t>Silverline Medicare Advantage</t>
        </is>
      </c>
      <c r="N786" t="inlineStr">
        <is>
          <t>Medicare Advantage</t>
        </is>
      </c>
      <c r="O786" s="39" t="n">
        <v>22256.82</v>
      </c>
      <c r="P786" t="inlineStr">
        <is>
          <t>N</t>
        </is>
      </c>
    </row>
    <row r="787">
      <c r="A787" t="inlineStr">
        <is>
          <t>ENC115071</t>
        </is>
      </c>
      <c r="B787" t="inlineStr">
        <is>
          <t>PT13500</t>
        </is>
      </c>
      <c r="C787" s="42" t="n">
        <v>45791</v>
      </c>
      <c r="D787" s="42" t="n">
        <v>45791</v>
      </c>
      <c r="E787" s="38" t="n">
        <v>0</v>
      </c>
      <c r="F787" t="inlineStr">
        <is>
          <t>Outpatient</t>
        </is>
      </c>
      <c r="G787" t="inlineStr">
        <is>
          <t>Bluestone Outpatient Pavilion</t>
        </is>
      </c>
      <c r="H787" t="inlineStr">
        <is>
          <t>Primary Care Clinic</t>
        </is>
      </c>
      <c r="I787" t="inlineStr">
        <is>
          <t>Ambulatory</t>
        </is>
      </c>
      <c r="J787" t="inlineStr">
        <is>
          <t>Chen, Mei</t>
        </is>
      </c>
      <c r="K787" t="inlineStr">
        <is>
          <t>F41.9</t>
        </is>
      </c>
      <c r="L787" t="inlineStr">
        <is>
          <t>Mental &amp; Behavioral</t>
        </is>
      </c>
      <c r="M787" t="inlineStr">
        <is>
          <t>Medicare</t>
        </is>
      </c>
      <c r="N787" t="inlineStr">
        <is>
          <t>Government</t>
        </is>
      </c>
      <c r="O787" s="39" t="n">
        <v>450.77</v>
      </c>
    </row>
    <row r="788">
      <c r="A788" t="inlineStr">
        <is>
          <t>ENC115076</t>
        </is>
      </c>
      <c r="B788" t="inlineStr">
        <is>
          <t>PT10718</t>
        </is>
      </c>
      <c r="C788" s="42" t="n">
        <v>45791</v>
      </c>
      <c r="D788" s="42" t="n">
        <v>45805</v>
      </c>
      <c r="E788" s="38" t="n">
        <v>14</v>
      </c>
      <c r="F788" t="inlineStr">
        <is>
          <t>Inpatient</t>
        </is>
      </c>
      <c r="G788" t="inlineStr">
        <is>
          <t>Bluestone Memorial Hospital</t>
        </is>
      </c>
      <c r="H788" t="inlineStr">
        <is>
          <t>Intensive Care Unit</t>
        </is>
      </c>
      <c r="I788" t="inlineStr">
        <is>
          <t>Critical Care</t>
        </is>
      </c>
      <c r="J788" t="inlineStr">
        <is>
          <t>Allen, Grace</t>
        </is>
      </c>
      <c r="K788" t="inlineStr">
        <is>
          <t>J96.01</t>
        </is>
      </c>
      <c r="L788" t="inlineStr">
        <is>
          <t>Respiratory</t>
        </is>
      </c>
      <c r="M788" t="inlineStr">
        <is>
          <t>State Medicaid</t>
        </is>
      </c>
      <c r="N788" t="inlineStr">
        <is>
          <t>Government</t>
        </is>
      </c>
      <c r="O788" s="39" t="n">
        <v>101646.43</v>
      </c>
      <c r="P788" t="inlineStr">
        <is>
          <t>Y</t>
        </is>
      </c>
    </row>
    <row r="789">
      <c r="A789" t="inlineStr">
        <is>
          <t>ENC115080</t>
        </is>
      </c>
      <c r="B789" t="inlineStr">
        <is>
          <t>PT13253</t>
        </is>
      </c>
      <c r="C789" s="42" t="n">
        <v>45791</v>
      </c>
      <c r="D789" s="42" t="n">
        <v>45792</v>
      </c>
      <c r="E789" s="38" t="n">
        <v>1</v>
      </c>
      <c r="F789" t="inlineStr">
        <is>
          <t>Emergency</t>
        </is>
      </c>
      <c r="G789" t="inlineStr">
        <is>
          <t>Bluestone Memorial Hospital</t>
        </is>
      </c>
      <c r="H789" t="inlineStr">
        <is>
          <t>Emergency Department</t>
        </is>
      </c>
      <c r="I789" t="inlineStr">
        <is>
          <t>Emergency</t>
        </is>
      </c>
      <c r="J789" t="inlineStr">
        <is>
          <t>Elliott, Jesse</t>
        </is>
      </c>
      <c r="K789" t="inlineStr">
        <is>
          <t>R10.9</t>
        </is>
      </c>
      <c r="L789" t="inlineStr">
        <is>
          <t>Symptoms &amp; Signs</t>
        </is>
      </c>
      <c r="M789" t="inlineStr">
        <is>
          <t>Silverline Medicare Advantage</t>
        </is>
      </c>
      <c r="N789" t="inlineStr">
        <is>
          <t>Medicare Advantage</t>
        </is>
      </c>
      <c r="O789" s="39" t="n">
        <v>3878.96</v>
      </c>
    </row>
    <row r="790">
      <c r="A790" t="inlineStr">
        <is>
          <t>ENC115091</t>
        </is>
      </c>
      <c r="B790" t="inlineStr">
        <is>
          <t>PT10997</t>
        </is>
      </c>
      <c r="C790" s="42" t="n">
        <v>45792</v>
      </c>
      <c r="D790" s="42" t="n">
        <v>45792</v>
      </c>
      <c r="E790" s="38" t="n">
        <v>0</v>
      </c>
      <c r="F790" t="inlineStr">
        <is>
          <t>Outpatient</t>
        </is>
      </c>
      <c r="G790" t="inlineStr">
        <is>
          <t>Bluestone Outpatient Pavilion</t>
        </is>
      </c>
      <c r="H790" t="inlineStr">
        <is>
          <t>Infusion &amp; Oncology Clinic</t>
        </is>
      </c>
      <c r="I790" t="inlineStr">
        <is>
          <t>Oncology</t>
        </is>
      </c>
      <c r="J790" t="inlineStr">
        <is>
          <t>Long, Fatima</t>
        </is>
      </c>
      <c r="K790" t="inlineStr">
        <is>
          <t>Z51.11</t>
        </is>
      </c>
      <c r="L790" t="inlineStr">
        <is>
          <t>Factors Influencing Health</t>
        </is>
      </c>
      <c r="M790" t="inlineStr">
        <is>
          <t>State Medicaid</t>
        </is>
      </c>
      <c r="N790" t="inlineStr">
        <is>
          <t>Government</t>
        </is>
      </c>
      <c r="O790" s="39" t="n">
        <v>5920.91</v>
      </c>
    </row>
    <row r="791">
      <c r="A791" t="inlineStr">
        <is>
          <t>ENC115095</t>
        </is>
      </c>
      <c r="B791" t="inlineStr">
        <is>
          <t>PT10702</t>
        </is>
      </c>
      <c r="C791" s="42" t="n">
        <v>45792</v>
      </c>
      <c r="D791" s="42" t="n">
        <v>45794</v>
      </c>
      <c r="E791" s="38" t="n">
        <v>2</v>
      </c>
      <c r="F791" t="inlineStr">
        <is>
          <t>Observation</t>
        </is>
      </c>
      <c r="G791" t="inlineStr">
        <is>
          <t>Bluestone Memorial Hospital</t>
        </is>
      </c>
      <c r="H791" t="inlineStr">
        <is>
          <t>Observation Unit</t>
        </is>
      </c>
      <c r="I791" t="inlineStr">
        <is>
          <t>Medicine</t>
        </is>
      </c>
      <c r="J791" t="inlineStr">
        <is>
          <t>Abdi, Hassan</t>
        </is>
      </c>
      <c r="K791" t="inlineStr">
        <is>
          <t>E11.65</t>
        </is>
      </c>
      <c r="L791" t="inlineStr">
        <is>
          <t>Endocrine</t>
        </is>
      </c>
      <c r="M791" t="inlineStr">
        <is>
          <t>Keystone Health Partners</t>
        </is>
      </c>
      <c r="N791" t="inlineStr">
        <is>
          <t>Commercial</t>
        </is>
      </c>
      <c r="O791" s="39" t="n">
        <v>10573.16</v>
      </c>
    </row>
    <row r="792">
      <c r="A792" t="inlineStr">
        <is>
          <t>ENC115101</t>
        </is>
      </c>
      <c r="B792" t="inlineStr">
        <is>
          <t>PT10635</t>
        </is>
      </c>
      <c r="C792" s="42" t="n">
        <v>45792</v>
      </c>
      <c r="D792" s="42" t="n">
        <v>45795</v>
      </c>
      <c r="E792" s="38" t="n">
        <v>3</v>
      </c>
      <c r="F792" t="inlineStr">
        <is>
          <t>Inpatient</t>
        </is>
      </c>
      <c r="G792" t="inlineStr">
        <is>
          <t>Bluestone Memorial Hospital</t>
        </is>
      </c>
      <c r="H792" t="inlineStr">
        <is>
          <t>Medical-Surgical 5 East</t>
        </is>
      </c>
      <c r="I792" t="inlineStr">
        <is>
          <t>Medicine</t>
        </is>
      </c>
      <c r="J792" t="inlineStr">
        <is>
          <t>Hunt, Richard</t>
        </is>
      </c>
      <c r="K792" t="inlineStr">
        <is>
          <t>E87.1</t>
        </is>
      </c>
      <c r="L792" t="inlineStr">
        <is>
          <t>Endocrine</t>
        </is>
      </c>
      <c r="M792" t="inlineStr">
        <is>
          <t>Silverline Medicare Advantage</t>
        </is>
      </c>
      <c r="N792" t="inlineStr">
        <is>
          <t>Medicare Advantage</t>
        </is>
      </c>
      <c r="O792" s="39" t="n">
        <v>10465.4</v>
      </c>
      <c r="P792" t="inlineStr">
        <is>
          <t>N</t>
        </is>
      </c>
    </row>
    <row r="793">
      <c r="A793" t="inlineStr">
        <is>
          <t>ENC115100</t>
        </is>
      </c>
      <c r="B793" t="inlineStr">
        <is>
          <t>PT11976</t>
        </is>
      </c>
      <c r="C793" s="42" t="n">
        <v>45793</v>
      </c>
      <c r="D793" s="42" t="n">
        <v>45793</v>
      </c>
      <c r="E793" s="38" t="n">
        <v>0</v>
      </c>
      <c r="F793" t="inlineStr">
        <is>
          <t>Observation</t>
        </is>
      </c>
      <c r="G793" t="inlineStr">
        <is>
          <t>Ashby Falls Community Hospital</t>
        </is>
      </c>
      <c r="H793" t="inlineStr">
        <is>
          <t>Medical-Surgical</t>
        </is>
      </c>
      <c r="I793" t="inlineStr">
        <is>
          <t>Medicine</t>
        </is>
      </c>
      <c r="J793" t="inlineStr">
        <is>
          <t>Carter, Karen</t>
        </is>
      </c>
      <c r="K793" t="inlineStr">
        <is>
          <t>R07.9</t>
        </is>
      </c>
      <c r="L793" t="inlineStr">
        <is>
          <t>Symptoms &amp; Signs</t>
        </is>
      </c>
      <c r="M793" t="inlineStr">
        <is>
          <t>Keystone Health Partners</t>
        </is>
      </c>
      <c r="N793" t="inlineStr">
        <is>
          <t>Commercial</t>
        </is>
      </c>
      <c r="O793" s="39" t="n">
        <v>10603.66</v>
      </c>
    </row>
    <row r="794">
      <c r="A794" t="inlineStr">
        <is>
          <t>ENC115107</t>
        </is>
      </c>
      <c r="B794" t="inlineStr">
        <is>
          <t>PT13291</t>
        </is>
      </c>
      <c r="C794" s="42" t="n">
        <v>45793</v>
      </c>
      <c r="D794" s="42" t="n">
        <v>45793</v>
      </c>
      <c r="E794" s="38" t="n">
        <v>0</v>
      </c>
      <c r="F794" t="inlineStr">
        <is>
          <t>Emergency</t>
        </is>
      </c>
      <c r="G794" t="inlineStr">
        <is>
          <t>Bluestone Memorial Hospital</t>
        </is>
      </c>
      <c r="H794" t="inlineStr">
        <is>
          <t>Emergency Department</t>
        </is>
      </c>
      <c r="I794" t="inlineStr">
        <is>
          <t>Emergency</t>
        </is>
      </c>
      <c r="J794" t="inlineStr">
        <is>
          <t>Ferguson, Roy</t>
        </is>
      </c>
      <c r="K794" t="inlineStr">
        <is>
          <t>H66.90</t>
        </is>
      </c>
      <c r="L794" t="inlineStr">
        <is>
          <t>Ear</t>
        </is>
      </c>
      <c r="M794" t="inlineStr">
        <is>
          <t>State Medicaid</t>
        </is>
      </c>
      <c r="N794" t="inlineStr">
        <is>
          <t>Government</t>
        </is>
      </c>
      <c r="O794" s="39" t="n">
        <v>1478.47</v>
      </c>
    </row>
    <row r="795">
      <c r="A795" t="inlineStr">
        <is>
          <t>ENC115114</t>
        </is>
      </c>
      <c r="B795" t="inlineStr">
        <is>
          <t>PT11493</t>
        </is>
      </c>
      <c r="C795" s="42" t="n">
        <v>45793</v>
      </c>
      <c r="D795" s="42" t="n">
        <v>45793</v>
      </c>
      <c r="E795" s="38" t="n">
        <v>0</v>
      </c>
      <c r="F795" t="inlineStr">
        <is>
          <t>Outpatient</t>
        </is>
      </c>
      <c r="G795" t="inlineStr">
        <is>
          <t>Bluestone Outpatient Pavilion</t>
        </is>
      </c>
      <c r="H795" t="inlineStr">
        <is>
          <t>Infusion &amp; Oncology Clinic</t>
        </is>
      </c>
      <c r="I795" t="inlineStr">
        <is>
          <t>Oncology</t>
        </is>
      </c>
      <c r="J795" t="inlineStr">
        <is>
          <t>Cooper, Logan</t>
        </is>
      </c>
      <c r="K795" t="inlineStr">
        <is>
          <t>C34.90</t>
        </is>
      </c>
      <c r="L795" t="inlineStr">
        <is>
          <t>Neoplasms</t>
        </is>
      </c>
      <c r="M795" t="inlineStr">
        <is>
          <t>Silverline Medicare Advantage</t>
        </is>
      </c>
      <c r="N795" t="inlineStr">
        <is>
          <t>Medicare Advantage</t>
        </is>
      </c>
      <c r="O795" s="39" t="n">
        <v>615.05</v>
      </c>
    </row>
    <row r="796">
      <c r="A796" t="inlineStr">
        <is>
          <t>ENC115115</t>
        </is>
      </c>
      <c r="B796" t="inlineStr">
        <is>
          <t>PT13601</t>
        </is>
      </c>
      <c r="C796" s="42" t="n">
        <v>45793</v>
      </c>
      <c r="D796" s="42" t="n">
        <v>45793</v>
      </c>
      <c r="E796" s="38" t="n">
        <v>0</v>
      </c>
      <c r="F796" t="inlineStr">
        <is>
          <t>Outpatient</t>
        </is>
      </c>
      <c r="G796" t="inlineStr">
        <is>
          <t>Bluestone Outpatient Pavilion</t>
        </is>
      </c>
      <c r="H796" t="inlineStr">
        <is>
          <t>Orthopedic Clinic</t>
        </is>
      </c>
      <c r="I796" t="inlineStr">
        <is>
          <t>Orthopedics</t>
        </is>
      </c>
      <c r="J796" t="inlineStr">
        <is>
          <t>Cox, Lori</t>
        </is>
      </c>
      <c r="K796" t="inlineStr">
        <is>
          <t>M16.11</t>
        </is>
      </c>
      <c r="L796" t="inlineStr">
        <is>
          <t>Musculoskeletal</t>
        </is>
      </c>
      <c r="M796" t="inlineStr">
        <is>
          <t>State Medicaid</t>
        </is>
      </c>
      <c r="N796" t="inlineStr">
        <is>
          <t>Government</t>
        </is>
      </c>
      <c r="O796" s="39" t="n">
        <v>301.64</v>
      </c>
    </row>
    <row r="797">
      <c r="A797" t="inlineStr">
        <is>
          <t>ENC115112</t>
        </is>
      </c>
      <c r="B797" t="inlineStr">
        <is>
          <t>PT11952</t>
        </is>
      </c>
      <c r="C797" s="42" t="n">
        <v>45793</v>
      </c>
      <c r="D797" s="42" t="n">
        <v>45798</v>
      </c>
      <c r="E797" s="38" t="n">
        <v>5</v>
      </c>
      <c r="F797" t="inlineStr">
        <is>
          <t>Inpatient</t>
        </is>
      </c>
      <c r="G797" t="inlineStr">
        <is>
          <t>Ashby Falls Community Hospital</t>
        </is>
      </c>
      <c r="H797" t="inlineStr">
        <is>
          <t>Medical-Surgical</t>
        </is>
      </c>
      <c r="I797" t="inlineStr">
        <is>
          <t>Medicine</t>
        </is>
      </c>
      <c r="J797" t="inlineStr">
        <is>
          <t>Carter, Karen</t>
        </is>
      </c>
      <c r="K797" t="inlineStr">
        <is>
          <t>I50.9</t>
        </is>
      </c>
      <c r="L797" t="inlineStr">
        <is>
          <t>Circulatory</t>
        </is>
      </c>
      <c r="M797" t="inlineStr">
        <is>
          <t>Silverline Medicare Advantage</t>
        </is>
      </c>
      <c r="N797" t="inlineStr">
        <is>
          <t>Medicare Advantage</t>
        </is>
      </c>
      <c r="O797" s="39" t="n">
        <v>48253.7</v>
      </c>
      <c r="P797" t="inlineStr">
        <is>
          <t>N</t>
        </is>
      </c>
    </row>
    <row r="798">
      <c r="A798" t="inlineStr">
        <is>
          <t>ENC115130</t>
        </is>
      </c>
      <c r="B798" t="inlineStr">
        <is>
          <t>PT10405</t>
        </is>
      </c>
      <c r="C798" s="42" t="n">
        <v>45793</v>
      </c>
      <c r="D798" s="42" t="n">
        <v>45802</v>
      </c>
      <c r="E798" s="38" t="n">
        <v>9</v>
      </c>
      <c r="F798" t="inlineStr">
        <is>
          <t>Inpatient</t>
        </is>
      </c>
      <c r="G798" t="inlineStr">
        <is>
          <t>Bluestone Memorial Hospital</t>
        </is>
      </c>
      <c r="H798" t="inlineStr">
        <is>
          <t>Intensive Care Unit</t>
        </is>
      </c>
      <c r="I798" t="inlineStr">
        <is>
          <t>Critical Care</t>
        </is>
      </c>
      <c r="J798" t="inlineStr">
        <is>
          <t>Bryant, Janet</t>
        </is>
      </c>
      <c r="K798" t="inlineStr">
        <is>
          <t>J96.01</t>
        </is>
      </c>
      <c r="L798" t="inlineStr">
        <is>
          <t>Respiratory</t>
        </is>
      </c>
      <c r="M798" t="inlineStr">
        <is>
          <t>Silverline Medicare Advantage</t>
        </is>
      </c>
      <c r="N798" t="inlineStr">
        <is>
          <t>Medicare Advantage</t>
        </is>
      </c>
      <c r="O798" s="39" t="n">
        <v>93485.55</v>
      </c>
      <c r="P798" t="inlineStr">
        <is>
          <t>N</t>
        </is>
      </c>
    </row>
    <row r="799">
      <c r="A799" t="inlineStr">
        <is>
          <t>ENC115139</t>
        </is>
      </c>
      <c r="B799" t="inlineStr">
        <is>
          <t>PT10603</t>
        </is>
      </c>
      <c r="C799" s="42" t="n">
        <v>45794</v>
      </c>
      <c r="D799" s="42" t="n">
        <v>45794</v>
      </c>
      <c r="E799" s="38" t="n">
        <v>0</v>
      </c>
      <c r="F799" t="inlineStr">
        <is>
          <t>Emergency</t>
        </is>
      </c>
      <c r="G799" t="inlineStr">
        <is>
          <t>Bluestone Memorial Hospital</t>
        </is>
      </c>
      <c r="H799" t="inlineStr">
        <is>
          <t>Emergency Department</t>
        </is>
      </c>
      <c r="I799" t="inlineStr">
        <is>
          <t>Emergency</t>
        </is>
      </c>
      <c r="J799" t="inlineStr">
        <is>
          <t>Elliott, Jesse</t>
        </is>
      </c>
      <c r="K799" t="inlineStr">
        <is>
          <t>F20.9</t>
        </is>
      </c>
      <c r="L799" t="inlineStr">
        <is>
          <t>Mental &amp; Behavioral</t>
        </is>
      </c>
      <c r="M799" t="inlineStr">
        <is>
          <t>Silverline Medicare Advantage</t>
        </is>
      </c>
      <c r="N799" t="inlineStr">
        <is>
          <t>Medicare Advantage</t>
        </is>
      </c>
      <c r="O799" s="39" t="n">
        <v>5527.57</v>
      </c>
    </row>
    <row r="800">
      <c r="A800" t="inlineStr">
        <is>
          <t>ENC115143</t>
        </is>
      </c>
      <c r="B800" t="inlineStr">
        <is>
          <t>PT11730</t>
        </is>
      </c>
      <c r="C800" s="42" t="n">
        <v>45794</v>
      </c>
      <c r="D800" s="42" t="n">
        <v>45794</v>
      </c>
      <c r="E800" s="38" t="n">
        <v>0</v>
      </c>
      <c r="F800" t="inlineStr">
        <is>
          <t>Emergency</t>
        </is>
      </c>
      <c r="G800" t="inlineStr">
        <is>
          <t>Cedar Ridge Medical Center</t>
        </is>
      </c>
      <c r="H800" t="inlineStr">
        <is>
          <t>Emergency Department</t>
        </is>
      </c>
      <c r="I800" t="inlineStr">
        <is>
          <t>Emergency</t>
        </is>
      </c>
      <c r="J800" t="inlineStr">
        <is>
          <t>Barnes, Gary</t>
        </is>
      </c>
      <c r="K800" t="inlineStr">
        <is>
          <t>J06.9</t>
        </is>
      </c>
      <c r="L800" t="inlineStr">
        <is>
          <t>Respiratory</t>
        </is>
      </c>
      <c r="M800" t="inlineStr">
        <is>
          <t>Self-Pay</t>
        </is>
      </c>
      <c r="N800" t="inlineStr">
        <is>
          <t>Self-Pay</t>
        </is>
      </c>
      <c r="O800" s="39" t="n">
        <v>996.95</v>
      </c>
    </row>
    <row r="801">
      <c r="A801" t="inlineStr">
        <is>
          <t>ENC115146</t>
        </is>
      </c>
      <c r="B801" t="inlineStr">
        <is>
          <t>PT12878</t>
        </is>
      </c>
      <c r="C801" s="42" t="n">
        <v>45794</v>
      </c>
      <c r="D801" s="42" t="n">
        <v>45801</v>
      </c>
      <c r="E801" s="38" t="n">
        <v>7</v>
      </c>
      <c r="F801" t="inlineStr">
        <is>
          <t>Inpatient</t>
        </is>
      </c>
      <c r="G801" t="inlineStr">
        <is>
          <t>Bluestone Memorial Hospital</t>
        </is>
      </c>
      <c r="H801" t="inlineStr">
        <is>
          <t>Medical-Surgical 4 West</t>
        </is>
      </c>
      <c r="I801" t="inlineStr">
        <is>
          <t>Medicine</t>
        </is>
      </c>
      <c r="J801" t="inlineStr">
        <is>
          <t>Abdi, Hassan</t>
        </is>
      </c>
      <c r="K801" t="inlineStr">
        <is>
          <t>N17.9</t>
        </is>
      </c>
      <c r="L801" t="inlineStr">
        <is>
          <t>Genitourinary</t>
        </is>
      </c>
      <c r="M801" t="inlineStr">
        <is>
          <t>Keystone Health Partners</t>
        </is>
      </c>
      <c r="N801" t="inlineStr">
        <is>
          <t>Commercial</t>
        </is>
      </c>
      <c r="O801" s="39" t="n">
        <v>34010.19</v>
      </c>
      <c r="P801" t="inlineStr">
        <is>
          <t>N</t>
        </is>
      </c>
    </row>
    <row r="802">
      <c r="A802" t="inlineStr">
        <is>
          <t>ENC115148</t>
        </is>
      </c>
      <c r="B802" t="inlineStr">
        <is>
          <t>PT12514</t>
        </is>
      </c>
      <c r="C802" s="42" t="n">
        <v>45794</v>
      </c>
      <c r="D802" s="42" t="n">
        <v>45796</v>
      </c>
      <c r="E802" s="38" t="n">
        <v>2</v>
      </c>
      <c r="F802" t="inlineStr">
        <is>
          <t>Observation</t>
        </is>
      </c>
      <c r="G802" t="inlineStr">
        <is>
          <t>Bluestone Memorial Hospital</t>
        </is>
      </c>
      <c r="H802" t="inlineStr">
        <is>
          <t>Observation Unit</t>
        </is>
      </c>
      <c r="I802" t="inlineStr">
        <is>
          <t>Medicine</t>
        </is>
      </c>
      <c r="J802" t="inlineStr">
        <is>
          <t>Soto, Michael</t>
        </is>
      </c>
      <c r="K802" t="inlineStr">
        <is>
          <t>J21.9</t>
        </is>
      </c>
      <c r="L802" t="inlineStr">
        <is>
          <t>Respiratory</t>
        </is>
      </c>
      <c r="M802" t="inlineStr">
        <is>
          <t>State Medicaid</t>
        </is>
      </c>
      <c r="N802" t="inlineStr">
        <is>
          <t>Government</t>
        </is>
      </c>
      <c r="O802" s="39" t="n">
        <v>15105.2</v>
      </c>
    </row>
    <row r="803">
      <c r="A803" t="inlineStr">
        <is>
          <t>ENC115151</t>
        </is>
      </c>
      <c r="B803" t="inlineStr">
        <is>
          <t>PT12021</t>
        </is>
      </c>
      <c r="C803" s="42" t="n">
        <v>45795</v>
      </c>
      <c r="D803" s="42" t="n">
        <v>45798</v>
      </c>
      <c r="E803" s="38" t="n">
        <v>3</v>
      </c>
      <c r="F803" t="inlineStr">
        <is>
          <t>Inpatient</t>
        </is>
      </c>
      <c r="G803" t="inlineStr">
        <is>
          <t>Bluestone Memorial Hospital</t>
        </is>
      </c>
      <c r="H803" t="inlineStr">
        <is>
          <t>Medical-Surgical 5 East</t>
        </is>
      </c>
      <c r="I803" t="inlineStr">
        <is>
          <t>Medicine</t>
        </is>
      </c>
      <c r="J803" t="inlineStr">
        <is>
          <t>Cruz, Roger</t>
        </is>
      </c>
      <c r="K803" t="inlineStr">
        <is>
          <t>J18.9</t>
        </is>
      </c>
      <c r="L803" t="inlineStr">
        <is>
          <t>Respiratory</t>
        </is>
      </c>
      <c r="M803" t="inlineStr">
        <is>
          <t>State Medicaid</t>
        </is>
      </c>
      <c r="N803" t="inlineStr">
        <is>
          <t>Government</t>
        </is>
      </c>
      <c r="O803" s="39" t="n">
        <v>29209.09</v>
      </c>
      <c r="P803" t="inlineStr">
        <is>
          <t>N</t>
        </is>
      </c>
    </row>
    <row r="804">
      <c r="A804" t="inlineStr">
        <is>
          <t>ENC115152</t>
        </is>
      </c>
      <c r="B804" t="inlineStr">
        <is>
          <t>PT12738</t>
        </is>
      </c>
      <c r="C804" s="42" t="n">
        <v>45795</v>
      </c>
      <c r="D804" s="42" t="n">
        <v>45798</v>
      </c>
      <c r="E804" s="38" t="n">
        <v>3</v>
      </c>
      <c r="F804" t="inlineStr">
        <is>
          <t>Inpatient</t>
        </is>
      </c>
      <c r="G804" t="inlineStr">
        <is>
          <t>Bluestone Memorial Hospital</t>
        </is>
      </c>
      <c r="H804" t="inlineStr">
        <is>
          <t>Medical-Surgical 4 West</t>
        </is>
      </c>
      <c r="I804" t="inlineStr">
        <is>
          <t>Medicine</t>
        </is>
      </c>
      <c r="J804" t="inlineStr">
        <is>
          <t>Lopez, Teresa</t>
        </is>
      </c>
      <c r="K804" t="inlineStr">
        <is>
          <t>K80.20</t>
        </is>
      </c>
      <c r="L804" t="inlineStr">
        <is>
          <t>Digestive</t>
        </is>
      </c>
      <c r="M804" t="inlineStr">
        <is>
          <t>Medicare</t>
        </is>
      </c>
      <c r="N804" t="inlineStr">
        <is>
          <t>Government</t>
        </is>
      </c>
      <c r="O804" s="39" t="n">
        <v>28834.1</v>
      </c>
      <c r="P804" t="inlineStr">
        <is>
          <t>N</t>
        </is>
      </c>
    </row>
    <row r="805">
      <c r="A805" t="inlineStr">
        <is>
          <t>ENC115155</t>
        </is>
      </c>
      <c r="B805" t="inlineStr">
        <is>
          <t>PT13704</t>
        </is>
      </c>
      <c r="C805" s="42" t="n">
        <v>45795</v>
      </c>
      <c r="D805" s="42" t="n">
        <v>45795</v>
      </c>
      <c r="E805" s="38" t="n">
        <v>0</v>
      </c>
      <c r="F805" t="inlineStr">
        <is>
          <t>Emergency</t>
        </is>
      </c>
      <c r="G805" t="inlineStr">
        <is>
          <t>Bluestone Memorial Hospital</t>
        </is>
      </c>
      <c r="H805" t="inlineStr">
        <is>
          <t>Emergency Department</t>
        </is>
      </c>
      <c r="I805" t="inlineStr">
        <is>
          <t>Emergency</t>
        </is>
      </c>
      <c r="J805" t="inlineStr">
        <is>
          <t>Ferguson, Roy</t>
        </is>
      </c>
      <c r="K805" t="inlineStr">
        <is>
          <t>R10.9</t>
        </is>
      </c>
      <c r="L805" t="inlineStr">
        <is>
          <t>Symptoms &amp; Signs</t>
        </is>
      </c>
      <c r="M805" t="inlineStr">
        <is>
          <t>Medicare</t>
        </is>
      </c>
      <c r="N805" t="inlineStr">
        <is>
          <t>Government</t>
        </is>
      </c>
      <c r="O805" s="39" t="n">
        <v>3627.59</v>
      </c>
    </row>
    <row r="806">
      <c r="A806" t="inlineStr">
        <is>
          <t>ENC115164</t>
        </is>
      </c>
      <c r="B806" t="inlineStr">
        <is>
          <t>PT11813</t>
        </is>
      </c>
      <c r="C806" s="42" t="n">
        <v>45795</v>
      </c>
      <c r="D806" s="42" t="n">
        <v>45795</v>
      </c>
      <c r="E806" s="38" t="n">
        <v>0</v>
      </c>
      <c r="F806" t="inlineStr">
        <is>
          <t>Emergency</t>
        </is>
      </c>
      <c r="G806" t="inlineStr">
        <is>
          <t>Bluestone Memorial Hospital</t>
        </is>
      </c>
      <c r="H806" t="inlineStr">
        <is>
          <t>Emergency Department</t>
        </is>
      </c>
      <c r="I806" t="inlineStr">
        <is>
          <t>Emergency</t>
        </is>
      </c>
      <c r="J806" t="inlineStr">
        <is>
          <t>Payne, Nancy</t>
        </is>
      </c>
      <c r="K806" t="inlineStr">
        <is>
          <t>M54.50</t>
        </is>
      </c>
      <c r="L806" t="inlineStr">
        <is>
          <t>Musculoskeletal</t>
        </is>
      </c>
      <c r="M806" t="inlineStr">
        <is>
          <t>Evergreen Mutual Insurance</t>
        </is>
      </c>
      <c r="N806" t="inlineStr">
        <is>
          <t>Commercial</t>
        </is>
      </c>
      <c r="O806" s="39" t="n">
        <v>3716.8</v>
      </c>
    </row>
    <row r="807">
      <c r="A807" t="inlineStr">
        <is>
          <t>ENC115167</t>
        </is>
      </c>
      <c r="B807" t="inlineStr">
        <is>
          <t>PT10528</t>
        </is>
      </c>
      <c r="C807" s="42" t="n">
        <v>45795</v>
      </c>
      <c r="D807" s="42" t="n">
        <v>45797</v>
      </c>
      <c r="E807" s="38" t="n">
        <v>2</v>
      </c>
      <c r="F807" t="inlineStr">
        <is>
          <t>Observation</t>
        </is>
      </c>
      <c r="G807" t="inlineStr">
        <is>
          <t>Bluestone Memorial Hospital</t>
        </is>
      </c>
      <c r="H807" t="inlineStr">
        <is>
          <t>Observation Unit</t>
        </is>
      </c>
      <c r="I807" t="inlineStr">
        <is>
          <t>Medicine</t>
        </is>
      </c>
      <c r="J807" t="inlineStr">
        <is>
          <t>Simpson, Kelly</t>
        </is>
      </c>
      <c r="K807" t="inlineStr">
        <is>
          <t>N39.0</t>
        </is>
      </c>
      <c r="L807" t="inlineStr">
        <is>
          <t>Genitourinary</t>
        </is>
      </c>
      <c r="M807" t="inlineStr">
        <is>
          <t>Medicare</t>
        </is>
      </c>
      <c r="N807" t="inlineStr">
        <is>
          <t>Government</t>
        </is>
      </c>
      <c r="O807" s="39" t="n">
        <v>5579.19</v>
      </c>
    </row>
    <row r="808">
      <c r="A808" t="inlineStr">
        <is>
          <t>ENC115175</t>
        </is>
      </c>
      <c r="B808" t="inlineStr">
        <is>
          <t>PT12543</t>
        </is>
      </c>
      <c r="C808" s="42" t="n">
        <v>45796</v>
      </c>
      <c r="D808" s="42" t="n">
        <v>45796</v>
      </c>
      <c r="E808" s="38" t="n">
        <v>0</v>
      </c>
      <c r="F808" t="inlineStr">
        <is>
          <t>Outpatient</t>
        </is>
      </c>
      <c r="G808" t="inlineStr">
        <is>
          <t>Bluestone Outpatient Pavilion</t>
        </is>
      </c>
      <c r="H808" t="inlineStr">
        <is>
          <t>Primary Care Clinic</t>
        </is>
      </c>
      <c r="I808" t="inlineStr">
        <is>
          <t>Ambulatory</t>
        </is>
      </c>
      <c r="J808" t="inlineStr">
        <is>
          <t>Sullivan, Brenda</t>
        </is>
      </c>
      <c r="K808" t="inlineStr">
        <is>
          <t>Z00.00</t>
        </is>
      </c>
      <c r="L808" t="inlineStr">
        <is>
          <t>Factors Influencing Health</t>
        </is>
      </c>
      <c r="M808" t="inlineStr">
        <is>
          <t>Silverline Medicare Advantage</t>
        </is>
      </c>
      <c r="N808" t="inlineStr">
        <is>
          <t>Medicare Advantage</t>
        </is>
      </c>
      <c r="O808" s="39" t="n">
        <v>273.74</v>
      </c>
    </row>
    <row r="809">
      <c r="A809" t="inlineStr">
        <is>
          <t>ENC115186</t>
        </is>
      </c>
      <c r="B809" t="inlineStr">
        <is>
          <t>PT13102</t>
        </is>
      </c>
      <c r="C809" s="42" t="n">
        <v>45796</v>
      </c>
      <c r="D809" s="42" t="n">
        <v>45796</v>
      </c>
      <c r="E809" s="38" t="n">
        <v>0</v>
      </c>
      <c r="F809" t="inlineStr">
        <is>
          <t>Outpatient</t>
        </is>
      </c>
      <c r="G809" t="inlineStr">
        <is>
          <t>Bluestone Outpatient Pavilion</t>
        </is>
      </c>
      <c r="H809" t="inlineStr">
        <is>
          <t>Pediatric Clinic</t>
        </is>
      </c>
      <c r="I809" t="inlineStr">
        <is>
          <t>Women &amp; Children</t>
        </is>
      </c>
      <c r="J809" t="inlineStr">
        <is>
          <t>Herrera, Christian</t>
        </is>
      </c>
      <c r="K809" t="inlineStr">
        <is>
          <t>Z00.129</t>
        </is>
      </c>
      <c r="L809" t="inlineStr">
        <is>
          <t>Factors Influencing Health</t>
        </is>
      </c>
      <c r="M809" t="inlineStr">
        <is>
          <t>Keystone Health Partners</t>
        </is>
      </c>
      <c r="N809" t="inlineStr">
        <is>
          <t>Commercial</t>
        </is>
      </c>
      <c r="O809" s="39" t="n">
        <v>322.8</v>
      </c>
    </row>
    <row r="810">
      <c r="A810" t="inlineStr">
        <is>
          <t>ENC115197</t>
        </is>
      </c>
      <c r="B810" t="inlineStr">
        <is>
          <t>PT11573</t>
        </is>
      </c>
      <c r="C810" s="42" t="n">
        <v>45796</v>
      </c>
      <c r="D810" s="42" t="n">
        <v>45796</v>
      </c>
      <c r="E810" s="38" t="n">
        <v>0</v>
      </c>
      <c r="F810" t="inlineStr">
        <is>
          <t>Outpatient</t>
        </is>
      </c>
      <c r="G810" t="inlineStr">
        <is>
          <t>Bluestone Outpatient Pavilion</t>
        </is>
      </c>
      <c r="H810" t="inlineStr">
        <is>
          <t>Endocrinology &amp; Diabetes Clinic</t>
        </is>
      </c>
      <c r="I810" t="inlineStr">
        <is>
          <t>Ambulatory</t>
        </is>
      </c>
      <c r="J810" t="inlineStr">
        <is>
          <t>Woods, Larry</t>
        </is>
      </c>
      <c r="K810" t="inlineStr">
        <is>
          <t>E11.9</t>
        </is>
      </c>
      <c r="L810" t="inlineStr">
        <is>
          <t>Endocrine</t>
        </is>
      </c>
      <c r="M810" t="inlineStr">
        <is>
          <t>Medicare</t>
        </is>
      </c>
      <c r="N810" t="inlineStr">
        <is>
          <t>Government</t>
        </is>
      </c>
      <c r="O810" s="39" t="n">
        <v>435.99</v>
      </c>
    </row>
    <row r="811">
      <c r="A811" t="inlineStr">
        <is>
          <t>ENC115198</t>
        </is>
      </c>
      <c r="B811" t="inlineStr">
        <is>
          <t>PT13302</t>
        </is>
      </c>
      <c r="C811" s="42" t="n">
        <v>45796</v>
      </c>
      <c r="D811" s="42" t="n">
        <v>45796</v>
      </c>
      <c r="E811" s="38" t="n">
        <v>0</v>
      </c>
      <c r="F811" t="inlineStr">
        <is>
          <t>Outpatient</t>
        </is>
      </c>
      <c r="G811" t="inlineStr">
        <is>
          <t>Bluestone Outpatient Pavilion</t>
        </is>
      </c>
      <c r="H811" t="inlineStr">
        <is>
          <t>Orthopedic Clinic</t>
        </is>
      </c>
      <c r="I811" t="inlineStr">
        <is>
          <t>Orthopedics</t>
        </is>
      </c>
      <c r="J811" t="inlineStr">
        <is>
          <t>Wagner, Carlos</t>
        </is>
      </c>
      <c r="K811" t="inlineStr">
        <is>
          <t>S93.401A</t>
        </is>
      </c>
      <c r="L811" t="inlineStr">
        <is>
          <t>Injury</t>
        </is>
      </c>
      <c r="M811" t="inlineStr">
        <is>
          <t>Workers' Compensation</t>
        </is>
      </c>
      <c r="N811" t="inlineStr">
        <is>
          <t>Workers' Comp</t>
        </is>
      </c>
      <c r="O811" s="39" t="n">
        <v>119.46</v>
      </c>
    </row>
    <row r="812">
      <c r="A812" t="inlineStr">
        <is>
          <t>ENC115188</t>
        </is>
      </c>
      <c r="B812" t="inlineStr">
        <is>
          <t>PT13652</t>
        </is>
      </c>
      <c r="C812" s="42" t="n">
        <v>45796</v>
      </c>
      <c r="D812" s="42" t="n">
        <v>45797</v>
      </c>
      <c r="E812" s="38" t="n">
        <v>1</v>
      </c>
      <c r="F812" t="inlineStr">
        <is>
          <t>Observation</t>
        </is>
      </c>
      <c r="G812" t="inlineStr">
        <is>
          <t>Cedar Ridge Medical Center</t>
        </is>
      </c>
      <c r="H812" t="inlineStr">
        <is>
          <t>Medical-Surgical</t>
        </is>
      </c>
      <c r="I812" t="inlineStr">
        <is>
          <t>Medicine</t>
        </is>
      </c>
      <c r="J812" t="inlineStr">
        <is>
          <t>Payne, Tyler</t>
        </is>
      </c>
      <c r="K812" t="inlineStr">
        <is>
          <t>L03.115</t>
        </is>
      </c>
      <c r="L812" t="inlineStr">
        <is>
          <t>Skin</t>
        </is>
      </c>
      <c r="M812" t="inlineStr">
        <is>
          <t>State Medicaid</t>
        </is>
      </c>
      <c r="N812" t="inlineStr">
        <is>
          <t>Government</t>
        </is>
      </c>
      <c r="O812" s="39" t="n">
        <v>9056.370000000001</v>
      </c>
    </row>
    <row r="813">
      <c r="A813" t="inlineStr">
        <is>
          <t>ENC115207</t>
        </is>
      </c>
      <c r="B813" t="inlineStr">
        <is>
          <t>PT10045</t>
        </is>
      </c>
      <c r="C813" s="42" t="n">
        <v>45797</v>
      </c>
      <c r="D813" s="42" t="n">
        <v>45808</v>
      </c>
      <c r="E813" s="38" t="n">
        <v>11</v>
      </c>
      <c r="F813" t="inlineStr">
        <is>
          <t>Inpatient</t>
        </is>
      </c>
      <c r="G813" t="inlineStr">
        <is>
          <t>Bluestone Memorial Hospital</t>
        </is>
      </c>
      <c r="H813" t="inlineStr">
        <is>
          <t>Behavioral Health</t>
        </is>
      </c>
      <c r="I813" t="inlineStr">
        <is>
          <t>Behavioral Health</t>
        </is>
      </c>
      <c r="J813" t="inlineStr">
        <is>
          <t>Elliott, Emma</t>
        </is>
      </c>
      <c r="K813" t="inlineStr">
        <is>
          <t>F32.9</t>
        </is>
      </c>
      <c r="L813" t="inlineStr">
        <is>
          <t>Mental &amp; Behavioral</t>
        </is>
      </c>
      <c r="M813" t="inlineStr">
        <is>
          <t>Keystone Health Partners</t>
        </is>
      </c>
      <c r="N813" t="inlineStr">
        <is>
          <t>Commercial</t>
        </is>
      </c>
      <c r="O813" s="39" t="n">
        <v>30574.85</v>
      </c>
      <c r="P813" t="inlineStr">
        <is>
          <t>N</t>
        </is>
      </c>
    </row>
    <row r="814">
      <c r="A814" t="inlineStr">
        <is>
          <t>ENC115225</t>
        </is>
      </c>
      <c r="B814" t="inlineStr">
        <is>
          <t>PT11775</t>
        </is>
      </c>
      <c r="C814" s="42" t="n">
        <v>45797</v>
      </c>
      <c r="D814" s="42" t="n">
        <v>45797</v>
      </c>
      <c r="E814" s="38" t="n">
        <v>0</v>
      </c>
      <c r="F814" t="inlineStr">
        <is>
          <t>Emergency</t>
        </is>
      </c>
      <c r="G814" t="inlineStr">
        <is>
          <t>Ashby Falls Community Hospital</t>
        </is>
      </c>
      <c r="H814" t="inlineStr">
        <is>
          <t>Emergency Department</t>
        </is>
      </c>
      <c r="I814" t="inlineStr">
        <is>
          <t>Emergency</t>
        </is>
      </c>
      <c r="J814" t="inlineStr">
        <is>
          <t>Wright, Bruce</t>
        </is>
      </c>
      <c r="K814" t="inlineStr">
        <is>
          <t>K80.20</t>
        </is>
      </c>
      <c r="L814" t="inlineStr">
        <is>
          <t>Digestive</t>
        </is>
      </c>
      <c r="M814" t="inlineStr">
        <is>
          <t>Evergreen Mutual Insurance</t>
        </is>
      </c>
      <c r="N814" t="inlineStr">
        <is>
          <t>Commercial</t>
        </is>
      </c>
      <c r="O814" s="39" t="n">
        <v>1641.26</v>
      </c>
    </row>
    <row r="815">
      <c r="A815" t="inlineStr">
        <is>
          <t>ENC115229</t>
        </is>
      </c>
      <c r="B815" t="inlineStr">
        <is>
          <t>PT11832</t>
        </is>
      </c>
      <c r="C815" s="42" t="n">
        <v>45797</v>
      </c>
      <c r="D815" s="42" t="n">
        <v>45797</v>
      </c>
      <c r="E815" s="38" t="n">
        <v>0</v>
      </c>
      <c r="F815" t="inlineStr">
        <is>
          <t>Outpatient</t>
        </is>
      </c>
      <c r="G815" t="inlineStr">
        <is>
          <t>Bluestone Outpatient Pavilion</t>
        </is>
      </c>
      <c r="H815" t="inlineStr">
        <is>
          <t>Primary Care Clinic</t>
        </is>
      </c>
      <c r="I815" t="inlineStr">
        <is>
          <t>Ambulatory</t>
        </is>
      </c>
      <c r="J815" t="inlineStr">
        <is>
          <t>Santos, Edward</t>
        </is>
      </c>
      <c r="K815" t="inlineStr">
        <is>
          <t>E78.5</t>
        </is>
      </c>
      <c r="L815" t="inlineStr">
        <is>
          <t>Endocrine</t>
        </is>
      </c>
      <c r="M815" t="inlineStr">
        <is>
          <t>State Medicaid</t>
        </is>
      </c>
      <c r="N815" t="inlineStr">
        <is>
          <t>Government</t>
        </is>
      </c>
      <c r="O815" s="39" t="n">
        <v>250.94</v>
      </c>
    </row>
    <row r="816">
      <c r="A816" t="inlineStr">
        <is>
          <t>ENC115232</t>
        </is>
      </c>
      <c r="B816" t="inlineStr">
        <is>
          <t>PT10499</t>
        </is>
      </c>
      <c r="C816" s="42" t="n">
        <v>45797</v>
      </c>
      <c r="D816" s="42" t="n">
        <v>45797</v>
      </c>
      <c r="E816" s="38" t="n">
        <v>0</v>
      </c>
      <c r="F816" t="inlineStr">
        <is>
          <t>Outpatient</t>
        </is>
      </c>
      <c r="G816" t="inlineStr">
        <is>
          <t>Bluestone Outpatient Pavilion</t>
        </is>
      </c>
      <c r="H816" t="inlineStr">
        <is>
          <t>Endocrinology &amp; Diabetes Clinic</t>
        </is>
      </c>
      <c r="I816" t="inlineStr">
        <is>
          <t>Ambulatory</t>
        </is>
      </c>
      <c r="J816" t="inlineStr">
        <is>
          <t>Lee, Amber</t>
        </is>
      </c>
      <c r="K816" t="inlineStr">
        <is>
          <t>E11.9</t>
        </is>
      </c>
      <c r="L816" t="inlineStr">
        <is>
          <t>Endocrine</t>
        </is>
      </c>
      <c r="M816" t="inlineStr">
        <is>
          <t>Medicare</t>
        </is>
      </c>
      <c r="N816" t="inlineStr">
        <is>
          <t>Government</t>
        </is>
      </c>
      <c r="O816" s="39" t="n">
        <v>558.42</v>
      </c>
    </row>
    <row r="817">
      <c r="A817" t="inlineStr">
        <is>
          <t>ENC115234</t>
        </is>
      </c>
      <c r="B817" t="inlineStr">
        <is>
          <t>PT10772</t>
        </is>
      </c>
      <c r="C817" s="42" t="n">
        <v>45797</v>
      </c>
      <c r="D817" s="42" t="n">
        <v>45797</v>
      </c>
      <c r="E817" s="38" t="n">
        <v>0</v>
      </c>
      <c r="F817" t="inlineStr">
        <is>
          <t>Emergency</t>
        </is>
      </c>
      <c r="G817" t="inlineStr">
        <is>
          <t>Bluestone Memorial Hospital</t>
        </is>
      </c>
      <c r="H817" t="inlineStr">
        <is>
          <t>Emergency Department</t>
        </is>
      </c>
      <c r="I817" t="inlineStr">
        <is>
          <t>Emergency</t>
        </is>
      </c>
      <c r="J817" t="inlineStr">
        <is>
          <t>Morris, Jordan</t>
        </is>
      </c>
      <c r="K817" t="inlineStr">
        <is>
          <t>E86.0</t>
        </is>
      </c>
      <c r="L817" t="inlineStr">
        <is>
          <t>Endocrine</t>
        </is>
      </c>
      <c r="M817" t="inlineStr">
        <is>
          <t>Silverline Medicare Advantage</t>
        </is>
      </c>
      <c r="N817" t="inlineStr">
        <is>
          <t>Medicare Advantage</t>
        </is>
      </c>
      <c r="O817" s="39" t="n">
        <v>1806.6</v>
      </c>
    </row>
    <row r="818">
      <c r="A818" t="inlineStr">
        <is>
          <t>ENC115239</t>
        </is>
      </c>
      <c r="B818" t="inlineStr">
        <is>
          <t>PT10373</t>
        </is>
      </c>
      <c r="C818" s="42" t="n">
        <v>45797</v>
      </c>
      <c r="D818" s="42" t="n">
        <v>45797</v>
      </c>
      <c r="E818" s="38" t="n">
        <v>0</v>
      </c>
      <c r="F818" t="inlineStr">
        <is>
          <t>Outpatient</t>
        </is>
      </c>
      <c r="G818" t="inlineStr">
        <is>
          <t>Bluestone Outpatient Pavilion</t>
        </is>
      </c>
      <c r="H818" t="inlineStr">
        <is>
          <t>Infusion &amp; Oncology Clinic</t>
        </is>
      </c>
      <c r="I818" t="inlineStr">
        <is>
          <t>Oncology</t>
        </is>
      </c>
      <c r="J818" t="inlineStr">
        <is>
          <t>Cooper, Logan</t>
        </is>
      </c>
      <c r="K818" t="inlineStr">
        <is>
          <t>Z51.11</t>
        </is>
      </c>
      <c r="L818" t="inlineStr">
        <is>
          <t>Factors Influencing Health</t>
        </is>
      </c>
      <c r="M818" t="inlineStr">
        <is>
          <t>Evergreen Mutual Insurance</t>
        </is>
      </c>
      <c r="N818" t="inlineStr">
        <is>
          <t>Commercial</t>
        </is>
      </c>
      <c r="O818" s="39" t="n">
        <v>18019.78</v>
      </c>
    </row>
    <row r="819">
      <c r="A819" t="inlineStr">
        <is>
          <t>ENC115244</t>
        </is>
      </c>
      <c r="B819" t="inlineStr">
        <is>
          <t>PT11090</t>
        </is>
      </c>
      <c r="C819" s="42" t="n">
        <v>45797</v>
      </c>
      <c r="D819" s="42" t="n">
        <v>45797</v>
      </c>
      <c r="E819" s="38" t="n">
        <v>0</v>
      </c>
      <c r="F819" t="inlineStr">
        <is>
          <t>Emergency</t>
        </is>
      </c>
      <c r="G819" t="inlineStr">
        <is>
          <t>Bluestone Memorial Hospital</t>
        </is>
      </c>
      <c r="H819" t="inlineStr">
        <is>
          <t>Emergency Department</t>
        </is>
      </c>
      <c r="I819" t="inlineStr">
        <is>
          <t>Emergency</t>
        </is>
      </c>
      <c r="J819" t="inlineStr">
        <is>
          <t>Myers, Doris</t>
        </is>
      </c>
      <c r="K819" t="inlineStr">
        <is>
          <t>G40.909</t>
        </is>
      </c>
      <c r="L819" t="inlineStr">
        <is>
          <t>Nervous System</t>
        </is>
      </c>
      <c r="M819" t="inlineStr">
        <is>
          <t>Keystone Health Partners</t>
        </is>
      </c>
      <c r="N819" t="inlineStr">
        <is>
          <t>Commercial</t>
        </is>
      </c>
      <c r="O819" s="39" t="n">
        <v>3820.98</v>
      </c>
    </row>
    <row r="820">
      <c r="A820" t="inlineStr">
        <is>
          <t>ENC115247</t>
        </is>
      </c>
      <c r="B820" t="inlineStr">
        <is>
          <t>PT12639</t>
        </is>
      </c>
      <c r="C820" s="42" t="n">
        <v>45797</v>
      </c>
      <c r="D820" s="42" t="n">
        <v>45799</v>
      </c>
      <c r="E820" s="38" t="n">
        <v>2</v>
      </c>
      <c r="F820" t="inlineStr">
        <is>
          <t>Inpatient</t>
        </is>
      </c>
      <c r="G820" t="inlineStr">
        <is>
          <t>Ashby Falls Community Hospital</t>
        </is>
      </c>
      <c r="H820" t="inlineStr">
        <is>
          <t>Labor &amp; Delivery</t>
        </is>
      </c>
      <c r="I820" t="inlineStr">
        <is>
          <t>Women &amp; Children</t>
        </is>
      </c>
      <c r="J820" t="inlineStr">
        <is>
          <t>Gardner, Jeremy</t>
        </is>
      </c>
      <c r="K820" t="inlineStr">
        <is>
          <t>O80</t>
        </is>
      </c>
      <c r="L820" t="inlineStr">
        <is>
          <t>Pregnancy</t>
        </is>
      </c>
      <c r="M820" t="inlineStr">
        <is>
          <t>Summit Choice PPO</t>
        </is>
      </c>
      <c r="N820" t="inlineStr">
        <is>
          <t>Commercial</t>
        </is>
      </c>
      <c r="O820" s="39" t="n">
        <v>17336.68</v>
      </c>
      <c r="P820" t="inlineStr">
        <is>
          <t>N</t>
        </is>
      </c>
    </row>
    <row r="821">
      <c r="A821" t="inlineStr">
        <is>
          <t>ENC115250</t>
        </is>
      </c>
      <c r="B821" t="inlineStr">
        <is>
          <t>PT11473</t>
        </is>
      </c>
      <c r="C821" s="42" t="n">
        <v>45797</v>
      </c>
      <c r="D821" s="42" t="n">
        <v>45797</v>
      </c>
      <c r="E821" s="38" t="n">
        <v>0</v>
      </c>
      <c r="F821" t="inlineStr">
        <is>
          <t>Emergency</t>
        </is>
      </c>
      <c r="G821" t="inlineStr">
        <is>
          <t>Cedar Ridge Medical Center</t>
        </is>
      </c>
      <c r="H821" t="inlineStr">
        <is>
          <t>Emergency Department</t>
        </is>
      </c>
      <c r="I821" t="inlineStr">
        <is>
          <t>Emergency</t>
        </is>
      </c>
      <c r="J821" t="inlineStr">
        <is>
          <t>Warren, Victoria</t>
        </is>
      </c>
      <c r="K821" t="inlineStr">
        <is>
          <t>L03.115</t>
        </is>
      </c>
      <c r="L821" t="inlineStr">
        <is>
          <t>Skin</t>
        </is>
      </c>
      <c r="M821" t="inlineStr">
        <is>
          <t>Self-Pay</t>
        </is>
      </c>
      <c r="N821" t="inlineStr">
        <is>
          <t>Self-Pay</t>
        </is>
      </c>
      <c r="O821" s="39" t="n">
        <v>1176.33</v>
      </c>
    </row>
    <row r="822">
      <c r="A822" t="inlineStr">
        <is>
          <t>ENC115252</t>
        </is>
      </c>
      <c r="B822" t="inlineStr">
        <is>
          <t>PT11562</t>
        </is>
      </c>
      <c r="C822" s="42" t="n">
        <v>45797</v>
      </c>
      <c r="D822" s="42" t="n">
        <v>45799</v>
      </c>
      <c r="E822" s="38" t="n">
        <v>2</v>
      </c>
      <c r="F822" t="inlineStr">
        <is>
          <t>Inpatient</t>
        </is>
      </c>
      <c r="G822" t="inlineStr">
        <is>
          <t>Bluestone Memorial Hospital</t>
        </is>
      </c>
      <c r="H822" t="inlineStr">
        <is>
          <t>Medical-Surgical 4 West</t>
        </is>
      </c>
      <c r="I822" t="inlineStr">
        <is>
          <t>Medicine</t>
        </is>
      </c>
      <c r="J822" t="inlineStr">
        <is>
          <t>Vasquez, Jose</t>
        </is>
      </c>
      <c r="K822" t="inlineStr">
        <is>
          <t>J45.909</t>
        </is>
      </c>
      <c r="L822" t="inlineStr">
        <is>
          <t>Respiratory</t>
        </is>
      </c>
      <c r="M822" t="inlineStr">
        <is>
          <t>Medicare</t>
        </is>
      </c>
      <c r="N822" t="inlineStr">
        <is>
          <t>Government</t>
        </is>
      </c>
      <c r="O822" s="39" t="n">
        <v>10922.11</v>
      </c>
      <c r="P822" t="inlineStr">
        <is>
          <t>N</t>
        </is>
      </c>
    </row>
    <row r="823">
      <c r="A823" t="inlineStr">
        <is>
          <t>ENC115256</t>
        </is>
      </c>
      <c r="B823" t="inlineStr">
        <is>
          <t>PT11645</t>
        </is>
      </c>
      <c r="C823" s="42" t="n">
        <v>45798</v>
      </c>
      <c r="D823" s="42" t="n">
        <v>45798</v>
      </c>
      <c r="E823" s="38" t="n">
        <v>0</v>
      </c>
      <c r="F823" t="inlineStr">
        <is>
          <t>Emergency</t>
        </is>
      </c>
      <c r="G823" t="inlineStr">
        <is>
          <t>Bluestone Memorial Hospital</t>
        </is>
      </c>
      <c r="H823" t="inlineStr">
        <is>
          <t>Emergency Department</t>
        </is>
      </c>
      <c r="I823" t="inlineStr">
        <is>
          <t>Emergency</t>
        </is>
      </c>
      <c r="J823" t="inlineStr">
        <is>
          <t>Cruz, Mia</t>
        </is>
      </c>
      <c r="K823" t="inlineStr">
        <is>
          <t>F32.9</t>
        </is>
      </c>
      <c r="L823" t="inlineStr">
        <is>
          <t>Mental &amp; Behavioral</t>
        </is>
      </c>
      <c r="M823" t="inlineStr">
        <is>
          <t>Keystone Health Partners</t>
        </is>
      </c>
      <c r="N823" t="inlineStr">
        <is>
          <t>Commercial</t>
        </is>
      </c>
      <c r="O823" s="39" t="n">
        <v>2743.49</v>
      </c>
    </row>
    <row r="824">
      <c r="A824" t="inlineStr">
        <is>
          <t>ENC115258</t>
        </is>
      </c>
      <c r="B824" t="inlineStr">
        <is>
          <t>PT11475</t>
        </is>
      </c>
      <c r="C824" s="42" t="n">
        <v>45798</v>
      </c>
      <c r="D824" s="42" t="n">
        <v>45798</v>
      </c>
      <c r="E824" s="38" t="n">
        <v>0</v>
      </c>
      <c r="F824" t="inlineStr">
        <is>
          <t>Outpatient</t>
        </is>
      </c>
      <c r="G824" t="inlineStr">
        <is>
          <t>Bluestone Outpatient Pavilion</t>
        </is>
      </c>
      <c r="H824" t="inlineStr">
        <is>
          <t>Primary Care Clinic</t>
        </is>
      </c>
      <c r="I824" t="inlineStr">
        <is>
          <t>Ambulatory</t>
        </is>
      </c>
      <c r="J824" t="inlineStr">
        <is>
          <t>Sullivan, Brenda</t>
        </is>
      </c>
      <c r="K824" t="inlineStr">
        <is>
          <t>E78.5</t>
        </is>
      </c>
      <c r="L824" t="inlineStr">
        <is>
          <t>Endocrine</t>
        </is>
      </c>
      <c r="M824" t="inlineStr">
        <is>
          <t>Medicare</t>
        </is>
      </c>
      <c r="N824" t="inlineStr">
        <is>
          <t>Government</t>
        </is>
      </c>
      <c r="O824" s="39" t="n">
        <v>238.87</v>
      </c>
    </row>
    <row r="825">
      <c r="A825" t="inlineStr">
        <is>
          <t>ENC115270</t>
        </is>
      </c>
      <c r="B825" t="inlineStr">
        <is>
          <t>PT11931</t>
        </is>
      </c>
      <c r="C825" s="42" t="n">
        <v>45798</v>
      </c>
      <c r="D825" s="42" t="n">
        <v>45801</v>
      </c>
      <c r="E825" s="38" t="n">
        <v>3</v>
      </c>
      <c r="F825" t="inlineStr">
        <is>
          <t>Inpatient</t>
        </is>
      </c>
      <c r="G825" t="inlineStr">
        <is>
          <t>Bluestone Memorial Hospital</t>
        </is>
      </c>
      <c r="H825" t="inlineStr">
        <is>
          <t>Medical-Surgical 5 East</t>
        </is>
      </c>
      <c r="I825" t="inlineStr">
        <is>
          <t>Medicine</t>
        </is>
      </c>
      <c r="J825" t="inlineStr">
        <is>
          <t>Alvarado, Tyler</t>
        </is>
      </c>
      <c r="K825" t="inlineStr">
        <is>
          <t>J44.1</t>
        </is>
      </c>
      <c r="L825" t="inlineStr">
        <is>
          <t>Respiratory</t>
        </is>
      </c>
      <c r="M825" t="inlineStr">
        <is>
          <t>Medicare</t>
        </is>
      </c>
      <c r="N825" t="inlineStr">
        <is>
          <t>Government</t>
        </is>
      </c>
      <c r="O825" s="39" t="n">
        <v>18647.77</v>
      </c>
      <c r="P825" t="inlineStr">
        <is>
          <t>N</t>
        </is>
      </c>
    </row>
    <row r="826">
      <c r="A826" t="inlineStr">
        <is>
          <t>ENC115276</t>
        </is>
      </c>
      <c r="B826" t="inlineStr">
        <is>
          <t>PT13301</t>
        </is>
      </c>
      <c r="C826" s="42" t="n">
        <v>45799</v>
      </c>
      <c r="D826" s="42" t="n">
        <v>45799</v>
      </c>
      <c r="E826" s="38" t="n">
        <v>0</v>
      </c>
      <c r="F826" t="inlineStr">
        <is>
          <t>Emergency</t>
        </is>
      </c>
      <c r="G826" t="inlineStr">
        <is>
          <t>Bluestone Memorial Hospital</t>
        </is>
      </c>
      <c r="H826" t="inlineStr">
        <is>
          <t>Emergency Department</t>
        </is>
      </c>
      <c r="I826" t="inlineStr">
        <is>
          <t>Emergency</t>
        </is>
      </c>
      <c r="J826" t="inlineStr">
        <is>
          <t>Foster, Patrick</t>
        </is>
      </c>
      <c r="K826" t="inlineStr">
        <is>
          <t>R10.9</t>
        </is>
      </c>
      <c r="L826" t="inlineStr">
        <is>
          <t>Symptoms &amp; Signs</t>
        </is>
      </c>
      <c r="M826" t="inlineStr">
        <is>
          <t>Evergreen Mutual Insurance</t>
        </is>
      </c>
      <c r="N826" t="inlineStr">
        <is>
          <t>Commercial</t>
        </is>
      </c>
      <c r="O826" s="39" t="n">
        <v>5197.85</v>
      </c>
    </row>
    <row r="827">
      <c r="A827" t="inlineStr">
        <is>
          <t>ENC115284</t>
        </is>
      </c>
      <c r="B827" t="inlineStr">
        <is>
          <t>PT12569</t>
        </is>
      </c>
      <c r="C827" s="42" t="n">
        <v>45799</v>
      </c>
      <c r="D827" s="42" t="n">
        <v>45799</v>
      </c>
      <c r="E827" s="38" t="n">
        <v>0</v>
      </c>
      <c r="F827" t="inlineStr">
        <is>
          <t>Outpatient</t>
        </is>
      </c>
      <c r="G827" t="inlineStr">
        <is>
          <t>Bluestone Outpatient Pavilion</t>
        </is>
      </c>
      <c r="H827" t="inlineStr">
        <is>
          <t>Primary Care Clinic</t>
        </is>
      </c>
      <c r="I827" t="inlineStr">
        <is>
          <t>Ambulatory</t>
        </is>
      </c>
      <c r="J827" t="inlineStr">
        <is>
          <t>Petrov, Doris</t>
        </is>
      </c>
      <c r="K827" t="inlineStr">
        <is>
          <t>E78.5</t>
        </is>
      </c>
      <c r="L827" t="inlineStr">
        <is>
          <t>Endocrine</t>
        </is>
      </c>
      <c r="M827" t="inlineStr">
        <is>
          <t>Medicare</t>
        </is>
      </c>
      <c r="N827" t="inlineStr">
        <is>
          <t>Government</t>
        </is>
      </c>
      <c r="O827" s="39" t="n">
        <v>292.5</v>
      </c>
    </row>
    <row r="828">
      <c r="A828" t="inlineStr">
        <is>
          <t>ENC115287</t>
        </is>
      </c>
      <c r="B828" t="inlineStr">
        <is>
          <t>PT10390</t>
        </is>
      </c>
      <c r="C828" s="42" t="n">
        <v>45799</v>
      </c>
      <c r="D828" s="42" t="n">
        <v>45799</v>
      </c>
      <c r="E828" s="38" t="n">
        <v>0</v>
      </c>
      <c r="F828" t="inlineStr">
        <is>
          <t>Outpatient</t>
        </is>
      </c>
      <c r="G828" t="inlineStr">
        <is>
          <t>Bluestone Outpatient Pavilion</t>
        </is>
      </c>
      <c r="H828" t="inlineStr">
        <is>
          <t>Cardiology Clinic</t>
        </is>
      </c>
      <c r="I828" t="inlineStr">
        <is>
          <t>Cardiovascular</t>
        </is>
      </c>
      <c r="J828" t="inlineStr">
        <is>
          <t>Jenkins, Brittany</t>
        </is>
      </c>
      <c r="K828" t="inlineStr">
        <is>
          <t>I48.91</t>
        </is>
      </c>
      <c r="L828" t="inlineStr">
        <is>
          <t>Circulatory</t>
        </is>
      </c>
      <c r="M828" t="inlineStr">
        <is>
          <t>Medicare</t>
        </is>
      </c>
      <c r="N828" t="inlineStr">
        <is>
          <t>Government</t>
        </is>
      </c>
      <c r="O828" s="39" t="n">
        <v>414.36</v>
      </c>
    </row>
    <row r="829">
      <c r="A829" t="inlineStr">
        <is>
          <t>ENC115291</t>
        </is>
      </c>
      <c r="B829" t="inlineStr">
        <is>
          <t>PT13201</t>
        </is>
      </c>
      <c r="C829" s="42" t="n">
        <v>45799</v>
      </c>
      <c r="D829" s="42" t="n">
        <v>45799</v>
      </c>
      <c r="E829" s="38" t="n">
        <v>0</v>
      </c>
      <c r="F829" t="inlineStr">
        <is>
          <t>Outpatient</t>
        </is>
      </c>
      <c r="G829" t="inlineStr">
        <is>
          <t>Bluestone Outpatient Pavilion</t>
        </is>
      </c>
      <c r="H829" t="inlineStr">
        <is>
          <t>Primary Care Clinic</t>
        </is>
      </c>
      <c r="I829" t="inlineStr">
        <is>
          <t>Ambulatory</t>
        </is>
      </c>
      <c r="J829" t="inlineStr">
        <is>
          <t>Osei, Julie</t>
        </is>
      </c>
      <c r="K829" t="inlineStr">
        <is>
          <t>Z23</t>
        </is>
      </c>
      <c r="L829" t="inlineStr">
        <is>
          <t>Factors Influencing Health</t>
        </is>
      </c>
      <c r="M829" t="inlineStr">
        <is>
          <t>Keystone Health Partners</t>
        </is>
      </c>
      <c r="N829" t="inlineStr">
        <is>
          <t>Commercial</t>
        </is>
      </c>
      <c r="O829" s="39" t="n">
        <v>129.41</v>
      </c>
    </row>
    <row r="830">
      <c r="A830" t="inlineStr">
        <is>
          <t>ENC115296</t>
        </is>
      </c>
      <c r="B830" t="inlineStr">
        <is>
          <t>PT13065</t>
        </is>
      </c>
      <c r="C830" s="42" t="n">
        <v>45799</v>
      </c>
      <c r="D830" s="42" t="n">
        <v>45799</v>
      </c>
      <c r="E830" s="38" t="n">
        <v>0</v>
      </c>
      <c r="F830" t="inlineStr">
        <is>
          <t>Outpatient</t>
        </is>
      </c>
      <c r="G830" t="inlineStr">
        <is>
          <t>Bluestone Outpatient Pavilion</t>
        </is>
      </c>
      <c r="H830" t="inlineStr">
        <is>
          <t>Orthopedic Clinic</t>
        </is>
      </c>
      <c r="I830" t="inlineStr">
        <is>
          <t>Orthopedics</t>
        </is>
      </c>
      <c r="J830" t="inlineStr">
        <is>
          <t>Hernandez, Kyle</t>
        </is>
      </c>
      <c r="K830" t="inlineStr">
        <is>
          <t>M17.11</t>
        </is>
      </c>
      <c r="L830" t="inlineStr">
        <is>
          <t>Musculoskeletal</t>
        </is>
      </c>
      <c r="M830" t="inlineStr">
        <is>
          <t>Medicare</t>
        </is>
      </c>
      <c r="N830" t="inlineStr">
        <is>
          <t>Government</t>
        </is>
      </c>
      <c r="O830" s="39" t="n">
        <v>305.35</v>
      </c>
    </row>
    <row r="831">
      <c r="A831" t="inlineStr">
        <is>
          <t>ENC115300</t>
        </is>
      </c>
      <c r="B831" t="inlineStr">
        <is>
          <t>PT12375</t>
        </is>
      </c>
      <c r="C831" s="42" t="n">
        <v>45799</v>
      </c>
      <c r="D831" s="42" t="n">
        <v>45799</v>
      </c>
      <c r="E831" s="38" t="n">
        <v>0</v>
      </c>
      <c r="F831" t="inlineStr">
        <is>
          <t>Outpatient</t>
        </is>
      </c>
      <c r="G831" t="inlineStr">
        <is>
          <t>Bluestone Outpatient Pavilion</t>
        </is>
      </c>
      <c r="H831" t="inlineStr">
        <is>
          <t>Pediatric Clinic</t>
        </is>
      </c>
      <c r="I831" t="inlineStr">
        <is>
          <t>Women &amp; Children</t>
        </is>
      </c>
      <c r="J831" t="inlineStr">
        <is>
          <t>Herrera, Christian</t>
        </is>
      </c>
      <c r="K831" t="inlineStr">
        <is>
          <t>Z00.129</t>
        </is>
      </c>
      <c r="L831" t="inlineStr">
        <is>
          <t>Factors Influencing Health</t>
        </is>
      </c>
      <c r="M831" t="inlineStr">
        <is>
          <t>Evergreen Mutual Insurance</t>
        </is>
      </c>
      <c r="N831" t="inlineStr">
        <is>
          <t>Commercial</t>
        </is>
      </c>
      <c r="O831" s="39" t="n">
        <v>290.09</v>
      </c>
    </row>
    <row r="832">
      <c r="A832" t="inlineStr">
        <is>
          <t>ENC115301</t>
        </is>
      </c>
      <c r="B832" t="inlineStr">
        <is>
          <t>PT12989</t>
        </is>
      </c>
      <c r="C832" s="42" t="n">
        <v>45799</v>
      </c>
      <c r="D832" s="42" t="n">
        <v>45799</v>
      </c>
      <c r="E832" s="38" t="n">
        <v>0</v>
      </c>
      <c r="F832" t="inlineStr">
        <is>
          <t>Emergency</t>
        </is>
      </c>
      <c r="G832" t="inlineStr">
        <is>
          <t>Cedar Ridge Medical Center</t>
        </is>
      </c>
      <c r="H832" t="inlineStr">
        <is>
          <t>Emergency Department</t>
        </is>
      </c>
      <c r="I832" t="inlineStr">
        <is>
          <t>Emergency</t>
        </is>
      </c>
      <c r="J832" t="inlineStr">
        <is>
          <t>Schmidt, Anna</t>
        </is>
      </c>
      <c r="K832" t="inlineStr">
        <is>
          <t>J18.9</t>
        </is>
      </c>
      <c r="L832" t="inlineStr">
        <is>
          <t>Respiratory</t>
        </is>
      </c>
      <c r="M832" t="inlineStr">
        <is>
          <t>Keystone Health Partners</t>
        </is>
      </c>
      <c r="N832" t="inlineStr">
        <is>
          <t>Commercial</t>
        </is>
      </c>
      <c r="O832" s="39" t="n">
        <v>3081.65</v>
      </c>
    </row>
    <row r="833">
      <c r="A833" t="inlineStr">
        <is>
          <t>ENC115307</t>
        </is>
      </c>
      <c r="B833" t="inlineStr">
        <is>
          <t>PT11320</t>
        </is>
      </c>
      <c r="C833" s="42" t="n">
        <v>45800</v>
      </c>
      <c r="D833" s="42" t="n">
        <v>45805</v>
      </c>
      <c r="E833" s="38" t="n">
        <v>5</v>
      </c>
      <c r="F833" t="inlineStr">
        <is>
          <t>Inpatient</t>
        </is>
      </c>
      <c r="G833" t="inlineStr">
        <is>
          <t>Bluestone Memorial Hospital</t>
        </is>
      </c>
      <c r="H833" t="inlineStr">
        <is>
          <t>Medical-Surgical 4 West</t>
        </is>
      </c>
      <c r="I833" t="inlineStr">
        <is>
          <t>Medicine</t>
        </is>
      </c>
      <c r="J833" t="inlineStr">
        <is>
          <t>Vasquez, Jose</t>
        </is>
      </c>
      <c r="K833" t="inlineStr">
        <is>
          <t>F10.239</t>
        </is>
      </c>
      <c r="L833" t="inlineStr">
        <is>
          <t>Mental &amp; Behavioral</t>
        </is>
      </c>
      <c r="M833" t="inlineStr">
        <is>
          <t>Medicare</t>
        </is>
      </c>
      <c r="N833" t="inlineStr">
        <is>
          <t>Government</t>
        </is>
      </c>
      <c r="O833" s="39" t="n">
        <v>16605.55</v>
      </c>
      <c r="P833" t="inlineStr">
        <is>
          <t>N</t>
        </is>
      </c>
    </row>
    <row r="834">
      <c r="A834" t="inlineStr">
        <is>
          <t>ENC115312</t>
        </is>
      </c>
      <c r="B834" t="inlineStr">
        <is>
          <t>PT10594</t>
        </is>
      </c>
      <c r="C834" s="42" t="n">
        <v>45800</v>
      </c>
      <c r="D834" s="42" t="n">
        <v>45800</v>
      </c>
      <c r="E834" s="38" t="n">
        <v>0</v>
      </c>
      <c r="F834" t="inlineStr">
        <is>
          <t>Outpatient</t>
        </is>
      </c>
      <c r="G834" t="inlineStr">
        <is>
          <t>Bluestone Outpatient Pavilion</t>
        </is>
      </c>
      <c r="H834" t="inlineStr">
        <is>
          <t>Primary Care Clinic</t>
        </is>
      </c>
      <c r="I834" t="inlineStr">
        <is>
          <t>Ambulatory</t>
        </is>
      </c>
      <c r="J834" t="inlineStr">
        <is>
          <t>Torres, Rebecca</t>
        </is>
      </c>
      <c r="K834" t="inlineStr">
        <is>
          <t>Z00.00</t>
        </is>
      </c>
      <c r="L834" t="inlineStr">
        <is>
          <t>Factors Influencing Health</t>
        </is>
      </c>
      <c r="M834" t="inlineStr">
        <is>
          <t>Medicare</t>
        </is>
      </c>
      <c r="N834" t="inlineStr">
        <is>
          <t>Government</t>
        </is>
      </c>
      <c r="O834" s="39" t="n">
        <v>228.39</v>
      </c>
    </row>
    <row r="835">
      <c r="A835" t="inlineStr">
        <is>
          <t>ENC115323</t>
        </is>
      </c>
      <c r="B835" t="inlineStr">
        <is>
          <t>PT12211</t>
        </is>
      </c>
      <c r="C835" s="42" t="n">
        <v>45800</v>
      </c>
      <c r="D835" s="42" t="n">
        <v>45800</v>
      </c>
      <c r="E835" s="38" t="n">
        <v>0</v>
      </c>
      <c r="F835" t="inlineStr">
        <is>
          <t>Emergency</t>
        </is>
      </c>
      <c r="G835" t="inlineStr">
        <is>
          <t>Bluestone Memorial Hospital</t>
        </is>
      </c>
      <c r="H835" t="inlineStr">
        <is>
          <t>Emergency Department</t>
        </is>
      </c>
      <c r="I835" t="inlineStr">
        <is>
          <t>Emergency</t>
        </is>
      </c>
      <c r="J835" t="inlineStr">
        <is>
          <t>Mendoza, Alexander</t>
        </is>
      </c>
      <c r="K835" t="inlineStr">
        <is>
          <t>N39.0</t>
        </is>
      </c>
      <c r="L835" t="inlineStr">
        <is>
          <t>Genitourinary</t>
        </is>
      </c>
      <c r="M835" t="inlineStr">
        <is>
          <t>Medicare</t>
        </is>
      </c>
      <c r="N835" t="inlineStr">
        <is>
          <t>Government</t>
        </is>
      </c>
      <c r="O835" s="39" t="n">
        <v>3300.4</v>
      </c>
    </row>
    <row r="836">
      <c r="A836" t="inlineStr">
        <is>
          <t>ENC115330</t>
        </is>
      </c>
      <c r="B836" t="inlineStr">
        <is>
          <t>PT10019</t>
        </is>
      </c>
      <c r="C836" s="42" t="n">
        <v>45800</v>
      </c>
      <c r="D836" s="42" t="n">
        <v>45800</v>
      </c>
      <c r="E836" s="38" t="n">
        <v>0</v>
      </c>
      <c r="F836" t="inlineStr">
        <is>
          <t>Outpatient</t>
        </is>
      </c>
      <c r="G836" t="inlineStr">
        <is>
          <t>Bluestone Outpatient Pavilion</t>
        </is>
      </c>
      <c r="H836" t="inlineStr">
        <is>
          <t>Pediatric Clinic</t>
        </is>
      </c>
      <c r="I836" t="inlineStr">
        <is>
          <t>Women &amp; Children</t>
        </is>
      </c>
      <c r="J836" t="inlineStr">
        <is>
          <t>Wallace, Kevin</t>
        </is>
      </c>
      <c r="K836" t="inlineStr">
        <is>
          <t>H66.90</t>
        </is>
      </c>
      <c r="L836" t="inlineStr">
        <is>
          <t>Ear</t>
        </is>
      </c>
      <c r="M836" t="inlineStr">
        <is>
          <t>Keystone Health Partners</t>
        </is>
      </c>
      <c r="N836" t="inlineStr">
        <is>
          <t>Commercial</t>
        </is>
      </c>
      <c r="O836" s="39" t="n">
        <v>623.0599999999999</v>
      </c>
    </row>
    <row r="837">
      <c r="A837" t="inlineStr">
        <is>
          <t>ENC115335</t>
        </is>
      </c>
      <c r="B837" t="inlineStr">
        <is>
          <t>PT10101</t>
        </is>
      </c>
      <c r="C837" s="42" t="n">
        <v>45800</v>
      </c>
      <c r="D837" s="42" t="n">
        <v>45800</v>
      </c>
      <c r="E837" s="38" t="n">
        <v>0</v>
      </c>
      <c r="F837" t="inlineStr">
        <is>
          <t>Emergency</t>
        </is>
      </c>
      <c r="G837" t="inlineStr">
        <is>
          <t>Cedar Ridge Medical Center</t>
        </is>
      </c>
      <c r="H837" t="inlineStr">
        <is>
          <t>Emergency Department</t>
        </is>
      </c>
      <c r="I837" t="inlineStr">
        <is>
          <t>Emergency</t>
        </is>
      </c>
      <c r="J837" t="inlineStr">
        <is>
          <t>Schmidt, Anna</t>
        </is>
      </c>
      <c r="K837" t="inlineStr">
        <is>
          <t>U07.1</t>
        </is>
      </c>
      <c r="L837" t="inlineStr">
        <is>
          <t>Respiratory</t>
        </is>
      </c>
      <c r="M837" t="inlineStr">
        <is>
          <t>Silverline Medicare Advantage</t>
        </is>
      </c>
      <c r="N837" t="inlineStr">
        <is>
          <t>Medicare Advantage</t>
        </is>
      </c>
      <c r="O837" s="39" t="n">
        <v>1451.85</v>
      </c>
    </row>
    <row r="838">
      <c r="A838" t="inlineStr">
        <is>
          <t>ENC115338</t>
        </is>
      </c>
      <c r="B838" t="inlineStr">
        <is>
          <t>PT12198</t>
        </is>
      </c>
      <c r="C838" s="42" t="n">
        <v>45801</v>
      </c>
      <c r="D838" s="42" t="n">
        <v>45801</v>
      </c>
      <c r="E838" s="38" t="n">
        <v>0</v>
      </c>
      <c r="F838" t="inlineStr">
        <is>
          <t>Emergency</t>
        </is>
      </c>
      <c r="G838" t="inlineStr">
        <is>
          <t>Bluestone Memorial Hospital</t>
        </is>
      </c>
      <c r="H838" t="inlineStr">
        <is>
          <t>Emergency Department</t>
        </is>
      </c>
      <c r="I838" t="inlineStr">
        <is>
          <t>Emergency</t>
        </is>
      </c>
      <c r="J838" t="inlineStr">
        <is>
          <t>Payne, Nancy</t>
        </is>
      </c>
      <c r="K838" t="inlineStr">
        <is>
          <t>I10</t>
        </is>
      </c>
      <c r="L838" t="inlineStr">
        <is>
          <t>Circulatory</t>
        </is>
      </c>
      <c r="M838" t="inlineStr">
        <is>
          <t>Silverline Medicare Advantage</t>
        </is>
      </c>
      <c r="N838" t="inlineStr">
        <is>
          <t>Medicare Advantage</t>
        </is>
      </c>
      <c r="O838" s="39" t="n">
        <v>4808.63</v>
      </c>
    </row>
    <row r="839">
      <c r="A839" t="inlineStr">
        <is>
          <t>ENC115342</t>
        </is>
      </c>
      <c r="B839" t="inlineStr">
        <is>
          <t>PT11045</t>
        </is>
      </c>
      <c r="C839" s="42" t="n">
        <v>45801</v>
      </c>
      <c r="D839" s="42" t="n">
        <v>45806</v>
      </c>
      <c r="E839" s="38" t="n">
        <v>5</v>
      </c>
      <c r="F839" t="inlineStr">
        <is>
          <t>Inpatient</t>
        </is>
      </c>
      <c r="G839" t="inlineStr">
        <is>
          <t>Cedar Ridge Medical Center</t>
        </is>
      </c>
      <c r="H839" t="inlineStr">
        <is>
          <t>Medical-Surgical</t>
        </is>
      </c>
      <c r="I839" t="inlineStr">
        <is>
          <t>Medicine</t>
        </is>
      </c>
      <c r="J839" t="inlineStr">
        <is>
          <t>Hansen, Wei</t>
        </is>
      </c>
      <c r="K839" t="inlineStr">
        <is>
          <t>N39.0</t>
        </is>
      </c>
      <c r="L839" t="inlineStr">
        <is>
          <t>Genitourinary</t>
        </is>
      </c>
      <c r="M839" t="inlineStr">
        <is>
          <t>Keystone Health Partners</t>
        </is>
      </c>
      <c r="N839" t="inlineStr">
        <is>
          <t>Commercial</t>
        </is>
      </c>
      <c r="O839" s="39" t="n">
        <v>28868.03</v>
      </c>
      <c r="P839" t="inlineStr">
        <is>
          <t>N</t>
        </is>
      </c>
    </row>
    <row r="840">
      <c r="A840" t="inlineStr">
        <is>
          <t>ENC115349</t>
        </is>
      </c>
      <c r="B840" t="inlineStr">
        <is>
          <t>PT13415</t>
        </is>
      </c>
      <c r="C840" s="42" t="n">
        <v>45801</v>
      </c>
      <c r="D840" s="42" t="n">
        <v>45801</v>
      </c>
      <c r="E840" s="38" t="n">
        <v>0</v>
      </c>
      <c r="F840" t="inlineStr">
        <is>
          <t>Emergency</t>
        </is>
      </c>
      <c r="G840" t="inlineStr">
        <is>
          <t>Bluestone Memorial Hospital</t>
        </is>
      </c>
      <c r="H840" t="inlineStr">
        <is>
          <t>Emergency Department</t>
        </is>
      </c>
      <c r="I840" t="inlineStr">
        <is>
          <t>Emergency</t>
        </is>
      </c>
      <c r="J840" t="inlineStr">
        <is>
          <t>Olson, Christian</t>
        </is>
      </c>
      <c r="K840" t="inlineStr">
        <is>
          <t>S93.401A</t>
        </is>
      </c>
      <c r="L840" t="inlineStr">
        <is>
          <t>Injury</t>
        </is>
      </c>
      <c r="M840" t="inlineStr">
        <is>
          <t>Summit Choice PPO</t>
        </is>
      </c>
      <c r="N840" t="inlineStr">
        <is>
          <t>Commercial</t>
        </is>
      </c>
      <c r="O840" s="39" t="n">
        <v>1397.56</v>
      </c>
    </row>
    <row r="841">
      <c r="A841" t="inlineStr">
        <is>
          <t>ENC115352</t>
        </is>
      </c>
      <c r="B841" t="inlineStr">
        <is>
          <t>PT10103</t>
        </is>
      </c>
      <c r="C841" s="42" t="n">
        <v>45801</v>
      </c>
      <c r="D841" s="42" t="n">
        <v>45801</v>
      </c>
      <c r="E841" s="38" t="n">
        <v>0</v>
      </c>
      <c r="F841" t="inlineStr">
        <is>
          <t>Emergency</t>
        </is>
      </c>
      <c r="G841" t="inlineStr">
        <is>
          <t>Bluestone Memorial Hospital</t>
        </is>
      </c>
      <c r="H841" t="inlineStr">
        <is>
          <t>Emergency Department</t>
        </is>
      </c>
      <c r="I841" t="inlineStr">
        <is>
          <t>Emergency</t>
        </is>
      </c>
      <c r="J841" t="inlineStr">
        <is>
          <t>Payne, Nancy</t>
        </is>
      </c>
      <c r="K841" t="inlineStr">
        <is>
          <t>G43.909</t>
        </is>
      </c>
      <c r="L841" t="inlineStr">
        <is>
          <t>Nervous System</t>
        </is>
      </c>
      <c r="M841" t="inlineStr">
        <is>
          <t>Medicare</t>
        </is>
      </c>
      <c r="N841" t="inlineStr">
        <is>
          <t>Government</t>
        </is>
      </c>
      <c r="O841" s="39" t="n">
        <v>1822.26</v>
      </c>
    </row>
    <row r="842">
      <c r="A842" t="inlineStr">
        <is>
          <t>ENC115357</t>
        </is>
      </c>
      <c r="B842" t="inlineStr">
        <is>
          <t>PT10514</t>
        </is>
      </c>
      <c r="C842" s="42" t="n">
        <v>45802</v>
      </c>
      <c r="D842" s="42" t="n">
        <v>45811</v>
      </c>
      <c r="E842" s="38" t="n">
        <v>9</v>
      </c>
      <c r="F842" t="inlineStr">
        <is>
          <t>Inpatient</t>
        </is>
      </c>
      <c r="G842" t="inlineStr">
        <is>
          <t>Bluestone Memorial Hospital</t>
        </is>
      </c>
      <c r="H842" t="inlineStr">
        <is>
          <t>Behavioral Health</t>
        </is>
      </c>
      <c r="I842" t="inlineStr">
        <is>
          <t>Behavioral Health</t>
        </is>
      </c>
      <c r="J842" t="inlineStr">
        <is>
          <t>Herrera, Ivan</t>
        </is>
      </c>
      <c r="K842" t="inlineStr">
        <is>
          <t>F32.9</t>
        </is>
      </c>
      <c r="L842" t="inlineStr">
        <is>
          <t>Mental &amp; Behavioral</t>
        </is>
      </c>
      <c r="M842" t="inlineStr">
        <is>
          <t>Evergreen Mutual Insurance</t>
        </is>
      </c>
      <c r="N842" t="inlineStr">
        <is>
          <t>Commercial</t>
        </is>
      </c>
      <c r="O842" s="39" t="n">
        <v>18426.61</v>
      </c>
      <c r="P842" t="inlineStr">
        <is>
          <t>N</t>
        </is>
      </c>
    </row>
    <row r="843">
      <c r="A843" t="inlineStr">
        <is>
          <t>ENC115359</t>
        </is>
      </c>
      <c r="B843" t="inlineStr">
        <is>
          <t>PT13017</t>
        </is>
      </c>
      <c r="C843" s="42" t="n">
        <v>45802</v>
      </c>
      <c r="D843" s="42" t="n">
        <v>45803</v>
      </c>
      <c r="E843" s="38" t="n">
        <v>1</v>
      </c>
      <c r="F843" t="inlineStr">
        <is>
          <t>Inpatient</t>
        </is>
      </c>
      <c r="G843" t="inlineStr">
        <is>
          <t>Bluestone Memorial Hospital</t>
        </is>
      </c>
      <c r="H843" t="inlineStr">
        <is>
          <t>Medical-Surgical 5 East</t>
        </is>
      </c>
      <c r="I843" t="inlineStr">
        <is>
          <t>Medicine</t>
        </is>
      </c>
      <c r="J843" t="inlineStr">
        <is>
          <t>Price, Juan</t>
        </is>
      </c>
      <c r="K843" t="inlineStr">
        <is>
          <t>A08.4</t>
        </is>
      </c>
      <c r="L843" t="inlineStr">
        <is>
          <t>Infectious</t>
        </is>
      </c>
      <c r="M843" t="inlineStr">
        <is>
          <t>Keystone Health Partners</t>
        </is>
      </c>
      <c r="N843" t="inlineStr">
        <is>
          <t>Commercial</t>
        </is>
      </c>
      <c r="O843" s="39" t="n">
        <v>5490.15</v>
      </c>
      <c r="P843" t="inlineStr">
        <is>
          <t>N</t>
        </is>
      </c>
    </row>
    <row r="844">
      <c r="A844" t="inlineStr">
        <is>
          <t>ENC115365</t>
        </is>
      </c>
      <c r="B844" t="inlineStr">
        <is>
          <t>PT12943</t>
        </is>
      </c>
      <c r="C844" s="42" t="n">
        <v>45802</v>
      </c>
      <c r="D844" s="42" t="n">
        <v>45802</v>
      </c>
      <c r="E844" s="38" t="n">
        <v>0</v>
      </c>
      <c r="F844" t="inlineStr">
        <is>
          <t>Emergency</t>
        </is>
      </c>
      <c r="G844" t="inlineStr">
        <is>
          <t>Bluestone Memorial Hospital</t>
        </is>
      </c>
      <c r="H844" t="inlineStr">
        <is>
          <t>Emergency Department</t>
        </is>
      </c>
      <c r="I844" t="inlineStr">
        <is>
          <t>Emergency</t>
        </is>
      </c>
      <c r="J844" t="inlineStr">
        <is>
          <t>Payne, Nancy</t>
        </is>
      </c>
      <c r="K844" t="inlineStr">
        <is>
          <t>R10.9</t>
        </is>
      </c>
      <c r="L844" t="inlineStr">
        <is>
          <t>Symptoms &amp; Signs</t>
        </is>
      </c>
      <c r="M844" t="inlineStr">
        <is>
          <t>Summit Choice PPO</t>
        </is>
      </c>
      <c r="N844" t="inlineStr">
        <is>
          <t>Commercial</t>
        </is>
      </c>
      <c r="O844" s="39" t="n">
        <v>5609.5</v>
      </c>
    </row>
    <row r="845">
      <c r="A845" t="inlineStr">
        <is>
          <t>ENC115376</t>
        </is>
      </c>
      <c r="B845" t="inlineStr">
        <is>
          <t>PT10644</t>
        </is>
      </c>
      <c r="C845" s="42" t="n">
        <v>45803</v>
      </c>
      <c r="D845" s="42" t="n">
        <v>45803</v>
      </c>
      <c r="E845" s="38" t="n">
        <v>0</v>
      </c>
      <c r="F845" t="inlineStr">
        <is>
          <t>Outpatient</t>
        </is>
      </c>
      <c r="G845" t="inlineStr">
        <is>
          <t>Bluestone Outpatient Pavilion</t>
        </is>
      </c>
      <c r="H845" t="inlineStr">
        <is>
          <t>Infusion &amp; Oncology Clinic</t>
        </is>
      </c>
      <c r="I845" t="inlineStr">
        <is>
          <t>Oncology</t>
        </is>
      </c>
      <c r="J845" t="inlineStr">
        <is>
          <t>Long, Fatima</t>
        </is>
      </c>
      <c r="K845" t="inlineStr">
        <is>
          <t>C34.90</t>
        </is>
      </c>
      <c r="L845" t="inlineStr">
        <is>
          <t>Neoplasms</t>
        </is>
      </c>
      <c r="M845" t="inlineStr">
        <is>
          <t>Medicare</t>
        </is>
      </c>
      <c r="N845" t="inlineStr">
        <is>
          <t>Government</t>
        </is>
      </c>
      <c r="O845" s="39" t="n">
        <v>853.3</v>
      </c>
    </row>
    <row r="846">
      <c r="A846" t="inlineStr">
        <is>
          <t>ENC115379</t>
        </is>
      </c>
      <c r="B846" t="inlineStr">
        <is>
          <t>PT11307</t>
        </is>
      </c>
      <c r="C846" s="42" t="n">
        <v>45803</v>
      </c>
      <c r="D846" s="42" t="n">
        <v>45803</v>
      </c>
      <c r="E846" s="38" t="n">
        <v>0</v>
      </c>
      <c r="F846" t="inlineStr">
        <is>
          <t>Outpatient</t>
        </is>
      </c>
      <c r="G846" t="inlineStr">
        <is>
          <t>Bluestone Outpatient Pavilion</t>
        </is>
      </c>
      <c r="H846" t="inlineStr">
        <is>
          <t>Infusion &amp; Oncology Clinic</t>
        </is>
      </c>
      <c r="I846" t="inlineStr">
        <is>
          <t>Oncology</t>
        </is>
      </c>
      <c r="J846" t="inlineStr">
        <is>
          <t>Long, Fatima</t>
        </is>
      </c>
      <c r="K846" t="inlineStr">
        <is>
          <t>Z51.11</t>
        </is>
      </c>
      <c r="L846" t="inlineStr">
        <is>
          <t>Factors Influencing Health</t>
        </is>
      </c>
      <c r="M846" t="inlineStr">
        <is>
          <t>Evergreen Mutual Insurance</t>
        </is>
      </c>
      <c r="N846" t="inlineStr">
        <is>
          <t>Commercial</t>
        </is>
      </c>
      <c r="O846" s="39" t="n">
        <v>6578.8</v>
      </c>
    </row>
    <row r="847">
      <c r="A847" t="inlineStr">
        <is>
          <t>ENC115380</t>
        </is>
      </c>
      <c r="B847" t="inlineStr">
        <is>
          <t>PT10606</t>
        </is>
      </c>
      <c r="C847" s="42" t="n">
        <v>45803</v>
      </c>
      <c r="D847" s="42" t="n">
        <v>45803</v>
      </c>
      <c r="E847" s="38" t="n">
        <v>0</v>
      </c>
      <c r="F847" t="inlineStr">
        <is>
          <t>Emergency</t>
        </is>
      </c>
      <c r="G847" t="inlineStr">
        <is>
          <t>Cedar Ridge Medical Center</t>
        </is>
      </c>
      <c r="H847" t="inlineStr">
        <is>
          <t>Emergency Department</t>
        </is>
      </c>
      <c r="I847" t="inlineStr">
        <is>
          <t>Emergency</t>
        </is>
      </c>
      <c r="J847" t="inlineStr">
        <is>
          <t>Henry, Brenda</t>
        </is>
      </c>
      <c r="K847" t="inlineStr">
        <is>
          <t>M54.50</t>
        </is>
      </c>
      <c r="L847" t="inlineStr">
        <is>
          <t>Musculoskeletal</t>
        </is>
      </c>
      <c r="M847" t="inlineStr">
        <is>
          <t>Medicare</t>
        </is>
      </c>
      <c r="N847" t="inlineStr">
        <is>
          <t>Government</t>
        </is>
      </c>
      <c r="O847" s="39" t="n">
        <v>1446.42</v>
      </c>
    </row>
    <row r="848">
      <c r="A848" t="inlineStr">
        <is>
          <t>ENC115384</t>
        </is>
      </c>
      <c r="B848" t="inlineStr">
        <is>
          <t>PT13180</t>
        </is>
      </c>
      <c r="C848" s="42" t="n">
        <v>45803</v>
      </c>
      <c r="D848" s="42" t="n">
        <v>45803</v>
      </c>
      <c r="E848" s="38" t="n">
        <v>0</v>
      </c>
      <c r="F848" t="inlineStr">
        <is>
          <t>Emergency</t>
        </is>
      </c>
      <c r="G848" t="inlineStr">
        <is>
          <t>Bluestone Memorial Hospital</t>
        </is>
      </c>
      <c r="H848" t="inlineStr">
        <is>
          <t>Emergency Department</t>
        </is>
      </c>
      <c r="I848" t="inlineStr">
        <is>
          <t>Emergency</t>
        </is>
      </c>
      <c r="J848" t="inlineStr">
        <is>
          <t>Sullivan, Jacob</t>
        </is>
      </c>
      <c r="K848" t="inlineStr">
        <is>
          <t>S93.401A</t>
        </is>
      </c>
      <c r="L848" t="inlineStr">
        <is>
          <t>Injury</t>
        </is>
      </c>
      <c r="M848" t="inlineStr">
        <is>
          <t>State Medicaid</t>
        </is>
      </c>
      <c r="N848" t="inlineStr">
        <is>
          <t>Government</t>
        </is>
      </c>
      <c r="O848" s="39" t="n">
        <v>643.17</v>
      </c>
    </row>
    <row r="849">
      <c r="A849" t="inlineStr">
        <is>
          <t>ENC115393</t>
        </is>
      </c>
      <c r="B849" t="inlineStr">
        <is>
          <t>PT13001</t>
        </is>
      </c>
      <c r="C849" s="42" t="n">
        <v>45803</v>
      </c>
      <c r="D849" s="42" t="n">
        <v>45803</v>
      </c>
      <c r="E849" s="38" t="n">
        <v>0</v>
      </c>
      <c r="F849" t="inlineStr">
        <is>
          <t>Outpatient</t>
        </is>
      </c>
      <c r="G849" t="inlineStr">
        <is>
          <t>Bluestone Outpatient Pavilion</t>
        </is>
      </c>
      <c r="H849" t="inlineStr">
        <is>
          <t>Primary Care Clinic</t>
        </is>
      </c>
      <c r="I849" t="inlineStr">
        <is>
          <t>Ambulatory</t>
        </is>
      </c>
      <c r="J849" t="inlineStr">
        <is>
          <t>Fisher, Brandon</t>
        </is>
      </c>
      <c r="K849" t="inlineStr">
        <is>
          <t>I10</t>
        </is>
      </c>
      <c r="L849" t="inlineStr">
        <is>
          <t>Circulatory</t>
        </is>
      </c>
      <c r="M849" t="inlineStr">
        <is>
          <t>Medicare</t>
        </is>
      </c>
      <c r="N849" t="inlineStr">
        <is>
          <t>Government</t>
        </is>
      </c>
      <c r="O849" s="39" t="n">
        <v>391.79</v>
      </c>
    </row>
    <row r="850">
      <c r="A850" t="inlineStr">
        <is>
          <t>ENC115397</t>
        </is>
      </c>
      <c r="B850" t="inlineStr">
        <is>
          <t>PT10780</t>
        </is>
      </c>
      <c r="C850" s="42" t="n">
        <v>45803</v>
      </c>
      <c r="D850" s="42" t="n">
        <v>45806</v>
      </c>
      <c r="E850" s="38" t="n">
        <v>3</v>
      </c>
      <c r="F850" t="inlineStr">
        <is>
          <t>Inpatient</t>
        </is>
      </c>
      <c r="G850" t="inlineStr">
        <is>
          <t>Bluestone Memorial Hospital</t>
        </is>
      </c>
      <c r="H850" t="inlineStr">
        <is>
          <t>Medical-Surgical 4 West</t>
        </is>
      </c>
      <c r="I850" t="inlineStr">
        <is>
          <t>Medicine</t>
        </is>
      </c>
      <c r="J850" t="inlineStr">
        <is>
          <t>Hunt, Richard</t>
        </is>
      </c>
      <c r="K850" t="inlineStr">
        <is>
          <t>E11.65</t>
        </is>
      </c>
      <c r="L850" t="inlineStr">
        <is>
          <t>Endocrine</t>
        </is>
      </c>
      <c r="M850" t="inlineStr">
        <is>
          <t>Silverline Medicare Advantage</t>
        </is>
      </c>
      <c r="N850" t="inlineStr">
        <is>
          <t>Medicare Advantage</t>
        </is>
      </c>
      <c r="O850" s="39" t="n">
        <v>11005.35</v>
      </c>
      <c r="P850" t="inlineStr">
        <is>
          <t>N</t>
        </is>
      </c>
    </row>
    <row r="851">
      <c r="A851" t="inlineStr">
        <is>
          <t>ENC115392</t>
        </is>
      </c>
      <c r="B851" t="inlineStr">
        <is>
          <t>PT11598</t>
        </is>
      </c>
      <c r="C851" s="42" t="n">
        <v>45803</v>
      </c>
      <c r="D851" s="42" t="n">
        <v>45810</v>
      </c>
      <c r="E851" s="38" t="n">
        <v>7</v>
      </c>
      <c r="F851" t="inlineStr">
        <is>
          <t>Inpatient</t>
        </is>
      </c>
      <c r="G851" t="inlineStr">
        <is>
          <t>Bluestone Memorial Hospital</t>
        </is>
      </c>
      <c r="H851" t="inlineStr">
        <is>
          <t>Medical-Surgical 5 East</t>
        </is>
      </c>
      <c r="I851" t="inlineStr">
        <is>
          <t>Medicine</t>
        </is>
      </c>
      <c r="J851" t="inlineStr">
        <is>
          <t>Wallace, Alan</t>
        </is>
      </c>
      <c r="K851" t="inlineStr">
        <is>
          <t>L03.115</t>
        </is>
      </c>
      <c r="L851" t="inlineStr">
        <is>
          <t>Skin</t>
        </is>
      </c>
      <c r="M851" t="inlineStr">
        <is>
          <t>Keystone Health Partners</t>
        </is>
      </c>
      <c r="N851" t="inlineStr">
        <is>
          <t>Commercial</t>
        </is>
      </c>
      <c r="O851" s="39" t="n">
        <v>18920</v>
      </c>
      <c r="P851" t="inlineStr">
        <is>
          <t>N</t>
        </is>
      </c>
    </row>
    <row r="852">
      <c r="A852" t="inlineStr">
        <is>
          <t>ENC115403</t>
        </is>
      </c>
      <c r="B852" t="inlineStr">
        <is>
          <t>PT12667</t>
        </is>
      </c>
      <c r="C852" s="42" t="n">
        <v>45803</v>
      </c>
      <c r="D852" s="42" t="n">
        <v>45804</v>
      </c>
      <c r="E852" s="38" t="n">
        <v>1</v>
      </c>
      <c r="F852" t="inlineStr">
        <is>
          <t>Emergency</t>
        </is>
      </c>
      <c r="G852" t="inlineStr">
        <is>
          <t>Bluestone Memorial Hospital</t>
        </is>
      </c>
      <c r="H852" t="inlineStr">
        <is>
          <t>Emergency Department</t>
        </is>
      </c>
      <c r="I852" t="inlineStr">
        <is>
          <t>Emergency</t>
        </is>
      </c>
      <c r="J852" t="inlineStr">
        <is>
          <t>Morris, Jordan</t>
        </is>
      </c>
      <c r="K852" t="inlineStr">
        <is>
          <t>R07.9</t>
        </is>
      </c>
      <c r="L852" t="inlineStr">
        <is>
          <t>Symptoms &amp; Signs</t>
        </is>
      </c>
      <c r="M852" t="inlineStr">
        <is>
          <t>Evergreen Mutual Insurance</t>
        </is>
      </c>
      <c r="N852" t="inlineStr">
        <is>
          <t>Commercial</t>
        </is>
      </c>
      <c r="O852" s="39" t="n">
        <v>3207.4</v>
      </c>
    </row>
    <row r="853">
      <c r="A853" t="inlineStr">
        <is>
          <t>ENC115406</t>
        </is>
      </c>
      <c r="B853" t="inlineStr">
        <is>
          <t>PT12086</t>
        </is>
      </c>
      <c r="C853" s="42" t="n">
        <v>45804</v>
      </c>
      <c r="D853" s="42" t="n">
        <v>45804</v>
      </c>
      <c r="E853" s="38" t="n">
        <v>0</v>
      </c>
      <c r="F853" t="inlineStr">
        <is>
          <t>Emergency</t>
        </is>
      </c>
      <c r="G853" t="inlineStr">
        <is>
          <t>Bluestone Memorial Hospital</t>
        </is>
      </c>
      <c r="H853" t="inlineStr">
        <is>
          <t>Emergency Department</t>
        </is>
      </c>
      <c r="I853" t="inlineStr">
        <is>
          <t>Emergency</t>
        </is>
      </c>
      <c r="J853" t="inlineStr">
        <is>
          <t>Morris, Jordan</t>
        </is>
      </c>
      <c r="K853" t="inlineStr">
        <is>
          <t>J45.909</t>
        </is>
      </c>
      <c r="L853" t="inlineStr">
        <is>
          <t>Respiratory</t>
        </is>
      </c>
      <c r="M853" t="inlineStr">
        <is>
          <t>Keystone Health Partners</t>
        </is>
      </c>
      <c r="N853" t="inlineStr">
        <is>
          <t>Commercial</t>
        </is>
      </c>
      <c r="O853" s="39" t="n">
        <v>3756.69</v>
      </c>
    </row>
    <row r="854">
      <c r="A854" t="inlineStr">
        <is>
          <t>ENC115412</t>
        </is>
      </c>
      <c r="B854" t="inlineStr">
        <is>
          <t>PT13724</t>
        </is>
      </c>
      <c r="C854" s="42" t="n">
        <v>45804</v>
      </c>
      <c r="D854" s="42" t="n">
        <v>45804</v>
      </c>
      <c r="E854" s="38" t="n">
        <v>0</v>
      </c>
      <c r="F854" t="inlineStr">
        <is>
          <t>Emergency</t>
        </is>
      </c>
      <c r="G854" t="inlineStr">
        <is>
          <t>Cedar Ridge Medical Center</t>
        </is>
      </c>
      <c r="H854" t="inlineStr">
        <is>
          <t>Emergency Department</t>
        </is>
      </c>
      <c r="I854" t="inlineStr">
        <is>
          <t>Emergency</t>
        </is>
      </c>
      <c r="J854" t="inlineStr">
        <is>
          <t>Barnes, Gary</t>
        </is>
      </c>
      <c r="K854" t="inlineStr">
        <is>
          <t>U07.1</t>
        </is>
      </c>
      <c r="L854" t="inlineStr">
        <is>
          <t>Respiratory</t>
        </is>
      </c>
      <c r="M854" t="inlineStr">
        <is>
          <t>State Medicaid</t>
        </is>
      </c>
      <c r="N854" t="inlineStr">
        <is>
          <t>Government</t>
        </is>
      </c>
      <c r="O854" s="39" t="n">
        <v>3312.38</v>
      </c>
    </row>
    <row r="855">
      <c r="A855" t="inlineStr">
        <is>
          <t>ENC115417</t>
        </is>
      </c>
      <c r="B855" t="inlineStr">
        <is>
          <t>PT13211</t>
        </is>
      </c>
      <c r="C855" s="42" t="n">
        <v>45804</v>
      </c>
      <c r="D855" s="42" t="n">
        <v>45806</v>
      </c>
      <c r="E855" s="38" t="n">
        <v>2</v>
      </c>
      <c r="F855" t="inlineStr">
        <is>
          <t>Inpatient</t>
        </is>
      </c>
      <c r="G855" t="inlineStr">
        <is>
          <t>Bluestone Memorial Hospital</t>
        </is>
      </c>
      <c r="H855" t="inlineStr">
        <is>
          <t>Medical-Surgical 5 East</t>
        </is>
      </c>
      <c r="I855" t="inlineStr">
        <is>
          <t>Medicine</t>
        </is>
      </c>
      <c r="J855" t="inlineStr">
        <is>
          <t>Ramirez, Emma</t>
        </is>
      </c>
      <c r="K855" t="inlineStr">
        <is>
          <t>L03.115</t>
        </is>
      </c>
      <c r="L855" t="inlineStr">
        <is>
          <t>Skin</t>
        </is>
      </c>
      <c r="M855" t="inlineStr">
        <is>
          <t>Medicare</t>
        </is>
      </c>
      <c r="N855" t="inlineStr">
        <is>
          <t>Government</t>
        </is>
      </c>
      <c r="O855" s="39" t="n">
        <v>11991.83</v>
      </c>
      <c r="P855" t="inlineStr">
        <is>
          <t>Y</t>
        </is>
      </c>
    </row>
    <row r="856">
      <c r="A856" t="inlineStr">
        <is>
          <t>ENC115431</t>
        </is>
      </c>
      <c r="B856" t="inlineStr">
        <is>
          <t>PT10314</t>
        </is>
      </c>
      <c r="C856" s="42" t="n">
        <v>45804</v>
      </c>
      <c r="D856" s="42" t="n">
        <v>45804</v>
      </c>
      <c r="E856" s="38" t="n">
        <v>0</v>
      </c>
      <c r="F856" t="inlineStr">
        <is>
          <t>Emergency</t>
        </is>
      </c>
      <c r="G856" t="inlineStr">
        <is>
          <t>Bluestone Memorial Hospital</t>
        </is>
      </c>
      <c r="H856" t="inlineStr">
        <is>
          <t>Emergency Department</t>
        </is>
      </c>
      <c r="I856" t="inlineStr">
        <is>
          <t>Emergency</t>
        </is>
      </c>
      <c r="J856" t="inlineStr">
        <is>
          <t>Jordan, Wayne</t>
        </is>
      </c>
      <c r="K856" t="inlineStr">
        <is>
          <t>M54.50</t>
        </is>
      </c>
      <c r="L856" t="inlineStr">
        <is>
          <t>Musculoskeletal</t>
        </is>
      </c>
      <c r="M856" t="inlineStr">
        <is>
          <t>Silverline Medicare Advantage</t>
        </is>
      </c>
      <c r="N856" t="inlineStr">
        <is>
          <t>Medicare Advantage</t>
        </is>
      </c>
      <c r="O856" s="39" t="n">
        <v>1533.31</v>
      </c>
    </row>
    <row r="857">
      <c r="A857" t="inlineStr">
        <is>
          <t>ENC115432</t>
        </is>
      </c>
      <c r="B857" t="inlineStr">
        <is>
          <t>PT13238</t>
        </is>
      </c>
      <c r="C857" s="42" t="n">
        <v>45804</v>
      </c>
      <c r="D857" s="42" t="n">
        <v>45807</v>
      </c>
      <c r="E857" s="38" t="n">
        <v>3</v>
      </c>
      <c r="F857" t="inlineStr">
        <is>
          <t>Inpatient</t>
        </is>
      </c>
      <c r="G857" t="inlineStr">
        <is>
          <t>Ashby Falls Community Hospital</t>
        </is>
      </c>
      <c r="H857" t="inlineStr">
        <is>
          <t>Intensive Care Unit</t>
        </is>
      </c>
      <c r="I857" t="inlineStr">
        <is>
          <t>Critical Care</t>
        </is>
      </c>
      <c r="J857" t="inlineStr">
        <is>
          <t>Wallace, Frank</t>
        </is>
      </c>
      <c r="K857" t="inlineStr">
        <is>
          <t>K92.2</t>
        </is>
      </c>
      <c r="L857" t="inlineStr">
        <is>
          <t>Digestive</t>
        </is>
      </c>
      <c r="M857" t="inlineStr">
        <is>
          <t>Medicare</t>
        </is>
      </c>
      <c r="N857" t="inlineStr">
        <is>
          <t>Government</t>
        </is>
      </c>
      <c r="O857" s="39" t="n">
        <v>41301.33</v>
      </c>
      <c r="P857" t="inlineStr">
        <is>
          <t>Y</t>
        </is>
      </c>
    </row>
    <row r="858">
      <c r="A858" t="inlineStr">
        <is>
          <t>ENC115439</t>
        </is>
      </c>
      <c r="B858" t="inlineStr">
        <is>
          <t>PT12093</t>
        </is>
      </c>
      <c r="C858" s="42" t="n">
        <v>45805</v>
      </c>
      <c r="D858" s="42" t="n">
        <v>45805</v>
      </c>
      <c r="E858" s="38" t="n">
        <v>0</v>
      </c>
      <c r="F858" t="inlineStr">
        <is>
          <t>Outpatient</t>
        </is>
      </c>
      <c r="G858" t="inlineStr">
        <is>
          <t>Bluestone Outpatient Pavilion</t>
        </is>
      </c>
      <c r="H858" t="inlineStr">
        <is>
          <t>Endocrinology &amp; Diabetes Clinic</t>
        </is>
      </c>
      <c r="I858" t="inlineStr">
        <is>
          <t>Ambulatory</t>
        </is>
      </c>
      <c r="J858" t="inlineStr">
        <is>
          <t>Rivera, Scott</t>
        </is>
      </c>
      <c r="K858" t="inlineStr">
        <is>
          <t>E11.65</t>
        </is>
      </c>
      <c r="L858" t="inlineStr">
        <is>
          <t>Endocrine</t>
        </is>
      </c>
      <c r="M858" t="inlineStr">
        <is>
          <t>Keystone Health Partners</t>
        </is>
      </c>
      <c r="N858" t="inlineStr">
        <is>
          <t>Commercial</t>
        </is>
      </c>
      <c r="O858" s="39" t="n">
        <v>375.25</v>
      </c>
    </row>
    <row r="859">
      <c r="A859" t="inlineStr">
        <is>
          <t>ENC115441</t>
        </is>
      </c>
      <c r="B859" t="inlineStr">
        <is>
          <t>PT10697</t>
        </is>
      </c>
      <c r="C859" s="42" t="n">
        <v>45805</v>
      </c>
      <c r="D859" s="42" t="n">
        <v>45805</v>
      </c>
      <c r="E859" s="38" t="n">
        <v>0</v>
      </c>
      <c r="F859" t="inlineStr">
        <is>
          <t>Emergency</t>
        </is>
      </c>
      <c r="G859" t="inlineStr">
        <is>
          <t>Bluestone Memorial Hospital</t>
        </is>
      </c>
      <c r="H859" t="inlineStr">
        <is>
          <t>Emergency Department</t>
        </is>
      </c>
      <c r="I859" t="inlineStr">
        <is>
          <t>Emergency</t>
        </is>
      </c>
      <c r="J859" t="inlineStr">
        <is>
          <t>Vasquez, Bruce</t>
        </is>
      </c>
      <c r="K859" t="inlineStr">
        <is>
          <t>A08.4</t>
        </is>
      </c>
      <c r="L859" t="inlineStr">
        <is>
          <t>Infectious</t>
        </is>
      </c>
      <c r="M859" t="inlineStr">
        <is>
          <t>Self-Pay</t>
        </is>
      </c>
      <c r="N859" t="inlineStr">
        <is>
          <t>Self-Pay</t>
        </is>
      </c>
      <c r="O859" s="39" t="n">
        <v>2061.97</v>
      </c>
    </row>
    <row r="860">
      <c r="A860" t="inlineStr">
        <is>
          <t>ENC115443</t>
        </is>
      </c>
      <c r="B860" t="inlineStr">
        <is>
          <t>PT12358</t>
        </is>
      </c>
      <c r="C860" s="42" t="n">
        <v>45805</v>
      </c>
      <c r="D860" s="42" t="n">
        <v>45805</v>
      </c>
      <c r="E860" s="38" t="n">
        <v>0</v>
      </c>
      <c r="F860" t="inlineStr">
        <is>
          <t>Emergency</t>
        </is>
      </c>
      <c r="G860" t="inlineStr">
        <is>
          <t>Ashby Falls Community Hospital</t>
        </is>
      </c>
      <c r="H860" t="inlineStr">
        <is>
          <t>Emergency Department</t>
        </is>
      </c>
      <c r="I860" t="inlineStr">
        <is>
          <t>Emergency</t>
        </is>
      </c>
      <c r="J860" t="inlineStr">
        <is>
          <t>Collins, Frank</t>
        </is>
      </c>
      <c r="K860" t="inlineStr">
        <is>
          <t>N39.0</t>
        </is>
      </c>
      <c r="L860" t="inlineStr">
        <is>
          <t>Genitourinary</t>
        </is>
      </c>
      <c r="M860" t="inlineStr">
        <is>
          <t>Keystone Health Partners</t>
        </is>
      </c>
      <c r="N860" t="inlineStr">
        <is>
          <t>Commercial</t>
        </is>
      </c>
      <c r="O860" s="39" t="n">
        <v>2272.33</v>
      </c>
    </row>
    <row r="861">
      <c r="A861" t="inlineStr">
        <is>
          <t>ENC115452</t>
        </is>
      </c>
      <c r="B861" t="inlineStr">
        <is>
          <t>PT13162</t>
        </is>
      </c>
      <c r="C861" s="42" t="n">
        <v>45805</v>
      </c>
      <c r="D861" s="42" t="n">
        <v>45805</v>
      </c>
      <c r="E861" s="38" t="n">
        <v>0</v>
      </c>
      <c r="F861" t="inlineStr">
        <is>
          <t>Emergency</t>
        </is>
      </c>
      <c r="G861" t="inlineStr">
        <is>
          <t>Bluestone Memorial Hospital</t>
        </is>
      </c>
      <c r="H861" t="inlineStr">
        <is>
          <t>Emergency Department</t>
        </is>
      </c>
      <c r="I861" t="inlineStr">
        <is>
          <t>Emergency</t>
        </is>
      </c>
      <c r="J861" t="inlineStr">
        <is>
          <t>Payne, Nancy</t>
        </is>
      </c>
      <c r="K861" t="inlineStr">
        <is>
          <t>R07.9</t>
        </is>
      </c>
      <c r="L861" t="inlineStr">
        <is>
          <t>Symptoms &amp; Signs</t>
        </is>
      </c>
      <c r="M861" t="inlineStr">
        <is>
          <t>Medicare</t>
        </is>
      </c>
      <c r="N861" t="inlineStr">
        <is>
          <t>Government</t>
        </is>
      </c>
      <c r="O861" s="39" t="n">
        <v>3874.75</v>
      </c>
    </row>
    <row r="862">
      <c r="A862" t="inlineStr">
        <is>
          <t>ENC115458</t>
        </is>
      </c>
      <c r="B862" t="inlineStr">
        <is>
          <t>PT11418</t>
        </is>
      </c>
      <c r="C862" s="42" t="n">
        <v>45805</v>
      </c>
      <c r="D862" s="42" t="n">
        <v>45805</v>
      </c>
      <c r="E862" s="38" t="n">
        <v>0</v>
      </c>
      <c r="F862" t="inlineStr">
        <is>
          <t>Emergency</t>
        </is>
      </c>
      <c r="G862" t="inlineStr">
        <is>
          <t>Bluestone Memorial Hospital</t>
        </is>
      </c>
      <c r="H862" t="inlineStr">
        <is>
          <t>Emergency Department</t>
        </is>
      </c>
      <c r="I862" t="inlineStr">
        <is>
          <t>Emergency</t>
        </is>
      </c>
      <c r="J862" t="inlineStr">
        <is>
          <t>Olson, Christian</t>
        </is>
      </c>
      <c r="K862" t="inlineStr">
        <is>
          <t>J45.909</t>
        </is>
      </c>
      <c r="L862" t="inlineStr">
        <is>
          <t>Respiratory</t>
        </is>
      </c>
      <c r="M862" t="inlineStr">
        <is>
          <t>Keystone Health Partners</t>
        </is>
      </c>
      <c r="N862" t="inlineStr">
        <is>
          <t>Commercial</t>
        </is>
      </c>
      <c r="O862" s="39" t="n">
        <v>1647.83</v>
      </c>
    </row>
    <row r="863">
      <c r="A863" t="inlineStr">
        <is>
          <t>ENC115459</t>
        </is>
      </c>
      <c r="B863" t="inlineStr">
        <is>
          <t>PT10572</t>
        </is>
      </c>
      <c r="C863" s="42" t="n">
        <v>45805</v>
      </c>
      <c r="D863" s="42" t="n">
        <v>45811</v>
      </c>
      <c r="E863" s="38" t="n">
        <v>6</v>
      </c>
      <c r="F863" t="inlineStr">
        <is>
          <t>Inpatient</t>
        </is>
      </c>
      <c r="G863" t="inlineStr">
        <is>
          <t>Ashby Falls Community Hospital</t>
        </is>
      </c>
      <c r="H863" t="inlineStr">
        <is>
          <t>Medical-Surgical</t>
        </is>
      </c>
      <c r="I863" t="inlineStr">
        <is>
          <t>Medicine</t>
        </is>
      </c>
      <c r="J863" t="inlineStr">
        <is>
          <t>Moreno, Melissa</t>
        </is>
      </c>
      <c r="K863" t="inlineStr">
        <is>
          <t>J18.9</t>
        </is>
      </c>
      <c r="L863" t="inlineStr">
        <is>
          <t>Respiratory</t>
        </is>
      </c>
      <c r="M863" t="inlineStr">
        <is>
          <t>Evergreen Mutual Insurance</t>
        </is>
      </c>
      <c r="N863" t="inlineStr">
        <is>
          <t>Commercial</t>
        </is>
      </c>
      <c r="O863" s="39" t="n">
        <v>19714.92</v>
      </c>
      <c r="P863" t="inlineStr">
        <is>
          <t>N</t>
        </is>
      </c>
    </row>
    <row r="864">
      <c r="A864" t="inlineStr">
        <is>
          <t>ENC115461</t>
        </is>
      </c>
      <c r="B864" t="inlineStr">
        <is>
          <t>PT12567</t>
        </is>
      </c>
      <c r="C864" s="42" t="n">
        <v>45805</v>
      </c>
      <c r="D864" s="42" t="n">
        <v>45805</v>
      </c>
      <c r="E864" s="38" t="n">
        <v>0</v>
      </c>
      <c r="F864" t="inlineStr">
        <is>
          <t>Outpatient</t>
        </is>
      </c>
      <c r="G864" t="inlineStr">
        <is>
          <t>Bluestone Outpatient Pavilion</t>
        </is>
      </c>
      <c r="H864" t="inlineStr">
        <is>
          <t>Pediatric Clinic</t>
        </is>
      </c>
      <c r="I864" t="inlineStr">
        <is>
          <t>Women &amp; Children</t>
        </is>
      </c>
      <c r="J864" t="inlineStr">
        <is>
          <t>Herrera, Christian</t>
        </is>
      </c>
      <c r="K864" t="inlineStr">
        <is>
          <t>Z00.129</t>
        </is>
      </c>
      <c r="L864" t="inlineStr">
        <is>
          <t>Factors Influencing Health</t>
        </is>
      </c>
      <c r="M864" t="inlineStr">
        <is>
          <t>Evergreen Mutual Insurance</t>
        </is>
      </c>
      <c r="N864" t="inlineStr">
        <is>
          <t>Commercial</t>
        </is>
      </c>
      <c r="O864" s="39" t="n">
        <v>313.79</v>
      </c>
    </row>
    <row r="865">
      <c r="A865" t="inlineStr">
        <is>
          <t>ENC115467</t>
        </is>
      </c>
      <c r="B865" t="inlineStr">
        <is>
          <t>PT12502</t>
        </is>
      </c>
      <c r="C865" s="42" t="n">
        <v>45805</v>
      </c>
      <c r="D865" s="42" t="n">
        <v>45805</v>
      </c>
      <c r="E865" s="38" t="n">
        <v>0</v>
      </c>
      <c r="F865" t="inlineStr">
        <is>
          <t>Emergency</t>
        </is>
      </c>
      <c r="G865" t="inlineStr">
        <is>
          <t>Ashby Falls Community Hospital</t>
        </is>
      </c>
      <c r="H865" t="inlineStr">
        <is>
          <t>Emergency Department</t>
        </is>
      </c>
      <c r="I865" t="inlineStr">
        <is>
          <t>Emergency</t>
        </is>
      </c>
      <c r="J865" t="inlineStr">
        <is>
          <t>Peters, Megan</t>
        </is>
      </c>
      <c r="K865" t="inlineStr">
        <is>
          <t>S93.401A</t>
        </is>
      </c>
      <c r="L865" t="inlineStr">
        <is>
          <t>Injury</t>
        </is>
      </c>
      <c r="M865" t="inlineStr">
        <is>
          <t>Medicare</t>
        </is>
      </c>
      <c r="N865" t="inlineStr">
        <is>
          <t>Government</t>
        </is>
      </c>
      <c r="O865" s="39" t="n">
        <v>732.77</v>
      </c>
    </row>
    <row r="866">
      <c r="A866" t="inlineStr">
        <is>
          <t>ENC115480</t>
        </is>
      </c>
      <c r="B866" t="inlineStr">
        <is>
          <t>PT10643</t>
        </is>
      </c>
      <c r="C866" s="42" t="n">
        <v>45806</v>
      </c>
      <c r="D866" s="42" t="n">
        <v>45806</v>
      </c>
      <c r="E866" s="38" t="n">
        <v>0</v>
      </c>
      <c r="F866" t="inlineStr">
        <is>
          <t>Outpatient</t>
        </is>
      </c>
      <c r="G866" t="inlineStr">
        <is>
          <t>Bluestone Outpatient Pavilion</t>
        </is>
      </c>
      <c r="H866" t="inlineStr">
        <is>
          <t>Pediatric Clinic</t>
        </is>
      </c>
      <c r="I866" t="inlineStr">
        <is>
          <t>Women &amp; Children</t>
        </is>
      </c>
      <c r="J866" t="inlineStr">
        <is>
          <t>Herrera, Christian</t>
        </is>
      </c>
      <c r="K866" t="inlineStr">
        <is>
          <t>Z00.129</t>
        </is>
      </c>
      <c r="L866" t="inlineStr">
        <is>
          <t>Factors Influencing Health</t>
        </is>
      </c>
      <c r="M866" t="inlineStr">
        <is>
          <t>Keystone Health Partners</t>
        </is>
      </c>
      <c r="N866" t="inlineStr">
        <is>
          <t>Commercial</t>
        </is>
      </c>
      <c r="O866" s="39" t="n">
        <v>260.4</v>
      </c>
    </row>
    <row r="867">
      <c r="A867" t="inlineStr">
        <is>
          <t>ENC115483</t>
        </is>
      </c>
      <c r="B867" t="inlineStr">
        <is>
          <t>PT12326</t>
        </is>
      </c>
      <c r="C867" s="42" t="n">
        <v>45806</v>
      </c>
      <c r="D867" s="42" t="n">
        <v>45806</v>
      </c>
      <c r="E867" s="38" t="n">
        <v>0</v>
      </c>
      <c r="F867" t="inlineStr">
        <is>
          <t>Emergency</t>
        </is>
      </c>
      <c r="G867" t="inlineStr">
        <is>
          <t>Bluestone Memorial Hospital</t>
        </is>
      </c>
      <c r="H867" t="inlineStr">
        <is>
          <t>Emergency Department</t>
        </is>
      </c>
      <c r="I867" t="inlineStr">
        <is>
          <t>Emergency</t>
        </is>
      </c>
      <c r="J867" t="inlineStr">
        <is>
          <t>Morris, Jordan</t>
        </is>
      </c>
      <c r="K867" t="inlineStr">
        <is>
          <t>E86.0</t>
        </is>
      </c>
      <c r="L867" t="inlineStr">
        <is>
          <t>Endocrine</t>
        </is>
      </c>
      <c r="M867" t="inlineStr">
        <is>
          <t>Medicare</t>
        </is>
      </c>
      <c r="N867" t="inlineStr">
        <is>
          <t>Government</t>
        </is>
      </c>
      <c r="O867" s="39" t="n">
        <v>2899.17</v>
      </c>
    </row>
    <row r="868">
      <c r="A868" t="inlineStr">
        <is>
          <t>ENC115486</t>
        </is>
      </c>
      <c r="B868" t="inlineStr">
        <is>
          <t>PT11103</t>
        </is>
      </c>
      <c r="C868" s="42" t="n">
        <v>45806</v>
      </c>
      <c r="D868" s="42" t="n">
        <v>45806</v>
      </c>
      <c r="E868" s="38" t="n">
        <v>0</v>
      </c>
      <c r="F868" t="inlineStr">
        <is>
          <t>Emergency</t>
        </is>
      </c>
      <c r="G868" t="inlineStr">
        <is>
          <t>Bluestone Memorial Hospital</t>
        </is>
      </c>
      <c r="H868" t="inlineStr">
        <is>
          <t>Emergency Department</t>
        </is>
      </c>
      <c r="I868" t="inlineStr">
        <is>
          <t>Emergency</t>
        </is>
      </c>
      <c r="J868" t="inlineStr">
        <is>
          <t>Mendoza, Alexander</t>
        </is>
      </c>
      <c r="K868" t="inlineStr">
        <is>
          <t>M54.50</t>
        </is>
      </c>
      <c r="L868" t="inlineStr">
        <is>
          <t>Musculoskeletal</t>
        </is>
      </c>
      <c r="M868" t="inlineStr">
        <is>
          <t>Keystone Health Partners</t>
        </is>
      </c>
      <c r="N868" t="inlineStr">
        <is>
          <t>Commercial</t>
        </is>
      </c>
      <c r="O868" s="39" t="n">
        <v>942.2</v>
      </c>
    </row>
    <row r="869">
      <c r="A869" t="inlineStr">
        <is>
          <t>ENC115487</t>
        </is>
      </c>
      <c r="B869" t="inlineStr">
        <is>
          <t>PT10717</t>
        </is>
      </c>
      <c r="C869" s="42" t="n">
        <v>45806</v>
      </c>
      <c r="D869" s="42" t="n">
        <v>45806</v>
      </c>
      <c r="E869" s="38" t="n">
        <v>0</v>
      </c>
      <c r="F869" t="inlineStr">
        <is>
          <t>Outpatient</t>
        </is>
      </c>
      <c r="G869" t="inlineStr">
        <is>
          <t>Bluestone Outpatient Pavilion</t>
        </is>
      </c>
      <c r="H869" t="inlineStr">
        <is>
          <t>Primary Care Clinic</t>
        </is>
      </c>
      <c r="I869" t="inlineStr">
        <is>
          <t>Ambulatory</t>
        </is>
      </c>
      <c r="J869" t="inlineStr">
        <is>
          <t>Bennett, Randy</t>
        </is>
      </c>
      <c r="K869" t="inlineStr">
        <is>
          <t>G40.909</t>
        </is>
      </c>
      <c r="L869" t="inlineStr">
        <is>
          <t>Nervous System</t>
        </is>
      </c>
      <c r="M869" t="inlineStr">
        <is>
          <t>Summit Choice PPO</t>
        </is>
      </c>
      <c r="N869" t="inlineStr">
        <is>
          <t>Commercial</t>
        </is>
      </c>
      <c r="O869" s="39" t="n">
        <v>347.94</v>
      </c>
    </row>
    <row r="870">
      <c r="A870" t="inlineStr">
        <is>
          <t>ENC115488</t>
        </is>
      </c>
      <c r="B870" t="inlineStr">
        <is>
          <t>PT12171</t>
        </is>
      </c>
      <c r="C870" s="42" t="n">
        <v>45806</v>
      </c>
      <c r="D870" s="42" t="n">
        <v>45806</v>
      </c>
      <c r="E870" s="38" t="n">
        <v>0</v>
      </c>
      <c r="F870" t="inlineStr">
        <is>
          <t>Outpatient</t>
        </is>
      </c>
      <c r="G870" t="inlineStr">
        <is>
          <t>Bluestone Outpatient Pavilion</t>
        </is>
      </c>
      <c r="H870" t="inlineStr">
        <is>
          <t>Pediatric Clinic</t>
        </is>
      </c>
      <c r="I870" t="inlineStr">
        <is>
          <t>Women &amp; Children</t>
        </is>
      </c>
      <c r="J870" t="inlineStr">
        <is>
          <t>Alvarez, Susan</t>
        </is>
      </c>
      <c r="K870" t="inlineStr">
        <is>
          <t>Z00.129</t>
        </is>
      </c>
      <c r="L870" t="inlineStr">
        <is>
          <t>Factors Influencing Health</t>
        </is>
      </c>
      <c r="M870" t="inlineStr">
        <is>
          <t>State Medicaid</t>
        </is>
      </c>
      <c r="N870" t="inlineStr">
        <is>
          <t>Government</t>
        </is>
      </c>
      <c r="O870" s="39" t="n">
        <v>368.71</v>
      </c>
    </row>
    <row r="871">
      <c r="A871" t="inlineStr">
        <is>
          <t>ENC115502</t>
        </is>
      </c>
      <c r="B871" t="inlineStr">
        <is>
          <t>PT11909</t>
        </is>
      </c>
      <c r="C871" s="42" t="n">
        <v>45807</v>
      </c>
      <c r="D871" s="42" t="n">
        <v>45811</v>
      </c>
      <c r="E871" s="38" t="n">
        <v>4</v>
      </c>
      <c r="F871" t="inlineStr">
        <is>
          <t>Inpatient</t>
        </is>
      </c>
      <c r="G871" t="inlineStr">
        <is>
          <t>Bluestone Memorial Hospital</t>
        </is>
      </c>
      <c r="H871" t="inlineStr">
        <is>
          <t>Behavioral Health</t>
        </is>
      </c>
      <c r="I871" t="inlineStr">
        <is>
          <t>Behavioral Health</t>
        </is>
      </c>
      <c r="J871" t="inlineStr">
        <is>
          <t>Elliott, Emma</t>
        </is>
      </c>
      <c r="K871" t="inlineStr">
        <is>
          <t>F20.9</t>
        </is>
      </c>
      <c r="L871" t="inlineStr">
        <is>
          <t>Mental &amp; Behavioral</t>
        </is>
      </c>
      <c r="M871" t="inlineStr">
        <is>
          <t>Keystone Health Partners</t>
        </is>
      </c>
      <c r="N871" t="inlineStr">
        <is>
          <t>Commercial</t>
        </is>
      </c>
      <c r="O871" s="39" t="n">
        <v>20320.46</v>
      </c>
      <c r="P871" t="inlineStr">
        <is>
          <t>Y</t>
        </is>
      </c>
    </row>
    <row r="872">
      <c r="A872" t="inlineStr">
        <is>
          <t>ENC115501</t>
        </is>
      </c>
      <c r="B872" t="inlineStr">
        <is>
          <t>PT11632</t>
        </is>
      </c>
      <c r="C872" s="42" t="n">
        <v>45807</v>
      </c>
      <c r="D872" s="42" t="n">
        <v>45808</v>
      </c>
      <c r="E872" s="38" t="n">
        <v>1</v>
      </c>
      <c r="F872" t="inlineStr">
        <is>
          <t>Inpatient</t>
        </is>
      </c>
      <c r="G872" t="inlineStr">
        <is>
          <t>Bluestone Memorial Hospital</t>
        </is>
      </c>
      <c r="H872" t="inlineStr">
        <is>
          <t>Medical-Surgical 4 West</t>
        </is>
      </c>
      <c r="I872" t="inlineStr">
        <is>
          <t>Medicine</t>
        </is>
      </c>
      <c r="J872" t="inlineStr">
        <is>
          <t>Wallace, Alan</t>
        </is>
      </c>
      <c r="K872" t="inlineStr">
        <is>
          <t>J18.9</t>
        </is>
      </c>
      <c r="L872" t="inlineStr">
        <is>
          <t>Respiratory</t>
        </is>
      </c>
      <c r="M872" t="inlineStr">
        <is>
          <t>State Medicaid</t>
        </is>
      </c>
      <c r="N872" t="inlineStr">
        <is>
          <t>Government</t>
        </is>
      </c>
      <c r="O872" s="39" t="n">
        <v>6234.09</v>
      </c>
      <c r="P872" t="inlineStr">
        <is>
          <t>N</t>
        </is>
      </c>
    </row>
    <row r="873">
      <c r="A873" t="inlineStr">
        <is>
          <t>ENC115506</t>
        </is>
      </c>
      <c r="B873" t="inlineStr">
        <is>
          <t>PT11758</t>
        </is>
      </c>
      <c r="C873" s="42" t="n">
        <v>45807</v>
      </c>
      <c r="D873" s="42" t="n">
        <v>45807</v>
      </c>
      <c r="E873" s="38" t="n">
        <v>0</v>
      </c>
      <c r="F873" t="inlineStr">
        <is>
          <t>Outpatient</t>
        </is>
      </c>
      <c r="G873" t="inlineStr">
        <is>
          <t>Bluestone Outpatient Pavilion</t>
        </is>
      </c>
      <c r="H873" t="inlineStr">
        <is>
          <t>Orthopedic Clinic</t>
        </is>
      </c>
      <c r="I873" t="inlineStr">
        <is>
          <t>Orthopedics</t>
        </is>
      </c>
      <c r="J873" t="inlineStr">
        <is>
          <t>Wagner, Carlos</t>
        </is>
      </c>
      <c r="K873" t="inlineStr">
        <is>
          <t>M16.11</t>
        </is>
      </c>
      <c r="L873" t="inlineStr">
        <is>
          <t>Musculoskeletal</t>
        </is>
      </c>
      <c r="M873" t="inlineStr">
        <is>
          <t>Self-Pay</t>
        </is>
      </c>
      <c r="N873" t="inlineStr">
        <is>
          <t>Self-Pay</t>
        </is>
      </c>
      <c r="O873" s="39" t="n">
        <v>443.01</v>
      </c>
    </row>
    <row r="874">
      <c r="A874" t="inlineStr">
        <is>
          <t>ENC115516</t>
        </is>
      </c>
      <c r="B874" t="inlineStr">
        <is>
          <t>PT13322</t>
        </is>
      </c>
      <c r="C874" s="42" t="n">
        <v>45807</v>
      </c>
      <c r="D874" s="42" t="n">
        <v>45807</v>
      </c>
      <c r="E874" s="38" t="n">
        <v>0</v>
      </c>
      <c r="F874" t="inlineStr">
        <is>
          <t>Outpatient</t>
        </is>
      </c>
      <c r="G874" t="inlineStr">
        <is>
          <t>Bluestone Outpatient Pavilion</t>
        </is>
      </c>
      <c r="H874" t="inlineStr">
        <is>
          <t>Infusion &amp; Oncology Clinic</t>
        </is>
      </c>
      <c r="I874" t="inlineStr">
        <is>
          <t>Oncology</t>
        </is>
      </c>
      <c r="J874" t="inlineStr">
        <is>
          <t>Hicks, Zachary</t>
        </is>
      </c>
      <c r="K874" t="inlineStr">
        <is>
          <t>Z51.11</t>
        </is>
      </c>
      <c r="L874" t="inlineStr">
        <is>
          <t>Factors Influencing Health</t>
        </is>
      </c>
      <c r="M874" t="inlineStr">
        <is>
          <t>Evergreen Mutual Insurance</t>
        </is>
      </c>
      <c r="N874" t="inlineStr">
        <is>
          <t>Commercial</t>
        </is>
      </c>
      <c r="O874" s="39" t="n">
        <v>12310.61</v>
      </c>
    </row>
    <row r="875">
      <c r="A875" t="inlineStr">
        <is>
          <t>ENC115514</t>
        </is>
      </c>
      <c r="B875" t="inlineStr">
        <is>
          <t>PT13376</t>
        </is>
      </c>
      <c r="C875" s="42" t="n">
        <v>45807</v>
      </c>
      <c r="D875" s="42" t="n">
        <v>45810</v>
      </c>
      <c r="E875" s="38" t="n">
        <v>3</v>
      </c>
      <c r="F875" t="inlineStr">
        <is>
          <t>Inpatient</t>
        </is>
      </c>
      <c r="G875" t="inlineStr">
        <is>
          <t>Bluestone Memorial Hospital</t>
        </is>
      </c>
      <c r="H875" t="inlineStr">
        <is>
          <t>Medical-Surgical 5 East</t>
        </is>
      </c>
      <c r="I875" t="inlineStr">
        <is>
          <t>Medicine</t>
        </is>
      </c>
      <c r="J875" t="inlineStr">
        <is>
          <t>Russell, Larry</t>
        </is>
      </c>
      <c r="K875" t="inlineStr">
        <is>
          <t>J44.1</t>
        </is>
      </c>
      <c r="L875" t="inlineStr">
        <is>
          <t>Respiratory</t>
        </is>
      </c>
      <c r="M875" t="inlineStr">
        <is>
          <t>State Medicaid</t>
        </is>
      </c>
      <c r="N875" t="inlineStr">
        <is>
          <t>Government</t>
        </is>
      </c>
      <c r="O875" s="39" t="n">
        <v>20833.87</v>
      </c>
      <c r="P875" t="inlineStr">
        <is>
          <t>Y</t>
        </is>
      </c>
    </row>
    <row r="876">
      <c r="A876" t="inlineStr">
        <is>
          <t>ENC115519</t>
        </is>
      </c>
      <c r="B876" t="inlineStr">
        <is>
          <t>PT13651</t>
        </is>
      </c>
      <c r="C876" s="42" t="n">
        <v>45807</v>
      </c>
      <c r="D876" s="42" t="n">
        <v>45807</v>
      </c>
      <c r="E876" s="38" t="n">
        <v>0</v>
      </c>
      <c r="F876" t="inlineStr">
        <is>
          <t>Outpatient</t>
        </is>
      </c>
      <c r="G876" t="inlineStr">
        <is>
          <t>Bluestone Outpatient Pavilion</t>
        </is>
      </c>
      <c r="H876" t="inlineStr">
        <is>
          <t>Primary Care Clinic</t>
        </is>
      </c>
      <c r="I876" t="inlineStr">
        <is>
          <t>Ambulatory</t>
        </is>
      </c>
      <c r="J876" t="inlineStr">
        <is>
          <t>Bennett, Randy</t>
        </is>
      </c>
      <c r="K876" t="inlineStr">
        <is>
          <t>F41.9</t>
        </is>
      </c>
      <c r="L876" t="inlineStr">
        <is>
          <t>Mental &amp; Behavioral</t>
        </is>
      </c>
      <c r="M876" t="inlineStr">
        <is>
          <t>Summit Choice PPO</t>
        </is>
      </c>
      <c r="N876" t="inlineStr">
        <is>
          <t>Commercial</t>
        </is>
      </c>
      <c r="O876" s="39" t="n">
        <v>408.81</v>
      </c>
    </row>
    <row r="877">
      <c r="A877" t="inlineStr">
        <is>
          <t>ENC115522</t>
        </is>
      </c>
      <c r="B877" t="inlineStr">
        <is>
          <t>PT13770</t>
        </is>
      </c>
      <c r="C877" s="42" t="n">
        <v>45807</v>
      </c>
      <c r="D877" s="42" t="n">
        <v>45807</v>
      </c>
      <c r="E877" s="38" t="n">
        <v>0</v>
      </c>
      <c r="F877" t="inlineStr">
        <is>
          <t>Outpatient</t>
        </is>
      </c>
      <c r="G877" t="inlineStr">
        <is>
          <t>Bluestone Outpatient Pavilion</t>
        </is>
      </c>
      <c r="H877" t="inlineStr">
        <is>
          <t>Cardiology Clinic</t>
        </is>
      </c>
      <c r="I877" t="inlineStr">
        <is>
          <t>Cardiovascular</t>
        </is>
      </c>
      <c r="J877" t="inlineStr">
        <is>
          <t>Brooks, Edward</t>
        </is>
      </c>
      <c r="K877" t="inlineStr">
        <is>
          <t>I48.91</t>
        </is>
      </c>
      <c r="L877" t="inlineStr">
        <is>
          <t>Circulatory</t>
        </is>
      </c>
      <c r="M877" t="inlineStr">
        <is>
          <t>State Medicaid</t>
        </is>
      </c>
      <c r="N877" t="inlineStr">
        <is>
          <t>Government</t>
        </is>
      </c>
      <c r="O877" s="39" t="n">
        <v>277.21</v>
      </c>
    </row>
    <row r="878">
      <c r="A878" t="inlineStr">
        <is>
          <t>ENC115537</t>
        </is>
      </c>
      <c r="B878" t="inlineStr">
        <is>
          <t>PT13928</t>
        </is>
      </c>
      <c r="C878" s="42" t="n">
        <v>45808</v>
      </c>
      <c r="D878" s="42" t="n">
        <v>45808</v>
      </c>
      <c r="E878" s="38" t="n">
        <v>0</v>
      </c>
      <c r="F878" t="inlineStr">
        <is>
          <t>Emergency</t>
        </is>
      </c>
      <c r="G878" t="inlineStr">
        <is>
          <t>Ashby Falls Community Hospital</t>
        </is>
      </c>
      <c r="H878" t="inlineStr">
        <is>
          <t>Emergency Department</t>
        </is>
      </c>
      <c r="I878" t="inlineStr">
        <is>
          <t>Emergency</t>
        </is>
      </c>
      <c r="J878" t="inlineStr">
        <is>
          <t>Peters, Megan</t>
        </is>
      </c>
      <c r="K878" t="inlineStr">
        <is>
          <t>F10.239</t>
        </is>
      </c>
      <c r="L878" t="inlineStr">
        <is>
          <t>Mental &amp; Behavioral</t>
        </is>
      </c>
      <c r="M878" t="inlineStr">
        <is>
          <t>Medicare</t>
        </is>
      </c>
      <c r="N878" t="inlineStr">
        <is>
          <t>Government</t>
        </is>
      </c>
      <c r="O878" s="39" t="n">
        <v>5358.68</v>
      </c>
    </row>
    <row r="879">
      <c r="A879" t="inlineStr">
        <is>
          <t>ENC115542</t>
        </is>
      </c>
      <c r="B879" t="inlineStr">
        <is>
          <t>PT12488</t>
        </is>
      </c>
      <c r="C879" s="42" t="n">
        <v>45809</v>
      </c>
      <c r="D879" s="42" t="n">
        <v>45810</v>
      </c>
      <c r="E879" s="38" t="n">
        <v>1</v>
      </c>
      <c r="F879" t="inlineStr">
        <is>
          <t>Inpatient</t>
        </is>
      </c>
      <c r="G879" t="inlineStr">
        <is>
          <t>Bluestone Memorial Hospital</t>
        </is>
      </c>
      <c r="H879" t="inlineStr">
        <is>
          <t>Labor &amp; Delivery</t>
        </is>
      </c>
      <c r="I879" t="inlineStr">
        <is>
          <t>Women &amp; Children</t>
        </is>
      </c>
      <c r="J879" t="inlineStr">
        <is>
          <t>Hill, Andrea</t>
        </is>
      </c>
      <c r="K879" t="inlineStr">
        <is>
          <t>O80</t>
        </is>
      </c>
      <c r="L879" t="inlineStr">
        <is>
          <t>Pregnancy</t>
        </is>
      </c>
      <c r="M879" t="inlineStr">
        <is>
          <t>Summit Choice PPO</t>
        </is>
      </c>
      <c r="N879" t="inlineStr">
        <is>
          <t>Commercial</t>
        </is>
      </c>
      <c r="O879" s="39" t="n">
        <v>14896.64</v>
      </c>
      <c r="P879" t="inlineStr">
        <is>
          <t>N</t>
        </is>
      </c>
    </row>
    <row r="880">
      <c r="A880" t="inlineStr">
        <is>
          <t>ENC115550</t>
        </is>
      </c>
      <c r="B880" t="inlineStr">
        <is>
          <t>PT10398</t>
        </is>
      </c>
      <c r="C880" s="42" t="n">
        <v>45809</v>
      </c>
      <c r="D880" s="42" t="n">
        <v>45809</v>
      </c>
      <c r="E880" s="38" t="n">
        <v>0</v>
      </c>
      <c r="F880" t="inlineStr">
        <is>
          <t>Emergency</t>
        </is>
      </c>
      <c r="G880" t="inlineStr">
        <is>
          <t>Cedar Ridge Medical Center</t>
        </is>
      </c>
      <c r="H880" t="inlineStr">
        <is>
          <t>Emergency Department</t>
        </is>
      </c>
      <c r="I880" t="inlineStr">
        <is>
          <t>Emergency</t>
        </is>
      </c>
      <c r="J880" t="inlineStr">
        <is>
          <t>Barnes, Gary</t>
        </is>
      </c>
      <c r="K880" t="inlineStr">
        <is>
          <t>R07.9</t>
        </is>
      </c>
      <c r="L880" t="inlineStr">
        <is>
          <t>Symptoms &amp; Signs</t>
        </is>
      </c>
      <c r="M880" t="inlineStr">
        <is>
          <t>Medicare</t>
        </is>
      </c>
      <c r="N880" t="inlineStr">
        <is>
          <t>Government</t>
        </is>
      </c>
      <c r="O880" s="39" t="n">
        <v>6284.26</v>
      </c>
    </row>
    <row r="881">
      <c r="A881" t="inlineStr">
        <is>
          <t>ENC115551</t>
        </is>
      </c>
      <c r="B881" t="inlineStr">
        <is>
          <t>PT11334</t>
        </is>
      </c>
      <c r="C881" s="42" t="n">
        <v>45809</v>
      </c>
      <c r="D881" s="42" t="n">
        <v>45809</v>
      </c>
      <c r="E881" s="38" t="n">
        <v>0</v>
      </c>
      <c r="F881" t="inlineStr">
        <is>
          <t>Emergency</t>
        </is>
      </c>
      <c r="G881" t="inlineStr">
        <is>
          <t>Ashby Falls Community Hospital</t>
        </is>
      </c>
      <c r="H881" t="inlineStr">
        <is>
          <t>Emergency Department</t>
        </is>
      </c>
      <c r="I881" t="inlineStr">
        <is>
          <t>Emergency</t>
        </is>
      </c>
      <c r="J881" t="inlineStr">
        <is>
          <t>Wright, Bruce</t>
        </is>
      </c>
      <c r="K881" t="inlineStr">
        <is>
          <t>S06.0X0A</t>
        </is>
      </c>
      <c r="L881" t="inlineStr">
        <is>
          <t>Injury</t>
        </is>
      </c>
      <c r="M881" t="inlineStr">
        <is>
          <t>Self-Pay</t>
        </is>
      </c>
      <c r="N881" t="inlineStr">
        <is>
          <t>Self-Pay</t>
        </is>
      </c>
      <c r="O881" s="39" t="n">
        <v>2660.19</v>
      </c>
    </row>
    <row r="882">
      <c r="A882" t="inlineStr">
        <is>
          <t>ENC115559</t>
        </is>
      </c>
      <c r="B882" t="inlineStr">
        <is>
          <t>PT10559</t>
        </is>
      </c>
      <c r="C882" s="42" t="n">
        <v>45809</v>
      </c>
      <c r="D882" s="42" t="n">
        <v>45810</v>
      </c>
      <c r="E882" s="38" t="n">
        <v>1</v>
      </c>
      <c r="F882" t="inlineStr">
        <is>
          <t>Observation</t>
        </is>
      </c>
      <c r="G882" t="inlineStr">
        <is>
          <t>Bluestone Memorial Hospital</t>
        </is>
      </c>
      <c r="H882" t="inlineStr">
        <is>
          <t>Observation Unit</t>
        </is>
      </c>
      <c r="I882" t="inlineStr">
        <is>
          <t>Medicine</t>
        </is>
      </c>
      <c r="J882" t="inlineStr">
        <is>
          <t>Price, Juan</t>
        </is>
      </c>
      <c r="K882" t="inlineStr">
        <is>
          <t>E86.0</t>
        </is>
      </c>
      <c r="L882" t="inlineStr">
        <is>
          <t>Endocrine</t>
        </is>
      </c>
      <c r="M882" t="inlineStr">
        <is>
          <t>State Medicaid</t>
        </is>
      </c>
      <c r="N882" t="inlineStr">
        <is>
          <t>Government</t>
        </is>
      </c>
      <c r="O882" s="39" t="n">
        <v>4216.66</v>
      </c>
    </row>
    <row r="883">
      <c r="A883" t="inlineStr">
        <is>
          <t>ENC115561</t>
        </is>
      </c>
      <c r="B883" t="inlineStr">
        <is>
          <t>PT12916</t>
        </is>
      </c>
      <c r="C883" s="42" t="n">
        <v>45809</v>
      </c>
      <c r="D883" s="42" t="n">
        <v>45810</v>
      </c>
      <c r="E883" s="38" t="n">
        <v>1</v>
      </c>
      <c r="F883" t="inlineStr">
        <is>
          <t>Emergency</t>
        </is>
      </c>
      <c r="G883" t="inlineStr">
        <is>
          <t>Bluestone Memorial Hospital</t>
        </is>
      </c>
      <c r="H883" t="inlineStr">
        <is>
          <t>Emergency Department</t>
        </is>
      </c>
      <c r="I883" t="inlineStr">
        <is>
          <t>Emergency</t>
        </is>
      </c>
      <c r="J883" t="inlineStr">
        <is>
          <t>Foster, Patrick</t>
        </is>
      </c>
      <c r="K883" t="inlineStr">
        <is>
          <t>E11.65</t>
        </is>
      </c>
      <c r="L883" t="inlineStr">
        <is>
          <t>Endocrine</t>
        </is>
      </c>
      <c r="M883" t="inlineStr">
        <is>
          <t>State Medicaid</t>
        </is>
      </c>
      <c r="N883" t="inlineStr">
        <is>
          <t>Government</t>
        </is>
      </c>
      <c r="O883" s="39" t="n">
        <v>2607.61</v>
      </c>
    </row>
    <row r="884">
      <c r="A884" t="inlineStr">
        <is>
          <t>ENC115566</t>
        </is>
      </c>
      <c r="B884" t="inlineStr">
        <is>
          <t>PT13582</t>
        </is>
      </c>
      <c r="C884" s="42" t="n">
        <v>45810</v>
      </c>
      <c r="D884" s="42" t="n">
        <v>45811</v>
      </c>
      <c r="E884" s="38" t="n">
        <v>1</v>
      </c>
      <c r="F884" t="inlineStr">
        <is>
          <t>Observation</t>
        </is>
      </c>
      <c r="G884" t="inlineStr">
        <is>
          <t>Bluestone Memorial Hospital</t>
        </is>
      </c>
      <c r="H884" t="inlineStr">
        <is>
          <t>Observation Unit</t>
        </is>
      </c>
      <c r="I884" t="inlineStr">
        <is>
          <t>Medicine</t>
        </is>
      </c>
      <c r="J884" t="inlineStr">
        <is>
          <t>Abbott, Isabella</t>
        </is>
      </c>
      <c r="K884" t="inlineStr">
        <is>
          <t>G40.909</t>
        </is>
      </c>
      <c r="L884" t="inlineStr">
        <is>
          <t>Nervous System</t>
        </is>
      </c>
      <c r="M884" t="inlineStr">
        <is>
          <t>Medicare</t>
        </is>
      </c>
      <c r="N884" t="inlineStr">
        <is>
          <t>Government</t>
        </is>
      </c>
      <c r="O884" s="39" t="n">
        <v>4631.44</v>
      </c>
    </row>
    <row r="885">
      <c r="A885" t="inlineStr">
        <is>
          <t>ENC115567</t>
        </is>
      </c>
      <c r="B885" t="inlineStr">
        <is>
          <t>PT13212</t>
        </is>
      </c>
      <c r="C885" s="42" t="n">
        <v>45810</v>
      </c>
      <c r="D885" s="42" t="n">
        <v>45810</v>
      </c>
      <c r="E885" s="38" t="n">
        <v>0</v>
      </c>
      <c r="F885" t="inlineStr">
        <is>
          <t>Outpatient</t>
        </is>
      </c>
      <c r="G885" t="inlineStr">
        <is>
          <t>Bluestone Outpatient Pavilion</t>
        </is>
      </c>
      <c r="H885" t="inlineStr">
        <is>
          <t>Infusion &amp; Oncology Clinic</t>
        </is>
      </c>
      <c r="I885" t="inlineStr">
        <is>
          <t>Oncology</t>
        </is>
      </c>
      <c r="J885" t="inlineStr">
        <is>
          <t>Cooper, Logan</t>
        </is>
      </c>
      <c r="K885" t="inlineStr">
        <is>
          <t>Z51.11</t>
        </is>
      </c>
      <c r="L885" t="inlineStr">
        <is>
          <t>Factors Influencing Health</t>
        </is>
      </c>
      <c r="M885" t="inlineStr">
        <is>
          <t>Summit Choice PPO</t>
        </is>
      </c>
      <c r="N885" t="inlineStr">
        <is>
          <t>Commercial</t>
        </is>
      </c>
      <c r="O885" s="39" t="n">
        <v>11603.25</v>
      </c>
    </row>
    <row r="886">
      <c r="A886" t="inlineStr">
        <is>
          <t>ENC115583</t>
        </is>
      </c>
      <c r="B886" t="inlineStr">
        <is>
          <t>PT11942</t>
        </is>
      </c>
      <c r="C886" s="42" t="n">
        <v>45810</v>
      </c>
      <c r="D886" s="42" t="n">
        <v>45810</v>
      </c>
      <c r="E886" s="38" t="n">
        <v>0</v>
      </c>
      <c r="F886" t="inlineStr">
        <is>
          <t>Emergency</t>
        </is>
      </c>
      <c r="G886" t="inlineStr">
        <is>
          <t>Bluestone Memorial Hospital</t>
        </is>
      </c>
      <c r="H886" t="inlineStr">
        <is>
          <t>Emergency Department</t>
        </is>
      </c>
      <c r="I886" t="inlineStr">
        <is>
          <t>Emergency</t>
        </is>
      </c>
      <c r="J886" t="inlineStr">
        <is>
          <t>Payne, Nancy</t>
        </is>
      </c>
      <c r="K886" t="inlineStr">
        <is>
          <t>N39.0</t>
        </is>
      </c>
      <c r="L886" t="inlineStr">
        <is>
          <t>Genitourinary</t>
        </is>
      </c>
      <c r="M886" t="inlineStr">
        <is>
          <t>Medicare</t>
        </is>
      </c>
      <c r="N886" t="inlineStr">
        <is>
          <t>Government</t>
        </is>
      </c>
      <c r="O886" s="39" t="n">
        <v>3378.2</v>
      </c>
    </row>
    <row r="887">
      <c r="A887" t="inlineStr">
        <is>
          <t>ENC115602</t>
        </is>
      </c>
      <c r="B887" t="inlineStr">
        <is>
          <t>PT10245</t>
        </is>
      </c>
      <c r="C887" s="42" t="n">
        <v>45811</v>
      </c>
      <c r="D887" s="42" t="n">
        <v>45811</v>
      </c>
      <c r="E887" s="38" t="n">
        <v>0</v>
      </c>
      <c r="F887" t="inlineStr">
        <is>
          <t>Emergency</t>
        </is>
      </c>
      <c r="G887" t="inlineStr">
        <is>
          <t>Bluestone Memorial Hospital</t>
        </is>
      </c>
      <c r="H887" t="inlineStr">
        <is>
          <t>Emergency Department</t>
        </is>
      </c>
      <c r="I887" t="inlineStr">
        <is>
          <t>Emergency</t>
        </is>
      </c>
      <c r="J887" t="inlineStr">
        <is>
          <t>Gonzales, Mia</t>
        </is>
      </c>
      <c r="K887" t="inlineStr">
        <is>
          <t>A08.4</t>
        </is>
      </c>
      <c r="L887" t="inlineStr">
        <is>
          <t>Infectious</t>
        </is>
      </c>
      <c r="M887" t="inlineStr">
        <is>
          <t>Evergreen Mutual Insurance</t>
        </is>
      </c>
      <c r="N887" t="inlineStr">
        <is>
          <t>Commercial</t>
        </is>
      </c>
      <c r="O887" s="39" t="n">
        <v>676.15</v>
      </c>
    </row>
    <row r="888">
      <c r="A888" t="inlineStr">
        <is>
          <t>ENC115606</t>
        </is>
      </c>
      <c r="B888" t="inlineStr">
        <is>
          <t>PT11269</t>
        </is>
      </c>
      <c r="C888" s="42" t="n">
        <v>45811</v>
      </c>
      <c r="D888" s="42" t="n">
        <v>45811</v>
      </c>
      <c r="E888" s="38" t="n">
        <v>0</v>
      </c>
      <c r="F888" t="inlineStr">
        <is>
          <t>Outpatient</t>
        </is>
      </c>
      <c r="G888" t="inlineStr">
        <is>
          <t>Bluestone Outpatient Pavilion</t>
        </is>
      </c>
      <c r="H888" t="inlineStr">
        <is>
          <t>Primary Care Clinic</t>
        </is>
      </c>
      <c r="I888" t="inlineStr">
        <is>
          <t>Ambulatory</t>
        </is>
      </c>
      <c r="J888" t="inlineStr">
        <is>
          <t>Nguyen, Isabella</t>
        </is>
      </c>
      <c r="K888" t="inlineStr">
        <is>
          <t>Z00.00</t>
        </is>
      </c>
      <c r="L888" t="inlineStr">
        <is>
          <t>Factors Influencing Health</t>
        </is>
      </c>
      <c r="M888" t="inlineStr">
        <is>
          <t>Summit Choice PPO</t>
        </is>
      </c>
      <c r="N888" t="inlineStr">
        <is>
          <t>Commercial</t>
        </is>
      </c>
      <c r="O888" s="39" t="n">
        <v>293.93</v>
      </c>
    </row>
    <row r="889">
      <c r="A889" t="inlineStr">
        <is>
          <t>ENC115607</t>
        </is>
      </c>
      <c r="B889" t="inlineStr">
        <is>
          <t>PT10941</t>
        </is>
      </c>
      <c r="C889" s="42" t="n">
        <v>45811</v>
      </c>
      <c r="D889" s="42" t="n">
        <v>45811</v>
      </c>
      <c r="E889" s="38" t="n">
        <v>0</v>
      </c>
      <c r="F889" t="inlineStr">
        <is>
          <t>Outpatient</t>
        </is>
      </c>
      <c r="G889" t="inlineStr">
        <is>
          <t>Bluestone Outpatient Pavilion</t>
        </is>
      </c>
      <c r="H889" t="inlineStr">
        <is>
          <t>Endocrinology &amp; Diabetes Clinic</t>
        </is>
      </c>
      <c r="I889" t="inlineStr">
        <is>
          <t>Ambulatory</t>
        </is>
      </c>
      <c r="J889" t="inlineStr">
        <is>
          <t>Rivera, Scott</t>
        </is>
      </c>
      <c r="K889" t="inlineStr">
        <is>
          <t>E11.65</t>
        </is>
      </c>
      <c r="L889" t="inlineStr">
        <is>
          <t>Endocrine</t>
        </is>
      </c>
      <c r="M889" t="inlineStr">
        <is>
          <t>Medicare</t>
        </is>
      </c>
      <c r="N889" t="inlineStr">
        <is>
          <t>Government</t>
        </is>
      </c>
      <c r="O889" s="39" t="n">
        <v>178.39</v>
      </c>
    </row>
    <row r="890">
      <c r="A890" t="inlineStr">
        <is>
          <t>ENC115604</t>
        </is>
      </c>
      <c r="B890" t="inlineStr">
        <is>
          <t>PT12442</t>
        </is>
      </c>
      <c r="C890" s="42" t="n">
        <v>45811</v>
      </c>
      <c r="D890" s="42" t="n">
        <v>45815</v>
      </c>
      <c r="E890" s="38" t="n">
        <v>4</v>
      </c>
      <c r="F890" t="inlineStr">
        <is>
          <t>Inpatient</t>
        </is>
      </c>
      <c r="G890" t="inlineStr">
        <is>
          <t>Bluestone Memorial Hospital</t>
        </is>
      </c>
      <c r="H890" t="inlineStr">
        <is>
          <t>Medical-Surgical 4 West</t>
        </is>
      </c>
      <c r="I890" t="inlineStr">
        <is>
          <t>Medicine</t>
        </is>
      </c>
      <c r="J890" t="inlineStr">
        <is>
          <t>Hunt, Richard</t>
        </is>
      </c>
      <c r="K890" t="inlineStr">
        <is>
          <t>N39.0</t>
        </is>
      </c>
      <c r="L890" t="inlineStr">
        <is>
          <t>Genitourinary</t>
        </is>
      </c>
      <c r="M890" t="inlineStr">
        <is>
          <t>Keystone Health Partners</t>
        </is>
      </c>
      <c r="N890" t="inlineStr">
        <is>
          <t>Commercial</t>
        </is>
      </c>
      <c r="O890" s="39" t="n">
        <v>15035.01</v>
      </c>
      <c r="P890" t="inlineStr">
        <is>
          <t>N</t>
        </is>
      </c>
    </row>
    <row r="891">
      <c r="A891" t="inlineStr">
        <is>
          <t>ENC115611</t>
        </is>
      </c>
      <c r="B891" t="inlineStr">
        <is>
          <t>PT11546</t>
        </is>
      </c>
      <c r="C891" s="42" t="n">
        <v>45811</v>
      </c>
      <c r="D891" s="42" t="n">
        <v>45811</v>
      </c>
      <c r="E891" s="38" t="n">
        <v>0</v>
      </c>
      <c r="F891" t="inlineStr">
        <is>
          <t>Outpatient</t>
        </is>
      </c>
      <c r="G891" t="inlineStr">
        <is>
          <t>Bluestone Outpatient Pavilion</t>
        </is>
      </c>
      <c r="H891" t="inlineStr">
        <is>
          <t>Primary Care Clinic</t>
        </is>
      </c>
      <c r="I891" t="inlineStr">
        <is>
          <t>Ambulatory</t>
        </is>
      </c>
      <c r="J891" t="inlineStr">
        <is>
          <t>Black, Nancy</t>
        </is>
      </c>
      <c r="K891" t="inlineStr">
        <is>
          <t>J06.9</t>
        </is>
      </c>
      <c r="L891" t="inlineStr">
        <is>
          <t>Respiratory</t>
        </is>
      </c>
      <c r="M891" t="inlineStr">
        <is>
          <t>Silverline Medicare Advantage</t>
        </is>
      </c>
      <c r="N891" t="inlineStr">
        <is>
          <t>Medicare Advantage</t>
        </is>
      </c>
      <c r="O891" s="39" t="n">
        <v>265.57</v>
      </c>
    </row>
    <row r="892">
      <c r="A892" t="inlineStr">
        <is>
          <t>ENC115612</t>
        </is>
      </c>
      <c r="B892" t="inlineStr">
        <is>
          <t>PT13569</t>
        </is>
      </c>
      <c r="C892" s="42" t="n">
        <v>45811</v>
      </c>
      <c r="D892" s="42" t="n">
        <v>45811</v>
      </c>
      <c r="E892" s="38" t="n">
        <v>0</v>
      </c>
      <c r="F892" t="inlineStr">
        <is>
          <t>Outpatient</t>
        </is>
      </c>
      <c r="G892" t="inlineStr">
        <is>
          <t>Bluestone Outpatient Pavilion</t>
        </is>
      </c>
      <c r="H892" t="inlineStr">
        <is>
          <t>Primary Care Clinic</t>
        </is>
      </c>
      <c r="I892" t="inlineStr">
        <is>
          <t>Ambulatory</t>
        </is>
      </c>
      <c r="J892" t="inlineStr">
        <is>
          <t>Elliott, Douglas</t>
        </is>
      </c>
      <c r="K892" t="inlineStr">
        <is>
          <t>Z00.00</t>
        </is>
      </c>
      <c r="L892" t="inlineStr">
        <is>
          <t>Factors Influencing Health</t>
        </is>
      </c>
      <c r="M892" t="inlineStr">
        <is>
          <t>State Medicaid</t>
        </is>
      </c>
      <c r="N892" t="inlineStr">
        <is>
          <t>Government</t>
        </is>
      </c>
      <c r="O892" s="39" t="n">
        <v>375.59</v>
      </c>
    </row>
    <row r="893">
      <c r="A893" t="inlineStr">
        <is>
          <t>ENC115617</t>
        </is>
      </c>
      <c r="B893" t="inlineStr">
        <is>
          <t>PT11257</t>
        </is>
      </c>
      <c r="C893" s="42" t="n">
        <v>45811</v>
      </c>
      <c r="D893" s="42" t="n">
        <v>45811</v>
      </c>
      <c r="E893" s="38" t="n">
        <v>0</v>
      </c>
      <c r="F893" t="inlineStr">
        <is>
          <t>Outpatient</t>
        </is>
      </c>
      <c r="G893" t="inlineStr">
        <is>
          <t>Bluestone Outpatient Pavilion</t>
        </is>
      </c>
      <c r="H893" t="inlineStr">
        <is>
          <t>Primary Care Clinic</t>
        </is>
      </c>
      <c r="I893" t="inlineStr">
        <is>
          <t>Ambulatory</t>
        </is>
      </c>
      <c r="J893" t="inlineStr">
        <is>
          <t>Bennett, Randy</t>
        </is>
      </c>
      <c r="K893" t="inlineStr">
        <is>
          <t>I10</t>
        </is>
      </c>
      <c r="L893" t="inlineStr">
        <is>
          <t>Circulatory</t>
        </is>
      </c>
      <c r="M893" t="inlineStr">
        <is>
          <t>Evergreen Mutual Insurance</t>
        </is>
      </c>
      <c r="N893" t="inlineStr">
        <is>
          <t>Commercial</t>
        </is>
      </c>
      <c r="O893" s="39" t="n">
        <v>126.16</v>
      </c>
    </row>
    <row r="894">
      <c r="A894" t="inlineStr">
        <is>
          <t>ENC115622</t>
        </is>
      </c>
      <c r="B894" t="inlineStr">
        <is>
          <t>PT12410</t>
        </is>
      </c>
      <c r="C894" s="42" t="n">
        <v>45811</v>
      </c>
      <c r="D894" s="42" t="n">
        <v>45811</v>
      </c>
      <c r="E894" s="38" t="n">
        <v>0</v>
      </c>
      <c r="F894" t="inlineStr">
        <is>
          <t>Emergency</t>
        </is>
      </c>
      <c r="G894" t="inlineStr">
        <is>
          <t>Cedar Ridge Medical Center</t>
        </is>
      </c>
      <c r="H894" t="inlineStr">
        <is>
          <t>Emergency Department</t>
        </is>
      </c>
      <c r="I894" t="inlineStr">
        <is>
          <t>Emergency</t>
        </is>
      </c>
      <c r="J894" t="inlineStr">
        <is>
          <t>Warren, Victoria</t>
        </is>
      </c>
      <c r="K894" t="inlineStr">
        <is>
          <t>E11.9</t>
        </is>
      </c>
      <c r="L894" t="inlineStr">
        <is>
          <t>Endocrine</t>
        </is>
      </c>
      <c r="M894" t="inlineStr">
        <is>
          <t>Evergreen Mutual Insurance</t>
        </is>
      </c>
      <c r="N894" t="inlineStr">
        <is>
          <t>Commercial</t>
        </is>
      </c>
      <c r="O894" s="39" t="n">
        <v>3914.4</v>
      </c>
    </row>
    <row r="895">
      <c r="A895" t="inlineStr">
        <is>
          <t>ENC115630</t>
        </is>
      </c>
      <c r="B895" t="inlineStr">
        <is>
          <t>PT12633</t>
        </is>
      </c>
      <c r="C895" s="42" t="n">
        <v>45812</v>
      </c>
      <c r="D895" s="42" t="n">
        <v>45814</v>
      </c>
      <c r="E895" s="38" t="n">
        <v>2</v>
      </c>
      <c r="F895" t="inlineStr">
        <is>
          <t>Inpatient</t>
        </is>
      </c>
      <c r="G895" t="inlineStr">
        <is>
          <t>Bluestone Memorial Hospital</t>
        </is>
      </c>
      <c r="H895" t="inlineStr">
        <is>
          <t>Labor &amp; Delivery</t>
        </is>
      </c>
      <c r="I895" t="inlineStr">
        <is>
          <t>Women &amp; Children</t>
        </is>
      </c>
      <c r="J895" t="inlineStr">
        <is>
          <t>Phillips, Sophia</t>
        </is>
      </c>
      <c r="K895" t="inlineStr">
        <is>
          <t>O80</t>
        </is>
      </c>
      <c r="L895" t="inlineStr">
        <is>
          <t>Pregnancy</t>
        </is>
      </c>
      <c r="M895" t="inlineStr">
        <is>
          <t>Evergreen Mutual Insurance</t>
        </is>
      </c>
      <c r="N895" t="inlineStr">
        <is>
          <t>Commercial</t>
        </is>
      </c>
      <c r="O895" s="39" t="n">
        <v>20406.8</v>
      </c>
      <c r="P895" t="inlineStr">
        <is>
          <t>N</t>
        </is>
      </c>
    </row>
    <row r="896">
      <c r="A896" t="inlineStr">
        <is>
          <t>ENC115653</t>
        </is>
      </c>
      <c r="B896" t="inlineStr">
        <is>
          <t>PT13311</t>
        </is>
      </c>
      <c r="C896" s="42" t="n">
        <v>45812</v>
      </c>
      <c r="D896" s="42" t="n">
        <v>45812</v>
      </c>
      <c r="E896" s="38" t="n">
        <v>0</v>
      </c>
      <c r="F896" t="inlineStr">
        <is>
          <t>Emergency</t>
        </is>
      </c>
      <c r="G896" t="inlineStr">
        <is>
          <t>Cedar Ridge Medical Center</t>
        </is>
      </c>
      <c r="H896" t="inlineStr">
        <is>
          <t>Emergency Department</t>
        </is>
      </c>
      <c r="I896" t="inlineStr">
        <is>
          <t>Emergency</t>
        </is>
      </c>
      <c r="J896" t="inlineStr">
        <is>
          <t>Andrews, Michael</t>
        </is>
      </c>
      <c r="K896" t="inlineStr">
        <is>
          <t>E11.65</t>
        </is>
      </c>
      <c r="L896" t="inlineStr">
        <is>
          <t>Endocrine</t>
        </is>
      </c>
      <c r="M896" t="inlineStr">
        <is>
          <t>State Medicaid</t>
        </is>
      </c>
      <c r="N896" t="inlineStr">
        <is>
          <t>Government</t>
        </is>
      </c>
      <c r="O896" s="39" t="n">
        <v>5024.51</v>
      </c>
    </row>
    <row r="897">
      <c r="A897" t="inlineStr">
        <is>
          <t>ENC115651</t>
        </is>
      </c>
      <c r="B897" t="inlineStr">
        <is>
          <t>PT10882</t>
        </is>
      </c>
      <c r="C897" s="42" t="n">
        <v>45812</v>
      </c>
      <c r="D897" s="42" t="n">
        <v>45817</v>
      </c>
      <c r="E897" s="38" t="n">
        <v>5</v>
      </c>
      <c r="F897" t="inlineStr">
        <is>
          <t>Inpatient</t>
        </is>
      </c>
      <c r="G897" t="inlineStr">
        <is>
          <t>Bluestone Memorial Hospital</t>
        </is>
      </c>
      <c r="H897" t="inlineStr">
        <is>
          <t>Medical-Surgical 4 West</t>
        </is>
      </c>
      <c r="I897" t="inlineStr">
        <is>
          <t>Medicine</t>
        </is>
      </c>
      <c r="J897" t="inlineStr">
        <is>
          <t>Hunt, Richard</t>
        </is>
      </c>
      <c r="K897" t="inlineStr">
        <is>
          <t>N39.0</t>
        </is>
      </c>
      <c r="L897" t="inlineStr">
        <is>
          <t>Genitourinary</t>
        </is>
      </c>
      <c r="M897" t="inlineStr">
        <is>
          <t>Keystone Health Partners</t>
        </is>
      </c>
      <c r="N897" t="inlineStr">
        <is>
          <t>Commercial</t>
        </is>
      </c>
      <c r="O897" s="39" t="n">
        <v>17236.13</v>
      </c>
      <c r="P897" t="inlineStr">
        <is>
          <t>N</t>
        </is>
      </c>
    </row>
    <row r="898">
      <c r="A898" t="inlineStr">
        <is>
          <t>ENC115658</t>
        </is>
      </c>
      <c r="B898" t="inlineStr">
        <is>
          <t>PT11716</t>
        </is>
      </c>
      <c r="C898" s="42" t="n">
        <v>45812</v>
      </c>
      <c r="D898" s="42" t="n">
        <v>45817</v>
      </c>
      <c r="E898" s="38" t="n">
        <v>5</v>
      </c>
      <c r="F898" t="inlineStr">
        <is>
          <t>Inpatient</t>
        </is>
      </c>
      <c r="G898" t="inlineStr">
        <is>
          <t>Cedar Ridge Medical Center</t>
        </is>
      </c>
      <c r="H898" t="inlineStr">
        <is>
          <t>Cardiac Step-Down</t>
        </is>
      </c>
      <c r="I898" t="inlineStr">
        <is>
          <t>Cardiovascular</t>
        </is>
      </c>
      <c r="J898" t="inlineStr">
        <is>
          <t>Peters, Frank</t>
        </is>
      </c>
      <c r="K898" t="inlineStr">
        <is>
          <t>I48.91</t>
        </is>
      </c>
      <c r="L898" t="inlineStr">
        <is>
          <t>Circulatory</t>
        </is>
      </c>
      <c r="M898" t="inlineStr">
        <is>
          <t>Silverline Medicare Advantage</t>
        </is>
      </c>
      <c r="N898" t="inlineStr">
        <is>
          <t>Medicare Advantage</t>
        </is>
      </c>
      <c r="O898" s="39" t="n">
        <v>23375.25</v>
      </c>
      <c r="P898" t="inlineStr">
        <is>
          <t>Y</t>
        </is>
      </c>
    </row>
    <row r="899">
      <c r="A899" t="inlineStr">
        <is>
          <t>ENC115666</t>
        </is>
      </c>
      <c r="B899" t="inlineStr">
        <is>
          <t>PT11724</t>
        </is>
      </c>
      <c r="C899" s="42" t="n">
        <v>45813</v>
      </c>
      <c r="D899" s="42" t="n">
        <v>45826</v>
      </c>
      <c r="E899" s="38" t="n">
        <v>13</v>
      </c>
      <c r="F899" t="inlineStr">
        <is>
          <t>Inpatient</t>
        </is>
      </c>
      <c r="G899" t="inlineStr">
        <is>
          <t>Bluestone Memorial Hospital</t>
        </is>
      </c>
      <c r="H899" t="inlineStr">
        <is>
          <t>Behavioral Health</t>
        </is>
      </c>
      <c r="I899" t="inlineStr">
        <is>
          <t>Behavioral Health</t>
        </is>
      </c>
      <c r="J899" t="inlineStr">
        <is>
          <t>Lindqvist, Joe</t>
        </is>
      </c>
      <c r="K899" t="inlineStr">
        <is>
          <t>F20.9</t>
        </is>
      </c>
      <c r="L899" t="inlineStr">
        <is>
          <t>Mental &amp; Behavioral</t>
        </is>
      </c>
      <c r="M899" t="inlineStr">
        <is>
          <t>Medicare</t>
        </is>
      </c>
      <c r="N899" t="inlineStr">
        <is>
          <t>Government</t>
        </is>
      </c>
      <c r="O899" s="39" t="n">
        <v>52054.98</v>
      </c>
      <c r="P899" t="inlineStr">
        <is>
          <t>N</t>
        </is>
      </c>
    </row>
    <row r="900">
      <c r="A900" t="inlineStr">
        <is>
          <t>ENC115667</t>
        </is>
      </c>
      <c r="B900" t="inlineStr">
        <is>
          <t>PT10457</t>
        </is>
      </c>
      <c r="C900" s="42" t="n">
        <v>45813</v>
      </c>
      <c r="D900" s="42" t="n">
        <v>45813</v>
      </c>
      <c r="E900" s="38" t="n">
        <v>0</v>
      </c>
      <c r="F900" t="inlineStr">
        <is>
          <t>Outpatient</t>
        </is>
      </c>
      <c r="G900" t="inlineStr">
        <is>
          <t>Bluestone Outpatient Pavilion</t>
        </is>
      </c>
      <c r="H900" t="inlineStr">
        <is>
          <t>Pediatric Clinic</t>
        </is>
      </c>
      <c r="I900" t="inlineStr">
        <is>
          <t>Women &amp; Children</t>
        </is>
      </c>
      <c r="J900" t="inlineStr">
        <is>
          <t>Petrov, Doris</t>
        </is>
      </c>
      <c r="K900" t="inlineStr">
        <is>
          <t>Z00.129</t>
        </is>
      </c>
      <c r="L900" t="inlineStr">
        <is>
          <t>Factors Influencing Health</t>
        </is>
      </c>
      <c r="M900" t="inlineStr">
        <is>
          <t>Keystone Health Partners</t>
        </is>
      </c>
      <c r="N900" t="inlineStr">
        <is>
          <t>Commercial</t>
        </is>
      </c>
      <c r="O900" s="39" t="n">
        <v>303.61</v>
      </c>
    </row>
    <row r="901">
      <c r="A901" t="inlineStr">
        <is>
          <t>ENC115670</t>
        </is>
      </c>
      <c r="B901" t="inlineStr">
        <is>
          <t>PT13046</t>
        </is>
      </c>
      <c r="C901" s="42" t="n">
        <v>45813</v>
      </c>
      <c r="D901" s="42" t="n">
        <v>45813</v>
      </c>
      <c r="E901" s="38" t="n">
        <v>0</v>
      </c>
      <c r="F901" t="inlineStr">
        <is>
          <t>Emergency</t>
        </is>
      </c>
      <c r="G901" t="inlineStr">
        <is>
          <t>Bluestone Memorial Hospital</t>
        </is>
      </c>
      <c r="H901" t="inlineStr">
        <is>
          <t>Emergency Department</t>
        </is>
      </c>
      <c r="I901" t="inlineStr">
        <is>
          <t>Emergency</t>
        </is>
      </c>
      <c r="J901" t="inlineStr">
        <is>
          <t>Mendoza, Alexander</t>
        </is>
      </c>
      <c r="K901" t="inlineStr">
        <is>
          <t>R55</t>
        </is>
      </c>
      <c r="L901" t="inlineStr">
        <is>
          <t>Symptoms &amp; Signs</t>
        </is>
      </c>
      <c r="M901" t="inlineStr">
        <is>
          <t>Silverline Medicare Advantage</t>
        </is>
      </c>
      <c r="N901" t="inlineStr">
        <is>
          <t>Medicare Advantage</t>
        </is>
      </c>
      <c r="O901" s="39" t="n">
        <v>4308.31</v>
      </c>
    </row>
    <row r="902">
      <c r="A902" t="inlineStr">
        <is>
          <t>ENC115674</t>
        </is>
      </c>
      <c r="B902" t="inlineStr">
        <is>
          <t>PT13860</t>
        </is>
      </c>
      <c r="C902" s="42" t="n">
        <v>45813</v>
      </c>
      <c r="D902" s="42" t="n">
        <v>45813</v>
      </c>
      <c r="E902" s="38" t="n">
        <v>0</v>
      </c>
      <c r="F902" t="inlineStr">
        <is>
          <t>Outpatient</t>
        </is>
      </c>
      <c r="G902" t="inlineStr">
        <is>
          <t>Bluestone Outpatient Pavilion</t>
        </is>
      </c>
      <c r="H902" t="inlineStr">
        <is>
          <t>Primary Care Clinic</t>
        </is>
      </c>
      <c r="I902" t="inlineStr">
        <is>
          <t>Ambulatory</t>
        </is>
      </c>
      <c r="J902" t="inlineStr">
        <is>
          <t>Santos, Edward</t>
        </is>
      </c>
      <c r="K902" t="inlineStr">
        <is>
          <t>Z00.00</t>
        </is>
      </c>
      <c r="L902" t="inlineStr">
        <is>
          <t>Factors Influencing Health</t>
        </is>
      </c>
      <c r="M902" t="inlineStr">
        <is>
          <t>Self-Pay</t>
        </is>
      </c>
      <c r="N902" t="inlineStr">
        <is>
          <t>Self-Pay</t>
        </is>
      </c>
      <c r="O902" s="39" t="n">
        <v>237.22</v>
      </c>
    </row>
    <row r="903">
      <c r="A903" t="inlineStr">
        <is>
          <t>ENC115676</t>
        </is>
      </c>
      <c r="B903" t="inlineStr">
        <is>
          <t>PT11994</t>
        </is>
      </c>
      <c r="C903" s="42" t="n">
        <v>45813</v>
      </c>
      <c r="D903" s="42" t="n">
        <v>45813</v>
      </c>
      <c r="E903" s="38" t="n">
        <v>0</v>
      </c>
      <c r="F903" t="inlineStr">
        <is>
          <t>Outpatient</t>
        </is>
      </c>
      <c r="G903" t="inlineStr">
        <is>
          <t>Bluestone Outpatient Pavilion</t>
        </is>
      </c>
      <c r="H903" t="inlineStr">
        <is>
          <t>Cardiology Clinic</t>
        </is>
      </c>
      <c r="I903" t="inlineStr">
        <is>
          <t>Cardiovascular</t>
        </is>
      </c>
      <c r="J903" t="inlineStr">
        <is>
          <t>Gomez, Mateo</t>
        </is>
      </c>
      <c r="K903" t="inlineStr">
        <is>
          <t>I50.9</t>
        </is>
      </c>
      <c r="L903" t="inlineStr">
        <is>
          <t>Circulatory</t>
        </is>
      </c>
      <c r="M903" t="inlineStr">
        <is>
          <t>Medicare</t>
        </is>
      </c>
      <c r="N903" t="inlineStr">
        <is>
          <t>Government</t>
        </is>
      </c>
      <c r="O903" s="39" t="n">
        <v>538.5700000000001</v>
      </c>
    </row>
    <row r="904">
      <c r="A904" t="inlineStr">
        <is>
          <t>ENC115679</t>
        </is>
      </c>
      <c r="B904" t="inlineStr">
        <is>
          <t>PT13422</t>
        </is>
      </c>
      <c r="C904" s="42" t="n">
        <v>45813</v>
      </c>
      <c r="D904" s="42" t="n">
        <v>45813</v>
      </c>
      <c r="E904" s="38" t="n">
        <v>0</v>
      </c>
      <c r="F904" t="inlineStr">
        <is>
          <t>Outpatient</t>
        </is>
      </c>
      <c r="G904" t="inlineStr">
        <is>
          <t>Bluestone Outpatient Pavilion</t>
        </is>
      </c>
      <c r="H904" t="inlineStr">
        <is>
          <t>Pediatric Clinic</t>
        </is>
      </c>
      <c r="I904" t="inlineStr">
        <is>
          <t>Women &amp; Children</t>
        </is>
      </c>
      <c r="J904" t="inlineStr">
        <is>
          <t>Aguilar, Linh</t>
        </is>
      </c>
      <c r="K904" t="inlineStr">
        <is>
          <t>H66.90</t>
        </is>
      </c>
      <c r="L904" t="inlineStr">
        <is>
          <t>Ear</t>
        </is>
      </c>
      <c r="M904" t="inlineStr">
        <is>
          <t>State Medicaid</t>
        </is>
      </c>
      <c r="N904" t="inlineStr">
        <is>
          <t>Government</t>
        </is>
      </c>
      <c r="O904" s="39" t="n">
        <v>328.46</v>
      </c>
    </row>
    <row r="905">
      <c r="A905" t="inlineStr">
        <is>
          <t>ENC115681</t>
        </is>
      </c>
      <c r="B905" t="inlineStr">
        <is>
          <t>PT10679</t>
        </is>
      </c>
      <c r="C905" s="42" t="n">
        <v>45813</v>
      </c>
      <c r="D905" s="42" t="n">
        <v>45813</v>
      </c>
      <c r="E905" s="38" t="n">
        <v>0</v>
      </c>
      <c r="F905" t="inlineStr">
        <is>
          <t>Outpatient</t>
        </is>
      </c>
      <c r="G905" t="inlineStr">
        <is>
          <t>Bluestone Outpatient Pavilion</t>
        </is>
      </c>
      <c r="H905" t="inlineStr">
        <is>
          <t>Primary Care Clinic</t>
        </is>
      </c>
      <c r="I905" t="inlineStr">
        <is>
          <t>Ambulatory</t>
        </is>
      </c>
      <c r="J905" t="inlineStr">
        <is>
          <t>Black, Kelly</t>
        </is>
      </c>
      <c r="K905" t="inlineStr">
        <is>
          <t>Z00.00</t>
        </is>
      </c>
      <c r="L905" t="inlineStr">
        <is>
          <t>Factors Influencing Health</t>
        </is>
      </c>
      <c r="M905" t="inlineStr">
        <is>
          <t>Medicare</t>
        </is>
      </c>
      <c r="N905" t="inlineStr">
        <is>
          <t>Government</t>
        </is>
      </c>
      <c r="O905" s="39" t="n">
        <v>362.36</v>
      </c>
    </row>
    <row r="906">
      <c r="A906" t="inlineStr">
        <is>
          <t>ENC115685</t>
        </is>
      </c>
      <c r="B906" t="inlineStr">
        <is>
          <t>PT10089</t>
        </is>
      </c>
      <c r="C906" s="42" t="n">
        <v>45813</v>
      </c>
      <c r="D906" s="42" t="n">
        <v>45817</v>
      </c>
      <c r="E906" s="38" t="n">
        <v>4</v>
      </c>
      <c r="F906" t="inlineStr">
        <is>
          <t>Inpatient</t>
        </is>
      </c>
      <c r="G906" t="inlineStr">
        <is>
          <t>Bluestone Memorial Hospital</t>
        </is>
      </c>
      <c r="H906" t="inlineStr">
        <is>
          <t>Neuroscience &amp; Stroke</t>
        </is>
      </c>
      <c r="I906" t="inlineStr">
        <is>
          <t>Neuroscience</t>
        </is>
      </c>
      <c r="J906" t="inlineStr">
        <is>
          <t>Stone, Frank</t>
        </is>
      </c>
      <c r="K906" t="inlineStr">
        <is>
          <t>I63.9</t>
        </is>
      </c>
      <c r="L906" t="inlineStr">
        <is>
          <t>Circulatory</t>
        </is>
      </c>
      <c r="M906" t="inlineStr">
        <is>
          <t>Summit Choice PPO</t>
        </is>
      </c>
      <c r="N906" t="inlineStr">
        <is>
          <t>Commercial</t>
        </is>
      </c>
      <c r="O906" s="39" t="n">
        <v>36937</v>
      </c>
      <c r="P906" t="inlineStr">
        <is>
          <t>N</t>
        </is>
      </c>
    </row>
    <row r="907">
      <c r="A907" t="inlineStr">
        <is>
          <t>ENC115689</t>
        </is>
      </c>
      <c r="B907" t="inlineStr">
        <is>
          <t>PT11855</t>
        </is>
      </c>
      <c r="C907" s="42" t="n">
        <v>45814</v>
      </c>
      <c r="D907" s="42" t="n">
        <v>45814</v>
      </c>
      <c r="E907" s="38" t="n">
        <v>0</v>
      </c>
      <c r="F907" t="inlineStr">
        <is>
          <t>Emergency</t>
        </is>
      </c>
      <c r="G907" t="inlineStr">
        <is>
          <t>Bluestone Memorial Hospital</t>
        </is>
      </c>
      <c r="H907" t="inlineStr">
        <is>
          <t>Emergency Department</t>
        </is>
      </c>
      <c r="I907" t="inlineStr">
        <is>
          <t>Emergency</t>
        </is>
      </c>
      <c r="J907" t="inlineStr">
        <is>
          <t>Morris, Jordan</t>
        </is>
      </c>
      <c r="K907" t="inlineStr">
        <is>
          <t>H66.90</t>
        </is>
      </c>
      <c r="L907" t="inlineStr">
        <is>
          <t>Ear</t>
        </is>
      </c>
      <c r="M907" t="inlineStr">
        <is>
          <t>State Medicaid</t>
        </is>
      </c>
      <c r="N907" t="inlineStr">
        <is>
          <t>Government</t>
        </is>
      </c>
      <c r="O907" s="39" t="n">
        <v>715.5599999999999</v>
      </c>
    </row>
    <row r="908">
      <c r="A908" t="inlineStr">
        <is>
          <t>ENC115693</t>
        </is>
      </c>
      <c r="B908" t="inlineStr">
        <is>
          <t>PT10044</t>
        </is>
      </c>
      <c r="C908" s="42" t="n">
        <v>45814</v>
      </c>
      <c r="D908" s="42" t="n">
        <v>45818</v>
      </c>
      <c r="E908" s="38" t="n">
        <v>4</v>
      </c>
      <c r="F908" t="inlineStr">
        <is>
          <t>Inpatient</t>
        </is>
      </c>
      <c r="G908" t="inlineStr">
        <is>
          <t>Cedar Ridge Medical Center</t>
        </is>
      </c>
      <c r="H908" t="inlineStr">
        <is>
          <t>Medical-Surgical</t>
        </is>
      </c>
      <c r="I908" t="inlineStr">
        <is>
          <t>Medicine</t>
        </is>
      </c>
      <c r="J908" t="inlineStr">
        <is>
          <t>Hansen, Wei</t>
        </is>
      </c>
      <c r="K908" t="inlineStr">
        <is>
          <t>E87.1</t>
        </is>
      </c>
      <c r="L908" t="inlineStr">
        <is>
          <t>Endocrine</t>
        </is>
      </c>
      <c r="M908" t="inlineStr">
        <is>
          <t>Keystone Health Partners</t>
        </is>
      </c>
      <c r="N908" t="inlineStr">
        <is>
          <t>Commercial</t>
        </is>
      </c>
      <c r="O908" s="39" t="n">
        <v>20438.37</v>
      </c>
      <c r="P908" t="inlineStr">
        <is>
          <t>N</t>
        </is>
      </c>
    </row>
    <row r="909">
      <c r="A909" t="inlineStr">
        <is>
          <t>ENC115698</t>
        </is>
      </c>
      <c r="B909" t="inlineStr">
        <is>
          <t>PT10490</t>
        </is>
      </c>
      <c r="C909" s="42" t="n">
        <v>45814</v>
      </c>
      <c r="D909" s="42" t="n">
        <v>45814</v>
      </c>
      <c r="E909" s="38" t="n">
        <v>0</v>
      </c>
      <c r="F909" t="inlineStr">
        <is>
          <t>Outpatient</t>
        </is>
      </c>
      <c r="G909" t="inlineStr">
        <is>
          <t>Bluestone Outpatient Pavilion</t>
        </is>
      </c>
      <c r="H909" t="inlineStr">
        <is>
          <t>Primary Care Clinic</t>
        </is>
      </c>
      <c r="I909" t="inlineStr">
        <is>
          <t>Ambulatory</t>
        </is>
      </c>
      <c r="J909" t="inlineStr">
        <is>
          <t>Black, Kelly</t>
        </is>
      </c>
      <c r="K909" t="inlineStr">
        <is>
          <t>E78.5</t>
        </is>
      </c>
      <c r="L909" t="inlineStr">
        <is>
          <t>Endocrine</t>
        </is>
      </c>
      <c r="M909" t="inlineStr">
        <is>
          <t>Self-Pay</t>
        </is>
      </c>
      <c r="N909" t="inlineStr">
        <is>
          <t>Self-Pay</t>
        </is>
      </c>
      <c r="O909" s="39" t="n">
        <v>230.78</v>
      </c>
    </row>
    <row r="910">
      <c r="A910" t="inlineStr">
        <is>
          <t>ENC115701</t>
        </is>
      </c>
      <c r="B910" t="inlineStr">
        <is>
          <t>PT10174</t>
        </is>
      </c>
      <c r="C910" s="42" t="n">
        <v>45814</v>
      </c>
      <c r="D910" s="42" t="n">
        <v>45814</v>
      </c>
      <c r="E910" s="38" t="n">
        <v>0</v>
      </c>
      <c r="F910" t="inlineStr">
        <is>
          <t>Emergency</t>
        </is>
      </c>
      <c r="G910" t="inlineStr">
        <is>
          <t>Bluestone Memorial Hospital</t>
        </is>
      </c>
      <c r="H910" t="inlineStr">
        <is>
          <t>Emergency Department</t>
        </is>
      </c>
      <c r="I910" t="inlineStr">
        <is>
          <t>Emergency</t>
        </is>
      </c>
      <c r="J910" t="inlineStr">
        <is>
          <t>Kowalski, James</t>
        </is>
      </c>
      <c r="K910" t="inlineStr">
        <is>
          <t>M54.50</t>
        </is>
      </c>
      <c r="L910" t="inlineStr">
        <is>
          <t>Musculoskeletal</t>
        </is>
      </c>
      <c r="M910" t="inlineStr">
        <is>
          <t>Silverline Medicare Advantage</t>
        </is>
      </c>
      <c r="N910" t="inlineStr">
        <is>
          <t>Medicare Advantage</t>
        </is>
      </c>
      <c r="O910" s="39" t="n">
        <v>670.95</v>
      </c>
    </row>
    <row r="911">
      <c r="A911" t="inlineStr">
        <is>
          <t>ENC115716</t>
        </is>
      </c>
      <c r="B911" t="inlineStr">
        <is>
          <t>PT13931</t>
        </is>
      </c>
      <c r="C911" s="42" t="n">
        <v>45814</v>
      </c>
      <c r="D911" s="42" t="n">
        <v>45814</v>
      </c>
      <c r="E911" s="38" t="n">
        <v>0</v>
      </c>
      <c r="F911" t="inlineStr">
        <is>
          <t>Outpatient</t>
        </is>
      </c>
      <c r="G911" t="inlineStr">
        <is>
          <t>Bluestone Outpatient Pavilion</t>
        </is>
      </c>
      <c r="H911" t="inlineStr">
        <is>
          <t>Primary Care Clinic</t>
        </is>
      </c>
      <c r="I911" t="inlineStr">
        <is>
          <t>Ambulatory</t>
        </is>
      </c>
      <c r="J911" t="inlineStr">
        <is>
          <t>Black, Nancy</t>
        </is>
      </c>
      <c r="K911" t="inlineStr">
        <is>
          <t>E78.5</t>
        </is>
      </c>
      <c r="L911" t="inlineStr">
        <is>
          <t>Endocrine</t>
        </is>
      </c>
      <c r="M911" t="inlineStr">
        <is>
          <t>Summit Choice PPO</t>
        </is>
      </c>
      <c r="N911" t="inlineStr">
        <is>
          <t>Commercial</t>
        </is>
      </c>
      <c r="O911" s="39" t="n">
        <v>199.56</v>
      </c>
    </row>
    <row r="912">
      <c r="A912" t="inlineStr">
        <is>
          <t>ENC115720</t>
        </is>
      </c>
      <c r="B912" t="inlineStr">
        <is>
          <t>PT12524</t>
        </is>
      </c>
      <c r="C912" s="42" t="n">
        <v>45814</v>
      </c>
      <c r="D912" s="42" t="n">
        <v>45814</v>
      </c>
      <c r="E912" s="38" t="n">
        <v>0</v>
      </c>
      <c r="F912" t="inlineStr">
        <is>
          <t>Emergency</t>
        </is>
      </c>
      <c r="G912" t="inlineStr">
        <is>
          <t>Bluestone Memorial Hospital</t>
        </is>
      </c>
      <c r="H912" t="inlineStr">
        <is>
          <t>Emergency Department</t>
        </is>
      </c>
      <c r="I912" t="inlineStr">
        <is>
          <t>Emergency</t>
        </is>
      </c>
      <c r="J912" t="inlineStr">
        <is>
          <t>Cruz, Mia</t>
        </is>
      </c>
      <c r="K912" t="inlineStr">
        <is>
          <t>E11.65</t>
        </is>
      </c>
      <c r="L912" t="inlineStr">
        <is>
          <t>Endocrine</t>
        </is>
      </c>
      <c r="M912" t="inlineStr">
        <is>
          <t>Medicare</t>
        </is>
      </c>
      <c r="N912" t="inlineStr">
        <is>
          <t>Government</t>
        </is>
      </c>
      <c r="O912" s="39" t="n">
        <v>2983.99</v>
      </c>
    </row>
    <row r="913">
      <c r="A913" t="inlineStr">
        <is>
          <t>ENC115718</t>
        </is>
      </c>
      <c r="B913" t="inlineStr">
        <is>
          <t>PT11348</t>
        </is>
      </c>
      <c r="C913" s="42" t="n">
        <v>45814</v>
      </c>
      <c r="D913" s="42" t="n">
        <v>45815</v>
      </c>
      <c r="E913" s="38" t="n">
        <v>1</v>
      </c>
      <c r="F913" t="inlineStr">
        <is>
          <t>Observation</t>
        </is>
      </c>
      <c r="G913" t="inlineStr">
        <is>
          <t>Cedar Ridge Medical Center</t>
        </is>
      </c>
      <c r="H913" t="inlineStr">
        <is>
          <t>Medical-Surgical</t>
        </is>
      </c>
      <c r="I913" t="inlineStr">
        <is>
          <t>Medicine</t>
        </is>
      </c>
      <c r="J913" t="inlineStr">
        <is>
          <t>Payne, Tyler</t>
        </is>
      </c>
      <c r="K913" t="inlineStr">
        <is>
          <t>M54.50</t>
        </is>
      </c>
      <c r="L913" t="inlineStr">
        <is>
          <t>Musculoskeletal</t>
        </is>
      </c>
      <c r="M913" t="inlineStr">
        <is>
          <t>Evergreen Mutual Insurance</t>
        </is>
      </c>
      <c r="N913" t="inlineStr">
        <is>
          <t>Commercial</t>
        </is>
      </c>
      <c r="O913" s="39" t="n">
        <v>8703.92</v>
      </c>
    </row>
    <row r="914">
      <c r="A914" t="inlineStr">
        <is>
          <t>ENC115738</t>
        </is>
      </c>
      <c r="B914" t="inlineStr">
        <is>
          <t>PT10050</t>
        </is>
      </c>
      <c r="C914" s="42" t="n">
        <v>45816</v>
      </c>
      <c r="D914" s="42" t="n">
        <v>45816</v>
      </c>
      <c r="E914" s="38" t="n">
        <v>0</v>
      </c>
      <c r="F914" t="inlineStr">
        <is>
          <t>Emergency</t>
        </is>
      </c>
      <c r="G914" t="inlineStr">
        <is>
          <t>Bluestone Memorial Hospital</t>
        </is>
      </c>
      <c r="H914" t="inlineStr">
        <is>
          <t>Emergency Department</t>
        </is>
      </c>
      <c r="I914" t="inlineStr">
        <is>
          <t>Emergency</t>
        </is>
      </c>
      <c r="J914" t="inlineStr">
        <is>
          <t>Ferguson, Roy</t>
        </is>
      </c>
      <c r="K914" t="inlineStr">
        <is>
          <t>S93.401A</t>
        </is>
      </c>
      <c r="L914" t="inlineStr">
        <is>
          <t>Injury</t>
        </is>
      </c>
      <c r="M914" t="inlineStr">
        <is>
          <t>Keystone Health Partners</t>
        </is>
      </c>
      <c r="N914" t="inlineStr">
        <is>
          <t>Commercial</t>
        </is>
      </c>
      <c r="O914" s="39" t="n">
        <v>691.76</v>
      </c>
    </row>
    <row r="915">
      <c r="A915" t="inlineStr">
        <is>
          <t>ENC115740</t>
        </is>
      </c>
      <c r="B915" t="inlineStr">
        <is>
          <t>PT10258</t>
        </is>
      </c>
      <c r="C915" s="42" t="n">
        <v>45816</v>
      </c>
      <c r="D915" s="42" t="n">
        <v>45816</v>
      </c>
      <c r="E915" s="38" t="n">
        <v>0</v>
      </c>
      <c r="F915" t="inlineStr">
        <is>
          <t>Emergency</t>
        </is>
      </c>
      <c r="G915" t="inlineStr">
        <is>
          <t>Cedar Ridge Medical Center</t>
        </is>
      </c>
      <c r="H915" t="inlineStr">
        <is>
          <t>Emergency Department</t>
        </is>
      </c>
      <c r="I915" t="inlineStr">
        <is>
          <t>Emergency</t>
        </is>
      </c>
      <c r="J915" t="inlineStr">
        <is>
          <t>Schmidt, Anna</t>
        </is>
      </c>
      <c r="K915" t="inlineStr">
        <is>
          <t>R10.9</t>
        </is>
      </c>
      <c r="L915" t="inlineStr">
        <is>
          <t>Symptoms &amp; Signs</t>
        </is>
      </c>
      <c r="M915" t="inlineStr">
        <is>
          <t>Silverline Medicare Advantage</t>
        </is>
      </c>
      <c r="N915" t="inlineStr">
        <is>
          <t>Medicare Advantage</t>
        </is>
      </c>
      <c r="O915" s="39" t="n">
        <v>4389.08</v>
      </c>
    </row>
    <row r="916">
      <c r="A916" t="inlineStr">
        <is>
          <t>ENC115743</t>
        </is>
      </c>
      <c r="B916" t="inlineStr">
        <is>
          <t>PT13657</t>
        </is>
      </c>
      <c r="C916" s="42" t="n">
        <v>45816</v>
      </c>
      <c r="D916" s="42" t="n">
        <v>45816</v>
      </c>
      <c r="E916" s="38" t="n">
        <v>0</v>
      </c>
      <c r="F916" t="inlineStr">
        <is>
          <t>Emergency</t>
        </is>
      </c>
      <c r="G916" t="inlineStr">
        <is>
          <t>Cedar Ridge Medical Center</t>
        </is>
      </c>
      <c r="H916" t="inlineStr">
        <is>
          <t>Emergency Department</t>
        </is>
      </c>
      <c r="I916" t="inlineStr">
        <is>
          <t>Emergency</t>
        </is>
      </c>
      <c r="J916" t="inlineStr">
        <is>
          <t>Barnes, Gary</t>
        </is>
      </c>
      <c r="K916" t="inlineStr">
        <is>
          <t>N39.0</t>
        </is>
      </c>
      <c r="L916" t="inlineStr">
        <is>
          <t>Genitourinary</t>
        </is>
      </c>
      <c r="M916" t="inlineStr">
        <is>
          <t>Keystone Health Partners</t>
        </is>
      </c>
      <c r="N916" t="inlineStr">
        <is>
          <t>Commercial</t>
        </is>
      </c>
      <c r="O916" s="39" t="n">
        <v>1425.49</v>
      </c>
    </row>
    <row r="917">
      <c r="A917" t="inlineStr">
        <is>
          <t>ENC115745</t>
        </is>
      </c>
      <c r="B917" t="inlineStr">
        <is>
          <t>PT10432</t>
        </is>
      </c>
      <c r="C917" s="42" t="n">
        <v>45816</v>
      </c>
      <c r="D917" s="42" t="n">
        <v>45818</v>
      </c>
      <c r="E917" s="38" t="n">
        <v>2</v>
      </c>
      <c r="F917" t="inlineStr">
        <is>
          <t>Observation</t>
        </is>
      </c>
      <c r="G917" t="inlineStr">
        <is>
          <t>Bluestone Memorial Hospital</t>
        </is>
      </c>
      <c r="H917" t="inlineStr">
        <is>
          <t>Observation Unit</t>
        </is>
      </c>
      <c r="I917" t="inlineStr">
        <is>
          <t>Medicine</t>
        </is>
      </c>
      <c r="J917" t="inlineStr">
        <is>
          <t>Cox, Judith</t>
        </is>
      </c>
      <c r="K917" t="inlineStr">
        <is>
          <t>R07.9</t>
        </is>
      </c>
      <c r="L917" t="inlineStr">
        <is>
          <t>Symptoms &amp; Signs</t>
        </is>
      </c>
      <c r="M917" t="inlineStr">
        <is>
          <t>Medicare</t>
        </is>
      </c>
      <c r="N917" t="inlineStr">
        <is>
          <t>Government</t>
        </is>
      </c>
      <c r="O917" s="39" t="n">
        <v>7064.93</v>
      </c>
    </row>
    <row r="918">
      <c r="A918" t="inlineStr">
        <is>
          <t>ENC115756</t>
        </is>
      </c>
      <c r="B918" t="inlineStr">
        <is>
          <t>PT12422</t>
        </is>
      </c>
      <c r="C918" s="42" t="n">
        <v>45816</v>
      </c>
      <c r="D918" s="42" t="n">
        <v>45818</v>
      </c>
      <c r="E918" s="38" t="n">
        <v>2</v>
      </c>
      <c r="F918" t="inlineStr">
        <is>
          <t>Inpatient</t>
        </is>
      </c>
      <c r="G918" t="inlineStr">
        <is>
          <t>Ashby Falls Community Hospital</t>
        </is>
      </c>
      <c r="H918" t="inlineStr">
        <is>
          <t>Medical-Surgical</t>
        </is>
      </c>
      <c r="I918" t="inlineStr">
        <is>
          <t>Medicine</t>
        </is>
      </c>
      <c r="J918" t="inlineStr">
        <is>
          <t>Perkins, Stephen</t>
        </is>
      </c>
      <c r="K918" t="inlineStr">
        <is>
          <t>K80.20</t>
        </is>
      </c>
      <c r="L918" t="inlineStr">
        <is>
          <t>Digestive</t>
        </is>
      </c>
      <c r="M918" t="inlineStr">
        <is>
          <t>State Medicaid</t>
        </is>
      </c>
      <c r="N918" t="inlineStr">
        <is>
          <t>Government</t>
        </is>
      </c>
      <c r="O918" s="39" t="n">
        <v>31893.97</v>
      </c>
      <c r="P918" t="inlineStr">
        <is>
          <t>N</t>
        </is>
      </c>
    </row>
    <row r="919">
      <c r="A919" t="inlineStr">
        <is>
          <t>ENC115755</t>
        </is>
      </c>
      <c r="B919" t="inlineStr">
        <is>
          <t>PT13655</t>
        </is>
      </c>
      <c r="C919" s="42" t="n">
        <v>45817</v>
      </c>
      <c r="D919" s="42" t="n">
        <v>45818</v>
      </c>
      <c r="E919" s="38" t="n">
        <v>1</v>
      </c>
      <c r="F919" t="inlineStr">
        <is>
          <t>Inpatient</t>
        </is>
      </c>
      <c r="G919" t="inlineStr">
        <is>
          <t>Bluestone Memorial Hospital</t>
        </is>
      </c>
      <c r="H919" t="inlineStr">
        <is>
          <t>Medical-Surgical 5 East</t>
        </is>
      </c>
      <c r="I919" t="inlineStr">
        <is>
          <t>Medicine</t>
        </is>
      </c>
      <c r="J919" t="inlineStr">
        <is>
          <t>White, Kathleen</t>
        </is>
      </c>
      <c r="K919" t="inlineStr">
        <is>
          <t>K35.80</t>
        </is>
      </c>
      <c r="L919" t="inlineStr">
        <is>
          <t>Digestive</t>
        </is>
      </c>
      <c r="M919" t="inlineStr">
        <is>
          <t>State Medicaid</t>
        </is>
      </c>
      <c r="N919" t="inlineStr">
        <is>
          <t>Government</t>
        </is>
      </c>
      <c r="O919" s="39" t="n">
        <v>31798</v>
      </c>
      <c r="P919" t="inlineStr">
        <is>
          <t>N</t>
        </is>
      </c>
    </row>
    <row r="920">
      <c r="A920" t="inlineStr">
        <is>
          <t>ENC115761</t>
        </is>
      </c>
      <c r="B920" t="inlineStr">
        <is>
          <t>PT12527</t>
        </is>
      </c>
      <c r="C920" s="42" t="n">
        <v>45817</v>
      </c>
      <c r="D920" s="42" t="n">
        <v>45817</v>
      </c>
      <c r="E920" s="38" t="n">
        <v>0</v>
      </c>
      <c r="F920" t="inlineStr">
        <is>
          <t>Emergency</t>
        </is>
      </c>
      <c r="G920" t="inlineStr">
        <is>
          <t>Bluestone Memorial Hospital</t>
        </is>
      </c>
      <c r="H920" t="inlineStr">
        <is>
          <t>Emergency Department</t>
        </is>
      </c>
      <c r="I920" t="inlineStr">
        <is>
          <t>Emergency</t>
        </is>
      </c>
      <c r="J920" t="inlineStr">
        <is>
          <t>Sullivan, Jacob</t>
        </is>
      </c>
      <c r="K920" t="inlineStr">
        <is>
          <t>R07.9</t>
        </is>
      </c>
      <c r="L920" t="inlineStr">
        <is>
          <t>Symptoms &amp; Signs</t>
        </is>
      </c>
      <c r="M920" t="inlineStr">
        <is>
          <t>Self-Pay</t>
        </is>
      </c>
      <c r="N920" t="inlineStr">
        <is>
          <t>Self-Pay</t>
        </is>
      </c>
      <c r="O920" s="39" t="n">
        <v>2577.16</v>
      </c>
    </row>
    <row r="921">
      <c r="A921" t="inlineStr">
        <is>
          <t>ENC115773</t>
        </is>
      </c>
      <c r="B921" t="inlineStr">
        <is>
          <t>PT10362</t>
        </is>
      </c>
      <c r="C921" s="42" t="n">
        <v>45817</v>
      </c>
      <c r="D921" s="42" t="n">
        <v>45817</v>
      </c>
      <c r="E921" s="38" t="n">
        <v>0</v>
      </c>
      <c r="F921" t="inlineStr">
        <is>
          <t>Outpatient</t>
        </is>
      </c>
      <c r="G921" t="inlineStr">
        <is>
          <t>Bluestone Outpatient Pavilion</t>
        </is>
      </c>
      <c r="H921" t="inlineStr">
        <is>
          <t>Infusion &amp; Oncology Clinic</t>
        </is>
      </c>
      <c r="I921" t="inlineStr">
        <is>
          <t>Oncology</t>
        </is>
      </c>
      <c r="J921" t="inlineStr">
        <is>
          <t>Robinson, Bradley</t>
        </is>
      </c>
      <c r="K921" t="inlineStr">
        <is>
          <t>Z51.11</t>
        </is>
      </c>
      <c r="L921" t="inlineStr">
        <is>
          <t>Factors Influencing Health</t>
        </is>
      </c>
      <c r="M921" t="inlineStr">
        <is>
          <t>State Medicaid</t>
        </is>
      </c>
      <c r="N921" t="inlineStr">
        <is>
          <t>Government</t>
        </is>
      </c>
      <c r="O921" s="39" t="n">
        <v>10471.28</v>
      </c>
    </row>
    <row r="922">
      <c r="A922" t="inlineStr">
        <is>
          <t>ENC115777</t>
        </is>
      </c>
      <c r="B922" t="inlineStr">
        <is>
          <t>PT11208</t>
        </is>
      </c>
      <c r="C922" s="42" t="n">
        <v>45817</v>
      </c>
      <c r="D922" s="42" t="n">
        <v>45817</v>
      </c>
      <c r="E922" s="38" t="n">
        <v>0</v>
      </c>
      <c r="F922" t="inlineStr">
        <is>
          <t>Outpatient</t>
        </is>
      </c>
      <c r="G922" t="inlineStr">
        <is>
          <t>Bluestone Outpatient Pavilion</t>
        </is>
      </c>
      <c r="H922" t="inlineStr">
        <is>
          <t>Infusion &amp; Oncology Clinic</t>
        </is>
      </c>
      <c r="I922" t="inlineStr">
        <is>
          <t>Oncology</t>
        </is>
      </c>
      <c r="J922" t="inlineStr">
        <is>
          <t>Long, Fatima</t>
        </is>
      </c>
      <c r="K922" t="inlineStr">
        <is>
          <t>Z51.11</t>
        </is>
      </c>
      <c r="L922" t="inlineStr">
        <is>
          <t>Factors Influencing Health</t>
        </is>
      </c>
      <c r="M922" t="inlineStr">
        <is>
          <t>State Medicaid</t>
        </is>
      </c>
      <c r="N922" t="inlineStr">
        <is>
          <t>Government</t>
        </is>
      </c>
      <c r="O922" s="39" t="n">
        <v>12942.2</v>
      </c>
    </row>
    <row r="923">
      <c r="A923" t="inlineStr">
        <is>
          <t>ENC115792</t>
        </is>
      </c>
      <c r="B923" t="inlineStr">
        <is>
          <t>PT11286</t>
        </is>
      </c>
      <c r="C923" s="42" t="n">
        <v>45818</v>
      </c>
      <c r="D923" s="42" t="n">
        <v>45818</v>
      </c>
      <c r="E923" s="38" t="n">
        <v>0</v>
      </c>
      <c r="F923" t="inlineStr">
        <is>
          <t>Outpatient</t>
        </is>
      </c>
      <c r="G923" t="inlineStr">
        <is>
          <t>Bluestone Outpatient Pavilion</t>
        </is>
      </c>
      <c r="H923" t="inlineStr">
        <is>
          <t>Pediatric Clinic</t>
        </is>
      </c>
      <c r="I923" t="inlineStr">
        <is>
          <t>Women &amp; Children</t>
        </is>
      </c>
      <c r="J923" t="inlineStr">
        <is>
          <t>Wallace, Kevin</t>
        </is>
      </c>
      <c r="K923" t="inlineStr">
        <is>
          <t>H66.90</t>
        </is>
      </c>
      <c r="L923" t="inlineStr">
        <is>
          <t>Ear</t>
        </is>
      </c>
      <c r="M923" t="inlineStr">
        <is>
          <t>State Medicaid</t>
        </is>
      </c>
      <c r="N923" t="inlineStr">
        <is>
          <t>Government</t>
        </is>
      </c>
      <c r="O923" s="39" t="n">
        <v>196.37</v>
      </c>
    </row>
    <row r="924">
      <c r="A924" t="inlineStr">
        <is>
          <t>ENC115794</t>
        </is>
      </c>
      <c r="B924" t="inlineStr">
        <is>
          <t>PT10986</t>
        </is>
      </c>
      <c r="C924" s="42" t="n">
        <v>45818</v>
      </c>
      <c r="D924" s="42" t="n">
        <v>45818</v>
      </c>
      <c r="E924" s="38" t="n">
        <v>0</v>
      </c>
      <c r="F924" t="inlineStr">
        <is>
          <t>Emergency</t>
        </is>
      </c>
      <c r="G924" t="inlineStr">
        <is>
          <t>Cedar Ridge Medical Center</t>
        </is>
      </c>
      <c r="H924" t="inlineStr">
        <is>
          <t>Emergency Department</t>
        </is>
      </c>
      <c r="I924" t="inlineStr">
        <is>
          <t>Emergency</t>
        </is>
      </c>
      <c r="J924" t="inlineStr">
        <is>
          <t>Warren, Victoria</t>
        </is>
      </c>
      <c r="K924" t="inlineStr">
        <is>
          <t>S93.401A</t>
        </is>
      </c>
      <c r="L924" t="inlineStr">
        <is>
          <t>Injury</t>
        </is>
      </c>
      <c r="M924" t="inlineStr">
        <is>
          <t>Self-Pay</t>
        </is>
      </c>
      <c r="N924" t="inlineStr">
        <is>
          <t>Self-Pay</t>
        </is>
      </c>
      <c r="O924" s="39" t="n">
        <v>584.91</v>
      </c>
    </row>
    <row r="925">
      <c r="A925" t="inlineStr">
        <is>
          <t>ENC115798</t>
        </is>
      </c>
      <c r="B925" t="inlineStr">
        <is>
          <t>PT11062</t>
        </is>
      </c>
      <c r="C925" s="42" t="n">
        <v>45818</v>
      </c>
      <c r="D925" s="42" t="n">
        <v>45818</v>
      </c>
      <c r="E925" s="38" t="n">
        <v>0</v>
      </c>
      <c r="F925" t="inlineStr">
        <is>
          <t>Emergency</t>
        </is>
      </c>
      <c r="G925" t="inlineStr">
        <is>
          <t>Ashby Falls Community Hospital</t>
        </is>
      </c>
      <c r="H925" t="inlineStr">
        <is>
          <t>Emergency Department</t>
        </is>
      </c>
      <c r="I925" t="inlineStr">
        <is>
          <t>Emergency</t>
        </is>
      </c>
      <c r="J925" t="inlineStr">
        <is>
          <t>Wright, Bruce</t>
        </is>
      </c>
      <c r="K925" t="inlineStr">
        <is>
          <t>N39.0</t>
        </is>
      </c>
      <c r="L925" t="inlineStr">
        <is>
          <t>Genitourinary</t>
        </is>
      </c>
      <c r="M925" t="inlineStr">
        <is>
          <t>Keystone Health Partners</t>
        </is>
      </c>
      <c r="N925" t="inlineStr">
        <is>
          <t>Commercial</t>
        </is>
      </c>
      <c r="O925" s="39" t="n">
        <v>2952.21</v>
      </c>
    </row>
    <row r="926">
      <c r="A926" t="inlineStr">
        <is>
          <t>ENC115796</t>
        </is>
      </c>
      <c r="B926" t="inlineStr">
        <is>
          <t>PT11091</t>
        </is>
      </c>
      <c r="C926" s="42" t="n">
        <v>45818</v>
      </c>
      <c r="D926" s="42" t="n">
        <v>45820</v>
      </c>
      <c r="E926" s="38" t="n">
        <v>2</v>
      </c>
      <c r="F926" t="inlineStr">
        <is>
          <t>Inpatient</t>
        </is>
      </c>
      <c r="G926" t="inlineStr">
        <is>
          <t>Bluestone Memorial Hospital</t>
        </is>
      </c>
      <c r="H926" t="inlineStr">
        <is>
          <t>Medical-Surgical 5 East</t>
        </is>
      </c>
      <c r="I926" t="inlineStr">
        <is>
          <t>Medicine</t>
        </is>
      </c>
      <c r="J926" t="inlineStr">
        <is>
          <t>Allen, Jean</t>
        </is>
      </c>
      <c r="K926" t="inlineStr">
        <is>
          <t>J96.01</t>
        </is>
      </c>
      <c r="L926" t="inlineStr">
        <is>
          <t>Respiratory</t>
        </is>
      </c>
      <c r="M926" t="inlineStr">
        <is>
          <t>Medicare</t>
        </is>
      </c>
      <c r="N926" t="inlineStr">
        <is>
          <t>Government</t>
        </is>
      </c>
      <c r="O926" s="39" t="n">
        <v>29234.08</v>
      </c>
      <c r="P926" t="inlineStr">
        <is>
          <t>N</t>
        </is>
      </c>
    </row>
    <row r="927">
      <c r="A927" t="inlineStr">
        <is>
          <t>ENC115813</t>
        </is>
      </c>
      <c r="B927" t="inlineStr">
        <is>
          <t>PT12109</t>
        </is>
      </c>
      <c r="C927" s="42" t="n">
        <v>45818</v>
      </c>
      <c r="D927" s="42" t="n">
        <v>45818</v>
      </c>
      <c r="E927" s="38" t="n">
        <v>0</v>
      </c>
      <c r="F927" t="inlineStr">
        <is>
          <t>Outpatient</t>
        </is>
      </c>
      <c r="G927" t="inlineStr">
        <is>
          <t>Bluestone Outpatient Pavilion</t>
        </is>
      </c>
      <c r="H927" t="inlineStr">
        <is>
          <t>Primary Care Clinic</t>
        </is>
      </c>
      <c r="I927" t="inlineStr">
        <is>
          <t>Ambulatory</t>
        </is>
      </c>
      <c r="J927" t="inlineStr">
        <is>
          <t>Elliott, Douglas</t>
        </is>
      </c>
      <c r="K927" t="inlineStr">
        <is>
          <t>E78.5</t>
        </is>
      </c>
      <c r="L927" t="inlineStr">
        <is>
          <t>Endocrine</t>
        </is>
      </c>
      <c r="M927" t="inlineStr">
        <is>
          <t>Keystone Health Partners</t>
        </is>
      </c>
      <c r="N927" t="inlineStr">
        <is>
          <t>Commercial</t>
        </is>
      </c>
      <c r="O927" s="39" t="n">
        <v>182.05</v>
      </c>
    </row>
    <row r="928">
      <c r="A928" t="inlineStr">
        <is>
          <t>ENC115824</t>
        </is>
      </c>
      <c r="B928" t="inlineStr">
        <is>
          <t>PT10232</t>
        </is>
      </c>
      <c r="C928" s="42" t="n">
        <v>45819</v>
      </c>
      <c r="D928" s="42" t="n">
        <v>45819</v>
      </c>
      <c r="E928" s="38" t="n">
        <v>0</v>
      </c>
      <c r="F928" t="inlineStr">
        <is>
          <t>Emergency</t>
        </is>
      </c>
      <c r="G928" t="inlineStr">
        <is>
          <t>Bluestone Memorial Hospital</t>
        </is>
      </c>
      <c r="H928" t="inlineStr">
        <is>
          <t>Emergency Department</t>
        </is>
      </c>
      <c r="I928" t="inlineStr">
        <is>
          <t>Emergency</t>
        </is>
      </c>
      <c r="J928" t="inlineStr">
        <is>
          <t>Kowalski, James</t>
        </is>
      </c>
      <c r="K928" t="inlineStr">
        <is>
          <t>R10.9</t>
        </is>
      </c>
      <c r="L928" t="inlineStr">
        <is>
          <t>Symptoms &amp; Signs</t>
        </is>
      </c>
      <c r="M928" t="inlineStr">
        <is>
          <t>Summit Choice PPO</t>
        </is>
      </c>
      <c r="N928" t="inlineStr">
        <is>
          <t>Commercial</t>
        </is>
      </c>
      <c r="O928" s="39" t="n">
        <v>2940.39</v>
      </c>
    </row>
    <row r="929">
      <c r="A929" t="inlineStr">
        <is>
          <t>ENC115827</t>
        </is>
      </c>
      <c r="B929" t="inlineStr">
        <is>
          <t>PT10971</t>
        </is>
      </c>
      <c r="C929" s="42" t="n">
        <v>45819</v>
      </c>
      <c r="D929" s="42" t="n">
        <v>45819</v>
      </c>
      <c r="E929" s="38" t="n">
        <v>0</v>
      </c>
      <c r="F929" t="inlineStr">
        <is>
          <t>Outpatient</t>
        </is>
      </c>
      <c r="G929" t="inlineStr">
        <is>
          <t>Bluestone Outpatient Pavilion</t>
        </is>
      </c>
      <c r="H929" t="inlineStr">
        <is>
          <t>Primary Care Clinic</t>
        </is>
      </c>
      <c r="I929" t="inlineStr">
        <is>
          <t>Ambulatory</t>
        </is>
      </c>
      <c r="J929" t="inlineStr">
        <is>
          <t>Chen, Mei</t>
        </is>
      </c>
      <c r="K929" t="inlineStr">
        <is>
          <t>I10</t>
        </is>
      </c>
      <c r="L929" t="inlineStr">
        <is>
          <t>Circulatory</t>
        </is>
      </c>
      <c r="M929" t="inlineStr">
        <is>
          <t>Keystone Health Partners</t>
        </is>
      </c>
      <c r="N929" t="inlineStr">
        <is>
          <t>Commercial</t>
        </is>
      </c>
      <c r="O929" s="39" t="n">
        <v>219.8</v>
      </c>
    </row>
    <row r="930">
      <c r="A930" t="inlineStr">
        <is>
          <t>ENC115828</t>
        </is>
      </c>
      <c r="B930" t="inlineStr">
        <is>
          <t>PT10510</t>
        </is>
      </c>
      <c r="C930" s="42" t="n">
        <v>45819</v>
      </c>
      <c r="D930" s="42" t="n">
        <v>45819</v>
      </c>
      <c r="E930" s="38" t="n">
        <v>0</v>
      </c>
      <c r="F930" t="inlineStr">
        <is>
          <t>Outpatient</t>
        </is>
      </c>
      <c r="G930" t="inlineStr">
        <is>
          <t>Bluestone Outpatient Pavilion</t>
        </is>
      </c>
      <c r="H930" t="inlineStr">
        <is>
          <t>Primary Care Clinic</t>
        </is>
      </c>
      <c r="I930" t="inlineStr">
        <is>
          <t>Ambulatory</t>
        </is>
      </c>
      <c r="J930" t="inlineStr">
        <is>
          <t>Petrov, Doris</t>
        </is>
      </c>
      <c r="K930" t="inlineStr">
        <is>
          <t>J45.909</t>
        </is>
      </c>
      <c r="L930" t="inlineStr">
        <is>
          <t>Respiratory</t>
        </is>
      </c>
      <c r="M930" t="inlineStr">
        <is>
          <t>Keystone Health Partners</t>
        </is>
      </c>
      <c r="N930" t="inlineStr">
        <is>
          <t>Commercial</t>
        </is>
      </c>
      <c r="O930" s="39" t="n">
        <v>314.8</v>
      </c>
    </row>
    <row r="931">
      <c r="A931" t="inlineStr">
        <is>
          <t>ENC115832</t>
        </is>
      </c>
      <c r="B931" t="inlineStr">
        <is>
          <t>PT11806</t>
        </is>
      </c>
      <c r="C931" s="42" t="n">
        <v>45819</v>
      </c>
      <c r="D931" s="42" t="n">
        <v>45819</v>
      </c>
      <c r="E931" s="38" t="n">
        <v>0</v>
      </c>
      <c r="F931" t="inlineStr">
        <is>
          <t>Outpatient</t>
        </is>
      </c>
      <c r="G931" t="inlineStr">
        <is>
          <t>Bluestone Outpatient Pavilion</t>
        </is>
      </c>
      <c r="H931" t="inlineStr">
        <is>
          <t>Orthopedic Clinic</t>
        </is>
      </c>
      <c r="I931" t="inlineStr">
        <is>
          <t>Orthopedics</t>
        </is>
      </c>
      <c r="J931" t="inlineStr">
        <is>
          <t>Lewis, Jonathan</t>
        </is>
      </c>
      <c r="K931" t="inlineStr">
        <is>
          <t>S93.401A</t>
        </is>
      </c>
      <c r="L931" t="inlineStr">
        <is>
          <t>Injury</t>
        </is>
      </c>
      <c r="M931" t="inlineStr">
        <is>
          <t>Summit Choice PPO</t>
        </is>
      </c>
      <c r="N931" t="inlineStr">
        <is>
          <t>Commercial</t>
        </is>
      </c>
      <c r="O931" s="39" t="n">
        <v>318.76</v>
      </c>
    </row>
    <row r="932">
      <c r="A932" t="inlineStr">
        <is>
          <t>ENC115833</t>
        </is>
      </c>
      <c r="B932" t="inlineStr">
        <is>
          <t>PT10137</t>
        </is>
      </c>
      <c r="C932" s="42" t="n">
        <v>45819</v>
      </c>
      <c r="D932" s="42" t="n">
        <v>45819</v>
      </c>
      <c r="E932" s="38" t="n">
        <v>0</v>
      </c>
      <c r="F932" t="inlineStr">
        <is>
          <t>Emergency</t>
        </is>
      </c>
      <c r="G932" t="inlineStr">
        <is>
          <t>Bluestone Memorial Hospital</t>
        </is>
      </c>
      <c r="H932" t="inlineStr">
        <is>
          <t>Emergency Department</t>
        </is>
      </c>
      <c r="I932" t="inlineStr">
        <is>
          <t>Emergency</t>
        </is>
      </c>
      <c r="J932" t="inlineStr">
        <is>
          <t>Kowalski, James</t>
        </is>
      </c>
      <c r="K932" t="inlineStr">
        <is>
          <t>N39.0</t>
        </is>
      </c>
      <c r="L932" t="inlineStr">
        <is>
          <t>Genitourinary</t>
        </is>
      </c>
      <c r="M932" t="inlineStr">
        <is>
          <t>State Medicaid</t>
        </is>
      </c>
      <c r="N932" t="inlineStr">
        <is>
          <t>Government</t>
        </is>
      </c>
      <c r="O932" s="39" t="n">
        <v>3709.18</v>
      </c>
    </row>
    <row r="933">
      <c r="A933" t="inlineStr">
        <is>
          <t>ENC115841</t>
        </is>
      </c>
      <c r="B933" t="inlineStr">
        <is>
          <t>PT13901</t>
        </is>
      </c>
      <c r="C933" s="42" t="n">
        <v>45819</v>
      </c>
      <c r="D933" s="42" t="n">
        <v>45819</v>
      </c>
      <c r="E933" s="38" t="n">
        <v>0</v>
      </c>
      <c r="F933" t="inlineStr">
        <is>
          <t>Outpatient</t>
        </is>
      </c>
      <c r="G933" t="inlineStr">
        <is>
          <t>Bluestone Outpatient Pavilion</t>
        </is>
      </c>
      <c r="H933" t="inlineStr">
        <is>
          <t>Pediatric Clinic</t>
        </is>
      </c>
      <c r="I933" t="inlineStr">
        <is>
          <t>Women &amp; Children</t>
        </is>
      </c>
      <c r="J933" t="inlineStr">
        <is>
          <t>Herrera, Christian</t>
        </is>
      </c>
      <c r="K933" t="inlineStr">
        <is>
          <t>Z00.129</t>
        </is>
      </c>
      <c r="L933" t="inlineStr">
        <is>
          <t>Factors Influencing Health</t>
        </is>
      </c>
      <c r="M933" t="inlineStr">
        <is>
          <t>Keystone Health Partners</t>
        </is>
      </c>
      <c r="N933" t="inlineStr">
        <is>
          <t>Commercial</t>
        </is>
      </c>
      <c r="O933" s="39" t="n">
        <v>428.69</v>
      </c>
    </row>
    <row r="934">
      <c r="A934" t="inlineStr">
        <is>
          <t>ENC115854</t>
        </is>
      </c>
      <c r="B934" t="inlineStr">
        <is>
          <t>PT10488</t>
        </is>
      </c>
      <c r="C934" s="42" t="n">
        <v>45820</v>
      </c>
      <c r="D934" s="42" t="n">
        <v>45820</v>
      </c>
      <c r="E934" s="38" t="n">
        <v>0</v>
      </c>
      <c r="F934" t="inlineStr">
        <is>
          <t>Emergency</t>
        </is>
      </c>
      <c r="G934" t="inlineStr">
        <is>
          <t>Bluestone Memorial Hospital</t>
        </is>
      </c>
      <c r="H934" t="inlineStr">
        <is>
          <t>Emergency Department</t>
        </is>
      </c>
      <c r="I934" t="inlineStr">
        <is>
          <t>Emergency</t>
        </is>
      </c>
      <c r="J934" t="inlineStr">
        <is>
          <t>Elliott, Jesse</t>
        </is>
      </c>
      <c r="K934" t="inlineStr">
        <is>
          <t>F10.239</t>
        </is>
      </c>
      <c r="L934" t="inlineStr">
        <is>
          <t>Mental &amp; Behavioral</t>
        </is>
      </c>
      <c r="M934" t="inlineStr">
        <is>
          <t>Medicare</t>
        </is>
      </c>
      <c r="N934" t="inlineStr">
        <is>
          <t>Government</t>
        </is>
      </c>
      <c r="O934" s="39" t="n">
        <v>2981.31</v>
      </c>
    </row>
    <row r="935">
      <c r="A935" t="inlineStr">
        <is>
          <t>ENC115860</t>
        </is>
      </c>
      <c r="B935" t="inlineStr">
        <is>
          <t>PT13196</t>
        </is>
      </c>
      <c r="C935" s="42" t="n">
        <v>45820</v>
      </c>
      <c r="D935" s="42" t="n">
        <v>45820</v>
      </c>
      <c r="E935" s="38" t="n">
        <v>0</v>
      </c>
      <c r="F935" t="inlineStr">
        <is>
          <t>Outpatient</t>
        </is>
      </c>
      <c r="G935" t="inlineStr">
        <is>
          <t>Bluestone Outpatient Pavilion</t>
        </is>
      </c>
      <c r="H935" t="inlineStr">
        <is>
          <t>Endocrinology &amp; Diabetes Clinic</t>
        </is>
      </c>
      <c r="I935" t="inlineStr">
        <is>
          <t>Ambulatory</t>
        </is>
      </c>
      <c r="J935" t="inlineStr">
        <is>
          <t>Rivera, Scott</t>
        </is>
      </c>
      <c r="K935" t="inlineStr">
        <is>
          <t>E11.9</t>
        </is>
      </c>
      <c r="L935" t="inlineStr">
        <is>
          <t>Endocrine</t>
        </is>
      </c>
      <c r="M935" t="inlineStr">
        <is>
          <t>Silverline Medicare Advantage</t>
        </is>
      </c>
      <c r="N935" t="inlineStr">
        <is>
          <t>Medicare Advantage</t>
        </is>
      </c>
      <c r="O935" s="39" t="n">
        <v>317.12</v>
      </c>
    </row>
    <row r="936">
      <c r="A936" t="inlineStr">
        <is>
          <t>ENC115880</t>
        </is>
      </c>
      <c r="B936" t="inlineStr">
        <is>
          <t>PT12410</t>
        </is>
      </c>
      <c r="C936" s="42" t="n">
        <v>45820</v>
      </c>
      <c r="D936" s="42" t="n">
        <v>45820</v>
      </c>
      <c r="E936" s="38" t="n">
        <v>0</v>
      </c>
      <c r="F936" t="inlineStr">
        <is>
          <t>Outpatient</t>
        </is>
      </c>
      <c r="G936" t="inlineStr">
        <is>
          <t>Bluestone Outpatient Pavilion</t>
        </is>
      </c>
      <c r="H936" t="inlineStr">
        <is>
          <t>Primary Care Clinic</t>
        </is>
      </c>
      <c r="I936" t="inlineStr">
        <is>
          <t>Ambulatory</t>
        </is>
      </c>
      <c r="J936" t="inlineStr">
        <is>
          <t>Vazquez, Carolyn</t>
        </is>
      </c>
      <c r="K936" t="inlineStr">
        <is>
          <t>G43.909</t>
        </is>
      </c>
      <c r="L936" t="inlineStr">
        <is>
          <t>Nervous System</t>
        </is>
      </c>
      <c r="M936" t="inlineStr">
        <is>
          <t>Evergreen Mutual Insurance</t>
        </is>
      </c>
      <c r="N936" t="inlineStr">
        <is>
          <t>Commercial</t>
        </is>
      </c>
      <c r="O936" s="39" t="n">
        <v>320.15</v>
      </c>
    </row>
    <row r="937">
      <c r="A937" t="inlineStr">
        <is>
          <t>ENC115883</t>
        </is>
      </c>
      <c r="B937" t="inlineStr">
        <is>
          <t>PT10692</t>
        </is>
      </c>
      <c r="C937" s="42" t="n">
        <v>45820</v>
      </c>
      <c r="D937" s="42" t="n">
        <v>45822</v>
      </c>
      <c r="E937" s="38" t="n">
        <v>2</v>
      </c>
      <c r="F937" t="inlineStr">
        <is>
          <t>Inpatient</t>
        </is>
      </c>
      <c r="G937" t="inlineStr">
        <is>
          <t>Bluestone Memorial Hospital</t>
        </is>
      </c>
      <c r="H937" t="inlineStr">
        <is>
          <t>Neuroscience &amp; Stroke</t>
        </is>
      </c>
      <c r="I937" t="inlineStr">
        <is>
          <t>Neuroscience</t>
        </is>
      </c>
      <c r="J937" t="inlineStr">
        <is>
          <t>Stone, Frank</t>
        </is>
      </c>
      <c r="K937" t="inlineStr">
        <is>
          <t>G40.909</t>
        </is>
      </c>
      <c r="L937" t="inlineStr">
        <is>
          <t>Nervous System</t>
        </is>
      </c>
      <c r="M937" t="inlineStr">
        <is>
          <t>Keystone Health Partners</t>
        </is>
      </c>
      <c r="N937" t="inlineStr">
        <is>
          <t>Commercial</t>
        </is>
      </c>
      <c r="O937" s="39" t="n">
        <v>13766.79</v>
      </c>
      <c r="P937" t="inlineStr">
        <is>
          <t>N</t>
        </is>
      </c>
    </row>
    <row r="938">
      <c r="A938" t="inlineStr">
        <is>
          <t>ENC115907</t>
        </is>
      </c>
      <c r="B938" t="inlineStr">
        <is>
          <t>PT10129</t>
        </is>
      </c>
      <c r="C938" s="42" t="n">
        <v>45821</v>
      </c>
      <c r="D938" s="42" t="n">
        <v>45821</v>
      </c>
      <c r="E938" s="38" t="n">
        <v>0</v>
      </c>
      <c r="F938" t="inlineStr">
        <is>
          <t>Emergency</t>
        </is>
      </c>
      <c r="G938" t="inlineStr">
        <is>
          <t>Ashby Falls Community Hospital</t>
        </is>
      </c>
      <c r="H938" t="inlineStr">
        <is>
          <t>Emergency Department</t>
        </is>
      </c>
      <c r="I938" t="inlineStr">
        <is>
          <t>Emergency</t>
        </is>
      </c>
      <c r="J938" t="inlineStr">
        <is>
          <t>Collins, Frank</t>
        </is>
      </c>
      <c r="K938" t="inlineStr">
        <is>
          <t>N39.0</t>
        </is>
      </c>
      <c r="L938" t="inlineStr">
        <is>
          <t>Genitourinary</t>
        </is>
      </c>
      <c r="M938" t="inlineStr">
        <is>
          <t>Evergreen Mutual Insurance</t>
        </is>
      </c>
      <c r="N938" t="inlineStr">
        <is>
          <t>Commercial</t>
        </is>
      </c>
      <c r="O938" s="39" t="n">
        <v>3216.79</v>
      </c>
    </row>
    <row r="939">
      <c r="A939" t="inlineStr">
        <is>
          <t>ENC115902</t>
        </is>
      </c>
      <c r="B939" t="inlineStr">
        <is>
          <t>PT10383</t>
        </is>
      </c>
      <c r="C939" s="42" t="n">
        <v>45821</v>
      </c>
      <c r="D939" s="42" t="n">
        <v>45825</v>
      </c>
      <c r="E939" s="38" t="n">
        <v>4</v>
      </c>
      <c r="F939" t="inlineStr">
        <is>
          <t>Inpatient</t>
        </is>
      </c>
      <c r="G939" t="inlineStr">
        <is>
          <t>Bluestone Memorial Hospital</t>
        </is>
      </c>
      <c r="H939" t="inlineStr">
        <is>
          <t>Medical-Surgical 5 East</t>
        </is>
      </c>
      <c r="I939" t="inlineStr">
        <is>
          <t>Medicine</t>
        </is>
      </c>
      <c r="J939" t="inlineStr">
        <is>
          <t>Vasquez, Jose</t>
        </is>
      </c>
      <c r="K939" t="inlineStr">
        <is>
          <t>N17.9</t>
        </is>
      </c>
      <c r="L939" t="inlineStr">
        <is>
          <t>Genitourinary</t>
        </is>
      </c>
      <c r="M939" t="inlineStr">
        <is>
          <t>Silverline Medicare Advantage</t>
        </is>
      </c>
      <c r="N939" t="inlineStr">
        <is>
          <t>Medicare Advantage</t>
        </is>
      </c>
      <c r="O939" s="39" t="n">
        <v>16343.61</v>
      </c>
      <c r="P939" t="inlineStr">
        <is>
          <t>N</t>
        </is>
      </c>
    </row>
    <row r="940">
      <c r="A940" t="inlineStr">
        <is>
          <t>ENC115918</t>
        </is>
      </c>
      <c r="B940" t="inlineStr">
        <is>
          <t>PT10219</t>
        </is>
      </c>
      <c r="C940" s="42" t="n">
        <v>45822</v>
      </c>
      <c r="D940" s="42" t="n">
        <v>45823</v>
      </c>
      <c r="E940" s="38" t="n">
        <v>1</v>
      </c>
      <c r="F940" t="inlineStr">
        <is>
          <t>Observation</t>
        </is>
      </c>
      <c r="G940" t="inlineStr">
        <is>
          <t>Cedar Ridge Medical Center</t>
        </is>
      </c>
      <c r="H940" t="inlineStr">
        <is>
          <t>Medical-Surgical</t>
        </is>
      </c>
      <c r="I940" t="inlineStr">
        <is>
          <t>Medicine</t>
        </is>
      </c>
      <c r="J940" t="inlineStr">
        <is>
          <t>Payne, Tyler</t>
        </is>
      </c>
      <c r="K940" t="inlineStr">
        <is>
          <t>N39.0</t>
        </is>
      </c>
      <c r="L940" t="inlineStr">
        <is>
          <t>Genitourinary</t>
        </is>
      </c>
      <c r="M940" t="inlineStr">
        <is>
          <t>Medicare</t>
        </is>
      </c>
      <c r="N940" t="inlineStr">
        <is>
          <t>Government</t>
        </is>
      </c>
      <c r="O940" s="39" t="n">
        <v>5139.37</v>
      </c>
    </row>
    <row r="941">
      <c r="A941" t="inlineStr">
        <is>
          <t>ENC115919</t>
        </is>
      </c>
      <c r="B941" t="inlineStr">
        <is>
          <t>PT11497</t>
        </is>
      </c>
      <c r="C941" s="42" t="n">
        <v>45822</v>
      </c>
      <c r="D941" s="42" t="n">
        <v>45822</v>
      </c>
      <c r="E941" s="38" t="n">
        <v>0</v>
      </c>
      <c r="F941" t="inlineStr">
        <is>
          <t>Emergency</t>
        </is>
      </c>
      <c r="G941" t="inlineStr">
        <is>
          <t>Ashby Falls Community Hospital</t>
        </is>
      </c>
      <c r="H941" t="inlineStr">
        <is>
          <t>Emergency Department</t>
        </is>
      </c>
      <c r="I941" t="inlineStr">
        <is>
          <t>Emergency</t>
        </is>
      </c>
      <c r="J941" t="inlineStr">
        <is>
          <t>Collins, Frank</t>
        </is>
      </c>
      <c r="K941" t="inlineStr">
        <is>
          <t>N39.0</t>
        </is>
      </c>
      <c r="L941" t="inlineStr">
        <is>
          <t>Genitourinary</t>
        </is>
      </c>
      <c r="M941" t="inlineStr">
        <is>
          <t>Keystone Health Partners</t>
        </is>
      </c>
      <c r="N941" t="inlineStr">
        <is>
          <t>Commercial</t>
        </is>
      </c>
      <c r="O941" s="39" t="n">
        <v>2085.19</v>
      </c>
    </row>
    <row r="942">
      <c r="A942" t="inlineStr">
        <is>
          <t>ENC115920</t>
        </is>
      </c>
      <c r="B942" t="inlineStr">
        <is>
          <t>PT12240</t>
        </is>
      </c>
      <c r="C942" s="42" t="n">
        <v>45822</v>
      </c>
      <c r="D942" s="42" t="n">
        <v>45822</v>
      </c>
      <c r="E942" s="38" t="n">
        <v>0</v>
      </c>
      <c r="F942" t="inlineStr">
        <is>
          <t>Emergency</t>
        </is>
      </c>
      <c r="G942" t="inlineStr">
        <is>
          <t>Ashby Falls Community Hospital</t>
        </is>
      </c>
      <c r="H942" t="inlineStr">
        <is>
          <t>Emergency Department</t>
        </is>
      </c>
      <c r="I942" t="inlineStr">
        <is>
          <t>Emergency</t>
        </is>
      </c>
      <c r="J942" t="inlineStr">
        <is>
          <t>Wright, Bruce</t>
        </is>
      </c>
      <c r="K942" t="inlineStr">
        <is>
          <t>R07.9</t>
        </is>
      </c>
      <c r="L942" t="inlineStr">
        <is>
          <t>Symptoms &amp; Signs</t>
        </is>
      </c>
      <c r="M942" t="inlineStr">
        <is>
          <t>Evergreen Mutual Insurance</t>
        </is>
      </c>
      <c r="N942" t="inlineStr">
        <is>
          <t>Commercial</t>
        </is>
      </c>
      <c r="O942" s="39" t="n">
        <v>4167.97</v>
      </c>
    </row>
    <row r="943">
      <c r="A943" t="inlineStr">
        <is>
          <t>ENC115930</t>
        </is>
      </c>
      <c r="B943" t="inlineStr">
        <is>
          <t>PT11997</t>
        </is>
      </c>
      <c r="C943" s="42" t="n">
        <v>45822</v>
      </c>
      <c r="D943" s="42" t="n">
        <v>45826</v>
      </c>
      <c r="E943" s="38" t="n">
        <v>4</v>
      </c>
      <c r="F943" t="inlineStr">
        <is>
          <t>Inpatient</t>
        </is>
      </c>
      <c r="G943" t="inlineStr">
        <is>
          <t>Bluestone Memorial Hospital</t>
        </is>
      </c>
      <c r="H943" t="inlineStr">
        <is>
          <t>Oncology</t>
        </is>
      </c>
      <c r="I943" t="inlineStr">
        <is>
          <t>Oncology</t>
        </is>
      </c>
      <c r="J943" t="inlineStr">
        <is>
          <t>Hughes, Larry</t>
        </is>
      </c>
      <c r="K943" t="inlineStr">
        <is>
          <t>C34.90</t>
        </is>
      </c>
      <c r="L943" t="inlineStr">
        <is>
          <t>Neoplasms</t>
        </is>
      </c>
      <c r="M943" t="inlineStr">
        <is>
          <t>Keystone Health Partners</t>
        </is>
      </c>
      <c r="N943" t="inlineStr">
        <is>
          <t>Commercial</t>
        </is>
      </c>
      <c r="O943" s="39" t="n">
        <v>17915.47</v>
      </c>
      <c r="P943" t="inlineStr">
        <is>
          <t>N</t>
        </is>
      </c>
    </row>
    <row r="944">
      <c r="A944" t="inlineStr">
        <is>
          <t>ENC115935</t>
        </is>
      </c>
      <c r="B944" t="inlineStr">
        <is>
          <t>PT10662</t>
        </is>
      </c>
      <c r="C944" s="42" t="n">
        <v>45822</v>
      </c>
      <c r="D944" s="42" t="n">
        <v>45822</v>
      </c>
      <c r="E944" s="38" t="n">
        <v>0</v>
      </c>
      <c r="F944" t="inlineStr">
        <is>
          <t>Emergency</t>
        </is>
      </c>
      <c r="G944" t="inlineStr">
        <is>
          <t>Cedar Ridge Medical Center</t>
        </is>
      </c>
      <c r="H944" t="inlineStr">
        <is>
          <t>Emergency Department</t>
        </is>
      </c>
      <c r="I944" t="inlineStr">
        <is>
          <t>Emergency</t>
        </is>
      </c>
      <c r="J944" t="inlineStr">
        <is>
          <t>Schmidt, Anna</t>
        </is>
      </c>
      <c r="K944" t="inlineStr">
        <is>
          <t>U07.1</t>
        </is>
      </c>
      <c r="L944" t="inlineStr">
        <is>
          <t>Respiratory</t>
        </is>
      </c>
      <c r="M944" t="inlineStr">
        <is>
          <t>Medicare</t>
        </is>
      </c>
      <c r="N944" t="inlineStr">
        <is>
          <t>Government</t>
        </is>
      </c>
      <c r="O944" s="39" t="n">
        <v>6873.85</v>
      </c>
    </row>
    <row r="945">
      <c r="A945" t="inlineStr">
        <is>
          <t>ENC115937</t>
        </is>
      </c>
      <c r="B945" t="inlineStr">
        <is>
          <t>PT11548</t>
        </is>
      </c>
      <c r="C945" s="42" t="n">
        <v>45822</v>
      </c>
      <c r="D945" s="42" t="n">
        <v>45826</v>
      </c>
      <c r="E945" s="38" t="n">
        <v>4</v>
      </c>
      <c r="F945" t="inlineStr">
        <is>
          <t>Inpatient</t>
        </is>
      </c>
      <c r="G945" t="inlineStr">
        <is>
          <t>Cedar Ridge Medical Center</t>
        </is>
      </c>
      <c r="H945" t="inlineStr">
        <is>
          <t>Medical-Surgical</t>
        </is>
      </c>
      <c r="I945" t="inlineStr">
        <is>
          <t>Medicine</t>
        </is>
      </c>
      <c r="J945" t="inlineStr">
        <is>
          <t>Peters, Frank</t>
        </is>
      </c>
      <c r="K945" t="inlineStr">
        <is>
          <t>J18.9</t>
        </is>
      </c>
      <c r="L945" t="inlineStr">
        <is>
          <t>Respiratory</t>
        </is>
      </c>
      <c r="M945" t="inlineStr">
        <is>
          <t>Evergreen Mutual Insurance</t>
        </is>
      </c>
      <c r="N945" t="inlineStr">
        <is>
          <t>Commercial</t>
        </is>
      </c>
      <c r="O945" s="39" t="n">
        <v>17471.2</v>
      </c>
      <c r="P945" t="inlineStr">
        <is>
          <t>N</t>
        </is>
      </c>
    </row>
    <row r="946">
      <c r="A946" t="inlineStr">
        <is>
          <t>ENC115963</t>
        </is>
      </c>
      <c r="B946" t="inlineStr">
        <is>
          <t>PT13196</t>
        </is>
      </c>
      <c r="C946" s="42" t="n">
        <v>45824</v>
      </c>
      <c r="D946" s="42" t="n">
        <v>45824</v>
      </c>
      <c r="E946" s="38" t="n">
        <v>0</v>
      </c>
      <c r="F946" t="inlineStr">
        <is>
          <t>Outpatient</t>
        </is>
      </c>
      <c r="G946" t="inlineStr">
        <is>
          <t>Bluestone Outpatient Pavilion</t>
        </is>
      </c>
      <c r="H946" t="inlineStr">
        <is>
          <t>Primary Care Clinic</t>
        </is>
      </c>
      <c r="I946" t="inlineStr">
        <is>
          <t>Ambulatory</t>
        </is>
      </c>
      <c r="J946" t="inlineStr">
        <is>
          <t>Black, Nancy</t>
        </is>
      </c>
      <c r="K946" t="inlineStr">
        <is>
          <t>I10</t>
        </is>
      </c>
      <c r="L946" t="inlineStr">
        <is>
          <t>Circulatory</t>
        </is>
      </c>
      <c r="M946" t="inlineStr">
        <is>
          <t>Silverline Medicare Advantage</t>
        </is>
      </c>
      <c r="N946" t="inlineStr">
        <is>
          <t>Medicare Advantage</t>
        </is>
      </c>
      <c r="O946" s="39" t="n">
        <v>232.62</v>
      </c>
    </row>
    <row r="947">
      <c r="A947" t="inlineStr">
        <is>
          <t>ENC115971</t>
        </is>
      </c>
      <c r="B947" t="inlineStr">
        <is>
          <t>PT11524</t>
        </is>
      </c>
      <c r="C947" s="42" t="n">
        <v>45824</v>
      </c>
      <c r="D947" s="42" t="n">
        <v>45824</v>
      </c>
      <c r="E947" s="38" t="n">
        <v>0</v>
      </c>
      <c r="F947" t="inlineStr">
        <is>
          <t>Emergency</t>
        </is>
      </c>
      <c r="G947" t="inlineStr">
        <is>
          <t>Cedar Ridge Medical Center</t>
        </is>
      </c>
      <c r="H947" t="inlineStr">
        <is>
          <t>Emergency Department</t>
        </is>
      </c>
      <c r="I947" t="inlineStr">
        <is>
          <t>Emergency</t>
        </is>
      </c>
      <c r="J947" t="inlineStr">
        <is>
          <t>Schmidt, Anna</t>
        </is>
      </c>
      <c r="K947" t="inlineStr">
        <is>
          <t>S06.0X0A</t>
        </is>
      </c>
      <c r="L947" t="inlineStr">
        <is>
          <t>Injury</t>
        </is>
      </c>
      <c r="M947" t="inlineStr">
        <is>
          <t>Workers' Compensation</t>
        </is>
      </c>
      <c r="N947" t="inlineStr">
        <is>
          <t>Workers' Comp</t>
        </is>
      </c>
      <c r="O947" s="39" t="n">
        <v>4824.81</v>
      </c>
    </row>
    <row r="948">
      <c r="A948" t="inlineStr">
        <is>
          <t>ENC115986</t>
        </is>
      </c>
      <c r="B948" t="inlineStr">
        <is>
          <t>PT10285</t>
        </is>
      </c>
      <c r="C948" s="42" t="n">
        <v>45824</v>
      </c>
      <c r="D948" s="42" t="n">
        <v>45824</v>
      </c>
      <c r="E948" s="38" t="n">
        <v>0</v>
      </c>
      <c r="F948" t="inlineStr">
        <is>
          <t>Emergency</t>
        </is>
      </c>
      <c r="G948" t="inlineStr">
        <is>
          <t>Bluestone Memorial Hospital</t>
        </is>
      </c>
      <c r="H948" t="inlineStr">
        <is>
          <t>Emergency Department</t>
        </is>
      </c>
      <c r="I948" t="inlineStr">
        <is>
          <t>Emergency</t>
        </is>
      </c>
      <c r="J948" t="inlineStr">
        <is>
          <t>Sullivan, Jacob</t>
        </is>
      </c>
      <c r="K948" t="inlineStr">
        <is>
          <t>G43.909</t>
        </is>
      </c>
      <c r="L948" t="inlineStr">
        <is>
          <t>Nervous System</t>
        </is>
      </c>
      <c r="M948" t="inlineStr">
        <is>
          <t>Medicare</t>
        </is>
      </c>
      <c r="N948" t="inlineStr">
        <is>
          <t>Government</t>
        </is>
      </c>
      <c r="O948" s="39" t="n">
        <v>504.34</v>
      </c>
    </row>
    <row r="949">
      <c r="A949" t="inlineStr">
        <is>
          <t>ENC115979</t>
        </is>
      </c>
      <c r="B949" t="inlineStr">
        <is>
          <t>PT10679</t>
        </is>
      </c>
      <c r="C949" s="42" t="n">
        <v>45824</v>
      </c>
      <c r="D949" s="42" t="n">
        <v>45829</v>
      </c>
      <c r="E949" s="38" t="n">
        <v>5</v>
      </c>
      <c r="F949" t="inlineStr">
        <is>
          <t>Inpatient</t>
        </is>
      </c>
      <c r="G949" t="inlineStr">
        <is>
          <t>Bluestone Memorial Hospital</t>
        </is>
      </c>
      <c r="H949" t="inlineStr">
        <is>
          <t>Medical-Surgical 4 West</t>
        </is>
      </c>
      <c r="I949" t="inlineStr">
        <is>
          <t>Medicine</t>
        </is>
      </c>
      <c r="J949" t="inlineStr">
        <is>
          <t>Wallace, Alan</t>
        </is>
      </c>
      <c r="K949" t="inlineStr">
        <is>
          <t>J18.9</t>
        </is>
      </c>
      <c r="L949" t="inlineStr">
        <is>
          <t>Respiratory</t>
        </is>
      </c>
      <c r="M949" t="inlineStr">
        <is>
          <t>Medicare</t>
        </is>
      </c>
      <c r="N949" t="inlineStr">
        <is>
          <t>Government</t>
        </is>
      </c>
      <c r="O949" s="39" t="n">
        <v>26129.68</v>
      </c>
      <c r="P949" t="inlineStr">
        <is>
          <t>Y</t>
        </is>
      </c>
    </row>
    <row r="950">
      <c r="A950" t="inlineStr">
        <is>
          <t>ENC115990</t>
        </is>
      </c>
      <c r="B950" t="inlineStr">
        <is>
          <t>PT12444</t>
        </is>
      </c>
      <c r="C950" s="42" t="n">
        <v>45825</v>
      </c>
      <c r="D950" s="42" t="n">
        <v>45825</v>
      </c>
      <c r="E950" s="38" t="n">
        <v>0</v>
      </c>
      <c r="F950" t="inlineStr">
        <is>
          <t>Emergency</t>
        </is>
      </c>
      <c r="G950" t="inlineStr">
        <is>
          <t>Cedar Ridge Medical Center</t>
        </is>
      </c>
      <c r="H950" t="inlineStr">
        <is>
          <t>Emergency Department</t>
        </is>
      </c>
      <c r="I950" t="inlineStr">
        <is>
          <t>Emergency</t>
        </is>
      </c>
      <c r="J950" t="inlineStr">
        <is>
          <t>Munoz, Linda</t>
        </is>
      </c>
      <c r="K950" t="inlineStr">
        <is>
          <t>E86.0</t>
        </is>
      </c>
      <c r="L950" t="inlineStr">
        <is>
          <t>Endocrine</t>
        </is>
      </c>
      <c r="M950" t="inlineStr">
        <is>
          <t>Keystone Health Partners</t>
        </is>
      </c>
      <c r="N950" t="inlineStr">
        <is>
          <t>Commercial</t>
        </is>
      </c>
      <c r="O950" s="39" t="n">
        <v>2828.39</v>
      </c>
    </row>
    <row r="951">
      <c r="A951" t="inlineStr">
        <is>
          <t>ENC115998</t>
        </is>
      </c>
      <c r="B951" t="inlineStr">
        <is>
          <t>PT11705</t>
        </is>
      </c>
      <c r="C951" s="42" t="n">
        <v>45825</v>
      </c>
      <c r="D951" s="42" t="n">
        <v>45825</v>
      </c>
      <c r="E951" s="38" t="n">
        <v>0</v>
      </c>
      <c r="F951" t="inlineStr">
        <is>
          <t>Outpatient</t>
        </is>
      </c>
      <c r="G951" t="inlineStr">
        <is>
          <t>Bluestone Outpatient Pavilion</t>
        </is>
      </c>
      <c r="H951" t="inlineStr">
        <is>
          <t>Primary Care Clinic</t>
        </is>
      </c>
      <c r="I951" t="inlineStr">
        <is>
          <t>Ambulatory</t>
        </is>
      </c>
      <c r="J951" t="inlineStr">
        <is>
          <t>Osei, Julie</t>
        </is>
      </c>
      <c r="K951" t="inlineStr">
        <is>
          <t>Z00.00</t>
        </is>
      </c>
      <c r="L951" t="inlineStr">
        <is>
          <t>Factors Influencing Health</t>
        </is>
      </c>
      <c r="M951" t="inlineStr">
        <is>
          <t>Evergreen Mutual Insurance</t>
        </is>
      </c>
      <c r="N951" t="inlineStr">
        <is>
          <t>Commercial</t>
        </is>
      </c>
      <c r="O951" s="39" t="n">
        <v>207.9</v>
      </c>
    </row>
    <row r="952">
      <c r="A952" t="inlineStr">
        <is>
          <t>ENC116001</t>
        </is>
      </c>
      <c r="B952" t="inlineStr">
        <is>
          <t>PT11619</t>
        </is>
      </c>
      <c r="C952" s="42" t="n">
        <v>45825</v>
      </c>
      <c r="D952" s="42" t="n">
        <v>45825</v>
      </c>
      <c r="E952" s="38" t="n">
        <v>0</v>
      </c>
      <c r="F952" t="inlineStr">
        <is>
          <t>Outpatient</t>
        </is>
      </c>
      <c r="G952" t="inlineStr">
        <is>
          <t>Bluestone Outpatient Pavilion</t>
        </is>
      </c>
      <c r="H952" t="inlineStr">
        <is>
          <t>Orthopedic Clinic</t>
        </is>
      </c>
      <c r="I952" t="inlineStr">
        <is>
          <t>Orthopedics</t>
        </is>
      </c>
      <c r="J952" t="inlineStr">
        <is>
          <t>Hernandez, Kyle</t>
        </is>
      </c>
      <c r="K952" t="inlineStr">
        <is>
          <t>M17.11</t>
        </is>
      </c>
      <c r="L952" t="inlineStr">
        <is>
          <t>Musculoskeletal</t>
        </is>
      </c>
      <c r="M952" t="inlineStr">
        <is>
          <t>Medicare</t>
        </is>
      </c>
      <c r="N952" t="inlineStr">
        <is>
          <t>Government</t>
        </is>
      </c>
      <c r="O952" s="39" t="n">
        <v>564.99</v>
      </c>
    </row>
    <row r="953">
      <c r="A953" t="inlineStr">
        <is>
          <t>ENC116002</t>
        </is>
      </c>
      <c r="B953" t="inlineStr">
        <is>
          <t>PT12539</t>
        </is>
      </c>
      <c r="C953" s="42" t="n">
        <v>45825</v>
      </c>
      <c r="D953" s="42" t="n">
        <v>45825</v>
      </c>
      <c r="E953" s="38" t="n">
        <v>0</v>
      </c>
      <c r="F953" t="inlineStr">
        <is>
          <t>Outpatient</t>
        </is>
      </c>
      <c r="G953" t="inlineStr">
        <is>
          <t>Bluestone Outpatient Pavilion</t>
        </is>
      </c>
      <c r="H953" t="inlineStr">
        <is>
          <t>Primary Care Clinic</t>
        </is>
      </c>
      <c r="I953" t="inlineStr">
        <is>
          <t>Ambulatory</t>
        </is>
      </c>
      <c r="J953" t="inlineStr">
        <is>
          <t>Torres, Rebecca</t>
        </is>
      </c>
      <c r="K953" t="inlineStr">
        <is>
          <t>Z00.00</t>
        </is>
      </c>
      <c r="L953" t="inlineStr">
        <is>
          <t>Factors Influencing Health</t>
        </is>
      </c>
      <c r="M953" t="inlineStr">
        <is>
          <t>Evergreen Mutual Insurance</t>
        </is>
      </c>
      <c r="N953" t="inlineStr">
        <is>
          <t>Commercial</t>
        </is>
      </c>
      <c r="O953" s="39" t="n">
        <v>275.48</v>
      </c>
    </row>
    <row r="954">
      <c r="A954" t="inlineStr">
        <is>
          <t>ENC115996</t>
        </is>
      </c>
      <c r="B954" t="inlineStr">
        <is>
          <t>PT12337</t>
        </is>
      </c>
      <c r="C954" s="42" t="n">
        <v>45825</v>
      </c>
      <c r="D954" s="42" t="n">
        <v>45831</v>
      </c>
      <c r="E954" s="38" t="n">
        <v>6</v>
      </c>
      <c r="F954" t="inlineStr">
        <is>
          <t>Inpatient</t>
        </is>
      </c>
      <c r="G954" t="inlineStr">
        <is>
          <t>Bluestone Memorial Hospital</t>
        </is>
      </c>
      <c r="H954" t="inlineStr">
        <is>
          <t>Medical-Surgical 5 East</t>
        </is>
      </c>
      <c r="I954" t="inlineStr">
        <is>
          <t>Medicine</t>
        </is>
      </c>
      <c r="J954" t="inlineStr">
        <is>
          <t>Abdi, Hassan</t>
        </is>
      </c>
      <c r="K954" t="inlineStr">
        <is>
          <t>N17.9</t>
        </is>
      </c>
      <c r="L954" t="inlineStr">
        <is>
          <t>Genitourinary</t>
        </is>
      </c>
      <c r="M954" t="inlineStr">
        <is>
          <t>Silverline Medicare Advantage</t>
        </is>
      </c>
      <c r="N954" t="inlineStr">
        <is>
          <t>Medicare Advantage</t>
        </is>
      </c>
      <c r="O954" s="39" t="n">
        <v>20066.88</v>
      </c>
      <c r="P954" t="inlineStr">
        <is>
          <t>N</t>
        </is>
      </c>
    </row>
    <row r="955">
      <c r="A955" t="inlineStr">
        <is>
          <t>ENC116008</t>
        </is>
      </c>
      <c r="B955" t="inlineStr">
        <is>
          <t>PT11275</t>
        </is>
      </c>
      <c r="C955" s="42" t="n">
        <v>45825</v>
      </c>
      <c r="D955" s="42" t="n">
        <v>45825</v>
      </c>
      <c r="E955" s="38" t="n">
        <v>0</v>
      </c>
      <c r="F955" t="inlineStr">
        <is>
          <t>Outpatient</t>
        </is>
      </c>
      <c r="G955" t="inlineStr">
        <is>
          <t>Bluestone Outpatient Pavilion</t>
        </is>
      </c>
      <c r="H955" t="inlineStr">
        <is>
          <t>Primary Care Clinic</t>
        </is>
      </c>
      <c r="I955" t="inlineStr">
        <is>
          <t>Ambulatory</t>
        </is>
      </c>
      <c r="J955" t="inlineStr">
        <is>
          <t>Alvarado, George</t>
        </is>
      </c>
      <c r="K955" t="inlineStr">
        <is>
          <t>G40.909</t>
        </is>
      </c>
      <c r="L955" t="inlineStr">
        <is>
          <t>Nervous System</t>
        </is>
      </c>
      <c r="M955" t="inlineStr">
        <is>
          <t>Medicare</t>
        </is>
      </c>
      <c r="N955" t="inlineStr">
        <is>
          <t>Government</t>
        </is>
      </c>
      <c r="O955" s="39" t="n">
        <v>336.17</v>
      </c>
    </row>
    <row r="956">
      <c r="A956" t="inlineStr">
        <is>
          <t>ENC116010</t>
        </is>
      </c>
      <c r="B956" t="inlineStr">
        <is>
          <t>PT11468</t>
        </is>
      </c>
      <c r="C956" s="42" t="n">
        <v>45825</v>
      </c>
      <c r="D956" s="42" t="n">
        <v>45825</v>
      </c>
      <c r="E956" s="38" t="n">
        <v>0</v>
      </c>
      <c r="F956" t="inlineStr">
        <is>
          <t>Outpatient</t>
        </is>
      </c>
      <c r="G956" t="inlineStr">
        <is>
          <t>Bluestone Outpatient Pavilion</t>
        </is>
      </c>
      <c r="H956" t="inlineStr">
        <is>
          <t>Primary Care Clinic</t>
        </is>
      </c>
      <c r="I956" t="inlineStr">
        <is>
          <t>Ambulatory</t>
        </is>
      </c>
      <c r="J956" t="inlineStr">
        <is>
          <t>Sullivan, Brenda</t>
        </is>
      </c>
      <c r="K956" t="inlineStr">
        <is>
          <t>Z00.00</t>
        </is>
      </c>
      <c r="L956" t="inlineStr">
        <is>
          <t>Factors Influencing Health</t>
        </is>
      </c>
      <c r="M956" t="inlineStr">
        <is>
          <t>Self-Pay</t>
        </is>
      </c>
      <c r="N956" t="inlineStr">
        <is>
          <t>Self-Pay</t>
        </is>
      </c>
      <c r="O956" s="39" t="n">
        <v>317.87</v>
      </c>
    </row>
    <row r="957">
      <c r="A957" t="inlineStr">
        <is>
          <t>ENC116011</t>
        </is>
      </c>
      <c r="B957" t="inlineStr">
        <is>
          <t>PT10693</t>
        </is>
      </c>
      <c r="C957" s="42" t="n">
        <v>45825</v>
      </c>
      <c r="D957" s="42" t="n">
        <v>45830</v>
      </c>
      <c r="E957" s="38" t="n">
        <v>5</v>
      </c>
      <c r="F957" t="inlineStr">
        <is>
          <t>Inpatient</t>
        </is>
      </c>
      <c r="G957" t="inlineStr">
        <is>
          <t>Bluestone Memorial Hospital</t>
        </is>
      </c>
      <c r="H957" t="inlineStr">
        <is>
          <t>Medical-Surgical 5 East</t>
        </is>
      </c>
      <c r="I957" t="inlineStr">
        <is>
          <t>Medicine</t>
        </is>
      </c>
      <c r="J957" t="inlineStr">
        <is>
          <t>Price, Juan</t>
        </is>
      </c>
      <c r="K957" t="inlineStr">
        <is>
          <t>J18.9</t>
        </is>
      </c>
      <c r="L957" t="inlineStr">
        <is>
          <t>Respiratory</t>
        </is>
      </c>
      <c r="M957" t="inlineStr">
        <is>
          <t>Medicare</t>
        </is>
      </c>
      <c r="N957" t="inlineStr">
        <is>
          <t>Government</t>
        </is>
      </c>
      <c r="O957" s="39" t="n">
        <v>18807.37</v>
      </c>
      <c r="P957" t="inlineStr">
        <is>
          <t>Y</t>
        </is>
      </c>
    </row>
    <row r="958">
      <c r="A958" t="inlineStr">
        <is>
          <t>ENC116012</t>
        </is>
      </c>
      <c r="B958" t="inlineStr">
        <is>
          <t>PT11835</t>
        </is>
      </c>
      <c r="C958" s="42" t="n">
        <v>45825</v>
      </c>
      <c r="D958" s="42" t="n">
        <v>45825</v>
      </c>
      <c r="E958" s="38" t="n">
        <v>0</v>
      </c>
      <c r="F958" t="inlineStr">
        <is>
          <t>Emergency</t>
        </is>
      </c>
      <c r="G958" t="inlineStr">
        <is>
          <t>Cedar Ridge Medical Center</t>
        </is>
      </c>
      <c r="H958" t="inlineStr">
        <is>
          <t>Emergency Department</t>
        </is>
      </c>
      <c r="I958" t="inlineStr">
        <is>
          <t>Emergency</t>
        </is>
      </c>
      <c r="J958" t="inlineStr">
        <is>
          <t>Warren, Victoria</t>
        </is>
      </c>
      <c r="K958" t="inlineStr">
        <is>
          <t>R07.9</t>
        </is>
      </c>
      <c r="L958" t="inlineStr">
        <is>
          <t>Symptoms &amp; Signs</t>
        </is>
      </c>
      <c r="M958" t="inlineStr">
        <is>
          <t>Evergreen Mutual Insurance</t>
        </is>
      </c>
      <c r="N958" t="inlineStr">
        <is>
          <t>Commercial</t>
        </is>
      </c>
      <c r="O958" s="39" t="n">
        <v>2940.26</v>
      </c>
    </row>
    <row r="959">
      <c r="A959" t="inlineStr">
        <is>
          <t>ENC116016</t>
        </is>
      </c>
      <c r="B959" t="inlineStr">
        <is>
          <t>PT12678</t>
        </is>
      </c>
      <c r="C959" s="42" t="n">
        <v>45825</v>
      </c>
      <c r="D959" s="42" t="n">
        <v>45829</v>
      </c>
      <c r="E959" s="38" t="n">
        <v>4</v>
      </c>
      <c r="F959" t="inlineStr">
        <is>
          <t>Inpatient</t>
        </is>
      </c>
      <c r="G959" t="inlineStr">
        <is>
          <t>Ashby Falls Community Hospital</t>
        </is>
      </c>
      <c r="H959" t="inlineStr">
        <is>
          <t>Medical-Surgical</t>
        </is>
      </c>
      <c r="I959" t="inlineStr">
        <is>
          <t>Medicine</t>
        </is>
      </c>
      <c r="J959" t="inlineStr">
        <is>
          <t>Carter, Karen</t>
        </is>
      </c>
      <c r="K959" t="inlineStr">
        <is>
          <t>R55</t>
        </is>
      </c>
      <c r="L959" t="inlineStr">
        <is>
          <t>Symptoms &amp; Signs</t>
        </is>
      </c>
      <c r="M959" t="inlineStr">
        <is>
          <t>Medicare</t>
        </is>
      </c>
      <c r="N959" t="inlineStr">
        <is>
          <t>Government</t>
        </is>
      </c>
      <c r="O959" s="39" t="n">
        <v>21813.68</v>
      </c>
      <c r="P959" t="inlineStr">
        <is>
          <t>N</t>
        </is>
      </c>
    </row>
    <row r="960">
      <c r="A960" t="inlineStr">
        <is>
          <t>ENC116024</t>
        </is>
      </c>
      <c r="B960" t="inlineStr">
        <is>
          <t>PT12513</t>
        </is>
      </c>
      <c r="C960" s="42" t="n">
        <v>45826</v>
      </c>
      <c r="D960" s="42" t="n">
        <v>45826</v>
      </c>
      <c r="E960" s="38" t="n">
        <v>0</v>
      </c>
      <c r="F960" t="inlineStr">
        <is>
          <t>Emergency</t>
        </is>
      </c>
      <c r="G960" t="inlineStr">
        <is>
          <t>Cedar Ridge Medical Center</t>
        </is>
      </c>
      <c r="H960" t="inlineStr">
        <is>
          <t>Emergency Department</t>
        </is>
      </c>
      <c r="I960" t="inlineStr">
        <is>
          <t>Emergency</t>
        </is>
      </c>
      <c r="J960" t="inlineStr">
        <is>
          <t>Andrews, Michael</t>
        </is>
      </c>
      <c r="K960" t="inlineStr">
        <is>
          <t>R10.9</t>
        </is>
      </c>
      <c r="L960" t="inlineStr">
        <is>
          <t>Symptoms &amp; Signs</t>
        </is>
      </c>
      <c r="M960" t="inlineStr">
        <is>
          <t>Silverline Medicare Advantage</t>
        </is>
      </c>
      <c r="N960" t="inlineStr">
        <is>
          <t>Medicare Advantage</t>
        </is>
      </c>
      <c r="O960" s="39" t="n">
        <v>4296.5</v>
      </c>
    </row>
    <row r="961">
      <c r="A961" t="inlineStr">
        <is>
          <t>ENC116031</t>
        </is>
      </c>
      <c r="B961" t="inlineStr">
        <is>
          <t>PT11076</t>
        </is>
      </c>
      <c r="C961" s="42" t="n">
        <v>45826</v>
      </c>
      <c r="D961" s="42" t="n">
        <v>45826</v>
      </c>
      <c r="E961" s="38" t="n">
        <v>0</v>
      </c>
      <c r="F961" t="inlineStr">
        <is>
          <t>Emergency</t>
        </is>
      </c>
      <c r="G961" t="inlineStr">
        <is>
          <t>Bluestone Memorial Hospital</t>
        </is>
      </c>
      <c r="H961" t="inlineStr">
        <is>
          <t>Emergency Department</t>
        </is>
      </c>
      <c r="I961" t="inlineStr">
        <is>
          <t>Emergency</t>
        </is>
      </c>
      <c r="J961" t="inlineStr">
        <is>
          <t>Kowalski, James</t>
        </is>
      </c>
      <c r="K961" t="inlineStr">
        <is>
          <t>G40.909</t>
        </is>
      </c>
      <c r="L961" t="inlineStr">
        <is>
          <t>Nervous System</t>
        </is>
      </c>
      <c r="M961" t="inlineStr">
        <is>
          <t>Summit Choice PPO</t>
        </is>
      </c>
      <c r="N961" t="inlineStr">
        <is>
          <t>Commercial</t>
        </is>
      </c>
      <c r="O961" s="39" t="n">
        <v>4638.05</v>
      </c>
    </row>
    <row r="962">
      <c r="A962" t="inlineStr">
        <is>
          <t>ENC116039</t>
        </is>
      </c>
      <c r="B962" t="inlineStr">
        <is>
          <t>PT10302</t>
        </is>
      </c>
      <c r="C962" s="42" t="n">
        <v>45826</v>
      </c>
      <c r="D962" s="42" t="n">
        <v>45832</v>
      </c>
      <c r="E962" s="38" t="n">
        <v>6</v>
      </c>
      <c r="F962" t="inlineStr">
        <is>
          <t>Inpatient</t>
        </is>
      </c>
      <c r="G962" t="inlineStr">
        <is>
          <t>Bluestone Memorial Hospital</t>
        </is>
      </c>
      <c r="H962" t="inlineStr">
        <is>
          <t>Medical-Surgical 5 East</t>
        </is>
      </c>
      <c r="I962" t="inlineStr">
        <is>
          <t>Medicine</t>
        </is>
      </c>
      <c r="J962" t="inlineStr">
        <is>
          <t>Yilmaz, Joe</t>
        </is>
      </c>
      <c r="K962" t="inlineStr">
        <is>
          <t>J18.9</t>
        </is>
      </c>
      <c r="L962" t="inlineStr">
        <is>
          <t>Respiratory</t>
        </is>
      </c>
      <c r="M962" t="inlineStr">
        <is>
          <t>Keystone Health Partners</t>
        </is>
      </c>
      <c r="N962" t="inlineStr">
        <is>
          <t>Commercial</t>
        </is>
      </c>
      <c r="O962" s="39" t="n">
        <v>24027.43</v>
      </c>
      <c r="P962" t="inlineStr">
        <is>
          <t>N</t>
        </is>
      </c>
    </row>
    <row r="963">
      <c r="A963" t="inlineStr">
        <is>
          <t>ENC116049</t>
        </is>
      </c>
      <c r="B963" t="inlineStr">
        <is>
          <t>PT13026</t>
        </is>
      </c>
      <c r="C963" s="42" t="n">
        <v>45826</v>
      </c>
      <c r="D963" s="42" t="n">
        <v>45830</v>
      </c>
      <c r="E963" s="38" t="n">
        <v>4</v>
      </c>
      <c r="F963" t="inlineStr">
        <is>
          <t>Inpatient</t>
        </is>
      </c>
      <c r="G963" t="inlineStr">
        <is>
          <t>Bluestone Memorial Hospital</t>
        </is>
      </c>
      <c r="H963" t="inlineStr">
        <is>
          <t>Medical-Surgical 5 East</t>
        </is>
      </c>
      <c r="I963" t="inlineStr">
        <is>
          <t>Medicine</t>
        </is>
      </c>
      <c r="J963" t="inlineStr">
        <is>
          <t>Lopez, Teresa</t>
        </is>
      </c>
      <c r="K963" t="inlineStr">
        <is>
          <t>K80.20</t>
        </is>
      </c>
      <c r="L963" t="inlineStr">
        <is>
          <t>Digestive</t>
        </is>
      </c>
      <c r="M963" t="inlineStr">
        <is>
          <t>State Medicaid</t>
        </is>
      </c>
      <c r="N963" t="inlineStr">
        <is>
          <t>Government</t>
        </is>
      </c>
      <c r="O963" s="39" t="n">
        <v>37067.79</v>
      </c>
      <c r="P963" t="inlineStr">
        <is>
          <t>N</t>
        </is>
      </c>
    </row>
    <row r="964">
      <c r="A964" t="inlineStr">
        <is>
          <t>ENC116054</t>
        </is>
      </c>
      <c r="B964" t="inlineStr">
        <is>
          <t>PT11331</t>
        </is>
      </c>
      <c r="C964" s="42" t="n">
        <v>45826</v>
      </c>
      <c r="D964" s="42" t="n">
        <v>45826</v>
      </c>
      <c r="E964" s="38" t="n">
        <v>0</v>
      </c>
      <c r="F964" t="inlineStr">
        <is>
          <t>Emergency</t>
        </is>
      </c>
      <c r="G964" t="inlineStr">
        <is>
          <t>Bluestone Memorial Hospital</t>
        </is>
      </c>
      <c r="H964" t="inlineStr">
        <is>
          <t>Emergency Department</t>
        </is>
      </c>
      <c r="I964" t="inlineStr">
        <is>
          <t>Emergency</t>
        </is>
      </c>
      <c r="J964" t="inlineStr">
        <is>
          <t>Olson, Christian</t>
        </is>
      </c>
      <c r="K964" t="inlineStr">
        <is>
          <t>S93.401A</t>
        </is>
      </c>
      <c r="L964" t="inlineStr">
        <is>
          <t>Injury</t>
        </is>
      </c>
      <c r="M964" t="inlineStr">
        <is>
          <t>Medicare</t>
        </is>
      </c>
      <c r="N964" t="inlineStr">
        <is>
          <t>Government</t>
        </is>
      </c>
      <c r="O964" s="39" t="n">
        <v>458.18</v>
      </c>
    </row>
    <row r="965">
      <c r="A965" t="inlineStr">
        <is>
          <t>ENC116055</t>
        </is>
      </c>
      <c r="B965" t="inlineStr">
        <is>
          <t>PT11757</t>
        </is>
      </c>
      <c r="C965" s="42" t="n">
        <v>45827</v>
      </c>
      <c r="D965" s="42" t="n">
        <v>45832</v>
      </c>
      <c r="E965" s="38" t="n">
        <v>5</v>
      </c>
      <c r="F965" t="inlineStr">
        <is>
          <t>Inpatient</t>
        </is>
      </c>
      <c r="G965" t="inlineStr">
        <is>
          <t>Bluestone Memorial Hospital</t>
        </is>
      </c>
      <c r="H965" t="inlineStr">
        <is>
          <t>Medical-Surgical 5 East</t>
        </is>
      </c>
      <c r="I965" t="inlineStr">
        <is>
          <t>Medicine</t>
        </is>
      </c>
      <c r="J965" t="inlineStr">
        <is>
          <t>Abbott, Kathleen</t>
        </is>
      </c>
      <c r="K965" t="inlineStr">
        <is>
          <t>A41.9</t>
        </is>
      </c>
      <c r="L965" t="inlineStr">
        <is>
          <t>Infectious</t>
        </is>
      </c>
      <c r="M965" t="inlineStr">
        <is>
          <t>Medicare</t>
        </is>
      </c>
      <c r="N965" t="inlineStr">
        <is>
          <t>Government</t>
        </is>
      </c>
      <c r="O965" s="39" t="n">
        <v>59502.23</v>
      </c>
      <c r="P965" t="inlineStr">
        <is>
          <t>N</t>
        </is>
      </c>
    </row>
    <row r="966">
      <c r="A966" t="inlineStr">
        <is>
          <t>ENC116072</t>
        </is>
      </c>
      <c r="B966" t="inlineStr">
        <is>
          <t>PT10031</t>
        </is>
      </c>
      <c r="C966" s="42" t="n">
        <v>45827</v>
      </c>
      <c r="D966" s="42" t="n">
        <v>45827</v>
      </c>
      <c r="E966" s="38" t="n">
        <v>0</v>
      </c>
      <c r="F966" t="inlineStr">
        <is>
          <t>Emergency</t>
        </is>
      </c>
      <c r="G966" t="inlineStr">
        <is>
          <t>Bluestone Memorial Hospital</t>
        </is>
      </c>
      <c r="H966" t="inlineStr">
        <is>
          <t>Emergency Department</t>
        </is>
      </c>
      <c r="I966" t="inlineStr">
        <is>
          <t>Emergency</t>
        </is>
      </c>
      <c r="J966" t="inlineStr">
        <is>
          <t>Sullivan, Jacob</t>
        </is>
      </c>
      <c r="K966" t="inlineStr">
        <is>
          <t>F32.9</t>
        </is>
      </c>
      <c r="L966" t="inlineStr">
        <is>
          <t>Mental &amp; Behavioral</t>
        </is>
      </c>
      <c r="M966" t="inlineStr">
        <is>
          <t>Keystone Health Partners</t>
        </is>
      </c>
      <c r="N966" t="inlineStr">
        <is>
          <t>Commercial</t>
        </is>
      </c>
      <c r="O966" s="39" t="n">
        <v>5069.62</v>
      </c>
    </row>
    <row r="967">
      <c r="A967" t="inlineStr">
        <is>
          <t>ENC116074</t>
        </is>
      </c>
      <c r="B967" t="inlineStr">
        <is>
          <t>PT12841</t>
        </is>
      </c>
      <c r="C967" s="42" t="n">
        <v>45827</v>
      </c>
      <c r="D967" s="42" t="n">
        <v>45827</v>
      </c>
      <c r="E967" s="38" t="n">
        <v>0</v>
      </c>
      <c r="F967" t="inlineStr">
        <is>
          <t>Outpatient</t>
        </is>
      </c>
      <c r="G967" t="inlineStr">
        <is>
          <t>Bluestone Outpatient Pavilion</t>
        </is>
      </c>
      <c r="H967" t="inlineStr">
        <is>
          <t>Endocrinology &amp; Diabetes Clinic</t>
        </is>
      </c>
      <c r="I967" t="inlineStr">
        <is>
          <t>Ambulatory</t>
        </is>
      </c>
      <c r="J967" t="inlineStr">
        <is>
          <t>Rivera, Scott</t>
        </is>
      </c>
      <c r="K967" t="inlineStr">
        <is>
          <t>E11.9</t>
        </is>
      </c>
      <c r="L967" t="inlineStr">
        <is>
          <t>Endocrine</t>
        </is>
      </c>
      <c r="M967" t="inlineStr">
        <is>
          <t>Silverline Medicare Advantage</t>
        </is>
      </c>
      <c r="N967" t="inlineStr">
        <is>
          <t>Medicare Advantage</t>
        </is>
      </c>
      <c r="O967" s="39" t="n">
        <v>157.82</v>
      </c>
    </row>
    <row r="968">
      <c r="A968" t="inlineStr">
        <is>
          <t>ENC116076</t>
        </is>
      </c>
      <c r="B968" t="inlineStr">
        <is>
          <t>PT10030</t>
        </is>
      </c>
      <c r="C968" s="42" t="n">
        <v>45827</v>
      </c>
      <c r="D968" s="42" t="n">
        <v>45827</v>
      </c>
      <c r="E968" s="38" t="n">
        <v>0</v>
      </c>
      <c r="F968" t="inlineStr">
        <is>
          <t>Outpatient</t>
        </is>
      </c>
      <c r="G968" t="inlineStr">
        <is>
          <t>Bluestone Outpatient Pavilion</t>
        </is>
      </c>
      <c r="H968" t="inlineStr">
        <is>
          <t>Primary Care Clinic</t>
        </is>
      </c>
      <c r="I968" t="inlineStr">
        <is>
          <t>Ambulatory</t>
        </is>
      </c>
      <c r="J968" t="inlineStr">
        <is>
          <t>Torres, Rebecca</t>
        </is>
      </c>
      <c r="K968" t="inlineStr">
        <is>
          <t>Z00.00</t>
        </is>
      </c>
      <c r="L968" t="inlineStr">
        <is>
          <t>Factors Influencing Health</t>
        </is>
      </c>
      <c r="M968" t="inlineStr">
        <is>
          <t>Medicare</t>
        </is>
      </c>
      <c r="N968" t="inlineStr">
        <is>
          <t>Government</t>
        </is>
      </c>
      <c r="O968" s="39" t="n">
        <v>325.39</v>
      </c>
    </row>
    <row r="969">
      <c r="A969" t="inlineStr">
        <is>
          <t>ENC116077</t>
        </is>
      </c>
      <c r="B969" t="inlineStr">
        <is>
          <t>PT12400</t>
        </is>
      </c>
      <c r="C969" s="42" t="n">
        <v>45827</v>
      </c>
      <c r="D969" s="42" t="n">
        <v>45827</v>
      </c>
      <c r="E969" s="38" t="n">
        <v>0</v>
      </c>
      <c r="F969" t="inlineStr">
        <is>
          <t>Outpatient</t>
        </is>
      </c>
      <c r="G969" t="inlineStr">
        <is>
          <t>Bluestone Outpatient Pavilion</t>
        </is>
      </c>
      <c r="H969" t="inlineStr">
        <is>
          <t>Infusion &amp; Oncology Clinic</t>
        </is>
      </c>
      <c r="I969" t="inlineStr">
        <is>
          <t>Oncology</t>
        </is>
      </c>
      <c r="J969" t="inlineStr">
        <is>
          <t>Long, Fatima</t>
        </is>
      </c>
      <c r="K969" t="inlineStr">
        <is>
          <t>Z51.11</t>
        </is>
      </c>
      <c r="L969" t="inlineStr">
        <is>
          <t>Factors Influencing Health</t>
        </is>
      </c>
      <c r="M969" t="inlineStr">
        <is>
          <t>Self-Pay</t>
        </is>
      </c>
      <c r="N969" t="inlineStr">
        <is>
          <t>Self-Pay</t>
        </is>
      </c>
      <c r="O969" s="39" t="n">
        <v>6657.72</v>
      </c>
    </row>
    <row r="970">
      <c r="A970" t="inlineStr">
        <is>
          <t>ENC116078</t>
        </is>
      </c>
      <c r="B970" t="inlineStr">
        <is>
          <t>PT11235</t>
        </is>
      </c>
      <c r="C970" s="42" t="n">
        <v>45827</v>
      </c>
      <c r="D970" s="42" t="n">
        <v>45827</v>
      </c>
      <c r="E970" s="38" t="n">
        <v>0</v>
      </c>
      <c r="F970" t="inlineStr">
        <is>
          <t>Emergency</t>
        </is>
      </c>
      <c r="G970" t="inlineStr">
        <is>
          <t>Bluestone Memorial Hospital</t>
        </is>
      </c>
      <c r="H970" t="inlineStr">
        <is>
          <t>Emergency Department</t>
        </is>
      </c>
      <c r="I970" t="inlineStr">
        <is>
          <t>Emergency</t>
        </is>
      </c>
      <c r="J970" t="inlineStr">
        <is>
          <t>Cruz, Mia</t>
        </is>
      </c>
      <c r="K970" t="inlineStr">
        <is>
          <t>F41.9</t>
        </is>
      </c>
      <c r="L970" t="inlineStr">
        <is>
          <t>Mental &amp; Behavioral</t>
        </is>
      </c>
      <c r="M970" t="inlineStr">
        <is>
          <t>Medicare</t>
        </is>
      </c>
      <c r="N970" t="inlineStr">
        <is>
          <t>Government</t>
        </is>
      </c>
      <c r="O970" s="39" t="n">
        <v>999.51</v>
      </c>
    </row>
    <row r="971">
      <c r="A971" t="inlineStr">
        <is>
          <t>ENC116084</t>
        </is>
      </c>
      <c r="B971" t="inlineStr">
        <is>
          <t>PT12212</t>
        </is>
      </c>
      <c r="C971" s="42" t="n">
        <v>45827</v>
      </c>
      <c r="D971" s="42" t="n">
        <v>45827</v>
      </c>
      <c r="E971" s="38" t="n">
        <v>0</v>
      </c>
      <c r="F971" t="inlineStr">
        <is>
          <t>Outpatient</t>
        </is>
      </c>
      <c r="G971" t="inlineStr">
        <is>
          <t>Bluestone Outpatient Pavilion</t>
        </is>
      </c>
      <c r="H971" t="inlineStr">
        <is>
          <t>Pediatric Clinic</t>
        </is>
      </c>
      <c r="I971" t="inlineStr">
        <is>
          <t>Women &amp; Children</t>
        </is>
      </c>
      <c r="J971" t="inlineStr">
        <is>
          <t>Brown, Stephanie</t>
        </is>
      </c>
      <c r="K971" t="inlineStr">
        <is>
          <t>Z00.129</t>
        </is>
      </c>
      <c r="L971" t="inlineStr">
        <is>
          <t>Factors Influencing Health</t>
        </is>
      </c>
      <c r="M971" t="inlineStr">
        <is>
          <t>State Medicaid</t>
        </is>
      </c>
      <c r="N971" t="inlineStr">
        <is>
          <t>Government</t>
        </is>
      </c>
      <c r="O971" s="39" t="n">
        <v>260.82</v>
      </c>
    </row>
    <row r="972">
      <c r="A972" t="inlineStr">
        <is>
          <t>ENC116093</t>
        </is>
      </c>
      <c r="B972" t="inlineStr">
        <is>
          <t>PT10455</t>
        </is>
      </c>
      <c r="C972" s="42" t="n">
        <v>45827</v>
      </c>
      <c r="D972" s="42" t="n">
        <v>45828</v>
      </c>
      <c r="E972" s="38" t="n">
        <v>1</v>
      </c>
      <c r="F972" t="inlineStr">
        <is>
          <t>Emergency</t>
        </is>
      </c>
      <c r="G972" t="inlineStr">
        <is>
          <t>Ashby Falls Community Hospital</t>
        </is>
      </c>
      <c r="H972" t="inlineStr">
        <is>
          <t>Emergency Department</t>
        </is>
      </c>
      <c r="I972" t="inlineStr">
        <is>
          <t>Emergency</t>
        </is>
      </c>
      <c r="J972" t="inlineStr">
        <is>
          <t>Peters, Megan</t>
        </is>
      </c>
      <c r="K972" t="inlineStr">
        <is>
          <t>J45.909</t>
        </is>
      </c>
      <c r="L972" t="inlineStr">
        <is>
          <t>Respiratory</t>
        </is>
      </c>
      <c r="M972" t="inlineStr">
        <is>
          <t>Evergreen Mutual Insurance</t>
        </is>
      </c>
      <c r="N972" t="inlineStr">
        <is>
          <t>Commercial</t>
        </is>
      </c>
      <c r="O972" s="39" t="n">
        <v>3287.32</v>
      </c>
    </row>
    <row r="973">
      <c r="A973" t="inlineStr">
        <is>
          <t>ENC116088</t>
        </is>
      </c>
      <c r="B973" t="inlineStr">
        <is>
          <t>PT13386</t>
        </is>
      </c>
      <c r="C973" s="42" t="n">
        <v>45827</v>
      </c>
      <c r="D973" s="42" t="n">
        <v>45830</v>
      </c>
      <c r="E973" s="38" t="n">
        <v>3</v>
      </c>
      <c r="F973" t="inlineStr">
        <is>
          <t>Inpatient</t>
        </is>
      </c>
      <c r="G973" t="inlineStr">
        <is>
          <t>Bluestone Memorial Hospital</t>
        </is>
      </c>
      <c r="H973" t="inlineStr">
        <is>
          <t>Neuroscience &amp; Stroke</t>
        </is>
      </c>
      <c r="I973" t="inlineStr">
        <is>
          <t>Neuroscience</t>
        </is>
      </c>
      <c r="J973" t="inlineStr">
        <is>
          <t>Garcia, Alexis</t>
        </is>
      </c>
      <c r="K973" t="inlineStr">
        <is>
          <t>I63.9</t>
        </is>
      </c>
      <c r="L973" t="inlineStr">
        <is>
          <t>Circulatory</t>
        </is>
      </c>
      <c r="M973" t="inlineStr">
        <is>
          <t>Medicare</t>
        </is>
      </c>
      <c r="N973" t="inlineStr">
        <is>
          <t>Government</t>
        </is>
      </c>
      <c r="O973" s="39" t="n">
        <v>22709.06</v>
      </c>
      <c r="P973" t="inlineStr">
        <is>
          <t>N</t>
        </is>
      </c>
    </row>
    <row r="974">
      <c r="A974" t="inlineStr">
        <is>
          <t>ENC116097</t>
        </is>
      </c>
      <c r="B974" t="inlineStr">
        <is>
          <t>PT10308</t>
        </is>
      </c>
      <c r="C974" s="42" t="n">
        <v>45828</v>
      </c>
      <c r="D974" s="42" t="n">
        <v>45828</v>
      </c>
      <c r="E974" s="38" t="n">
        <v>0</v>
      </c>
      <c r="F974" t="inlineStr">
        <is>
          <t>Emergency</t>
        </is>
      </c>
      <c r="G974" t="inlineStr">
        <is>
          <t>Bluestone Memorial Hospital</t>
        </is>
      </c>
      <c r="H974" t="inlineStr">
        <is>
          <t>Emergency Department</t>
        </is>
      </c>
      <c r="I974" t="inlineStr">
        <is>
          <t>Emergency</t>
        </is>
      </c>
      <c r="J974" t="inlineStr">
        <is>
          <t>Foster, Patrick</t>
        </is>
      </c>
      <c r="K974" t="inlineStr">
        <is>
          <t>F41.9</t>
        </is>
      </c>
      <c r="L974" t="inlineStr">
        <is>
          <t>Mental &amp; Behavioral</t>
        </is>
      </c>
      <c r="M974" t="inlineStr">
        <is>
          <t>State Medicaid</t>
        </is>
      </c>
      <c r="N974" t="inlineStr">
        <is>
          <t>Government</t>
        </is>
      </c>
      <c r="O974" s="39" t="n">
        <v>3945.28</v>
      </c>
    </row>
    <row r="975">
      <c r="A975" t="inlineStr">
        <is>
          <t>ENC116091</t>
        </is>
      </c>
      <c r="B975" t="inlineStr">
        <is>
          <t>PT13481</t>
        </is>
      </c>
      <c r="C975" s="42" t="n">
        <v>45828</v>
      </c>
      <c r="D975" s="42" t="n">
        <v>45828</v>
      </c>
      <c r="E975" s="38" t="n">
        <v>0</v>
      </c>
      <c r="F975" t="inlineStr">
        <is>
          <t>Observation</t>
        </is>
      </c>
      <c r="G975" t="inlineStr">
        <is>
          <t>Bluestone Memorial Hospital</t>
        </is>
      </c>
      <c r="H975" t="inlineStr">
        <is>
          <t>Observation Unit</t>
        </is>
      </c>
      <c r="I975" t="inlineStr">
        <is>
          <t>Medicine</t>
        </is>
      </c>
      <c r="J975" t="inlineStr">
        <is>
          <t>Russell, Larry</t>
        </is>
      </c>
      <c r="K975" t="inlineStr">
        <is>
          <t>E86.0</t>
        </is>
      </c>
      <c r="L975" t="inlineStr">
        <is>
          <t>Endocrine</t>
        </is>
      </c>
      <c r="M975" t="inlineStr">
        <is>
          <t>State Medicaid</t>
        </is>
      </c>
      <c r="N975" t="inlineStr">
        <is>
          <t>Government</t>
        </is>
      </c>
      <c r="O975" s="39" t="n">
        <v>11832.67</v>
      </c>
    </row>
    <row r="976">
      <c r="A976" t="inlineStr">
        <is>
          <t>ENC116098</t>
        </is>
      </c>
      <c r="B976" t="inlineStr">
        <is>
          <t>PT12211</t>
        </is>
      </c>
      <c r="C976" s="42" t="n">
        <v>45828</v>
      </c>
      <c r="D976" s="42" t="n">
        <v>45830</v>
      </c>
      <c r="E976" s="38" t="n">
        <v>2</v>
      </c>
      <c r="F976" t="inlineStr">
        <is>
          <t>Observation</t>
        </is>
      </c>
      <c r="G976" t="inlineStr">
        <is>
          <t>Ashby Falls Community Hospital</t>
        </is>
      </c>
      <c r="H976" t="inlineStr">
        <is>
          <t>Medical-Surgical</t>
        </is>
      </c>
      <c r="I976" t="inlineStr">
        <is>
          <t>Medicine</t>
        </is>
      </c>
      <c r="J976" t="inlineStr">
        <is>
          <t>Carter, Karen</t>
        </is>
      </c>
      <c r="K976" t="inlineStr">
        <is>
          <t>R55</t>
        </is>
      </c>
      <c r="L976" t="inlineStr">
        <is>
          <t>Symptoms &amp; Signs</t>
        </is>
      </c>
      <c r="M976" t="inlineStr">
        <is>
          <t>Medicare</t>
        </is>
      </c>
      <c r="N976" t="inlineStr">
        <is>
          <t>Government</t>
        </is>
      </c>
      <c r="O976" s="39" t="n">
        <v>14618.05</v>
      </c>
    </row>
    <row r="977">
      <c r="A977" t="inlineStr">
        <is>
          <t>ENC116104</t>
        </is>
      </c>
      <c r="B977" t="inlineStr">
        <is>
          <t>PT12494</t>
        </is>
      </c>
      <c r="C977" s="42" t="n">
        <v>45828</v>
      </c>
      <c r="D977" s="42" t="n">
        <v>45828</v>
      </c>
      <c r="E977" s="38" t="n">
        <v>0</v>
      </c>
      <c r="F977" t="inlineStr">
        <is>
          <t>Outpatient</t>
        </is>
      </c>
      <c r="G977" t="inlineStr">
        <is>
          <t>Bluestone Outpatient Pavilion</t>
        </is>
      </c>
      <c r="H977" t="inlineStr">
        <is>
          <t>Primary Care Clinic</t>
        </is>
      </c>
      <c r="I977" t="inlineStr">
        <is>
          <t>Ambulatory</t>
        </is>
      </c>
      <c r="J977" t="inlineStr">
        <is>
          <t>Alvarado, George</t>
        </is>
      </c>
      <c r="K977" t="inlineStr">
        <is>
          <t>M54.50</t>
        </is>
      </c>
      <c r="L977" t="inlineStr">
        <is>
          <t>Musculoskeletal</t>
        </is>
      </c>
      <c r="M977" t="inlineStr">
        <is>
          <t>State Medicaid</t>
        </is>
      </c>
      <c r="N977" t="inlineStr">
        <is>
          <t>Government</t>
        </is>
      </c>
      <c r="O977" s="39" t="n">
        <v>233.72</v>
      </c>
    </row>
    <row r="978">
      <c r="A978" t="inlineStr">
        <is>
          <t>ENC116122</t>
        </is>
      </c>
      <c r="B978" t="inlineStr">
        <is>
          <t>PT13928</t>
        </is>
      </c>
      <c r="C978" s="42" t="n">
        <v>45828</v>
      </c>
      <c r="D978" s="42" t="n">
        <v>45828</v>
      </c>
      <c r="E978" s="38" t="n">
        <v>0</v>
      </c>
      <c r="F978" t="inlineStr">
        <is>
          <t>Emergency</t>
        </is>
      </c>
      <c r="G978" t="inlineStr">
        <is>
          <t>Bluestone Memorial Hospital</t>
        </is>
      </c>
      <c r="H978" t="inlineStr">
        <is>
          <t>Emergency Department</t>
        </is>
      </c>
      <c r="I978" t="inlineStr">
        <is>
          <t>Emergency</t>
        </is>
      </c>
      <c r="J978" t="inlineStr">
        <is>
          <t>Mendoza, Alexander</t>
        </is>
      </c>
      <c r="K978" t="inlineStr">
        <is>
          <t>M54.50</t>
        </is>
      </c>
      <c r="L978" t="inlineStr">
        <is>
          <t>Musculoskeletal</t>
        </is>
      </c>
      <c r="M978" t="inlineStr">
        <is>
          <t>Medicare</t>
        </is>
      </c>
      <c r="N978" t="inlineStr">
        <is>
          <t>Government</t>
        </is>
      </c>
      <c r="O978" s="39" t="n">
        <v>791.87</v>
      </c>
    </row>
    <row r="979">
      <c r="A979" t="inlineStr">
        <is>
          <t>ENC116123</t>
        </is>
      </c>
      <c r="B979" t="inlineStr">
        <is>
          <t>PT13738</t>
        </is>
      </c>
      <c r="C979" s="42" t="n">
        <v>45828</v>
      </c>
      <c r="D979" s="42" t="n">
        <v>45828</v>
      </c>
      <c r="E979" s="38" t="n">
        <v>0</v>
      </c>
      <c r="F979" t="inlineStr">
        <is>
          <t>Emergency</t>
        </is>
      </c>
      <c r="G979" t="inlineStr">
        <is>
          <t>Bluestone Memorial Hospital</t>
        </is>
      </c>
      <c r="H979" t="inlineStr">
        <is>
          <t>Emergency Department</t>
        </is>
      </c>
      <c r="I979" t="inlineStr">
        <is>
          <t>Emergency</t>
        </is>
      </c>
      <c r="J979" t="inlineStr">
        <is>
          <t>Myers, Doris</t>
        </is>
      </c>
      <c r="K979" t="inlineStr">
        <is>
          <t>R55</t>
        </is>
      </c>
      <c r="L979" t="inlineStr">
        <is>
          <t>Symptoms &amp; Signs</t>
        </is>
      </c>
      <c r="M979" t="inlineStr">
        <is>
          <t>State Medicaid</t>
        </is>
      </c>
      <c r="N979" t="inlineStr">
        <is>
          <t>Government</t>
        </is>
      </c>
      <c r="O979" s="39" t="n">
        <v>2194.42</v>
      </c>
    </row>
    <row r="980">
      <c r="A980" t="inlineStr">
        <is>
          <t>ENC116126</t>
        </is>
      </c>
      <c r="B980" t="inlineStr">
        <is>
          <t>PT11861</t>
        </is>
      </c>
      <c r="C980" s="42" t="n">
        <v>45828</v>
      </c>
      <c r="D980" s="42" t="n">
        <v>45829</v>
      </c>
      <c r="E980" s="38" t="n">
        <v>1</v>
      </c>
      <c r="F980" t="inlineStr">
        <is>
          <t>Emergency</t>
        </is>
      </c>
      <c r="G980" t="inlineStr">
        <is>
          <t>Ashby Falls Community Hospital</t>
        </is>
      </c>
      <c r="H980" t="inlineStr">
        <is>
          <t>Emergency Department</t>
        </is>
      </c>
      <c r="I980" t="inlineStr">
        <is>
          <t>Emergency</t>
        </is>
      </c>
      <c r="J980" t="inlineStr">
        <is>
          <t>Collins, Frank</t>
        </is>
      </c>
      <c r="K980" t="inlineStr">
        <is>
          <t>R07.9</t>
        </is>
      </c>
      <c r="L980" t="inlineStr">
        <is>
          <t>Symptoms &amp; Signs</t>
        </is>
      </c>
      <c r="M980" t="inlineStr">
        <is>
          <t>Silverline Medicare Advantage</t>
        </is>
      </c>
      <c r="N980" t="inlineStr">
        <is>
          <t>Medicare Advantage</t>
        </is>
      </c>
      <c r="O980" s="39" t="n">
        <v>2370.19</v>
      </c>
    </row>
    <row r="981">
      <c r="A981" t="inlineStr">
        <is>
          <t>ENC116131</t>
        </is>
      </c>
      <c r="B981" t="inlineStr">
        <is>
          <t>PT10135</t>
        </is>
      </c>
      <c r="C981" s="42" t="n">
        <v>45829</v>
      </c>
      <c r="D981" s="42" t="n">
        <v>45832</v>
      </c>
      <c r="E981" s="38" t="n">
        <v>3</v>
      </c>
      <c r="F981" t="inlineStr">
        <is>
          <t>Inpatient</t>
        </is>
      </c>
      <c r="G981" t="inlineStr">
        <is>
          <t>Ashby Falls Community Hospital</t>
        </is>
      </c>
      <c r="H981" t="inlineStr">
        <is>
          <t>Medical-Surgical</t>
        </is>
      </c>
      <c r="I981" t="inlineStr">
        <is>
          <t>Medicine</t>
        </is>
      </c>
      <c r="J981" t="inlineStr">
        <is>
          <t>Carroll, Philip</t>
        </is>
      </c>
      <c r="K981" t="inlineStr">
        <is>
          <t>J44.1</t>
        </is>
      </c>
      <c r="L981" t="inlineStr">
        <is>
          <t>Respiratory</t>
        </is>
      </c>
      <c r="M981" t="inlineStr">
        <is>
          <t>State Medicaid</t>
        </is>
      </c>
      <c r="N981" t="inlineStr">
        <is>
          <t>Government</t>
        </is>
      </c>
      <c r="O981" s="39" t="n">
        <v>21565</v>
      </c>
      <c r="P981" t="inlineStr">
        <is>
          <t>Y</t>
        </is>
      </c>
    </row>
    <row r="982">
      <c r="A982" t="inlineStr">
        <is>
          <t>ENC116134</t>
        </is>
      </c>
      <c r="B982" t="inlineStr">
        <is>
          <t>PT10622</t>
        </is>
      </c>
      <c r="C982" s="42" t="n">
        <v>45829</v>
      </c>
      <c r="D982" s="42" t="n">
        <v>45831</v>
      </c>
      <c r="E982" s="38" t="n">
        <v>2</v>
      </c>
      <c r="F982" t="inlineStr">
        <is>
          <t>Inpatient</t>
        </is>
      </c>
      <c r="G982" t="inlineStr">
        <is>
          <t>Cedar Ridge Medical Center</t>
        </is>
      </c>
      <c r="H982" t="inlineStr">
        <is>
          <t>Medical-Surgical</t>
        </is>
      </c>
      <c r="I982" t="inlineStr">
        <is>
          <t>Medicine</t>
        </is>
      </c>
      <c r="J982" t="inlineStr">
        <is>
          <t>Lane, Dylan</t>
        </is>
      </c>
      <c r="K982" t="inlineStr">
        <is>
          <t>K35.80</t>
        </is>
      </c>
      <c r="L982" t="inlineStr">
        <is>
          <t>Digestive</t>
        </is>
      </c>
      <c r="M982" t="inlineStr">
        <is>
          <t>State Medicaid</t>
        </is>
      </c>
      <c r="N982" t="inlineStr">
        <is>
          <t>Government</t>
        </is>
      </c>
      <c r="O982" s="39" t="n">
        <v>21772.61</v>
      </c>
      <c r="P982" t="inlineStr">
        <is>
          <t>N</t>
        </is>
      </c>
    </row>
    <row r="983">
      <c r="A983" t="inlineStr">
        <is>
          <t>ENC116138</t>
        </is>
      </c>
      <c r="B983" t="inlineStr">
        <is>
          <t>PT10912</t>
        </is>
      </c>
      <c r="C983" s="42" t="n">
        <v>45829</v>
      </c>
      <c r="D983" s="42" t="n">
        <v>45833</v>
      </c>
      <c r="E983" s="38" t="n">
        <v>4</v>
      </c>
      <c r="F983" t="inlineStr">
        <is>
          <t>Inpatient</t>
        </is>
      </c>
      <c r="G983" t="inlineStr">
        <is>
          <t>Bluestone Memorial Hospital</t>
        </is>
      </c>
      <c r="H983" t="inlineStr">
        <is>
          <t>Cardiac Step-Down</t>
        </is>
      </c>
      <c r="I983" t="inlineStr">
        <is>
          <t>Cardiovascular</t>
        </is>
      </c>
      <c r="J983" t="inlineStr">
        <is>
          <t>Boyd, Shirley</t>
        </is>
      </c>
      <c r="K983" t="inlineStr">
        <is>
          <t>I50.9</t>
        </is>
      </c>
      <c r="L983" t="inlineStr">
        <is>
          <t>Circulatory</t>
        </is>
      </c>
      <c r="M983" t="inlineStr">
        <is>
          <t>Keystone Health Partners</t>
        </is>
      </c>
      <c r="N983" t="inlineStr">
        <is>
          <t>Commercial</t>
        </is>
      </c>
      <c r="O983" s="39" t="n">
        <v>35474.16</v>
      </c>
      <c r="P983" t="inlineStr">
        <is>
          <t>N</t>
        </is>
      </c>
    </row>
    <row r="984">
      <c r="A984" t="inlineStr">
        <is>
          <t>ENC116137</t>
        </is>
      </c>
      <c r="B984" t="inlineStr">
        <is>
          <t>PT12823</t>
        </is>
      </c>
      <c r="C984" s="42" t="n">
        <v>45829</v>
      </c>
      <c r="D984" s="42" t="n">
        <v>45836</v>
      </c>
      <c r="E984" s="38" t="n">
        <v>7</v>
      </c>
      <c r="F984" t="inlineStr">
        <is>
          <t>Inpatient</t>
        </is>
      </c>
      <c r="G984" t="inlineStr">
        <is>
          <t>Bluestone Memorial Hospital</t>
        </is>
      </c>
      <c r="H984" t="inlineStr">
        <is>
          <t>Cardiac Step-Down</t>
        </is>
      </c>
      <c r="I984" t="inlineStr">
        <is>
          <t>Cardiovascular</t>
        </is>
      </c>
      <c r="J984" t="inlineStr">
        <is>
          <t>Evans, Charles</t>
        </is>
      </c>
      <c r="K984" t="inlineStr">
        <is>
          <t>I50.9</t>
        </is>
      </c>
      <c r="L984" t="inlineStr">
        <is>
          <t>Circulatory</t>
        </is>
      </c>
      <c r="M984" t="inlineStr">
        <is>
          <t>Keystone Health Partners</t>
        </is>
      </c>
      <c r="N984" t="inlineStr">
        <is>
          <t>Commercial</t>
        </is>
      </c>
      <c r="O984" s="39" t="n">
        <v>73062.89999999999</v>
      </c>
      <c r="P984" t="inlineStr">
        <is>
          <t>N</t>
        </is>
      </c>
    </row>
    <row r="985">
      <c r="A985" t="inlineStr">
        <is>
          <t>ENC116146</t>
        </is>
      </c>
      <c r="B985" t="inlineStr">
        <is>
          <t>PT13783</t>
        </is>
      </c>
      <c r="C985" s="42" t="n">
        <v>45830</v>
      </c>
      <c r="D985" s="42" t="n">
        <v>45830</v>
      </c>
      <c r="E985" s="38" t="n">
        <v>0</v>
      </c>
      <c r="F985" t="inlineStr">
        <is>
          <t>Emergency</t>
        </is>
      </c>
      <c r="G985" t="inlineStr">
        <is>
          <t>Bluestone Memorial Hospital</t>
        </is>
      </c>
      <c r="H985" t="inlineStr">
        <is>
          <t>Emergency Department</t>
        </is>
      </c>
      <c r="I985" t="inlineStr">
        <is>
          <t>Emergency</t>
        </is>
      </c>
      <c r="J985" t="inlineStr">
        <is>
          <t>Myers, Doris</t>
        </is>
      </c>
      <c r="K985" t="inlineStr">
        <is>
          <t>N39.0</t>
        </is>
      </c>
      <c r="L985" t="inlineStr">
        <is>
          <t>Genitourinary</t>
        </is>
      </c>
      <c r="M985" t="inlineStr">
        <is>
          <t>State Medicaid</t>
        </is>
      </c>
      <c r="N985" t="inlineStr">
        <is>
          <t>Government</t>
        </is>
      </c>
      <c r="O985" s="39" t="n">
        <v>3156.04</v>
      </c>
    </row>
    <row r="986">
      <c r="A986" t="inlineStr">
        <is>
          <t>ENC116156</t>
        </is>
      </c>
      <c r="B986" t="inlineStr">
        <is>
          <t>PT10395</t>
        </is>
      </c>
      <c r="C986" s="42" t="n">
        <v>45830</v>
      </c>
      <c r="D986" s="42" t="n">
        <v>45833</v>
      </c>
      <c r="E986" s="38" t="n">
        <v>3</v>
      </c>
      <c r="F986" t="inlineStr">
        <is>
          <t>Inpatient</t>
        </is>
      </c>
      <c r="G986" t="inlineStr">
        <is>
          <t>Ashby Falls Community Hospital</t>
        </is>
      </c>
      <c r="H986" t="inlineStr">
        <is>
          <t>Medical-Surgical</t>
        </is>
      </c>
      <c r="I986" t="inlineStr">
        <is>
          <t>Medicine</t>
        </is>
      </c>
      <c r="J986" t="inlineStr">
        <is>
          <t>Carroll, Philip</t>
        </is>
      </c>
      <c r="K986" t="inlineStr">
        <is>
          <t>E11.65</t>
        </is>
      </c>
      <c r="L986" t="inlineStr">
        <is>
          <t>Endocrine</t>
        </is>
      </c>
      <c r="M986" t="inlineStr">
        <is>
          <t>Silverline Medicare Advantage</t>
        </is>
      </c>
      <c r="N986" t="inlineStr">
        <is>
          <t>Medicare Advantage</t>
        </is>
      </c>
      <c r="O986" s="39" t="n">
        <v>20906.02</v>
      </c>
      <c r="P986" t="inlineStr">
        <is>
          <t>N</t>
        </is>
      </c>
    </row>
    <row r="987">
      <c r="A987" t="inlineStr">
        <is>
          <t>ENC116158</t>
        </is>
      </c>
      <c r="B987" t="inlineStr">
        <is>
          <t>PT12294</t>
        </is>
      </c>
      <c r="C987" s="42" t="n">
        <v>45830</v>
      </c>
      <c r="D987" s="42" t="n">
        <v>45832</v>
      </c>
      <c r="E987" s="38" t="n">
        <v>2</v>
      </c>
      <c r="F987" t="inlineStr">
        <is>
          <t>Observation</t>
        </is>
      </c>
      <c r="G987" t="inlineStr">
        <is>
          <t>Ashby Falls Community Hospital</t>
        </is>
      </c>
      <c r="H987" t="inlineStr">
        <is>
          <t>Medical-Surgical</t>
        </is>
      </c>
      <c r="I987" t="inlineStr">
        <is>
          <t>Medicine</t>
        </is>
      </c>
      <c r="J987" t="inlineStr">
        <is>
          <t>Murray, Stephanie</t>
        </is>
      </c>
      <c r="K987" t="inlineStr">
        <is>
          <t>N17.9</t>
        </is>
      </c>
      <c r="L987" t="inlineStr">
        <is>
          <t>Genitourinary</t>
        </is>
      </c>
      <c r="M987" t="inlineStr">
        <is>
          <t>Medicare</t>
        </is>
      </c>
      <c r="N987" t="inlineStr">
        <is>
          <t>Government</t>
        </is>
      </c>
      <c r="O987" s="39" t="n">
        <v>10205.43</v>
      </c>
    </row>
    <row r="988">
      <c r="A988" t="inlineStr">
        <is>
          <t>ENC116164</t>
        </is>
      </c>
      <c r="B988" t="inlineStr">
        <is>
          <t>PT11960</t>
        </is>
      </c>
      <c r="C988" s="42" t="n">
        <v>45831</v>
      </c>
      <c r="D988" s="42" t="n">
        <v>45835</v>
      </c>
      <c r="E988" s="38" t="n">
        <v>4</v>
      </c>
      <c r="F988" t="inlineStr">
        <is>
          <t>Inpatient</t>
        </is>
      </c>
      <c r="G988" t="inlineStr">
        <is>
          <t>Bluestone Memorial Hospital</t>
        </is>
      </c>
      <c r="H988" t="inlineStr">
        <is>
          <t>Cardiac Step-Down</t>
        </is>
      </c>
      <c r="I988" t="inlineStr">
        <is>
          <t>Cardiovascular</t>
        </is>
      </c>
      <c r="J988" t="inlineStr">
        <is>
          <t>Guzman, Michelle</t>
        </is>
      </c>
      <c r="K988" t="inlineStr">
        <is>
          <t>I21.4</t>
        </is>
      </c>
      <c r="L988" t="inlineStr">
        <is>
          <t>Circulatory</t>
        </is>
      </c>
      <c r="M988" t="inlineStr">
        <is>
          <t>Medicare</t>
        </is>
      </c>
      <c r="N988" t="inlineStr">
        <is>
          <t>Government</t>
        </is>
      </c>
      <c r="O988" s="39" t="n">
        <v>71167.49000000001</v>
      </c>
      <c r="P988" t="inlineStr">
        <is>
          <t>N</t>
        </is>
      </c>
    </row>
    <row r="989">
      <c r="A989" t="inlineStr">
        <is>
          <t>ENC116176</t>
        </is>
      </c>
      <c r="B989" t="inlineStr">
        <is>
          <t>PT12681</t>
        </is>
      </c>
      <c r="C989" s="42" t="n">
        <v>45831</v>
      </c>
      <c r="D989" s="42" t="n">
        <v>45831</v>
      </c>
      <c r="E989" s="38" t="n">
        <v>0</v>
      </c>
      <c r="F989" t="inlineStr">
        <is>
          <t>Outpatient</t>
        </is>
      </c>
      <c r="G989" t="inlineStr">
        <is>
          <t>Bluestone Outpatient Pavilion</t>
        </is>
      </c>
      <c r="H989" t="inlineStr">
        <is>
          <t>Primary Care Clinic</t>
        </is>
      </c>
      <c r="I989" t="inlineStr">
        <is>
          <t>Ambulatory</t>
        </is>
      </c>
      <c r="J989" t="inlineStr">
        <is>
          <t>Bennett, Randy</t>
        </is>
      </c>
      <c r="K989" t="inlineStr">
        <is>
          <t>I10</t>
        </is>
      </c>
      <c r="L989" t="inlineStr">
        <is>
          <t>Circulatory</t>
        </is>
      </c>
      <c r="M989" t="inlineStr">
        <is>
          <t>Evergreen Mutual Insurance</t>
        </is>
      </c>
      <c r="N989" t="inlineStr">
        <is>
          <t>Commercial</t>
        </is>
      </c>
      <c r="O989" s="39" t="n">
        <v>135.78</v>
      </c>
    </row>
    <row r="990">
      <c r="A990" t="inlineStr">
        <is>
          <t>ENC116181</t>
        </is>
      </c>
      <c r="B990" t="inlineStr">
        <is>
          <t>PT12956</t>
        </is>
      </c>
      <c r="C990" s="42" t="n">
        <v>45831</v>
      </c>
      <c r="D990" s="42" t="n">
        <v>45831</v>
      </c>
      <c r="E990" s="38" t="n">
        <v>0</v>
      </c>
      <c r="F990" t="inlineStr">
        <is>
          <t>Emergency</t>
        </is>
      </c>
      <c r="G990" t="inlineStr">
        <is>
          <t>Bluestone Memorial Hospital</t>
        </is>
      </c>
      <c r="H990" t="inlineStr">
        <is>
          <t>Emergency Department</t>
        </is>
      </c>
      <c r="I990" t="inlineStr">
        <is>
          <t>Emergency</t>
        </is>
      </c>
      <c r="J990" t="inlineStr">
        <is>
          <t>Elliott, Jesse</t>
        </is>
      </c>
      <c r="K990" t="inlineStr">
        <is>
          <t>S93.401A</t>
        </is>
      </c>
      <c r="L990" t="inlineStr">
        <is>
          <t>Injury</t>
        </is>
      </c>
      <c r="M990" t="inlineStr">
        <is>
          <t>Keystone Health Partners</t>
        </is>
      </c>
      <c r="N990" t="inlineStr">
        <is>
          <t>Commercial</t>
        </is>
      </c>
      <c r="O990" s="39" t="n">
        <v>624.85</v>
      </c>
    </row>
    <row r="991">
      <c r="A991" t="inlineStr">
        <is>
          <t>ENC116189</t>
        </is>
      </c>
      <c r="B991" t="inlineStr">
        <is>
          <t>PT10285</t>
        </is>
      </c>
      <c r="C991" s="42" t="n">
        <v>45831</v>
      </c>
      <c r="D991" s="42" t="n">
        <v>45831</v>
      </c>
      <c r="E991" s="38" t="n">
        <v>0</v>
      </c>
      <c r="F991" t="inlineStr">
        <is>
          <t>Outpatient</t>
        </is>
      </c>
      <c r="G991" t="inlineStr">
        <is>
          <t>Bluestone Outpatient Pavilion</t>
        </is>
      </c>
      <c r="H991" t="inlineStr">
        <is>
          <t>Primary Care Clinic</t>
        </is>
      </c>
      <c r="I991" t="inlineStr">
        <is>
          <t>Ambulatory</t>
        </is>
      </c>
      <c r="J991" t="inlineStr">
        <is>
          <t>Vazquez, Carolyn</t>
        </is>
      </c>
      <c r="K991" t="inlineStr">
        <is>
          <t>J45.909</t>
        </is>
      </c>
      <c r="L991" t="inlineStr">
        <is>
          <t>Respiratory</t>
        </is>
      </c>
      <c r="M991" t="inlineStr">
        <is>
          <t>Medicare</t>
        </is>
      </c>
      <c r="N991" t="inlineStr">
        <is>
          <t>Government</t>
        </is>
      </c>
      <c r="O991" s="39" t="n">
        <v>167.26</v>
      </c>
    </row>
    <row r="992">
      <c r="A992" t="inlineStr">
        <is>
          <t>ENC116199</t>
        </is>
      </c>
      <c r="B992" t="inlineStr">
        <is>
          <t>PT11631</t>
        </is>
      </c>
      <c r="C992" s="42" t="n">
        <v>45832</v>
      </c>
      <c r="D992" s="42" t="n">
        <v>45834</v>
      </c>
      <c r="E992" s="38" t="n">
        <v>2</v>
      </c>
      <c r="F992" t="inlineStr">
        <is>
          <t>Inpatient</t>
        </is>
      </c>
      <c r="G992" t="inlineStr">
        <is>
          <t>Bluestone Memorial Hospital</t>
        </is>
      </c>
      <c r="H992" t="inlineStr">
        <is>
          <t>Cardiac Step-Down</t>
        </is>
      </c>
      <c r="I992" t="inlineStr">
        <is>
          <t>Cardiovascular</t>
        </is>
      </c>
      <c r="J992" t="inlineStr">
        <is>
          <t>Russell, Larry</t>
        </is>
      </c>
      <c r="K992" t="inlineStr">
        <is>
          <t>I48.91</t>
        </is>
      </c>
      <c r="L992" t="inlineStr">
        <is>
          <t>Circulatory</t>
        </is>
      </c>
      <c r="M992" t="inlineStr">
        <is>
          <t>Evergreen Mutual Insurance</t>
        </is>
      </c>
      <c r="N992" t="inlineStr">
        <is>
          <t>Commercial</t>
        </is>
      </c>
      <c r="O992" s="39" t="n">
        <v>18691.47</v>
      </c>
      <c r="P992" t="inlineStr">
        <is>
          <t>N</t>
        </is>
      </c>
    </row>
    <row r="993">
      <c r="A993" t="inlineStr">
        <is>
          <t>ENC116202</t>
        </is>
      </c>
      <c r="B993" t="inlineStr">
        <is>
          <t>PT13773</t>
        </is>
      </c>
      <c r="C993" s="42" t="n">
        <v>45832</v>
      </c>
      <c r="D993" s="42" t="n">
        <v>45841</v>
      </c>
      <c r="E993" s="38" t="n">
        <v>9</v>
      </c>
      <c r="F993" t="inlineStr">
        <is>
          <t>Inpatient</t>
        </is>
      </c>
      <c r="G993" t="inlineStr">
        <is>
          <t>Bluestone Memorial Hospital</t>
        </is>
      </c>
      <c r="H993" t="inlineStr">
        <is>
          <t>Behavioral Health</t>
        </is>
      </c>
      <c r="I993" t="inlineStr">
        <is>
          <t>Behavioral Health</t>
        </is>
      </c>
      <c r="J993" t="inlineStr">
        <is>
          <t>Lindqvist, Joe</t>
        </is>
      </c>
      <c r="K993" t="inlineStr">
        <is>
          <t>F32.9</t>
        </is>
      </c>
      <c r="L993" t="inlineStr">
        <is>
          <t>Mental &amp; Behavioral</t>
        </is>
      </c>
      <c r="M993" t="inlineStr">
        <is>
          <t>Self-Pay</t>
        </is>
      </c>
      <c r="N993" t="inlineStr">
        <is>
          <t>Self-Pay</t>
        </is>
      </c>
      <c r="O993" s="39" t="n">
        <v>21454.63</v>
      </c>
      <c r="P993" t="inlineStr">
        <is>
          <t>N</t>
        </is>
      </c>
    </row>
    <row r="994">
      <c r="A994" t="inlineStr">
        <is>
          <t>ENC116203</t>
        </is>
      </c>
      <c r="B994" t="inlineStr">
        <is>
          <t>PT11400</t>
        </is>
      </c>
      <c r="C994" s="42" t="n">
        <v>45832</v>
      </c>
      <c r="D994" s="42" t="n">
        <v>45832</v>
      </c>
      <c r="E994" s="38" t="n">
        <v>0</v>
      </c>
      <c r="F994" t="inlineStr">
        <is>
          <t>Outpatient</t>
        </is>
      </c>
      <c r="G994" t="inlineStr">
        <is>
          <t>Bluestone Outpatient Pavilion</t>
        </is>
      </c>
      <c r="H994" t="inlineStr">
        <is>
          <t>Endocrinology &amp; Diabetes Clinic</t>
        </is>
      </c>
      <c r="I994" t="inlineStr">
        <is>
          <t>Ambulatory</t>
        </is>
      </c>
      <c r="J994" t="inlineStr">
        <is>
          <t>Rivera, Scott</t>
        </is>
      </c>
      <c r="K994" t="inlineStr">
        <is>
          <t>E11.9</t>
        </is>
      </c>
      <c r="L994" t="inlineStr">
        <is>
          <t>Endocrine</t>
        </is>
      </c>
      <c r="M994" t="inlineStr">
        <is>
          <t>State Medicaid</t>
        </is>
      </c>
      <c r="N994" t="inlineStr">
        <is>
          <t>Government</t>
        </is>
      </c>
      <c r="O994" s="39" t="n">
        <v>425.82</v>
      </c>
    </row>
    <row r="995">
      <c r="A995" t="inlineStr">
        <is>
          <t>ENC116211</t>
        </is>
      </c>
      <c r="B995" t="inlineStr">
        <is>
          <t>PT13601</t>
        </is>
      </c>
      <c r="C995" s="42" t="n">
        <v>45832</v>
      </c>
      <c r="D995" s="42" t="n">
        <v>45832</v>
      </c>
      <c r="E995" s="38" t="n">
        <v>0</v>
      </c>
      <c r="F995" t="inlineStr">
        <is>
          <t>Emergency</t>
        </is>
      </c>
      <c r="G995" t="inlineStr">
        <is>
          <t>Cedar Ridge Medical Center</t>
        </is>
      </c>
      <c r="H995" t="inlineStr">
        <is>
          <t>Emergency Department</t>
        </is>
      </c>
      <c r="I995" t="inlineStr">
        <is>
          <t>Emergency</t>
        </is>
      </c>
      <c r="J995" t="inlineStr">
        <is>
          <t>Riley, Shirley</t>
        </is>
      </c>
      <c r="K995" t="inlineStr">
        <is>
          <t>R55</t>
        </is>
      </c>
      <c r="L995" t="inlineStr">
        <is>
          <t>Symptoms &amp; Signs</t>
        </is>
      </c>
      <c r="M995" t="inlineStr">
        <is>
          <t>State Medicaid</t>
        </is>
      </c>
      <c r="N995" t="inlineStr">
        <is>
          <t>Government</t>
        </is>
      </c>
      <c r="O995" s="39" t="n">
        <v>3445.81</v>
      </c>
    </row>
    <row r="996">
      <c r="A996" t="inlineStr">
        <is>
          <t>ENC116217</t>
        </is>
      </c>
      <c r="B996" t="inlineStr">
        <is>
          <t>PT13883</t>
        </is>
      </c>
      <c r="C996" s="42" t="n">
        <v>45832</v>
      </c>
      <c r="D996" s="42" t="n">
        <v>45832</v>
      </c>
      <c r="E996" s="38" t="n">
        <v>0</v>
      </c>
      <c r="F996" t="inlineStr">
        <is>
          <t>Emergency</t>
        </is>
      </c>
      <c r="G996" t="inlineStr">
        <is>
          <t>Ashby Falls Community Hospital</t>
        </is>
      </c>
      <c r="H996" t="inlineStr">
        <is>
          <t>Emergency Department</t>
        </is>
      </c>
      <c r="I996" t="inlineStr">
        <is>
          <t>Emergency</t>
        </is>
      </c>
      <c r="J996" t="inlineStr">
        <is>
          <t>Wright, Bruce</t>
        </is>
      </c>
      <c r="K996" t="inlineStr">
        <is>
          <t>N39.0</t>
        </is>
      </c>
      <c r="L996" t="inlineStr">
        <is>
          <t>Genitourinary</t>
        </is>
      </c>
      <c r="M996" t="inlineStr">
        <is>
          <t>Self-Pay</t>
        </is>
      </c>
      <c r="N996" t="inlineStr">
        <is>
          <t>Self-Pay</t>
        </is>
      </c>
      <c r="O996" s="39" t="n">
        <v>2569.58</v>
      </c>
    </row>
    <row r="997">
      <c r="A997" t="inlineStr">
        <is>
          <t>ENC116230</t>
        </is>
      </c>
      <c r="B997" t="inlineStr">
        <is>
          <t>PT10861</t>
        </is>
      </c>
      <c r="C997" s="42" t="n">
        <v>45832</v>
      </c>
      <c r="D997" s="42" t="n">
        <v>45842</v>
      </c>
      <c r="E997" s="38" t="n">
        <v>10</v>
      </c>
      <c r="F997" t="inlineStr">
        <is>
          <t>Inpatient</t>
        </is>
      </c>
      <c r="G997" t="inlineStr">
        <is>
          <t>Ashby Falls Community Hospital</t>
        </is>
      </c>
      <c r="H997" t="inlineStr">
        <is>
          <t>Intensive Care Unit</t>
        </is>
      </c>
      <c r="I997" t="inlineStr">
        <is>
          <t>Critical Care</t>
        </is>
      </c>
      <c r="J997" t="inlineStr">
        <is>
          <t>Wallace, Frank</t>
        </is>
      </c>
      <c r="K997" t="inlineStr">
        <is>
          <t>K92.2</t>
        </is>
      </c>
      <c r="L997" t="inlineStr">
        <is>
          <t>Digestive</t>
        </is>
      </c>
      <c r="M997" t="inlineStr">
        <is>
          <t>Summit Choice PPO</t>
        </is>
      </c>
      <c r="N997" t="inlineStr">
        <is>
          <t>Commercial</t>
        </is>
      </c>
      <c r="O997" s="39" t="n">
        <v>95293.2</v>
      </c>
      <c r="P997" t="inlineStr">
        <is>
          <t>Y</t>
        </is>
      </c>
    </row>
    <row r="998">
      <c r="A998" t="inlineStr">
        <is>
          <t>ENC116235</t>
        </is>
      </c>
      <c r="B998" t="inlineStr">
        <is>
          <t>PT13163</t>
        </is>
      </c>
      <c r="C998" s="42" t="n">
        <v>45833</v>
      </c>
      <c r="D998" s="42" t="n">
        <v>45833</v>
      </c>
      <c r="E998" s="38" t="n">
        <v>0</v>
      </c>
      <c r="F998" t="inlineStr">
        <is>
          <t>Outpatient</t>
        </is>
      </c>
      <c r="G998" t="inlineStr">
        <is>
          <t>Bluestone Outpatient Pavilion</t>
        </is>
      </c>
      <c r="H998" t="inlineStr">
        <is>
          <t>Primary Care Clinic</t>
        </is>
      </c>
      <c r="I998" t="inlineStr">
        <is>
          <t>Ambulatory</t>
        </is>
      </c>
      <c r="J998" t="inlineStr">
        <is>
          <t>Yilmaz, Richard</t>
        </is>
      </c>
      <c r="K998" t="inlineStr">
        <is>
          <t>Z00.00</t>
        </is>
      </c>
      <c r="L998" t="inlineStr">
        <is>
          <t>Factors Influencing Health</t>
        </is>
      </c>
      <c r="M998" t="inlineStr">
        <is>
          <t>Self-Pay</t>
        </is>
      </c>
      <c r="N998" t="inlineStr">
        <is>
          <t>Self-Pay</t>
        </is>
      </c>
      <c r="O998" s="39" t="n">
        <v>445.32</v>
      </c>
    </row>
    <row r="999">
      <c r="A999" t="inlineStr">
        <is>
          <t>ENC116244</t>
        </is>
      </c>
      <c r="B999" t="inlineStr">
        <is>
          <t>PT13281</t>
        </is>
      </c>
      <c r="C999" s="42" t="n">
        <v>45833</v>
      </c>
      <c r="D999" s="42" t="n">
        <v>45833</v>
      </c>
      <c r="E999" s="38" t="n">
        <v>0</v>
      </c>
      <c r="F999" t="inlineStr">
        <is>
          <t>Outpatient</t>
        </is>
      </c>
      <c r="G999" t="inlineStr">
        <is>
          <t>Bluestone Outpatient Pavilion</t>
        </is>
      </c>
      <c r="H999" t="inlineStr">
        <is>
          <t>Primary Care Clinic</t>
        </is>
      </c>
      <c r="I999" t="inlineStr">
        <is>
          <t>Ambulatory</t>
        </is>
      </c>
      <c r="J999" t="inlineStr">
        <is>
          <t>Santos, Edward</t>
        </is>
      </c>
      <c r="K999" t="inlineStr">
        <is>
          <t>Z00.00</t>
        </is>
      </c>
      <c r="L999" t="inlineStr">
        <is>
          <t>Factors Influencing Health</t>
        </is>
      </c>
      <c r="M999" t="inlineStr">
        <is>
          <t>Silverline Medicare Advantage</t>
        </is>
      </c>
      <c r="N999" t="inlineStr">
        <is>
          <t>Medicare Advantage</t>
        </is>
      </c>
      <c r="O999" s="39" t="n">
        <v>349.91</v>
      </c>
    </row>
    <row r="1000">
      <c r="A1000" t="inlineStr">
        <is>
          <t>ENC116251</t>
        </is>
      </c>
      <c r="B1000" t="inlineStr">
        <is>
          <t>PT13900</t>
        </is>
      </c>
      <c r="C1000" s="42" t="n">
        <v>45833</v>
      </c>
      <c r="D1000" s="42" t="n">
        <v>45833</v>
      </c>
      <c r="E1000" s="38" t="n">
        <v>0</v>
      </c>
      <c r="F1000" t="inlineStr">
        <is>
          <t>Outpatient</t>
        </is>
      </c>
      <c r="G1000" t="inlineStr">
        <is>
          <t>Bluestone Outpatient Pavilion</t>
        </is>
      </c>
      <c r="H1000" t="inlineStr">
        <is>
          <t>Primary Care Clinic</t>
        </is>
      </c>
      <c r="I1000" t="inlineStr">
        <is>
          <t>Ambulatory</t>
        </is>
      </c>
      <c r="J1000" t="inlineStr">
        <is>
          <t>Nguyen, Isabella</t>
        </is>
      </c>
      <c r="K1000" t="inlineStr">
        <is>
          <t>Z00.00</t>
        </is>
      </c>
      <c r="L1000" t="inlineStr">
        <is>
          <t>Factors Influencing Health</t>
        </is>
      </c>
      <c r="M1000" t="inlineStr">
        <is>
          <t>Medicare</t>
        </is>
      </c>
      <c r="N1000" t="inlineStr">
        <is>
          <t>Government</t>
        </is>
      </c>
      <c r="O1000" s="39" t="n">
        <v>288.9</v>
      </c>
    </row>
    <row r="1001">
      <c r="A1001" t="inlineStr">
        <is>
          <t>ENC116257</t>
        </is>
      </c>
      <c r="B1001" t="inlineStr">
        <is>
          <t>PT10610</t>
        </is>
      </c>
      <c r="C1001" s="42" t="n">
        <v>45833</v>
      </c>
      <c r="D1001" s="42" t="n">
        <v>45833</v>
      </c>
      <c r="E1001" s="38" t="n">
        <v>0</v>
      </c>
      <c r="F1001" t="inlineStr">
        <is>
          <t>Emergency</t>
        </is>
      </c>
      <c r="G1001" t="inlineStr">
        <is>
          <t>Bluestone Memorial Hospital</t>
        </is>
      </c>
      <c r="H1001" t="inlineStr">
        <is>
          <t>Emergency Department</t>
        </is>
      </c>
      <c r="I1001" t="inlineStr">
        <is>
          <t>Emergency</t>
        </is>
      </c>
      <c r="J1001" t="inlineStr">
        <is>
          <t>Foster, Patrick</t>
        </is>
      </c>
      <c r="K1001" t="inlineStr">
        <is>
          <t>S93.401A</t>
        </is>
      </c>
      <c r="L1001" t="inlineStr">
        <is>
          <t>Injury</t>
        </is>
      </c>
      <c r="M1001" t="inlineStr">
        <is>
          <t>Keystone Health Partners</t>
        </is>
      </c>
      <c r="N1001" t="inlineStr">
        <is>
          <t>Commercial</t>
        </is>
      </c>
      <c r="O1001" s="39" t="n">
        <v>570.79</v>
      </c>
    </row>
    <row r="1002">
      <c r="A1002" t="inlineStr">
        <is>
          <t>ENC116253</t>
        </is>
      </c>
      <c r="B1002" t="inlineStr">
        <is>
          <t>PT13678</t>
        </is>
      </c>
      <c r="C1002" s="42" t="n">
        <v>45833</v>
      </c>
      <c r="D1002" s="42" t="n">
        <v>45841</v>
      </c>
      <c r="E1002" s="38" t="n">
        <v>8</v>
      </c>
      <c r="F1002" t="inlineStr">
        <is>
          <t>Inpatient</t>
        </is>
      </c>
      <c r="G1002" t="inlineStr">
        <is>
          <t>Bluestone Memorial Hospital</t>
        </is>
      </c>
      <c r="H1002" t="inlineStr">
        <is>
          <t>Medical-Surgical 5 East</t>
        </is>
      </c>
      <c r="I1002" t="inlineStr">
        <is>
          <t>Medicine</t>
        </is>
      </c>
      <c r="J1002" t="inlineStr">
        <is>
          <t>Simpson, Kelly</t>
        </is>
      </c>
      <c r="K1002" t="inlineStr">
        <is>
          <t>K92.2</t>
        </is>
      </c>
      <c r="L1002" t="inlineStr">
        <is>
          <t>Digestive</t>
        </is>
      </c>
      <c r="M1002" t="inlineStr">
        <is>
          <t>Silverline Medicare Advantage</t>
        </is>
      </c>
      <c r="N1002" t="inlineStr">
        <is>
          <t>Medicare Advantage</t>
        </is>
      </c>
      <c r="O1002" s="39" t="n">
        <v>47173.77</v>
      </c>
      <c r="P1002" t="inlineStr">
        <is>
          <t>Y</t>
        </is>
      </c>
    </row>
    <row r="1003">
      <c r="A1003" t="inlineStr">
        <is>
          <t>ENC116276</t>
        </is>
      </c>
      <c r="B1003" t="inlineStr">
        <is>
          <t>PT10679</t>
        </is>
      </c>
      <c r="C1003" s="42" t="n">
        <v>45834</v>
      </c>
      <c r="D1003" s="42" t="n">
        <v>45839</v>
      </c>
      <c r="E1003" s="38" t="n">
        <v>5</v>
      </c>
      <c r="F1003" t="inlineStr">
        <is>
          <t>Inpatient</t>
        </is>
      </c>
      <c r="G1003" t="inlineStr">
        <is>
          <t>Bluestone Memorial Hospital</t>
        </is>
      </c>
      <c r="H1003" t="inlineStr">
        <is>
          <t>Cardiac Step-Down</t>
        </is>
      </c>
      <c r="I1003" t="inlineStr">
        <is>
          <t>Cardiovascular</t>
        </is>
      </c>
      <c r="J1003" t="inlineStr">
        <is>
          <t>Boyd, Shirley</t>
        </is>
      </c>
      <c r="K1003" t="inlineStr">
        <is>
          <t>I50.9</t>
        </is>
      </c>
      <c r="L1003" t="inlineStr">
        <is>
          <t>Circulatory</t>
        </is>
      </c>
      <c r="M1003" t="inlineStr">
        <is>
          <t>Medicare</t>
        </is>
      </c>
      <c r="N1003" t="inlineStr">
        <is>
          <t>Government</t>
        </is>
      </c>
      <c r="O1003" s="39" t="n">
        <v>17997.74</v>
      </c>
      <c r="P1003" t="inlineStr">
        <is>
          <t>Y</t>
        </is>
      </c>
    </row>
    <row r="1004">
      <c r="A1004" t="inlineStr">
        <is>
          <t>ENC116280</t>
        </is>
      </c>
      <c r="B1004" t="inlineStr">
        <is>
          <t>PT12604</t>
        </is>
      </c>
      <c r="C1004" s="42" t="n">
        <v>45834</v>
      </c>
      <c r="D1004" s="42" t="n">
        <v>45834</v>
      </c>
      <c r="E1004" s="38" t="n">
        <v>0</v>
      </c>
      <c r="F1004" t="inlineStr">
        <is>
          <t>Outpatient</t>
        </is>
      </c>
      <c r="G1004" t="inlineStr">
        <is>
          <t>Bluestone Outpatient Pavilion</t>
        </is>
      </c>
      <c r="H1004" t="inlineStr">
        <is>
          <t>Primary Care Clinic</t>
        </is>
      </c>
      <c r="I1004" t="inlineStr">
        <is>
          <t>Ambulatory</t>
        </is>
      </c>
      <c r="J1004" t="inlineStr">
        <is>
          <t>Nguyen, Isabella</t>
        </is>
      </c>
      <c r="K1004" t="inlineStr">
        <is>
          <t>I10</t>
        </is>
      </c>
      <c r="L1004" t="inlineStr">
        <is>
          <t>Circulatory</t>
        </is>
      </c>
      <c r="M1004" t="inlineStr">
        <is>
          <t>Keystone Health Partners</t>
        </is>
      </c>
      <c r="N1004" t="inlineStr">
        <is>
          <t>Commercial</t>
        </is>
      </c>
      <c r="O1004" s="39" t="n">
        <v>208.47</v>
      </c>
    </row>
    <row r="1005">
      <c r="A1005" t="inlineStr">
        <is>
          <t>ENC116285</t>
        </is>
      </c>
      <c r="B1005" t="inlineStr">
        <is>
          <t>PT12220</t>
        </is>
      </c>
      <c r="C1005" s="42" t="n">
        <v>45834</v>
      </c>
      <c r="D1005" s="42" t="n">
        <v>45834</v>
      </c>
      <c r="E1005" s="38" t="n">
        <v>0</v>
      </c>
      <c r="F1005" t="inlineStr">
        <is>
          <t>Outpatient</t>
        </is>
      </c>
      <c r="G1005" t="inlineStr">
        <is>
          <t>Bluestone Outpatient Pavilion</t>
        </is>
      </c>
      <c r="H1005" t="inlineStr">
        <is>
          <t>Orthopedic Clinic</t>
        </is>
      </c>
      <c r="I1005" t="inlineStr">
        <is>
          <t>Orthopedics</t>
        </is>
      </c>
      <c r="J1005" t="inlineStr">
        <is>
          <t>Lewis, Jonathan</t>
        </is>
      </c>
      <c r="K1005" t="inlineStr">
        <is>
          <t>S93.401A</t>
        </is>
      </c>
      <c r="L1005" t="inlineStr">
        <is>
          <t>Injury</t>
        </is>
      </c>
      <c r="M1005" t="inlineStr">
        <is>
          <t>Keystone Health Partners</t>
        </is>
      </c>
      <c r="N1005" t="inlineStr">
        <is>
          <t>Commercial</t>
        </is>
      </c>
      <c r="O1005" s="39" t="n">
        <v>245.9</v>
      </c>
    </row>
    <row r="1006">
      <c r="A1006" t="inlineStr">
        <is>
          <t>ENC116286</t>
        </is>
      </c>
      <c r="B1006" t="inlineStr">
        <is>
          <t>PT12497</t>
        </is>
      </c>
      <c r="C1006" s="42" t="n">
        <v>45834</v>
      </c>
      <c r="D1006" s="42" t="n">
        <v>45834</v>
      </c>
      <c r="E1006" s="38" t="n">
        <v>0</v>
      </c>
      <c r="F1006" t="inlineStr">
        <is>
          <t>Emergency</t>
        </is>
      </c>
      <c r="G1006" t="inlineStr">
        <is>
          <t>Bluestone Memorial Hospital</t>
        </is>
      </c>
      <c r="H1006" t="inlineStr">
        <is>
          <t>Emergency Department</t>
        </is>
      </c>
      <c r="I1006" t="inlineStr">
        <is>
          <t>Emergency</t>
        </is>
      </c>
      <c r="J1006" t="inlineStr">
        <is>
          <t>Payne, Nancy</t>
        </is>
      </c>
      <c r="K1006" t="inlineStr">
        <is>
          <t>N39.0</t>
        </is>
      </c>
      <c r="L1006" t="inlineStr">
        <is>
          <t>Genitourinary</t>
        </is>
      </c>
      <c r="M1006" t="inlineStr">
        <is>
          <t>Medicare</t>
        </is>
      </c>
      <c r="N1006" t="inlineStr">
        <is>
          <t>Government</t>
        </is>
      </c>
      <c r="O1006" s="39" t="n">
        <v>1262.73</v>
      </c>
    </row>
    <row r="1007">
      <c r="A1007" t="inlineStr">
        <is>
          <t>ENC116290</t>
        </is>
      </c>
      <c r="B1007" t="inlineStr">
        <is>
          <t>PT10855</t>
        </is>
      </c>
      <c r="C1007" s="42" t="n">
        <v>45834</v>
      </c>
      <c r="D1007" s="42" t="n">
        <v>45834</v>
      </c>
      <c r="E1007" s="38" t="n">
        <v>0</v>
      </c>
      <c r="F1007" t="inlineStr">
        <is>
          <t>Outpatient</t>
        </is>
      </c>
      <c r="G1007" t="inlineStr">
        <is>
          <t>Bluestone Outpatient Pavilion</t>
        </is>
      </c>
      <c r="H1007" t="inlineStr">
        <is>
          <t>Primary Care Clinic</t>
        </is>
      </c>
      <c r="I1007" t="inlineStr">
        <is>
          <t>Ambulatory</t>
        </is>
      </c>
      <c r="J1007" t="inlineStr">
        <is>
          <t>Osei, Julie</t>
        </is>
      </c>
      <c r="K1007" t="inlineStr">
        <is>
          <t>J44.1</t>
        </is>
      </c>
      <c r="L1007" t="inlineStr">
        <is>
          <t>Respiratory</t>
        </is>
      </c>
      <c r="M1007" t="inlineStr">
        <is>
          <t>Medicare</t>
        </is>
      </c>
      <c r="N1007" t="inlineStr">
        <is>
          <t>Government</t>
        </is>
      </c>
      <c r="O1007" s="39" t="n">
        <v>208.14</v>
      </c>
    </row>
    <row r="1008">
      <c r="A1008" t="inlineStr">
        <is>
          <t>ENC116300</t>
        </is>
      </c>
      <c r="B1008" t="inlineStr">
        <is>
          <t>PT12612</t>
        </is>
      </c>
      <c r="C1008" s="42" t="n">
        <v>45834</v>
      </c>
      <c r="D1008" s="42" t="n">
        <v>45835</v>
      </c>
      <c r="E1008" s="38" t="n">
        <v>1</v>
      </c>
      <c r="F1008" t="inlineStr">
        <is>
          <t>Emergency</t>
        </is>
      </c>
      <c r="G1008" t="inlineStr">
        <is>
          <t>Ashby Falls Community Hospital</t>
        </is>
      </c>
      <c r="H1008" t="inlineStr">
        <is>
          <t>Emergency Department</t>
        </is>
      </c>
      <c r="I1008" t="inlineStr">
        <is>
          <t>Emergency</t>
        </is>
      </c>
      <c r="J1008" t="inlineStr">
        <is>
          <t>Collins, Frank</t>
        </is>
      </c>
      <c r="K1008" t="inlineStr">
        <is>
          <t>R07.9</t>
        </is>
      </c>
      <c r="L1008" t="inlineStr">
        <is>
          <t>Symptoms &amp; Signs</t>
        </is>
      </c>
      <c r="M1008" t="inlineStr">
        <is>
          <t>Evergreen Mutual Insurance</t>
        </is>
      </c>
      <c r="N1008" t="inlineStr">
        <is>
          <t>Commercial</t>
        </is>
      </c>
      <c r="O1008" s="39" t="n">
        <v>2607.63</v>
      </c>
    </row>
    <row r="1009">
      <c r="A1009" t="inlineStr">
        <is>
          <t>ENC116302</t>
        </is>
      </c>
      <c r="B1009" t="inlineStr">
        <is>
          <t>PT12713</t>
        </is>
      </c>
      <c r="C1009" s="42" t="n">
        <v>45834</v>
      </c>
      <c r="D1009" s="42" t="n">
        <v>45837</v>
      </c>
      <c r="E1009" s="38" t="n">
        <v>3</v>
      </c>
      <c r="F1009" t="inlineStr">
        <is>
          <t>Inpatient</t>
        </is>
      </c>
      <c r="G1009" t="inlineStr">
        <is>
          <t>Bluestone Memorial Hospital</t>
        </is>
      </c>
      <c r="H1009" t="inlineStr">
        <is>
          <t>Medical-Surgical 4 West</t>
        </is>
      </c>
      <c r="I1009" t="inlineStr">
        <is>
          <t>Medicine</t>
        </is>
      </c>
      <c r="J1009" t="inlineStr">
        <is>
          <t>Russell, Larry</t>
        </is>
      </c>
      <c r="K1009" t="inlineStr">
        <is>
          <t>N39.0</t>
        </is>
      </c>
      <c r="L1009" t="inlineStr">
        <is>
          <t>Genitourinary</t>
        </is>
      </c>
      <c r="M1009" t="inlineStr">
        <is>
          <t>Keystone Health Partners</t>
        </is>
      </c>
      <c r="N1009" t="inlineStr">
        <is>
          <t>Commercial</t>
        </is>
      </c>
      <c r="O1009" s="39" t="n">
        <v>13831.2</v>
      </c>
      <c r="P1009" t="inlineStr">
        <is>
          <t>N</t>
        </is>
      </c>
    </row>
    <row r="1010">
      <c r="A1010" t="inlineStr">
        <is>
          <t>ENC116308</t>
        </is>
      </c>
      <c r="B1010" t="inlineStr">
        <is>
          <t>PT11978</t>
        </is>
      </c>
      <c r="C1010" s="42" t="n">
        <v>45835</v>
      </c>
      <c r="D1010" s="42" t="n">
        <v>45835</v>
      </c>
      <c r="E1010" s="38" t="n">
        <v>0</v>
      </c>
      <c r="F1010" t="inlineStr">
        <is>
          <t>Emergency</t>
        </is>
      </c>
      <c r="G1010" t="inlineStr">
        <is>
          <t>Bluestone Memorial Hospital</t>
        </is>
      </c>
      <c r="H1010" t="inlineStr">
        <is>
          <t>Emergency Department</t>
        </is>
      </c>
      <c r="I1010" t="inlineStr">
        <is>
          <t>Emergency</t>
        </is>
      </c>
      <c r="J1010" t="inlineStr">
        <is>
          <t>Cruz, Mia</t>
        </is>
      </c>
      <c r="K1010" t="inlineStr">
        <is>
          <t>N39.0</t>
        </is>
      </c>
      <c r="L1010" t="inlineStr">
        <is>
          <t>Genitourinary</t>
        </is>
      </c>
      <c r="M1010" t="inlineStr">
        <is>
          <t>State Medicaid</t>
        </is>
      </c>
      <c r="N1010" t="inlineStr">
        <is>
          <t>Government</t>
        </is>
      </c>
      <c r="O1010" s="39" t="n">
        <v>3180.92</v>
      </c>
    </row>
    <row r="1011">
      <c r="A1011" t="inlineStr">
        <is>
          <t>ENC116306</t>
        </is>
      </c>
      <c r="B1011" t="inlineStr">
        <is>
          <t>PT11845</t>
        </is>
      </c>
      <c r="C1011" s="42" t="n">
        <v>45835</v>
      </c>
      <c r="D1011" s="42" t="n">
        <v>45839</v>
      </c>
      <c r="E1011" s="38" t="n">
        <v>4</v>
      </c>
      <c r="F1011" t="inlineStr">
        <is>
          <t>Inpatient</t>
        </is>
      </c>
      <c r="G1011" t="inlineStr">
        <is>
          <t>Bluestone Memorial Hospital</t>
        </is>
      </c>
      <c r="H1011" t="inlineStr">
        <is>
          <t>Medical-Surgical 4 West</t>
        </is>
      </c>
      <c r="I1011" t="inlineStr">
        <is>
          <t>Medicine</t>
        </is>
      </c>
      <c r="J1011" t="inlineStr">
        <is>
          <t>Hunt, Richard</t>
        </is>
      </c>
      <c r="K1011" t="inlineStr">
        <is>
          <t>K92.2</t>
        </is>
      </c>
      <c r="L1011" t="inlineStr">
        <is>
          <t>Digestive</t>
        </is>
      </c>
      <c r="M1011" t="inlineStr">
        <is>
          <t>Medicare</t>
        </is>
      </c>
      <c r="N1011" t="inlineStr">
        <is>
          <t>Government</t>
        </is>
      </c>
      <c r="O1011" s="39" t="n">
        <v>23489.23</v>
      </c>
      <c r="P1011" t="inlineStr">
        <is>
          <t>Y</t>
        </is>
      </c>
    </row>
    <row r="1012">
      <c r="A1012" t="inlineStr">
        <is>
          <t>ENC116307</t>
        </is>
      </c>
      <c r="B1012" t="inlineStr">
        <is>
          <t>PT11532</t>
        </is>
      </c>
      <c r="C1012" s="42" t="n">
        <v>45835</v>
      </c>
      <c r="D1012" s="42" t="n">
        <v>45844</v>
      </c>
      <c r="E1012" s="38" t="n">
        <v>9</v>
      </c>
      <c r="F1012" t="inlineStr">
        <is>
          <t>Inpatient</t>
        </is>
      </c>
      <c r="G1012" t="inlineStr">
        <is>
          <t>Bluestone Memorial Hospital</t>
        </is>
      </c>
      <c r="H1012" t="inlineStr">
        <is>
          <t>Cardiac Step-Down</t>
        </is>
      </c>
      <c r="I1012" t="inlineStr">
        <is>
          <t>Cardiovascular</t>
        </is>
      </c>
      <c r="J1012" t="inlineStr">
        <is>
          <t>Russell, Larry</t>
        </is>
      </c>
      <c r="K1012" t="inlineStr">
        <is>
          <t>I50.9</t>
        </is>
      </c>
      <c r="L1012" t="inlineStr">
        <is>
          <t>Circulatory</t>
        </is>
      </c>
      <c r="M1012" t="inlineStr">
        <is>
          <t>Medicare</t>
        </is>
      </c>
      <c r="N1012" t="inlineStr">
        <is>
          <t>Government</t>
        </is>
      </c>
      <c r="O1012" s="39" t="n">
        <v>57822.18</v>
      </c>
      <c r="P1012" t="inlineStr">
        <is>
          <t>N</t>
        </is>
      </c>
    </row>
    <row r="1013">
      <c r="A1013" t="inlineStr">
        <is>
          <t>ENC116316</t>
        </is>
      </c>
      <c r="B1013" t="inlineStr">
        <is>
          <t>PT12231</t>
        </is>
      </c>
      <c r="C1013" s="42" t="n">
        <v>45835</v>
      </c>
      <c r="D1013" s="42" t="n">
        <v>45835</v>
      </c>
      <c r="E1013" s="38" t="n">
        <v>0</v>
      </c>
      <c r="F1013" t="inlineStr">
        <is>
          <t>Outpatient</t>
        </is>
      </c>
      <c r="G1013" t="inlineStr">
        <is>
          <t>Bluestone Outpatient Pavilion</t>
        </is>
      </c>
      <c r="H1013" t="inlineStr">
        <is>
          <t>Primary Care Clinic</t>
        </is>
      </c>
      <c r="I1013" t="inlineStr">
        <is>
          <t>Ambulatory</t>
        </is>
      </c>
      <c r="J1013" t="inlineStr">
        <is>
          <t>Fisher, Brandon</t>
        </is>
      </c>
      <c r="K1013" t="inlineStr">
        <is>
          <t>Z00.00</t>
        </is>
      </c>
      <c r="L1013" t="inlineStr">
        <is>
          <t>Factors Influencing Health</t>
        </is>
      </c>
      <c r="M1013" t="inlineStr">
        <is>
          <t>Self-Pay</t>
        </is>
      </c>
      <c r="N1013" t="inlineStr">
        <is>
          <t>Self-Pay</t>
        </is>
      </c>
      <c r="O1013" s="39" t="n">
        <v>280.88</v>
      </c>
    </row>
    <row r="1014">
      <c r="A1014" t="inlineStr">
        <is>
          <t>ENC116321</t>
        </is>
      </c>
      <c r="B1014" t="inlineStr">
        <is>
          <t>PT11348</t>
        </is>
      </c>
      <c r="C1014" s="42" t="n">
        <v>45835</v>
      </c>
      <c r="D1014" s="42" t="n">
        <v>45849</v>
      </c>
      <c r="E1014" s="38" t="n">
        <v>14</v>
      </c>
      <c r="F1014" t="inlineStr">
        <is>
          <t>Inpatient</t>
        </is>
      </c>
      <c r="G1014" t="inlineStr">
        <is>
          <t>Cedar Ridge Medical Center</t>
        </is>
      </c>
      <c r="H1014" t="inlineStr">
        <is>
          <t>Intensive Care Unit</t>
        </is>
      </c>
      <c r="I1014" t="inlineStr">
        <is>
          <t>Critical Care</t>
        </is>
      </c>
      <c r="J1014" t="inlineStr">
        <is>
          <t>White, Danielle</t>
        </is>
      </c>
      <c r="K1014" t="inlineStr">
        <is>
          <t>A41.9</t>
        </is>
      </c>
      <c r="L1014" t="inlineStr">
        <is>
          <t>Infectious</t>
        </is>
      </c>
      <c r="M1014" t="inlineStr">
        <is>
          <t>Evergreen Mutual Insurance</t>
        </is>
      </c>
      <c r="N1014" t="inlineStr">
        <is>
          <t>Commercial</t>
        </is>
      </c>
      <c r="O1014" s="39" t="n">
        <v>118752.41</v>
      </c>
      <c r="P1014" t="inlineStr">
        <is>
          <t>N</t>
        </is>
      </c>
    </row>
    <row r="1015">
      <c r="A1015" t="inlineStr">
        <is>
          <t>ENC116329</t>
        </is>
      </c>
      <c r="B1015" t="inlineStr">
        <is>
          <t>PT11827</t>
        </is>
      </c>
      <c r="C1015" s="42" t="n">
        <v>45835</v>
      </c>
      <c r="D1015" s="42" t="n">
        <v>45840</v>
      </c>
      <c r="E1015" s="38" t="n">
        <v>5</v>
      </c>
      <c r="F1015" t="inlineStr">
        <is>
          <t>Inpatient</t>
        </is>
      </c>
      <c r="G1015" t="inlineStr">
        <is>
          <t>Bluestone Memorial Hospital</t>
        </is>
      </c>
      <c r="H1015" t="inlineStr">
        <is>
          <t>Medical-Surgical 4 West</t>
        </is>
      </c>
      <c r="I1015" t="inlineStr">
        <is>
          <t>Medicine</t>
        </is>
      </c>
      <c r="J1015" t="inlineStr">
        <is>
          <t>Simpson, Kelly</t>
        </is>
      </c>
      <c r="K1015" t="inlineStr">
        <is>
          <t>A41.9</t>
        </is>
      </c>
      <c r="L1015" t="inlineStr">
        <is>
          <t>Infectious</t>
        </is>
      </c>
      <c r="M1015" t="inlineStr">
        <is>
          <t>Medicare</t>
        </is>
      </c>
      <c r="N1015" t="inlineStr">
        <is>
          <t>Government</t>
        </is>
      </c>
      <c r="O1015" s="39" t="n">
        <v>67558.17</v>
      </c>
      <c r="P1015" t="inlineStr">
        <is>
          <t>N</t>
        </is>
      </c>
    </row>
    <row r="1016">
      <c r="A1016" t="inlineStr">
        <is>
          <t>ENC116334</t>
        </is>
      </c>
      <c r="B1016" t="inlineStr">
        <is>
          <t>PT12537</t>
        </is>
      </c>
      <c r="C1016" s="42" t="n">
        <v>45836</v>
      </c>
      <c r="D1016" s="42" t="n">
        <v>45836</v>
      </c>
      <c r="E1016" s="38" t="n">
        <v>0</v>
      </c>
      <c r="F1016" t="inlineStr">
        <is>
          <t>Emergency</t>
        </is>
      </c>
      <c r="G1016" t="inlineStr">
        <is>
          <t>Bluestone Memorial Hospital</t>
        </is>
      </c>
      <c r="H1016" t="inlineStr">
        <is>
          <t>Emergency Department</t>
        </is>
      </c>
      <c r="I1016" t="inlineStr">
        <is>
          <t>Emergency</t>
        </is>
      </c>
      <c r="J1016" t="inlineStr">
        <is>
          <t>Foster, Patrick</t>
        </is>
      </c>
      <c r="K1016" t="inlineStr">
        <is>
          <t>S93.401A</t>
        </is>
      </c>
      <c r="L1016" t="inlineStr">
        <is>
          <t>Injury</t>
        </is>
      </c>
      <c r="M1016" t="inlineStr">
        <is>
          <t>Medicare</t>
        </is>
      </c>
      <c r="N1016" t="inlineStr">
        <is>
          <t>Government</t>
        </is>
      </c>
      <c r="O1016" s="39" t="n">
        <v>550.5700000000001</v>
      </c>
    </row>
    <row r="1017">
      <c r="A1017" t="inlineStr">
        <is>
          <t>ENC116343</t>
        </is>
      </c>
      <c r="B1017" t="inlineStr">
        <is>
          <t>PT11478</t>
        </is>
      </c>
      <c r="C1017" s="42" t="n">
        <v>45836</v>
      </c>
      <c r="D1017" s="42" t="n">
        <v>45841</v>
      </c>
      <c r="E1017" s="38" t="n">
        <v>5</v>
      </c>
      <c r="F1017" t="inlineStr">
        <is>
          <t>Inpatient</t>
        </is>
      </c>
      <c r="G1017" t="inlineStr">
        <is>
          <t>Bluestone Memorial Hospital</t>
        </is>
      </c>
      <c r="H1017" t="inlineStr">
        <is>
          <t>Medical-Surgical 5 East</t>
        </is>
      </c>
      <c r="I1017" t="inlineStr">
        <is>
          <t>Medicine</t>
        </is>
      </c>
      <c r="J1017" t="inlineStr">
        <is>
          <t>White, Kathleen</t>
        </is>
      </c>
      <c r="K1017" t="inlineStr">
        <is>
          <t>K56.609</t>
        </is>
      </c>
      <c r="L1017" t="inlineStr">
        <is>
          <t>Digestive</t>
        </is>
      </c>
      <c r="M1017" t="inlineStr">
        <is>
          <t>Evergreen Mutual Insurance</t>
        </is>
      </c>
      <c r="N1017" t="inlineStr">
        <is>
          <t>Commercial</t>
        </is>
      </c>
      <c r="O1017" s="39" t="n">
        <v>40781.16</v>
      </c>
      <c r="P1017" t="inlineStr">
        <is>
          <t>N</t>
        </is>
      </c>
    </row>
    <row r="1018">
      <c r="A1018" t="inlineStr">
        <is>
          <t>ENC116361</t>
        </is>
      </c>
      <c r="B1018" t="inlineStr">
        <is>
          <t>PT13510</t>
        </is>
      </c>
      <c r="C1018" s="42" t="n">
        <v>45837</v>
      </c>
      <c r="D1018" s="42" t="n">
        <v>45840</v>
      </c>
      <c r="E1018" s="38" t="n">
        <v>3</v>
      </c>
      <c r="F1018" t="inlineStr">
        <is>
          <t>Inpatient</t>
        </is>
      </c>
      <c r="G1018" t="inlineStr">
        <is>
          <t>Ashby Falls Community Hospital</t>
        </is>
      </c>
      <c r="H1018" t="inlineStr">
        <is>
          <t>Medical-Surgical</t>
        </is>
      </c>
      <c r="I1018" t="inlineStr">
        <is>
          <t>Medicine</t>
        </is>
      </c>
      <c r="J1018" t="inlineStr">
        <is>
          <t>Carroll, Philip</t>
        </is>
      </c>
      <c r="K1018" t="inlineStr">
        <is>
          <t>I48.91</t>
        </is>
      </c>
      <c r="L1018" t="inlineStr">
        <is>
          <t>Circulatory</t>
        </is>
      </c>
      <c r="M1018" t="inlineStr">
        <is>
          <t>Medicare</t>
        </is>
      </c>
      <c r="N1018" t="inlineStr">
        <is>
          <t>Government</t>
        </is>
      </c>
      <c r="O1018" s="39" t="n">
        <v>19802.09</v>
      </c>
      <c r="P1018" t="inlineStr">
        <is>
          <t>N</t>
        </is>
      </c>
    </row>
    <row r="1019">
      <c r="A1019" t="inlineStr">
        <is>
          <t>ENC116368</t>
        </is>
      </c>
      <c r="B1019" t="inlineStr">
        <is>
          <t>PT13090</t>
        </is>
      </c>
      <c r="C1019" s="42" t="n">
        <v>45837</v>
      </c>
      <c r="D1019" s="42" t="n">
        <v>45839</v>
      </c>
      <c r="E1019" s="38" t="n">
        <v>2</v>
      </c>
      <c r="F1019" t="inlineStr">
        <is>
          <t>Observation</t>
        </is>
      </c>
      <c r="G1019" t="inlineStr">
        <is>
          <t>Cedar Ridge Medical Center</t>
        </is>
      </c>
      <c r="H1019" t="inlineStr">
        <is>
          <t>Medical-Surgical</t>
        </is>
      </c>
      <c r="I1019" t="inlineStr">
        <is>
          <t>Medicine</t>
        </is>
      </c>
      <c r="J1019" t="inlineStr">
        <is>
          <t>Peters, Frank</t>
        </is>
      </c>
      <c r="K1019" t="inlineStr">
        <is>
          <t>F41.9</t>
        </is>
      </c>
      <c r="L1019" t="inlineStr">
        <is>
          <t>Mental &amp; Behavioral</t>
        </is>
      </c>
      <c r="M1019" t="inlineStr">
        <is>
          <t>Medicare</t>
        </is>
      </c>
      <c r="N1019" t="inlineStr">
        <is>
          <t>Government</t>
        </is>
      </c>
      <c r="O1019" s="39" t="n">
        <v>12146.59</v>
      </c>
    </row>
    <row r="1020">
      <c r="A1020" t="inlineStr">
        <is>
          <t>ENC116375</t>
        </is>
      </c>
      <c r="B1020" t="inlineStr">
        <is>
          <t>PT12512</t>
        </is>
      </c>
      <c r="C1020" s="42" t="n">
        <v>45838</v>
      </c>
      <c r="D1020" s="42" t="n">
        <v>45838</v>
      </c>
      <c r="E1020" s="38" t="n">
        <v>0</v>
      </c>
      <c r="F1020" t="inlineStr">
        <is>
          <t>Outpatient</t>
        </is>
      </c>
      <c r="G1020" t="inlineStr">
        <is>
          <t>Bluestone Outpatient Pavilion</t>
        </is>
      </c>
      <c r="H1020" t="inlineStr">
        <is>
          <t>Primary Care Clinic</t>
        </is>
      </c>
      <c r="I1020" t="inlineStr">
        <is>
          <t>Ambulatory</t>
        </is>
      </c>
      <c r="J1020" t="inlineStr">
        <is>
          <t>Black, Nancy</t>
        </is>
      </c>
      <c r="K1020" t="inlineStr">
        <is>
          <t>G43.909</t>
        </is>
      </c>
      <c r="L1020" t="inlineStr">
        <is>
          <t>Nervous System</t>
        </is>
      </c>
      <c r="M1020" t="inlineStr">
        <is>
          <t>Keystone Health Partners</t>
        </is>
      </c>
      <c r="N1020" t="inlineStr">
        <is>
          <t>Commercial</t>
        </is>
      </c>
      <c r="O1020" s="39" t="n">
        <v>219.42</v>
      </c>
    </row>
    <row r="1021">
      <c r="A1021" t="inlineStr">
        <is>
          <t>ENC116379</t>
        </is>
      </c>
      <c r="B1021" t="inlineStr">
        <is>
          <t>PT12647</t>
        </is>
      </c>
      <c r="C1021" s="42" t="n">
        <v>45838</v>
      </c>
      <c r="D1021" s="42" t="n">
        <v>45838</v>
      </c>
      <c r="E1021" s="38" t="n">
        <v>0</v>
      </c>
      <c r="F1021" t="inlineStr">
        <is>
          <t>Outpatient</t>
        </is>
      </c>
      <c r="G1021" t="inlineStr">
        <is>
          <t>Bluestone Outpatient Pavilion</t>
        </is>
      </c>
      <c r="H1021" t="inlineStr">
        <is>
          <t>Primary Care Clinic</t>
        </is>
      </c>
      <c r="I1021" t="inlineStr">
        <is>
          <t>Ambulatory</t>
        </is>
      </c>
      <c r="J1021" t="inlineStr">
        <is>
          <t>Osei, Julie</t>
        </is>
      </c>
      <c r="K1021" t="inlineStr">
        <is>
          <t>Z00.00</t>
        </is>
      </c>
      <c r="L1021" t="inlineStr">
        <is>
          <t>Factors Influencing Health</t>
        </is>
      </c>
      <c r="M1021" t="inlineStr">
        <is>
          <t>Silverline Medicare Advantage</t>
        </is>
      </c>
      <c r="N1021" t="inlineStr">
        <is>
          <t>Medicare Advantage</t>
        </is>
      </c>
      <c r="O1021" s="39" t="n">
        <v>303.61</v>
      </c>
    </row>
    <row r="1022">
      <c r="A1022" t="inlineStr">
        <is>
          <t>ENC116381</t>
        </is>
      </c>
      <c r="B1022" t="inlineStr">
        <is>
          <t>PT12507</t>
        </is>
      </c>
      <c r="C1022" s="42" t="n">
        <v>45838</v>
      </c>
      <c r="D1022" s="42" t="n">
        <v>45838</v>
      </c>
      <c r="E1022" s="38" t="n">
        <v>0</v>
      </c>
      <c r="F1022" t="inlineStr">
        <is>
          <t>Outpatient</t>
        </is>
      </c>
      <c r="G1022" t="inlineStr">
        <is>
          <t>Bluestone Outpatient Pavilion</t>
        </is>
      </c>
      <c r="H1022" t="inlineStr">
        <is>
          <t>Primary Care Clinic</t>
        </is>
      </c>
      <c r="I1022" t="inlineStr">
        <is>
          <t>Ambulatory</t>
        </is>
      </c>
      <c r="J1022" t="inlineStr">
        <is>
          <t>Chen, Mei</t>
        </is>
      </c>
      <c r="K1022" t="inlineStr">
        <is>
          <t>E78.5</t>
        </is>
      </c>
      <c r="L1022" t="inlineStr">
        <is>
          <t>Endocrine</t>
        </is>
      </c>
      <c r="M1022" t="inlineStr">
        <is>
          <t>Keystone Health Partners</t>
        </is>
      </c>
      <c r="N1022" t="inlineStr">
        <is>
          <t>Commercial</t>
        </is>
      </c>
      <c r="O1022" s="39" t="n">
        <v>454.18</v>
      </c>
    </row>
    <row r="1023">
      <c r="A1023" t="inlineStr">
        <is>
          <t>ENC116386</t>
        </is>
      </c>
      <c r="B1023" t="inlineStr">
        <is>
          <t>PT10161</t>
        </is>
      </c>
      <c r="C1023" s="42" t="n">
        <v>45838</v>
      </c>
      <c r="D1023" s="42" t="n">
        <v>45838</v>
      </c>
      <c r="E1023" s="38" t="n">
        <v>0</v>
      </c>
      <c r="F1023" t="inlineStr">
        <is>
          <t>Outpatient</t>
        </is>
      </c>
      <c r="G1023" t="inlineStr">
        <is>
          <t>Bluestone Outpatient Pavilion</t>
        </is>
      </c>
      <c r="H1023" t="inlineStr">
        <is>
          <t>Pediatric Clinic</t>
        </is>
      </c>
      <c r="I1023" t="inlineStr">
        <is>
          <t>Women &amp; Children</t>
        </is>
      </c>
      <c r="J1023" t="inlineStr">
        <is>
          <t>Herrera, Christian</t>
        </is>
      </c>
      <c r="K1023" t="inlineStr">
        <is>
          <t>Z00.129</t>
        </is>
      </c>
      <c r="L1023" t="inlineStr">
        <is>
          <t>Factors Influencing Health</t>
        </is>
      </c>
      <c r="M1023" t="inlineStr">
        <is>
          <t>State Medicaid</t>
        </is>
      </c>
      <c r="N1023" t="inlineStr">
        <is>
          <t>Government</t>
        </is>
      </c>
      <c r="O1023" s="39" t="n">
        <v>454.56</v>
      </c>
    </row>
    <row r="1024">
      <c r="A1024" t="inlineStr">
        <is>
          <t>ENC116391</t>
        </is>
      </c>
      <c r="B1024" t="inlineStr">
        <is>
          <t>PT13271</t>
        </is>
      </c>
      <c r="C1024" s="42" t="n">
        <v>45838</v>
      </c>
      <c r="D1024" s="42" t="n">
        <v>45838</v>
      </c>
      <c r="E1024" s="38" t="n">
        <v>0</v>
      </c>
      <c r="F1024" t="inlineStr">
        <is>
          <t>Emergency</t>
        </is>
      </c>
      <c r="G1024" t="inlineStr">
        <is>
          <t>Bluestone Memorial Hospital</t>
        </is>
      </c>
      <c r="H1024" t="inlineStr">
        <is>
          <t>Emergency Department</t>
        </is>
      </c>
      <c r="I1024" t="inlineStr">
        <is>
          <t>Emergency</t>
        </is>
      </c>
      <c r="J1024" t="inlineStr">
        <is>
          <t>Kowalski, James</t>
        </is>
      </c>
      <c r="K1024" t="inlineStr">
        <is>
          <t>R55</t>
        </is>
      </c>
      <c r="L1024" t="inlineStr">
        <is>
          <t>Symptoms &amp; Signs</t>
        </is>
      </c>
      <c r="M1024" t="inlineStr">
        <is>
          <t>Medicare</t>
        </is>
      </c>
      <c r="N1024" t="inlineStr">
        <is>
          <t>Government</t>
        </is>
      </c>
      <c r="O1024" s="39" t="n">
        <v>4181.07</v>
      </c>
    </row>
    <row r="1025">
      <c r="A1025" t="inlineStr">
        <is>
          <t>ENC116397</t>
        </is>
      </c>
      <c r="B1025" t="inlineStr">
        <is>
          <t>PT12137</t>
        </is>
      </c>
      <c r="C1025" s="42" t="n">
        <v>45838</v>
      </c>
      <c r="D1025" s="42" t="n">
        <v>45838</v>
      </c>
      <c r="E1025" s="38" t="n">
        <v>0</v>
      </c>
      <c r="F1025" t="inlineStr">
        <is>
          <t>Emergency</t>
        </is>
      </c>
      <c r="G1025" t="inlineStr">
        <is>
          <t>Bluestone Memorial Hospital</t>
        </is>
      </c>
      <c r="H1025" t="inlineStr">
        <is>
          <t>Emergency Department</t>
        </is>
      </c>
      <c r="I1025" t="inlineStr">
        <is>
          <t>Emergency</t>
        </is>
      </c>
      <c r="J1025" t="inlineStr">
        <is>
          <t>Myers, Doris</t>
        </is>
      </c>
      <c r="K1025" t="inlineStr">
        <is>
          <t>G40.909</t>
        </is>
      </c>
      <c r="L1025" t="inlineStr">
        <is>
          <t>Nervous System</t>
        </is>
      </c>
      <c r="M1025" t="inlineStr">
        <is>
          <t>State Medicaid</t>
        </is>
      </c>
      <c r="N1025" t="inlineStr">
        <is>
          <t>Government</t>
        </is>
      </c>
      <c r="O1025" s="39" t="n">
        <v>3376.39</v>
      </c>
    </row>
    <row r="1026">
      <c r="A1026" t="inlineStr">
        <is>
          <t>ENC116401</t>
        </is>
      </c>
      <c r="B1026" t="inlineStr">
        <is>
          <t>PT10967</t>
        </is>
      </c>
      <c r="C1026" s="42" t="n">
        <v>45838</v>
      </c>
      <c r="D1026" s="42" t="n">
        <v>45838</v>
      </c>
      <c r="E1026" s="38" t="n">
        <v>0</v>
      </c>
      <c r="F1026" t="inlineStr">
        <is>
          <t>Emergency</t>
        </is>
      </c>
      <c r="G1026" t="inlineStr">
        <is>
          <t>Bluestone Memorial Hospital</t>
        </is>
      </c>
      <c r="H1026" t="inlineStr">
        <is>
          <t>Emergency Department</t>
        </is>
      </c>
      <c r="I1026" t="inlineStr">
        <is>
          <t>Emergency</t>
        </is>
      </c>
      <c r="J1026" t="inlineStr">
        <is>
          <t>Mendoza, Alexander</t>
        </is>
      </c>
      <c r="K1026" t="inlineStr">
        <is>
          <t>L03.115</t>
        </is>
      </c>
      <c r="L1026" t="inlineStr">
        <is>
          <t>Skin</t>
        </is>
      </c>
      <c r="M1026" t="inlineStr">
        <is>
          <t>Silverline Medicare Advantage</t>
        </is>
      </c>
      <c r="N1026" t="inlineStr">
        <is>
          <t>Medicare Advantage</t>
        </is>
      </c>
      <c r="O1026" s="39" t="n">
        <v>1437.51</v>
      </c>
    </row>
    <row r="1027">
      <c r="A1027" t="inlineStr">
        <is>
          <t>ENC116408</t>
        </is>
      </c>
      <c r="B1027" t="inlineStr">
        <is>
          <t>PT13359</t>
        </is>
      </c>
      <c r="C1027" s="42" t="n">
        <v>45839</v>
      </c>
      <c r="D1027" s="42" t="n">
        <v>45839</v>
      </c>
      <c r="E1027" s="38" t="n">
        <v>0</v>
      </c>
      <c r="F1027" t="inlineStr">
        <is>
          <t>Outpatient</t>
        </is>
      </c>
      <c r="G1027" t="inlineStr">
        <is>
          <t>Bluestone Outpatient Pavilion</t>
        </is>
      </c>
      <c r="H1027" t="inlineStr">
        <is>
          <t>Infusion &amp; Oncology Clinic</t>
        </is>
      </c>
      <c r="I1027" t="inlineStr">
        <is>
          <t>Oncology</t>
        </is>
      </c>
      <c r="J1027" t="inlineStr">
        <is>
          <t>Cooper, Logan</t>
        </is>
      </c>
      <c r="K1027" t="inlineStr">
        <is>
          <t>Z51.11</t>
        </is>
      </c>
      <c r="L1027" t="inlineStr">
        <is>
          <t>Factors Influencing Health</t>
        </is>
      </c>
      <c r="M1027" t="inlineStr">
        <is>
          <t>Keystone Health Partners</t>
        </is>
      </c>
      <c r="N1027" t="inlineStr">
        <is>
          <t>Commercial</t>
        </is>
      </c>
      <c r="O1027" s="39" t="n">
        <v>13754.07</v>
      </c>
    </row>
    <row r="1028">
      <c r="A1028" t="inlineStr">
        <is>
          <t>ENC116412</t>
        </is>
      </c>
      <c r="B1028" t="inlineStr">
        <is>
          <t>PT13540</t>
        </is>
      </c>
      <c r="C1028" s="42" t="n">
        <v>45839</v>
      </c>
      <c r="D1028" s="42" t="n">
        <v>45839</v>
      </c>
      <c r="E1028" s="38" t="n">
        <v>0</v>
      </c>
      <c r="F1028" t="inlineStr">
        <is>
          <t>Outpatient</t>
        </is>
      </c>
      <c r="G1028" t="inlineStr">
        <is>
          <t>Bluestone Outpatient Pavilion</t>
        </is>
      </c>
      <c r="H1028" t="inlineStr">
        <is>
          <t>Primary Care Clinic</t>
        </is>
      </c>
      <c r="I1028" t="inlineStr">
        <is>
          <t>Ambulatory</t>
        </is>
      </c>
      <c r="J1028" t="inlineStr">
        <is>
          <t>Black, Kelly</t>
        </is>
      </c>
      <c r="K1028" t="inlineStr">
        <is>
          <t>Z00.00</t>
        </is>
      </c>
      <c r="L1028" t="inlineStr">
        <is>
          <t>Factors Influencing Health</t>
        </is>
      </c>
      <c r="M1028" t="inlineStr">
        <is>
          <t>Silverline Medicare Advantage</t>
        </is>
      </c>
      <c r="N1028" t="inlineStr">
        <is>
          <t>Medicare Advantage</t>
        </is>
      </c>
      <c r="O1028" s="39" t="n">
        <v>367.36</v>
      </c>
    </row>
    <row r="1029">
      <c r="A1029" t="inlineStr">
        <is>
          <t>ENC116427</t>
        </is>
      </c>
      <c r="B1029" t="inlineStr">
        <is>
          <t>PT10399</t>
        </is>
      </c>
      <c r="C1029" s="42" t="n">
        <v>45839</v>
      </c>
      <c r="D1029" s="42" t="n">
        <v>45839</v>
      </c>
      <c r="E1029" s="38" t="n">
        <v>0</v>
      </c>
      <c r="F1029" t="inlineStr">
        <is>
          <t>Outpatient</t>
        </is>
      </c>
      <c r="G1029" t="inlineStr">
        <is>
          <t>Bluestone Outpatient Pavilion</t>
        </is>
      </c>
      <c r="H1029" t="inlineStr">
        <is>
          <t>Endocrinology &amp; Diabetes Clinic</t>
        </is>
      </c>
      <c r="I1029" t="inlineStr">
        <is>
          <t>Ambulatory</t>
        </is>
      </c>
      <c r="J1029" t="inlineStr">
        <is>
          <t>Woods, Larry</t>
        </is>
      </c>
      <c r="K1029" t="inlineStr">
        <is>
          <t>E11.9</t>
        </is>
      </c>
      <c r="L1029" t="inlineStr">
        <is>
          <t>Endocrine</t>
        </is>
      </c>
      <c r="M1029" t="inlineStr">
        <is>
          <t>Evergreen Mutual Insurance</t>
        </is>
      </c>
      <c r="N1029" t="inlineStr">
        <is>
          <t>Commercial</t>
        </is>
      </c>
      <c r="O1029" s="39" t="n">
        <v>337.66</v>
      </c>
    </row>
    <row r="1030">
      <c r="A1030" t="inlineStr">
        <is>
          <t>ENC116444</t>
        </is>
      </c>
      <c r="B1030" t="inlineStr">
        <is>
          <t>PT12341</t>
        </is>
      </c>
      <c r="C1030" s="42" t="n">
        <v>45840</v>
      </c>
      <c r="D1030" s="42" t="n">
        <v>45840</v>
      </c>
      <c r="E1030" s="38" t="n">
        <v>0</v>
      </c>
      <c r="F1030" t="inlineStr">
        <is>
          <t>Emergency</t>
        </is>
      </c>
      <c r="G1030" t="inlineStr">
        <is>
          <t>Bluestone Memorial Hospital</t>
        </is>
      </c>
      <c r="H1030" t="inlineStr">
        <is>
          <t>Emergency Department</t>
        </is>
      </c>
      <c r="I1030" t="inlineStr">
        <is>
          <t>Emergency</t>
        </is>
      </c>
      <c r="J1030" t="inlineStr">
        <is>
          <t>Gonzales, Mia</t>
        </is>
      </c>
      <c r="K1030" t="inlineStr">
        <is>
          <t>S93.401A</t>
        </is>
      </c>
      <c r="L1030" t="inlineStr">
        <is>
          <t>Injury</t>
        </is>
      </c>
      <c r="M1030" t="inlineStr">
        <is>
          <t>Self-Pay</t>
        </is>
      </c>
      <c r="N1030" t="inlineStr">
        <is>
          <t>Self-Pay</t>
        </is>
      </c>
      <c r="O1030" s="39" t="n">
        <v>1656.34</v>
      </c>
    </row>
    <row r="1031">
      <c r="A1031" t="inlineStr">
        <is>
          <t>ENC116446</t>
        </is>
      </c>
      <c r="B1031" t="inlineStr">
        <is>
          <t>PT12944</t>
        </is>
      </c>
      <c r="C1031" s="42" t="n">
        <v>45840</v>
      </c>
      <c r="D1031" s="42" t="n">
        <v>45840</v>
      </c>
      <c r="E1031" s="38" t="n">
        <v>0</v>
      </c>
      <c r="F1031" t="inlineStr">
        <is>
          <t>Emergency</t>
        </is>
      </c>
      <c r="G1031" t="inlineStr">
        <is>
          <t>Ashby Falls Community Hospital</t>
        </is>
      </c>
      <c r="H1031" t="inlineStr">
        <is>
          <t>Emergency Department</t>
        </is>
      </c>
      <c r="I1031" t="inlineStr">
        <is>
          <t>Emergency</t>
        </is>
      </c>
      <c r="J1031" t="inlineStr">
        <is>
          <t>Collins, Frank</t>
        </is>
      </c>
      <c r="K1031" t="inlineStr">
        <is>
          <t>S06.0X0A</t>
        </is>
      </c>
      <c r="L1031" t="inlineStr">
        <is>
          <t>Injury</t>
        </is>
      </c>
      <c r="M1031" t="inlineStr">
        <is>
          <t>Summit Choice PPO</t>
        </is>
      </c>
      <c r="N1031" t="inlineStr">
        <is>
          <t>Commercial</t>
        </is>
      </c>
      <c r="O1031" s="39" t="n">
        <v>3495.3</v>
      </c>
    </row>
    <row r="1032">
      <c r="A1032" t="inlineStr">
        <is>
          <t>ENC116453</t>
        </is>
      </c>
      <c r="B1032" t="inlineStr">
        <is>
          <t>PT11938</t>
        </is>
      </c>
      <c r="C1032" s="42" t="n">
        <v>45840</v>
      </c>
      <c r="D1032" s="42" t="n">
        <v>45840</v>
      </c>
      <c r="E1032" s="38" t="n">
        <v>0</v>
      </c>
      <c r="F1032" t="inlineStr">
        <is>
          <t>Outpatient</t>
        </is>
      </c>
      <c r="G1032" t="inlineStr">
        <is>
          <t>Bluestone Outpatient Pavilion</t>
        </is>
      </c>
      <c r="H1032" t="inlineStr">
        <is>
          <t>Infusion &amp; Oncology Clinic</t>
        </is>
      </c>
      <c r="I1032" t="inlineStr">
        <is>
          <t>Oncology</t>
        </is>
      </c>
      <c r="J1032" t="inlineStr">
        <is>
          <t>Long, Fatima</t>
        </is>
      </c>
      <c r="K1032" t="inlineStr">
        <is>
          <t>Z51.11</t>
        </is>
      </c>
      <c r="L1032" t="inlineStr">
        <is>
          <t>Factors Influencing Health</t>
        </is>
      </c>
      <c r="M1032" t="inlineStr">
        <is>
          <t>Keystone Health Partners</t>
        </is>
      </c>
      <c r="N1032" t="inlineStr">
        <is>
          <t>Commercial</t>
        </is>
      </c>
      <c r="O1032" s="39" t="n">
        <v>6905.29</v>
      </c>
    </row>
    <row r="1033">
      <c r="A1033" t="inlineStr">
        <is>
          <t>ENC116455</t>
        </is>
      </c>
      <c r="B1033" t="inlineStr">
        <is>
          <t>PT13981</t>
        </is>
      </c>
      <c r="C1033" s="42" t="n">
        <v>45840</v>
      </c>
      <c r="D1033" s="42" t="n">
        <v>45840</v>
      </c>
      <c r="E1033" s="38" t="n">
        <v>0</v>
      </c>
      <c r="F1033" t="inlineStr">
        <is>
          <t>Outpatient</t>
        </is>
      </c>
      <c r="G1033" t="inlineStr">
        <is>
          <t>Bluestone Outpatient Pavilion</t>
        </is>
      </c>
      <c r="H1033" t="inlineStr">
        <is>
          <t>Primary Care Clinic</t>
        </is>
      </c>
      <c r="I1033" t="inlineStr">
        <is>
          <t>Ambulatory</t>
        </is>
      </c>
      <c r="J1033" t="inlineStr">
        <is>
          <t>Santos, Edward</t>
        </is>
      </c>
      <c r="K1033" t="inlineStr">
        <is>
          <t>G43.909</t>
        </is>
      </c>
      <c r="L1033" t="inlineStr">
        <is>
          <t>Nervous System</t>
        </is>
      </c>
      <c r="M1033" t="inlineStr">
        <is>
          <t>Silverline Medicare Advantage</t>
        </is>
      </c>
      <c r="N1033" t="inlineStr">
        <is>
          <t>Medicare Advantage</t>
        </is>
      </c>
      <c r="O1033" s="39" t="n">
        <v>299.85</v>
      </c>
    </row>
    <row r="1034">
      <c r="A1034" t="inlineStr">
        <is>
          <t>ENC116459</t>
        </is>
      </c>
      <c r="B1034" t="inlineStr">
        <is>
          <t>PT10343</t>
        </is>
      </c>
      <c r="C1034" s="42" t="n">
        <v>45840</v>
      </c>
      <c r="D1034" s="42" t="n">
        <v>45840</v>
      </c>
      <c r="E1034" s="38" t="n">
        <v>0</v>
      </c>
      <c r="F1034" t="inlineStr">
        <is>
          <t>Emergency</t>
        </is>
      </c>
      <c r="G1034" t="inlineStr">
        <is>
          <t>Bluestone Memorial Hospital</t>
        </is>
      </c>
      <c r="H1034" t="inlineStr">
        <is>
          <t>Emergency Department</t>
        </is>
      </c>
      <c r="I1034" t="inlineStr">
        <is>
          <t>Emergency</t>
        </is>
      </c>
      <c r="J1034" t="inlineStr">
        <is>
          <t>Payne, Nancy</t>
        </is>
      </c>
      <c r="K1034" t="inlineStr">
        <is>
          <t>E86.0</t>
        </is>
      </c>
      <c r="L1034" t="inlineStr">
        <is>
          <t>Endocrine</t>
        </is>
      </c>
      <c r="M1034" t="inlineStr">
        <is>
          <t>Self-Pay</t>
        </is>
      </c>
      <c r="N1034" t="inlineStr">
        <is>
          <t>Self-Pay</t>
        </is>
      </c>
      <c r="O1034" s="39" t="n">
        <v>1823.85</v>
      </c>
    </row>
    <row r="1035">
      <c r="A1035" t="inlineStr">
        <is>
          <t>ENC116460</t>
        </is>
      </c>
      <c r="B1035" t="inlineStr">
        <is>
          <t>PT11219</t>
        </is>
      </c>
      <c r="C1035" s="42" t="n">
        <v>45840</v>
      </c>
      <c r="D1035" s="42" t="n">
        <v>45840</v>
      </c>
      <c r="E1035" s="38" t="n">
        <v>0</v>
      </c>
      <c r="F1035" t="inlineStr">
        <is>
          <t>Emergency</t>
        </is>
      </c>
      <c r="G1035" t="inlineStr">
        <is>
          <t>Bluestone Memorial Hospital</t>
        </is>
      </c>
      <c r="H1035" t="inlineStr">
        <is>
          <t>Emergency Department</t>
        </is>
      </c>
      <c r="I1035" t="inlineStr">
        <is>
          <t>Emergency</t>
        </is>
      </c>
      <c r="J1035" t="inlineStr">
        <is>
          <t>Olson, Christian</t>
        </is>
      </c>
      <c r="K1035" t="inlineStr">
        <is>
          <t>F32.9</t>
        </is>
      </c>
      <c r="L1035" t="inlineStr">
        <is>
          <t>Mental &amp; Behavioral</t>
        </is>
      </c>
      <c r="M1035" t="inlineStr">
        <is>
          <t>Evergreen Mutual Insurance</t>
        </is>
      </c>
      <c r="N1035" t="inlineStr">
        <is>
          <t>Commercial</t>
        </is>
      </c>
      <c r="O1035" s="39" t="n">
        <v>2811.15</v>
      </c>
    </row>
    <row r="1036">
      <c r="A1036" t="inlineStr">
        <is>
          <t>ENC116461</t>
        </is>
      </c>
      <c r="B1036" t="inlineStr">
        <is>
          <t>PT10001</t>
        </is>
      </c>
      <c r="C1036" s="42" t="n">
        <v>45840</v>
      </c>
      <c r="D1036" s="42" t="n">
        <v>45840</v>
      </c>
      <c r="E1036" s="38" t="n">
        <v>0</v>
      </c>
      <c r="F1036" t="inlineStr">
        <is>
          <t>Emergency</t>
        </is>
      </c>
      <c r="G1036" t="inlineStr">
        <is>
          <t>Bluestone Memorial Hospital</t>
        </is>
      </c>
      <c r="H1036" t="inlineStr">
        <is>
          <t>Emergency Department</t>
        </is>
      </c>
      <c r="I1036" t="inlineStr">
        <is>
          <t>Emergency</t>
        </is>
      </c>
      <c r="J1036" t="inlineStr">
        <is>
          <t>Vasquez, Bruce</t>
        </is>
      </c>
      <c r="K1036" t="inlineStr">
        <is>
          <t>N39.0</t>
        </is>
      </c>
      <c r="L1036" t="inlineStr">
        <is>
          <t>Genitourinary</t>
        </is>
      </c>
      <c r="M1036" t="inlineStr">
        <is>
          <t>State Medicaid</t>
        </is>
      </c>
      <c r="N1036" t="inlineStr">
        <is>
          <t>Government</t>
        </is>
      </c>
      <c r="O1036" s="39" t="n">
        <v>6473.22</v>
      </c>
    </row>
    <row r="1037">
      <c r="A1037" t="inlineStr">
        <is>
          <t>ENC116462</t>
        </is>
      </c>
      <c r="B1037" t="inlineStr">
        <is>
          <t>PT10019</t>
        </is>
      </c>
      <c r="C1037" s="42" t="n">
        <v>45840</v>
      </c>
      <c r="D1037" s="42" t="n">
        <v>45841</v>
      </c>
      <c r="E1037" s="38" t="n">
        <v>1</v>
      </c>
      <c r="F1037" t="inlineStr">
        <is>
          <t>Emergency</t>
        </is>
      </c>
      <c r="G1037" t="inlineStr">
        <is>
          <t>Bluestone Memorial Hospital</t>
        </is>
      </c>
      <c r="H1037" t="inlineStr">
        <is>
          <t>Emergency Department</t>
        </is>
      </c>
      <c r="I1037" t="inlineStr">
        <is>
          <t>Emergency</t>
        </is>
      </c>
      <c r="J1037" t="inlineStr">
        <is>
          <t>Elliott, Jesse</t>
        </is>
      </c>
      <c r="K1037" t="inlineStr">
        <is>
          <t>S06.0X0A</t>
        </is>
      </c>
      <c r="L1037" t="inlineStr">
        <is>
          <t>Injury</t>
        </is>
      </c>
      <c r="M1037" t="inlineStr">
        <is>
          <t>Keystone Health Partners</t>
        </is>
      </c>
      <c r="N1037" t="inlineStr">
        <is>
          <t>Commercial</t>
        </is>
      </c>
      <c r="O1037" s="39" t="n">
        <v>5819.78</v>
      </c>
    </row>
    <row r="1038">
      <c r="A1038" t="inlineStr">
        <is>
          <t>ENC116465</t>
        </is>
      </c>
      <c r="B1038" t="inlineStr">
        <is>
          <t>PT10251</t>
        </is>
      </c>
      <c r="C1038" s="42" t="n">
        <v>45840</v>
      </c>
      <c r="D1038" s="42" t="n">
        <v>45841</v>
      </c>
      <c r="E1038" s="38" t="n">
        <v>1</v>
      </c>
      <c r="F1038" t="inlineStr">
        <is>
          <t>Emergency</t>
        </is>
      </c>
      <c r="G1038" t="inlineStr">
        <is>
          <t>Bluestone Memorial Hospital</t>
        </is>
      </c>
      <c r="H1038" t="inlineStr">
        <is>
          <t>Emergency Department</t>
        </is>
      </c>
      <c r="I1038" t="inlineStr">
        <is>
          <t>Emergency</t>
        </is>
      </c>
      <c r="J1038" t="inlineStr">
        <is>
          <t>Sullivan, Jacob</t>
        </is>
      </c>
      <c r="K1038" t="inlineStr">
        <is>
          <t>R10.9</t>
        </is>
      </c>
      <c r="L1038" t="inlineStr">
        <is>
          <t>Symptoms &amp; Signs</t>
        </is>
      </c>
      <c r="M1038" t="inlineStr">
        <is>
          <t>Medicare</t>
        </is>
      </c>
      <c r="N1038" t="inlineStr">
        <is>
          <t>Government</t>
        </is>
      </c>
      <c r="O1038" s="39" t="n">
        <v>924.15</v>
      </c>
    </row>
    <row r="1039">
      <c r="A1039" t="inlineStr">
        <is>
          <t>ENC116466</t>
        </is>
      </c>
      <c r="B1039" t="inlineStr">
        <is>
          <t>PT12355</t>
        </is>
      </c>
      <c r="C1039" s="42" t="n">
        <v>45841</v>
      </c>
      <c r="D1039" s="42" t="n">
        <v>45855</v>
      </c>
      <c r="E1039" s="38" t="n">
        <v>14</v>
      </c>
      <c r="F1039" t="inlineStr">
        <is>
          <t>Inpatient</t>
        </is>
      </c>
      <c r="G1039" t="inlineStr">
        <is>
          <t>Cedar Ridge Medical Center</t>
        </is>
      </c>
      <c r="H1039" t="inlineStr">
        <is>
          <t>Orthopedics</t>
        </is>
      </c>
      <c r="I1039" t="inlineStr">
        <is>
          <t>Orthopedics</t>
        </is>
      </c>
      <c r="J1039" t="inlineStr">
        <is>
          <t>Yilmaz, Brittany</t>
        </is>
      </c>
      <c r="K1039" t="inlineStr">
        <is>
          <t>S72.001A</t>
        </is>
      </c>
      <c r="L1039" t="inlineStr">
        <is>
          <t>Injury</t>
        </is>
      </c>
      <c r="M1039" t="inlineStr">
        <is>
          <t>Medicare</t>
        </is>
      </c>
      <c r="N1039" t="inlineStr">
        <is>
          <t>Government</t>
        </is>
      </c>
      <c r="O1039" s="39" t="n">
        <v>104303.79</v>
      </c>
      <c r="P1039" t="inlineStr">
        <is>
          <t>Y</t>
        </is>
      </c>
    </row>
    <row r="1040">
      <c r="A1040" t="inlineStr">
        <is>
          <t>ENC116478</t>
        </is>
      </c>
      <c r="B1040" t="inlineStr">
        <is>
          <t>PT12679</t>
        </is>
      </c>
      <c r="C1040" s="42" t="n">
        <v>45841</v>
      </c>
      <c r="D1040" s="42" t="n">
        <v>45841</v>
      </c>
      <c r="E1040" s="38" t="n">
        <v>0</v>
      </c>
      <c r="F1040" t="inlineStr">
        <is>
          <t>Outpatient</t>
        </is>
      </c>
      <c r="G1040" t="inlineStr">
        <is>
          <t>Bluestone Outpatient Pavilion</t>
        </is>
      </c>
      <c r="H1040" t="inlineStr">
        <is>
          <t>Primary Care Clinic</t>
        </is>
      </c>
      <c r="I1040" t="inlineStr">
        <is>
          <t>Ambulatory</t>
        </is>
      </c>
      <c r="J1040" t="inlineStr">
        <is>
          <t>Bennett, Randy</t>
        </is>
      </c>
      <c r="K1040" t="inlineStr">
        <is>
          <t>J06.9</t>
        </is>
      </c>
      <c r="L1040" t="inlineStr">
        <is>
          <t>Respiratory</t>
        </is>
      </c>
      <c r="M1040" t="inlineStr">
        <is>
          <t>State Medicaid</t>
        </is>
      </c>
      <c r="N1040" t="inlineStr">
        <is>
          <t>Government</t>
        </is>
      </c>
      <c r="O1040" s="39" t="n">
        <v>250.39</v>
      </c>
    </row>
    <row r="1041">
      <c r="A1041" t="inlineStr">
        <is>
          <t>ENC116483</t>
        </is>
      </c>
      <c r="B1041" t="inlineStr">
        <is>
          <t>PT11124</t>
        </is>
      </c>
      <c r="C1041" s="42" t="n">
        <v>45841</v>
      </c>
      <c r="D1041" s="42" t="n">
        <v>45841</v>
      </c>
      <c r="E1041" s="38" t="n">
        <v>0</v>
      </c>
      <c r="F1041" t="inlineStr">
        <is>
          <t>Outpatient</t>
        </is>
      </c>
      <c r="G1041" t="inlineStr">
        <is>
          <t>Bluestone Outpatient Pavilion</t>
        </is>
      </c>
      <c r="H1041" t="inlineStr">
        <is>
          <t>Orthopedic Clinic</t>
        </is>
      </c>
      <c r="I1041" t="inlineStr">
        <is>
          <t>Orthopedics</t>
        </is>
      </c>
      <c r="J1041" t="inlineStr">
        <is>
          <t>Hernandez, Kyle</t>
        </is>
      </c>
      <c r="K1041" t="inlineStr">
        <is>
          <t>S93.401A</t>
        </is>
      </c>
      <c r="L1041" t="inlineStr">
        <is>
          <t>Injury</t>
        </is>
      </c>
      <c r="M1041" t="inlineStr">
        <is>
          <t>Workers' Compensation</t>
        </is>
      </c>
      <c r="N1041" t="inlineStr">
        <is>
          <t>Workers' Comp</t>
        </is>
      </c>
      <c r="O1041" s="39" t="n">
        <v>140.9</v>
      </c>
    </row>
    <row r="1042">
      <c r="A1042" t="inlineStr">
        <is>
          <t>ENC116480</t>
        </is>
      </c>
      <c r="B1042" t="inlineStr">
        <is>
          <t>PT13743</t>
        </is>
      </c>
      <c r="C1042" s="42" t="n">
        <v>45841</v>
      </c>
      <c r="D1042" s="42" t="n">
        <v>45848</v>
      </c>
      <c r="E1042" s="38" t="n">
        <v>7</v>
      </c>
      <c r="F1042" t="inlineStr">
        <is>
          <t>Inpatient</t>
        </is>
      </c>
      <c r="G1042" t="inlineStr">
        <is>
          <t>Bluestone Memorial Hospital</t>
        </is>
      </c>
      <c r="H1042" t="inlineStr">
        <is>
          <t>Medical-Surgical 5 East</t>
        </is>
      </c>
      <c r="I1042" t="inlineStr">
        <is>
          <t>Medicine</t>
        </is>
      </c>
      <c r="J1042" t="inlineStr">
        <is>
          <t>Abbott, Kathleen</t>
        </is>
      </c>
      <c r="K1042" t="inlineStr">
        <is>
          <t>J96.01</t>
        </is>
      </c>
      <c r="L1042" t="inlineStr">
        <is>
          <t>Respiratory</t>
        </is>
      </c>
      <c r="M1042" t="inlineStr">
        <is>
          <t>Silverline Medicare Advantage</t>
        </is>
      </c>
      <c r="N1042" t="inlineStr">
        <is>
          <t>Medicare Advantage</t>
        </is>
      </c>
      <c r="O1042" s="39" t="n">
        <v>62088.13</v>
      </c>
      <c r="P1042" t="inlineStr">
        <is>
          <t>Y</t>
        </is>
      </c>
    </row>
    <row r="1043">
      <c r="A1043" t="inlineStr">
        <is>
          <t>ENC116489</t>
        </is>
      </c>
      <c r="B1043" t="inlineStr">
        <is>
          <t>PT11616</t>
        </is>
      </c>
      <c r="C1043" s="42" t="n">
        <v>45841</v>
      </c>
      <c r="D1043" s="42" t="n">
        <v>45847</v>
      </c>
      <c r="E1043" s="38" t="n">
        <v>6</v>
      </c>
      <c r="F1043" t="inlineStr">
        <is>
          <t>Inpatient</t>
        </is>
      </c>
      <c r="G1043" t="inlineStr">
        <is>
          <t>Bluestone Memorial Hospital</t>
        </is>
      </c>
      <c r="H1043" t="inlineStr">
        <is>
          <t>Medical-Surgical 5 East</t>
        </is>
      </c>
      <c r="I1043" t="inlineStr">
        <is>
          <t>Medicine</t>
        </is>
      </c>
      <c r="J1043" t="inlineStr">
        <is>
          <t>Price, Juan</t>
        </is>
      </c>
      <c r="K1043" t="inlineStr">
        <is>
          <t>E87.1</t>
        </is>
      </c>
      <c r="L1043" t="inlineStr">
        <is>
          <t>Endocrine</t>
        </is>
      </c>
      <c r="M1043" t="inlineStr">
        <is>
          <t>State Medicaid</t>
        </is>
      </c>
      <c r="N1043" t="inlineStr">
        <is>
          <t>Government</t>
        </is>
      </c>
      <c r="O1043" s="39" t="n">
        <v>21295.02</v>
      </c>
      <c r="P1043" t="inlineStr">
        <is>
          <t>N</t>
        </is>
      </c>
    </row>
    <row r="1044">
      <c r="A1044" t="inlineStr">
        <is>
          <t>ENC116503</t>
        </is>
      </c>
      <c r="B1044" t="inlineStr">
        <is>
          <t>PT11955</t>
        </is>
      </c>
      <c r="C1044" s="42" t="n">
        <v>45842</v>
      </c>
      <c r="D1044" s="42" t="n">
        <v>45842</v>
      </c>
      <c r="E1044" s="38" t="n">
        <v>0</v>
      </c>
      <c r="F1044" t="inlineStr">
        <is>
          <t>Outpatient</t>
        </is>
      </c>
      <c r="G1044" t="inlineStr">
        <is>
          <t>Bluestone Outpatient Pavilion</t>
        </is>
      </c>
      <c r="H1044" t="inlineStr">
        <is>
          <t>Primary Care Clinic</t>
        </is>
      </c>
      <c r="I1044" t="inlineStr">
        <is>
          <t>Ambulatory</t>
        </is>
      </c>
      <c r="J1044" t="inlineStr">
        <is>
          <t>Santos, Edward</t>
        </is>
      </c>
      <c r="K1044" t="inlineStr">
        <is>
          <t>I10</t>
        </is>
      </c>
      <c r="L1044" t="inlineStr">
        <is>
          <t>Circulatory</t>
        </is>
      </c>
      <c r="M1044" t="inlineStr">
        <is>
          <t>Medicare</t>
        </is>
      </c>
      <c r="N1044" t="inlineStr">
        <is>
          <t>Government</t>
        </is>
      </c>
      <c r="O1044" s="39" t="n">
        <v>259.05</v>
      </c>
    </row>
    <row r="1045">
      <c r="A1045" t="inlineStr">
        <is>
          <t>ENC116508</t>
        </is>
      </c>
      <c r="B1045" t="inlineStr">
        <is>
          <t>PT13345</t>
        </is>
      </c>
      <c r="C1045" s="42" t="n">
        <v>45842</v>
      </c>
      <c r="D1045" s="42" t="n">
        <v>45842</v>
      </c>
      <c r="E1045" s="38" t="n">
        <v>0</v>
      </c>
      <c r="F1045" t="inlineStr">
        <is>
          <t>Outpatient</t>
        </is>
      </c>
      <c r="G1045" t="inlineStr">
        <is>
          <t>Bluestone Outpatient Pavilion</t>
        </is>
      </c>
      <c r="H1045" t="inlineStr">
        <is>
          <t>Primary Care Clinic</t>
        </is>
      </c>
      <c r="I1045" t="inlineStr">
        <is>
          <t>Ambulatory</t>
        </is>
      </c>
      <c r="J1045" t="inlineStr">
        <is>
          <t>Arnold, Catherine</t>
        </is>
      </c>
      <c r="K1045" t="inlineStr">
        <is>
          <t>J44.1</t>
        </is>
      </c>
      <c r="L1045" t="inlineStr">
        <is>
          <t>Respiratory</t>
        </is>
      </c>
      <c r="M1045" t="inlineStr">
        <is>
          <t>Silverline Medicare Advantage</t>
        </is>
      </c>
      <c r="N1045" t="inlineStr">
        <is>
          <t>Medicare Advantage</t>
        </is>
      </c>
      <c r="O1045" s="39" t="n">
        <v>442.29</v>
      </c>
    </row>
    <row r="1046">
      <c r="A1046" t="inlineStr">
        <is>
          <t>ENC116509</t>
        </is>
      </c>
      <c r="B1046" t="inlineStr">
        <is>
          <t>PT11733</t>
        </is>
      </c>
      <c r="C1046" s="42" t="n">
        <v>45842</v>
      </c>
      <c r="D1046" s="42" t="n">
        <v>45842</v>
      </c>
      <c r="E1046" s="38" t="n">
        <v>0</v>
      </c>
      <c r="F1046" t="inlineStr">
        <is>
          <t>Outpatient</t>
        </is>
      </c>
      <c r="G1046" t="inlineStr">
        <is>
          <t>Bluestone Outpatient Pavilion</t>
        </is>
      </c>
      <c r="H1046" t="inlineStr">
        <is>
          <t>Infusion &amp; Oncology Clinic</t>
        </is>
      </c>
      <c r="I1046" t="inlineStr">
        <is>
          <t>Oncology</t>
        </is>
      </c>
      <c r="J1046" t="inlineStr">
        <is>
          <t>Hicks, Zachary</t>
        </is>
      </c>
      <c r="K1046" t="inlineStr">
        <is>
          <t>C34.90</t>
        </is>
      </c>
      <c r="L1046" t="inlineStr">
        <is>
          <t>Neoplasms</t>
        </is>
      </c>
      <c r="M1046" t="inlineStr">
        <is>
          <t>Silverline Medicare Advantage</t>
        </is>
      </c>
      <c r="N1046" t="inlineStr">
        <is>
          <t>Medicare Advantage</t>
        </is>
      </c>
      <c r="O1046" s="39" t="n">
        <v>696.61</v>
      </c>
    </row>
    <row r="1047">
      <c r="A1047" t="inlineStr">
        <is>
          <t>ENC116520</t>
        </is>
      </c>
      <c r="B1047" t="inlineStr">
        <is>
          <t>PT12869</t>
        </is>
      </c>
      <c r="C1047" s="42" t="n">
        <v>45842</v>
      </c>
      <c r="D1047" s="42" t="n">
        <v>45842</v>
      </c>
      <c r="E1047" s="38" t="n">
        <v>0</v>
      </c>
      <c r="F1047" t="inlineStr">
        <is>
          <t>Outpatient</t>
        </is>
      </c>
      <c r="G1047" t="inlineStr">
        <is>
          <t>Bluestone Outpatient Pavilion</t>
        </is>
      </c>
      <c r="H1047" t="inlineStr">
        <is>
          <t>Primary Care Clinic</t>
        </is>
      </c>
      <c r="I1047" t="inlineStr">
        <is>
          <t>Ambulatory</t>
        </is>
      </c>
      <c r="J1047" t="inlineStr">
        <is>
          <t>Chen, Mei</t>
        </is>
      </c>
      <c r="K1047" t="inlineStr">
        <is>
          <t>G43.909</t>
        </is>
      </c>
      <c r="L1047" t="inlineStr">
        <is>
          <t>Nervous System</t>
        </is>
      </c>
      <c r="M1047" t="inlineStr">
        <is>
          <t>State Medicaid</t>
        </is>
      </c>
      <c r="N1047" t="inlineStr">
        <is>
          <t>Government</t>
        </is>
      </c>
      <c r="O1047" s="39" t="n">
        <v>166.65</v>
      </c>
    </row>
    <row r="1048">
      <c r="A1048" t="inlineStr">
        <is>
          <t>ENC116525</t>
        </is>
      </c>
      <c r="B1048" t="inlineStr">
        <is>
          <t>PT10455</t>
        </is>
      </c>
      <c r="C1048" s="42" t="n">
        <v>45842</v>
      </c>
      <c r="D1048" s="42" t="n">
        <v>45842</v>
      </c>
      <c r="E1048" s="38" t="n">
        <v>0</v>
      </c>
      <c r="F1048" t="inlineStr">
        <is>
          <t>Emergency</t>
        </is>
      </c>
      <c r="G1048" t="inlineStr">
        <is>
          <t>Ashby Falls Community Hospital</t>
        </is>
      </c>
      <c r="H1048" t="inlineStr">
        <is>
          <t>Emergency Department</t>
        </is>
      </c>
      <c r="I1048" t="inlineStr">
        <is>
          <t>Emergency</t>
        </is>
      </c>
      <c r="J1048" t="inlineStr">
        <is>
          <t>Richardson, Mei</t>
        </is>
      </c>
      <c r="K1048" t="inlineStr">
        <is>
          <t>R10.9</t>
        </is>
      </c>
      <c r="L1048" t="inlineStr">
        <is>
          <t>Symptoms &amp; Signs</t>
        </is>
      </c>
      <c r="M1048" t="inlineStr">
        <is>
          <t>Evergreen Mutual Insurance</t>
        </is>
      </c>
      <c r="N1048" t="inlineStr">
        <is>
          <t>Commercial</t>
        </is>
      </c>
      <c r="O1048" s="39" t="n">
        <v>5549.3</v>
      </c>
    </row>
    <row r="1049">
      <c r="A1049" t="inlineStr">
        <is>
          <t>ENC116528</t>
        </is>
      </c>
      <c r="B1049" t="inlineStr">
        <is>
          <t>PT11475</t>
        </is>
      </c>
      <c r="C1049" s="42" t="n">
        <v>45843</v>
      </c>
      <c r="D1049" s="42" t="n">
        <v>45843</v>
      </c>
      <c r="E1049" s="38" t="n">
        <v>0</v>
      </c>
      <c r="F1049" t="inlineStr">
        <is>
          <t>Emergency</t>
        </is>
      </c>
      <c r="G1049" t="inlineStr">
        <is>
          <t>Bluestone Memorial Hospital</t>
        </is>
      </c>
      <c r="H1049" t="inlineStr">
        <is>
          <t>Emergency Department</t>
        </is>
      </c>
      <c r="I1049" t="inlineStr">
        <is>
          <t>Emergency</t>
        </is>
      </c>
      <c r="J1049" t="inlineStr">
        <is>
          <t>Elliott, Jesse</t>
        </is>
      </c>
      <c r="K1049" t="inlineStr">
        <is>
          <t>K80.20</t>
        </is>
      </c>
      <c r="L1049" t="inlineStr">
        <is>
          <t>Digestive</t>
        </is>
      </c>
      <c r="M1049" t="inlineStr">
        <is>
          <t>Medicare</t>
        </is>
      </c>
      <c r="N1049" t="inlineStr">
        <is>
          <t>Government</t>
        </is>
      </c>
      <c r="O1049" s="39" t="n">
        <v>3485.6</v>
      </c>
    </row>
    <row r="1050">
      <c r="A1050" t="inlineStr">
        <is>
          <t>ENC116536</t>
        </is>
      </c>
      <c r="B1050" t="inlineStr">
        <is>
          <t>PT13726</t>
        </is>
      </c>
      <c r="C1050" s="42" t="n">
        <v>45843</v>
      </c>
      <c r="D1050" s="42" t="n">
        <v>45843</v>
      </c>
      <c r="E1050" s="38" t="n">
        <v>0</v>
      </c>
      <c r="F1050" t="inlineStr">
        <is>
          <t>Emergency</t>
        </is>
      </c>
      <c r="G1050" t="inlineStr">
        <is>
          <t>Ashby Falls Community Hospital</t>
        </is>
      </c>
      <c r="H1050" t="inlineStr">
        <is>
          <t>Emergency Department</t>
        </is>
      </c>
      <c r="I1050" t="inlineStr">
        <is>
          <t>Emergency</t>
        </is>
      </c>
      <c r="J1050" t="inlineStr">
        <is>
          <t>Wright, Bruce</t>
        </is>
      </c>
      <c r="K1050" t="inlineStr">
        <is>
          <t>M54.50</t>
        </is>
      </c>
      <c r="L1050" t="inlineStr">
        <is>
          <t>Musculoskeletal</t>
        </is>
      </c>
      <c r="M1050" t="inlineStr">
        <is>
          <t>Medicare</t>
        </is>
      </c>
      <c r="N1050" t="inlineStr">
        <is>
          <t>Government</t>
        </is>
      </c>
      <c r="O1050" s="39" t="n">
        <v>1364.28</v>
      </c>
    </row>
    <row r="1051">
      <c r="A1051" t="inlineStr">
        <is>
          <t>ENC116539</t>
        </is>
      </c>
      <c r="B1051" t="inlineStr">
        <is>
          <t>PT12553</t>
        </is>
      </c>
      <c r="C1051" s="42" t="n">
        <v>45843</v>
      </c>
      <c r="D1051" s="42" t="n">
        <v>45845</v>
      </c>
      <c r="E1051" s="38" t="n">
        <v>2</v>
      </c>
      <c r="F1051" t="inlineStr">
        <is>
          <t>Observation</t>
        </is>
      </c>
      <c r="G1051" t="inlineStr">
        <is>
          <t>Bluestone Memorial Hospital</t>
        </is>
      </c>
      <c r="H1051" t="inlineStr">
        <is>
          <t>Observation Unit</t>
        </is>
      </c>
      <c r="I1051" t="inlineStr">
        <is>
          <t>Medicine</t>
        </is>
      </c>
      <c r="J1051" t="inlineStr">
        <is>
          <t>Simpson, Kelly</t>
        </is>
      </c>
      <c r="K1051" t="inlineStr">
        <is>
          <t>U07.1</t>
        </is>
      </c>
      <c r="L1051" t="inlineStr">
        <is>
          <t>Respiratory</t>
        </is>
      </c>
      <c r="M1051" t="inlineStr">
        <is>
          <t>Evergreen Mutual Insurance</t>
        </is>
      </c>
      <c r="N1051" t="inlineStr">
        <is>
          <t>Commercial</t>
        </is>
      </c>
      <c r="O1051" s="39" t="n">
        <v>7075.18</v>
      </c>
    </row>
    <row r="1052">
      <c r="A1052" t="inlineStr">
        <is>
          <t>ENC116540</t>
        </is>
      </c>
      <c r="B1052" t="inlineStr">
        <is>
          <t>PT12299</t>
        </is>
      </c>
      <c r="C1052" s="42" t="n">
        <v>45843</v>
      </c>
      <c r="D1052" s="42" t="n">
        <v>45856</v>
      </c>
      <c r="E1052" s="38" t="n">
        <v>13</v>
      </c>
      <c r="F1052" t="inlineStr">
        <is>
          <t>Inpatient</t>
        </is>
      </c>
      <c r="G1052" t="inlineStr">
        <is>
          <t>Cedar Ridge Medical Center</t>
        </is>
      </c>
      <c r="H1052" t="inlineStr">
        <is>
          <t>Medical-Surgical</t>
        </is>
      </c>
      <c r="I1052" t="inlineStr">
        <is>
          <t>Medicine</t>
        </is>
      </c>
      <c r="J1052" t="inlineStr">
        <is>
          <t>Hansen, Wei</t>
        </is>
      </c>
      <c r="K1052" t="inlineStr">
        <is>
          <t>A41.9</t>
        </is>
      </c>
      <c r="L1052" t="inlineStr">
        <is>
          <t>Infectious</t>
        </is>
      </c>
      <c r="M1052" t="inlineStr">
        <is>
          <t>Silverline Medicare Advantage</t>
        </is>
      </c>
      <c r="N1052" t="inlineStr">
        <is>
          <t>Medicare Advantage</t>
        </is>
      </c>
      <c r="O1052" s="39" t="n">
        <v>107346.74</v>
      </c>
      <c r="P1052" t="inlineStr">
        <is>
          <t>N</t>
        </is>
      </c>
    </row>
    <row r="1053">
      <c r="A1053" t="inlineStr">
        <is>
          <t>ENC116548</t>
        </is>
      </c>
      <c r="B1053" t="inlineStr">
        <is>
          <t>PT13561</t>
        </is>
      </c>
      <c r="C1053" s="42" t="n">
        <v>45844</v>
      </c>
      <c r="D1053" s="42" t="n">
        <v>45847</v>
      </c>
      <c r="E1053" s="38" t="n">
        <v>3</v>
      </c>
      <c r="F1053" t="inlineStr">
        <is>
          <t>Inpatient</t>
        </is>
      </c>
      <c r="G1053" t="inlineStr">
        <is>
          <t>Bluestone Memorial Hospital</t>
        </is>
      </c>
      <c r="H1053" t="inlineStr">
        <is>
          <t>Medical-Surgical 4 West</t>
        </is>
      </c>
      <c r="I1053" t="inlineStr">
        <is>
          <t>Medicine</t>
        </is>
      </c>
      <c r="J1053" t="inlineStr">
        <is>
          <t>Simpson, Kelly</t>
        </is>
      </c>
      <c r="K1053" t="inlineStr">
        <is>
          <t>E11.65</t>
        </is>
      </c>
      <c r="L1053" t="inlineStr">
        <is>
          <t>Endocrine</t>
        </is>
      </c>
      <c r="M1053" t="inlineStr">
        <is>
          <t>Keystone Health Partners</t>
        </is>
      </c>
      <c r="N1053" t="inlineStr">
        <is>
          <t>Commercial</t>
        </is>
      </c>
      <c r="O1053" s="39" t="n">
        <v>11975.83</v>
      </c>
      <c r="P1053" t="inlineStr">
        <is>
          <t>Y</t>
        </is>
      </c>
    </row>
    <row r="1054">
      <c r="A1054" t="inlineStr">
        <is>
          <t>ENC116555</t>
        </is>
      </c>
      <c r="B1054" t="inlineStr">
        <is>
          <t>PT12919</t>
        </is>
      </c>
      <c r="C1054" s="42" t="n">
        <v>45844</v>
      </c>
      <c r="D1054" s="42" t="n">
        <v>45844</v>
      </c>
      <c r="E1054" s="38" t="n">
        <v>0</v>
      </c>
      <c r="F1054" t="inlineStr">
        <is>
          <t>Emergency</t>
        </is>
      </c>
      <c r="G1054" t="inlineStr">
        <is>
          <t>Bluestone Memorial Hospital</t>
        </is>
      </c>
      <c r="H1054" t="inlineStr">
        <is>
          <t>Emergency Department</t>
        </is>
      </c>
      <c r="I1054" t="inlineStr">
        <is>
          <t>Emergency</t>
        </is>
      </c>
      <c r="J1054" t="inlineStr">
        <is>
          <t>Elliott, Jesse</t>
        </is>
      </c>
      <c r="K1054" t="inlineStr">
        <is>
          <t>J06.9</t>
        </is>
      </c>
      <c r="L1054" t="inlineStr">
        <is>
          <t>Respiratory</t>
        </is>
      </c>
      <c r="M1054" t="inlineStr">
        <is>
          <t>Medicare</t>
        </is>
      </c>
      <c r="N1054" t="inlineStr">
        <is>
          <t>Government</t>
        </is>
      </c>
      <c r="O1054" s="39" t="n">
        <v>588.78</v>
      </c>
    </row>
    <row r="1055">
      <c r="A1055" t="inlineStr">
        <is>
          <t>ENC116560</t>
        </is>
      </c>
      <c r="B1055" t="inlineStr">
        <is>
          <t>PT11300</t>
        </is>
      </c>
      <c r="C1055" s="42" t="n">
        <v>45845</v>
      </c>
      <c r="D1055" s="42" t="n">
        <v>45845</v>
      </c>
      <c r="E1055" s="38" t="n">
        <v>0</v>
      </c>
      <c r="F1055" t="inlineStr">
        <is>
          <t>Emergency</t>
        </is>
      </c>
      <c r="G1055" t="inlineStr">
        <is>
          <t>Bluestone Memorial Hospital</t>
        </is>
      </c>
      <c r="H1055" t="inlineStr">
        <is>
          <t>Emergency Department</t>
        </is>
      </c>
      <c r="I1055" t="inlineStr">
        <is>
          <t>Emergency</t>
        </is>
      </c>
      <c r="J1055" t="inlineStr">
        <is>
          <t>Vasquez, Bruce</t>
        </is>
      </c>
      <c r="K1055" t="inlineStr">
        <is>
          <t>R55</t>
        </is>
      </c>
      <c r="L1055" t="inlineStr">
        <is>
          <t>Symptoms &amp; Signs</t>
        </is>
      </c>
      <c r="M1055" t="inlineStr">
        <is>
          <t>Keystone Health Partners</t>
        </is>
      </c>
      <c r="N1055" t="inlineStr">
        <is>
          <t>Commercial</t>
        </is>
      </c>
      <c r="O1055" s="39" t="n">
        <v>1327.2</v>
      </c>
    </row>
    <row r="1056">
      <c r="A1056" t="inlineStr">
        <is>
          <t>ENC116572</t>
        </is>
      </c>
      <c r="B1056" t="inlineStr">
        <is>
          <t>PT13896</t>
        </is>
      </c>
      <c r="C1056" s="42" t="n">
        <v>45845</v>
      </c>
      <c r="D1056" s="42" t="n">
        <v>45845</v>
      </c>
      <c r="E1056" s="38" t="n">
        <v>0</v>
      </c>
      <c r="F1056" t="inlineStr">
        <is>
          <t>Outpatient</t>
        </is>
      </c>
      <c r="G1056" t="inlineStr">
        <is>
          <t>Bluestone Outpatient Pavilion</t>
        </is>
      </c>
      <c r="H1056" t="inlineStr">
        <is>
          <t>Primary Care Clinic</t>
        </is>
      </c>
      <c r="I1056" t="inlineStr">
        <is>
          <t>Ambulatory</t>
        </is>
      </c>
      <c r="J1056" t="inlineStr">
        <is>
          <t>Elliott, Douglas</t>
        </is>
      </c>
      <c r="K1056" t="inlineStr">
        <is>
          <t>G43.909</t>
        </is>
      </c>
      <c r="L1056" t="inlineStr">
        <is>
          <t>Nervous System</t>
        </is>
      </c>
      <c r="M1056" t="inlineStr">
        <is>
          <t>Evergreen Mutual Insurance</t>
        </is>
      </c>
      <c r="N1056" t="inlineStr">
        <is>
          <t>Commercial</t>
        </is>
      </c>
      <c r="O1056" s="39" t="n">
        <v>291.11</v>
      </c>
    </row>
    <row r="1057">
      <c r="A1057" t="inlineStr">
        <is>
          <t>ENC116590</t>
        </is>
      </c>
      <c r="B1057" t="inlineStr">
        <is>
          <t>PT11593</t>
        </is>
      </c>
      <c r="C1057" s="42" t="n">
        <v>45845</v>
      </c>
      <c r="D1057" s="42" t="n">
        <v>45845</v>
      </c>
      <c r="E1057" s="38" t="n">
        <v>0</v>
      </c>
      <c r="F1057" t="inlineStr">
        <is>
          <t>Emergency</t>
        </is>
      </c>
      <c r="G1057" t="inlineStr">
        <is>
          <t>Bluestone Memorial Hospital</t>
        </is>
      </c>
      <c r="H1057" t="inlineStr">
        <is>
          <t>Emergency Department</t>
        </is>
      </c>
      <c r="I1057" t="inlineStr">
        <is>
          <t>Emergency</t>
        </is>
      </c>
      <c r="J1057" t="inlineStr">
        <is>
          <t>Ferguson, Roy</t>
        </is>
      </c>
      <c r="K1057" t="inlineStr">
        <is>
          <t>J45.909</t>
        </is>
      </c>
      <c r="L1057" t="inlineStr">
        <is>
          <t>Respiratory</t>
        </is>
      </c>
      <c r="M1057" t="inlineStr">
        <is>
          <t>Evergreen Mutual Insurance</t>
        </is>
      </c>
      <c r="N1057" t="inlineStr">
        <is>
          <t>Commercial</t>
        </is>
      </c>
      <c r="O1057" s="39" t="n">
        <v>3299.64</v>
      </c>
    </row>
    <row r="1058">
      <c r="A1058" t="inlineStr">
        <is>
          <t>ENC116597</t>
        </is>
      </c>
      <c r="B1058" t="inlineStr">
        <is>
          <t>PT10804</t>
        </is>
      </c>
      <c r="C1058" s="42" t="n">
        <v>45846</v>
      </c>
      <c r="D1058" s="42" t="n">
        <v>45846</v>
      </c>
      <c r="E1058" s="38" t="n">
        <v>0</v>
      </c>
      <c r="F1058" t="inlineStr">
        <is>
          <t>Emergency</t>
        </is>
      </c>
      <c r="G1058" t="inlineStr">
        <is>
          <t>Cedar Ridge Medical Center</t>
        </is>
      </c>
      <c r="H1058" t="inlineStr">
        <is>
          <t>Emergency Department</t>
        </is>
      </c>
      <c r="I1058" t="inlineStr">
        <is>
          <t>Emergency</t>
        </is>
      </c>
      <c r="J1058" t="inlineStr">
        <is>
          <t>Warren, Victoria</t>
        </is>
      </c>
      <c r="K1058" t="inlineStr">
        <is>
          <t>J06.9</t>
        </is>
      </c>
      <c r="L1058" t="inlineStr">
        <is>
          <t>Respiratory</t>
        </is>
      </c>
      <c r="M1058" t="inlineStr">
        <is>
          <t>Keystone Health Partners</t>
        </is>
      </c>
      <c r="N1058" t="inlineStr">
        <is>
          <t>Commercial</t>
        </is>
      </c>
      <c r="O1058" s="39" t="n">
        <v>1467.54</v>
      </c>
    </row>
    <row r="1059">
      <c r="A1059" t="inlineStr">
        <is>
          <t>ENC116614</t>
        </is>
      </c>
      <c r="B1059" t="inlineStr">
        <is>
          <t>PT10233</t>
        </is>
      </c>
      <c r="C1059" s="42" t="n">
        <v>45846</v>
      </c>
      <c r="D1059" s="42" t="n">
        <v>45846</v>
      </c>
      <c r="E1059" s="38" t="n">
        <v>0</v>
      </c>
      <c r="F1059" t="inlineStr">
        <is>
          <t>Emergency</t>
        </is>
      </c>
      <c r="G1059" t="inlineStr">
        <is>
          <t>Bluestone Memorial Hospital</t>
        </is>
      </c>
      <c r="H1059" t="inlineStr">
        <is>
          <t>Emergency Department</t>
        </is>
      </c>
      <c r="I1059" t="inlineStr">
        <is>
          <t>Emergency</t>
        </is>
      </c>
      <c r="J1059" t="inlineStr">
        <is>
          <t>Myers, Doris</t>
        </is>
      </c>
      <c r="K1059" t="inlineStr">
        <is>
          <t>N39.0</t>
        </is>
      </c>
      <c r="L1059" t="inlineStr">
        <is>
          <t>Genitourinary</t>
        </is>
      </c>
      <c r="M1059" t="inlineStr">
        <is>
          <t>Summit Choice PPO</t>
        </is>
      </c>
      <c r="N1059" t="inlineStr">
        <is>
          <t>Commercial</t>
        </is>
      </c>
      <c r="O1059" s="39" t="n">
        <v>4584.87</v>
      </c>
    </row>
    <row r="1060">
      <c r="A1060" t="inlineStr">
        <is>
          <t>ENC116620</t>
        </is>
      </c>
      <c r="B1060" t="inlineStr">
        <is>
          <t>PT11975</t>
        </is>
      </c>
      <c r="C1060" s="42" t="n">
        <v>45846</v>
      </c>
      <c r="D1060" s="42" t="n">
        <v>45846</v>
      </c>
      <c r="E1060" s="38" t="n">
        <v>0</v>
      </c>
      <c r="F1060" t="inlineStr">
        <is>
          <t>Outpatient</t>
        </is>
      </c>
      <c r="G1060" t="inlineStr">
        <is>
          <t>Bluestone Outpatient Pavilion</t>
        </is>
      </c>
      <c r="H1060" t="inlineStr">
        <is>
          <t>Primary Care Clinic</t>
        </is>
      </c>
      <c r="I1060" t="inlineStr">
        <is>
          <t>Ambulatory</t>
        </is>
      </c>
      <c r="J1060" t="inlineStr">
        <is>
          <t>Fisher, Brandon</t>
        </is>
      </c>
      <c r="K1060" t="inlineStr">
        <is>
          <t>E78.5</t>
        </is>
      </c>
      <c r="L1060" t="inlineStr">
        <is>
          <t>Endocrine</t>
        </is>
      </c>
      <c r="M1060" t="inlineStr">
        <is>
          <t>Keystone Health Partners</t>
        </is>
      </c>
      <c r="N1060" t="inlineStr">
        <is>
          <t>Commercial</t>
        </is>
      </c>
      <c r="O1060" s="39" t="n">
        <v>156.54</v>
      </c>
    </row>
    <row r="1061">
      <c r="A1061" t="inlineStr">
        <is>
          <t>ENC116630</t>
        </is>
      </c>
      <c r="B1061" t="inlineStr">
        <is>
          <t>PT10081</t>
        </is>
      </c>
      <c r="C1061" s="42" t="n">
        <v>45847</v>
      </c>
      <c r="D1061" s="42" t="n">
        <v>45851</v>
      </c>
      <c r="E1061" s="38" t="n">
        <v>4</v>
      </c>
      <c r="F1061" t="inlineStr">
        <is>
          <t>Inpatient</t>
        </is>
      </c>
      <c r="G1061" t="inlineStr">
        <is>
          <t>Bluestone Memorial Hospital</t>
        </is>
      </c>
      <c r="H1061" t="inlineStr">
        <is>
          <t>Orthopedics &amp; Spine</t>
        </is>
      </c>
      <c r="I1061" t="inlineStr">
        <is>
          <t>Orthopedics</t>
        </is>
      </c>
      <c r="J1061" t="inlineStr">
        <is>
          <t>Woods, Pamela</t>
        </is>
      </c>
      <c r="K1061" t="inlineStr">
        <is>
          <t>M16.11</t>
        </is>
      </c>
      <c r="L1061" t="inlineStr">
        <is>
          <t>Musculoskeletal</t>
        </is>
      </c>
      <c r="M1061" t="inlineStr">
        <is>
          <t>Medicare</t>
        </is>
      </c>
      <c r="N1061" t="inlineStr">
        <is>
          <t>Government</t>
        </is>
      </c>
      <c r="O1061" s="39" t="n">
        <v>62384.76</v>
      </c>
      <c r="P1061" t="inlineStr">
        <is>
          <t>N</t>
        </is>
      </c>
    </row>
    <row r="1062">
      <c r="A1062" t="inlineStr">
        <is>
          <t>ENC116636</t>
        </is>
      </c>
      <c r="B1062" t="inlineStr">
        <is>
          <t>PT13672</t>
        </is>
      </c>
      <c r="C1062" s="42" t="n">
        <v>45847</v>
      </c>
      <c r="D1062" s="42" t="n">
        <v>45850</v>
      </c>
      <c r="E1062" s="38" t="n">
        <v>3</v>
      </c>
      <c r="F1062" t="inlineStr">
        <is>
          <t>Inpatient</t>
        </is>
      </c>
      <c r="G1062" t="inlineStr">
        <is>
          <t>Cedar Ridge Medical Center</t>
        </is>
      </c>
      <c r="H1062" t="inlineStr">
        <is>
          <t>Medical-Surgical</t>
        </is>
      </c>
      <c r="I1062" t="inlineStr">
        <is>
          <t>Medicine</t>
        </is>
      </c>
      <c r="J1062" t="inlineStr">
        <is>
          <t>Reyes, Harper</t>
        </is>
      </c>
      <c r="K1062" t="inlineStr">
        <is>
          <t>J18.9</t>
        </is>
      </c>
      <c r="L1062" t="inlineStr">
        <is>
          <t>Respiratory</t>
        </is>
      </c>
      <c r="M1062" t="inlineStr">
        <is>
          <t>Silverline Medicare Advantage</t>
        </is>
      </c>
      <c r="N1062" t="inlineStr">
        <is>
          <t>Medicare Advantage</t>
        </is>
      </c>
      <c r="O1062" s="39" t="n">
        <v>15946.42</v>
      </c>
      <c r="P1062" t="inlineStr">
        <is>
          <t>N</t>
        </is>
      </c>
    </row>
    <row r="1063">
      <c r="A1063" t="inlineStr">
        <is>
          <t>ENC116640</t>
        </is>
      </c>
      <c r="B1063" t="inlineStr">
        <is>
          <t>PT12481</t>
        </is>
      </c>
      <c r="C1063" s="42" t="n">
        <v>45847</v>
      </c>
      <c r="D1063" s="42" t="n">
        <v>45851</v>
      </c>
      <c r="E1063" s="38" t="n">
        <v>4</v>
      </c>
      <c r="F1063" t="inlineStr">
        <is>
          <t>Inpatient</t>
        </is>
      </c>
      <c r="G1063" t="inlineStr">
        <is>
          <t>Bluestone Memorial Hospital</t>
        </is>
      </c>
      <c r="H1063" t="inlineStr">
        <is>
          <t>Medical-Surgical 4 West</t>
        </is>
      </c>
      <c r="I1063" t="inlineStr">
        <is>
          <t>Medicine</t>
        </is>
      </c>
      <c r="J1063" t="inlineStr">
        <is>
          <t>Ramirez, Emma</t>
        </is>
      </c>
      <c r="K1063" t="inlineStr">
        <is>
          <t>A41.9</t>
        </is>
      </c>
      <c r="L1063" t="inlineStr">
        <is>
          <t>Infectious</t>
        </is>
      </c>
      <c r="M1063" t="inlineStr">
        <is>
          <t>Keystone Health Partners</t>
        </is>
      </c>
      <c r="N1063" t="inlineStr">
        <is>
          <t>Commercial</t>
        </is>
      </c>
      <c r="O1063" s="39" t="n">
        <v>38082.66</v>
      </c>
      <c r="P1063" t="inlineStr">
        <is>
          <t>N</t>
        </is>
      </c>
    </row>
    <row r="1064">
      <c r="A1064" t="inlineStr">
        <is>
          <t>ENC116646</t>
        </is>
      </c>
      <c r="B1064" t="inlineStr">
        <is>
          <t>PT10740</t>
        </is>
      </c>
      <c r="C1064" s="42" t="n">
        <v>45847</v>
      </c>
      <c r="D1064" s="42" t="n">
        <v>45850</v>
      </c>
      <c r="E1064" s="38" t="n">
        <v>3</v>
      </c>
      <c r="F1064" t="inlineStr">
        <is>
          <t>Inpatient</t>
        </is>
      </c>
      <c r="G1064" t="inlineStr">
        <is>
          <t>Bluestone Memorial Hospital</t>
        </is>
      </c>
      <c r="H1064" t="inlineStr">
        <is>
          <t>Cardiac Step-Down</t>
        </is>
      </c>
      <c r="I1064" t="inlineStr">
        <is>
          <t>Cardiovascular</t>
        </is>
      </c>
      <c r="J1064" t="inlineStr">
        <is>
          <t>Taylor, Jonathan</t>
        </is>
      </c>
      <c r="K1064" t="inlineStr">
        <is>
          <t>I50.9</t>
        </is>
      </c>
      <c r="L1064" t="inlineStr">
        <is>
          <t>Circulatory</t>
        </is>
      </c>
      <c r="M1064" t="inlineStr">
        <is>
          <t>Keystone Health Partners</t>
        </is>
      </c>
      <c r="N1064" t="inlineStr">
        <is>
          <t>Commercial</t>
        </is>
      </c>
      <c r="O1064" s="39" t="n">
        <v>18036.8</v>
      </c>
      <c r="P1064" t="inlineStr">
        <is>
          <t>N</t>
        </is>
      </c>
    </row>
    <row r="1065">
      <c r="A1065" t="inlineStr">
        <is>
          <t>ENC116663</t>
        </is>
      </c>
      <c r="B1065" t="inlineStr">
        <is>
          <t>PT10135</t>
        </is>
      </c>
      <c r="C1065" s="42" t="n">
        <v>45847</v>
      </c>
      <c r="D1065" s="42" t="n">
        <v>45851</v>
      </c>
      <c r="E1065" s="38" t="n">
        <v>4</v>
      </c>
      <c r="F1065" t="inlineStr">
        <is>
          <t>Inpatient</t>
        </is>
      </c>
      <c r="G1065" t="inlineStr">
        <is>
          <t>Ashby Falls Community Hospital</t>
        </is>
      </c>
      <c r="H1065" t="inlineStr">
        <is>
          <t>Medical-Surgical</t>
        </is>
      </c>
      <c r="I1065" t="inlineStr">
        <is>
          <t>Medicine</t>
        </is>
      </c>
      <c r="J1065" t="inlineStr">
        <is>
          <t>Carroll, Philip</t>
        </is>
      </c>
      <c r="K1065" t="inlineStr">
        <is>
          <t>J44.1</t>
        </is>
      </c>
      <c r="L1065" t="inlineStr">
        <is>
          <t>Respiratory</t>
        </is>
      </c>
      <c r="M1065" t="inlineStr">
        <is>
          <t>State Medicaid</t>
        </is>
      </c>
      <c r="N1065" t="inlineStr">
        <is>
          <t>Government</t>
        </is>
      </c>
      <c r="O1065" s="39" t="n">
        <v>18304.28</v>
      </c>
      <c r="P1065" t="inlineStr">
        <is>
          <t>N</t>
        </is>
      </c>
    </row>
    <row r="1066">
      <c r="A1066" t="inlineStr">
        <is>
          <t>ENC116670</t>
        </is>
      </c>
      <c r="B1066" t="inlineStr">
        <is>
          <t>PT12511</t>
        </is>
      </c>
      <c r="C1066" s="42" t="n">
        <v>45848</v>
      </c>
      <c r="D1066" s="42" t="n">
        <v>45848</v>
      </c>
      <c r="E1066" s="38" t="n">
        <v>0</v>
      </c>
      <c r="F1066" t="inlineStr">
        <is>
          <t>Emergency</t>
        </is>
      </c>
      <c r="G1066" t="inlineStr">
        <is>
          <t>Bluestone Memorial Hospital</t>
        </is>
      </c>
      <c r="H1066" t="inlineStr">
        <is>
          <t>Emergency Department</t>
        </is>
      </c>
      <c r="I1066" t="inlineStr">
        <is>
          <t>Emergency</t>
        </is>
      </c>
      <c r="J1066" t="inlineStr">
        <is>
          <t>Foster, Patrick</t>
        </is>
      </c>
      <c r="K1066" t="inlineStr">
        <is>
          <t>I10</t>
        </is>
      </c>
      <c r="L1066" t="inlineStr">
        <is>
          <t>Circulatory</t>
        </is>
      </c>
      <c r="M1066" t="inlineStr">
        <is>
          <t>Silverline Medicare Advantage</t>
        </is>
      </c>
      <c r="N1066" t="inlineStr">
        <is>
          <t>Medicare Advantage</t>
        </is>
      </c>
      <c r="O1066" s="39" t="n">
        <v>1338.09</v>
      </c>
    </row>
    <row r="1067">
      <c r="A1067" t="inlineStr">
        <is>
          <t>ENC116674</t>
        </is>
      </c>
      <c r="B1067" t="inlineStr">
        <is>
          <t>PT11660</t>
        </is>
      </c>
      <c r="C1067" s="42" t="n">
        <v>45848</v>
      </c>
      <c r="D1067" s="42" t="n">
        <v>45848</v>
      </c>
      <c r="E1067" s="38" t="n">
        <v>0</v>
      </c>
      <c r="F1067" t="inlineStr">
        <is>
          <t>Outpatient</t>
        </is>
      </c>
      <c r="G1067" t="inlineStr">
        <is>
          <t>Bluestone Outpatient Pavilion</t>
        </is>
      </c>
      <c r="H1067" t="inlineStr">
        <is>
          <t>Primary Care Clinic</t>
        </is>
      </c>
      <c r="I1067" t="inlineStr">
        <is>
          <t>Ambulatory</t>
        </is>
      </c>
      <c r="J1067" t="inlineStr">
        <is>
          <t>Fisher, Brandon</t>
        </is>
      </c>
      <c r="K1067" t="inlineStr">
        <is>
          <t>I10</t>
        </is>
      </c>
      <c r="L1067" t="inlineStr">
        <is>
          <t>Circulatory</t>
        </is>
      </c>
      <c r="M1067" t="inlineStr">
        <is>
          <t>Medicare</t>
        </is>
      </c>
      <c r="N1067" t="inlineStr">
        <is>
          <t>Government</t>
        </is>
      </c>
      <c r="O1067" s="39" t="n">
        <v>476.84</v>
      </c>
    </row>
    <row r="1068">
      <c r="A1068" t="inlineStr">
        <is>
          <t>ENC116684</t>
        </is>
      </c>
      <c r="B1068" t="inlineStr">
        <is>
          <t>PT10382</t>
        </is>
      </c>
      <c r="C1068" s="42" t="n">
        <v>45848</v>
      </c>
      <c r="D1068" s="42" t="n">
        <v>45848</v>
      </c>
      <c r="E1068" s="38" t="n">
        <v>0</v>
      </c>
      <c r="F1068" t="inlineStr">
        <is>
          <t>Outpatient</t>
        </is>
      </c>
      <c r="G1068" t="inlineStr">
        <is>
          <t>Bluestone Outpatient Pavilion</t>
        </is>
      </c>
      <c r="H1068" t="inlineStr">
        <is>
          <t>Pediatric Clinic</t>
        </is>
      </c>
      <c r="I1068" t="inlineStr">
        <is>
          <t>Women &amp; Children</t>
        </is>
      </c>
      <c r="J1068" t="inlineStr">
        <is>
          <t>Wallace, Kevin</t>
        </is>
      </c>
      <c r="K1068" t="inlineStr">
        <is>
          <t>Z00.129</t>
        </is>
      </c>
      <c r="L1068" t="inlineStr">
        <is>
          <t>Factors Influencing Health</t>
        </is>
      </c>
      <c r="M1068" t="inlineStr">
        <is>
          <t>Self-Pay</t>
        </is>
      </c>
      <c r="N1068" t="inlineStr">
        <is>
          <t>Self-Pay</t>
        </is>
      </c>
      <c r="O1068" s="39" t="n">
        <v>585.95</v>
      </c>
    </row>
    <row r="1069">
      <c r="A1069" t="inlineStr">
        <is>
          <t>ENC116689</t>
        </is>
      </c>
      <c r="B1069" t="inlineStr">
        <is>
          <t>PT12391</t>
        </is>
      </c>
      <c r="C1069" s="42" t="n">
        <v>45848</v>
      </c>
      <c r="D1069" s="42" t="n">
        <v>45848</v>
      </c>
      <c r="E1069" s="38" t="n">
        <v>0</v>
      </c>
      <c r="F1069" t="inlineStr">
        <is>
          <t>Outpatient</t>
        </is>
      </c>
      <c r="G1069" t="inlineStr">
        <is>
          <t>Bluestone Outpatient Pavilion</t>
        </is>
      </c>
      <c r="H1069" t="inlineStr">
        <is>
          <t>Pediatric Clinic</t>
        </is>
      </c>
      <c r="I1069" t="inlineStr">
        <is>
          <t>Women &amp; Children</t>
        </is>
      </c>
      <c r="J1069" t="inlineStr">
        <is>
          <t>Alvarez, Susan</t>
        </is>
      </c>
      <c r="K1069" t="inlineStr">
        <is>
          <t>H66.90</t>
        </is>
      </c>
      <c r="L1069" t="inlineStr">
        <is>
          <t>Ear</t>
        </is>
      </c>
      <c r="M1069" t="inlineStr">
        <is>
          <t>State Medicaid</t>
        </is>
      </c>
      <c r="N1069" t="inlineStr">
        <is>
          <t>Government</t>
        </is>
      </c>
      <c r="O1069" s="39" t="n">
        <v>229.11</v>
      </c>
    </row>
    <row r="1070">
      <c r="A1070" t="inlineStr">
        <is>
          <t>ENC116696</t>
        </is>
      </c>
      <c r="B1070" t="inlineStr">
        <is>
          <t>PT12676</t>
        </is>
      </c>
      <c r="C1070" s="42" t="n">
        <v>45848</v>
      </c>
      <c r="D1070" s="42" t="n">
        <v>45848</v>
      </c>
      <c r="E1070" s="38" t="n">
        <v>0</v>
      </c>
      <c r="F1070" t="inlineStr">
        <is>
          <t>Emergency</t>
        </is>
      </c>
      <c r="G1070" t="inlineStr">
        <is>
          <t>Bluestone Memorial Hospital</t>
        </is>
      </c>
      <c r="H1070" t="inlineStr">
        <is>
          <t>Emergency Department</t>
        </is>
      </c>
      <c r="I1070" t="inlineStr">
        <is>
          <t>Emergency</t>
        </is>
      </c>
      <c r="J1070" t="inlineStr">
        <is>
          <t>Payne, Nancy</t>
        </is>
      </c>
      <c r="K1070" t="inlineStr">
        <is>
          <t>R07.9</t>
        </is>
      </c>
      <c r="L1070" t="inlineStr">
        <is>
          <t>Symptoms &amp; Signs</t>
        </is>
      </c>
      <c r="M1070" t="inlineStr">
        <is>
          <t>Medicare</t>
        </is>
      </c>
      <c r="N1070" t="inlineStr">
        <is>
          <t>Government</t>
        </is>
      </c>
      <c r="O1070" s="39" t="n">
        <v>3249.97</v>
      </c>
    </row>
    <row r="1071">
      <c r="A1071" t="inlineStr">
        <is>
          <t>ENC116707</t>
        </is>
      </c>
      <c r="B1071" t="inlineStr">
        <is>
          <t>PT10736</t>
        </is>
      </c>
      <c r="C1071" s="42" t="n">
        <v>45849</v>
      </c>
      <c r="D1071" s="42" t="n">
        <v>45849</v>
      </c>
      <c r="E1071" s="38" t="n">
        <v>0</v>
      </c>
      <c r="F1071" t="inlineStr">
        <is>
          <t>Emergency</t>
        </is>
      </c>
      <c r="G1071" t="inlineStr">
        <is>
          <t>Cedar Ridge Medical Center</t>
        </is>
      </c>
      <c r="H1071" t="inlineStr">
        <is>
          <t>Emergency Department</t>
        </is>
      </c>
      <c r="I1071" t="inlineStr">
        <is>
          <t>Emergency</t>
        </is>
      </c>
      <c r="J1071" t="inlineStr">
        <is>
          <t>Schmidt, Anna</t>
        </is>
      </c>
      <c r="K1071" t="inlineStr">
        <is>
          <t>M54.50</t>
        </is>
      </c>
      <c r="L1071" t="inlineStr">
        <is>
          <t>Musculoskeletal</t>
        </is>
      </c>
      <c r="M1071" t="inlineStr">
        <is>
          <t>Keystone Health Partners</t>
        </is>
      </c>
      <c r="N1071" t="inlineStr">
        <is>
          <t>Commercial</t>
        </is>
      </c>
      <c r="O1071" s="39" t="n">
        <v>1653.8</v>
      </c>
    </row>
    <row r="1072">
      <c r="A1072" t="inlineStr">
        <is>
          <t>ENC116710</t>
        </is>
      </c>
      <c r="B1072" t="inlineStr">
        <is>
          <t>PT11981</t>
        </is>
      </c>
      <c r="C1072" s="42" t="n">
        <v>45849</v>
      </c>
      <c r="D1072" s="42" t="n">
        <v>45849</v>
      </c>
      <c r="E1072" s="38" t="n">
        <v>0</v>
      </c>
      <c r="F1072" t="inlineStr">
        <is>
          <t>Outpatient</t>
        </is>
      </c>
      <c r="G1072" t="inlineStr">
        <is>
          <t>Bluestone Outpatient Pavilion</t>
        </is>
      </c>
      <c r="H1072" t="inlineStr">
        <is>
          <t>Endocrinology &amp; Diabetes Clinic</t>
        </is>
      </c>
      <c r="I1072" t="inlineStr">
        <is>
          <t>Ambulatory</t>
        </is>
      </c>
      <c r="J1072" t="inlineStr">
        <is>
          <t>Rivera, Scott</t>
        </is>
      </c>
      <c r="K1072" t="inlineStr">
        <is>
          <t>E11.9</t>
        </is>
      </c>
      <c r="L1072" t="inlineStr">
        <is>
          <t>Endocrine</t>
        </is>
      </c>
      <c r="M1072" t="inlineStr">
        <is>
          <t>Medicare</t>
        </is>
      </c>
      <c r="N1072" t="inlineStr">
        <is>
          <t>Government</t>
        </is>
      </c>
      <c r="O1072" s="39" t="n">
        <v>319.78</v>
      </c>
    </row>
    <row r="1073">
      <c r="A1073" t="inlineStr">
        <is>
          <t>ENC116717</t>
        </is>
      </c>
      <c r="B1073" t="inlineStr">
        <is>
          <t>PT11389</t>
        </is>
      </c>
      <c r="C1073" s="42" t="n">
        <v>45849</v>
      </c>
      <c r="D1073" s="42" t="n">
        <v>45849</v>
      </c>
      <c r="E1073" s="38" t="n">
        <v>0</v>
      </c>
      <c r="F1073" t="inlineStr">
        <is>
          <t>Outpatient</t>
        </is>
      </c>
      <c r="G1073" t="inlineStr">
        <is>
          <t>Bluestone Outpatient Pavilion</t>
        </is>
      </c>
      <c r="H1073" t="inlineStr">
        <is>
          <t>Pediatric Clinic</t>
        </is>
      </c>
      <c r="I1073" t="inlineStr">
        <is>
          <t>Women &amp; Children</t>
        </is>
      </c>
      <c r="J1073" t="inlineStr">
        <is>
          <t>Brown, Stephanie</t>
        </is>
      </c>
      <c r="K1073" t="inlineStr">
        <is>
          <t>H66.90</t>
        </is>
      </c>
      <c r="L1073" t="inlineStr">
        <is>
          <t>Ear</t>
        </is>
      </c>
      <c r="M1073" t="inlineStr">
        <is>
          <t>Keystone Health Partners</t>
        </is>
      </c>
      <c r="N1073" t="inlineStr">
        <is>
          <t>Commercial</t>
        </is>
      </c>
      <c r="O1073" s="39" t="n">
        <v>448</v>
      </c>
    </row>
    <row r="1074">
      <c r="A1074" t="inlineStr">
        <is>
          <t>ENC116720</t>
        </is>
      </c>
      <c r="B1074" t="inlineStr">
        <is>
          <t>PT12840</t>
        </is>
      </c>
      <c r="C1074" s="42" t="n">
        <v>45849</v>
      </c>
      <c r="D1074" s="42" t="n">
        <v>45849</v>
      </c>
      <c r="E1074" s="38" t="n">
        <v>0</v>
      </c>
      <c r="F1074" t="inlineStr">
        <is>
          <t>Outpatient</t>
        </is>
      </c>
      <c r="G1074" t="inlineStr">
        <is>
          <t>Bluestone Outpatient Pavilion</t>
        </is>
      </c>
      <c r="H1074" t="inlineStr">
        <is>
          <t>Pediatric Clinic</t>
        </is>
      </c>
      <c r="I1074" t="inlineStr">
        <is>
          <t>Women &amp; Children</t>
        </is>
      </c>
      <c r="J1074" t="inlineStr">
        <is>
          <t>Herrera, Christian</t>
        </is>
      </c>
      <c r="K1074" t="inlineStr">
        <is>
          <t>Z00.129</t>
        </is>
      </c>
      <c r="L1074" t="inlineStr">
        <is>
          <t>Factors Influencing Health</t>
        </is>
      </c>
      <c r="M1074" t="inlineStr">
        <is>
          <t>Keystone Health Partners</t>
        </is>
      </c>
      <c r="N1074" t="inlineStr">
        <is>
          <t>Commercial</t>
        </is>
      </c>
      <c r="O1074" s="39" t="n">
        <v>402.47</v>
      </c>
    </row>
    <row r="1075">
      <c r="A1075" t="inlineStr">
        <is>
          <t>ENC116722</t>
        </is>
      </c>
      <c r="B1075" t="inlineStr">
        <is>
          <t>PT13783</t>
        </is>
      </c>
      <c r="C1075" s="42" t="n">
        <v>45849</v>
      </c>
      <c r="D1075" s="42" t="n">
        <v>45852</v>
      </c>
      <c r="E1075" s="38" t="n">
        <v>3</v>
      </c>
      <c r="F1075" t="inlineStr">
        <is>
          <t>Inpatient</t>
        </is>
      </c>
      <c r="G1075" t="inlineStr">
        <is>
          <t>Bluestone Memorial Hospital</t>
        </is>
      </c>
      <c r="H1075" t="inlineStr">
        <is>
          <t>Medical-Surgical 5 East</t>
        </is>
      </c>
      <c r="I1075" t="inlineStr">
        <is>
          <t>Medicine</t>
        </is>
      </c>
      <c r="J1075" t="inlineStr">
        <is>
          <t>Ramirez, Jordan</t>
        </is>
      </c>
      <c r="K1075" t="inlineStr">
        <is>
          <t>K56.609</t>
        </is>
      </c>
      <c r="L1075" t="inlineStr">
        <is>
          <t>Digestive</t>
        </is>
      </c>
      <c r="M1075" t="inlineStr">
        <is>
          <t>State Medicaid</t>
        </is>
      </c>
      <c r="N1075" t="inlineStr">
        <is>
          <t>Government</t>
        </is>
      </c>
      <c r="O1075" s="39" t="n">
        <v>20511.95</v>
      </c>
      <c r="P1075" t="inlineStr">
        <is>
          <t>N</t>
        </is>
      </c>
    </row>
    <row r="1076">
      <c r="A1076" t="inlineStr">
        <is>
          <t>ENC116723</t>
        </is>
      </c>
      <c r="B1076" t="inlineStr">
        <is>
          <t>PT13985</t>
        </is>
      </c>
      <c r="C1076" s="42" t="n">
        <v>45849</v>
      </c>
      <c r="D1076" s="42" t="n">
        <v>45852</v>
      </c>
      <c r="E1076" s="38" t="n">
        <v>3</v>
      </c>
      <c r="F1076" t="inlineStr">
        <is>
          <t>Inpatient</t>
        </is>
      </c>
      <c r="G1076" t="inlineStr">
        <is>
          <t>Bluestone Memorial Hospital</t>
        </is>
      </c>
      <c r="H1076" t="inlineStr">
        <is>
          <t>Medical-Surgical 4 West</t>
        </is>
      </c>
      <c r="I1076" t="inlineStr">
        <is>
          <t>Medicine</t>
        </is>
      </c>
      <c r="J1076" t="inlineStr">
        <is>
          <t>Hunt, Richard</t>
        </is>
      </c>
      <c r="K1076" t="inlineStr">
        <is>
          <t>N39.0</t>
        </is>
      </c>
      <c r="L1076" t="inlineStr">
        <is>
          <t>Genitourinary</t>
        </is>
      </c>
      <c r="M1076" t="inlineStr">
        <is>
          <t>Medicare</t>
        </is>
      </c>
      <c r="N1076" t="inlineStr">
        <is>
          <t>Government</t>
        </is>
      </c>
      <c r="O1076" s="39" t="n">
        <v>19189.7</v>
      </c>
      <c r="P1076" t="inlineStr">
        <is>
          <t>N</t>
        </is>
      </c>
    </row>
    <row r="1077">
      <c r="A1077" t="inlineStr">
        <is>
          <t>ENC116733</t>
        </is>
      </c>
      <c r="B1077" t="inlineStr">
        <is>
          <t>PT13889</t>
        </is>
      </c>
      <c r="C1077" s="42" t="n">
        <v>45849</v>
      </c>
      <c r="D1077" s="42" t="n">
        <v>45849</v>
      </c>
      <c r="E1077" s="38" t="n">
        <v>0</v>
      </c>
      <c r="F1077" t="inlineStr">
        <is>
          <t>Emergency</t>
        </is>
      </c>
      <c r="G1077" t="inlineStr">
        <is>
          <t>Cedar Ridge Medical Center</t>
        </is>
      </c>
      <c r="H1077" t="inlineStr">
        <is>
          <t>Emergency Department</t>
        </is>
      </c>
      <c r="I1077" t="inlineStr">
        <is>
          <t>Emergency</t>
        </is>
      </c>
      <c r="J1077" t="inlineStr">
        <is>
          <t>Schmidt, Anna</t>
        </is>
      </c>
      <c r="K1077" t="inlineStr">
        <is>
          <t>N39.0</t>
        </is>
      </c>
      <c r="L1077" t="inlineStr">
        <is>
          <t>Genitourinary</t>
        </is>
      </c>
      <c r="M1077" t="inlineStr">
        <is>
          <t>Self-Pay</t>
        </is>
      </c>
      <c r="N1077" t="inlineStr">
        <is>
          <t>Self-Pay</t>
        </is>
      </c>
      <c r="O1077" s="39" t="n">
        <v>3428.33</v>
      </c>
    </row>
    <row r="1078">
      <c r="A1078" t="inlineStr">
        <is>
          <t>ENC116735</t>
        </is>
      </c>
      <c r="B1078" t="inlineStr">
        <is>
          <t>PT13293</t>
        </is>
      </c>
      <c r="C1078" s="42" t="n">
        <v>45850</v>
      </c>
      <c r="D1078" s="42" t="n">
        <v>45853</v>
      </c>
      <c r="E1078" s="38" t="n">
        <v>3</v>
      </c>
      <c r="F1078" t="inlineStr">
        <is>
          <t>Inpatient</t>
        </is>
      </c>
      <c r="G1078" t="inlineStr">
        <is>
          <t>Bluestone Memorial Hospital</t>
        </is>
      </c>
      <c r="H1078" t="inlineStr">
        <is>
          <t>Neuroscience &amp; Stroke</t>
        </is>
      </c>
      <c r="I1078" t="inlineStr">
        <is>
          <t>Neuroscience</t>
        </is>
      </c>
      <c r="J1078" t="inlineStr">
        <is>
          <t>Garcia, Alexis</t>
        </is>
      </c>
      <c r="K1078" t="inlineStr">
        <is>
          <t>G40.909</t>
        </is>
      </c>
      <c r="L1078" t="inlineStr">
        <is>
          <t>Nervous System</t>
        </is>
      </c>
      <c r="M1078" t="inlineStr">
        <is>
          <t>Silverline Medicare Advantage</t>
        </is>
      </c>
      <c r="N1078" t="inlineStr">
        <is>
          <t>Medicare Advantage</t>
        </is>
      </c>
      <c r="O1078" s="39" t="n">
        <v>35077.26</v>
      </c>
      <c r="P1078" t="inlineStr">
        <is>
          <t>N</t>
        </is>
      </c>
    </row>
    <row r="1079">
      <c r="A1079" t="inlineStr">
        <is>
          <t>ENC116738</t>
        </is>
      </c>
      <c r="B1079" t="inlineStr">
        <is>
          <t>PT12551</t>
        </is>
      </c>
      <c r="C1079" s="42" t="n">
        <v>45850</v>
      </c>
      <c r="D1079" s="42" t="n">
        <v>45850</v>
      </c>
      <c r="E1079" s="38" t="n">
        <v>0</v>
      </c>
      <c r="F1079" t="inlineStr">
        <is>
          <t>Emergency</t>
        </is>
      </c>
      <c r="G1079" t="inlineStr">
        <is>
          <t>Ashby Falls Community Hospital</t>
        </is>
      </c>
      <c r="H1079" t="inlineStr">
        <is>
          <t>Emergency Department</t>
        </is>
      </c>
      <c r="I1079" t="inlineStr">
        <is>
          <t>Emergency</t>
        </is>
      </c>
      <c r="J1079" t="inlineStr">
        <is>
          <t>Richardson, Mei</t>
        </is>
      </c>
      <c r="K1079" t="inlineStr">
        <is>
          <t>R55</t>
        </is>
      </c>
      <c r="L1079" t="inlineStr">
        <is>
          <t>Symptoms &amp; Signs</t>
        </is>
      </c>
      <c r="M1079" t="inlineStr">
        <is>
          <t>Medicare</t>
        </is>
      </c>
      <c r="N1079" t="inlineStr">
        <is>
          <t>Government</t>
        </is>
      </c>
      <c r="O1079" s="39" t="n">
        <v>3105.6</v>
      </c>
    </row>
    <row r="1080">
      <c r="A1080" t="inlineStr">
        <is>
          <t>ENC116745</t>
        </is>
      </c>
      <c r="B1080" t="inlineStr">
        <is>
          <t>PT13563</t>
        </is>
      </c>
      <c r="C1080" s="42" t="n">
        <v>45850</v>
      </c>
      <c r="D1080" s="42" t="n">
        <v>45853</v>
      </c>
      <c r="E1080" s="38" t="n">
        <v>3</v>
      </c>
      <c r="F1080" t="inlineStr">
        <is>
          <t>Inpatient</t>
        </is>
      </c>
      <c r="G1080" t="inlineStr">
        <is>
          <t>Ashby Falls Community Hospital</t>
        </is>
      </c>
      <c r="H1080" t="inlineStr">
        <is>
          <t>Medical-Surgical</t>
        </is>
      </c>
      <c r="I1080" t="inlineStr">
        <is>
          <t>Medicine</t>
        </is>
      </c>
      <c r="J1080" t="inlineStr">
        <is>
          <t>Murray, Stephanie</t>
        </is>
      </c>
      <c r="K1080" t="inlineStr">
        <is>
          <t>I21.4</t>
        </is>
      </c>
      <c r="L1080" t="inlineStr">
        <is>
          <t>Circulatory</t>
        </is>
      </c>
      <c r="M1080" t="inlineStr">
        <is>
          <t>Medicare</t>
        </is>
      </c>
      <c r="N1080" t="inlineStr">
        <is>
          <t>Government</t>
        </is>
      </c>
      <c r="O1080" s="39" t="n">
        <v>53999.01</v>
      </c>
      <c r="P1080" t="inlineStr">
        <is>
          <t>N</t>
        </is>
      </c>
    </row>
    <row r="1081">
      <c r="A1081" t="inlineStr">
        <is>
          <t>ENC116763</t>
        </is>
      </c>
      <c r="B1081" t="inlineStr">
        <is>
          <t>PT10879</t>
        </is>
      </c>
      <c r="C1081" s="42" t="n">
        <v>45851</v>
      </c>
      <c r="D1081" s="42" t="n">
        <v>45853</v>
      </c>
      <c r="E1081" s="38" t="n">
        <v>2</v>
      </c>
      <c r="F1081" t="inlineStr">
        <is>
          <t>Inpatient</t>
        </is>
      </c>
      <c r="G1081" t="inlineStr">
        <is>
          <t>Ashby Falls Community Hospital</t>
        </is>
      </c>
      <c r="H1081" t="inlineStr">
        <is>
          <t>Medical-Surgical</t>
        </is>
      </c>
      <c r="I1081" t="inlineStr">
        <is>
          <t>Medicine</t>
        </is>
      </c>
      <c r="J1081" t="inlineStr">
        <is>
          <t>Carroll, Philip</t>
        </is>
      </c>
      <c r="K1081" t="inlineStr">
        <is>
          <t>E11.65</t>
        </is>
      </c>
      <c r="L1081" t="inlineStr">
        <is>
          <t>Endocrine</t>
        </is>
      </c>
      <c r="M1081" t="inlineStr">
        <is>
          <t>Medicare</t>
        </is>
      </c>
      <c r="N1081" t="inlineStr">
        <is>
          <t>Government</t>
        </is>
      </c>
      <c r="O1081" s="39" t="n">
        <v>8007.68</v>
      </c>
      <c r="P1081" t="inlineStr">
        <is>
          <t>N</t>
        </is>
      </c>
    </row>
    <row r="1082">
      <c r="A1082" t="inlineStr">
        <is>
          <t>ENC116766</t>
        </is>
      </c>
      <c r="B1082" t="inlineStr">
        <is>
          <t>PT10609</t>
        </is>
      </c>
      <c r="C1082" s="42" t="n">
        <v>45851</v>
      </c>
      <c r="D1082" s="42" t="n">
        <v>45851</v>
      </c>
      <c r="E1082" s="38" t="n">
        <v>0</v>
      </c>
      <c r="F1082" t="inlineStr">
        <is>
          <t>Emergency</t>
        </is>
      </c>
      <c r="G1082" t="inlineStr">
        <is>
          <t>Bluestone Memorial Hospital</t>
        </is>
      </c>
      <c r="H1082" t="inlineStr">
        <is>
          <t>Emergency Department</t>
        </is>
      </c>
      <c r="I1082" t="inlineStr">
        <is>
          <t>Emergency</t>
        </is>
      </c>
      <c r="J1082" t="inlineStr">
        <is>
          <t>Elliott, Jesse</t>
        </is>
      </c>
      <c r="K1082" t="inlineStr">
        <is>
          <t>J45.909</t>
        </is>
      </c>
      <c r="L1082" t="inlineStr">
        <is>
          <t>Respiratory</t>
        </is>
      </c>
      <c r="M1082" t="inlineStr">
        <is>
          <t>Keystone Health Partners</t>
        </is>
      </c>
      <c r="N1082" t="inlineStr">
        <is>
          <t>Commercial</t>
        </is>
      </c>
      <c r="O1082" s="39" t="n">
        <v>1426.26</v>
      </c>
    </row>
    <row r="1083">
      <c r="A1083" t="inlineStr">
        <is>
          <t>ENC116777</t>
        </is>
      </c>
      <c r="B1083" t="inlineStr">
        <is>
          <t>PT11595</t>
        </is>
      </c>
      <c r="C1083" s="42" t="n">
        <v>45852</v>
      </c>
      <c r="D1083" s="42" t="n">
        <v>45852</v>
      </c>
      <c r="E1083" s="38" t="n">
        <v>0</v>
      </c>
      <c r="F1083" t="inlineStr">
        <is>
          <t>Emergency</t>
        </is>
      </c>
      <c r="G1083" t="inlineStr">
        <is>
          <t>Bluestone Memorial Hospital</t>
        </is>
      </c>
      <c r="H1083" t="inlineStr">
        <is>
          <t>Emergency Department</t>
        </is>
      </c>
      <c r="I1083" t="inlineStr">
        <is>
          <t>Emergency</t>
        </is>
      </c>
      <c r="J1083" t="inlineStr">
        <is>
          <t>Vasquez, Bruce</t>
        </is>
      </c>
      <c r="K1083" t="inlineStr">
        <is>
          <t>R10.9</t>
        </is>
      </c>
      <c r="L1083" t="inlineStr">
        <is>
          <t>Symptoms &amp; Signs</t>
        </is>
      </c>
      <c r="M1083" t="inlineStr">
        <is>
          <t>State Medicaid</t>
        </is>
      </c>
      <c r="N1083" t="inlineStr">
        <is>
          <t>Government</t>
        </is>
      </c>
      <c r="O1083" s="39" t="n">
        <v>3176.88</v>
      </c>
    </row>
    <row r="1084">
      <c r="A1084" t="inlineStr">
        <is>
          <t>ENC116784</t>
        </is>
      </c>
      <c r="B1084" t="inlineStr">
        <is>
          <t>PT12389</t>
        </is>
      </c>
      <c r="C1084" s="42" t="n">
        <v>45852</v>
      </c>
      <c r="D1084" s="42" t="n">
        <v>45852</v>
      </c>
      <c r="E1084" s="38" t="n">
        <v>0</v>
      </c>
      <c r="F1084" t="inlineStr">
        <is>
          <t>Outpatient</t>
        </is>
      </c>
      <c r="G1084" t="inlineStr">
        <is>
          <t>Bluestone Outpatient Pavilion</t>
        </is>
      </c>
      <c r="H1084" t="inlineStr">
        <is>
          <t>Primary Care Clinic</t>
        </is>
      </c>
      <c r="I1084" t="inlineStr">
        <is>
          <t>Ambulatory</t>
        </is>
      </c>
      <c r="J1084" t="inlineStr">
        <is>
          <t>Bennett, Randy</t>
        </is>
      </c>
      <c r="K1084" t="inlineStr">
        <is>
          <t>F32.9</t>
        </is>
      </c>
      <c r="L1084" t="inlineStr">
        <is>
          <t>Mental &amp; Behavioral</t>
        </is>
      </c>
      <c r="M1084" t="inlineStr">
        <is>
          <t>State Medicaid</t>
        </is>
      </c>
      <c r="N1084" t="inlineStr">
        <is>
          <t>Government</t>
        </is>
      </c>
      <c r="O1084" s="39" t="n">
        <v>410.49</v>
      </c>
    </row>
    <row r="1085">
      <c r="A1085" t="inlineStr">
        <is>
          <t>ENC116785</t>
        </is>
      </c>
      <c r="B1085" t="inlineStr">
        <is>
          <t>PT11305</t>
        </is>
      </c>
      <c r="C1085" s="42" t="n">
        <v>45852</v>
      </c>
      <c r="D1085" s="42" t="n">
        <v>45852</v>
      </c>
      <c r="E1085" s="38" t="n">
        <v>0</v>
      </c>
      <c r="F1085" t="inlineStr">
        <is>
          <t>Emergency</t>
        </is>
      </c>
      <c r="G1085" t="inlineStr">
        <is>
          <t>Bluestone Memorial Hospital</t>
        </is>
      </c>
      <c r="H1085" t="inlineStr">
        <is>
          <t>Emergency Department</t>
        </is>
      </c>
      <c r="I1085" t="inlineStr">
        <is>
          <t>Emergency</t>
        </is>
      </c>
      <c r="J1085" t="inlineStr">
        <is>
          <t>Elliott, Jesse</t>
        </is>
      </c>
      <c r="K1085" t="inlineStr">
        <is>
          <t>J18.9</t>
        </is>
      </c>
      <c r="L1085" t="inlineStr">
        <is>
          <t>Respiratory</t>
        </is>
      </c>
      <c r="M1085" t="inlineStr">
        <is>
          <t>Medicare</t>
        </is>
      </c>
      <c r="N1085" t="inlineStr">
        <is>
          <t>Government</t>
        </is>
      </c>
      <c r="O1085" s="39" t="n">
        <v>2328.07</v>
      </c>
    </row>
    <row r="1086">
      <c r="A1086" t="inlineStr">
        <is>
          <t>ENC116798</t>
        </is>
      </c>
      <c r="B1086" t="inlineStr">
        <is>
          <t>PT11927</t>
        </is>
      </c>
      <c r="C1086" s="42" t="n">
        <v>45852</v>
      </c>
      <c r="D1086" s="42" t="n">
        <v>45865</v>
      </c>
      <c r="E1086" s="38" t="n">
        <v>13</v>
      </c>
      <c r="F1086" t="inlineStr">
        <is>
          <t>Inpatient</t>
        </is>
      </c>
      <c r="G1086" t="inlineStr">
        <is>
          <t>Ashby Falls Community Hospital</t>
        </is>
      </c>
      <c r="H1086" t="inlineStr">
        <is>
          <t>Intensive Care Unit</t>
        </is>
      </c>
      <c r="I1086" t="inlineStr">
        <is>
          <t>Critical Care</t>
        </is>
      </c>
      <c r="J1086" t="inlineStr">
        <is>
          <t>Gutierrez, Donald</t>
        </is>
      </c>
      <c r="K1086" t="inlineStr">
        <is>
          <t>J96.01</t>
        </is>
      </c>
      <c r="L1086" t="inlineStr">
        <is>
          <t>Respiratory</t>
        </is>
      </c>
      <c r="M1086" t="inlineStr">
        <is>
          <t>Evergreen Mutual Insurance</t>
        </is>
      </c>
      <c r="N1086" t="inlineStr">
        <is>
          <t>Commercial</t>
        </is>
      </c>
      <c r="O1086" s="39" t="n">
        <v>123933.01</v>
      </c>
      <c r="P1086" t="inlineStr">
        <is>
          <t>N</t>
        </is>
      </c>
    </row>
    <row r="1087">
      <c r="A1087" t="inlineStr">
        <is>
          <t>ENC116808</t>
        </is>
      </c>
      <c r="B1087" t="inlineStr">
        <is>
          <t>PT13207</t>
        </is>
      </c>
      <c r="C1087" s="42" t="n">
        <v>45853</v>
      </c>
      <c r="D1087" s="42" t="n">
        <v>45853</v>
      </c>
      <c r="E1087" s="38" t="n">
        <v>0</v>
      </c>
      <c r="F1087" t="inlineStr">
        <is>
          <t>Outpatient</t>
        </is>
      </c>
      <c r="G1087" t="inlineStr">
        <is>
          <t>Bluestone Outpatient Pavilion</t>
        </is>
      </c>
      <c r="H1087" t="inlineStr">
        <is>
          <t>Infusion &amp; Oncology Clinic</t>
        </is>
      </c>
      <c r="I1087" t="inlineStr">
        <is>
          <t>Oncology</t>
        </is>
      </c>
      <c r="J1087" t="inlineStr">
        <is>
          <t>Long, Fatima</t>
        </is>
      </c>
      <c r="K1087" t="inlineStr">
        <is>
          <t>Z51.11</t>
        </is>
      </c>
      <c r="L1087" t="inlineStr">
        <is>
          <t>Factors Influencing Health</t>
        </is>
      </c>
      <c r="M1087" t="inlineStr">
        <is>
          <t>Evergreen Mutual Insurance</t>
        </is>
      </c>
      <c r="N1087" t="inlineStr">
        <is>
          <t>Commercial</t>
        </is>
      </c>
      <c r="O1087" s="39" t="n">
        <v>10254.42</v>
      </c>
    </row>
    <row r="1088">
      <c r="A1088" t="inlineStr">
        <is>
          <t>ENC116811</t>
        </is>
      </c>
      <c r="B1088" t="inlineStr">
        <is>
          <t>PT13527</t>
        </is>
      </c>
      <c r="C1088" s="42" t="n">
        <v>45853</v>
      </c>
      <c r="D1088" s="42" t="n">
        <v>45853</v>
      </c>
      <c r="E1088" s="38" t="n">
        <v>0</v>
      </c>
      <c r="F1088" t="inlineStr">
        <is>
          <t>Emergency</t>
        </is>
      </c>
      <c r="G1088" t="inlineStr">
        <is>
          <t>Bluestone Memorial Hospital</t>
        </is>
      </c>
      <c r="H1088" t="inlineStr">
        <is>
          <t>Emergency Department</t>
        </is>
      </c>
      <c r="I1088" t="inlineStr">
        <is>
          <t>Emergency</t>
        </is>
      </c>
      <c r="J1088" t="inlineStr">
        <is>
          <t>Elliott, Jesse</t>
        </is>
      </c>
      <c r="K1088" t="inlineStr">
        <is>
          <t>A08.4</t>
        </is>
      </c>
      <c r="L1088" t="inlineStr">
        <is>
          <t>Infectious</t>
        </is>
      </c>
      <c r="M1088" t="inlineStr">
        <is>
          <t>Evergreen Mutual Insurance</t>
        </is>
      </c>
      <c r="N1088" t="inlineStr">
        <is>
          <t>Commercial</t>
        </is>
      </c>
      <c r="O1088" s="39" t="n">
        <v>845.61</v>
      </c>
    </row>
    <row r="1089">
      <c r="A1089" t="inlineStr">
        <is>
          <t>ENC116821</t>
        </is>
      </c>
      <c r="B1089" t="inlineStr">
        <is>
          <t>PT12513</t>
        </is>
      </c>
      <c r="C1089" s="42" t="n">
        <v>45853</v>
      </c>
      <c r="D1089" s="42" t="n">
        <v>45853</v>
      </c>
      <c r="E1089" s="38" t="n">
        <v>0</v>
      </c>
      <c r="F1089" t="inlineStr">
        <is>
          <t>Outpatient</t>
        </is>
      </c>
      <c r="G1089" t="inlineStr">
        <is>
          <t>Bluestone Outpatient Pavilion</t>
        </is>
      </c>
      <c r="H1089" t="inlineStr">
        <is>
          <t>Orthopedic Clinic</t>
        </is>
      </c>
      <c r="I1089" t="inlineStr">
        <is>
          <t>Orthopedics</t>
        </is>
      </c>
      <c r="J1089" t="inlineStr">
        <is>
          <t>Wagner, Carlos</t>
        </is>
      </c>
      <c r="K1089" t="inlineStr">
        <is>
          <t>M16.11</t>
        </is>
      </c>
      <c r="L1089" t="inlineStr">
        <is>
          <t>Musculoskeletal</t>
        </is>
      </c>
      <c r="M1089" t="inlineStr">
        <is>
          <t>Silverline Medicare Advantage</t>
        </is>
      </c>
      <c r="N1089" t="inlineStr">
        <is>
          <t>Medicare Advantage</t>
        </is>
      </c>
      <c r="O1089" s="39" t="n">
        <v>474.25</v>
      </c>
    </row>
    <row r="1090">
      <c r="A1090" t="inlineStr">
        <is>
          <t>ENC116828</t>
        </is>
      </c>
      <c r="B1090" t="inlineStr">
        <is>
          <t>PT10586</t>
        </is>
      </c>
      <c r="C1090" s="42" t="n">
        <v>45853</v>
      </c>
      <c r="D1090" s="42" t="n">
        <v>45854</v>
      </c>
      <c r="E1090" s="38" t="n">
        <v>1</v>
      </c>
      <c r="F1090" t="inlineStr">
        <is>
          <t>Emergency</t>
        </is>
      </c>
      <c r="G1090" t="inlineStr">
        <is>
          <t>Bluestone Memorial Hospital</t>
        </is>
      </c>
      <c r="H1090" t="inlineStr">
        <is>
          <t>Emergency Department</t>
        </is>
      </c>
      <c r="I1090" t="inlineStr">
        <is>
          <t>Emergency</t>
        </is>
      </c>
      <c r="J1090" t="inlineStr">
        <is>
          <t>Kowalski, James</t>
        </is>
      </c>
      <c r="K1090" t="inlineStr">
        <is>
          <t>R07.9</t>
        </is>
      </c>
      <c r="L1090" t="inlineStr">
        <is>
          <t>Symptoms &amp; Signs</t>
        </is>
      </c>
      <c r="M1090" t="inlineStr">
        <is>
          <t>Medicare</t>
        </is>
      </c>
      <c r="N1090" t="inlineStr">
        <is>
          <t>Government</t>
        </is>
      </c>
      <c r="O1090" s="39" t="n">
        <v>3255.94</v>
      </c>
    </row>
    <row r="1091">
      <c r="A1091" t="inlineStr">
        <is>
          <t>ENC116834</t>
        </is>
      </c>
      <c r="B1091" t="inlineStr">
        <is>
          <t>PT13916</t>
        </is>
      </c>
      <c r="C1091" s="42" t="n">
        <v>45854</v>
      </c>
      <c r="D1091" s="42" t="n">
        <v>45854</v>
      </c>
      <c r="E1091" s="38" t="n">
        <v>0</v>
      </c>
      <c r="F1091" t="inlineStr">
        <is>
          <t>Outpatient</t>
        </is>
      </c>
      <c r="G1091" t="inlineStr">
        <is>
          <t>Bluestone Outpatient Pavilion</t>
        </is>
      </c>
      <c r="H1091" t="inlineStr">
        <is>
          <t>Primary Care Clinic</t>
        </is>
      </c>
      <c r="I1091" t="inlineStr">
        <is>
          <t>Ambulatory</t>
        </is>
      </c>
      <c r="J1091" t="inlineStr">
        <is>
          <t>Arnold, Catherine</t>
        </is>
      </c>
      <c r="K1091" t="inlineStr">
        <is>
          <t>I10</t>
        </is>
      </c>
      <c r="L1091" t="inlineStr">
        <is>
          <t>Circulatory</t>
        </is>
      </c>
      <c r="M1091" t="inlineStr">
        <is>
          <t>Evergreen Mutual Insurance</t>
        </is>
      </c>
      <c r="N1091" t="inlineStr">
        <is>
          <t>Commercial</t>
        </is>
      </c>
      <c r="O1091" s="39" t="n">
        <v>348.26</v>
      </c>
    </row>
    <row r="1092">
      <c r="A1092" t="inlineStr">
        <is>
          <t>ENC116836</t>
        </is>
      </c>
      <c r="B1092" t="inlineStr">
        <is>
          <t>PT10021</t>
        </is>
      </c>
      <c r="C1092" s="42" t="n">
        <v>45854</v>
      </c>
      <c r="D1092" s="42" t="n">
        <v>45854</v>
      </c>
      <c r="E1092" s="38" t="n">
        <v>0</v>
      </c>
      <c r="F1092" t="inlineStr">
        <is>
          <t>Outpatient</t>
        </is>
      </c>
      <c r="G1092" t="inlineStr">
        <is>
          <t>Bluestone Outpatient Pavilion</t>
        </is>
      </c>
      <c r="H1092" t="inlineStr">
        <is>
          <t>Orthopedic Clinic</t>
        </is>
      </c>
      <c r="I1092" t="inlineStr">
        <is>
          <t>Orthopedics</t>
        </is>
      </c>
      <c r="J1092" t="inlineStr">
        <is>
          <t>Wagner, Carlos</t>
        </is>
      </c>
      <c r="K1092" t="inlineStr">
        <is>
          <t>M16.11</t>
        </is>
      </c>
      <c r="L1092" t="inlineStr">
        <is>
          <t>Musculoskeletal</t>
        </is>
      </c>
      <c r="M1092" t="inlineStr">
        <is>
          <t>Summit Choice PPO</t>
        </is>
      </c>
      <c r="N1092" t="inlineStr">
        <is>
          <t>Commercial</t>
        </is>
      </c>
      <c r="O1092" s="39" t="n">
        <v>203.41</v>
      </c>
    </row>
    <row r="1093">
      <c r="A1093" t="inlineStr">
        <is>
          <t>ENC116843</t>
        </is>
      </c>
      <c r="B1093" t="inlineStr">
        <is>
          <t>PT11470</t>
        </is>
      </c>
      <c r="C1093" s="42" t="n">
        <v>45854</v>
      </c>
      <c r="D1093" s="42" t="n">
        <v>45854</v>
      </c>
      <c r="E1093" s="38" t="n">
        <v>0</v>
      </c>
      <c r="F1093" t="inlineStr">
        <is>
          <t>Outpatient</t>
        </is>
      </c>
      <c r="G1093" t="inlineStr">
        <is>
          <t>Bluestone Outpatient Pavilion</t>
        </is>
      </c>
      <c r="H1093" t="inlineStr">
        <is>
          <t>Primary Care Clinic</t>
        </is>
      </c>
      <c r="I1093" t="inlineStr">
        <is>
          <t>Ambulatory</t>
        </is>
      </c>
      <c r="J1093" t="inlineStr">
        <is>
          <t>Torres, Rebecca</t>
        </is>
      </c>
      <c r="K1093" t="inlineStr">
        <is>
          <t>J06.9</t>
        </is>
      </c>
      <c r="L1093" t="inlineStr">
        <is>
          <t>Respiratory</t>
        </is>
      </c>
      <c r="M1093" t="inlineStr">
        <is>
          <t>Medicare</t>
        </is>
      </c>
      <c r="N1093" t="inlineStr">
        <is>
          <t>Government</t>
        </is>
      </c>
      <c r="O1093" s="39" t="n">
        <v>294.14</v>
      </c>
    </row>
    <row r="1094">
      <c r="A1094" t="inlineStr">
        <is>
          <t>ENC116846</t>
        </is>
      </c>
      <c r="B1094" t="inlineStr">
        <is>
          <t>PT12612</t>
        </is>
      </c>
      <c r="C1094" s="42" t="n">
        <v>45854</v>
      </c>
      <c r="D1094" s="42" t="n">
        <v>45854</v>
      </c>
      <c r="E1094" s="38" t="n">
        <v>0</v>
      </c>
      <c r="F1094" t="inlineStr">
        <is>
          <t>Outpatient</t>
        </is>
      </c>
      <c r="G1094" t="inlineStr">
        <is>
          <t>Bluestone Outpatient Pavilion</t>
        </is>
      </c>
      <c r="H1094" t="inlineStr">
        <is>
          <t>Orthopedic Clinic</t>
        </is>
      </c>
      <c r="I1094" t="inlineStr">
        <is>
          <t>Orthopedics</t>
        </is>
      </c>
      <c r="J1094" t="inlineStr">
        <is>
          <t>Lewis, Jonathan</t>
        </is>
      </c>
      <c r="K1094" t="inlineStr">
        <is>
          <t>S93.401A</t>
        </is>
      </c>
      <c r="L1094" t="inlineStr">
        <is>
          <t>Injury</t>
        </is>
      </c>
      <c r="M1094" t="inlineStr">
        <is>
          <t>Evergreen Mutual Insurance</t>
        </is>
      </c>
      <c r="N1094" t="inlineStr">
        <is>
          <t>Commercial</t>
        </is>
      </c>
      <c r="O1094" s="39" t="n">
        <v>301.15</v>
      </c>
    </row>
    <row r="1095">
      <c r="A1095" t="inlineStr">
        <is>
          <t>ENC116849</t>
        </is>
      </c>
      <c r="B1095" t="inlineStr">
        <is>
          <t>PT10922</t>
        </is>
      </c>
      <c r="C1095" s="42" t="n">
        <v>45854</v>
      </c>
      <c r="D1095" s="42" t="n">
        <v>45854</v>
      </c>
      <c r="E1095" s="38" t="n">
        <v>0</v>
      </c>
      <c r="F1095" t="inlineStr">
        <is>
          <t>Outpatient</t>
        </is>
      </c>
      <c r="G1095" t="inlineStr">
        <is>
          <t>Bluestone Outpatient Pavilion</t>
        </is>
      </c>
      <c r="H1095" t="inlineStr">
        <is>
          <t>Primary Care Clinic</t>
        </is>
      </c>
      <c r="I1095" t="inlineStr">
        <is>
          <t>Ambulatory</t>
        </is>
      </c>
      <c r="J1095" t="inlineStr">
        <is>
          <t>Nguyen, Isabella</t>
        </is>
      </c>
      <c r="K1095" t="inlineStr">
        <is>
          <t>Z00.00</t>
        </is>
      </c>
      <c r="L1095" t="inlineStr">
        <is>
          <t>Factors Influencing Health</t>
        </is>
      </c>
      <c r="M1095" t="inlineStr">
        <is>
          <t>Summit Choice PPO</t>
        </is>
      </c>
      <c r="N1095" t="inlineStr">
        <is>
          <t>Commercial</t>
        </is>
      </c>
      <c r="O1095" s="39" t="n">
        <v>291.36</v>
      </c>
    </row>
    <row r="1096">
      <c r="A1096" t="inlineStr">
        <is>
          <t>ENC116837</t>
        </is>
      </c>
      <c r="B1096" t="inlineStr">
        <is>
          <t>PT13868</t>
        </is>
      </c>
      <c r="C1096" s="42" t="n">
        <v>45854</v>
      </c>
      <c r="D1096" s="42" t="n">
        <v>45855</v>
      </c>
      <c r="E1096" s="38" t="n">
        <v>1</v>
      </c>
      <c r="F1096" t="inlineStr">
        <is>
          <t>Observation</t>
        </is>
      </c>
      <c r="G1096" t="inlineStr">
        <is>
          <t>Bluestone Memorial Hospital</t>
        </is>
      </c>
      <c r="H1096" t="inlineStr">
        <is>
          <t>Observation Unit</t>
        </is>
      </c>
      <c r="I1096" t="inlineStr">
        <is>
          <t>Medicine</t>
        </is>
      </c>
      <c r="J1096" t="inlineStr">
        <is>
          <t>Hunt, Richard</t>
        </is>
      </c>
      <c r="K1096" t="inlineStr">
        <is>
          <t>N17.9</t>
        </is>
      </c>
      <c r="L1096" t="inlineStr">
        <is>
          <t>Genitourinary</t>
        </is>
      </c>
      <c r="M1096" t="inlineStr">
        <is>
          <t>Medicare</t>
        </is>
      </c>
      <c r="N1096" t="inlineStr">
        <is>
          <t>Government</t>
        </is>
      </c>
      <c r="O1096" s="39" t="n">
        <v>5169.5</v>
      </c>
    </row>
    <row r="1097">
      <c r="A1097" t="inlineStr">
        <is>
          <t>ENC116853</t>
        </is>
      </c>
      <c r="B1097" t="inlineStr">
        <is>
          <t>PT11822</t>
        </is>
      </c>
      <c r="C1097" s="42" t="n">
        <v>45854</v>
      </c>
      <c r="D1097" s="42" t="n">
        <v>45854</v>
      </c>
      <c r="E1097" s="38" t="n">
        <v>0</v>
      </c>
      <c r="F1097" t="inlineStr">
        <is>
          <t>Outpatient</t>
        </is>
      </c>
      <c r="G1097" t="inlineStr">
        <is>
          <t>Bluestone Outpatient Pavilion</t>
        </is>
      </c>
      <c r="H1097" t="inlineStr">
        <is>
          <t>Endocrinology &amp; Diabetes Clinic</t>
        </is>
      </c>
      <c r="I1097" t="inlineStr">
        <is>
          <t>Ambulatory</t>
        </is>
      </c>
      <c r="J1097" t="inlineStr">
        <is>
          <t>Woods, Larry</t>
        </is>
      </c>
      <c r="K1097" t="inlineStr">
        <is>
          <t>E11.9</t>
        </is>
      </c>
      <c r="L1097" t="inlineStr">
        <is>
          <t>Endocrine</t>
        </is>
      </c>
      <c r="M1097" t="inlineStr">
        <is>
          <t>Evergreen Mutual Insurance</t>
        </is>
      </c>
      <c r="N1097" t="inlineStr">
        <is>
          <t>Commercial</t>
        </is>
      </c>
      <c r="O1097" s="39" t="n">
        <v>422.77</v>
      </c>
    </row>
    <row r="1098">
      <c r="A1098" t="inlineStr">
        <is>
          <t>ENC116859</t>
        </is>
      </c>
      <c r="B1098" t="inlineStr">
        <is>
          <t>PT11128</t>
        </is>
      </c>
      <c r="C1098" s="42" t="n">
        <v>45854</v>
      </c>
      <c r="D1098" s="42" t="n">
        <v>45854</v>
      </c>
      <c r="E1098" s="38" t="n">
        <v>0</v>
      </c>
      <c r="F1098" t="inlineStr">
        <is>
          <t>Emergency</t>
        </is>
      </c>
      <c r="G1098" t="inlineStr">
        <is>
          <t>Cedar Ridge Medical Center</t>
        </is>
      </c>
      <c r="H1098" t="inlineStr">
        <is>
          <t>Emergency Department</t>
        </is>
      </c>
      <c r="I1098" t="inlineStr">
        <is>
          <t>Emergency</t>
        </is>
      </c>
      <c r="J1098" t="inlineStr">
        <is>
          <t>Andrews, Michael</t>
        </is>
      </c>
      <c r="K1098" t="inlineStr">
        <is>
          <t>N39.0</t>
        </is>
      </c>
      <c r="L1098" t="inlineStr">
        <is>
          <t>Genitourinary</t>
        </is>
      </c>
      <c r="M1098" t="inlineStr">
        <is>
          <t>Keystone Health Partners</t>
        </is>
      </c>
      <c r="N1098" t="inlineStr">
        <is>
          <t>Commercial</t>
        </is>
      </c>
      <c r="O1098" s="39" t="n">
        <v>3003.81</v>
      </c>
    </row>
    <row r="1099">
      <c r="A1099" t="inlineStr">
        <is>
          <t>ENC116856</t>
        </is>
      </c>
      <c r="B1099" t="inlineStr">
        <is>
          <t>PT12781</t>
        </is>
      </c>
      <c r="C1099" s="42" t="n">
        <v>45854</v>
      </c>
      <c r="D1099" s="42" t="n">
        <v>45862</v>
      </c>
      <c r="E1099" s="38" t="n">
        <v>8</v>
      </c>
      <c r="F1099" t="inlineStr">
        <is>
          <t>Inpatient</t>
        </is>
      </c>
      <c r="G1099" t="inlineStr">
        <is>
          <t>Bluestone Memorial Hospital</t>
        </is>
      </c>
      <c r="H1099" t="inlineStr">
        <is>
          <t>Intensive Care Unit</t>
        </is>
      </c>
      <c r="I1099" t="inlineStr">
        <is>
          <t>Critical Care</t>
        </is>
      </c>
      <c r="J1099" t="inlineStr">
        <is>
          <t>Bryant, Janet</t>
        </is>
      </c>
      <c r="K1099" t="inlineStr">
        <is>
          <t>J96.01</t>
        </is>
      </c>
      <c r="L1099" t="inlineStr">
        <is>
          <t>Respiratory</t>
        </is>
      </c>
      <c r="M1099" t="inlineStr">
        <is>
          <t>State Medicaid</t>
        </is>
      </c>
      <c r="N1099" t="inlineStr">
        <is>
          <t>Government</t>
        </is>
      </c>
      <c r="O1099" s="39" t="n">
        <v>77953.75</v>
      </c>
      <c r="P1099" t="inlineStr">
        <is>
          <t>N</t>
        </is>
      </c>
    </row>
    <row r="1100">
      <c r="A1100" t="inlineStr">
        <is>
          <t>ENC116858</t>
        </is>
      </c>
      <c r="B1100" t="inlineStr">
        <is>
          <t>PT12764</t>
        </is>
      </c>
      <c r="C1100" s="42" t="n">
        <v>45854</v>
      </c>
      <c r="D1100" s="42" t="n">
        <v>45855</v>
      </c>
      <c r="E1100" s="38" t="n">
        <v>1</v>
      </c>
      <c r="F1100" t="inlineStr">
        <is>
          <t>Observation</t>
        </is>
      </c>
      <c r="G1100" t="inlineStr">
        <is>
          <t>Bluestone Memorial Hospital</t>
        </is>
      </c>
      <c r="H1100" t="inlineStr">
        <is>
          <t>Observation Unit</t>
        </is>
      </c>
      <c r="I1100" t="inlineStr">
        <is>
          <t>Medicine</t>
        </is>
      </c>
      <c r="J1100" t="inlineStr">
        <is>
          <t>Lopez, Teresa</t>
        </is>
      </c>
      <c r="K1100" t="inlineStr">
        <is>
          <t>K80.20</t>
        </is>
      </c>
      <c r="L1100" t="inlineStr">
        <is>
          <t>Digestive</t>
        </is>
      </c>
      <c r="M1100" t="inlineStr">
        <is>
          <t>Keystone Health Partners</t>
        </is>
      </c>
      <c r="N1100" t="inlineStr">
        <is>
          <t>Commercial</t>
        </is>
      </c>
      <c r="O1100" s="39" t="n">
        <v>10051.4</v>
      </c>
    </row>
    <row r="1101">
      <c r="A1101" t="inlineStr">
        <is>
          <t>ENC116862</t>
        </is>
      </c>
      <c r="B1101" t="inlineStr">
        <is>
          <t>PT12328</t>
        </is>
      </c>
      <c r="C1101" s="42" t="n">
        <v>45855</v>
      </c>
      <c r="D1101" s="42" t="n">
        <v>45855</v>
      </c>
      <c r="E1101" s="38" t="n">
        <v>0</v>
      </c>
      <c r="F1101" t="inlineStr">
        <is>
          <t>Emergency</t>
        </is>
      </c>
      <c r="G1101" t="inlineStr">
        <is>
          <t>Cedar Ridge Medical Center</t>
        </is>
      </c>
      <c r="H1101" t="inlineStr">
        <is>
          <t>Emergency Department</t>
        </is>
      </c>
      <c r="I1101" t="inlineStr">
        <is>
          <t>Emergency</t>
        </is>
      </c>
      <c r="J1101" t="inlineStr">
        <is>
          <t>Warren, Victoria</t>
        </is>
      </c>
      <c r="K1101" t="inlineStr">
        <is>
          <t>F10.239</t>
        </is>
      </c>
      <c r="L1101" t="inlineStr">
        <is>
          <t>Mental &amp; Behavioral</t>
        </is>
      </c>
      <c r="M1101" t="inlineStr">
        <is>
          <t>Keystone Health Partners</t>
        </is>
      </c>
      <c r="N1101" t="inlineStr">
        <is>
          <t>Commercial</t>
        </is>
      </c>
      <c r="O1101" s="39" t="n">
        <v>7587.13</v>
      </c>
    </row>
    <row r="1102">
      <c r="A1102" t="inlineStr">
        <is>
          <t>ENC116871</t>
        </is>
      </c>
      <c r="B1102" t="inlineStr">
        <is>
          <t>PT12761</t>
        </is>
      </c>
      <c r="C1102" s="42" t="n">
        <v>45855</v>
      </c>
      <c r="D1102" s="42" t="n">
        <v>45855</v>
      </c>
      <c r="E1102" s="38" t="n">
        <v>0</v>
      </c>
      <c r="F1102" t="inlineStr">
        <is>
          <t>Outpatient</t>
        </is>
      </c>
      <c r="G1102" t="inlineStr">
        <is>
          <t>Bluestone Outpatient Pavilion</t>
        </is>
      </c>
      <c r="H1102" t="inlineStr">
        <is>
          <t>Primary Care Clinic</t>
        </is>
      </c>
      <c r="I1102" t="inlineStr">
        <is>
          <t>Ambulatory</t>
        </is>
      </c>
      <c r="J1102" t="inlineStr">
        <is>
          <t>Vazquez, Carolyn</t>
        </is>
      </c>
      <c r="K1102" t="inlineStr">
        <is>
          <t>G40.909</t>
        </is>
      </c>
      <c r="L1102" t="inlineStr">
        <is>
          <t>Nervous System</t>
        </is>
      </c>
      <c r="M1102" t="inlineStr">
        <is>
          <t>Evergreen Mutual Insurance</t>
        </is>
      </c>
      <c r="N1102" t="inlineStr">
        <is>
          <t>Commercial</t>
        </is>
      </c>
      <c r="O1102" s="39" t="n">
        <v>350.06</v>
      </c>
    </row>
    <row r="1103">
      <c r="A1103" t="inlineStr">
        <is>
          <t>ENC116865</t>
        </is>
      </c>
      <c r="B1103" t="inlineStr">
        <is>
          <t>PT13193</t>
        </is>
      </c>
      <c r="C1103" s="42" t="n">
        <v>45855</v>
      </c>
      <c r="D1103" s="42" t="n">
        <v>45857</v>
      </c>
      <c r="E1103" s="38" t="n">
        <v>2</v>
      </c>
      <c r="F1103" t="inlineStr">
        <is>
          <t>Inpatient</t>
        </is>
      </c>
      <c r="G1103" t="inlineStr">
        <is>
          <t>Bluestone Memorial Hospital</t>
        </is>
      </c>
      <c r="H1103" t="inlineStr">
        <is>
          <t>Medical-Surgical 5 East</t>
        </is>
      </c>
      <c r="I1103" t="inlineStr">
        <is>
          <t>Medicine</t>
        </is>
      </c>
      <c r="J1103" t="inlineStr">
        <is>
          <t>Abdi, Hassan</t>
        </is>
      </c>
      <c r="K1103" t="inlineStr">
        <is>
          <t>E86.0</t>
        </is>
      </c>
      <c r="L1103" t="inlineStr">
        <is>
          <t>Endocrine</t>
        </is>
      </c>
      <c r="M1103" t="inlineStr">
        <is>
          <t>Silverline Medicare Advantage</t>
        </is>
      </c>
      <c r="N1103" t="inlineStr">
        <is>
          <t>Medicare Advantage</t>
        </is>
      </c>
      <c r="O1103" s="39" t="n">
        <v>18289.38</v>
      </c>
      <c r="P1103" t="inlineStr">
        <is>
          <t>N</t>
        </is>
      </c>
    </row>
    <row r="1104">
      <c r="A1104" t="inlineStr">
        <is>
          <t>ENC116880</t>
        </is>
      </c>
      <c r="B1104" t="inlineStr">
        <is>
          <t>PT12627</t>
        </is>
      </c>
      <c r="C1104" s="42" t="n">
        <v>45855</v>
      </c>
      <c r="D1104" s="42" t="n">
        <v>45855</v>
      </c>
      <c r="E1104" s="38" t="n">
        <v>0</v>
      </c>
      <c r="F1104" t="inlineStr">
        <is>
          <t>Outpatient</t>
        </is>
      </c>
      <c r="G1104" t="inlineStr">
        <is>
          <t>Bluestone Outpatient Pavilion</t>
        </is>
      </c>
      <c r="H1104" t="inlineStr">
        <is>
          <t>Primary Care Clinic</t>
        </is>
      </c>
      <c r="I1104" t="inlineStr">
        <is>
          <t>Ambulatory</t>
        </is>
      </c>
      <c r="J1104" t="inlineStr">
        <is>
          <t>Black, Kelly</t>
        </is>
      </c>
      <c r="K1104" t="inlineStr">
        <is>
          <t>M54.50</t>
        </is>
      </c>
      <c r="L1104" t="inlineStr">
        <is>
          <t>Musculoskeletal</t>
        </is>
      </c>
      <c r="M1104" t="inlineStr">
        <is>
          <t>State Medicaid</t>
        </is>
      </c>
      <c r="N1104" t="inlineStr">
        <is>
          <t>Government</t>
        </is>
      </c>
      <c r="O1104" s="39" t="n">
        <v>194.16</v>
      </c>
    </row>
    <row r="1105">
      <c r="A1105" t="inlineStr">
        <is>
          <t>ENC116884</t>
        </is>
      </c>
      <c r="B1105" t="inlineStr">
        <is>
          <t>PT13581</t>
        </is>
      </c>
      <c r="C1105" s="42" t="n">
        <v>45855</v>
      </c>
      <c r="D1105" s="42" t="n">
        <v>45855</v>
      </c>
      <c r="E1105" s="38" t="n">
        <v>0</v>
      </c>
      <c r="F1105" t="inlineStr">
        <is>
          <t>Emergency</t>
        </is>
      </c>
      <c r="G1105" t="inlineStr">
        <is>
          <t>Bluestone Memorial Hospital</t>
        </is>
      </c>
      <c r="H1105" t="inlineStr">
        <is>
          <t>Emergency Department</t>
        </is>
      </c>
      <c r="I1105" t="inlineStr">
        <is>
          <t>Emergency</t>
        </is>
      </c>
      <c r="J1105" t="inlineStr">
        <is>
          <t>Morris, Jordan</t>
        </is>
      </c>
      <c r="K1105" t="inlineStr">
        <is>
          <t>N39.0</t>
        </is>
      </c>
      <c r="L1105" t="inlineStr">
        <is>
          <t>Genitourinary</t>
        </is>
      </c>
      <c r="M1105" t="inlineStr">
        <is>
          <t>Medicare</t>
        </is>
      </c>
      <c r="N1105" t="inlineStr">
        <is>
          <t>Government</t>
        </is>
      </c>
      <c r="O1105" s="39" t="n">
        <v>1507.54</v>
      </c>
    </row>
    <row r="1106">
      <c r="A1106" t="inlineStr">
        <is>
          <t>ENC116887</t>
        </is>
      </c>
      <c r="B1106" t="inlineStr">
        <is>
          <t>PT13413</t>
        </is>
      </c>
      <c r="C1106" s="42" t="n">
        <v>45855</v>
      </c>
      <c r="D1106" s="42" t="n">
        <v>45855</v>
      </c>
      <c r="E1106" s="38" t="n">
        <v>0</v>
      </c>
      <c r="F1106" t="inlineStr">
        <is>
          <t>Emergency</t>
        </is>
      </c>
      <c r="G1106" t="inlineStr">
        <is>
          <t>Bluestone Memorial Hospital</t>
        </is>
      </c>
      <c r="H1106" t="inlineStr">
        <is>
          <t>Emergency Department</t>
        </is>
      </c>
      <c r="I1106" t="inlineStr">
        <is>
          <t>Emergency</t>
        </is>
      </c>
      <c r="J1106" t="inlineStr">
        <is>
          <t>Mendoza, Alexander</t>
        </is>
      </c>
      <c r="K1106" t="inlineStr">
        <is>
          <t>F41.9</t>
        </is>
      </c>
      <c r="L1106" t="inlineStr">
        <is>
          <t>Mental &amp; Behavioral</t>
        </is>
      </c>
      <c r="M1106" t="inlineStr">
        <is>
          <t>Keystone Health Partners</t>
        </is>
      </c>
      <c r="N1106" t="inlineStr">
        <is>
          <t>Commercial</t>
        </is>
      </c>
      <c r="O1106" s="39" t="n">
        <v>3226.51</v>
      </c>
    </row>
    <row r="1107">
      <c r="A1107" t="inlineStr">
        <is>
          <t>ENC116888</t>
        </is>
      </c>
      <c r="B1107" t="inlineStr">
        <is>
          <t>PT12900</t>
        </is>
      </c>
      <c r="C1107" s="42" t="n">
        <v>45855</v>
      </c>
      <c r="D1107" s="42" t="n">
        <v>45856</v>
      </c>
      <c r="E1107" s="38" t="n">
        <v>1</v>
      </c>
      <c r="F1107" t="inlineStr">
        <is>
          <t>Emergency</t>
        </is>
      </c>
      <c r="G1107" t="inlineStr">
        <is>
          <t>Bluestone Memorial Hospital</t>
        </is>
      </c>
      <c r="H1107" t="inlineStr">
        <is>
          <t>Emergency Department</t>
        </is>
      </c>
      <c r="I1107" t="inlineStr">
        <is>
          <t>Emergency</t>
        </is>
      </c>
      <c r="J1107" t="inlineStr">
        <is>
          <t>Payne, Nancy</t>
        </is>
      </c>
      <c r="K1107" t="inlineStr">
        <is>
          <t>S93.401A</t>
        </is>
      </c>
      <c r="L1107" t="inlineStr">
        <is>
          <t>Injury</t>
        </is>
      </c>
      <c r="M1107" t="inlineStr">
        <is>
          <t>State Medicaid</t>
        </is>
      </c>
      <c r="N1107" t="inlineStr">
        <is>
          <t>Government</t>
        </is>
      </c>
      <c r="O1107" s="39" t="n">
        <v>1156.82</v>
      </c>
    </row>
    <row r="1108">
      <c r="A1108" t="inlineStr">
        <is>
          <t>ENC116891</t>
        </is>
      </c>
      <c r="B1108" t="inlineStr">
        <is>
          <t>PT12007</t>
        </is>
      </c>
      <c r="C1108" s="42" t="n">
        <v>45856</v>
      </c>
      <c r="D1108" s="42" t="n">
        <v>45859</v>
      </c>
      <c r="E1108" s="38" t="n">
        <v>3</v>
      </c>
      <c r="F1108" t="inlineStr">
        <is>
          <t>Inpatient</t>
        </is>
      </c>
      <c r="G1108" t="inlineStr">
        <is>
          <t>Bluestone Memorial Hospital</t>
        </is>
      </c>
      <c r="H1108" t="inlineStr">
        <is>
          <t>Medical-Surgical 5 East</t>
        </is>
      </c>
      <c r="I1108" t="inlineStr">
        <is>
          <t>Medicine</t>
        </is>
      </c>
      <c r="J1108" t="inlineStr">
        <is>
          <t>Cox, Judith</t>
        </is>
      </c>
      <c r="K1108" t="inlineStr">
        <is>
          <t>N39.0</t>
        </is>
      </c>
      <c r="L1108" t="inlineStr">
        <is>
          <t>Genitourinary</t>
        </is>
      </c>
      <c r="M1108" t="inlineStr">
        <is>
          <t>Silverline Medicare Advantage</t>
        </is>
      </c>
      <c r="N1108" t="inlineStr">
        <is>
          <t>Medicare Advantage</t>
        </is>
      </c>
      <c r="O1108" s="39" t="n">
        <v>16792.25</v>
      </c>
      <c r="P1108" t="inlineStr">
        <is>
          <t>Y</t>
        </is>
      </c>
    </row>
    <row r="1109">
      <c r="A1109" t="inlineStr">
        <is>
          <t>ENC116893</t>
        </is>
      </c>
      <c r="B1109" t="inlineStr">
        <is>
          <t>PT12579</t>
        </is>
      </c>
      <c r="C1109" s="42" t="n">
        <v>45856</v>
      </c>
      <c r="D1109" s="42" t="n">
        <v>45856</v>
      </c>
      <c r="E1109" s="38" t="n">
        <v>0</v>
      </c>
      <c r="F1109" t="inlineStr">
        <is>
          <t>Emergency</t>
        </is>
      </c>
      <c r="G1109" t="inlineStr">
        <is>
          <t>Bluestone Memorial Hospital</t>
        </is>
      </c>
      <c r="H1109" t="inlineStr">
        <is>
          <t>Emergency Department</t>
        </is>
      </c>
      <c r="I1109" t="inlineStr">
        <is>
          <t>Emergency</t>
        </is>
      </c>
      <c r="J1109" t="inlineStr">
        <is>
          <t>Olson, Christian</t>
        </is>
      </c>
      <c r="K1109" t="inlineStr">
        <is>
          <t>L03.115</t>
        </is>
      </c>
      <c r="L1109" t="inlineStr">
        <is>
          <t>Skin</t>
        </is>
      </c>
      <c r="M1109" t="inlineStr">
        <is>
          <t>Silverline Medicare Advantage</t>
        </is>
      </c>
      <c r="N1109" t="inlineStr">
        <is>
          <t>Medicare Advantage</t>
        </is>
      </c>
      <c r="O1109" s="39" t="n">
        <v>3365.27</v>
      </c>
    </row>
    <row r="1110">
      <c r="A1110" t="inlineStr">
        <is>
          <t>ENC116899</t>
        </is>
      </c>
      <c r="B1110" t="inlineStr">
        <is>
          <t>PT11840</t>
        </is>
      </c>
      <c r="C1110" s="42" t="n">
        <v>45856</v>
      </c>
      <c r="D1110" s="42" t="n">
        <v>45856</v>
      </c>
      <c r="E1110" s="38" t="n">
        <v>0</v>
      </c>
      <c r="F1110" t="inlineStr">
        <is>
          <t>Outpatient</t>
        </is>
      </c>
      <c r="G1110" t="inlineStr">
        <is>
          <t>Bluestone Outpatient Pavilion</t>
        </is>
      </c>
      <c r="H1110" t="inlineStr">
        <is>
          <t>Infusion &amp; Oncology Clinic</t>
        </is>
      </c>
      <c r="I1110" t="inlineStr">
        <is>
          <t>Oncology</t>
        </is>
      </c>
      <c r="J1110" t="inlineStr">
        <is>
          <t>Hicks, Zachary</t>
        </is>
      </c>
      <c r="K1110" t="inlineStr">
        <is>
          <t>C50.911</t>
        </is>
      </c>
      <c r="L1110" t="inlineStr">
        <is>
          <t>Neoplasms</t>
        </is>
      </c>
      <c r="M1110" t="inlineStr">
        <is>
          <t>Silverline Medicare Advantage</t>
        </is>
      </c>
      <c r="N1110" t="inlineStr">
        <is>
          <t>Medicare Advantage</t>
        </is>
      </c>
      <c r="O1110" s="39" t="n">
        <v>569.8099999999999</v>
      </c>
    </row>
    <row r="1111">
      <c r="A1111" t="inlineStr">
        <is>
          <t>ENC116906</t>
        </is>
      </c>
      <c r="B1111" t="inlineStr">
        <is>
          <t>PT13750</t>
        </is>
      </c>
      <c r="C1111" s="42" t="n">
        <v>45856</v>
      </c>
      <c r="D1111" s="42" t="n">
        <v>45856</v>
      </c>
      <c r="E1111" s="38" t="n">
        <v>0</v>
      </c>
      <c r="F1111" t="inlineStr">
        <is>
          <t>Outpatient</t>
        </is>
      </c>
      <c r="G1111" t="inlineStr">
        <is>
          <t>Bluestone Outpatient Pavilion</t>
        </is>
      </c>
      <c r="H1111" t="inlineStr">
        <is>
          <t>Infusion &amp; Oncology Clinic</t>
        </is>
      </c>
      <c r="I1111" t="inlineStr">
        <is>
          <t>Oncology</t>
        </is>
      </c>
      <c r="J1111" t="inlineStr">
        <is>
          <t>Long, Fatima</t>
        </is>
      </c>
      <c r="K1111" t="inlineStr">
        <is>
          <t>Z51.11</t>
        </is>
      </c>
      <c r="L1111" t="inlineStr">
        <is>
          <t>Factors Influencing Health</t>
        </is>
      </c>
      <c r="M1111" t="inlineStr">
        <is>
          <t>Keystone Health Partners</t>
        </is>
      </c>
      <c r="N1111" t="inlineStr">
        <is>
          <t>Commercial</t>
        </is>
      </c>
      <c r="O1111" s="39" t="n">
        <v>9043.440000000001</v>
      </c>
    </row>
    <row r="1112">
      <c r="A1112" t="inlineStr">
        <is>
          <t>ENC116908</t>
        </is>
      </c>
      <c r="B1112" t="inlineStr">
        <is>
          <t>PT13788</t>
        </is>
      </c>
      <c r="C1112" s="42" t="n">
        <v>45856</v>
      </c>
      <c r="D1112" s="42" t="n">
        <v>45856</v>
      </c>
      <c r="E1112" s="38" t="n">
        <v>0</v>
      </c>
      <c r="F1112" t="inlineStr">
        <is>
          <t>Emergency</t>
        </is>
      </c>
      <c r="G1112" t="inlineStr">
        <is>
          <t>Bluestone Memorial Hospital</t>
        </is>
      </c>
      <c r="H1112" t="inlineStr">
        <is>
          <t>Emergency Department</t>
        </is>
      </c>
      <c r="I1112" t="inlineStr">
        <is>
          <t>Emergency</t>
        </is>
      </c>
      <c r="J1112" t="inlineStr">
        <is>
          <t>Morris, Jordan</t>
        </is>
      </c>
      <c r="K1112" t="inlineStr">
        <is>
          <t>L03.115</t>
        </is>
      </c>
      <c r="L1112" t="inlineStr">
        <is>
          <t>Skin</t>
        </is>
      </c>
      <c r="M1112" t="inlineStr">
        <is>
          <t>Silverline Medicare Advantage</t>
        </is>
      </c>
      <c r="N1112" t="inlineStr">
        <is>
          <t>Medicare Advantage</t>
        </is>
      </c>
      <c r="O1112" s="39" t="n">
        <v>3385.64</v>
      </c>
    </row>
    <row r="1113">
      <c r="A1113" t="inlineStr">
        <is>
          <t>ENC116915</t>
        </is>
      </c>
      <c r="B1113" t="inlineStr">
        <is>
          <t>PT12379</t>
        </is>
      </c>
      <c r="C1113" s="42" t="n">
        <v>45856</v>
      </c>
      <c r="D1113" s="42" t="n">
        <v>45857</v>
      </c>
      <c r="E1113" s="38" t="n">
        <v>1</v>
      </c>
      <c r="F1113" t="inlineStr">
        <is>
          <t>Observation</t>
        </is>
      </c>
      <c r="G1113" t="inlineStr">
        <is>
          <t>Bluestone Memorial Hospital</t>
        </is>
      </c>
      <c r="H1113" t="inlineStr">
        <is>
          <t>Observation Unit</t>
        </is>
      </c>
      <c r="I1113" t="inlineStr">
        <is>
          <t>Medicine</t>
        </is>
      </c>
      <c r="J1113" t="inlineStr">
        <is>
          <t>Abdi, Hassan</t>
        </is>
      </c>
      <c r="K1113" t="inlineStr">
        <is>
          <t>J45.909</t>
        </is>
      </c>
      <c r="L1113" t="inlineStr">
        <is>
          <t>Respiratory</t>
        </is>
      </c>
      <c r="M1113" t="inlineStr">
        <is>
          <t>Keystone Health Partners</t>
        </is>
      </c>
      <c r="N1113" t="inlineStr">
        <is>
          <t>Commercial</t>
        </is>
      </c>
      <c r="O1113" s="39" t="n">
        <v>8486.209999999999</v>
      </c>
    </row>
    <row r="1114">
      <c r="A1114" t="inlineStr">
        <is>
          <t>ENC116919</t>
        </is>
      </c>
      <c r="B1114" t="inlineStr">
        <is>
          <t>PT12471</t>
        </is>
      </c>
      <c r="C1114" s="42" t="n">
        <v>45857</v>
      </c>
      <c r="D1114" s="42" t="n">
        <v>45860</v>
      </c>
      <c r="E1114" s="38" t="n">
        <v>3</v>
      </c>
      <c r="F1114" t="inlineStr">
        <is>
          <t>Inpatient</t>
        </is>
      </c>
      <c r="G1114" t="inlineStr">
        <is>
          <t>Bluestone Memorial Hospital</t>
        </is>
      </c>
      <c r="H1114" t="inlineStr">
        <is>
          <t>Medical-Surgical 4 West</t>
        </is>
      </c>
      <c r="I1114" t="inlineStr">
        <is>
          <t>Medicine</t>
        </is>
      </c>
      <c r="J1114" t="inlineStr">
        <is>
          <t>Simpson, Kelly</t>
        </is>
      </c>
      <c r="K1114" t="inlineStr">
        <is>
          <t>L03.115</t>
        </is>
      </c>
      <c r="L1114" t="inlineStr">
        <is>
          <t>Skin</t>
        </is>
      </c>
      <c r="M1114" t="inlineStr">
        <is>
          <t>Self-Pay</t>
        </is>
      </c>
      <c r="N1114" t="inlineStr">
        <is>
          <t>Self-Pay</t>
        </is>
      </c>
      <c r="O1114" s="39" t="n">
        <v>13912.82</v>
      </c>
      <c r="P1114" t="inlineStr">
        <is>
          <t>N</t>
        </is>
      </c>
    </row>
    <row r="1115">
      <c r="A1115" t="inlineStr">
        <is>
          <t>ENC116932</t>
        </is>
      </c>
      <c r="B1115" t="inlineStr">
        <is>
          <t>PT11884</t>
        </is>
      </c>
      <c r="C1115" s="42" t="n">
        <v>45857</v>
      </c>
      <c r="D1115" s="42" t="n">
        <v>45857</v>
      </c>
      <c r="E1115" s="38" t="n">
        <v>0</v>
      </c>
      <c r="F1115" t="inlineStr">
        <is>
          <t>Emergency</t>
        </is>
      </c>
      <c r="G1115" t="inlineStr">
        <is>
          <t>Bluestone Memorial Hospital</t>
        </is>
      </c>
      <c r="H1115" t="inlineStr">
        <is>
          <t>Emergency Department</t>
        </is>
      </c>
      <c r="I1115" t="inlineStr">
        <is>
          <t>Emergency</t>
        </is>
      </c>
      <c r="J1115" t="inlineStr">
        <is>
          <t>Sullivan, Jacob</t>
        </is>
      </c>
      <c r="K1115" t="inlineStr">
        <is>
          <t>G40.909</t>
        </is>
      </c>
      <c r="L1115" t="inlineStr">
        <is>
          <t>Nervous System</t>
        </is>
      </c>
      <c r="M1115" t="inlineStr">
        <is>
          <t>Silverline Medicare Advantage</t>
        </is>
      </c>
      <c r="N1115" t="inlineStr">
        <is>
          <t>Medicare Advantage</t>
        </is>
      </c>
      <c r="O1115" s="39" t="n">
        <v>2655.62</v>
      </c>
    </row>
    <row r="1116">
      <c r="A1116" t="inlineStr">
        <is>
          <t>ENC116934</t>
        </is>
      </c>
      <c r="B1116" t="inlineStr">
        <is>
          <t>PT12912</t>
        </is>
      </c>
      <c r="C1116" s="42" t="n">
        <v>45857</v>
      </c>
      <c r="D1116" s="42" t="n">
        <v>45860</v>
      </c>
      <c r="E1116" s="38" t="n">
        <v>3</v>
      </c>
      <c r="F1116" t="inlineStr">
        <is>
          <t>Inpatient</t>
        </is>
      </c>
      <c r="G1116" t="inlineStr">
        <is>
          <t>Bluestone Memorial Hospital</t>
        </is>
      </c>
      <c r="H1116" t="inlineStr">
        <is>
          <t>Cardiac Step-Down</t>
        </is>
      </c>
      <c r="I1116" t="inlineStr">
        <is>
          <t>Cardiovascular</t>
        </is>
      </c>
      <c r="J1116" t="inlineStr">
        <is>
          <t>Hunt, Richard</t>
        </is>
      </c>
      <c r="K1116" t="inlineStr">
        <is>
          <t>I21.4</t>
        </is>
      </c>
      <c r="L1116" t="inlineStr">
        <is>
          <t>Circulatory</t>
        </is>
      </c>
      <c r="M1116" t="inlineStr">
        <is>
          <t>Evergreen Mutual Insurance</t>
        </is>
      </c>
      <c r="N1116" t="inlineStr">
        <is>
          <t>Commercial</t>
        </is>
      </c>
      <c r="O1116" s="39" t="n">
        <v>59545.38</v>
      </c>
      <c r="P1116" t="inlineStr">
        <is>
          <t>N</t>
        </is>
      </c>
    </row>
    <row r="1117">
      <c r="A1117" t="inlineStr">
        <is>
          <t>ENC116936</t>
        </is>
      </c>
      <c r="B1117" t="inlineStr">
        <is>
          <t>PT13518</t>
        </is>
      </c>
      <c r="C1117" s="42" t="n">
        <v>45857</v>
      </c>
      <c r="D1117" s="42" t="n">
        <v>45864</v>
      </c>
      <c r="E1117" s="38" t="n">
        <v>7</v>
      </c>
      <c r="F1117" t="inlineStr">
        <is>
          <t>Inpatient</t>
        </is>
      </c>
      <c r="G1117" t="inlineStr">
        <is>
          <t>Bluestone Memorial Hospital</t>
        </is>
      </c>
      <c r="H1117" t="inlineStr">
        <is>
          <t>Intensive Care Unit</t>
        </is>
      </c>
      <c r="I1117" t="inlineStr">
        <is>
          <t>Critical Care</t>
        </is>
      </c>
      <c r="J1117" t="inlineStr">
        <is>
          <t>Hamilton, Leila</t>
        </is>
      </c>
      <c r="K1117" t="inlineStr">
        <is>
          <t>A41.9</t>
        </is>
      </c>
      <c r="L1117" t="inlineStr">
        <is>
          <t>Infectious</t>
        </is>
      </c>
      <c r="M1117" t="inlineStr">
        <is>
          <t>State Medicaid</t>
        </is>
      </c>
      <c r="N1117" t="inlineStr">
        <is>
          <t>Government</t>
        </is>
      </c>
      <c r="O1117" s="39" t="n">
        <v>67127.06</v>
      </c>
      <c r="P1117" t="inlineStr">
        <is>
          <t>N</t>
        </is>
      </c>
    </row>
    <row r="1118">
      <c r="A1118" t="inlineStr">
        <is>
          <t>ENC116929</t>
        </is>
      </c>
      <c r="B1118" t="inlineStr">
        <is>
          <t>PT12930</t>
        </is>
      </c>
      <c r="C1118" s="42" t="n">
        <v>45857</v>
      </c>
      <c r="D1118" s="42" t="n">
        <v>45863</v>
      </c>
      <c r="E1118" s="38" t="n">
        <v>6</v>
      </c>
      <c r="F1118" t="inlineStr">
        <is>
          <t>Inpatient</t>
        </is>
      </c>
      <c r="G1118" t="inlineStr">
        <is>
          <t>Ashby Falls Community Hospital</t>
        </is>
      </c>
      <c r="H1118" t="inlineStr">
        <is>
          <t>Medical-Surgical</t>
        </is>
      </c>
      <c r="I1118" t="inlineStr">
        <is>
          <t>Medicine</t>
        </is>
      </c>
      <c r="J1118" t="inlineStr">
        <is>
          <t>Moreno, Melissa</t>
        </is>
      </c>
      <c r="K1118" t="inlineStr">
        <is>
          <t>A41.9</t>
        </is>
      </c>
      <c r="L1118" t="inlineStr">
        <is>
          <t>Infectious</t>
        </is>
      </c>
      <c r="M1118" t="inlineStr">
        <is>
          <t>Summit Choice PPO</t>
        </is>
      </c>
      <c r="N1118" t="inlineStr">
        <is>
          <t>Commercial</t>
        </is>
      </c>
      <c r="O1118" s="39" t="n">
        <v>56008.75</v>
      </c>
      <c r="P1118" t="inlineStr">
        <is>
          <t>N</t>
        </is>
      </c>
    </row>
    <row r="1119">
      <c r="A1119" t="inlineStr">
        <is>
          <t>ENC116938</t>
        </is>
      </c>
      <c r="B1119" t="inlineStr">
        <is>
          <t>PT12035</t>
        </is>
      </c>
      <c r="C1119" s="42" t="n">
        <v>45857</v>
      </c>
      <c r="D1119" s="42" t="n">
        <v>45858</v>
      </c>
      <c r="E1119" s="38" t="n">
        <v>1</v>
      </c>
      <c r="F1119" t="inlineStr">
        <is>
          <t>Emergency</t>
        </is>
      </c>
      <c r="G1119" t="inlineStr">
        <is>
          <t>Bluestone Memorial Hospital</t>
        </is>
      </c>
      <c r="H1119" t="inlineStr">
        <is>
          <t>Emergency Department</t>
        </is>
      </c>
      <c r="I1119" t="inlineStr">
        <is>
          <t>Emergency</t>
        </is>
      </c>
      <c r="J1119" t="inlineStr">
        <is>
          <t>Morris, Jordan</t>
        </is>
      </c>
      <c r="K1119" t="inlineStr">
        <is>
          <t>J18.9</t>
        </is>
      </c>
      <c r="L1119" t="inlineStr">
        <is>
          <t>Respiratory</t>
        </is>
      </c>
      <c r="M1119" t="inlineStr">
        <is>
          <t>Silverline Medicare Advantage</t>
        </is>
      </c>
      <c r="N1119" t="inlineStr">
        <is>
          <t>Medicare Advantage</t>
        </is>
      </c>
      <c r="O1119" s="39" t="n">
        <v>2408.08</v>
      </c>
    </row>
    <row r="1120">
      <c r="A1120" t="inlineStr">
        <is>
          <t>ENC116935</t>
        </is>
      </c>
      <c r="B1120" t="inlineStr">
        <is>
          <t>PT13655</t>
        </is>
      </c>
      <c r="C1120" s="42" t="n">
        <v>45857</v>
      </c>
      <c r="D1120" s="42" t="n">
        <v>45859</v>
      </c>
      <c r="E1120" s="38" t="n">
        <v>2</v>
      </c>
      <c r="F1120" t="inlineStr">
        <is>
          <t>Inpatient</t>
        </is>
      </c>
      <c r="G1120" t="inlineStr">
        <is>
          <t>Bluestone Memorial Hospital</t>
        </is>
      </c>
      <c r="H1120" t="inlineStr">
        <is>
          <t>Medical-Surgical 4 West</t>
        </is>
      </c>
      <c r="I1120" t="inlineStr">
        <is>
          <t>Medicine</t>
        </is>
      </c>
      <c r="J1120" t="inlineStr">
        <is>
          <t>Lopez, Teresa</t>
        </is>
      </c>
      <c r="K1120" t="inlineStr">
        <is>
          <t>K80.20</t>
        </is>
      </c>
      <c r="L1120" t="inlineStr">
        <is>
          <t>Digestive</t>
        </is>
      </c>
      <c r="M1120" t="inlineStr">
        <is>
          <t>State Medicaid</t>
        </is>
      </c>
      <c r="N1120" t="inlineStr">
        <is>
          <t>Government</t>
        </is>
      </c>
      <c r="O1120" s="39" t="n">
        <v>28798.58</v>
      </c>
      <c r="P1120" t="inlineStr">
        <is>
          <t>N</t>
        </is>
      </c>
    </row>
    <row r="1121">
      <c r="A1121" t="inlineStr">
        <is>
          <t>ENC116942</t>
        </is>
      </c>
      <c r="B1121" t="inlineStr">
        <is>
          <t>PT10444</t>
        </is>
      </c>
      <c r="C1121" s="42" t="n">
        <v>45857</v>
      </c>
      <c r="D1121" s="42" t="n">
        <v>45858</v>
      </c>
      <c r="E1121" s="38" t="n">
        <v>1</v>
      </c>
      <c r="F1121" t="inlineStr">
        <is>
          <t>Emergency</t>
        </is>
      </c>
      <c r="G1121" t="inlineStr">
        <is>
          <t>Bluestone Memorial Hospital</t>
        </is>
      </c>
      <c r="H1121" t="inlineStr">
        <is>
          <t>Emergency Department</t>
        </is>
      </c>
      <c r="I1121" t="inlineStr">
        <is>
          <t>Emergency</t>
        </is>
      </c>
      <c r="J1121" t="inlineStr">
        <is>
          <t>Morris, Jordan</t>
        </is>
      </c>
      <c r="K1121" t="inlineStr">
        <is>
          <t>R10.9</t>
        </is>
      </c>
      <c r="L1121" t="inlineStr">
        <is>
          <t>Symptoms &amp; Signs</t>
        </is>
      </c>
      <c r="M1121" t="inlineStr">
        <is>
          <t>Medicare</t>
        </is>
      </c>
      <c r="N1121" t="inlineStr">
        <is>
          <t>Government</t>
        </is>
      </c>
      <c r="O1121" s="39" t="n">
        <v>1760.45</v>
      </c>
    </row>
    <row r="1122">
      <c r="A1122" t="inlineStr">
        <is>
          <t>ENC116943</t>
        </is>
      </c>
      <c r="B1122" t="inlineStr">
        <is>
          <t>PT11298</t>
        </is>
      </c>
      <c r="C1122" s="42" t="n">
        <v>45858</v>
      </c>
      <c r="D1122" s="42" t="n">
        <v>45870</v>
      </c>
      <c r="E1122" s="38" t="n">
        <v>12</v>
      </c>
      <c r="F1122" t="inlineStr">
        <is>
          <t>Inpatient</t>
        </is>
      </c>
      <c r="G1122" t="inlineStr">
        <is>
          <t>Bluestone Memorial Hospital</t>
        </is>
      </c>
      <c r="H1122" t="inlineStr">
        <is>
          <t>Cardiac Step-Down</t>
        </is>
      </c>
      <c r="I1122" t="inlineStr">
        <is>
          <t>Cardiovascular</t>
        </is>
      </c>
      <c r="J1122" t="inlineStr">
        <is>
          <t>Guzman, Michelle</t>
        </is>
      </c>
      <c r="K1122" t="inlineStr">
        <is>
          <t>I50.9</t>
        </is>
      </c>
      <c r="L1122" t="inlineStr">
        <is>
          <t>Circulatory</t>
        </is>
      </c>
      <c r="M1122" t="inlineStr">
        <is>
          <t>Silverline Medicare Advantage</t>
        </is>
      </c>
      <c r="N1122" t="inlineStr">
        <is>
          <t>Medicare Advantage</t>
        </is>
      </c>
      <c r="O1122" s="39" t="n">
        <v>62064.94</v>
      </c>
      <c r="P1122" t="inlineStr">
        <is>
          <t>N</t>
        </is>
      </c>
    </row>
    <row r="1123">
      <c r="A1123" t="inlineStr">
        <is>
          <t>ENC116955</t>
        </is>
      </c>
      <c r="B1123" t="inlineStr">
        <is>
          <t>PT13039</t>
        </is>
      </c>
      <c r="C1123" s="42" t="n">
        <v>45858</v>
      </c>
      <c r="D1123" s="42" t="n">
        <v>45858</v>
      </c>
      <c r="E1123" s="38" t="n">
        <v>0</v>
      </c>
      <c r="F1123" t="inlineStr">
        <is>
          <t>Emergency</t>
        </is>
      </c>
      <c r="G1123" t="inlineStr">
        <is>
          <t>Bluestone Memorial Hospital</t>
        </is>
      </c>
      <c r="H1123" t="inlineStr">
        <is>
          <t>Emergency Department</t>
        </is>
      </c>
      <c r="I1123" t="inlineStr">
        <is>
          <t>Emergency</t>
        </is>
      </c>
      <c r="J1123" t="inlineStr">
        <is>
          <t>Sullivan, Jacob</t>
        </is>
      </c>
      <c r="K1123" t="inlineStr">
        <is>
          <t>N39.0</t>
        </is>
      </c>
      <c r="L1123" t="inlineStr">
        <is>
          <t>Genitourinary</t>
        </is>
      </c>
      <c r="M1123" t="inlineStr">
        <is>
          <t>Self-Pay</t>
        </is>
      </c>
      <c r="N1123" t="inlineStr">
        <is>
          <t>Self-Pay</t>
        </is>
      </c>
      <c r="O1123" s="39" t="n">
        <v>2609.64</v>
      </c>
    </row>
    <row r="1124">
      <c r="A1124" t="inlineStr">
        <is>
          <t>ENC116953</t>
        </is>
      </c>
      <c r="B1124" t="inlineStr">
        <is>
          <t>PT13357</t>
        </is>
      </c>
      <c r="C1124" s="42" t="n">
        <v>45858</v>
      </c>
      <c r="D1124" s="42" t="n">
        <v>45861</v>
      </c>
      <c r="E1124" s="38" t="n">
        <v>3</v>
      </c>
      <c r="F1124" t="inlineStr">
        <is>
          <t>Inpatient</t>
        </is>
      </c>
      <c r="G1124" t="inlineStr">
        <is>
          <t>Bluestone Memorial Hospital</t>
        </is>
      </c>
      <c r="H1124" t="inlineStr">
        <is>
          <t>Medical-Surgical 4 West</t>
        </is>
      </c>
      <c r="I1124" t="inlineStr">
        <is>
          <t>Medicine</t>
        </is>
      </c>
      <c r="J1124" t="inlineStr">
        <is>
          <t>White, Kathleen</t>
        </is>
      </c>
      <c r="K1124" t="inlineStr">
        <is>
          <t>K35.80</t>
        </is>
      </c>
      <c r="L1124" t="inlineStr">
        <is>
          <t>Digestive</t>
        </is>
      </c>
      <c r="M1124" t="inlineStr">
        <is>
          <t>State Medicaid</t>
        </is>
      </c>
      <c r="N1124" t="inlineStr">
        <is>
          <t>Government</t>
        </is>
      </c>
      <c r="O1124" s="39" t="n">
        <v>42964.71</v>
      </c>
      <c r="P1124" t="inlineStr">
        <is>
          <t>N</t>
        </is>
      </c>
    </row>
    <row r="1125">
      <c r="A1125" t="inlineStr">
        <is>
          <t>ENC116957</t>
        </is>
      </c>
      <c r="B1125" t="inlineStr">
        <is>
          <t>PT12950</t>
        </is>
      </c>
      <c r="C1125" s="42" t="n">
        <v>45858</v>
      </c>
      <c r="D1125" s="42" t="n">
        <v>45864</v>
      </c>
      <c r="E1125" s="38" t="n">
        <v>6</v>
      </c>
      <c r="F1125" t="inlineStr">
        <is>
          <t>Inpatient</t>
        </is>
      </c>
      <c r="G1125" t="inlineStr">
        <is>
          <t>Bluestone Memorial Hospital</t>
        </is>
      </c>
      <c r="H1125" t="inlineStr">
        <is>
          <t>Cardiac Step-Down</t>
        </is>
      </c>
      <c r="I1125" t="inlineStr">
        <is>
          <t>Cardiovascular</t>
        </is>
      </c>
      <c r="J1125" t="inlineStr">
        <is>
          <t>Taylor, Jonathan</t>
        </is>
      </c>
      <c r="K1125" t="inlineStr">
        <is>
          <t>I21.4</t>
        </is>
      </c>
      <c r="L1125" t="inlineStr">
        <is>
          <t>Circulatory</t>
        </is>
      </c>
      <c r="M1125" t="inlineStr">
        <is>
          <t>Medicare</t>
        </is>
      </c>
      <c r="N1125" t="inlineStr">
        <is>
          <t>Government</t>
        </is>
      </c>
      <c r="O1125" s="39" t="n">
        <v>77032.57000000001</v>
      </c>
      <c r="P1125" t="inlineStr">
        <is>
          <t>N</t>
        </is>
      </c>
    </row>
    <row r="1126">
      <c r="A1126" t="inlineStr">
        <is>
          <t>ENC116984</t>
        </is>
      </c>
      <c r="B1126" t="inlineStr">
        <is>
          <t>PT13180</t>
        </is>
      </c>
      <c r="C1126" s="42" t="n">
        <v>45859</v>
      </c>
      <c r="D1126" s="42" t="n">
        <v>45859</v>
      </c>
      <c r="E1126" s="38" t="n">
        <v>0</v>
      </c>
      <c r="F1126" t="inlineStr">
        <is>
          <t>Emergency</t>
        </is>
      </c>
      <c r="G1126" t="inlineStr">
        <is>
          <t>Bluestone Memorial Hospital</t>
        </is>
      </c>
      <c r="H1126" t="inlineStr">
        <is>
          <t>Emergency Department</t>
        </is>
      </c>
      <c r="I1126" t="inlineStr">
        <is>
          <t>Emergency</t>
        </is>
      </c>
      <c r="J1126" t="inlineStr">
        <is>
          <t>Kowalski, James</t>
        </is>
      </c>
      <c r="K1126" t="inlineStr">
        <is>
          <t>R10.9</t>
        </is>
      </c>
      <c r="L1126" t="inlineStr">
        <is>
          <t>Symptoms &amp; Signs</t>
        </is>
      </c>
      <c r="M1126" t="inlineStr">
        <is>
          <t>State Medicaid</t>
        </is>
      </c>
      <c r="N1126" t="inlineStr">
        <is>
          <t>Government</t>
        </is>
      </c>
      <c r="O1126" s="39" t="n">
        <v>1334.57</v>
      </c>
    </row>
    <row r="1127">
      <c r="A1127" t="inlineStr">
        <is>
          <t>ENC116986</t>
        </is>
      </c>
      <c r="B1127" t="inlineStr">
        <is>
          <t>PT13091</t>
        </is>
      </c>
      <c r="C1127" s="42" t="n">
        <v>45859</v>
      </c>
      <c r="D1127" s="42" t="n">
        <v>45859</v>
      </c>
      <c r="E1127" s="38" t="n">
        <v>0</v>
      </c>
      <c r="F1127" t="inlineStr">
        <is>
          <t>Emergency</t>
        </is>
      </c>
      <c r="G1127" t="inlineStr">
        <is>
          <t>Ashby Falls Community Hospital</t>
        </is>
      </c>
      <c r="H1127" t="inlineStr">
        <is>
          <t>Emergency Department</t>
        </is>
      </c>
      <c r="I1127" t="inlineStr">
        <is>
          <t>Emergency</t>
        </is>
      </c>
      <c r="J1127" t="inlineStr">
        <is>
          <t>Wright, Bruce</t>
        </is>
      </c>
      <c r="K1127" t="inlineStr">
        <is>
          <t>M54.50</t>
        </is>
      </c>
      <c r="L1127" t="inlineStr">
        <is>
          <t>Musculoskeletal</t>
        </is>
      </c>
      <c r="M1127" t="inlineStr">
        <is>
          <t>Keystone Health Partners</t>
        </is>
      </c>
      <c r="N1127" t="inlineStr">
        <is>
          <t>Commercial</t>
        </is>
      </c>
      <c r="O1127" s="39" t="n">
        <v>1007.49</v>
      </c>
    </row>
    <row r="1128">
      <c r="A1128" t="inlineStr">
        <is>
          <t>ENC116989</t>
        </is>
      </c>
      <c r="B1128" t="inlineStr">
        <is>
          <t>PT10543</t>
        </is>
      </c>
      <c r="C1128" s="42" t="n">
        <v>45859</v>
      </c>
      <c r="D1128" s="42" t="n">
        <v>45860</v>
      </c>
      <c r="E1128" s="38" t="n">
        <v>1</v>
      </c>
      <c r="F1128" t="inlineStr">
        <is>
          <t>Emergency</t>
        </is>
      </c>
      <c r="G1128" t="inlineStr">
        <is>
          <t>Ashby Falls Community Hospital</t>
        </is>
      </c>
      <c r="H1128" t="inlineStr">
        <is>
          <t>Emergency Department</t>
        </is>
      </c>
      <c r="I1128" t="inlineStr">
        <is>
          <t>Emergency</t>
        </is>
      </c>
      <c r="J1128" t="inlineStr">
        <is>
          <t>Collins, Frank</t>
        </is>
      </c>
      <c r="K1128" t="inlineStr">
        <is>
          <t>E11.65</t>
        </is>
      </c>
      <c r="L1128" t="inlineStr">
        <is>
          <t>Endocrine</t>
        </is>
      </c>
      <c r="M1128" t="inlineStr">
        <is>
          <t>Summit Choice PPO</t>
        </is>
      </c>
      <c r="N1128" t="inlineStr">
        <is>
          <t>Commercial</t>
        </is>
      </c>
      <c r="O1128" s="39" t="n">
        <v>2712.4</v>
      </c>
    </row>
    <row r="1129">
      <c r="A1129" t="inlineStr">
        <is>
          <t>ENC116991</t>
        </is>
      </c>
      <c r="B1129" t="inlineStr">
        <is>
          <t>PT11111</t>
        </is>
      </c>
      <c r="C1129" s="42" t="n">
        <v>45860</v>
      </c>
      <c r="D1129" s="42" t="n">
        <v>45860</v>
      </c>
      <c r="E1129" s="38" t="n">
        <v>0</v>
      </c>
      <c r="F1129" t="inlineStr">
        <is>
          <t>Emergency</t>
        </is>
      </c>
      <c r="G1129" t="inlineStr">
        <is>
          <t>Bluestone Memorial Hospital</t>
        </is>
      </c>
      <c r="H1129" t="inlineStr">
        <is>
          <t>Emergency Department</t>
        </is>
      </c>
      <c r="I1129" t="inlineStr">
        <is>
          <t>Emergency</t>
        </is>
      </c>
      <c r="J1129" t="inlineStr">
        <is>
          <t>Jordan, Wayne</t>
        </is>
      </c>
      <c r="K1129" t="inlineStr">
        <is>
          <t>E86.0</t>
        </is>
      </c>
      <c r="L1129" t="inlineStr">
        <is>
          <t>Endocrine</t>
        </is>
      </c>
      <c r="M1129" t="inlineStr">
        <is>
          <t>Medicare</t>
        </is>
      </c>
      <c r="N1129" t="inlineStr">
        <is>
          <t>Government</t>
        </is>
      </c>
      <c r="O1129" s="39" t="n">
        <v>1346.5</v>
      </c>
    </row>
    <row r="1130">
      <c r="A1130" t="inlineStr">
        <is>
          <t>ENC116992</t>
        </is>
      </c>
      <c r="B1130" t="inlineStr">
        <is>
          <t>PT13261</t>
        </is>
      </c>
      <c r="C1130" s="42" t="n">
        <v>45860</v>
      </c>
      <c r="D1130" s="42" t="n">
        <v>45860</v>
      </c>
      <c r="E1130" s="38" t="n">
        <v>0</v>
      </c>
      <c r="F1130" t="inlineStr">
        <is>
          <t>Emergency</t>
        </is>
      </c>
      <c r="G1130" t="inlineStr">
        <is>
          <t>Bluestone Memorial Hospital</t>
        </is>
      </c>
      <c r="H1130" t="inlineStr">
        <is>
          <t>Emergency Department</t>
        </is>
      </c>
      <c r="I1130" t="inlineStr">
        <is>
          <t>Emergency</t>
        </is>
      </c>
      <c r="J1130" t="inlineStr">
        <is>
          <t>Sullivan, Jacob</t>
        </is>
      </c>
      <c r="K1130" t="inlineStr">
        <is>
          <t>S93.401A</t>
        </is>
      </c>
      <c r="L1130" t="inlineStr">
        <is>
          <t>Injury</t>
        </is>
      </c>
      <c r="M1130" t="inlineStr">
        <is>
          <t>Silverline Medicare Advantage</t>
        </is>
      </c>
      <c r="N1130" t="inlineStr">
        <is>
          <t>Medicare Advantage</t>
        </is>
      </c>
      <c r="O1130" s="39" t="n">
        <v>1790.17</v>
      </c>
    </row>
    <row r="1131">
      <c r="A1131" t="inlineStr">
        <is>
          <t>ENC116993</t>
        </is>
      </c>
      <c r="B1131" t="inlineStr">
        <is>
          <t>PT13507</t>
        </is>
      </c>
      <c r="C1131" s="42" t="n">
        <v>45860</v>
      </c>
      <c r="D1131" s="42" t="n">
        <v>45860</v>
      </c>
      <c r="E1131" s="38" t="n">
        <v>0</v>
      </c>
      <c r="F1131" t="inlineStr">
        <is>
          <t>Emergency</t>
        </is>
      </c>
      <c r="G1131" t="inlineStr">
        <is>
          <t>Ashby Falls Community Hospital</t>
        </is>
      </c>
      <c r="H1131" t="inlineStr">
        <is>
          <t>Emergency Department</t>
        </is>
      </c>
      <c r="I1131" t="inlineStr">
        <is>
          <t>Emergency</t>
        </is>
      </c>
      <c r="J1131" t="inlineStr">
        <is>
          <t>Walker, Margaret</t>
        </is>
      </c>
      <c r="K1131" t="inlineStr">
        <is>
          <t>S93.401A</t>
        </is>
      </c>
      <c r="L1131" t="inlineStr">
        <is>
          <t>Injury</t>
        </is>
      </c>
      <c r="M1131" t="inlineStr">
        <is>
          <t>Workers' Compensation</t>
        </is>
      </c>
      <c r="N1131" t="inlineStr">
        <is>
          <t>Workers' Comp</t>
        </is>
      </c>
      <c r="O1131" s="39" t="n">
        <v>902.76</v>
      </c>
    </row>
    <row r="1132">
      <c r="A1132" t="inlineStr">
        <is>
          <t>ENC116996</t>
        </is>
      </c>
      <c r="B1132" t="inlineStr">
        <is>
          <t>PT12857</t>
        </is>
      </c>
      <c r="C1132" s="42" t="n">
        <v>45860</v>
      </c>
      <c r="D1132" s="42" t="n">
        <v>45860</v>
      </c>
      <c r="E1132" s="38" t="n">
        <v>0</v>
      </c>
      <c r="F1132" t="inlineStr">
        <is>
          <t>Outpatient</t>
        </is>
      </c>
      <c r="G1132" t="inlineStr">
        <is>
          <t>Bluestone Outpatient Pavilion</t>
        </is>
      </c>
      <c r="H1132" t="inlineStr">
        <is>
          <t>Cardiology Clinic</t>
        </is>
      </c>
      <c r="I1132" t="inlineStr">
        <is>
          <t>Cardiovascular</t>
        </is>
      </c>
      <c r="J1132" t="inlineStr">
        <is>
          <t>Jenkins, Brittany</t>
        </is>
      </c>
      <c r="K1132" t="inlineStr">
        <is>
          <t>I50.9</t>
        </is>
      </c>
      <c r="L1132" t="inlineStr">
        <is>
          <t>Circulatory</t>
        </is>
      </c>
      <c r="M1132" t="inlineStr">
        <is>
          <t>Keystone Health Partners</t>
        </is>
      </c>
      <c r="N1132" t="inlineStr">
        <is>
          <t>Commercial</t>
        </is>
      </c>
      <c r="O1132" s="39" t="n">
        <v>328.49</v>
      </c>
    </row>
    <row r="1133">
      <c r="A1133" t="inlineStr">
        <is>
          <t>ENC117000</t>
        </is>
      </c>
      <c r="B1133" t="inlineStr">
        <is>
          <t>PT10388</t>
        </is>
      </c>
      <c r="C1133" s="42" t="n">
        <v>45860</v>
      </c>
      <c r="D1133" s="42" t="n">
        <v>45860</v>
      </c>
      <c r="E1133" s="38" t="n">
        <v>0</v>
      </c>
      <c r="F1133" t="inlineStr">
        <is>
          <t>Outpatient</t>
        </is>
      </c>
      <c r="G1133" t="inlineStr">
        <is>
          <t>Bluestone Outpatient Pavilion</t>
        </is>
      </c>
      <c r="H1133" t="inlineStr">
        <is>
          <t>Orthopedic Clinic</t>
        </is>
      </c>
      <c r="I1133" t="inlineStr">
        <is>
          <t>Orthopedics</t>
        </is>
      </c>
      <c r="J1133" t="inlineStr">
        <is>
          <t>Wagner, Carlos</t>
        </is>
      </c>
      <c r="K1133" t="inlineStr">
        <is>
          <t>M16.11</t>
        </is>
      </c>
      <c r="L1133" t="inlineStr">
        <is>
          <t>Musculoskeletal</t>
        </is>
      </c>
      <c r="M1133" t="inlineStr">
        <is>
          <t>Medicare</t>
        </is>
      </c>
      <c r="N1133" t="inlineStr">
        <is>
          <t>Government</t>
        </is>
      </c>
      <c r="O1133" s="39" t="n">
        <v>536.2</v>
      </c>
    </row>
    <row r="1134">
      <c r="A1134" t="inlineStr">
        <is>
          <t>ENC117007</t>
        </is>
      </c>
      <c r="B1134" t="inlineStr">
        <is>
          <t>PT12763</t>
        </is>
      </c>
      <c r="C1134" s="42" t="n">
        <v>45860</v>
      </c>
      <c r="D1134" s="42" t="n">
        <v>45860</v>
      </c>
      <c r="E1134" s="38" t="n">
        <v>0</v>
      </c>
      <c r="F1134" t="inlineStr">
        <is>
          <t>Outpatient</t>
        </is>
      </c>
      <c r="G1134" t="inlineStr">
        <is>
          <t>Bluestone Outpatient Pavilion</t>
        </is>
      </c>
      <c r="H1134" t="inlineStr">
        <is>
          <t>Endocrinology &amp; Diabetes Clinic</t>
        </is>
      </c>
      <c r="I1134" t="inlineStr">
        <is>
          <t>Ambulatory</t>
        </is>
      </c>
      <c r="J1134" t="inlineStr">
        <is>
          <t>Woods, Larry</t>
        </is>
      </c>
      <c r="K1134" t="inlineStr">
        <is>
          <t>E11.9</t>
        </is>
      </c>
      <c r="L1134" t="inlineStr">
        <is>
          <t>Endocrine</t>
        </is>
      </c>
      <c r="M1134" t="inlineStr">
        <is>
          <t>Silverline Medicare Advantage</t>
        </is>
      </c>
      <c r="N1134" t="inlineStr">
        <is>
          <t>Medicare Advantage</t>
        </is>
      </c>
      <c r="O1134" s="39" t="n">
        <v>206.98</v>
      </c>
    </row>
    <row r="1135">
      <c r="A1135" t="inlineStr">
        <is>
          <t>ENC117019</t>
        </is>
      </c>
      <c r="B1135" t="inlineStr">
        <is>
          <t>PT13001</t>
        </is>
      </c>
      <c r="C1135" s="42" t="n">
        <v>45860</v>
      </c>
      <c r="D1135" s="42" t="n">
        <v>45860</v>
      </c>
      <c r="E1135" s="38" t="n">
        <v>0</v>
      </c>
      <c r="F1135" t="inlineStr">
        <is>
          <t>Emergency</t>
        </is>
      </c>
      <c r="G1135" t="inlineStr">
        <is>
          <t>Bluestone Memorial Hospital</t>
        </is>
      </c>
      <c r="H1135" t="inlineStr">
        <is>
          <t>Emergency Department</t>
        </is>
      </c>
      <c r="I1135" t="inlineStr">
        <is>
          <t>Emergency</t>
        </is>
      </c>
      <c r="J1135" t="inlineStr">
        <is>
          <t>Kowalski, James</t>
        </is>
      </c>
      <c r="K1135" t="inlineStr">
        <is>
          <t>E11.65</t>
        </is>
      </c>
      <c r="L1135" t="inlineStr">
        <is>
          <t>Endocrine</t>
        </is>
      </c>
      <c r="M1135" t="inlineStr">
        <is>
          <t>Medicare</t>
        </is>
      </c>
      <c r="N1135" t="inlineStr">
        <is>
          <t>Government</t>
        </is>
      </c>
      <c r="O1135" s="39" t="n">
        <v>3892.52</v>
      </c>
    </row>
    <row r="1136">
      <c r="A1136" t="inlineStr">
        <is>
          <t>ENC117022</t>
        </is>
      </c>
      <c r="B1136" t="inlineStr">
        <is>
          <t>PT13991</t>
        </is>
      </c>
      <c r="C1136" s="42" t="n">
        <v>45860</v>
      </c>
      <c r="D1136" s="42" t="n">
        <v>45862</v>
      </c>
      <c r="E1136" s="38" t="n">
        <v>2</v>
      </c>
      <c r="F1136" t="inlineStr">
        <is>
          <t>Inpatient</t>
        </is>
      </c>
      <c r="G1136" t="inlineStr">
        <is>
          <t>Cedar Ridge Medical Center</t>
        </is>
      </c>
      <c r="H1136" t="inlineStr">
        <is>
          <t>Medical-Surgical</t>
        </is>
      </c>
      <c r="I1136" t="inlineStr">
        <is>
          <t>Medicine</t>
        </is>
      </c>
      <c r="J1136" t="inlineStr">
        <is>
          <t>Reyes, Harper</t>
        </is>
      </c>
      <c r="K1136" t="inlineStr">
        <is>
          <t>F10.239</t>
        </is>
      </c>
      <c r="L1136" t="inlineStr">
        <is>
          <t>Mental &amp; Behavioral</t>
        </is>
      </c>
      <c r="M1136" t="inlineStr">
        <is>
          <t>Silverline Medicare Advantage</t>
        </is>
      </c>
      <c r="N1136" t="inlineStr">
        <is>
          <t>Medicare Advantage</t>
        </is>
      </c>
      <c r="O1136" s="39" t="n">
        <v>8814.49</v>
      </c>
      <c r="P1136" t="inlineStr">
        <is>
          <t>N</t>
        </is>
      </c>
    </row>
    <row r="1137">
      <c r="A1137" t="inlineStr">
        <is>
          <t>ENC117031</t>
        </is>
      </c>
      <c r="B1137" t="inlineStr">
        <is>
          <t>PT10857</t>
        </is>
      </c>
      <c r="C1137" s="42" t="n">
        <v>45861</v>
      </c>
      <c r="D1137" s="42" t="n">
        <v>45863</v>
      </c>
      <c r="E1137" s="38" t="n">
        <v>2</v>
      </c>
      <c r="F1137" t="inlineStr">
        <is>
          <t>Inpatient</t>
        </is>
      </c>
      <c r="G1137" t="inlineStr">
        <is>
          <t>Bluestone Memorial Hospital</t>
        </is>
      </c>
      <c r="H1137" t="inlineStr">
        <is>
          <t>Orthopedics &amp; Spine</t>
        </is>
      </c>
      <c r="I1137" t="inlineStr">
        <is>
          <t>Orthopedics</t>
        </is>
      </c>
      <c r="J1137" t="inlineStr">
        <is>
          <t>Santos, Grace</t>
        </is>
      </c>
      <c r="K1137" t="inlineStr">
        <is>
          <t>M17.11</t>
        </is>
      </c>
      <c r="L1137" t="inlineStr">
        <is>
          <t>Musculoskeletal</t>
        </is>
      </c>
      <c r="M1137" t="inlineStr">
        <is>
          <t>Medicare</t>
        </is>
      </c>
      <c r="N1137" t="inlineStr">
        <is>
          <t>Government</t>
        </is>
      </c>
      <c r="O1137" s="39" t="n">
        <v>36323.65</v>
      </c>
      <c r="P1137" t="inlineStr">
        <is>
          <t>N</t>
        </is>
      </c>
    </row>
    <row r="1138">
      <c r="A1138" t="inlineStr">
        <is>
          <t>ENC117033</t>
        </is>
      </c>
      <c r="B1138" t="inlineStr">
        <is>
          <t>PT13476</t>
        </is>
      </c>
      <c r="C1138" s="42" t="n">
        <v>45861</v>
      </c>
      <c r="D1138" s="42" t="n">
        <v>45861</v>
      </c>
      <c r="E1138" s="38" t="n">
        <v>0</v>
      </c>
      <c r="F1138" t="inlineStr">
        <is>
          <t>Outpatient</t>
        </is>
      </c>
      <c r="G1138" t="inlineStr">
        <is>
          <t>Bluestone Outpatient Pavilion</t>
        </is>
      </c>
      <c r="H1138" t="inlineStr">
        <is>
          <t>Orthopedic Clinic</t>
        </is>
      </c>
      <c r="I1138" t="inlineStr">
        <is>
          <t>Orthopedics</t>
        </is>
      </c>
      <c r="J1138" t="inlineStr">
        <is>
          <t>Hernandez, Kyle</t>
        </is>
      </c>
      <c r="K1138" t="inlineStr">
        <is>
          <t>M16.11</t>
        </is>
      </c>
      <c r="L1138" t="inlineStr">
        <is>
          <t>Musculoskeletal</t>
        </is>
      </c>
      <c r="M1138" t="inlineStr">
        <is>
          <t>Medicare</t>
        </is>
      </c>
      <c r="N1138" t="inlineStr">
        <is>
          <t>Government</t>
        </is>
      </c>
      <c r="O1138" s="39" t="n">
        <v>346.8</v>
      </c>
    </row>
    <row r="1139">
      <c r="A1139" t="inlineStr">
        <is>
          <t>ENC117034</t>
        </is>
      </c>
      <c r="B1139" t="inlineStr">
        <is>
          <t>PT13537</t>
        </is>
      </c>
      <c r="C1139" s="42" t="n">
        <v>45861</v>
      </c>
      <c r="D1139" s="42" t="n">
        <v>45861</v>
      </c>
      <c r="E1139" s="38" t="n">
        <v>0</v>
      </c>
      <c r="F1139" t="inlineStr">
        <is>
          <t>Outpatient</t>
        </is>
      </c>
      <c r="G1139" t="inlineStr">
        <is>
          <t>Bluestone Outpatient Pavilion</t>
        </is>
      </c>
      <c r="H1139" t="inlineStr">
        <is>
          <t>Pediatric Clinic</t>
        </is>
      </c>
      <c r="I1139" t="inlineStr">
        <is>
          <t>Women &amp; Children</t>
        </is>
      </c>
      <c r="J1139" t="inlineStr">
        <is>
          <t>Aguilar, Linh</t>
        </is>
      </c>
      <c r="K1139" t="inlineStr">
        <is>
          <t>Z00.129</t>
        </is>
      </c>
      <c r="L1139" t="inlineStr">
        <is>
          <t>Factors Influencing Health</t>
        </is>
      </c>
      <c r="M1139" t="inlineStr">
        <is>
          <t>Self-Pay</t>
        </is>
      </c>
      <c r="N1139" t="inlineStr">
        <is>
          <t>Self-Pay</t>
        </is>
      </c>
      <c r="O1139" s="39" t="n">
        <v>272.71</v>
      </c>
    </row>
    <row r="1140">
      <c r="A1140" t="inlineStr">
        <is>
          <t>ENC117042</t>
        </is>
      </c>
      <c r="B1140" t="inlineStr">
        <is>
          <t>PT11199</t>
        </is>
      </c>
      <c r="C1140" s="42" t="n">
        <v>45861</v>
      </c>
      <c r="D1140" s="42" t="n">
        <v>45861</v>
      </c>
      <c r="E1140" s="38" t="n">
        <v>0</v>
      </c>
      <c r="F1140" t="inlineStr">
        <is>
          <t>Outpatient</t>
        </is>
      </c>
      <c r="G1140" t="inlineStr">
        <is>
          <t>Bluestone Outpatient Pavilion</t>
        </is>
      </c>
      <c r="H1140" t="inlineStr">
        <is>
          <t>Infusion &amp; Oncology Clinic</t>
        </is>
      </c>
      <c r="I1140" t="inlineStr">
        <is>
          <t>Oncology</t>
        </is>
      </c>
      <c r="J1140" t="inlineStr">
        <is>
          <t>Robinson, Bradley</t>
        </is>
      </c>
      <c r="K1140" t="inlineStr">
        <is>
          <t>Z51.11</t>
        </is>
      </c>
      <c r="L1140" t="inlineStr">
        <is>
          <t>Factors Influencing Health</t>
        </is>
      </c>
      <c r="M1140" t="inlineStr">
        <is>
          <t>Summit Choice PPO</t>
        </is>
      </c>
      <c r="N1140" t="inlineStr">
        <is>
          <t>Commercial</t>
        </is>
      </c>
      <c r="O1140" s="39" t="n">
        <v>7085.75</v>
      </c>
    </row>
    <row r="1141">
      <c r="A1141" t="inlineStr">
        <is>
          <t>ENC117036</t>
        </is>
      </c>
      <c r="B1141" t="inlineStr">
        <is>
          <t>PT12630</t>
        </is>
      </c>
      <c r="C1141" s="42" t="n">
        <v>45861</v>
      </c>
      <c r="D1141" s="42" t="n">
        <v>45864</v>
      </c>
      <c r="E1141" s="38" t="n">
        <v>3</v>
      </c>
      <c r="F1141" t="inlineStr">
        <is>
          <t>Inpatient</t>
        </is>
      </c>
      <c r="G1141" t="inlineStr">
        <is>
          <t>Bluestone Memorial Hospital</t>
        </is>
      </c>
      <c r="H1141" t="inlineStr">
        <is>
          <t>Behavioral Health</t>
        </is>
      </c>
      <c r="I1141" t="inlineStr">
        <is>
          <t>Behavioral Health</t>
        </is>
      </c>
      <c r="J1141" t="inlineStr">
        <is>
          <t>Elliott, Emma</t>
        </is>
      </c>
      <c r="K1141" t="inlineStr">
        <is>
          <t>F20.9</t>
        </is>
      </c>
      <c r="L1141" t="inlineStr">
        <is>
          <t>Mental &amp; Behavioral</t>
        </is>
      </c>
      <c r="M1141" t="inlineStr">
        <is>
          <t>Evergreen Mutual Insurance</t>
        </is>
      </c>
      <c r="N1141" t="inlineStr">
        <is>
          <t>Commercial</t>
        </is>
      </c>
      <c r="O1141" s="39" t="n">
        <v>12879.52</v>
      </c>
      <c r="P1141" t="inlineStr">
        <is>
          <t>N</t>
        </is>
      </c>
    </row>
    <row r="1142">
      <c r="A1142" t="inlineStr">
        <is>
          <t>ENC117054</t>
        </is>
      </c>
      <c r="B1142" t="inlineStr">
        <is>
          <t>PT11483</t>
        </is>
      </c>
      <c r="C1142" s="42" t="n">
        <v>45861</v>
      </c>
      <c r="D1142" s="42" t="n">
        <v>45861</v>
      </c>
      <c r="E1142" s="38" t="n">
        <v>0</v>
      </c>
      <c r="F1142" t="inlineStr">
        <is>
          <t>Outpatient</t>
        </is>
      </c>
      <c r="G1142" t="inlineStr">
        <is>
          <t>Bluestone Outpatient Pavilion</t>
        </is>
      </c>
      <c r="H1142" t="inlineStr">
        <is>
          <t>Pediatric Clinic</t>
        </is>
      </c>
      <c r="I1142" t="inlineStr">
        <is>
          <t>Women &amp; Children</t>
        </is>
      </c>
      <c r="J1142" t="inlineStr">
        <is>
          <t>Herrera, Christian</t>
        </is>
      </c>
      <c r="K1142" t="inlineStr">
        <is>
          <t>Z00.129</t>
        </is>
      </c>
      <c r="L1142" t="inlineStr">
        <is>
          <t>Factors Influencing Health</t>
        </is>
      </c>
      <c r="M1142" t="inlineStr">
        <is>
          <t>Keystone Health Partners</t>
        </is>
      </c>
      <c r="N1142" t="inlineStr">
        <is>
          <t>Commercial</t>
        </is>
      </c>
      <c r="O1142" s="39" t="n">
        <v>411.49</v>
      </c>
    </row>
    <row r="1143">
      <c r="A1143" t="inlineStr">
        <is>
          <t>ENC117059</t>
        </is>
      </c>
      <c r="B1143" t="inlineStr">
        <is>
          <t>PT11518</t>
        </is>
      </c>
      <c r="C1143" s="42" t="n">
        <v>45861</v>
      </c>
      <c r="D1143" s="42" t="n">
        <v>45861</v>
      </c>
      <c r="E1143" s="38" t="n">
        <v>0</v>
      </c>
      <c r="F1143" t="inlineStr">
        <is>
          <t>Emergency</t>
        </is>
      </c>
      <c r="G1143" t="inlineStr">
        <is>
          <t>Cedar Ridge Medical Center</t>
        </is>
      </c>
      <c r="H1143" t="inlineStr">
        <is>
          <t>Emergency Department</t>
        </is>
      </c>
      <c r="I1143" t="inlineStr">
        <is>
          <t>Emergency</t>
        </is>
      </c>
      <c r="J1143" t="inlineStr">
        <is>
          <t>Henry, Brenda</t>
        </is>
      </c>
      <c r="K1143" t="inlineStr">
        <is>
          <t>N39.0</t>
        </is>
      </c>
      <c r="L1143" t="inlineStr">
        <is>
          <t>Genitourinary</t>
        </is>
      </c>
      <c r="M1143" t="inlineStr">
        <is>
          <t>Keystone Health Partners</t>
        </is>
      </c>
      <c r="N1143" t="inlineStr">
        <is>
          <t>Commercial</t>
        </is>
      </c>
      <c r="O1143" s="39" t="n">
        <v>1051.8</v>
      </c>
    </row>
    <row r="1144">
      <c r="A1144" t="inlineStr">
        <is>
          <t>ENC117060</t>
        </is>
      </c>
      <c r="B1144" t="inlineStr">
        <is>
          <t>PT13829</t>
        </is>
      </c>
      <c r="C1144" s="42" t="n">
        <v>45861</v>
      </c>
      <c r="D1144" s="42" t="n">
        <v>45861</v>
      </c>
      <c r="E1144" s="38" t="n">
        <v>0</v>
      </c>
      <c r="F1144" t="inlineStr">
        <is>
          <t>Outpatient</t>
        </is>
      </c>
      <c r="G1144" t="inlineStr">
        <is>
          <t>Bluestone Outpatient Pavilion</t>
        </is>
      </c>
      <c r="H1144" t="inlineStr">
        <is>
          <t>Endocrinology &amp; Diabetes Clinic</t>
        </is>
      </c>
      <c r="I1144" t="inlineStr">
        <is>
          <t>Ambulatory</t>
        </is>
      </c>
      <c r="J1144" t="inlineStr">
        <is>
          <t>Rivera, Scott</t>
        </is>
      </c>
      <c r="K1144" t="inlineStr">
        <is>
          <t>E11.65</t>
        </is>
      </c>
      <c r="L1144" t="inlineStr">
        <is>
          <t>Endocrine</t>
        </is>
      </c>
      <c r="M1144" t="inlineStr">
        <is>
          <t>Silverline Medicare Advantage</t>
        </is>
      </c>
      <c r="N1144" t="inlineStr">
        <is>
          <t>Medicare Advantage</t>
        </is>
      </c>
      <c r="O1144" s="39" t="n">
        <v>306.8</v>
      </c>
    </row>
    <row r="1145">
      <c r="A1145" t="inlineStr">
        <is>
          <t>ENC117069</t>
        </is>
      </c>
      <c r="B1145" t="inlineStr">
        <is>
          <t>PT13920</t>
        </is>
      </c>
      <c r="C1145" s="42" t="n">
        <v>45862</v>
      </c>
      <c r="D1145" s="42" t="n">
        <v>45862</v>
      </c>
      <c r="E1145" s="38" t="n">
        <v>0</v>
      </c>
      <c r="F1145" t="inlineStr">
        <is>
          <t>Outpatient</t>
        </is>
      </c>
      <c r="G1145" t="inlineStr">
        <is>
          <t>Bluestone Outpatient Pavilion</t>
        </is>
      </c>
      <c r="H1145" t="inlineStr">
        <is>
          <t>Endocrinology &amp; Diabetes Clinic</t>
        </is>
      </c>
      <c r="I1145" t="inlineStr">
        <is>
          <t>Ambulatory</t>
        </is>
      </c>
      <c r="J1145" t="inlineStr">
        <is>
          <t>Rivera, Scott</t>
        </is>
      </c>
      <c r="K1145" t="inlineStr">
        <is>
          <t>E11.65</t>
        </is>
      </c>
      <c r="L1145" t="inlineStr">
        <is>
          <t>Endocrine</t>
        </is>
      </c>
      <c r="M1145" t="inlineStr">
        <is>
          <t>Medicare</t>
        </is>
      </c>
      <c r="N1145" t="inlineStr">
        <is>
          <t>Government</t>
        </is>
      </c>
      <c r="O1145" s="39" t="n">
        <v>256.33</v>
      </c>
    </row>
    <row r="1146">
      <c r="A1146" t="inlineStr">
        <is>
          <t>ENC117070</t>
        </is>
      </c>
      <c r="B1146" t="inlineStr">
        <is>
          <t>PT11770</t>
        </is>
      </c>
      <c r="C1146" s="42" t="n">
        <v>45862</v>
      </c>
      <c r="D1146" s="42" t="n">
        <v>45862</v>
      </c>
      <c r="E1146" s="38" t="n">
        <v>0</v>
      </c>
      <c r="F1146" t="inlineStr">
        <is>
          <t>Outpatient</t>
        </is>
      </c>
      <c r="G1146" t="inlineStr">
        <is>
          <t>Bluestone Outpatient Pavilion</t>
        </is>
      </c>
      <c r="H1146" t="inlineStr">
        <is>
          <t>Pediatric Clinic</t>
        </is>
      </c>
      <c r="I1146" t="inlineStr">
        <is>
          <t>Women &amp; Children</t>
        </is>
      </c>
      <c r="J1146" t="inlineStr">
        <is>
          <t>Brown, Stephanie</t>
        </is>
      </c>
      <c r="K1146" t="inlineStr">
        <is>
          <t>H66.90</t>
        </is>
      </c>
      <c r="L1146" t="inlineStr">
        <is>
          <t>Ear</t>
        </is>
      </c>
      <c r="M1146" t="inlineStr">
        <is>
          <t>Keystone Health Partners</t>
        </is>
      </c>
      <c r="N1146" t="inlineStr">
        <is>
          <t>Commercial</t>
        </is>
      </c>
      <c r="O1146" s="39" t="n">
        <v>393.65</v>
      </c>
    </row>
    <row r="1147">
      <c r="A1147" t="inlineStr">
        <is>
          <t>ENC117078</t>
        </is>
      </c>
      <c r="B1147" t="inlineStr">
        <is>
          <t>PT12016</t>
        </is>
      </c>
      <c r="C1147" s="42" t="n">
        <v>45862</v>
      </c>
      <c r="D1147" s="42" t="n">
        <v>45862</v>
      </c>
      <c r="E1147" s="38" t="n">
        <v>0</v>
      </c>
      <c r="F1147" t="inlineStr">
        <is>
          <t>Emergency</t>
        </is>
      </c>
      <c r="G1147" t="inlineStr">
        <is>
          <t>Bluestone Memorial Hospital</t>
        </is>
      </c>
      <c r="H1147" t="inlineStr">
        <is>
          <t>Emergency Department</t>
        </is>
      </c>
      <c r="I1147" t="inlineStr">
        <is>
          <t>Emergency</t>
        </is>
      </c>
      <c r="J1147" t="inlineStr">
        <is>
          <t>Ferguson, Roy</t>
        </is>
      </c>
      <c r="K1147" t="inlineStr">
        <is>
          <t>U07.1</t>
        </is>
      </c>
      <c r="L1147" t="inlineStr">
        <is>
          <t>Respiratory</t>
        </is>
      </c>
      <c r="M1147" t="inlineStr">
        <is>
          <t>State Medicaid</t>
        </is>
      </c>
      <c r="N1147" t="inlineStr">
        <is>
          <t>Government</t>
        </is>
      </c>
      <c r="O1147" s="39" t="n">
        <v>5400.43</v>
      </c>
    </row>
    <row r="1148">
      <c r="A1148" t="inlineStr">
        <is>
          <t>ENC117080</t>
        </is>
      </c>
      <c r="B1148" t="inlineStr">
        <is>
          <t>PT11124</t>
        </is>
      </c>
      <c r="C1148" s="42" t="n">
        <v>45862</v>
      </c>
      <c r="D1148" s="42" t="n">
        <v>45862</v>
      </c>
      <c r="E1148" s="38" t="n">
        <v>0</v>
      </c>
      <c r="F1148" t="inlineStr">
        <is>
          <t>Outpatient</t>
        </is>
      </c>
      <c r="G1148" t="inlineStr">
        <is>
          <t>Bluestone Outpatient Pavilion</t>
        </is>
      </c>
      <c r="H1148" t="inlineStr">
        <is>
          <t>Primary Care Clinic</t>
        </is>
      </c>
      <c r="I1148" t="inlineStr">
        <is>
          <t>Ambulatory</t>
        </is>
      </c>
      <c r="J1148" t="inlineStr">
        <is>
          <t>Black, Nancy</t>
        </is>
      </c>
      <c r="K1148" t="inlineStr">
        <is>
          <t>Z23</t>
        </is>
      </c>
      <c r="L1148" t="inlineStr">
        <is>
          <t>Factors Influencing Health</t>
        </is>
      </c>
      <c r="M1148" t="inlineStr">
        <is>
          <t>Evergreen Mutual Insurance</t>
        </is>
      </c>
      <c r="N1148" t="inlineStr">
        <is>
          <t>Commercial</t>
        </is>
      </c>
      <c r="O1148" s="39" t="n">
        <v>120.13</v>
      </c>
    </row>
    <row r="1149">
      <c r="A1149" t="inlineStr">
        <is>
          <t>ENC117081</t>
        </is>
      </c>
      <c r="B1149" t="inlineStr">
        <is>
          <t>PT10797</t>
        </is>
      </c>
      <c r="C1149" s="42" t="n">
        <v>45862</v>
      </c>
      <c r="D1149" s="42" t="n">
        <v>45867</v>
      </c>
      <c r="E1149" s="38" t="n">
        <v>5</v>
      </c>
      <c r="F1149" t="inlineStr">
        <is>
          <t>Inpatient</t>
        </is>
      </c>
      <c r="G1149" t="inlineStr">
        <is>
          <t>Bluestone Memorial Hospital</t>
        </is>
      </c>
      <c r="H1149" t="inlineStr">
        <is>
          <t>Cardiac Step-Down</t>
        </is>
      </c>
      <c r="I1149" t="inlineStr">
        <is>
          <t>Cardiovascular</t>
        </is>
      </c>
      <c r="J1149" t="inlineStr">
        <is>
          <t>Ramirez, Emma</t>
        </is>
      </c>
      <c r="K1149" t="inlineStr">
        <is>
          <t>I50.9</t>
        </is>
      </c>
      <c r="L1149" t="inlineStr">
        <is>
          <t>Circulatory</t>
        </is>
      </c>
      <c r="M1149" t="inlineStr">
        <is>
          <t>State Medicaid</t>
        </is>
      </c>
      <c r="N1149" t="inlineStr">
        <is>
          <t>Government</t>
        </is>
      </c>
      <c r="O1149" s="39" t="n">
        <v>24356.47</v>
      </c>
      <c r="P1149" t="inlineStr">
        <is>
          <t>N</t>
        </is>
      </c>
    </row>
    <row r="1150">
      <c r="A1150" t="inlineStr">
        <is>
          <t>ENC117083</t>
        </is>
      </c>
      <c r="B1150" t="inlineStr">
        <is>
          <t>PT12622</t>
        </is>
      </c>
      <c r="C1150" s="42" t="n">
        <v>45862</v>
      </c>
      <c r="D1150" s="42" t="n">
        <v>45862</v>
      </c>
      <c r="E1150" s="38" t="n">
        <v>0</v>
      </c>
      <c r="F1150" t="inlineStr">
        <is>
          <t>Outpatient</t>
        </is>
      </c>
      <c r="G1150" t="inlineStr">
        <is>
          <t>Bluestone Outpatient Pavilion</t>
        </is>
      </c>
      <c r="H1150" t="inlineStr">
        <is>
          <t>Primary Care Clinic</t>
        </is>
      </c>
      <c r="I1150" t="inlineStr">
        <is>
          <t>Ambulatory</t>
        </is>
      </c>
      <c r="J1150" t="inlineStr">
        <is>
          <t>Osei, Julie</t>
        </is>
      </c>
      <c r="K1150" t="inlineStr">
        <is>
          <t>Z00.00</t>
        </is>
      </c>
      <c r="L1150" t="inlineStr">
        <is>
          <t>Factors Influencing Health</t>
        </is>
      </c>
      <c r="M1150" t="inlineStr">
        <is>
          <t>Summit Choice PPO</t>
        </is>
      </c>
      <c r="N1150" t="inlineStr">
        <is>
          <t>Commercial</t>
        </is>
      </c>
      <c r="O1150" s="39" t="n">
        <v>287.81</v>
      </c>
    </row>
    <row r="1151">
      <c r="A1151" t="inlineStr">
        <is>
          <t>ENC117088</t>
        </is>
      </c>
      <c r="B1151" t="inlineStr">
        <is>
          <t>PT13318</t>
        </is>
      </c>
      <c r="C1151" s="42" t="n">
        <v>45862</v>
      </c>
      <c r="D1151" s="42" t="n">
        <v>45862</v>
      </c>
      <c r="E1151" s="38" t="n">
        <v>0</v>
      </c>
      <c r="F1151" t="inlineStr">
        <is>
          <t>Outpatient</t>
        </is>
      </c>
      <c r="G1151" t="inlineStr">
        <is>
          <t>Bluestone Outpatient Pavilion</t>
        </is>
      </c>
      <c r="H1151" t="inlineStr">
        <is>
          <t>Infusion &amp; Oncology Clinic</t>
        </is>
      </c>
      <c r="I1151" t="inlineStr">
        <is>
          <t>Oncology</t>
        </is>
      </c>
      <c r="J1151" t="inlineStr">
        <is>
          <t>Long, Fatima</t>
        </is>
      </c>
      <c r="K1151" t="inlineStr">
        <is>
          <t>Z51.11</t>
        </is>
      </c>
      <c r="L1151" t="inlineStr">
        <is>
          <t>Factors Influencing Health</t>
        </is>
      </c>
      <c r="M1151" t="inlineStr">
        <is>
          <t>State Medicaid</t>
        </is>
      </c>
      <c r="N1151" t="inlineStr">
        <is>
          <t>Government</t>
        </is>
      </c>
      <c r="O1151" s="39" t="n">
        <v>5694.75</v>
      </c>
    </row>
    <row r="1152">
      <c r="A1152" t="inlineStr">
        <is>
          <t>ENC117114</t>
        </is>
      </c>
      <c r="B1152" t="inlineStr">
        <is>
          <t>PT13530</t>
        </is>
      </c>
      <c r="C1152" s="42" t="n">
        <v>45863</v>
      </c>
      <c r="D1152" s="42" t="n">
        <v>45863</v>
      </c>
      <c r="E1152" s="38" t="n">
        <v>0</v>
      </c>
      <c r="F1152" t="inlineStr">
        <is>
          <t>Emergency</t>
        </is>
      </c>
      <c r="G1152" t="inlineStr">
        <is>
          <t>Cedar Ridge Medical Center</t>
        </is>
      </c>
      <c r="H1152" t="inlineStr">
        <is>
          <t>Emergency Department</t>
        </is>
      </c>
      <c r="I1152" t="inlineStr">
        <is>
          <t>Emergency</t>
        </is>
      </c>
      <c r="J1152" t="inlineStr">
        <is>
          <t>Munoz, Linda</t>
        </is>
      </c>
      <c r="K1152" t="inlineStr">
        <is>
          <t>R10.9</t>
        </is>
      </c>
      <c r="L1152" t="inlineStr">
        <is>
          <t>Symptoms &amp; Signs</t>
        </is>
      </c>
      <c r="M1152" t="inlineStr">
        <is>
          <t>Medicare</t>
        </is>
      </c>
      <c r="N1152" t="inlineStr">
        <is>
          <t>Government</t>
        </is>
      </c>
      <c r="O1152" s="39" t="n">
        <v>5493.46</v>
      </c>
    </row>
    <row r="1153">
      <c r="A1153" t="inlineStr">
        <is>
          <t>ENC117117</t>
        </is>
      </c>
      <c r="B1153" t="inlineStr">
        <is>
          <t>PT11282</t>
        </is>
      </c>
      <c r="C1153" s="42" t="n">
        <v>45863</v>
      </c>
      <c r="D1153" s="42" t="n">
        <v>45863</v>
      </c>
      <c r="E1153" s="38" t="n">
        <v>0</v>
      </c>
      <c r="F1153" t="inlineStr">
        <is>
          <t>Outpatient</t>
        </is>
      </c>
      <c r="G1153" t="inlineStr">
        <is>
          <t>Bluestone Outpatient Pavilion</t>
        </is>
      </c>
      <c r="H1153" t="inlineStr">
        <is>
          <t>Orthopedic Clinic</t>
        </is>
      </c>
      <c r="I1153" t="inlineStr">
        <is>
          <t>Orthopedics</t>
        </is>
      </c>
      <c r="J1153" t="inlineStr">
        <is>
          <t>Hernandez, Kyle</t>
        </is>
      </c>
      <c r="K1153" t="inlineStr">
        <is>
          <t>M16.11</t>
        </is>
      </c>
      <c r="L1153" t="inlineStr">
        <is>
          <t>Musculoskeletal</t>
        </is>
      </c>
      <c r="M1153" t="inlineStr">
        <is>
          <t>Medicare</t>
        </is>
      </c>
      <c r="N1153" t="inlineStr">
        <is>
          <t>Government</t>
        </is>
      </c>
      <c r="O1153" s="39" t="n">
        <v>378.05</v>
      </c>
    </row>
    <row r="1154">
      <c r="A1154" t="inlineStr">
        <is>
          <t>ENC117118</t>
        </is>
      </c>
      <c r="B1154" t="inlineStr">
        <is>
          <t>PT13609</t>
        </is>
      </c>
      <c r="C1154" s="42" t="n">
        <v>45863</v>
      </c>
      <c r="D1154" s="42" t="n">
        <v>45867</v>
      </c>
      <c r="E1154" s="38" t="n">
        <v>4</v>
      </c>
      <c r="F1154" t="inlineStr">
        <is>
          <t>Inpatient</t>
        </is>
      </c>
      <c r="G1154" t="inlineStr">
        <is>
          <t>Ashby Falls Community Hospital</t>
        </is>
      </c>
      <c r="H1154" t="inlineStr">
        <is>
          <t>Medical-Surgical</t>
        </is>
      </c>
      <c r="I1154" t="inlineStr">
        <is>
          <t>Medicine</t>
        </is>
      </c>
      <c r="J1154" t="inlineStr">
        <is>
          <t>Carter, Karen</t>
        </is>
      </c>
      <c r="K1154" t="inlineStr">
        <is>
          <t>N17.9</t>
        </is>
      </c>
      <c r="L1154" t="inlineStr">
        <is>
          <t>Genitourinary</t>
        </is>
      </c>
      <c r="M1154" t="inlineStr">
        <is>
          <t>Summit Choice PPO</t>
        </is>
      </c>
      <c r="N1154" t="inlineStr">
        <is>
          <t>Commercial</t>
        </is>
      </c>
      <c r="O1154" s="39" t="n">
        <v>26031.47</v>
      </c>
      <c r="P1154" t="inlineStr">
        <is>
          <t>Y</t>
        </is>
      </c>
    </row>
    <row r="1155">
      <c r="A1155" t="inlineStr">
        <is>
          <t>ENC117115</t>
        </is>
      </c>
      <c r="B1155" t="inlineStr">
        <is>
          <t>PT10514</t>
        </is>
      </c>
      <c r="C1155" s="42" t="n">
        <v>45863</v>
      </c>
      <c r="D1155" s="42" t="n">
        <v>45864</v>
      </c>
      <c r="E1155" s="38" t="n">
        <v>1</v>
      </c>
      <c r="F1155" t="inlineStr">
        <is>
          <t>Observation</t>
        </is>
      </c>
      <c r="G1155" t="inlineStr">
        <is>
          <t>Bluestone Memorial Hospital</t>
        </is>
      </c>
      <c r="H1155" t="inlineStr">
        <is>
          <t>Observation Unit</t>
        </is>
      </c>
      <c r="I1155" t="inlineStr">
        <is>
          <t>Medicine</t>
        </is>
      </c>
      <c r="J1155" t="inlineStr">
        <is>
          <t>Kim, Jeffrey</t>
        </is>
      </c>
      <c r="K1155" t="inlineStr">
        <is>
          <t>K80.20</t>
        </is>
      </c>
      <c r="L1155" t="inlineStr">
        <is>
          <t>Digestive</t>
        </is>
      </c>
      <c r="M1155" t="inlineStr">
        <is>
          <t>Evergreen Mutual Insurance</t>
        </is>
      </c>
      <c r="N1155" t="inlineStr">
        <is>
          <t>Commercial</t>
        </is>
      </c>
      <c r="O1155" s="39" t="n">
        <v>8758.690000000001</v>
      </c>
    </row>
    <row r="1156">
      <c r="A1156" t="inlineStr">
        <is>
          <t>ENC117129</t>
        </is>
      </c>
      <c r="B1156" t="inlineStr">
        <is>
          <t>PT10953</t>
        </is>
      </c>
      <c r="C1156" s="42" t="n">
        <v>45863</v>
      </c>
      <c r="D1156" s="42" t="n">
        <v>45863</v>
      </c>
      <c r="E1156" s="38" t="n">
        <v>0</v>
      </c>
      <c r="F1156" t="inlineStr">
        <is>
          <t>Emergency</t>
        </is>
      </c>
      <c r="G1156" t="inlineStr">
        <is>
          <t>Ashby Falls Community Hospital</t>
        </is>
      </c>
      <c r="H1156" t="inlineStr">
        <is>
          <t>Emergency Department</t>
        </is>
      </c>
      <c r="I1156" t="inlineStr">
        <is>
          <t>Emergency</t>
        </is>
      </c>
      <c r="J1156" t="inlineStr">
        <is>
          <t>Marshall, Lisa</t>
        </is>
      </c>
      <c r="K1156" t="inlineStr">
        <is>
          <t>M54.50</t>
        </is>
      </c>
      <c r="L1156" t="inlineStr">
        <is>
          <t>Musculoskeletal</t>
        </is>
      </c>
      <c r="M1156" t="inlineStr">
        <is>
          <t>Keystone Health Partners</t>
        </is>
      </c>
      <c r="N1156" t="inlineStr">
        <is>
          <t>Commercial</t>
        </is>
      </c>
      <c r="O1156" s="39" t="n">
        <v>1318.8</v>
      </c>
    </row>
    <row r="1157">
      <c r="A1157" t="inlineStr">
        <is>
          <t>ENC117141</t>
        </is>
      </c>
      <c r="B1157" t="inlineStr">
        <is>
          <t>PT10738</t>
        </is>
      </c>
      <c r="C1157" s="42" t="n">
        <v>45864</v>
      </c>
      <c r="D1157" s="42" t="n">
        <v>45865</v>
      </c>
      <c r="E1157" s="38" t="n">
        <v>1</v>
      </c>
      <c r="F1157" t="inlineStr">
        <is>
          <t>Observation</t>
        </is>
      </c>
      <c r="G1157" t="inlineStr">
        <is>
          <t>Bluestone Memorial Hospital</t>
        </is>
      </c>
      <c r="H1157" t="inlineStr">
        <is>
          <t>Observation Unit</t>
        </is>
      </c>
      <c r="I1157" t="inlineStr">
        <is>
          <t>Medicine</t>
        </is>
      </c>
      <c r="J1157" t="inlineStr">
        <is>
          <t>Vasquez, Jose</t>
        </is>
      </c>
      <c r="K1157" t="inlineStr">
        <is>
          <t>I21.4</t>
        </is>
      </c>
      <c r="L1157" t="inlineStr">
        <is>
          <t>Circulatory</t>
        </is>
      </c>
      <c r="M1157" t="inlineStr">
        <is>
          <t>State Medicaid</t>
        </is>
      </c>
      <c r="N1157" t="inlineStr">
        <is>
          <t>Government</t>
        </is>
      </c>
      <c r="O1157" s="39" t="n">
        <v>6006.72</v>
      </c>
    </row>
    <row r="1158">
      <c r="A1158" t="inlineStr">
        <is>
          <t>ENC117147</t>
        </is>
      </c>
      <c r="B1158" t="inlineStr">
        <is>
          <t>PT10583</t>
        </is>
      </c>
      <c r="C1158" s="42" t="n">
        <v>45865</v>
      </c>
      <c r="D1158" s="42" t="n">
        <v>45865</v>
      </c>
      <c r="E1158" s="38" t="n">
        <v>0</v>
      </c>
      <c r="F1158" t="inlineStr">
        <is>
          <t>Emergency</t>
        </is>
      </c>
      <c r="G1158" t="inlineStr">
        <is>
          <t>Bluestone Memorial Hospital</t>
        </is>
      </c>
      <c r="H1158" t="inlineStr">
        <is>
          <t>Emergency Department</t>
        </is>
      </c>
      <c r="I1158" t="inlineStr">
        <is>
          <t>Emergency</t>
        </is>
      </c>
      <c r="J1158" t="inlineStr">
        <is>
          <t>Cruz, Mia</t>
        </is>
      </c>
      <c r="K1158" t="inlineStr">
        <is>
          <t>R10.9</t>
        </is>
      </c>
      <c r="L1158" t="inlineStr">
        <is>
          <t>Symptoms &amp; Signs</t>
        </is>
      </c>
      <c r="M1158" t="inlineStr">
        <is>
          <t>Medicare</t>
        </is>
      </c>
      <c r="N1158" t="inlineStr">
        <is>
          <t>Government</t>
        </is>
      </c>
      <c r="O1158" s="39" t="n">
        <v>3060.65</v>
      </c>
    </row>
    <row r="1159">
      <c r="A1159" t="inlineStr">
        <is>
          <t>ENC117146</t>
        </is>
      </c>
      <c r="B1159" t="inlineStr">
        <is>
          <t>PT10539</t>
        </is>
      </c>
      <c r="C1159" s="42" t="n">
        <v>45865</v>
      </c>
      <c r="D1159" s="42" t="n">
        <v>45866</v>
      </c>
      <c r="E1159" s="38" t="n">
        <v>1</v>
      </c>
      <c r="F1159" t="inlineStr">
        <is>
          <t>Observation</t>
        </is>
      </c>
      <c r="G1159" t="inlineStr">
        <is>
          <t>Bluestone Memorial Hospital</t>
        </is>
      </c>
      <c r="H1159" t="inlineStr">
        <is>
          <t>Observation Unit</t>
        </is>
      </c>
      <c r="I1159" t="inlineStr">
        <is>
          <t>Medicine</t>
        </is>
      </c>
      <c r="J1159" t="inlineStr">
        <is>
          <t>Cox, Judith</t>
        </is>
      </c>
      <c r="K1159" t="inlineStr">
        <is>
          <t>A08.4</t>
        </is>
      </c>
      <c r="L1159" t="inlineStr">
        <is>
          <t>Infectious</t>
        </is>
      </c>
      <c r="M1159" t="inlineStr">
        <is>
          <t>Evergreen Mutual Insurance</t>
        </is>
      </c>
      <c r="N1159" t="inlineStr">
        <is>
          <t>Commercial</t>
        </is>
      </c>
      <c r="O1159" s="39" t="n">
        <v>19682.86</v>
      </c>
    </row>
    <row r="1160">
      <c r="A1160" t="inlineStr">
        <is>
          <t>ENC117149</t>
        </is>
      </c>
      <c r="B1160" t="inlineStr">
        <is>
          <t>PT10724</t>
        </is>
      </c>
      <c r="C1160" s="42" t="n">
        <v>45865</v>
      </c>
      <c r="D1160" s="42" t="n">
        <v>45865</v>
      </c>
      <c r="E1160" s="38" t="n">
        <v>0</v>
      </c>
      <c r="F1160" t="inlineStr">
        <is>
          <t>Emergency</t>
        </is>
      </c>
      <c r="G1160" t="inlineStr">
        <is>
          <t>Bluestone Memorial Hospital</t>
        </is>
      </c>
      <c r="H1160" t="inlineStr">
        <is>
          <t>Emergency Department</t>
        </is>
      </c>
      <c r="I1160" t="inlineStr">
        <is>
          <t>Emergency</t>
        </is>
      </c>
      <c r="J1160" t="inlineStr">
        <is>
          <t>Olson, Christian</t>
        </is>
      </c>
      <c r="K1160" t="inlineStr">
        <is>
          <t>J44.1</t>
        </is>
      </c>
      <c r="L1160" t="inlineStr">
        <is>
          <t>Respiratory</t>
        </is>
      </c>
      <c r="M1160" t="inlineStr">
        <is>
          <t>Evergreen Mutual Insurance</t>
        </is>
      </c>
      <c r="N1160" t="inlineStr">
        <is>
          <t>Commercial</t>
        </is>
      </c>
      <c r="O1160" s="39" t="n">
        <v>3119.31</v>
      </c>
    </row>
    <row r="1161">
      <c r="A1161" t="inlineStr">
        <is>
          <t>ENC117166</t>
        </is>
      </c>
      <c r="B1161" t="inlineStr">
        <is>
          <t>PT13088</t>
        </is>
      </c>
      <c r="C1161" s="42" t="n">
        <v>45866</v>
      </c>
      <c r="D1161" s="42" t="n">
        <v>45870</v>
      </c>
      <c r="E1161" s="38" t="n">
        <v>4</v>
      </c>
      <c r="F1161" t="inlineStr">
        <is>
          <t>Inpatient</t>
        </is>
      </c>
      <c r="G1161" t="inlineStr">
        <is>
          <t>Bluestone Memorial Hospital</t>
        </is>
      </c>
      <c r="H1161" t="inlineStr">
        <is>
          <t>Neuroscience &amp; Stroke</t>
        </is>
      </c>
      <c r="I1161" t="inlineStr">
        <is>
          <t>Neuroscience</t>
        </is>
      </c>
      <c r="J1161" t="inlineStr">
        <is>
          <t>Abbott, Isabella</t>
        </is>
      </c>
      <c r="K1161" t="inlineStr">
        <is>
          <t>I63.9</t>
        </is>
      </c>
      <c r="L1161" t="inlineStr">
        <is>
          <t>Circulatory</t>
        </is>
      </c>
      <c r="M1161" t="inlineStr">
        <is>
          <t>State Medicaid</t>
        </is>
      </c>
      <c r="N1161" t="inlineStr">
        <is>
          <t>Government</t>
        </is>
      </c>
      <c r="O1161" s="39" t="n">
        <v>22166.78</v>
      </c>
      <c r="P1161" t="inlineStr">
        <is>
          <t>N</t>
        </is>
      </c>
    </row>
    <row r="1162">
      <c r="A1162" t="inlineStr">
        <is>
          <t>ENC117176</t>
        </is>
      </c>
      <c r="B1162" t="inlineStr">
        <is>
          <t>PT12572</t>
        </is>
      </c>
      <c r="C1162" s="42" t="n">
        <v>45866</v>
      </c>
      <c r="D1162" s="42" t="n">
        <v>45866</v>
      </c>
      <c r="E1162" s="38" t="n">
        <v>0</v>
      </c>
      <c r="F1162" t="inlineStr">
        <is>
          <t>Emergency</t>
        </is>
      </c>
      <c r="G1162" t="inlineStr">
        <is>
          <t>Bluestone Memorial Hospital</t>
        </is>
      </c>
      <c r="H1162" t="inlineStr">
        <is>
          <t>Emergency Department</t>
        </is>
      </c>
      <c r="I1162" t="inlineStr">
        <is>
          <t>Emergency</t>
        </is>
      </c>
      <c r="J1162" t="inlineStr">
        <is>
          <t>Mendoza, Alexander</t>
        </is>
      </c>
      <c r="K1162" t="inlineStr">
        <is>
          <t>M54.50</t>
        </is>
      </c>
      <c r="L1162" t="inlineStr">
        <is>
          <t>Musculoskeletal</t>
        </is>
      </c>
      <c r="M1162" t="inlineStr">
        <is>
          <t>Silverline Medicare Advantage</t>
        </is>
      </c>
      <c r="N1162" t="inlineStr">
        <is>
          <t>Medicare Advantage</t>
        </is>
      </c>
      <c r="O1162" s="39" t="n">
        <v>1594.24</v>
      </c>
    </row>
    <row r="1163">
      <c r="A1163" t="inlineStr">
        <is>
          <t>ENC117181</t>
        </is>
      </c>
      <c r="B1163" t="inlineStr">
        <is>
          <t>PT13410</t>
        </is>
      </c>
      <c r="C1163" s="42" t="n">
        <v>45866</v>
      </c>
      <c r="D1163" s="42" t="n">
        <v>45867</v>
      </c>
      <c r="E1163" s="38" t="n">
        <v>1</v>
      </c>
      <c r="F1163" t="inlineStr">
        <is>
          <t>Observation</t>
        </is>
      </c>
      <c r="G1163" t="inlineStr">
        <is>
          <t>Bluestone Memorial Hospital</t>
        </is>
      </c>
      <c r="H1163" t="inlineStr">
        <is>
          <t>Observation Unit</t>
        </is>
      </c>
      <c r="I1163" t="inlineStr">
        <is>
          <t>Medicine</t>
        </is>
      </c>
      <c r="J1163" t="inlineStr">
        <is>
          <t>Alvarado, Tyler</t>
        </is>
      </c>
      <c r="K1163" t="inlineStr">
        <is>
          <t>F41.9</t>
        </is>
      </c>
      <c r="L1163" t="inlineStr">
        <is>
          <t>Mental &amp; Behavioral</t>
        </is>
      </c>
      <c r="M1163" t="inlineStr">
        <is>
          <t>Summit Choice PPO</t>
        </is>
      </c>
      <c r="N1163" t="inlineStr">
        <is>
          <t>Commercial</t>
        </is>
      </c>
      <c r="O1163" s="39" t="n">
        <v>6716.49</v>
      </c>
    </row>
    <row r="1164">
      <c r="A1164" t="inlineStr">
        <is>
          <t>ENC117198</t>
        </is>
      </c>
      <c r="B1164" t="inlineStr">
        <is>
          <t>PT11421</t>
        </is>
      </c>
      <c r="C1164" s="42" t="n">
        <v>45867</v>
      </c>
      <c r="D1164" s="42" t="n">
        <v>45869</v>
      </c>
      <c r="E1164" s="38" t="n">
        <v>2</v>
      </c>
      <c r="F1164" t="inlineStr">
        <is>
          <t>Inpatient</t>
        </is>
      </c>
      <c r="G1164" t="inlineStr">
        <is>
          <t>Bluestone Memorial Hospital</t>
        </is>
      </c>
      <c r="H1164" t="inlineStr">
        <is>
          <t>Labor &amp; Delivery</t>
        </is>
      </c>
      <c r="I1164" t="inlineStr">
        <is>
          <t>Women &amp; Children</t>
        </is>
      </c>
      <c r="J1164" t="inlineStr">
        <is>
          <t>Bradley, Nicole</t>
        </is>
      </c>
      <c r="K1164" t="inlineStr">
        <is>
          <t>O80</t>
        </is>
      </c>
      <c r="L1164" t="inlineStr">
        <is>
          <t>Pregnancy</t>
        </is>
      </c>
      <c r="M1164" t="inlineStr">
        <is>
          <t>Evergreen Mutual Insurance</t>
        </is>
      </c>
      <c r="N1164" t="inlineStr">
        <is>
          <t>Commercial</t>
        </is>
      </c>
      <c r="O1164" s="39" t="n">
        <v>10486.14</v>
      </c>
      <c r="P1164" t="inlineStr">
        <is>
          <t>N</t>
        </is>
      </c>
    </row>
    <row r="1165">
      <c r="A1165" t="inlineStr">
        <is>
          <t>ENC117199</t>
        </is>
      </c>
      <c r="B1165" t="inlineStr">
        <is>
          <t>PT10228</t>
        </is>
      </c>
      <c r="C1165" s="42" t="n">
        <v>45867</v>
      </c>
      <c r="D1165" s="42" t="n">
        <v>45868</v>
      </c>
      <c r="E1165" s="38" t="n">
        <v>1</v>
      </c>
      <c r="F1165" t="inlineStr">
        <is>
          <t>Observation</t>
        </is>
      </c>
      <c r="G1165" t="inlineStr">
        <is>
          <t>Bluestone Memorial Hospital</t>
        </is>
      </c>
      <c r="H1165" t="inlineStr">
        <is>
          <t>Observation Unit</t>
        </is>
      </c>
      <c r="I1165" t="inlineStr">
        <is>
          <t>Medicine</t>
        </is>
      </c>
      <c r="J1165" t="inlineStr">
        <is>
          <t>Taylor, Jonathan</t>
        </is>
      </c>
      <c r="K1165" t="inlineStr">
        <is>
          <t>I21.4</t>
        </is>
      </c>
      <c r="L1165" t="inlineStr">
        <is>
          <t>Circulatory</t>
        </is>
      </c>
      <c r="M1165" t="inlineStr">
        <is>
          <t>Evergreen Mutual Insurance</t>
        </is>
      </c>
      <c r="N1165" t="inlineStr">
        <is>
          <t>Commercial</t>
        </is>
      </c>
      <c r="O1165" s="39" t="n">
        <v>7208.07</v>
      </c>
    </row>
    <row r="1166">
      <c r="A1166" t="inlineStr">
        <is>
          <t>ENC117212</t>
        </is>
      </c>
      <c r="B1166" t="inlineStr">
        <is>
          <t>PT11027</t>
        </is>
      </c>
      <c r="C1166" s="42" t="n">
        <v>45867</v>
      </c>
      <c r="D1166" s="42" t="n">
        <v>45869</v>
      </c>
      <c r="E1166" s="38" t="n">
        <v>2</v>
      </c>
      <c r="F1166" t="inlineStr">
        <is>
          <t>Inpatient</t>
        </is>
      </c>
      <c r="G1166" t="inlineStr">
        <is>
          <t>Bluestone Memorial Hospital</t>
        </is>
      </c>
      <c r="H1166" t="inlineStr">
        <is>
          <t>Medical-Surgical 4 West</t>
        </is>
      </c>
      <c r="I1166" t="inlineStr">
        <is>
          <t>Medicine</t>
        </is>
      </c>
      <c r="J1166" t="inlineStr">
        <is>
          <t>Cruz, Roger</t>
        </is>
      </c>
      <c r="K1166" t="inlineStr">
        <is>
          <t>J45.909</t>
        </is>
      </c>
      <c r="L1166" t="inlineStr">
        <is>
          <t>Respiratory</t>
        </is>
      </c>
      <c r="M1166" t="inlineStr">
        <is>
          <t>State Medicaid</t>
        </is>
      </c>
      <c r="N1166" t="inlineStr">
        <is>
          <t>Government</t>
        </is>
      </c>
      <c r="O1166" s="39" t="n">
        <v>12724.74</v>
      </c>
      <c r="P1166" t="inlineStr">
        <is>
          <t>N</t>
        </is>
      </c>
    </row>
    <row r="1167">
      <c r="A1167" t="inlineStr">
        <is>
          <t>ENC117224</t>
        </is>
      </c>
      <c r="B1167" t="inlineStr">
        <is>
          <t>PT11913</t>
        </is>
      </c>
      <c r="C1167" s="42" t="n">
        <v>45867</v>
      </c>
      <c r="D1167" s="42" t="n">
        <v>45867</v>
      </c>
      <c r="E1167" s="38" t="n">
        <v>0</v>
      </c>
      <c r="F1167" t="inlineStr">
        <is>
          <t>Emergency</t>
        </is>
      </c>
      <c r="G1167" t="inlineStr">
        <is>
          <t>Bluestone Memorial Hospital</t>
        </is>
      </c>
      <c r="H1167" t="inlineStr">
        <is>
          <t>Emergency Department</t>
        </is>
      </c>
      <c r="I1167" t="inlineStr">
        <is>
          <t>Emergency</t>
        </is>
      </c>
      <c r="J1167" t="inlineStr">
        <is>
          <t>Payne, Nancy</t>
        </is>
      </c>
      <c r="K1167" t="inlineStr">
        <is>
          <t>M54.50</t>
        </is>
      </c>
      <c r="L1167" t="inlineStr">
        <is>
          <t>Musculoskeletal</t>
        </is>
      </c>
      <c r="M1167" t="inlineStr">
        <is>
          <t>Evergreen Mutual Insurance</t>
        </is>
      </c>
      <c r="N1167" t="inlineStr">
        <is>
          <t>Commercial</t>
        </is>
      </c>
      <c r="O1167" s="39" t="n">
        <v>1442.66</v>
      </c>
    </row>
    <row r="1168">
      <c r="A1168" t="inlineStr">
        <is>
          <t>ENC117242</t>
        </is>
      </c>
      <c r="B1168" t="inlineStr">
        <is>
          <t>PT12562</t>
        </is>
      </c>
      <c r="C1168" s="42" t="n">
        <v>45868</v>
      </c>
      <c r="D1168" s="42" t="n">
        <v>45868</v>
      </c>
      <c r="E1168" s="38" t="n">
        <v>0</v>
      </c>
      <c r="F1168" t="inlineStr">
        <is>
          <t>Outpatient</t>
        </is>
      </c>
      <c r="G1168" t="inlineStr">
        <is>
          <t>Bluestone Outpatient Pavilion</t>
        </is>
      </c>
      <c r="H1168" t="inlineStr">
        <is>
          <t>Cardiology Clinic</t>
        </is>
      </c>
      <c r="I1168" t="inlineStr">
        <is>
          <t>Cardiovascular</t>
        </is>
      </c>
      <c r="J1168" t="inlineStr">
        <is>
          <t>Gomez, Mateo</t>
        </is>
      </c>
      <c r="K1168" t="inlineStr">
        <is>
          <t>I48.91</t>
        </is>
      </c>
      <c r="L1168" t="inlineStr">
        <is>
          <t>Circulatory</t>
        </is>
      </c>
      <c r="M1168" t="inlineStr">
        <is>
          <t>Keystone Health Partners</t>
        </is>
      </c>
      <c r="N1168" t="inlineStr">
        <is>
          <t>Commercial</t>
        </is>
      </c>
      <c r="O1168" s="39" t="n">
        <v>329.54</v>
      </c>
    </row>
    <row r="1169">
      <c r="A1169" t="inlineStr">
        <is>
          <t>ENC117255</t>
        </is>
      </c>
      <c r="B1169" t="inlineStr">
        <is>
          <t>PT12513</t>
        </is>
      </c>
      <c r="C1169" s="42" t="n">
        <v>45868</v>
      </c>
      <c r="D1169" s="42" t="n">
        <v>45868</v>
      </c>
      <c r="E1169" s="38" t="n">
        <v>0</v>
      </c>
      <c r="F1169" t="inlineStr">
        <is>
          <t>Emergency</t>
        </is>
      </c>
      <c r="G1169" t="inlineStr">
        <is>
          <t>Cedar Ridge Medical Center</t>
        </is>
      </c>
      <c r="H1169" t="inlineStr">
        <is>
          <t>Emergency Department</t>
        </is>
      </c>
      <c r="I1169" t="inlineStr">
        <is>
          <t>Emergency</t>
        </is>
      </c>
      <c r="J1169" t="inlineStr">
        <is>
          <t>Andrews, Michael</t>
        </is>
      </c>
      <c r="K1169" t="inlineStr">
        <is>
          <t>M54.50</t>
        </is>
      </c>
      <c r="L1169" t="inlineStr">
        <is>
          <t>Musculoskeletal</t>
        </is>
      </c>
      <c r="M1169" t="inlineStr">
        <is>
          <t>Silverline Medicare Advantage</t>
        </is>
      </c>
      <c r="N1169" t="inlineStr">
        <is>
          <t>Medicare Advantage</t>
        </is>
      </c>
      <c r="O1169" s="39" t="n">
        <v>2125.52</v>
      </c>
    </row>
    <row r="1170">
      <c r="A1170" t="inlineStr">
        <is>
          <t>ENC117257</t>
        </is>
      </c>
      <c r="B1170" t="inlineStr">
        <is>
          <t>PT10007</t>
        </is>
      </c>
      <c r="C1170" s="42" t="n">
        <v>45868</v>
      </c>
      <c r="D1170" s="42" t="n">
        <v>45868</v>
      </c>
      <c r="E1170" s="38" t="n">
        <v>0</v>
      </c>
      <c r="F1170" t="inlineStr">
        <is>
          <t>Outpatient</t>
        </is>
      </c>
      <c r="G1170" t="inlineStr">
        <is>
          <t>Bluestone Outpatient Pavilion</t>
        </is>
      </c>
      <c r="H1170" t="inlineStr">
        <is>
          <t>Infusion &amp; Oncology Clinic</t>
        </is>
      </c>
      <c r="I1170" t="inlineStr">
        <is>
          <t>Oncology</t>
        </is>
      </c>
      <c r="J1170" t="inlineStr">
        <is>
          <t>Cooper, Logan</t>
        </is>
      </c>
      <c r="K1170" t="inlineStr">
        <is>
          <t>Z51.11</t>
        </is>
      </c>
      <c r="L1170" t="inlineStr">
        <is>
          <t>Factors Influencing Health</t>
        </is>
      </c>
      <c r="M1170" t="inlineStr">
        <is>
          <t>Evergreen Mutual Insurance</t>
        </is>
      </c>
      <c r="N1170" t="inlineStr">
        <is>
          <t>Commercial</t>
        </is>
      </c>
      <c r="O1170" s="39" t="n">
        <v>8506.870000000001</v>
      </c>
    </row>
    <row r="1171">
      <c r="A1171" t="inlineStr">
        <is>
          <t>ENC117264</t>
        </is>
      </c>
      <c r="B1171" t="inlineStr">
        <is>
          <t>PT12818</t>
        </is>
      </c>
      <c r="C1171" s="42" t="n">
        <v>45869</v>
      </c>
      <c r="D1171" s="42" t="n">
        <v>45879</v>
      </c>
      <c r="E1171" s="38" t="n">
        <v>10</v>
      </c>
      <c r="F1171" t="inlineStr">
        <is>
          <t>Inpatient</t>
        </is>
      </c>
      <c r="G1171" t="inlineStr">
        <is>
          <t>Bluestone Memorial Hospital</t>
        </is>
      </c>
      <c r="H1171" t="inlineStr">
        <is>
          <t>Oncology</t>
        </is>
      </c>
      <c r="I1171" t="inlineStr">
        <is>
          <t>Oncology</t>
        </is>
      </c>
      <c r="J1171" t="inlineStr">
        <is>
          <t>Hughes, Larry</t>
        </is>
      </c>
      <c r="K1171" t="inlineStr">
        <is>
          <t>D70.1</t>
        </is>
      </c>
      <c r="L1171" t="inlineStr">
        <is>
          <t>Blood</t>
        </is>
      </c>
      <c r="M1171" t="inlineStr">
        <is>
          <t>Silverline Medicare Advantage</t>
        </is>
      </c>
      <c r="N1171" t="inlineStr">
        <is>
          <t>Medicare Advantage</t>
        </is>
      </c>
      <c r="O1171" s="39" t="n">
        <v>44178.61</v>
      </c>
      <c r="P1171" t="inlineStr">
        <is>
          <t>Y</t>
        </is>
      </c>
    </row>
    <row r="1172">
      <c r="A1172" t="inlineStr">
        <is>
          <t>ENC117276</t>
        </is>
      </c>
      <c r="B1172" t="inlineStr">
        <is>
          <t>PT13350</t>
        </is>
      </c>
      <c r="C1172" s="42" t="n">
        <v>45869</v>
      </c>
      <c r="D1172" s="42" t="n">
        <v>45869</v>
      </c>
      <c r="E1172" s="38" t="n">
        <v>0</v>
      </c>
      <c r="F1172" t="inlineStr">
        <is>
          <t>Outpatient</t>
        </is>
      </c>
      <c r="G1172" t="inlineStr">
        <is>
          <t>Bluestone Outpatient Pavilion</t>
        </is>
      </c>
      <c r="H1172" t="inlineStr">
        <is>
          <t>Primary Care Clinic</t>
        </is>
      </c>
      <c r="I1172" t="inlineStr">
        <is>
          <t>Ambulatory</t>
        </is>
      </c>
      <c r="J1172" t="inlineStr">
        <is>
          <t>Vazquez, Carolyn</t>
        </is>
      </c>
      <c r="K1172" t="inlineStr">
        <is>
          <t>Z23</t>
        </is>
      </c>
      <c r="L1172" t="inlineStr">
        <is>
          <t>Factors Influencing Health</t>
        </is>
      </c>
      <c r="M1172" t="inlineStr">
        <is>
          <t>Evergreen Mutual Insurance</t>
        </is>
      </c>
      <c r="N1172" t="inlineStr">
        <is>
          <t>Commercial</t>
        </is>
      </c>
      <c r="O1172" s="39" t="n">
        <v>101.46</v>
      </c>
    </row>
    <row r="1173">
      <c r="A1173" t="inlineStr">
        <is>
          <t>ENC117279</t>
        </is>
      </c>
      <c r="B1173" t="inlineStr">
        <is>
          <t>PT12162</t>
        </is>
      </c>
      <c r="C1173" s="42" t="n">
        <v>45869</v>
      </c>
      <c r="D1173" s="42" t="n">
        <v>45874</v>
      </c>
      <c r="E1173" s="38" t="n">
        <v>5</v>
      </c>
      <c r="F1173" t="inlineStr">
        <is>
          <t>Inpatient</t>
        </is>
      </c>
      <c r="G1173" t="inlineStr">
        <is>
          <t>Cedar Ridge Medical Center</t>
        </is>
      </c>
      <c r="H1173" t="inlineStr">
        <is>
          <t>Medical-Surgical</t>
        </is>
      </c>
      <c r="I1173" t="inlineStr">
        <is>
          <t>Medicine</t>
        </is>
      </c>
      <c r="J1173" t="inlineStr">
        <is>
          <t>Reyes, Harper</t>
        </is>
      </c>
      <c r="K1173" t="inlineStr">
        <is>
          <t>L03.115</t>
        </is>
      </c>
      <c r="L1173" t="inlineStr">
        <is>
          <t>Skin</t>
        </is>
      </c>
      <c r="M1173" t="inlineStr">
        <is>
          <t>Keystone Health Partners</t>
        </is>
      </c>
      <c r="N1173" t="inlineStr">
        <is>
          <t>Commercial</t>
        </is>
      </c>
      <c r="O1173" s="39" t="n">
        <v>18536.3</v>
      </c>
      <c r="P1173" t="inlineStr">
        <is>
          <t>N</t>
        </is>
      </c>
    </row>
    <row r="1174">
      <c r="A1174" t="inlineStr">
        <is>
          <t>ENC117293</t>
        </is>
      </c>
      <c r="B1174" t="inlineStr">
        <is>
          <t>PT11116</t>
        </is>
      </c>
      <c r="C1174" s="42" t="n">
        <v>45870</v>
      </c>
      <c r="D1174" s="42" t="n">
        <v>45873</v>
      </c>
      <c r="E1174" s="38" t="n">
        <v>3</v>
      </c>
      <c r="F1174" t="inlineStr">
        <is>
          <t>Inpatient</t>
        </is>
      </c>
      <c r="G1174" t="inlineStr">
        <is>
          <t>Ashby Falls Community Hospital</t>
        </is>
      </c>
      <c r="H1174" t="inlineStr">
        <is>
          <t>Medical-Surgical</t>
        </is>
      </c>
      <c r="I1174" t="inlineStr">
        <is>
          <t>Medicine</t>
        </is>
      </c>
      <c r="J1174" t="inlineStr">
        <is>
          <t>Murray, Stephanie</t>
        </is>
      </c>
      <c r="K1174" t="inlineStr">
        <is>
          <t>I48.91</t>
        </is>
      </c>
      <c r="L1174" t="inlineStr">
        <is>
          <t>Circulatory</t>
        </is>
      </c>
      <c r="M1174" t="inlineStr">
        <is>
          <t>State Medicaid</t>
        </is>
      </c>
      <c r="N1174" t="inlineStr">
        <is>
          <t>Government</t>
        </is>
      </c>
      <c r="O1174" s="39" t="n">
        <v>26212.35</v>
      </c>
      <c r="P1174" t="inlineStr">
        <is>
          <t>N</t>
        </is>
      </c>
    </row>
    <row r="1175">
      <c r="A1175" t="inlineStr">
        <is>
          <t>ENC117295</t>
        </is>
      </c>
      <c r="B1175" t="inlineStr">
        <is>
          <t>PT12752</t>
        </is>
      </c>
      <c r="C1175" s="42" t="n">
        <v>45870</v>
      </c>
      <c r="D1175" s="42" t="n">
        <v>45872</v>
      </c>
      <c r="E1175" s="38" t="n">
        <v>2</v>
      </c>
      <c r="F1175" t="inlineStr">
        <is>
          <t>Inpatient</t>
        </is>
      </c>
      <c r="G1175" t="inlineStr">
        <is>
          <t>Bluestone Memorial Hospital</t>
        </is>
      </c>
      <c r="H1175" t="inlineStr">
        <is>
          <t>Medical-Surgical 4 West</t>
        </is>
      </c>
      <c r="I1175" t="inlineStr">
        <is>
          <t>Medicine</t>
        </is>
      </c>
      <c r="J1175" t="inlineStr">
        <is>
          <t>Cox, Judith</t>
        </is>
      </c>
      <c r="K1175" t="inlineStr">
        <is>
          <t>J44.1</t>
        </is>
      </c>
      <c r="L1175" t="inlineStr">
        <is>
          <t>Respiratory</t>
        </is>
      </c>
      <c r="M1175" t="inlineStr">
        <is>
          <t>Silverline Medicare Advantage</t>
        </is>
      </c>
      <c r="N1175" t="inlineStr">
        <is>
          <t>Medicare Advantage</t>
        </is>
      </c>
      <c r="O1175" s="39" t="n">
        <v>12808.42</v>
      </c>
      <c r="P1175" t="inlineStr">
        <is>
          <t>N</t>
        </is>
      </c>
    </row>
    <row r="1176">
      <c r="A1176" t="inlineStr">
        <is>
          <t>ENC117297</t>
        </is>
      </c>
      <c r="B1176" t="inlineStr">
        <is>
          <t>PT10617</t>
        </is>
      </c>
      <c r="C1176" s="42" t="n">
        <v>45870</v>
      </c>
      <c r="D1176" s="42" t="n">
        <v>45870</v>
      </c>
      <c r="E1176" s="38" t="n">
        <v>0</v>
      </c>
      <c r="F1176" t="inlineStr">
        <is>
          <t>Emergency</t>
        </is>
      </c>
      <c r="G1176" t="inlineStr">
        <is>
          <t>Ashby Falls Community Hospital</t>
        </is>
      </c>
      <c r="H1176" t="inlineStr">
        <is>
          <t>Emergency Department</t>
        </is>
      </c>
      <c r="I1176" t="inlineStr">
        <is>
          <t>Emergency</t>
        </is>
      </c>
      <c r="J1176" t="inlineStr">
        <is>
          <t>Walker, Margaret</t>
        </is>
      </c>
      <c r="K1176" t="inlineStr">
        <is>
          <t>S93.401A</t>
        </is>
      </c>
      <c r="L1176" t="inlineStr">
        <is>
          <t>Injury</t>
        </is>
      </c>
      <c r="M1176" t="inlineStr">
        <is>
          <t>State Medicaid</t>
        </is>
      </c>
      <c r="N1176" t="inlineStr">
        <is>
          <t>Government</t>
        </is>
      </c>
      <c r="O1176" s="39" t="n">
        <v>541.45</v>
      </c>
    </row>
    <row r="1177">
      <c r="A1177" t="inlineStr">
        <is>
          <t>ENC117296</t>
        </is>
      </c>
      <c r="B1177" t="inlineStr">
        <is>
          <t>PT13143</t>
        </is>
      </c>
      <c r="C1177" s="42" t="n">
        <v>45870</v>
      </c>
      <c r="D1177" s="42" t="n">
        <v>45878</v>
      </c>
      <c r="E1177" s="38" t="n">
        <v>8</v>
      </c>
      <c r="F1177" t="inlineStr">
        <is>
          <t>Inpatient</t>
        </is>
      </c>
      <c r="G1177" t="inlineStr">
        <is>
          <t>Bluestone Memorial Hospital</t>
        </is>
      </c>
      <c r="H1177" t="inlineStr">
        <is>
          <t>Medical-Surgical 5 East</t>
        </is>
      </c>
      <c r="I1177" t="inlineStr">
        <is>
          <t>Medicine</t>
        </is>
      </c>
      <c r="J1177" t="inlineStr">
        <is>
          <t>Abdi, Hassan</t>
        </is>
      </c>
      <c r="K1177" t="inlineStr">
        <is>
          <t>N17.9</t>
        </is>
      </c>
      <c r="L1177" t="inlineStr">
        <is>
          <t>Genitourinary</t>
        </is>
      </c>
      <c r="M1177" t="inlineStr">
        <is>
          <t>Silverline Medicare Advantage</t>
        </is>
      </c>
      <c r="N1177" t="inlineStr">
        <is>
          <t>Medicare Advantage</t>
        </is>
      </c>
      <c r="O1177" s="39" t="n">
        <v>28064.6</v>
      </c>
      <c r="P1177" t="inlineStr">
        <is>
          <t>N</t>
        </is>
      </c>
    </row>
    <row r="1178">
      <c r="A1178" t="inlineStr">
        <is>
          <t>ENC117306</t>
        </is>
      </c>
      <c r="B1178" t="inlineStr">
        <is>
          <t>PT13645</t>
        </is>
      </c>
      <c r="C1178" s="42" t="n">
        <v>45870</v>
      </c>
      <c r="D1178" s="42" t="n">
        <v>45873</v>
      </c>
      <c r="E1178" s="38" t="n">
        <v>3</v>
      </c>
      <c r="F1178" t="inlineStr">
        <is>
          <t>Inpatient</t>
        </is>
      </c>
      <c r="G1178" t="inlineStr">
        <is>
          <t>Bluestone Memorial Hospital</t>
        </is>
      </c>
      <c r="H1178" t="inlineStr">
        <is>
          <t>Neuroscience &amp; Stroke</t>
        </is>
      </c>
      <c r="I1178" t="inlineStr">
        <is>
          <t>Neuroscience</t>
        </is>
      </c>
      <c r="J1178" t="inlineStr">
        <is>
          <t>Abbott, Isabella</t>
        </is>
      </c>
      <c r="K1178" t="inlineStr">
        <is>
          <t>I63.9</t>
        </is>
      </c>
      <c r="L1178" t="inlineStr">
        <is>
          <t>Circulatory</t>
        </is>
      </c>
      <c r="M1178" t="inlineStr">
        <is>
          <t>Medicare</t>
        </is>
      </c>
      <c r="N1178" t="inlineStr">
        <is>
          <t>Government</t>
        </is>
      </c>
      <c r="O1178" s="39" t="n">
        <v>25219.43</v>
      </c>
      <c r="P1178" t="inlineStr">
        <is>
          <t>N</t>
        </is>
      </c>
    </row>
    <row r="1179">
      <c r="A1179" t="inlineStr">
        <is>
          <t>ENC117312</t>
        </is>
      </c>
      <c r="B1179" t="inlineStr">
        <is>
          <t>PT13847</t>
        </is>
      </c>
      <c r="C1179" s="42" t="n">
        <v>45870</v>
      </c>
      <c r="D1179" s="42" t="n">
        <v>45870</v>
      </c>
      <c r="E1179" s="38" t="n">
        <v>0</v>
      </c>
      <c r="F1179" t="inlineStr">
        <is>
          <t>Outpatient</t>
        </is>
      </c>
      <c r="G1179" t="inlineStr">
        <is>
          <t>Bluestone Outpatient Pavilion</t>
        </is>
      </c>
      <c r="H1179" t="inlineStr">
        <is>
          <t>Infusion &amp; Oncology Clinic</t>
        </is>
      </c>
      <c r="I1179" t="inlineStr">
        <is>
          <t>Oncology</t>
        </is>
      </c>
      <c r="J1179" t="inlineStr">
        <is>
          <t>Cooper, Logan</t>
        </is>
      </c>
      <c r="K1179" t="inlineStr">
        <is>
          <t>C34.90</t>
        </is>
      </c>
      <c r="L1179" t="inlineStr">
        <is>
          <t>Neoplasms</t>
        </is>
      </c>
      <c r="M1179" t="inlineStr">
        <is>
          <t>Evergreen Mutual Insurance</t>
        </is>
      </c>
      <c r="N1179" t="inlineStr">
        <is>
          <t>Commercial</t>
        </is>
      </c>
      <c r="O1179" s="39" t="n">
        <v>1624.83</v>
      </c>
    </row>
    <row r="1180">
      <c r="A1180" t="inlineStr">
        <is>
          <t>ENC117318</t>
        </is>
      </c>
      <c r="B1180" t="inlineStr">
        <is>
          <t>PT11832</t>
        </is>
      </c>
      <c r="C1180" s="42" t="n">
        <v>45870</v>
      </c>
      <c r="D1180" s="42" t="n">
        <v>45870</v>
      </c>
      <c r="E1180" s="38" t="n">
        <v>0</v>
      </c>
      <c r="F1180" t="inlineStr">
        <is>
          <t>Emergency</t>
        </is>
      </c>
      <c r="G1180" t="inlineStr">
        <is>
          <t>Cedar Ridge Medical Center</t>
        </is>
      </c>
      <c r="H1180" t="inlineStr">
        <is>
          <t>Emergency Department</t>
        </is>
      </c>
      <c r="I1180" t="inlineStr">
        <is>
          <t>Emergency</t>
        </is>
      </c>
      <c r="J1180" t="inlineStr">
        <is>
          <t>Barnes, Gary</t>
        </is>
      </c>
      <c r="K1180" t="inlineStr">
        <is>
          <t>I48.91</t>
        </is>
      </c>
      <c r="L1180" t="inlineStr">
        <is>
          <t>Circulatory</t>
        </is>
      </c>
      <c r="M1180" t="inlineStr">
        <is>
          <t>State Medicaid</t>
        </is>
      </c>
      <c r="N1180" t="inlineStr">
        <is>
          <t>Government</t>
        </is>
      </c>
      <c r="O1180" s="39" t="n">
        <v>1397.23</v>
      </c>
    </row>
    <row r="1181">
      <c r="A1181" t="inlineStr">
        <is>
          <t>ENC117315</t>
        </is>
      </c>
      <c r="B1181" t="inlineStr">
        <is>
          <t>PT12994</t>
        </is>
      </c>
      <c r="C1181" s="42" t="n">
        <v>45870</v>
      </c>
      <c r="D1181" s="42" t="n">
        <v>45873</v>
      </c>
      <c r="E1181" s="38" t="n">
        <v>3</v>
      </c>
      <c r="F1181" t="inlineStr">
        <is>
          <t>Inpatient</t>
        </is>
      </c>
      <c r="G1181" t="inlineStr">
        <is>
          <t>Bluestone Memorial Hospital</t>
        </is>
      </c>
      <c r="H1181" t="inlineStr">
        <is>
          <t>Medical-Surgical 5 East</t>
        </is>
      </c>
      <c r="I1181" t="inlineStr">
        <is>
          <t>Medicine</t>
        </is>
      </c>
      <c r="J1181" t="inlineStr">
        <is>
          <t>Allen, Jean</t>
        </is>
      </c>
      <c r="K1181" t="inlineStr">
        <is>
          <t>N39.0</t>
        </is>
      </c>
      <c r="L1181" t="inlineStr">
        <is>
          <t>Genitourinary</t>
        </is>
      </c>
      <c r="M1181" t="inlineStr">
        <is>
          <t>Evergreen Mutual Insurance</t>
        </is>
      </c>
      <c r="N1181" t="inlineStr">
        <is>
          <t>Commercial</t>
        </is>
      </c>
      <c r="O1181" s="39" t="n">
        <v>10361.6</v>
      </c>
      <c r="P1181" t="inlineStr">
        <is>
          <t>Y</t>
        </is>
      </c>
    </row>
    <row r="1182">
      <c r="A1182" t="inlineStr">
        <is>
          <t>ENC117324</t>
        </is>
      </c>
      <c r="B1182" t="inlineStr">
        <is>
          <t>PT11558</t>
        </is>
      </c>
      <c r="C1182" s="42" t="n">
        <v>45871</v>
      </c>
      <c r="D1182" s="42" t="n">
        <v>45873</v>
      </c>
      <c r="E1182" s="38" t="n">
        <v>2</v>
      </c>
      <c r="F1182" t="inlineStr">
        <is>
          <t>Inpatient</t>
        </is>
      </c>
      <c r="G1182" t="inlineStr">
        <is>
          <t>Bluestone Memorial Hospital</t>
        </is>
      </c>
      <c r="H1182" t="inlineStr">
        <is>
          <t>Cardiac Step-Down</t>
        </is>
      </c>
      <c r="I1182" t="inlineStr">
        <is>
          <t>Cardiovascular</t>
        </is>
      </c>
      <c r="J1182" t="inlineStr">
        <is>
          <t>Evans, Charles</t>
        </is>
      </c>
      <c r="K1182" t="inlineStr">
        <is>
          <t>I21.4</t>
        </is>
      </c>
      <c r="L1182" t="inlineStr">
        <is>
          <t>Circulatory</t>
        </is>
      </c>
      <c r="M1182" t="inlineStr">
        <is>
          <t>Keystone Health Partners</t>
        </is>
      </c>
      <c r="N1182" t="inlineStr">
        <is>
          <t>Commercial</t>
        </is>
      </c>
      <c r="O1182" s="39" t="n">
        <v>49274.07</v>
      </c>
      <c r="P1182" t="inlineStr">
        <is>
          <t>N</t>
        </is>
      </c>
    </row>
    <row r="1183">
      <c r="A1183" t="inlineStr">
        <is>
          <t>ENC117334</t>
        </is>
      </c>
      <c r="B1183" t="inlineStr">
        <is>
          <t>PT13681</t>
        </is>
      </c>
      <c r="C1183" s="42" t="n">
        <v>45872</v>
      </c>
      <c r="D1183" s="42" t="n">
        <v>45873</v>
      </c>
      <c r="E1183" s="38" t="n">
        <v>1</v>
      </c>
      <c r="F1183" t="inlineStr">
        <is>
          <t>Inpatient</t>
        </is>
      </c>
      <c r="G1183" t="inlineStr">
        <is>
          <t>Bluestone Memorial Hospital</t>
        </is>
      </c>
      <c r="H1183" t="inlineStr">
        <is>
          <t>Labor &amp; Delivery</t>
        </is>
      </c>
      <c r="I1183" t="inlineStr">
        <is>
          <t>Women &amp; Children</t>
        </is>
      </c>
      <c r="J1183" t="inlineStr">
        <is>
          <t>Taylor, Lauren</t>
        </is>
      </c>
      <c r="K1183" t="inlineStr">
        <is>
          <t>O80</t>
        </is>
      </c>
      <c r="L1183" t="inlineStr">
        <is>
          <t>Pregnancy</t>
        </is>
      </c>
      <c r="M1183" t="inlineStr">
        <is>
          <t>Summit Choice PPO</t>
        </is>
      </c>
      <c r="N1183" t="inlineStr">
        <is>
          <t>Commercial</t>
        </is>
      </c>
      <c r="O1183" s="39" t="n">
        <v>17562.33</v>
      </c>
      <c r="P1183" t="inlineStr">
        <is>
          <t>N</t>
        </is>
      </c>
    </row>
    <row r="1184">
      <c r="A1184" t="inlineStr">
        <is>
          <t>ENC117345</t>
        </is>
      </c>
      <c r="B1184" t="inlineStr">
        <is>
          <t>PT11853</t>
        </is>
      </c>
      <c r="C1184" s="42" t="n">
        <v>45872</v>
      </c>
      <c r="D1184" s="42" t="n">
        <v>45872</v>
      </c>
      <c r="E1184" s="38" t="n">
        <v>0</v>
      </c>
      <c r="F1184" t="inlineStr">
        <is>
          <t>Emergency</t>
        </is>
      </c>
      <c r="G1184" t="inlineStr">
        <is>
          <t>Bluestone Memorial Hospital</t>
        </is>
      </c>
      <c r="H1184" t="inlineStr">
        <is>
          <t>Emergency Department</t>
        </is>
      </c>
      <c r="I1184" t="inlineStr">
        <is>
          <t>Emergency</t>
        </is>
      </c>
      <c r="J1184" t="inlineStr">
        <is>
          <t>Kowalski, James</t>
        </is>
      </c>
      <c r="K1184" t="inlineStr">
        <is>
          <t>F10.239</t>
        </is>
      </c>
      <c r="L1184" t="inlineStr">
        <is>
          <t>Mental &amp; Behavioral</t>
        </is>
      </c>
      <c r="M1184" t="inlineStr">
        <is>
          <t>Keystone Health Partners</t>
        </is>
      </c>
      <c r="N1184" t="inlineStr">
        <is>
          <t>Commercial</t>
        </is>
      </c>
      <c r="O1184" s="39" t="n">
        <v>3420.07</v>
      </c>
    </row>
    <row r="1185">
      <c r="A1185" t="inlineStr">
        <is>
          <t>ENC117348</t>
        </is>
      </c>
      <c r="B1185" t="inlineStr">
        <is>
          <t>PT13637</t>
        </is>
      </c>
      <c r="C1185" s="42" t="n">
        <v>45872</v>
      </c>
      <c r="D1185" s="42" t="n">
        <v>45872</v>
      </c>
      <c r="E1185" s="38" t="n">
        <v>0</v>
      </c>
      <c r="F1185" t="inlineStr">
        <is>
          <t>Emergency</t>
        </is>
      </c>
      <c r="G1185" t="inlineStr">
        <is>
          <t>Bluestone Memorial Hospital</t>
        </is>
      </c>
      <c r="H1185" t="inlineStr">
        <is>
          <t>Emergency Department</t>
        </is>
      </c>
      <c r="I1185" t="inlineStr">
        <is>
          <t>Emergency</t>
        </is>
      </c>
      <c r="J1185" t="inlineStr">
        <is>
          <t>Payne, Nancy</t>
        </is>
      </c>
      <c r="K1185" t="inlineStr">
        <is>
          <t>J06.9</t>
        </is>
      </c>
      <c r="L1185" t="inlineStr">
        <is>
          <t>Respiratory</t>
        </is>
      </c>
      <c r="M1185" t="inlineStr">
        <is>
          <t>Summit Choice PPO</t>
        </is>
      </c>
      <c r="N1185" t="inlineStr">
        <is>
          <t>Commercial</t>
        </is>
      </c>
      <c r="O1185" s="39" t="n">
        <v>527.8200000000001</v>
      </c>
    </row>
    <row r="1186">
      <c r="A1186" t="inlineStr">
        <is>
          <t>ENC117343</t>
        </is>
      </c>
      <c r="B1186" t="inlineStr">
        <is>
          <t>PT13605</t>
        </is>
      </c>
      <c r="C1186" s="42" t="n">
        <v>45872</v>
      </c>
      <c r="D1186" s="42" t="n">
        <v>45873</v>
      </c>
      <c r="E1186" s="38" t="n">
        <v>1</v>
      </c>
      <c r="F1186" t="inlineStr">
        <is>
          <t>Observation</t>
        </is>
      </c>
      <c r="G1186" t="inlineStr">
        <is>
          <t>Bluestone Memorial Hospital</t>
        </is>
      </c>
      <c r="H1186" t="inlineStr">
        <is>
          <t>Observation Unit</t>
        </is>
      </c>
      <c r="I1186" t="inlineStr">
        <is>
          <t>Medicine</t>
        </is>
      </c>
      <c r="J1186" t="inlineStr">
        <is>
          <t>Yilmaz, Joe</t>
        </is>
      </c>
      <c r="K1186" t="inlineStr">
        <is>
          <t>J45.909</t>
        </is>
      </c>
      <c r="L1186" t="inlineStr">
        <is>
          <t>Respiratory</t>
        </is>
      </c>
      <c r="M1186" t="inlineStr">
        <is>
          <t>Summit Choice PPO</t>
        </is>
      </c>
      <c r="N1186" t="inlineStr">
        <is>
          <t>Commercial</t>
        </is>
      </c>
      <c r="O1186" s="39" t="n">
        <v>8042.84</v>
      </c>
    </row>
    <row r="1187">
      <c r="A1187" t="inlineStr">
        <is>
          <t>ENC117354</t>
        </is>
      </c>
      <c r="B1187" t="inlineStr">
        <is>
          <t>PT11712</t>
        </is>
      </c>
      <c r="C1187" s="42" t="n">
        <v>45873</v>
      </c>
      <c r="D1187" s="42" t="n">
        <v>45873</v>
      </c>
      <c r="E1187" s="38" t="n">
        <v>0</v>
      </c>
      <c r="F1187" t="inlineStr">
        <is>
          <t>Emergency</t>
        </is>
      </c>
      <c r="G1187" t="inlineStr">
        <is>
          <t>Bluestone Memorial Hospital</t>
        </is>
      </c>
      <c r="H1187" t="inlineStr">
        <is>
          <t>Emergency Department</t>
        </is>
      </c>
      <c r="I1187" t="inlineStr">
        <is>
          <t>Emergency</t>
        </is>
      </c>
      <c r="J1187" t="inlineStr">
        <is>
          <t>Payne, Nancy</t>
        </is>
      </c>
      <c r="K1187" t="inlineStr">
        <is>
          <t>F41.9</t>
        </is>
      </c>
      <c r="L1187" t="inlineStr">
        <is>
          <t>Mental &amp; Behavioral</t>
        </is>
      </c>
      <c r="M1187" t="inlineStr">
        <is>
          <t>Medicare</t>
        </is>
      </c>
      <c r="N1187" t="inlineStr">
        <is>
          <t>Government</t>
        </is>
      </c>
      <c r="O1187" s="39" t="n">
        <v>1526.6</v>
      </c>
    </row>
    <row r="1188">
      <c r="A1188" t="inlineStr">
        <is>
          <t>ENC117365</t>
        </is>
      </c>
      <c r="B1188" t="inlineStr">
        <is>
          <t>PT13205</t>
        </is>
      </c>
      <c r="C1188" s="42" t="n">
        <v>45873</v>
      </c>
      <c r="D1188" s="42" t="n">
        <v>45873</v>
      </c>
      <c r="E1188" s="38" t="n">
        <v>0</v>
      </c>
      <c r="F1188" t="inlineStr">
        <is>
          <t>Outpatient</t>
        </is>
      </c>
      <c r="G1188" t="inlineStr">
        <is>
          <t>Bluestone Outpatient Pavilion</t>
        </is>
      </c>
      <c r="H1188" t="inlineStr">
        <is>
          <t>Primary Care Clinic</t>
        </is>
      </c>
      <c r="I1188" t="inlineStr">
        <is>
          <t>Ambulatory</t>
        </is>
      </c>
      <c r="J1188" t="inlineStr">
        <is>
          <t>Santos, Edward</t>
        </is>
      </c>
      <c r="K1188" t="inlineStr">
        <is>
          <t>I10</t>
        </is>
      </c>
      <c r="L1188" t="inlineStr">
        <is>
          <t>Circulatory</t>
        </is>
      </c>
      <c r="M1188" t="inlineStr">
        <is>
          <t>Summit Choice PPO</t>
        </is>
      </c>
      <c r="N1188" t="inlineStr">
        <is>
          <t>Commercial</t>
        </is>
      </c>
      <c r="O1188" s="39" t="n">
        <v>300.82</v>
      </c>
    </row>
    <row r="1189">
      <c r="A1189" t="inlineStr">
        <is>
          <t>ENC117368</t>
        </is>
      </c>
      <c r="B1189" t="inlineStr">
        <is>
          <t>PT13104</t>
        </is>
      </c>
      <c r="C1189" s="42" t="n">
        <v>45873</v>
      </c>
      <c r="D1189" s="42" t="n">
        <v>45873</v>
      </c>
      <c r="E1189" s="38" t="n">
        <v>0</v>
      </c>
      <c r="F1189" t="inlineStr">
        <is>
          <t>Outpatient</t>
        </is>
      </c>
      <c r="G1189" t="inlineStr">
        <is>
          <t>Bluestone Outpatient Pavilion</t>
        </is>
      </c>
      <c r="H1189" t="inlineStr">
        <is>
          <t>Pediatric Clinic</t>
        </is>
      </c>
      <c r="I1189" t="inlineStr">
        <is>
          <t>Women &amp; Children</t>
        </is>
      </c>
      <c r="J1189" t="inlineStr">
        <is>
          <t>Brown, Stephanie</t>
        </is>
      </c>
      <c r="K1189" t="inlineStr">
        <is>
          <t>J45.909</t>
        </is>
      </c>
      <c r="L1189" t="inlineStr">
        <is>
          <t>Respiratory</t>
        </is>
      </c>
      <c r="M1189" t="inlineStr">
        <is>
          <t>State Medicaid</t>
        </is>
      </c>
      <c r="N1189" t="inlineStr">
        <is>
          <t>Government</t>
        </is>
      </c>
      <c r="O1189" s="39" t="n">
        <v>132.17</v>
      </c>
    </row>
    <row r="1190">
      <c r="A1190" t="inlineStr">
        <is>
          <t>ENC117374</t>
        </is>
      </c>
      <c r="B1190" t="inlineStr">
        <is>
          <t>PT11181</t>
        </is>
      </c>
      <c r="C1190" s="42" t="n">
        <v>45873</v>
      </c>
      <c r="D1190" s="42" t="n">
        <v>45873</v>
      </c>
      <c r="E1190" s="38" t="n">
        <v>0</v>
      </c>
      <c r="F1190" t="inlineStr">
        <is>
          <t>Outpatient</t>
        </is>
      </c>
      <c r="G1190" t="inlineStr">
        <is>
          <t>Bluestone Outpatient Pavilion</t>
        </is>
      </c>
      <c r="H1190" t="inlineStr">
        <is>
          <t>Primary Care Clinic</t>
        </is>
      </c>
      <c r="I1190" t="inlineStr">
        <is>
          <t>Ambulatory</t>
        </is>
      </c>
      <c r="J1190" t="inlineStr">
        <is>
          <t>Arnold, Catherine</t>
        </is>
      </c>
      <c r="K1190" t="inlineStr">
        <is>
          <t>Z00.00</t>
        </is>
      </c>
      <c r="L1190" t="inlineStr">
        <is>
          <t>Factors Influencing Health</t>
        </is>
      </c>
      <c r="M1190" t="inlineStr">
        <is>
          <t>Summit Choice PPO</t>
        </is>
      </c>
      <c r="N1190" t="inlineStr">
        <is>
          <t>Commercial</t>
        </is>
      </c>
      <c r="O1190" s="39" t="n">
        <v>440.57</v>
      </c>
    </row>
    <row r="1191">
      <c r="A1191" t="inlineStr">
        <is>
          <t>ENC117361</t>
        </is>
      </c>
      <c r="B1191" t="inlineStr">
        <is>
          <t>PT10727</t>
        </is>
      </c>
      <c r="C1191" s="42" t="n">
        <v>45873</v>
      </c>
      <c r="D1191" s="42" t="n">
        <v>45876</v>
      </c>
      <c r="E1191" s="38" t="n">
        <v>3</v>
      </c>
      <c r="F1191" t="inlineStr">
        <is>
          <t>Inpatient</t>
        </is>
      </c>
      <c r="G1191" t="inlineStr">
        <is>
          <t>Bluestone Memorial Hospital</t>
        </is>
      </c>
      <c r="H1191" t="inlineStr">
        <is>
          <t>Cardiac Step-Down</t>
        </is>
      </c>
      <c r="I1191" t="inlineStr">
        <is>
          <t>Cardiovascular</t>
        </is>
      </c>
      <c r="J1191" t="inlineStr">
        <is>
          <t>Guzman, Michelle</t>
        </is>
      </c>
      <c r="K1191" t="inlineStr">
        <is>
          <t>I21.4</t>
        </is>
      </c>
      <c r="L1191" t="inlineStr">
        <is>
          <t>Circulatory</t>
        </is>
      </c>
      <c r="M1191" t="inlineStr">
        <is>
          <t>Medicare</t>
        </is>
      </c>
      <c r="N1191" t="inlineStr">
        <is>
          <t>Government</t>
        </is>
      </c>
      <c r="O1191" s="39" t="n">
        <v>34771.61</v>
      </c>
      <c r="P1191" t="inlineStr">
        <is>
          <t>N</t>
        </is>
      </c>
    </row>
    <row r="1192">
      <c r="A1192" t="inlineStr">
        <is>
          <t>ENC117380</t>
        </is>
      </c>
      <c r="B1192" t="inlineStr">
        <is>
          <t>PT12728</t>
        </is>
      </c>
      <c r="C1192" s="42" t="n">
        <v>45873</v>
      </c>
      <c r="D1192" s="42" t="n">
        <v>45873</v>
      </c>
      <c r="E1192" s="38" t="n">
        <v>0</v>
      </c>
      <c r="F1192" t="inlineStr">
        <is>
          <t>Emergency</t>
        </is>
      </c>
      <c r="G1192" t="inlineStr">
        <is>
          <t>Bluestone Memorial Hospital</t>
        </is>
      </c>
      <c r="H1192" t="inlineStr">
        <is>
          <t>Emergency Department</t>
        </is>
      </c>
      <c r="I1192" t="inlineStr">
        <is>
          <t>Emergency</t>
        </is>
      </c>
      <c r="J1192" t="inlineStr">
        <is>
          <t>Ferguson, Roy</t>
        </is>
      </c>
      <c r="K1192" t="inlineStr">
        <is>
          <t>S93.401A</t>
        </is>
      </c>
      <c r="L1192" t="inlineStr">
        <is>
          <t>Injury</t>
        </is>
      </c>
      <c r="M1192" t="inlineStr">
        <is>
          <t>State Medicaid</t>
        </is>
      </c>
      <c r="N1192" t="inlineStr">
        <is>
          <t>Government</t>
        </is>
      </c>
      <c r="O1192" s="39" t="n">
        <v>737.73</v>
      </c>
    </row>
    <row r="1193">
      <c r="A1193" t="inlineStr">
        <is>
          <t>ENC117384</t>
        </is>
      </c>
      <c r="B1193" t="inlineStr">
        <is>
          <t>PT13903</t>
        </is>
      </c>
      <c r="C1193" s="42" t="n">
        <v>45874</v>
      </c>
      <c r="D1193" s="42" t="n">
        <v>45874</v>
      </c>
      <c r="E1193" s="38" t="n">
        <v>0</v>
      </c>
      <c r="F1193" t="inlineStr">
        <is>
          <t>Outpatient</t>
        </is>
      </c>
      <c r="G1193" t="inlineStr">
        <is>
          <t>Bluestone Outpatient Pavilion</t>
        </is>
      </c>
      <c r="H1193" t="inlineStr">
        <is>
          <t>Primary Care Clinic</t>
        </is>
      </c>
      <c r="I1193" t="inlineStr">
        <is>
          <t>Ambulatory</t>
        </is>
      </c>
      <c r="J1193" t="inlineStr">
        <is>
          <t>Black, Kelly</t>
        </is>
      </c>
      <c r="K1193" t="inlineStr">
        <is>
          <t>Z00.00</t>
        </is>
      </c>
      <c r="L1193" t="inlineStr">
        <is>
          <t>Factors Influencing Health</t>
        </is>
      </c>
      <c r="M1193" t="inlineStr">
        <is>
          <t>Medicare</t>
        </is>
      </c>
      <c r="N1193" t="inlineStr">
        <is>
          <t>Government</t>
        </is>
      </c>
      <c r="O1193" s="39" t="n">
        <v>391.98</v>
      </c>
    </row>
    <row r="1194">
      <c r="A1194" t="inlineStr">
        <is>
          <t>ENC117388</t>
        </is>
      </c>
      <c r="B1194" t="inlineStr">
        <is>
          <t>PT11201</t>
        </is>
      </c>
      <c r="C1194" s="42" t="n">
        <v>45874</v>
      </c>
      <c r="D1194" s="42" t="n">
        <v>45874</v>
      </c>
      <c r="E1194" s="38" t="n">
        <v>0</v>
      </c>
      <c r="F1194" t="inlineStr">
        <is>
          <t>Emergency</t>
        </is>
      </c>
      <c r="G1194" t="inlineStr">
        <is>
          <t>Bluestone Memorial Hospital</t>
        </is>
      </c>
      <c r="H1194" t="inlineStr">
        <is>
          <t>Emergency Department</t>
        </is>
      </c>
      <c r="I1194" t="inlineStr">
        <is>
          <t>Emergency</t>
        </is>
      </c>
      <c r="J1194" t="inlineStr">
        <is>
          <t>Kowalski, James</t>
        </is>
      </c>
      <c r="K1194" t="inlineStr">
        <is>
          <t>E11.65</t>
        </is>
      </c>
      <c r="L1194" t="inlineStr">
        <is>
          <t>Endocrine</t>
        </is>
      </c>
      <c r="M1194" t="inlineStr">
        <is>
          <t>Evergreen Mutual Insurance</t>
        </is>
      </c>
      <c r="N1194" t="inlineStr">
        <is>
          <t>Commercial</t>
        </is>
      </c>
      <c r="O1194" s="39" t="n">
        <v>2078.57</v>
      </c>
    </row>
    <row r="1195">
      <c r="A1195" t="inlineStr">
        <is>
          <t>ENC117389</t>
        </is>
      </c>
      <c r="B1195" t="inlineStr">
        <is>
          <t>PT12007</t>
        </is>
      </c>
      <c r="C1195" s="42" t="n">
        <v>45874</v>
      </c>
      <c r="D1195" s="42" t="n">
        <v>45882</v>
      </c>
      <c r="E1195" s="38" t="n">
        <v>8</v>
      </c>
      <c r="F1195" t="inlineStr">
        <is>
          <t>Inpatient</t>
        </is>
      </c>
      <c r="G1195" t="inlineStr">
        <is>
          <t>Bluestone Memorial Hospital</t>
        </is>
      </c>
      <c r="H1195" t="inlineStr">
        <is>
          <t>Medical-Surgical 5 East</t>
        </is>
      </c>
      <c r="I1195" t="inlineStr">
        <is>
          <t>Medicine</t>
        </is>
      </c>
      <c r="J1195" t="inlineStr">
        <is>
          <t>Abdi, Hassan</t>
        </is>
      </c>
      <c r="K1195" t="inlineStr">
        <is>
          <t>L03.115</t>
        </is>
      </c>
      <c r="L1195" t="inlineStr">
        <is>
          <t>Skin</t>
        </is>
      </c>
      <c r="M1195" t="inlineStr">
        <is>
          <t>Silverline Medicare Advantage</t>
        </is>
      </c>
      <c r="N1195" t="inlineStr">
        <is>
          <t>Medicare Advantage</t>
        </is>
      </c>
      <c r="O1195" s="39" t="n">
        <v>27501.56</v>
      </c>
      <c r="P1195" t="inlineStr">
        <is>
          <t>N</t>
        </is>
      </c>
    </row>
    <row r="1196">
      <c r="A1196" t="inlineStr">
        <is>
          <t>ENC117401</t>
        </is>
      </c>
      <c r="B1196" t="inlineStr">
        <is>
          <t>PT12137</t>
        </is>
      </c>
      <c r="C1196" s="42" t="n">
        <v>45874</v>
      </c>
      <c r="D1196" s="42" t="n">
        <v>45874</v>
      </c>
      <c r="E1196" s="38" t="n">
        <v>0</v>
      </c>
      <c r="F1196" t="inlineStr">
        <is>
          <t>Outpatient</t>
        </is>
      </c>
      <c r="G1196" t="inlineStr">
        <is>
          <t>Bluestone Outpatient Pavilion</t>
        </is>
      </c>
      <c r="H1196" t="inlineStr">
        <is>
          <t>Endocrinology &amp; Diabetes Clinic</t>
        </is>
      </c>
      <c r="I1196" t="inlineStr">
        <is>
          <t>Ambulatory</t>
        </is>
      </c>
      <c r="J1196" t="inlineStr">
        <is>
          <t>Lee, Amber</t>
        </is>
      </c>
      <c r="K1196" t="inlineStr">
        <is>
          <t>E11.9</t>
        </is>
      </c>
      <c r="L1196" t="inlineStr">
        <is>
          <t>Endocrine</t>
        </is>
      </c>
      <c r="M1196" t="inlineStr">
        <is>
          <t>State Medicaid</t>
        </is>
      </c>
      <c r="N1196" t="inlineStr">
        <is>
          <t>Government</t>
        </is>
      </c>
      <c r="O1196" s="39" t="n">
        <v>397.22</v>
      </c>
    </row>
    <row r="1197">
      <c r="A1197" t="inlineStr">
        <is>
          <t>ENC117402</t>
        </is>
      </c>
      <c r="B1197" t="inlineStr">
        <is>
          <t>PT12717</t>
        </is>
      </c>
      <c r="C1197" s="42" t="n">
        <v>45874</v>
      </c>
      <c r="D1197" s="42" t="n">
        <v>45874</v>
      </c>
      <c r="E1197" s="38" t="n">
        <v>0</v>
      </c>
      <c r="F1197" t="inlineStr">
        <is>
          <t>Outpatient</t>
        </is>
      </c>
      <c r="G1197" t="inlineStr">
        <is>
          <t>Bluestone Outpatient Pavilion</t>
        </is>
      </c>
      <c r="H1197" t="inlineStr">
        <is>
          <t>Infusion &amp; Oncology Clinic</t>
        </is>
      </c>
      <c r="I1197" t="inlineStr">
        <is>
          <t>Oncology</t>
        </is>
      </c>
      <c r="J1197" t="inlineStr">
        <is>
          <t>Long, Fatima</t>
        </is>
      </c>
      <c r="K1197" t="inlineStr">
        <is>
          <t>Z51.11</t>
        </is>
      </c>
      <c r="L1197" t="inlineStr">
        <is>
          <t>Factors Influencing Health</t>
        </is>
      </c>
      <c r="M1197" t="inlineStr">
        <is>
          <t>Evergreen Mutual Insurance</t>
        </is>
      </c>
      <c r="N1197" t="inlineStr">
        <is>
          <t>Commercial</t>
        </is>
      </c>
      <c r="O1197" s="39" t="n">
        <v>14727.67</v>
      </c>
    </row>
    <row r="1198">
      <c r="A1198" t="inlineStr">
        <is>
          <t>ENC117403</t>
        </is>
      </c>
      <c r="B1198" t="inlineStr">
        <is>
          <t>PT11677</t>
        </is>
      </c>
      <c r="C1198" s="42" t="n">
        <v>45874</v>
      </c>
      <c r="D1198" s="42" t="n">
        <v>45874</v>
      </c>
      <c r="E1198" s="38" t="n">
        <v>0</v>
      </c>
      <c r="F1198" t="inlineStr">
        <is>
          <t>Outpatient</t>
        </is>
      </c>
      <c r="G1198" t="inlineStr">
        <is>
          <t>Bluestone Outpatient Pavilion</t>
        </is>
      </c>
      <c r="H1198" t="inlineStr">
        <is>
          <t>Primary Care Clinic</t>
        </is>
      </c>
      <c r="I1198" t="inlineStr">
        <is>
          <t>Ambulatory</t>
        </is>
      </c>
      <c r="J1198" t="inlineStr">
        <is>
          <t>Sullivan, Brenda</t>
        </is>
      </c>
      <c r="K1198" t="inlineStr">
        <is>
          <t>E78.5</t>
        </is>
      </c>
      <c r="L1198" t="inlineStr">
        <is>
          <t>Endocrine</t>
        </is>
      </c>
      <c r="M1198" t="inlineStr">
        <is>
          <t>Medicare</t>
        </is>
      </c>
      <c r="N1198" t="inlineStr">
        <is>
          <t>Government</t>
        </is>
      </c>
      <c r="O1198" s="39" t="n">
        <v>390.31</v>
      </c>
    </row>
    <row r="1199">
      <c r="A1199" t="inlineStr">
        <is>
          <t>ENC117394</t>
        </is>
      </c>
      <c r="B1199" t="inlineStr">
        <is>
          <t>PT13900</t>
        </is>
      </c>
      <c r="C1199" s="42" t="n">
        <v>45874</v>
      </c>
      <c r="D1199" s="42" t="n">
        <v>45879</v>
      </c>
      <c r="E1199" s="38" t="n">
        <v>5</v>
      </c>
      <c r="F1199" t="inlineStr">
        <is>
          <t>Inpatient</t>
        </is>
      </c>
      <c r="G1199" t="inlineStr">
        <is>
          <t>Bluestone Memorial Hospital</t>
        </is>
      </c>
      <c r="H1199" t="inlineStr">
        <is>
          <t>Cardiac Step-Down</t>
        </is>
      </c>
      <c r="I1199" t="inlineStr">
        <is>
          <t>Cardiovascular</t>
        </is>
      </c>
      <c r="J1199" t="inlineStr">
        <is>
          <t>Vasquez, Jose</t>
        </is>
      </c>
      <c r="K1199" t="inlineStr">
        <is>
          <t>I50.9</t>
        </is>
      </c>
      <c r="L1199" t="inlineStr">
        <is>
          <t>Circulatory</t>
        </is>
      </c>
      <c r="M1199" t="inlineStr">
        <is>
          <t>Medicare</t>
        </is>
      </c>
      <c r="N1199" t="inlineStr">
        <is>
          <t>Government</t>
        </is>
      </c>
      <c r="O1199" s="39" t="n">
        <v>37286.14</v>
      </c>
      <c r="P1199" t="inlineStr">
        <is>
          <t>N</t>
        </is>
      </c>
    </row>
    <row r="1200">
      <c r="A1200" t="inlineStr">
        <is>
          <t>ENC117409</t>
        </is>
      </c>
      <c r="B1200" t="inlineStr">
        <is>
          <t>PT13937</t>
        </is>
      </c>
      <c r="C1200" s="42" t="n">
        <v>45874</v>
      </c>
      <c r="D1200" s="42" t="n">
        <v>45874</v>
      </c>
      <c r="E1200" s="38" t="n">
        <v>0</v>
      </c>
      <c r="F1200" t="inlineStr">
        <is>
          <t>Emergency</t>
        </is>
      </c>
      <c r="G1200" t="inlineStr">
        <is>
          <t>Bluestone Memorial Hospital</t>
        </is>
      </c>
      <c r="H1200" t="inlineStr">
        <is>
          <t>Emergency Department</t>
        </is>
      </c>
      <c r="I1200" t="inlineStr">
        <is>
          <t>Emergency</t>
        </is>
      </c>
      <c r="J1200" t="inlineStr">
        <is>
          <t>Cruz, Mia</t>
        </is>
      </c>
      <c r="K1200" t="inlineStr">
        <is>
          <t>S93.401A</t>
        </is>
      </c>
      <c r="L1200" t="inlineStr">
        <is>
          <t>Injury</t>
        </is>
      </c>
      <c r="M1200" t="inlineStr">
        <is>
          <t>Summit Choice PPO</t>
        </is>
      </c>
      <c r="N1200" t="inlineStr">
        <is>
          <t>Commercial</t>
        </is>
      </c>
      <c r="O1200" s="39" t="n">
        <v>1755.01</v>
      </c>
    </row>
    <row r="1201">
      <c r="A1201" t="inlineStr">
        <is>
          <t>ENC117414</t>
        </is>
      </c>
      <c r="B1201" t="inlineStr">
        <is>
          <t>PT11231</t>
        </is>
      </c>
      <c r="C1201" s="42" t="n">
        <v>45874</v>
      </c>
      <c r="D1201" s="42" t="n">
        <v>45875</v>
      </c>
      <c r="E1201" s="38" t="n">
        <v>1</v>
      </c>
      <c r="F1201" t="inlineStr">
        <is>
          <t>Emergency</t>
        </is>
      </c>
      <c r="G1201" t="inlineStr">
        <is>
          <t>Cedar Ridge Medical Center</t>
        </is>
      </c>
      <c r="H1201" t="inlineStr">
        <is>
          <t>Emergency Department</t>
        </is>
      </c>
      <c r="I1201" t="inlineStr">
        <is>
          <t>Emergency</t>
        </is>
      </c>
      <c r="J1201" t="inlineStr">
        <is>
          <t>Henry, Brenda</t>
        </is>
      </c>
      <c r="K1201" t="inlineStr">
        <is>
          <t>G43.909</t>
        </is>
      </c>
      <c r="L1201" t="inlineStr">
        <is>
          <t>Nervous System</t>
        </is>
      </c>
      <c r="M1201" t="inlineStr">
        <is>
          <t>Keystone Health Partners</t>
        </is>
      </c>
      <c r="N1201" t="inlineStr">
        <is>
          <t>Commercial</t>
        </is>
      </c>
      <c r="O1201" s="39" t="n">
        <v>1722.15</v>
      </c>
    </row>
    <row r="1202">
      <c r="A1202" t="inlineStr">
        <is>
          <t>ENC117420</t>
        </is>
      </c>
      <c r="B1202" t="inlineStr">
        <is>
          <t>PT13296</t>
        </is>
      </c>
      <c r="C1202" s="42" t="n">
        <v>45875</v>
      </c>
      <c r="D1202" s="42" t="n">
        <v>45875</v>
      </c>
      <c r="E1202" s="38" t="n">
        <v>0</v>
      </c>
      <c r="F1202" t="inlineStr">
        <is>
          <t>Emergency</t>
        </is>
      </c>
      <c r="G1202" t="inlineStr">
        <is>
          <t>Ashby Falls Community Hospital</t>
        </is>
      </c>
      <c r="H1202" t="inlineStr">
        <is>
          <t>Emergency Department</t>
        </is>
      </c>
      <c r="I1202" t="inlineStr">
        <is>
          <t>Emergency</t>
        </is>
      </c>
      <c r="J1202" t="inlineStr">
        <is>
          <t>Peters, Megan</t>
        </is>
      </c>
      <c r="K1202" t="inlineStr">
        <is>
          <t>J06.9</t>
        </is>
      </c>
      <c r="L1202" t="inlineStr">
        <is>
          <t>Respiratory</t>
        </is>
      </c>
      <c r="M1202" t="inlineStr">
        <is>
          <t>Keystone Health Partners</t>
        </is>
      </c>
      <c r="N1202" t="inlineStr">
        <is>
          <t>Commercial</t>
        </is>
      </c>
      <c r="O1202" s="39" t="n">
        <v>775.45</v>
      </c>
    </row>
    <row r="1203">
      <c r="A1203" t="inlineStr">
        <is>
          <t>ENC117426</t>
        </is>
      </c>
      <c r="B1203" t="inlineStr">
        <is>
          <t>PT12203</t>
        </is>
      </c>
      <c r="C1203" s="42" t="n">
        <v>45875</v>
      </c>
      <c r="D1203" s="42" t="n">
        <v>45875</v>
      </c>
      <c r="E1203" s="38" t="n">
        <v>0</v>
      </c>
      <c r="F1203" t="inlineStr">
        <is>
          <t>Outpatient</t>
        </is>
      </c>
      <c r="G1203" t="inlineStr">
        <is>
          <t>Bluestone Outpatient Pavilion</t>
        </is>
      </c>
      <c r="H1203" t="inlineStr">
        <is>
          <t>Infusion &amp; Oncology Clinic</t>
        </is>
      </c>
      <c r="I1203" t="inlineStr">
        <is>
          <t>Oncology</t>
        </is>
      </c>
      <c r="J1203" t="inlineStr">
        <is>
          <t>Long, Fatima</t>
        </is>
      </c>
      <c r="K1203" t="inlineStr">
        <is>
          <t>C50.911</t>
        </is>
      </c>
      <c r="L1203" t="inlineStr">
        <is>
          <t>Neoplasms</t>
        </is>
      </c>
      <c r="M1203" t="inlineStr">
        <is>
          <t>Silverline Medicare Advantage</t>
        </is>
      </c>
      <c r="N1203" t="inlineStr">
        <is>
          <t>Medicare Advantage</t>
        </is>
      </c>
      <c r="O1203" s="39" t="n">
        <v>737.39</v>
      </c>
    </row>
    <row r="1204">
      <c r="A1204" t="inlineStr">
        <is>
          <t>ENC117433</t>
        </is>
      </c>
      <c r="B1204" t="inlineStr">
        <is>
          <t>PT12456</t>
        </is>
      </c>
      <c r="C1204" s="42" t="n">
        <v>45875</v>
      </c>
      <c r="D1204" s="42" t="n">
        <v>45875</v>
      </c>
      <c r="E1204" s="38" t="n">
        <v>0</v>
      </c>
      <c r="F1204" t="inlineStr">
        <is>
          <t>Outpatient</t>
        </is>
      </c>
      <c r="G1204" t="inlineStr">
        <is>
          <t>Bluestone Outpatient Pavilion</t>
        </is>
      </c>
      <c r="H1204" t="inlineStr">
        <is>
          <t>Primary Care Clinic</t>
        </is>
      </c>
      <c r="I1204" t="inlineStr">
        <is>
          <t>Ambulatory</t>
        </is>
      </c>
      <c r="J1204" t="inlineStr">
        <is>
          <t>Vazquez, Carolyn</t>
        </is>
      </c>
      <c r="K1204" t="inlineStr">
        <is>
          <t>M54.50</t>
        </is>
      </c>
      <c r="L1204" t="inlineStr">
        <is>
          <t>Musculoskeletal</t>
        </is>
      </c>
      <c r="M1204" t="inlineStr">
        <is>
          <t>Keystone Health Partners</t>
        </is>
      </c>
      <c r="N1204" t="inlineStr">
        <is>
          <t>Commercial</t>
        </is>
      </c>
      <c r="O1204" s="39" t="n">
        <v>236.72</v>
      </c>
    </row>
    <row r="1205">
      <c r="A1205" t="inlineStr">
        <is>
          <t>ENC117437</t>
        </is>
      </c>
      <c r="B1205" t="inlineStr">
        <is>
          <t>PT10594</t>
        </is>
      </c>
      <c r="C1205" s="42" t="n">
        <v>45875</v>
      </c>
      <c r="D1205" s="42" t="n">
        <v>45875</v>
      </c>
      <c r="E1205" s="38" t="n">
        <v>0</v>
      </c>
      <c r="F1205" t="inlineStr">
        <is>
          <t>Outpatient</t>
        </is>
      </c>
      <c r="G1205" t="inlineStr">
        <is>
          <t>Bluestone Outpatient Pavilion</t>
        </is>
      </c>
      <c r="H1205" t="inlineStr">
        <is>
          <t>Infusion &amp; Oncology Clinic</t>
        </is>
      </c>
      <c r="I1205" t="inlineStr">
        <is>
          <t>Oncology</t>
        </is>
      </c>
      <c r="J1205" t="inlineStr">
        <is>
          <t>Cooper, Logan</t>
        </is>
      </c>
      <c r="K1205" t="inlineStr">
        <is>
          <t>Z51.11</t>
        </is>
      </c>
      <c r="L1205" t="inlineStr">
        <is>
          <t>Factors Influencing Health</t>
        </is>
      </c>
      <c r="M1205" t="inlineStr">
        <is>
          <t>Medicare</t>
        </is>
      </c>
      <c r="N1205" t="inlineStr">
        <is>
          <t>Government</t>
        </is>
      </c>
      <c r="O1205" s="39" t="n">
        <v>9805.120000000001</v>
      </c>
    </row>
    <row r="1206">
      <c r="A1206" t="inlineStr">
        <is>
          <t>ENC117440</t>
        </is>
      </c>
      <c r="B1206" t="inlineStr">
        <is>
          <t>PT11377</t>
        </is>
      </c>
      <c r="C1206" s="42" t="n">
        <v>45875</v>
      </c>
      <c r="D1206" s="42" t="n">
        <v>45875</v>
      </c>
      <c r="E1206" s="38" t="n">
        <v>0</v>
      </c>
      <c r="F1206" t="inlineStr">
        <is>
          <t>Outpatient</t>
        </is>
      </c>
      <c r="G1206" t="inlineStr">
        <is>
          <t>Bluestone Outpatient Pavilion</t>
        </is>
      </c>
      <c r="H1206" t="inlineStr">
        <is>
          <t>Primary Care Clinic</t>
        </is>
      </c>
      <c r="I1206" t="inlineStr">
        <is>
          <t>Ambulatory</t>
        </is>
      </c>
      <c r="J1206" t="inlineStr">
        <is>
          <t>Osei, Julie</t>
        </is>
      </c>
      <c r="K1206" t="inlineStr">
        <is>
          <t>Z00.00</t>
        </is>
      </c>
      <c r="L1206" t="inlineStr">
        <is>
          <t>Factors Influencing Health</t>
        </is>
      </c>
      <c r="M1206" t="inlineStr">
        <is>
          <t>State Medicaid</t>
        </is>
      </c>
      <c r="N1206" t="inlineStr">
        <is>
          <t>Government</t>
        </is>
      </c>
      <c r="O1206" s="39" t="n">
        <v>571.77</v>
      </c>
    </row>
    <row r="1207">
      <c r="A1207" t="inlineStr">
        <is>
          <t>ENC117432</t>
        </is>
      </c>
      <c r="B1207" t="inlineStr">
        <is>
          <t>PT10170</t>
        </is>
      </c>
      <c r="C1207" s="42" t="n">
        <v>45875</v>
      </c>
      <c r="D1207" s="42" t="n">
        <v>45883</v>
      </c>
      <c r="E1207" s="38" t="n">
        <v>8</v>
      </c>
      <c r="F1207" t="inlineStr">
        <is>
          <t>Inpatient</t>
        </is>
      </c>
      <c r="G1207" t="inlineStr">
        <is>
          <t>Bluestone Memorial Hospital</t>
        </is>
      </c>
      <c r="H1207" t="inlineStr">
        <is>
          <t>Cardiac Step-Down</t>
        </is>
      </c>
      <c r="I1207" t="inlineStr">
        <is>
          <t>Cardiovascular</t>
        </is>
      </c>
      <c r="J1207" t="inlineStr">
        <is>
          <t>Boyd, Shirley</t>
        </is>
      </c>
      <c r="K1207" t="inlineStr">
        <is>
          <t>I50.9</t>
        </is>
      </c>
      <c r="L1207" t="inlineStr">
        <is>
          <t>Circulatory</t>
        </is>
      </c>
      <c r="M1207" t="inlineStr">
        <is>
          <t>Silverline Medicare Advantage</t>
        </is>
      </c>
      <c r="N1207" t="inlineStr">
        <is>
          <t>Medicare Advantage</t>
        </is>
      </c>
      <c r="O1207" s="39" t="n">
        <v>38997.38</v>
      </c>
      <c r="P1207" t="inlineStr">
        <is>
          <t>N</t>
        </is>
      </c>
    </row>
    <row r="1208">
      <c r="A1208" t="inlineStr">
        <is>
          <t>ENC117438</t>
        </is>
      </c>
      <c r="B1208" t="inlineStr">
        <is>
          <t>PT12203</t>
        </is>
      </c>
      <c r="C1208" s="42" t="n">
        <v>45875</v>
      </c>
      <c r="D1208" s="42" t="n">
        <v>45876</v>
      </c>
      <c r="E1208" s="38" t="n">
        <v>1</v>
      </c>
      <c r="F1208" t="inlineStr">
        <is>
          <t>Observation</t>
        </is>
      </c>
      <c r="G1208" t="inlineStr">
        <is>
          <t>Cedar Ridge Medical Center</t>
        </is>
      </c>
      <c r="H1208" t="inlineStr">
        <is>
          <t>Medical-Surgical</t>
        </is>
      </c>
      <c r="I1208" t="inlineStr">
        <is>
          <t>Medicine</t>
        </is>
      </c>
      <c r="J1208" t="inlineStr">
        <is>
          <t>Reyes, Harper</t>
        </is>
      </c>
      <c r="K1208" t="inlineStr">
        <is>
          <t>L03.115</t>
        </is>
      </c>
      <c r="L1208" t="inlineStr">
        <is>
          <t>Skin</t>
        </is>
      </c>
      <c r="M1208" t="inlineStr">
        <is>
          <t>Silverline Medicare Advantage</t>
        </is>
      </c>
      <c r="N1208" t="inlineStr">
        <is>
          <t>Medicare Advantage</t>
        </is>
      </c>
      <c r="O1208" s="39" t="n">
        <v>9827.700000000001</v>
      </c>
    </row>
    <row r="1209">
      <c r="A1209" t="inlineStr">
        <is>
          <t>ENC117450</t>
        </is>
      </c>
      <c r="B1209" t="inlineStr">
        <is>
          <t>PT11430</t>
        </is>
      </c>
      <c r="C1209" s="42" t="n">
        <v>45876</v>
      </c>
      <c r="D1209" s="42" t="n">
        <v>45876</v>
      </c>
      <c r="E1209" s="38" t="n">
        <v>0</v>
      </c>
      <c r="F1209" t="inlineStr">
        <is>
          <t>Outpatient</t>
        </is>
      </c>
      <c r="G1209" t="inlineStr">
        <is>
          <t>Bluestone Outpatient Pavilion</t>
        </is>
      </c>
      <c r="H1209" t="inlineStr">
        <is>
          <t>Primary Care Clinic</t>
        </is>
      </c>
      <c r="I1209" t="inlineStr">
        <is>
          <t>Ambulatory</t>
        </is>
      </c>
      <c r="J1209" t="inlineStr">
        <is>
          <t>Bennett, Randy</t>
        </is>
      </c>
      <c r="K1209" t="inlineStr">
        <is>
          <t>E78.5</t>
        </is>
      </c>
      <c r="L1209" t="inlineStr">
        <is>
          <t>Endocrine</t>
        </is>
      </c>
      <c r="M1209" t="inlineStr">
        <is>
          <t>Keystone Health Partners</t>
        </is>
      </c>
      <c r="N1209" t="inlineStr">
        <is>
          <t>Commercial</t>
        </is>
      </c>
      <c r="O1209" s="39" t="n">
        <v>172.23</v>
      </c>
    </row>
    <row r="1210">
      <c r="A1210" t="inlineStr">
        <is>
          <t>ENC117463</t>
        </is>
      </c>
      <c r="B1210" t="inlineStr">
        <is>
          <t>PT12856</t>
        </is>
      </c>
      <c r="C1210" s="42" t="n">
        <v>45876</v>
      </c>
      <c r="D1210" s="42" t="n">
        <v>45876</v>
      </c>
      <c r="E1210" s="38" t="n">
        <v>0</v>
      </c>
      <c r="F1210" t="inlineStr">
        <is>
          <t>Outpatient</t>
        </is>
      </c>
      <c r="G1210" t="inlineStr">
        <is>
          <t>Bluestone Outpatient Pavilion</t>
        </is>
      </c>
      <c r="H1210" t="inlineStr">
        <is>
          <t>Primary Care Clinic</t>
        </is>
      </c>
      <c r="I1210" t="inlineStr">
        <is>
          <t>Ambulatory</t>
        </is>
      </c>
      <c r="J1210" t="inlineStr">
        <is>
          <t>Bennett, Randy</t>
        </is>
      </c>
      <c r="K1210" t="inlineStr">
        <is>
          <t>M54.50</t>
        </is>
      </c>
      <c r="L1210" t="inlineStr">
        <is>
          <t>Musculoskeletal</t>
        </is>
      </c>
      <c r="M1210" t="inlineStr">
        <is>
          <t>Medicare</t>
        </is>
      </c>
      <c r="N1210" t="inlineStr">
        <is>
          <t>Government</t>
        </is>
      </c>
      <c r="O1210" s="39" t="n">
        <v>428.69</v>
      </c>
    </row>
    <row r="1211">
      <c r="A1211" t="inlineStr">
        <is>
          <t>ENC117465</t>
        </is>
      </c>
      <c r="B1211" t="inlineStr">
        <is>
          <t>PT12881</t>
        </is>
      </c>
      <c r="C1211" s="42" t="n">
        <v>45876</v>
      </c>
      <c r="D1211" s="42" t="n">
        <v>45880</v>
      </c>
      <c r="E1211" s="38" t="n">
        <v>4</v>
      </c>
      <c r="F1211" t="inlineStr">
        <is>
          <t>Inpatient</t>
        </is>
      </c>
      <c r="G1211" t="inlineStr">
        <is>
          <t>Bluestone Memorial Hospital</t>
        </is>
      </c>
      <c r="H1211" t="inlineStr">
        <is>
          <t>Neuroscience &amp; Stroke</t>
        </is>
      </c>
      <c r="I1211" t="inlineStr">
        <is>
          <t>Neuroscience</t>
        </is>
      </c>
      <c r="J1211" t="inlineStr">
        <is>
          <t>Garcia, Alexis</t>
        </is>
      </c>
      <c r="K1211" t="inlineStr">
        <is>
          <t>G40.909</t>
        </is>
      </c>
      <c r="L1211" t="inlineStr">
        <is>
          <t>Nervous System</t>
        </is>
      </c>
      <c r="M1211" t="inlineStr">
        <is>
          <t>Silverline Medicare Advantage</t>
        </is>
      </c>
      <c r="N1211" t="inlineStr">
        <is>
          <t>Medicare Advantage</t>
        </is>
      </c>
      <c r="O1211" s="39" t="n">
        <v>18461.37</v>
      </c>
      <c r="P1211" t="inlineStr">
        <is>
          <t>N</t>
        </is>
      </c>
    </row>
    <row r="1212">
      <c r="A1212" t="inlineStr">
        <is>
          <t>ENC117472</t>
        </is>
      </c>
      <c r="B1212" t="inlineStr">
        <is>
          <t>PT13051</t>
        </is>
      </c>
      <c r="C1212" s="42" t="n">
        <v>45877</v>
      </c>
      <c r="D1212" s="42" t="n">
        <v>45877</v>
      </c>
      <c r="E1212" s="38" t="n">
        <v>0</v>
      </c>
      <c r="F1212" t="inlineStr">
        <is>
          <t>Outpatient</t>
        </is>
      </c>
      <c r="G1212" t="inlineStr">
        <is>
          <t>Bluestone Outpatient Pavilion</t>
        </is>
      </c>
      <c r="H1212" t="inlineStr">
        <is>
          <t>Infusion &amp; Oncology Clinic</t>
        </is>
      </c>
      <c r="I1212" t="inlineStr">
        <is>
          <t>Oncology</t>
        </is>
      </c>
      <c r="J1212" t="inlineStr">
        <is>
          <t>Long, Fatima</t>
        </is>
      </c>
      <c r="K1212" t="inlineStr">
        <is>
          <t>Z51.11</t>
        </is>
      </c>
      <c r="L1212" t="inlineStr">
        <is>
          <t>Factors Influencing Health</t>
        </is>
      </c>
      <c r="M1212" t="inlineStr">
        <is>
          <t>Medicare</t>
        </is>
      </c>
      <c r="N1212" t="inlineStr">
        <is>
          <t>Government</t>
        </is>
      </c>
      <c r="O1212" s="39" t="n">
        <v>13780.91</v>
      </c>
    </row>
    <row r="1213">
      <c r="A1213" t="inlineStr">
        <is>
          <t>ENC117473</t>
        </is>
      </c>
      <c r="B1213" t="inlineStr">
        <is>
          <t>PT10670</t>
        </is>
      </c>
      <c r="C1213" s="42" t="n">
        <v>45877</v>
      </c>
      <c r="D1213" s="42" t="n">
        <v>45877</v>
      </c>
      <c r="E1213" s="38" t="n">
        <v>0</v>
      </c>
      <c r="F1213" t="inlineStr">
        <is>
          <t>Emergency</t>
        </is>
      </c>
      <c r="G1213" t="inlineStr">
        <is>
          <t>Ashby Falls Community Hospital</t>
        </is>
      </c>
      <c r="H1213" t="inlineStr">
        <is>
          <t>Emergency Department</t>
        </is>
      </c>
      <c r="I1213" t="inlineStr">
        <is>
          <t>Emergency</t>
        </is>
      </c>
      <c r="J1213" t="inlineStr">
        <is>
          <t>Marshall, Lisa</t>
        </is>
      </c>
      <c r="K1213" t="inlineStr">
        <is>
          <t>G43.909</t>
        </is>
      </c>
      <c r="L1213" t="inlineStr">
        <is>
          <t>Nervous System</t>
        </is>
      </c>
      <c r="M1213" t="inlineStr">
        <is>
          <t>Summit Choice PPO</t>
        </is>
      </c>
      <c r="N1213" t="inlineStr">
        <is>
          <t>Commercial</t>
        </is>
      </c>
      <c r="O1213" s="39" t="n">
        <v>2521.12</v>
      </c>
    </row>
    <row r="1214">
      <c r="A1214" t="inlineStr">
        <is>
          <t>ENC117483</t>
        </is>
      </c>
      <c r="B1214" t="inlineStr">
        <is>
          <t>PT10204</t>
        </is>
      </c>
      <c r="C1214" s="42" t="n">
        <v>45877</v>
      </c>
      <c r="D1214" s="42" t="n">
        <v>45877</v>
      </c>
      <c r="E1214" s="38" t="n">
        <v>0</v>
      </c>
      <c r="F1214" t="inlineStr">
        <is>
          <t>Outpatient</t>
        </is>
      </c>
      <c r="G1214" t="inlineStr">
        <is>
          <t>Bluestone Outpatient Pavilion</t>
        </is>
      </c>
      <c r="H1214" t="inlineStr">
        <is>
          <t>Endocrinology &amp; Diabetes Clinic</t>
        </is>
      </c>
      <c r="I1214" t="inlineStr">
        <is>
          <t>Ambulatory</t>
        </is>
      </c>
      <c r="J1214" t="inlineStr">
        <is>
          <t>Rivera, Scott</t>
        </is>
      </c>
      <c r="K1214" t="inlineStr">
        <is>
          <t>E11.9</t>
        </is>
      </c>
      <c r="L1214" t="inlineStr">
        <is>
          <t>Endocrine</t>
        </is>
      </c>
      <c r="M1214" t="inlineStr">
        <is>
          <t>Keystone Health Partners</t>
        </is>
      </c>
      <c r="N1214" t="inlineStr">
        <is>
          <t>Commercial</t>
        </is>
      </c>
      <c r="O1214" s="39" t="n">
        <v>262.96</v>
      </c>
    </row>
    <row r="1215">
      <c r="A1215" t="inlineStr">
        <is>
          <t>ENC117481</t>
        </is>
      </c>
      <c r="B1215" t="inlineStr">
        <is>
          <t>PT13529</t>
        </is>
      </c>
      <c r="C1215" s="42" t="n">
        <v>45877</v>
      </c>
      <c r="D1215" s="42" t="n">
        <v>45881</v>
      </c>
      <c r="E1215" s="38" t="n">
        <v>4</v>
      </c>
      <c r="F1215" t="inlineStr">
        <is>
          <t>Inpatient</t>
        </is>
      </c>
      <c r="G1215" t="inlineStr">
        <is>
          <t>Ashby Falls Community Hospital</t>
        </is>
      </c>
      <c r="H1215" t="inlineStr">
        <is>
          <t>Medical-Surgical</t>
        </is>
      </c>
      <c r="I1215" t="inlineStr">
        <is>
          <t>Medicine</t>
        </is>
      </c>
      <c r="J1215" t="inlineStr">
        <is>
          <t>Murray, Stephanie</t>
        </is>
      </c>
      <c r="K1215" t="inlineStr">
        <is>
          <t>J44.1</t>
        </is>
      </c>
      <c r="L1215" t="inlineStr">
        <is>
          <t>Respiratory</t>
        </is>
      </c>
      <c r="M1215" t="inlineStr">
        <is>
          <t>Medicare</t>
        </is>
      </c>
      <c r="N1215" t="inlineStr">
        <is>
          <t>Government</t>
        </is>
      </c>
      <c r="O1215" s="39" t="n">
        <v>15713.79</v>
      </c>
      <c r="P1215" t="inlineStr">
        <is>
          <t>N</t>
        </is>
      </c>
    </row>
    <row r="1216">
      <c r="A1216" t="inlineStr">
        <is>
          <t>ENC117497</t>
        </is>
      </c>
      <c r="B1216" t="inlineStr">
        <is>
          <t>PT11796</t>
        </is>
      </c>
      <c r="C1216" s="42" t="n">
        <v>45877</v>
      </c>
      <c r="D1216" s="42" t="n">
        <v>45879</v>
      </c>
      <c r="E1216" s="38" t="n">
        <v>2</v>
      </c>
      <c r="F1216" t="inlineStr">
        <is>
          <t>Observation</t>
        </is>
      </c>
      <c r="G1216" t="inlineStr">
        <is>
          <t>Bluestone Memorial Hospital</t>
        </is>
      </c>
      <c r="H1216" t="inlineStr">
        <is>
          <t>Observation Unit</t>
        </is>
      </c>
      <c r="I1216" t="inlineStr">
        <is>
          <t>Medicine</t>
        </is>
      </c>
      <c r="J1216" t="inlineStr">
        <is>
          <t>Vasquez, Jose</t>
        </is>
      </c>
      <c r="K1216" t="inlineStr">
        <is>
          <t>R55</t>
        </is>
      </c>
      <c r="L1216" t="inlineStr">
        <is>
          <t>Symptoms &amp; Signs</t>
        </is>
      </c>
      <c r="M1216" t="inlineStr">
        <is>
          <t>Silverline Medicare Advantage</t>
        </is>
      </c>
      <c r="N1216" t="inlineStr">
        <is>
          <t>Medicare Advantage</t>
        </is>
      </c>
      <c r="O1216" s="39" t="n">
        <v>11601.91</v>
      </c>
    </row>
    <row r="1217">
      <c r="A1217" t="inlineStr">
        <is>
          <t>ENC117503</t>
        </is>
      </c>
      <c r="B1217" t="inlineStr">
        <is>
          <t>PT10259</t>
        </is>
      </c>
      <c r="C1217" s="42" t="n">
        <v>45878</v>
      </c>
      <c r="D1217" s="42" t="n">
        <v>45878</v>
      </c>
      <c r="E1217" s="38" t="n">
        <v>0</v>
      </c>
      <c r="F1217" t="inlineStr">
        <is>
          <t>Emergency</t>
        </is>
      </c>
      <c r="G1217" t="inlineStr">
        <is>
          <t>Bluestone Memorial Hospital</t>
        </is>
      </c>
      <c r="H1217" t="inlineStr">
        <is>
          <t>Emergency Department</t>
        </is>
      </c>
      <c r="I1217" t="inlineStr">
        <is>
          <t>Emergency</t>
        </is>
      </c>
      <c r="J1217" t="inlineStr">
        <is>
          <t>Kowalski, James</t>
        </is>
      </c>
      <c r="K1217" t="inlineStr">
        <is>
          <t>R10.9</t>
        </is>
      </c>
      <c r="L1217" t="inlineStr">
        <is>
          <t>Symptoms &amp; Signs</t>
        </is>
      </c>
      <c r="M1217" t="inlineStr">
        <is>
          <t>Medicare</t>
        </is>
      </c>
      <c r="N1217" t="inlineStr">
        <is>
          <t>Government</t>
        </is>
      </c>
      <c r="O1217" s="39" t="n">
        <v>3279.2</v>
      </c>
    </row>
    <row r="1218">
      <c r="A1218" t="inlineStr">
        <is>
          <t>ENC117505</t>
        </is>
      </c>
      <c r="B1218" t="inlineStr">
        <is>
          <t>PT13636</t>
        </is>
      </c>
      <c r="C1218" s="42" t="n">
        <v>45878</v>
      </c>
      <c r="D1218" s="42" t="n">
        <v>45878</v>
      </c>
      <c r="E1218" s="38" t="n">
        <v>0</v>
      </c>
      <c r="F1218" t="inlineStr">
        <is>
          <t>Emergency</t>
        </is>
      </c>
      <c r="G1218" t="inlineStr">
        <is>
          <t>Bluestone Memorial Hospital</t>
        </is>
      </c>
      <c r="H1218" t="inlineStr">
        <is>
          <t>Emergency Department</t>
        </is>
      </c>
      <c r="I1218" t="inlineStr">
        <is>
          <t>Emergency</t>
        </is>
      </c>
      <c r="J1218" t="inlineStr">
        <is>
          <t>Cruz, Mia</t>
        </is>
      </c>
      <c r="K1218" t="inlineStr">
        <is>
          <t>R10.9</t>
        </is>
      </c>
      <c r="L1218" t="inlineStr">
        <is>
          <t>Symptoms &amp; Signs</t>
        </is>
      </c>
      <c r="M1218" t="inlineStr">
        <is>
          <t>Keystone Health Partners</t>
        </is>
      </c>
      <c r="N1218" t="inlineStr">
        <is>
          <t>Commercial</t>
        </is>
      </c>
      <c r="O1218" s="39" t="n">
        <v>771.8099999999999</v>
      </c>
    </row>
    <row r="1219">
      <c r="A1219" t="inlineStr">
        <is>
          <t>ENC117506</t>
        </is>
      </c>
      <c r="B1219" t="inlineStr">
        <is>
          <t>PT10535</t>
        </is>
      </c>
      <c r="C1219" s="42" t="n">
        <v>45878</v>
      </c>
      <c r="D1219" s="42" t="n">
        <v>45889</v>
      </c>
      <c r="E1219" s="38" t="n">
        <v>11</v>
      </c>
      <c r="F1219" t="inlineStr">
        <is>
          <t>Inpatient</t>
        </is>
      </c>
      <c r="G1219" t="inlineStr">
        <is>
          <t>Bluestone Memorial Hospital</t>
        </is>
      </c>
      <c r="H1219" t="inlineStr">
        <is>
          <t>Cardiac Step-Down</t>
        </is>
      </c>
      <c r="I1219" t="inlineStr">
        <is>
          <t>Cardiovascular</t>
        </is>
      </c>
      <c r="J1219" t="inlineStr">
        <is>
          <t>Taylor, Jonathan</t>
        </is>
      </c>
      <c r="K1219" t="inlineStr">
        <is>
          <t>I21.4</t>
        </is>
      </c>
      <c r="L1219" t="inlineStr">
        <is>
          <t>Circulatory</t>
        </is>
      </c>
      <c r="M1219" t="inlineStr">
        <is>
          <t>Silverline Medicare Advantage</t>
        </is>
      </c>
      <c r="N1219" t="inlineStr">
        <is>
          <t>Medicare Advantage</t>
        </is>
      </c>
      <c r="O1219" s="39" t="n">
        <v>90936.84</v>
      </c>
      <c r="P1219" t="inlineStr">
        <is>
          <t>N</t>
        </is>
      </c>
    </row>
    <row r="1220">
      <c r="A1220" t="inlineStr">
        <is>
          <t>ENC117511</t>
        </is>
      </c>
      <c r="B1220" t="inlineStr">
        <is>
          <t>PT12976</t>
        </is>
      </c>
      <c r="C1220" s="42" t="n">
        <v>45878</v>
      </c>
      <c r="D1220" s="42" t="n">
        <v>45878</v>
      </c>
      <c r="E1220" s="38" t="n">
        <v>0</v>
      </c>
      <c r="F1220" t="inlineStr">
        <is>
          <t>Emergency</t>
        </is>
      </c>
      <c r="G1220" t="inlineStr">
        <is>
          <t>Bluestone Memorial Hospital</t>
        </is>
      </c>
      <c r="H1220" t="inlineStr">
        <is>
          <t>Emergency Department</t>
        </is>
      </c>
      <c r="I1220" t="inlineStr">
        <is>
          <t>Emergency</t>
        </is>
      </c>
      <c r="J1220" t="inlineStr">
        <is>
          <t>Elliott, Jesse</t>
        </is>
      </c>
      <c r="K1220" t="inlineStr">
        <is>
          <t>G40.909</t>
        </is>
      </c>
      <c r="L1220" t="inlineStr">
        <is>
          <t>Nervous System</t>
        </is>
      </c>
      <c r="M1220" t="inlineStr">
        <is>
          <t>Medicare</t>
        </is>
      </c>
      <c r="N1220" t="inlineStr">
        <is>
          <t>Government</t>
        </is>
      </c>
      <c r="O1220" s="39" t="n">
        <v>2798.39</v>
      </c>
    </row>
    <row r="1221">
      <c r="A1221" t="inlineStr">
        <is>
          <t>ENC117517</t>
        </is>
      </c>
      <c r="B1221" t="inlineStr">
        <is>
          <t>PT10989</t>
        </is>
      </c>
      <c r="C1221" s="42" t="n">
        <v>45878</v>
      </c>
      <c r="D1221" s="42" t="n">
        <v>45879</v>
      </c>
      <c r="E1221" s="38" t="n">
        <v>1</v>
      </c>
      <c r="F1221" t="inlineStr">
        <is>
          <t>Emergency</t>
        </is>
      </c>
      <c r="G1221" t="inlineStr">
        <is>
          <t>Bluestone Memorial Hospital</t>
        </is>
      </c>
      <c r="H1221" t="inlineStr">
        <is>
          <t>Emergency Department</t>
        </is>
      </c>
      <c r="I1221" t="inlineStr">
        <is>
          <t>Emergency</t>
        </is>
      </c>
      <c r="J1221" t="inlineStr">
        <is>
          <t>Sullivan, Jacob</t>
        </is>
      </c>
      <c r="K1221" t="inlineStr">
        <is>
          <t>S93.401A</t>
        </is>
      </c>
      <c r="L1221" t="inlineStr">
        <is>
          <t>Injury</t>
        </is>
      </c>
      <c r="M1221" t="inlineStr">
        <is>
          <t>Silverline Medicare Advantage</t>
        </is>
      </c>
      <c r="N1221" t="inlineStr">
        <is>
          <t>Medicare Advantage</t>
        </is>
      </c>
      <c r="O1221" s="39" t="n">
        <v>1555.95</v>
      </c>
    </row>
    <row r="1222">
      <c r="A1222" t="inlineStr">
        <is>
          <t>ENC117521</t>
        </is>
      </c>
      <c r="B1222" t="inlineStr">
        <is>
          <t>PT10641</t>
        </is>
      </c>
      <c r="C1222" s="42" t="n">
        <v>45879</v>
      </c>
      <c r="D1222" s="42" t="n">
        <v>45879</v>
      </c>
      <c r="E1222" s="38" t="n">
        <v>0</v>
      </c>
      <c r="F1222" t="inlineStr">
        <is>
          <t>Emergency</t>
        </is>
      </c>
      <c r="G1222" t="inlineStr">
        <is>
          <t>Bluestone Memorial Hospital</t>
        </is>
      </c>
      <c r="H1222" t="inlineStr">
        <is>
          <t>Emergency Department</t>
        </is>
      </c>
      <c r="I1222" t="inlineStr">
        <is>
          <t>Emergency</t>
        </is>
      </c>
      <c r="J1222" t="inlineStr">
        <is>
          <t>Foster, Patrick</t>
        </is>
      </c>
      <c r="K1222" t="inlineStr">
        <is>
          <t>E11.65</t>
        </is>
      </c>
      <c r="L1222" t="inlineStr">
        <is>
          <t>Endocrine</t>
        </is>
      </c>
      <c r="M1222" t="inlineStr">
        <is>
          <t>Evergreen Mutual Insurance</t>
        </is>
      </c>
      <c r="N1222" t="inlineStr">
        <is>
          <t>Commercial</t>
        </is>
      </c>
      <c r="O1222" s="39" t="n">
        <v>1506.27</v>
      </c>
    </row>
    <row r="1223">
      <c r="A1223" t="inlineStr">
        <is>
          <t>ENC117526</t>
        </is>
      </c>
      <c r="B1223" t="inlineStr">
        <is>
          <t>PT11880</t>
        </is>
      </c>
      <c r="C1223" s="42" t="n">
        <v>45879</v>
      </c>
      <c r="D1223" s="42" t="n">
        <v>45879</v>
      </c>
      <c r="E1223" s="38" t="n">
        <v>0</v>
      </c>
      <c r="F1223" t="inlineStr">
        <is>
          <t>Emergency</t>
        </is>
      </c>
      <c r="G1223" t="inlineStr">
        <is>
          <t>Bluestone Memorial Hospital</t>
        </is>
      </c>
      <c r="H1223" t="inlineStr">
        <is>
          <t>Emergency Department</t>
        </is>
      </c>
      <c r="I1223" t="inlineStr">
        <is>
          <t>Emergency</t>
        </is>
      </c>
      <c r="J1223" t="inlineStr">
        <is>
          <t>Mendoza, Alexander</t>
        </is>
      </c>
      <c r="K1223" t="inlineStr">
        <is>
          <t>S93.401A</t>
        </is>
      </c>
      <c r="L1223" t="inlineStr">
        <is>
          <t>Injury</t>
        </is>
      </c>
      <c r="M1223" t="inlineStr">
        <is>
          <t>Medicare</t>
        </is>
      </c>
      <c r="N1223" t="inlineStr">
        <is>
          <t>Government</t>
        </is>
      </c>
      <c r="O1223" s="39" t="n">
        <v>1378.65</v>
      </c>
    </row>
    <row r="1224">
      <c r="A1224" t="inlineStr">
        <is>
          <t>ENC117529</t>
        </is>
      </c>
      <c r="B1224" t="inlineStr">
        <is>
          <t>PT12449</t>
        </is>
      </c>
      <c r="C1224" s="42" t="n">
        <v>45879</v>
      </c>
      <c r="D1224" s="42" t="n">
        <v>45898</v>
      </c>
      <c r="E1224" s="38" t="n">
        <v>19</v>
      </c>
      <c r="F1224" t="inlineStr">
        <is>
          <t>Inpatient</t>
        </is>
      </c>
      <c r="G1224" t="inlineStr">
        <is>
          <t>Cedar Ridge Medical Center</t>
        </is>
      </c>
      <c r="H1224" t="inlineStr">
        <is>
          <t>Intensive Care Unit</t>
        </is>
      </c>
      <c r="I1224" t="inlineStr">
        <is>
          <t>Critical Care</t>
        </is>
      </c>
      <c r="J1224" t="inlineStr">
        <is>
          <t>Abbott, Leila</t>
        </is>
      </c>
      <c r="K1224" t="inlineStr">
        <is>
          <t>A41.9</t>
        </is>
      </c>
      <c r="L1224" t="inlineStr">
        <is>
          <t>Infectious</t>
        </is>
      </c>
      <c r="M1224" t="inlineStr">
        <is>
          <t>Keystone Health Partners</t>
        </is>
      </c>
      <c r="N1224" t="inlineStr">
        <is>
          <t>Commercial</t>
        </is>
      </c>
      <c r="O1224" s="39" t="n">
        <v>250917.29</v>
      </c>
      <c r="P1224" t="inlineStr">
        <is>
          <t>N</t>
        </is>
      </c>
    </row>
    <row r="1225">
      <c r="A1225" t="inlineStr">
        <is>
          <t>ENC117536</t>
        </is>
      </c>
      <c r="B1225" t="inlineStr">
        <is>
          <t>PT13059</t>
        </is>
      </c>
      <c r="C1225" s="42" t="n">
        <v>45880</v>
      </c>
      <c r="D1225" s="42" t="n">
        <v>45880</v>
      </c>
      <c r="E1225" s="38" t="n">
        <v>0</v>
      </c>
      <c r="F1225" t="inlineStr">
        <is>
          <t>Emergency</t>
        </is>
      </c>
      <c r="G1225" t="inlineStr">
        <is>
          <t>Bluestone Memorial Hospital</t>
        </is>
      </c>
      <c r="H1225" t="inlineStr">
        <is>
          <t>Emergency Department</t>
        </is>
      </c>
      <c r="I1225" t="inlineStr">
        <is>
          <t>Emergency</t>
        </is>
      </c>
      <c r="J1225" t="inlineStr">
        <is>
          <t>Olson, Christian</t>
        </is>
      </c>
      <c r="K1225" t="inlineStr">
        <is>
          <t>N39.0</t>
        </is>
      </c>
      <c r="L1225" t="inlineStr">
        <is>
          <t>Genitourinary</t>
        </is>
      </c>
      <c r="M1225" t="inlineStr">
        <is>
          <t>State Medicaid</t>
        </is>
      </c>
      <c r="N1225" t="inlineStr">
        <is>
          <t>Government</t>
        </is>
      </c>
      <c r="O1225" s="39" t="n">
        <v>2270.2</v>
      </c>
    </row>
    <row r="1226">
      <c r="A1226" t="inlineStr">
        <is>
          <t>ENC117538</t>
        </is>
      </c>
      <c r="B1226" t="inlineStr">
        <is>
          <t>PT13973</t>
        </is>
      </c>
      <c r="C1226" s="42" t="n">
        <v>45880</v>
      </c>
      <c r="D1226" s="42" t="n">
        <v>45880</v>
      </c>
      <c r="E1226" s="38" t="n">
        <v>0</v>
      </c>
      <c r="F1226" t="inlineStr">
        <is>
          <t>Outpatient</t>
        </is>
      </c>
      <c r="G1226" t="inlineStr">
        <is>
          <t>Bluestone Outpatient Pavilion</t>
        </is>
      </c>
      <c r="H1226" t="inlineStr">
        <is>
          <t>Primary Care Clinic</t>
        </is>
      </c>
      <c r="I1226" t="inlineStr">
        <is>
          <t>Ambulatory</t>
        </is>
      </c>
      <c r="J1226" t="inlineStr">
        <is>
          <t>Elliott, Douglas</t>
        </is>
      </c>
      <c r="K1226" t="inlineStr">
        <is>
          <t>N39.0</t>
        </is>
      </c>
      <c r="L1226" t="inlineStr">
        <is>
          <t>Genitourinary</t>
        </is>
      </c>
      <c r="M1226" t="inlineStr">
        <is>
          <t>Evergreen Mutual Insurance</t>
        </is>
      </c>
      <c r="N1226" t="inlineStr">
        <is>
          <t>Commercial</t>
        </is>
      </c>
      <c r="O1226" s="39" t="n">
        <v>222.59</v>
      </c>
    </row>
    <row r="1227">
      <c r="A1227" t="inlineStr">
        <is>
          <t>ENC117542</t>
        </is>
      </c>
      <c r="B1227" t="inlineStr">
        <is>
          <t>PT12000</t>
        </is>
      </c>
      <c r="C1227" s="42" t="n">
        <v>45880</v>
      </c>
      <c r="D1227" s="42" t="n">
        <v>45880</v>
      </c>
      <c r="E1227" s="38" t="n">
        <v>0</v>
      </c>
      <c r="F1227" t="inlineStr">
        <is>
          <t>Emergency</t>
        </is>
      </c>
      <c r="G1227" t="inlineStr">
        <is>
          <t>Bluestone Memorial Hospital</t>
        </is>
      </c>
      <c r="H1227" t="inlineStr">
        <is>
          <t>Emergency Department</t>
        </is>
      </c>
      <c r="I1227" t="inlineStr">
        <is>
          <t>Emergency</t>
        </is>
      </c>
      <c r="J1227" t="inlineStr">
        <is>
          <t>Mendoza, Alexander</t>
        </is>
      </c>
      <c r="K1227" t="inlineStr">
        <is>
          <t>J45.909</t>
        </is>
      </c>
      <c r="L1227" t="inlineStr">
        <is>
          <t>Respiratory</t>
        </is>
      </c>
      <c r="M1227" t="inlineStr">
        <is>
          <t>Evergreen Mutual Insurance</t>
        </is>
      </c>
      <c r="N1227" t="inlineStr">
        <is>
          <t>Commercial</t>
        </is>
      </c>
      <c r="O1227" s="39" t="n">
        <v>3479.93</v>
      </c>
    </row>
    <row r="1228">
      <c r="A1228" t="inlineStr">
        <is>
          <t>ENC117543</t>
        </is>
      </c>
      <c r="B1228" t="inlineStr">
        <is>
          <t>PT13494</t>
        </is>
      </c>
      <c r="C1228" s="42" t="n">
        <v>45880</v>
      </c>
      <c r="D1228" s="42" t="n">
        <v>45880</v>
      </c>
      <c r="E1228" s="38" t="n">
        <v>0</v>
      </c>
      <c r="F1228" t="inlineStr">
        <is>
          <t>Outpatient</t>
        </is>
      </c>
      <c r="G1228" t="inlineStr">
        <is>
          <t>Bluestone Outpatient Pavilion</t>
        </is>
      </c>
      <c r="H1228" t="inlineStr">
        <is>
          <t>Endocrinology &amp; Diabetes Clinic</t>
        </is>
      </c>
      <c r="I1228" t="inlineStr">
        <is>
          <t>Ambulatory</t>
        </is>
      </c>
      <c r="J1228" t="inlineStr">
        <is>
          <t>Lee, Amber</t>
        </is>
      </c>
      <c r="K1228" t="inlineStr">
        <is>
          <t>E11.9</t>
        </is>
      </c>
      <c r="L1228" t="inlineStr">
        <is>
          <t>Endocrine</t>
        </is>
      </c>
      <c r="M1228" t="inlineStr">
        <is>
          <t>Silverline Medicare Advantage</t>
        </is>
      </c>
      <c r="N1228" t="inlineStr">
        <is>
          <t>Medicare Advantage</t>
        </is>
      </c>
      <c r="O1228" s="39" t="n">
        <v>257.15</v>
      </c>
    </row>
    <row r="1229">
      <c r="A1229" t="inlineStr">
        <is>
          <t>ENC117535</t>
        </is>
      </c>
      <c r="B1229" t="inlineStr">
        <is>
          <t>PT11130</t>
        </is>
      </c>
      <c r="C1229" s="42" t="n">
        <v>45880</v>
      </c>
      <c r="D1229" s="42" t="n">
        <v>45883</v>
      </c>
      <c r="E1229" s="38" t="n">
        <v>3</v>
      </c>
      <c r="F1229" t="inlineStr">
        <is>
          <t>Inpatient</t>
        </is>
      </c>
      <c r="G1229" t="inlineStr">
        <is>
          <t>Ashby Falls Community Hospital</t>
        </is>
      </c>
      <c r="H1229" t="inlineStr">
        <is>
          <t>Medical-Surgical</t>
        </is>
      </c>
      <c r="I1229" t="inlineStr">
        <is>
          <t>Medicine</t>
        </is>
      </c>
      <c r="J1229" t="inlineStr">
        <is>
          <t>Carroll, Philip</t>
        </is>
      </c>
      <c r="K1229" t="inlineStr">
        <is>
          <t>N17.9</t>
        </is>
      </c>
      <c r="L1229" t="inlineStr">
        <is>
          <t>Genitourinary</t>
        </is>
      </c>
      <c r="M1229" t="inlineStr">
        <is>
          <t>Silverline Medicare Advantage</t>
        </is>
      </c>
      <c r="N1229" t="inlineStr">
        <is>
          <t>Medicare Advantage</t>
        </is>
      </c>
      <c r="O1229" s="39" t="n">
        <v>13558.83</v>
      </c>
      <c r="P1229" t="inlineStr">
        <is>
          <t>N</t>
        </is>
      </c>
    </row>
    <row r="1230">
      <c r="A1230" t="inlineStr">
        <is>
          <t>ENC117548</t>
        </is>
      </c>
      <c r="B1230" t="inlineStr">
        <is>
          <t>PT11701</t>
        </is>
      </c>
      <c r="C1230" s="42" t="n">
        <v>45880</v>
      </c>
      <c r="D1230" s="42" t="n">
        <v>45880</v>
      </c>
      <c r="E1230" s="38" t="n">
        <v>0</v>
      </c>
      <c r="F1230" t="inlineStr">
        <is>
          <t>Outpatient</t>
        </is>
      </c>
      <c r="G1230" t="inlineStr">
        <is>
          <t>Bluestone Outpatient Pavilion</t>
        </is>
      </c>
      <c r="H1230" t="inlineStr">
        <is>
          <t>Primary Care Clinic</t>
        </is>
      </c>
      <c r="I1230" t="inlineStr">
        <is>
          <t>Ambulatory</t>
        </is>
      </c>
      <c r="J1230" t="inlineStr">
        <is>
          <t>Nguyen, Isabella</t>
        </is>
      </c>
      <c r="K1230" t="inlineStr">
        <is>
          <t>I10</t>
        </is>
      </c>
      <c r="L1230" t="inlineStr">
        <is>
          <t>Circulatory</t>
        </is>
      </c>
      <c r="M1230" t="inlineStr">
        <is>
          <t>Medicare</t>
        </is>
      </c>
      <c r="N1230" t="inlineStr">
        <is>
          <t>Government</t>
        </is>
      </c>
      <c r="O1230" s="39" t="n">
        <v>818.47</v>
      </c>
    </row>
    <row r="1231">
      <c r="A1231" t="inlineStr">
        <is>
          <t>ENC117551</t>
        </is>
      </c>
      <c r="B1231" t="inlineStr">
        <is>
          <t>PT11550</t>
        </is>
      </c>
      <c r="C1231" s="42" t="n">
        <v>45880</v>
      </c>
      <c r="D1231" s="42" t="n">
        <v>45881</v>
      </c>
      <c r="E1231" s="38" t="n">
        <v>1</v>
      </c>
      <c r="F1231" t="inlineStr">
        <is>
          <t>Observation</t>
        </is>
      </c>
      <c r="G1231" t="inlineStr">
        <is>
          <t>Bluestone Memorial Hospital</t>
        </is>
      </c>
      <c r="H1231" t="inlineStr">
        <is>
          <t>Observation Unit</t>
        </is>
      </c>
      <c r="I1231" t="inlineStr">
        <is>
          <t>Medicine</t>
        </is>
      </c>
      <c r="J1231" t="inlineStr">
        <is>
          <t>Cox, Judith</t>
        </is>
      </c>
      <c r="K1231" t="inlineStr">
        <is>
          <t>S06.0X0A</t>
        </is>
      </c>
      <c r="L1231" t="inlineStr">
        <is>
          <t>Injury</t>
        </is>
      </c>
      <c r="M1231" t="inlineStr">
        <is>
          <t>Self-Pay</t>
        </is>
      </c>
      <c r="N1231" t="inlineStr">
        <is>
          <t>Self-Pay</t>
        </is>
      </c>
      <c r="O1231" s="39" t="n">
        <v>10131.69</v>
      </c>
    </row>
    <row r="1232">
      <c r="A1232" t="inlineStr">
        <is>
          <t>ENC117567</t>
        </is>
      </c>
      <c r="B1232" t="inlineStr">
        <is>
          <t>PT10316</t>
        </is>
      </c>
      <c r="C1232" s="42" t="n">
        <v>45881</v>
      </c>
      <c r="D1232" s="42" t="n">
        <v>45883</v>
      </c>
      <c r="E1232" s="38" t="n">
        <v>2</v>
      </c>
      <c r="F1232" t="inlineStr">
        <is>
          <t>Inpatient</t>
        </is>
      </c>
      <c r="G1232" t="inlineStr">
        <is>
          <t>Bluestone Memorial Hospital</t>
        </is>
      </c>
      <c r="H1232" t="inlineStr">
        <is>
          <t>Orthopedics &amp; Spine</t>
        </is>
      </c>
      <c r="I1232" t="inlineStr">
        <is>
          <t>Orthopedics</t>
        </is>
      </c>
      <c r="J1232" t="inlineStr">
        <is>
          <t>Woods, Pamela</t>
        </is>
      </c>
      <c r="K1232" t="inlineStr">
        <is>
          <t>M17.11</t>
        </is>
      </c>
      <c r="L1232" t="inlineStr">
        <is>
          <t>Musculoskeletal</t>
        </is>
      </c>
      <c r="M1232" t="inlineStr">
        <is>
          <t>Silverline Medicare Advantage</t>
        </is>
      </c>
      <c r="N1232" t="inlineStr">
        <is>
          <t>Medicare Advantage</t>
        </is>
      </c>
      <c r="O1232" s="39" t="n">
        <v>52688.18</v>
      </c>
      <c r="P1232" t="inlineStr">
        <is>
          <t>N</t>
        </is>
      </c>
    </row>
    <row r="1233">
      <c r="A1233" t="inlineStr">
        <is>
          <t>ENC117572</t>
        </is>
      </c>
      <c r="B1233" t="inlineStr">
        <is>
          <t>PT11712</t>
        </is>
      </c>
      <c r="C1233" s="42" t="n">
        <v>45881</v>
      </c>
      <c r="D1233" s="42" t="n">
        <v>45881</v>
      </c>
      <c r="E1233" s="38" t="n">
        <v>0</v>
      </c>
      <c r="F1233" t="inlineStr">
        <is>
          <t>Emergency</t>
        </is>
      </c>
      <c r="G1233" t="inlineStr">
        <is>
          <t>Cedar Ridge Medical Center</t>
        </is>
      </c>
      <c r="H1233" t="inlineStr">
        <is>
          <t>Emergency Department</t>
        </is>
      </c>
      <c r="I1233" t="inlineStr">
        <is>
          <t>Emergency</t>
        </is>
      </c>
      <c r="J1233" t="inlineStr">
        <is>
          <t>Henry, Brenda</t>
        </is>
      </c>
      <c r="K1233" t="inlineStr">
        <is>
          <t>S06.0X0A</t>
        </is>
      </c>
      <c r="L1233" t="inlineStr">
        <is>
          <t>Injury</t>
        </is>
      </c>
      <c r="M1233" t="inlineStr">
        <is>
          <t>Medicare</t>
        </is>
      </c>
      <c r="N1233" t="inlineStr">
        <is>
          <t>Government</t>
        </is>
      </c>
      <c r="O1233" s="39" t="n">
        <v>1451.56</v>
      </c>
    </row>
    <row r="1234">
      <c r="A1234" t="inlineStr">
        <is>
          <t>ENC117573</t>
        </is>
      </c>
      <c r="B1234" t="inlineStr">
        <is>
          <t>PT12298</t>
        </is>
      </c>
      <c r="C1234" s="42" t="n">
        <v>45881</v>
      </c>
      <c r="D1234" s="42" t="n">
        <v>45881</v>
      </c>
      <c r="E1234" s="38" t="n">
        <v>0</v>
      </c>
      <c r="F1234" t="inlineStr">
        <is>
          <t>Outpatient</t>
        </is>
      </c>
      <c r="G1234" t="inlineStr">
        <is>
          <t>Bluestone Outpatient Pavilion</t>
        </is>
      </c>
      <c r="H1234" t="inlineStr">
        <is>
          <t>Primary Care Clinic</t>
        </is>
      </c>
      <c r="I1234" t="inlineStr">
        <is>
          <t>Ambulatory</t>
        </is>
      </c>
      <c r="J1234" t="inlineStr">
        <is>
          <t>Arnold, Catherine</t>
        </is>
      </c>
      <c r="K1234" t="inlineStr">
        <is>
          <t>F32.9</t>
        </is>
      </c>
      <c r="L1234" t="inlineStr">
        <is>
          <t>Mental &amp; Behavioral</t>
        </is>
      </c>
      <c r="M1234" t="inlineStr">
        <is>
          <t>State Medicaid</t>
        </is>
      </c>
      <c r="N1234" t="inlineStr">
        <is>
          <t>Government</t>
        </is>
      </c>
      <c r="O1234" s="39" t="n">
        <v>337.38</v>
      </c>
    </row>
    <row r="1235">
      <c r="A1235" t="inlineStr">
        <is>
          <t>ENC117580</t>
        </is>
      </c>
      <c r="B1235" t="inlineStr">
        <is>
          <t>PT10965</t>
        </is>
      </c>
      <c r="C1235" s="42" t="n">
        <v>45881</v>
      </c>
      <c r="D1235" s="42" t="n">
        <v>45884</v>
      </c>
      <c r="E1235" s="38" t="n">
        <v>3</v>
      </c>
      <c r="F1235" t="inlineStr">
        <is>
          <t>Inpatient</t>
        </is>
      </c>
      <c r="G1235" t="inlineStr">
        <is>
          <t>Bluestone Memorial Hospital</t>
        </is>
      </c>
      <c r="H1235" t="inlineStr">
        <is>
          <t>Medical-Surgical 4 West</t>
        </is>
      </c>
      <c r="I1235" t="inlineStr">
        <is>
          <t>Medicine</t>
        </is>
      </c>
      <c r="J1235" t="inlineStr">
        <is>
          <t>Cruz, Roger</t>
        </is>
      </c>
      <c r="K1235" t="inlineStr">
        <is>
          <t>E87.1</t>
        </is>
      </c>
      <c r="L1235" t="inlineStr">
        <is>
          <t>Endocrine</t>
        </is>
      </c>
      <c r="M1235" t="inlineStr">
        <is>
          <t>Silverline Medicare Advantage</t>
        </is>
      </c>
      <c r="N1235" t="inlineStr">
        <is>
          <t>Medicare Advantage</t>
        </is>
      </c>
      <c r="O1235" s="39" t="n">
        <v>18415.64</v>
      </c>
      <c r="P1235" t="inlineStr">
        <is>
          <t>Y</t>
        </is>
      </c>
    </row>
    <row r="1236">
      <c r="A1236" t="inlineStr">
        <is>
          <t>ENC117588</t>
        </is>
      </c>
      <c r="B1236" t="inlineStr">
        <is>
          <t>PT12596</t>
        </is>
      </c>
      <c r="C1236" s="42" t="n">
        <v>45881</v>
      </c>
      <c r="D1236" s="42" t="n">
        <v>45881</v>
      </c>
      <c r="E1236" s="38" t="n">
        <v>0</v>
      </c>
      <c r="F1236" t="inlineStr">
        <is>
          <t>Emergency</t>
        </is>
      </c>
      <c r="G1236" t="inlineStr">
        <is>
          <t>Bluestone Memorial Hospital</t>
        </is>
      </c>
      <c r="H1236" t="inlineStr">
        <is>
          <t>Emergency Department</t>
        </is>
      </c>
      <c r="I1236" t="inlineStr">
        <is>
          <t>Emergency</t>
        </is>
      </c>
      <c r="J1236" t="inlineStr">
        <is>
          <t>Ferguson, Roy</t>
        </is>
      </c>
      <c r="K1236" t="inlineStr">
        <is>
          <t>J06.9</t>
        </is>
      </c>
      <c r="L1236" t="inlineStr">
        <is>
          <t>Respiratory</t>
        </is>
      </c>
      <c r="M1236" t="inlineStr">
        <is>
          <t>State Medicaid</t>
        </is>
      </c>
      <c r="N1236" t="inlineStr">
        <is>
          <t>Government</t>
        </is>
      </c>
      <c r="O1236" s="39" t="n">
        <v>725.66</v>
      </c>
    </row>
    <row r="1237">
      <c r="A1237" t="inlineStr">
        <is>
          <t>ENC117589</t>
        </is>
      </c>
      <c r="B1237" t="inlineStr">
        <is>
          <t>PT10074</t>
        </is>
      </c>
      <c r="C1237" s="42" t="n">
        <v>45881</v>
      </c>
      <c r="D1237" s="42" t="n">
        <v>45881</v>
      </c>
      <c r="E1237" s="38" t="n">
        <v>0</v>
      </c>
      <c r="F1237" t="inlineStr">
        <is>
          <t>Outpatient</t>
        </is>
      </c>
      <c r="G1237" t="inlineStr">
        <is>
          <t>Bluestone Outpatient Pavilion</t>
        </is>
      </c>
      <c r="H1237" t="inlineStr">
        <is>
          <t>Endocrinology &amp; Diabetes Clinic</t>
        </is>
      </c>
      <c r="I1237" t="inlineStr">
        <is>
          <t>Ambulatory</t>
        </is>
      </c>
      <c r="J1237" t="inlineStr">
        <is>
          <t>Lee, Amber</t>
        </is>
      </c>
      <c r="K1237" t="inlineStr">
        <is>
          <t>E11.9</t>
        </is>
      </c>
      <c r="L1237" t="inlineStr">
        <is>
          <t>Endocrine</t>
        </is>
      </c>
      <c r="M1237" t="inlineStr">
        <is>
          <t>Silverline Medicare Advantage</t>
        </is>
      </c>
      <c r="N1237" t="inlineStr">
        <is>
          <t>Medicare Advantage</t>
        </is>
      </c>
      <c r="O1237" s="39" t="n">
        <v>243.63</v>
      </c>
    </row>
    <row r="1238">
      <c r="A1238" t="inlineStr">
        <is>
          <t>ENC117590</t>
        </is>
      </c>
      <c r="B1238" t="inlineStr">
        <is>
          <t>PT10033</t>
        </is>
      </c>
      <c r="C1238" s="42" t="n">
        <v>45881</v>
      </c>
      <c r="D1238" s="42" t="n">
        <v>45881</v>
      </c>
      <c r="E1238" s="38" t="n">
        <v>0</v>
      </c>
      <c r="F1238" t="inlineStr">
        <is>
          <t>Outpatient</t>
        </is>
      </c>
      <c r="G1238" t="inlineStr">
        <is>
          <t>Bluestone Outpatient Pavilion</t>
        </is>
      </c>
      <c r="H1238" t="inlineStr">
        <is>
          <t>Primary Care Clinic</t>
        </is>
      </c>
      <c r="I1238" t="inlineStr">
        <is>
          <t>Ambulatory</t>
        </is>
      </c>
      <c r="J1238" t="inlineStr">
        <is>
          <t>Torres, Rebecca</t>
        </is>
      </c>
      <c r="K1238" t="inlineStr">
        <is>
          <t>E78.5</t>
        </is>
      </c>
      <c r="L1238" t="inlineStr">
        <is>
          <t>Endocrine</t>
        </is>
      </c>
      <c r="M1238" t="inlineStr">
        <is>
          <t>State Medicaid</t>
        </is>
      </c>
      <c r="N1238" t="inlineStr">
        <is>
          <t>Government</t>
        </is>
      </c>
      <c r="O1238" s="39" t="n">
        <v>270.11</v>
      </c>
    </row>
    <row r="1239">
      <c r="A1239" t="inlineStr">
        <is>
          <t>ENC117592</t>
        </is>
      </c>
      <c r="B1239" t="inlineStr">
        <is>
          <t>PT10283</t>
        </is>
      </c>
      <c r="C1239" s="42" t="n">
        <v>45881</v>
      </c>
      <c r="D1239" s="42" t="n">
        <v>45885</v>
      </c>
      <c r="E1239" s="38" t="n">
        <v>4</v>
      </c>
      <c r="F1239" t="inlineStr">
        <is>
          <t>Inpatient</t>
        </is>
      </c>
      <c r="G1239" t="inlineStr">
        <is>
          <t>Bluestone Memorial Hospital</t>
        </is>
      </c>
      <c r="H1239" t="inlineStr">
        <is>
          <t>Medical-Surgical 4 West</t>
        </is>
      </c>
      <c r="I1239" t="inlineStr">
        <is>
          <t>Medicine</t>
        </is>
      </c>
      <c r="J1239" t="inlineStr">
        <is>
          <t>Cruz, Roger</t>
        </is>
      </c>
      <c r="K1239" t="inlineStr">
        <is>
          <t>L03.115</t>
        </is>
      </c>
      <c r="L1239" t="inlineStr">
        <is>
          <t>Skin</t>
        </is>
      </c>
      <c r="M1239" t="inlineStr">
        <is>
          <t>Medicare</t>
        </is>
      </c>
      <c r="N1239" t="inlineStr">
        <is>
          <t>Government</t>
        </is>
      </c>
      <c r="O1239" s="39" t="n">
        <v>20347.89</v>
      </c>
      <c r="P1239" t="inlineStr">
        <is>
          <t>N</t>
        </is>
      </c>
    </row>
    <row r="1240">
      <c r="A1240" t="inlineStr">
        <is>
          <t>ENC117595</t>
        </is>
      </c>
      <c r="B1240" t="inlineStr">
        <is>
          <t>PT12588</t>
        </is>
      </c>
      <c r="C1240" s="42" t="n">
        <v>45881</v>
      </c>
      <c r="D1240" s="42" t="n">
        <v>45881</v>
      </c>
      <c r="E1240" s="38" t="n">
        <v>0</v>
      </c>
      <c r="F1240" t="inlineStr">
        <is>
          <t>Emergency</t>
        </is>
      </c>
      <c r="G1240" t="inlineStr">
        <is>
          <t>Cedar Ridge Medical Center</t>
        </is>
      </c>
      <c r="H1240" t="inlineStr">
        <is>
          <t>Emergency Department</t>
        </is>
      </c>
      <c r="I1240" t="inlineStr">
        <is>
          <t>Emergency</t>
        </is>
      </c>
      <c r="J1240" t="inlineStr">
        <is>
          <t>Munoz, Linda</t>
        </is>
      </c>
      <c r="K1240" t="inlineStr">
        <is>
          <t>N39.0</t>
        </is>
      </c>
      <c r="L1240" t="inlineStr">
        <is>
          <t>Genitourinary</t>
        </is>
      </c>
      <c r="M1240" t="inlineStr">
        <is>
          <t>Summit Choice PPO</t>
        </is>
      </c>
      <c r="N1240" t="inlineStr">
        <is>
          <t>Commercial</t>
        </is>
      </c>
      <c r="O1240" s="39" t="n">
        <v>3325.66</v>
      </c>
    </row>
    <row r="1241">
      <c r="A1241" t="inlineStr">
        <is>
          <t>ENC117597</t>
        </is>
      </c>
      <c r="B1241" t="inlineStr">
        <is>
          <t>PT12617</t>
        </is>
      </c>
      <c r="C1241" s="42" t="n">
        <v>45882</v>
      </c>
      <c r="D1241" s="42" t="n">
        <v>45889</v>
      </c>
      <c r="E1241" s="38" t="n">
        <v>7</v>
      </c>
      <c r="F1241" t="inlineStr">
        <is>
          <t>Inpatient</t>
        </is>
      </c>
      <c r="G1241" t="inlineStr">
        <is>
          <t>Bluestone Memorial Hospital</t>
        </is>
      </c>
      <c r="H1241" t="inlineStr">
        <is>
          <t>Behavioral Health</t>
        </is>
      </c>
      <c r="I1241" t="inlineStr">
        <is>
          <t>Behavioral Health</t>
        </is>
      </c>
      <c r="J1241" t="inlineStr">
        <is>
          <t>Elliott, Emma</t>
        </is>
      </c>
      <c r="K1241" t="inlineStr">
        <is>
          <t>F32.9</t>
        </is>
      </c>
      <c r="L1241" t="inlineStr">
        <is>
          <t>Mental &amp; Behavioral</t>
        </is>
      </c>
      <c r="M1241" t="inlineStr">
        <is>
          <t>Keystone Health Partners</t>
        </is>
      </c>
      <c r="N1241" t="inlineStr">
        <is>
          <t>Commercial</t>
        </is>
      </c>
      <c r="O1241" s="39" t="n">
        <v>20630.6</v>
      </c>
      <c r="P1241" t="inlineStr">
        <is>
          <t>N</t>
        </is>
      </c>
    </row>
    <row r="1242">
      <c r="A1242" t="inlineStr">
        <is>
          <t>ENC117609</t>
        </is>
      </c>
      <c r="B1242" t="inlineStr">
        <is>
          <t>PT11305</t>
        </is>
      </c>
      <c r="C1242" s="42" t="n">
        <v>45882</v>
      </c>
      <c r="D1242" s="42" t="n">
        <v>45883</v>
      </c>
      <c r="E1242" s="38" t="n">
        <v>1</v>
      </c>
      <c r="F1242" t="inlineStr">
        <is>
          <t>Observation</t>
        </is>
      </c>
      <c r="G1242" t="inlineStr">
        <is>
          <t>Bluestone Memorial Hospital</t>
        </is>
      </c>
      <c r="H1242" t="inlineStr">
        <is>
          <t>Observation Unit</t>
        </is>
      </c>
      <c r="I1242" t="inlineStr">
        <is>
          <t>Medicine</t>
        </is>
      </c>
      <c r="J1242" t="inlineStr">
        <is>
          <t>Vasquez, Jose</t>
        </is>
      </c>
      <c r="K1242" t="inlineStr">
        <is>
          <t>R10.9</t>
        </is>
      </c>
      <c r="L1242" t="inlineStr">
        <is>
          <t>Symptoms &amp; Signs</t>
        </is>
      </c>
      <c r="M1242" t="inlineStr">
        <is>
          <t>Medicare</t>
        </is>
      </c>
      <c r="N1242" t="inlineStr">
        <is>
          <t>Government</t>
        </is>
      </c>
      <c r="O1242" s="39" t="n">
        <v>6229.31</v>
      </c>
    </row>
    <row r="1243">
      <c r="A1243" t="inlineStr">
        <is>
          <t>ENC117611</t>
        </is>
      </c>
      <c r="B1243" t="inlineStr">
        <is>
          <t>PT13367</t>
        </is>
      </c>
      <c r="C1243" s="42" t="n">
        <v>45882</v>
      </c>
      <c r="D1243" s="42" t="n">
        <v>45887</v>
      </c>
      <c r="E1243" s="38" t="n">
        <v>5</v>
      </c>
      <c r="F1243" t="inlineStr">
        <is>
          <t>Inpatient</t>
        </is>
      </c>
      <c r="G1243" t="inlineStr">
        <is>
          <t>Bluestone Memorial Hospital</t>
        </is>
      </c>
      <c r="H1243" t="inlineStr">
        <is>
          <t>Medical-Surgical 5 East</t>
        </is>
      </c>
      <c r="I1243" t="inlineStr">
        <is>
          <t>Medicine</t>
        </is>
      </c>
      <c r="J1243" t="inlineStr">
        <is>
          <t>Ramirez, Jordan</t>
        </is>
      </c>
      <c r="K1243" t="inlineStr">
        <is>
          <t>K35.80</t>
        </is>
      </c>
      <c r="L1243" t="inlineStr">
        <is>
          <t>Digestive</t>
        </is>
      </c>
      <c r="M1243" t="inlineStr">
        <is>
          <t>State Medicaid</t>
        </is>
      </c>
      <c r="N1243" t="inlineStr">
        <is>
          <t>Government</t>
        </is>
      </c>
      <c r="O1243" s="39" t="n">
        <v>35511.51</v>
      </c>
      <c r="P1243" t="inlineStr">
        <is>
          <t>N</t>
        </is>
      </c>
    </row>
    <row r="1244">
      <c r="A1244" t="inlineStr">
        <is>
          <t>ENC117624</t>
        </is>
      </c>
      <c r="B1244" t="inlineStr">
        <is>
          <t>PT12557</t>
        </is>
      </c>
      <c r="C1244" s="42" t="n">
        <v>45882</v>
      </c>
      <c r="D1244" s="42" t="n">
        <v>45882</v>
      </c>
      <c r="E1244" s="38" t="n">
        <v>0</v>
      </c>
      <c r="F1244" t="inlineStr">
        <is>
          <t>Outpatient</t>
        </is>
      </c>
      <c r="G1244" t="inlineStr">
        <is>
          <t>Bluestone Outpatient Pavilion</t>
        </is>
      </c>
      <c r="H1244" t="inlineStr">
        <is>
          <t>Primary Care Clinic</t>
        </is>
      </c>
      <c r="I1244" t="inlineStr">
        <is>
          <t>Ambulatory</t>
        </is>
      </c>
      <c r="J1244" t="inlineStr">
        <is>
          <t>Sullivan, Brenda</t>
        </is>
      </c>
      <c r="K1244" t="inlineStr">
        <is>
          <t>I10</t>
        </is>
      </c>
      <c r="L1244" t="inlineStr">
        <is>
          <t>Circulatory</t>
        </is>
      </c>
      <c r="M1244" t="inlineStr">
        <is>
          <t>State Medicaid</t>
        </is>
      </c>
      <c r="N1244" t="inlineStr">
        <is>
          <t>Government</t>
        </is>
      </c>
      <c r="O1244" s="39" t="n">
        <v>502.59</v>
      </c>
    </row>
    <row r="1245">
      <c r="A1245" t="inlineStr">
        <is>
          <t>ENC117638</t>
        </is>
      </c>
      <c r="B1245" t="inlineStr">
        <is>
          <t>PT10997</t>
        </is>
      </c>
      <c r="C1245" s="42" t="n">
        <v>45883</v>
      </c>
      <c r="D1245" s="42" t="n">
        <v>45883</v>
      </c>
      <c r="E1245" s="38" t="n">
        <v>0</v>
      </c>
      <c r="F1245" t="inlineStr">
        <is>
          <t>Outpatient</t>
        </is>
      </c>
      <c r="G1245" t="inlineStr">
        <is>
          <t>Bluestone Outpatient Pavilion</t>
        </is>
      </c>
      <c r="H1245" t="inlineStr">
        <is>
          <t>Primary Care Clinic</t>
        </is>
      </c>
      <c r="I1245" t="inlineStr">
        <is>
          <t>Ambulatory</t>
        </is>
      </c>
      <c r="J1245" t="inlineStr">
        <is>
          <t>Vazquez, Carolyn</t>
        </is>
      </c>
      <c r="K1245" t="inlineStr">
        <is>
          <t>Z00.00</t>
        </is>
      </c>
      <c r="L1245" t="inlineStr">
        <is>
          <t>Factors Influencing Health</t>
        </is>
      </c>
      <c r="M1245" t="inlineStr">
        <is>
          <t>State Medicaid</t>
        </is>
      </c>
      <c r="N1245" t="inlineStr">
        <is>
          <t>Government</t>
        </is>
      </c>
      <c r="O1245" s="39" t="n">
        <v>317.38</v>
      </c>
    </row>
    <row r="1246">
      <c r="A1246" t="inlineStr">
        <is>
          <t>ENC117639</t>
        </is>
      </c>
      <c r="B1246" t="inlineStr">
        <is>
          <t>PT11356</t>
        </is>
      </c>
      <c r="C1246" s="42" t="n">
        <v>45883</v>
      </c>
      <c r="D1246" s="42" t="n">
        <v>45883</v>
      </c>
      <c r="E1246" s="38" t="n">
        <v>0</v>
      </c>
      <c r="F1246" t="inlineStr">
        <is>
          <t>Emergency</t>
        </is>
      </c>
      <c r="G1246" t="inlineStr">
        <is>
          <t>Bluestone Memorial Hospital</t>
        </is>
      </c>
      <c r="H1246" t="inlineStr">
        <is>
          <t>Emergency Department</t>
        </is>
      </c>
      <c r="I1246" t="inlineStr">
        <is>
          <t>Emergency</t>
        </is>
      </c>
      <c r="J1246" t="inlineStr">
        <is>
          <t>Elliott, Jesse</t>
        </is>
      </c>
      <c r="K1246" t="inlineStr">
        <is>
          <t>R10.9</t>
        </is>
      </c>
      <c r="L1246" t="inlineStr">
        <is>
          <t>Symptoms &amp; Signs</t>
        </is>
      </c>
      <c r="M1246" t="inlineStr">
        <is>
          <t>Evergreen Mutual Insurance</t>
        </is>
      </c>
      <c r="N1246" t="inlineStr">
        <is>
          <t>Commercial</t>
        </is>
      </c>
      <c r="O1246" s="39" t="n">
        <v>2332.34</v>
      </c>
    </row>
    <row r="1247">
      <c r="A1247" t="inlineStr">
        <is>
          <t>ENC117648</t>
        </is>
      </c>
      <c r="B1247" t="inlineStr">
        <is>
          <t>PT13200</t>
        </is>
      </c>
      <c r="C1247" s="42" t="n">
        <v>45883</v>
      </c>
      <c r="D1247" s="42" t="n">
        <v>45883</v>
      </c>
      <c r="E1247" s="38" t="n">
        <v>0</v>
      </c>
      <c r="F1247" t="inlineStr">
        <is>
          <t>Outpatient</t>
        </is>
      </c>
      <c r="G1247" t="inlineStr">
        <is>
          <t>Bluestone Outpatient Pavilion</t>
        </is>
      </c>
      <c r="H1247" t="inlineStr">
        <is>
          <t>Pediatric Clinic</t>
        </is>
      </c>
      <c r="I1247" t="inlineStr">
        <is>
          <t>Women &amp; Children</t>
        </is>
      </c>
      <c r="J1247" t="inlineStr">
        <is>
          <t>Yilmaz, Richard</t>
        </is>
      </c>
      <c r="K1247" t="inlineStr">
        <is>
          <t>Z00.129</t>
        </is>
      </c>
      <c r="L1247" t="inlineStr">
        <is>
          <t>Factors Influencing Health</t>
        </is>
      </c>
      <c r="M1247" t="inlineStr">
        <is>
          <t>Self-Pay</t>
        </is>
      </c>
      <c r="N1247" t="inlineStr">
        <is>
          <t>Self-Pay</t>
        </is>
      </c>
      <c r="O1247" s="39" t="n">
        <v>227.35</v>
      </c>
    </row>
    <row r="1248">
      <c r="A1248" t="inlineStr">
        <is>
          <t>ENC117649</t>
        </is>
      </c>
      <c r="B1248" t="inlineStr">
        <is>
          <t>PT12818</t>
        </is>
      </c>
      <c r="C1248" s="42" t="n">
        <v>45883</v>
      </c>
      <c r="D1248" s="42" t="n">
        <v>45888</v>
      </c>
      <c r="E1248" s="38" t="n">
        <v>5</v>
      </c>
      <c r="F1248" t="inlineStr">
        <is>
          <t>Inpatient</t>
        </is>
      </c>
      <c r="G1248" t="inlineStr">
        <is>
          <t>Bluestone Memorial Hospital</t>
        </is>
      </c>
      <c r="H1248" t="inlineStr">
        <is>
          <t>Neuroscience &amp; Stroke</t>
        </is>
      </c>
      <c r="I1248" t="inlineStr">
        <is>
          <t>Neuroscience</t>
        </is>
      </c>
      <c r="J1248" t="inlineStr">
        <is>
          <t>Stone, Frank</t>
        </is>
      </c>
      <c r="K1248" t="inlineStr">
        <is>
          <t>I63.9</t>
        </is>
      </c>
      <c r="L1248" t="inlineStr">
        <is>
          <t>Circulatory</t>
        </is>
      </c>
      <c r="M1248" t="inlineStr">
        <is>
          <t>Silverline Medicare Advantage</t>
        </is>
      </c>
      <c r="N1248" t="inlineStr">
        <is>
          <t>Medicare Advantage</t>
        </is>
      </c>
      <c r="O1248" s="39" t="n">
        <v>28730.48</v>
      </c>
      <c r="P1248" t="inlineStr">
        <is>
          <t>N</t>
        </is>
      </c>
    </row>
    <row r="1249">
      <c r="A1249" t="inlineStr">
        <is>
          <t>ENC117656</t>
        </is>
      </c>
      <c r="B1249" t="inlineStr">
        <is>
          <t>PT10355</t>
        </is>
      </c>
      <c r="C1249" s="42" t="n">
        <v>45883</v>
      </c>
      <c r="D1249" s="42" t="n">
        <v>45886</v>
      </c>
      <c r="E1249" s="38" t="n">
        <v>3</v>
      </c>
      <c r="F1249" t="inlineStr">
        <is>
          <t>Inpatient</t>
        </is>
      </c>
      <c r="G1249" t="inlineStr">
        <is>
          <t>Bluestone Memorial Hospital</t>
        </is>
      </c>
      <c r="H1249" t="inlineStr">
        <is>
          <t>Medical-Surgical 4 West</t>
        </is>
      </c>
      <c r="I1249" t="inlineStr">
        <is>
          <t>Medicine</t>
        </is>
      </c>
      <c r="J1249" t="inlineStr">
        <is>
          <t>Hunt, Richard</t>
        </is>
      </c>
      <c r="K1249" t="inlineStr">
        <is>
          <t>F10.239</t>
        </is>
      </c>
      <c r="L1249" t="inlineStr">
        <is>
          <t>Mental &amp; Behavioral</t>
        </is>
      </c>
      <c r="M1249" t="inlineStr">
        <is>
          <t>State Medicaid</t>
        </is>
      </c>
      <c r="N1249" t="inlineStr">
        <is>
          <t>Government</t>
        </is>
      </c>
      <c r="O1249" s="39" t="n">
        <v>18379.06</v>
      </c>
      <c r="P1249" t="inlineStr">
        <is>
          <t>N</t>
        </is>
      </c>
    </row>
    <row r="1250">
      <c r="A1250" t="inlineStr">
        <is>
          <t>ENC117684</t>
        </is>
      </c>
      <c r="B1250" t="inlineStr">
        <is>
          <t>PT12192</t>
        </is>
      </c>
      <c r="C1250" s="42" t="n">
        <v>45884</v>
      </c>
      <c r="D1250" s="42" t="n">
        <v>45884</v>
      </c>
      <c r="E1250" s="38" t="n">
        <v>0</v>
      </c>
      <c r="F1250" t="inlineStr">
        <is>
          <t>Emergency</t>
        </is>
      </c>
      <c r="G1250" t="inlineStr">
        <is>
          <t>Bluestone Memorial Hospital</t>
        </is>
      </c>
      <c r="H1250" t="inlineStr">
        <is>
          <t>Emergency Department</t>
        </is>
      </c>
      <c r="I1250" t="inlineStr">
        <is>
          <t>Emergency</t>
        </is>
      </c>
      <c r="J1250" t="inlineStr">
        <is>
          <t>Cruz, Mia</t>
        </is>
      </c>
      <c r="K1250" t="inlineStr">
        <is>
          <t>F32.9</t>
        </is>
      </c>
      <c r="L1250" t="inlineStr">
        <is>
          <t>Mental &amp; Behavioral</t>
        </is>
      </c>
      <c r="M1250" t="inlineStr">
        <is>
          <t>Evergreen Mutual Insurance</t>
        </is>
      </c>
      <c r="N1250" t="inlineStr">
        <is>
          <t>Commercial</t>
        </is>
      </c>
      <c r="O1250" s="39" t="n">
        <v>6703.36</v>
      </c>
    </row>
    <row r="1251">
      <c r="A1251" t="inlineStr">
        <is>
          <t>ENC117682</t>
        </is>
      </c>
      <c r="B1251" t="inlineStr">
        <is>
          <t>PT10198</t>
        </is>
      </c>
      <c r="C1251" s="42" t="n">
        <v>45884</v>
      </c>
      <c r="D1251" s="42" t="n">
        <v>45890</v>
      </c>
      <c r="E1251" s="38" t="n">
        <v>6</v>
      </c>
      <c r="F1251" t="inlineStr">
        <is>
          <t>Inpatient</t>
        </is>
      </c>
      <c r="G1251" t="inlineStr">
        <is>
          <t>Bluestone Memorial Hospital</t>
        </is>
      </c>
      <c r="H1251" t="inlineStr">
        <is>
          <t>Oncology</t>
        </is>
      </c>
      <c r="I1251" t="inlineStr">
        <is>
          <t>Oncology</t>
        </is>
      </c>
      <c r="J1251" t="inlineStr">
        <is>
          <t>Robertson, Eric</t>
        </is>
      </c>
      <c r="K1251" t="inlineStr">
        <is>
          <t>C34.90</t>
        </is>
      </c>
      <c r="L1251" t="inlineStr">
        <is>
          <t>Neoplasms</t>
        </is>
      </c>
      <c r="M1251" t="inlineStr">
        <is>
          <t>Summit Choice PPO</t>
        </is>
      </c>
      <c r="N1251" t="inlineStr">
        <is>
          <t>Commercial</t>
        </is>
      </c>
      <c r="O1251" s="39" t="n">
        <v>28601.85</v>
      </c>
      <c r="P1251" t="inlineStr">
        <is>
          <t>N</t>
        </is>
      </c>
    </row>
    <row r="1252">
      <c r="A1252" t="inlineStr">
        <is>
          <t>ENC117687</t>
        </is>
      </c>
      <c r="B1252" t="inlineStr">
        <is>
          <t>PT11308</t>
        </is>
      </c>
      <c r="C1252" s="42" t="n">
        <v>45884</v>
      </c>
      <c r="D1252" s="42" t="n">
        <v>45884</v>
      </c>
      <c r="E1252" s="38" t="n">
        <v>0</v>
      </c>
      <c r="F1252" t="inlineStr">
        <is>
          <t>Emergency</t>
        </is>
      </c>
      <c r="G1252" t="inlineStr">
        <is>
          <t>Cedar Ridge Medical Center</t>
        </is>
      </c>
      <c r="H1252" t="inlineStr">
        <is>
          <t>Emergency Department</t>
        </is>
      </c>
      <c r="I1252" t="inlineStr">
        <is>
          <t>Emergency</t>
        </is>
      </c>
      <c r="J1252" t="inlineStr">
        <is>
          <t>Pena, Wayne</t>
        </is>
      </c>
      <c r="K1252" t="inlineStr">
        <is>
          <t>R10.9</t>
        </is>
      </c>
      <c r="L1252" t="inlineStr">
        <is>
          <t>Symptoms &amp; Signs</t>
        </is>
      </c>
      <c r="M1252" t="inlineStr">
        <is>
          <t>Keystone Health Partners</t>
        </is>
      </c>
      <c r="N1252" t="inlineStr">
        <is>
          <t>Commercial</t>
        </is>
      </c>
      <c r="O1252" s="39" t="n">
        <v>2927.76</v>
      </c>
    </row>
    <row r="1253">
      <c r="A1253" t="inlineStr">
        <is>
          <t>ENC117688</t>
        </is>
      </c>
      <c r="B1253" t="inlineStr">
        <is>
          <t>PT11732</t>
        </is>
      </c>
      <c r="C1253" s="42" t="n">
        <v>45884</v>
      </c>
      <c r="D1253" s="42" t="n">
        <v>45884</v>
      </c>
      <c r="E1253" s="38" t="n">
        <v>0</v>
      </c>
      <c r="F1253" t="inlineStr">
        <is>
          <t>Emergency</t>
        </is>
      </c>
      <c r="G1253" t="inlineStr">
        <is>
          <t>Bluestone Memorial Hospital</t>
        </is>
      </c>
      <c r="H1253" t="inlineStr">
        <is>
          <t>Emergency Department</t>
        </is>
      </c>
      <c r="I1253" t="inlineStr">
        <is>
          <t>Emergency</t>
        </is>
      </c>
      <c r="J1253" t="inlineStr">
        <is>
          <t>Sullivan, Jacob</t>
        </is>
      </c>
      <c r="K1253" t="inlineStr">
        <is>
          <t>H66.90</t>
        </is>
      </c>
      <c r="L1253" t="inlineStr">
        <is>
          <t>Ear</t>
        </is>
      </c>
      <c r="M1253" t="inlineStr">
        <is>
          <t>State Medicaid</t>
        </is>
      </c>
      <c r="N1253" t="inlineStr">
        <is>
          <t>Government</t>
        </is>
      </c>
      <c r="O1253" s="39" t="n">
        <v>1286.33</v>
      </c>
    </row>
    <row r="1254">
      <c r="A1254" t="inlineStr">
        <is>
          <t>ENC117685</t>
        </is>
      </c>
      <c r="B1254" t="inlineStr">
        <is>
          <t>PT13021</t>
        </is>
      </c>
      <c r="C1254" s="42" t="n">
        <v>45884</v>
      </c>
      <c r="D1254" s="42" t="n">
        <v>45891</v>
      </c>
      <c r="E1254" s="38" t="n">
        <v>7</v>
      </c>
      <c r="F1254" t="inlineStr">
        <is>
          <t>Inpatient</t>
        </is>
      </c>
      <c r="G1254" t="inlineStr">
        <is>
          <t>Bluestone Memorial Hospital</t>
        </is>
      </c>
      <c r="H1254" t="inlineStr">
        <is>
          <t>Intensive Care Unit</t>
        </is>
      </c>
      <c r="I1254" t="inlineStr">
        <is>
          <t>Critical Care</t>
        </is>
      </c>
      <c r="J1254" t="inlineStr">
        <is>
          <t>Hawkins, Bruce</t>
        </is>
      </c>
      <c r="K1254" t="inlineStr">
        <is>
          <t>J96.01</t>
        </is>
      </c>
      <c r="L1254" t="inlineStr">
        <is>
          <t>Respiratory</t>
        </is>
      </c>
      <c r="M1254" t="inlineStr">
        <is>
          <t>Medicare</t>
        </is>
      </c>
      <c r="N1254" t="inlineStr">
        <is>
          <t>Government</t>
        </is>
      </c>
      <c r="O1254" s="39" t="n">
        <v>59445.89</v>
      </c>
      <c r="P1254" t="inlineStr">
        <is>
          <t>N</t>
        </is>
      </c>
    </row>
    <row r="1255">
      <c r="A1255" t="inlineStr">
        <is>
          <t>ENC117691</t>
        </is>
      </c>
      <c r="B1255" t="inlineStr">
        <is>
          <t>PT11017</t>
        </is>
      </c>
      <c r="C1255" s="42" t="n">
        <v>45885</v>
      </c>
      <c r="D1255" s="42" t="n">
        <v>45887</v>
      </c>
      <c r="E1255" s="38" t="n">
        <v>2</v>
      </c>
      <c r="F1255" t="inlineStr">
        <is>
          <t>Inpatient</t>
        </is>
      </c>
      <c r="G1255" t="inlineStr">
        <is>
          <t>Ashby Falls Community Hospital</t>
        </is>
      </c>
      <c r="H1255" t="inlineStr">
        <is>
          <t>Medical-Surgical</t>
        </is>
      </c>
      <c r="I1255" t="inlineStr">
        <is>
          <t>Medicine</t>
        </is>
      </c>
      <c r="J1255" t="inlineStr">
        <is>
          <t>Perkins, Stephen</t>
        </is>
      </c>
      <c r="K1255" t="inlineStr">
        <is>
          <t>K80.20</t>
        </is>
      </c>
      <c r="L1255" t="inlineStr">
        <is>
          <t>Digestive</t>
        </is>
      </c>
      <c r="M1255" t="inlineStr">
        <is>
          <t>Evergreen Mutual Insurance</t>
        </is>
      </c>
      <c r="N1255" t="inlineStr">
        <is>
          <t>Commercial</t>
        </is>
      </c>
      <c r="O1255" s="39" t="n">
        <v>17073.52</v>
      </c>
      <c r="P1255" t="inlineStr">
        <is>
          <t>N</t>
        </is>
      </c>
    </row>
    <row r="1256">
      <c r="A1256" t="inlineStr">
        <is>
          <t>ENC117697</t>
        </is>
      </c>
      <c r="B1256" t="inlineStr">
        <is>
          <t>PT12043</t>
        </is>
      </c>
      <c r="C1256" s="42" t="n">
        <v>45885</v>
      </c>
      <c r="D1256" s="42" t="n">
        <v>45889</v>
      </c>
      <c r="E1256" s="38" t="n">
        <v>4</v>
      </c>
      <c r="F1256" t="inlineStr">
        <is>
          <t>Inpatient</t>
        </is>
      </c>
      <c r="G1256" t="inlineStr">
        <is>
          <t>Bluestone Memorial Hospital</t>
        </is>
      </c>
      <c r="H1256" t="inlineStr">
        <is>
          <t>Medical-Surgical 5 East</t>
        </is>
      </c>
      <c r="I1256" t="inlineStr">
        <is>
          <t>Medicine</t>
        </is>
      </c>
      <c r="J1256" t="inlineStr">
        <is>
          <t>Hunt, Richard</t>
        </is>
      </c>
      <c r="K1256" t="inlineStr">
        <is>
          <t>N39.0</t>
        </is>
      </c>
      <c r="L1256" t="inlineStr">
        <is>
          <t>Genitourinary</t>
        </is>
      </c>
      <c r="M1256" t="inlineStr">
        <is>
          <t>Medicare</t>
        </is>
      </c>
      <c r="N1256" t="inlineStr">
        <is>
          <t>Government</t>
        </is>
      </c>
      <c r="O1256" s="39" t="n">
        <v>13109.6</v>
      </c>
      <c r="P1256" t="inlineStr">
        <is>
          <t>N</t>
        </is>
      </c>
    </row>
    <row r="1257">
      <c r="A1257" t="inlineStr">
        <is>
          <t>ENC117712</t>
        </is>
      </c>
      <c r="B1257" t="inlineStr">
        <is>
          <t>PT10095</t>
        </is>
      </c>
      <c r="C1257" s="42" t="n">
        <v>45886</v>
      </c>
      <c r="D1257" s="42" t="n">
        <v>45886</v>
      </c>
      <c r="E1257" s="38" t="n">
        <v>0</v>
      </c>
      <c r="F1257" t="inlineStr">
        <is>
          <t>Emergency</t>
        </is>
      </c>
      <c r="G1257" t="inlineStr">
        <is>
          <t>Bluestone Memorial Hospital</t>
        </is>
      </c>
      <c r="H1257" t="inlineStr">
        <is>
          <t>Emergency Department</t>
        </is>
      </c>
      <c r="I1257" t="inlineStr">
        <is>
          <t>Emergency</t>
        </is>
      </c>
      <c r="J1257" t="inlineStr">
        <is>
          <t>Kowalski, James</t>
        </is>
      </c>
      <c r="K1257" t="inlineStr">
        <is>
          <t>N39.0</t>
        </is>
      </c>
      <c r="L1257" t="inlineStr">
        <is>
          <t>Genitourinary</t>
        </is>
      </c>
      <c r="M1257" t="inlineStr">
        <is>
          <t>Keystone Health Partners</t>
        </is>
      </c>
      <c r="N1257" t="inlineStr">
        <is>
          <t>Commercial</t>
        </is>
      </c>
      <c r="O1257" s="39" t="n">
        <v>3787.85</v>
      </c>
    </row>
    <row r="1258">
      <c r="A1258" t="inlineStr">
        <is>
          <t>ENC117720</t>
        </is>
      </c>
      <c r="B1258" t="inlineStr">
        <is>
          <t>PT10895</t>
        </is>
      </c>
      <c r="C1258" s="42" t="n">
        <v>45886</v>
      </c>
      <c r="D1258" s="42" t="n">
        <v>45887</v>
      </c>
      <c r="E1258" s="38" t="n">
        <v>1</v>
      </c>
      <c r="F1258" t="inlineStr">
        <is>
          <t>Observation</t>
        </is>
      </c>
      <c r="G1258" t="inlineStr">
        <is>
          <t>Bluestone Memorial Hospital</t>
        </is>
      </c>
      <c r="H1258" t="inlineStr">
        <is>
          <t>Observation Unit</t>
        </is>
      </c>
      <c r="I1258" t="inlineStr">
        <is>
          <t>Medicine</t>
        </is>
      </c>
      <c r="J1258" t="inlineStr">
        <is>
          <t>Abdi, Hassan</t>
        </is>
      </c>
      <c r="K1258" t="inlineStr">
        <is>
          <t>J18.9</t>
        </is>
      </c>
      <c r="L1258" t="inlineStr">
        <is>
          <t>Respiratory</t>
        </is>
      </c>
      <c r="M1258" t="inlineStr">
        <is>
          <t>Silverline Medicare Advantage</t>
        </is>
      </c>
      <c r="N1258" t="inlineStr">
        <is>
          <t>Medicare Advantage</t>
        </is>
      </c>
      <c r="O1258" s="39" t="n">
        <v>4815.58</v>
      </c>
    </row>
    <row r="1259">
      <c r="A1259" t="inlineStr">
        <is>
          <t>ENC117737</t>
        </is>
      </c>
      <c r="B1259" t="inlineStr">
        <is>
          <t>PT11488</t>
        </is>
      </c>
      <c r="C1259" s="42" t="n">
        <v>45887</v>
      </c>
      <c r="D1259" s="42" t="n">
        <v>45887</v>
      </c>
      <c r="E1259" s="38" t="n">
        <v>0</v>
      </c>
      <c r="F1259" t="inlineStr">
        <is>
          <t>Outpatient</t>
        </is>
      </c>
      <c r="G1259" t="inlineStr">
        <is>
          <t>Bluestone Outpatient Pavilion</t>
        </is>
      </c>
      <c r="H1259" t="inlineStr">
        <is>
          <t>Primary Care Clinic</t>
        </is>
      </c>
      <c r="I1259" t="inlineStr">
        <is>
          <t>Ambulatory</t>
        </is>
      </c>
      <c r="J1259" t="inlineStr">
        <is>
          <t>Petrov, Doris</t>
        </is>
      </c>
      <c r="K1259" t="inlineStr">
        <is>
          <t>I10</t>
        </is>
      </c>
      <c r="L1259" t="inlineStr">
        <is>
          <t>Circulatory</t>
        </is>
      </c>
      <c r="M1259" t="inlineStr">
        <is>
          <t>Self-Pay</t>
        </is>
      </c>
      <c r="N1259" t="inlineStr">
        <is>
          <t>Self-Pay</t>
        </is>
      </c>
      <c r="O1259" s="39" t="n">
        <v>171.07</v>
      </c>
    </row>
    <row r="1260">
      <c r="A1260" t="inlineStr">
        <is>
          <t>ENC117742</t>
        </is>
      </c>
      <c r="B1260" t="inlineStr">
        <is>
          <t>PT11830</t>
        </is>
      </c>
      <c r="C1260" s="42" t="n">
        <v>45887</v>
      </c>
      <c r="D1260" s="42" t="n">
        <v>45887</v>
      </c>
      <c r="E1260" s="38" t="n">
        <v>0</v>
      </c>
      <c r="F1260" t="inlineStr">
        <is>
          <t>Emergency</t>
        </is>
      </c>
      <c r="G1260" t="inlineStr">
        <is>
          <t>Bluestone Memorial Hospital</t>
        </is>
      </c>
      <c r="H1260" t="inlineStr">
        <is>
          <t>Emergency Department</t>
        </is>
      </c>
      <c r="I1260" t="inlineStr">
        <is>
          <t>Emergency</t>
        </is>
      </c>
      <c r="J1260" t="inlineStr">
        <is>
          <t>Kowalski, James</t>
        </is>
      </c>
      <c r="K1260" t="inlineStr">
        <is>
          <t>N39.0</t>
        </is>
      </c>
      <c r="L1260" t="inlineStr">
        <is>
          <t>Genitourinary</t>
        </is>
      </c>
      <c r="M1260" t="inlineStr">
        <is>
          <t>Summit Choice PPO</t>
        </is>
      </c>
      <c r="N1260" t="inlineStr">
        <is>
          <t>Commercial</t>
        </is>
      </c>
      <c r="O1260" s="39" t="n">
        <v>7351.71</v>
      </c>
    </row>
    <row r="1261">
      <c r="A1261" t="inlineStr">
        <is>
          <t>ENC117739</t>
        </is>
      </c>
      <c r="B1261" t="inlineStr">
        <is>
          <t>PT13673</t>
        </is>
      </c>
      <c r="C1261" s="42" t="n">
        <v>45887</v>
      </c>
      <c r="D1261" s="42" t="n">
        <v>45892</v>
      </c>
      <c r="E1261" s="38" t="n">
        <v>5</v>
      </c>
      <c r="F1261" t="inlineStr">
        <is>
          <t>Inpatient</t>
        </is>
      </c>
      <c r="G1261" t="inlineStr">
        <is>
          <t>Bluestone Memorial Hospital</t>
        </is>
      </c>
      <c r="H1261" t="inlineStr">
        <is>
          <t>Medical-Surgical 5 East</t>
        </is>
      </c>
      <c r="I1261" t="inlineStr">
        <is>
          <t>Medicine</t>
        </is>
      </c>
      <c r="J1261" t="inlineStr">
        <is>
          <t>Vasquez, Jose</t>
        </is>
      </c>
      <c r="K1261" t="inlineStr">
        <is>
          <t>E87.1</t>
        </is>
      </c>
      <c r="L1261" t="inlineStr">
        <is>
          <t>Endocrine</t>
        </is>
      </c>
      <c r="M1261" t="inlineStr">
        <is>
          <t>Medicare</t>
        </is>
      </c>
      <c r="N1261" t="inlineStr">
        <is>
          <t>Government</t>
        </is>
      </c>
      <c r="O1261" s="39" t="n">
        <v>20149.22</v>
      </c>
      <c r="P1261" t="inlineStr">
        <is>
          <t>N</t>
        </is>
      </c>
    </row>
    <row r="1262">
      <c r="A1262" t="inlineStr">
        <is>
          <t>ENC117750</t>
        </is>
      </c>
      <c r="B1262" t="inlineStr">
        <is>
          <t>PT12816</t>
        </is>
      </c>
      <c r="C1262" s="42" t="n">
        <v>45888</v>
      </c>
      <c r="D1262" s="42" t="n">
        <v>45888</v>
      </c>
      <c r="E1262" s="38" t="n">
        <v>0</v>
      </c>
      <c r="F1262" t="inlineStr">
        <is>
          <t>Emergency</t>
        </is>
      </c>
      <c r="G1262" t="inlineStr">
        <is>
          <t>Bluestone Memorial Hospital</t>
        </is>
      </c>
      <c r="H1262" t="inlineStr">
        <is>
          <t>Emergency Department</t>
        </is>
      </c>
      <c r="I1262" t="inlineStr">
        <is>
          <t>Emergency</t>
        </is>
      </c>
      <c r="J1262" t="inlineStr">
        <is>
          <t>Myers, Doris</t>
        </is>
      </c>
      <c r="K1262" t="inlineStr">
        <is>
          <t>R10.9</t>
        </is>
      </c>
      <c r="L1262" t="inlineStr">
        <is>
          <t>Symptoms &amp; Signs</t>
        </is>
      </c>
      <c r="M1262" t="inlineStr">
        <is>
          <t>State Medicaid</t>
        </is>
      </c>
      <c r="N1262" t="inlineStr">
        <is>
          <t>Government</t>
        </is>
      </c>
      <c r="O1262" s="39" t="n">
        <v>1619.67</v>
      </c>
    </row>
    <row r="1263">
      <c r="A1263" t="inlineStr">
        <is>
          <t>ENC117761</t>
        </is>
      </c>
      <c r="B1263" t="inlineStr">
        <is>
          <t>PT12119</t>
        </is>
      </c>
      <c r="C1263" s="42" t="n">
        <v>45888</v>
      </c>
      <c r="D1263" s="42" t="n">
        <v>45888</v>
      </c>
      <c r="E1263" s="38" t="n">
        <v>0</v>
      </c>
      <c r="F1263" t="inlineStr">
        <is>
          <t>Outpatient</t>
        </is>
      </c>
      <c r="G1263" t="inlineStr">
        <is>
          <t>Bluestone Outpatient Pavilion</t>
        </is>
      </c>
      <c r="H1263" t="inlineStr">
        <is>
          <t>Orthopedic Clinic</t>
        </is>
      </c>
      <c r="I1263" t="inlineStr">
        <is>
          <t>Orthopedics</t>
        </is>
      </c>
      <c r="J1263" t="inlineStr">
        <is>
          <t>Lewis, Jonathan</t>
        </is>
      </c>
      <c r="K1263" t="inlineStr">
        <is>
          <t>M16.11</t>
        </is>
      </c>
      <c r="L1263" t="inlineStr">
        <is>
          <t>Musculoskeletal</t>
        </is>
      </c>
      <c r="M1263" t="inlineStr">
        <is>
          <t>State Medicaid</t>
        </is>
      </c>
      <c r="N1263" t="inlineStr">
        <is>
          <t>Government</t>
        </is>
      </c>
      <c r="O1263" s="39" t="n">
        <v>320.92</v>
      </c>
    </row>
    <row r="1264">
      <c r="A1264" t="inlineStr">
        <is>
          <t>ENC117770</t>
        </is>
      </c>
      <c r="B1264" t="inlineStr">
        <is>
          <t>PT11947</t>
        </is>
      </c>
      <c r="C1264" s="42" t="n">
        <v>45888</v>
      </c>
      <c r="D1264" s="42" t="n">
        <v>45888</v>
      </c>
      <c r="E1264" s="38" t="n">
        <v>0</v>
      </c>
      <c r="F1264" t="inlineStr">
        <is>
          <t>Emergency</t>
        </is>
      </c>
      <c r="G1264" t="inlineStr">
        <is>
          <t>Bluestone Memorial Hospital</t>
        </is>
      </c>
      <c r="H1264" t="inlineStr">
        <is>
          <t>Emergency Department</t>
        </is>
      </c>
      <c r="I1264" t="inlineStr">
        <is>
          <t>Emergency</t>
        </is>
      </c>
      <c r="J1264" t="inlineStr">
        <is>
          <t>Morris, Jordan</t>
        </is>
      </c>
      <c r="K1264" t="inlineStr">
        <is>
          <t>M54.50</t>
        </is>
      </c>
      <c r="L1264" t="inlineStr">
        <is>
          <t>Musculoskeletal</t>
        </is>
      </c>
      <c r="M1264" t="inlineStr">
        <is>
          <t>Silverline Medicare Advantage</t>
        </is>
      </c>
      <c r="N1264" t="inlineStr">
        <is>
          <t>Medicare Advantage</t>
        </is>
      </c>
      <c r="O1264" s="39" t="n">
        <v>1862.88</v>
      </c>
    </row>
    <row r="1265">
      <c r="A1265" t="inlineStr">
        <is>
          <t>ENC117776</t>
        </is>
      </c>
      <c r="B1265" t="inlineStr">
        <is>
          <t>PT11776</t>
        </is>
      </c>
      <c r="C1265" s="42" t="n">
        <v>45888</v>
      </c>
      <c r="D1265" s="42" t="n">
        <v>45889</v>
      </c>
      <c r="E1265" s="38" t="n">
        <v>1</v>
      </c>
      <c r="F1265" t="inlineStr">
        <is>
          <t>Emergency</t>
        </is>
      </c>
      <c r="G1265" t="inlineStr">
        <is>
          <t>Bluestone Memorial Hospital</t>
        </is>
      </c>
      <c r="H1265" t="inlineStr">
        <is>
          <t>Emergency Department</t>
        </is>
      </c>
      <c r="I1265" t="inlineStr">
        <is>
          <t>Emergency</t>
        </is>
      </c>
      <c r="J1265" t="inlineStr">
        <is>
          <t>Cruz, Mia</t>
        </is>
      </c>
      <c r="K1265" t="inlineStr">
        <is>
          <t>M54.50</t>
        </is>
      </c>
      <c r="L1265" t="inlineStr">
        <is>
          <t>Musculoskeletal</t>
        </is>
      </c>
      <c r="M1265" t="inlineStr">
        <is>
          <t>Medicare</t>
        </is>
      </c>
      <c r="N1265" t="inlineStr">
        <is>
          <t>Government</t>
        </is>
      </c>
      <c r="O1265" s="39" t="n">
        <v>579.8</v>
      </c>
    </row>
    <row r="1266">
      <c r="A1266" t="inlineStr">
        <is>
          <t>ENC117774</t>
        </is>
      </c>
      <c r="B1266" t="inlineStr">
        <is>
          <t>PT11014</t>
        </is>
      </c>
      <c r="C1266" s="42" t="n">
        <v>45888</v>
      </c>
      <c r="D1266" s="42" t="n">
        <v>45899</v>
      </c>
      <c r="E1266" s="38" t="n">
        <v>11</v>
      </c>
      <c r="F1266" t="inlineStr">
        <is>
          <t>Inpatient</t>
        </is>
      </c>
      <c r="G1266" t="inlineStr">
        <is>
          <t>Bluestone Memorial Hospital</t>
        </is>
      </c>
      <c r="H1266" t="inlineStr">
        <is>
          <t>Intensive Care Unit</t>
        </is>
      </c>
      <c r="I1266" t="inlineStr">
        <is>
          <t>Critical Care</t>
        </is>
      </c>
      <c r="J1266" t="inlineStr">
        <is>
          <t>Bryant, Janet</t>
        </is>
      </c>
      <c r="K1266" t="inlineStr">
        <is>
          <t>A41.9</t>
        </is>
      </c>
      <c r="L1266" t="inlineStr">
        <is>
          <t>Infectious</t>
        </is>
      </c>
      <c r="M1266" t="inlineStr">
        <is>
          <t>Silverline Medicare Advantage</t>
        </is>
      </c>
      <c r="N1266" t="inlineStr">
        <is>
          <t>Medicare Advantage</t>
        </is>
      </c>
      <c r="O1266" s="39" t="n">
        <v>79372.86</v>
      </c>
      <c r="P1266" t="inlineStr">
        <is>
          <t>N</t>
        </is>
      </c>
    </row>
    <row r="1267">
      <c r="A1267" t="inlineStr">
        <is>
          <t>ENC117783</t>
        </is>
      </c>
      <c r="B1267" t="inlineStr">
        <is>
          <t>PT13906</t>
        </is>
      </c>
      <c r="C1267" s="42" t="n">
        <v>45889</v>
      </c>
      <c r="D1267" s="42" t="n">
        <v>45891</v>
      </c>
      <c r="E1267" s="38" t="n">
        <v>2</v>
      </c>
      <c r="F1267" t="inlineStr">
        <is>
          <t>Inpatient</t>
        </is>
      </c>
      <c r="G1267" t="inlineStr">
        <is>
          <t>Bluestone Memorial Hospital</t>
        </is>
      </c>
      <c r="H1267" t="inlineStr">
        <is>
          <t>Orthopedics &amp; Spine</t>
        </is>
      </c>
      <c r="I1267" t="inlineStr">
        <is>
          <t>Orthopedics</t>
        </is>
      </c>
      <c r="J1267" t="inlineStr">
        <is>
          <t>King, Leila</t>
        </is>
      </c>
      <c r="K1267" t="inlineStr">
        <is>
          <t>M17.11</t>
        </is>
      </c>
      <c r="L1267" t="inlineStr">
        <is>
          <t>Musculoskeletal</t>
        </is>
      </c>
      <c r="M1267" t="inlineStr">
        <is>
          <t>Silverline Medicare Advantage</t>
        </is>
      </c>
      <c r="N1267" t="inlineStr">
        <is>
          <t>Medicare Advantage</t>
        </is>
      </c>
      <c r="O1267" s="39" t="n">
        <v>50969.31</v>
      </c>
      <c r="P1267" t="inlineStr">
        <is>
          <t>N</t>
        </is>
      </c>
    </row>
    <row r="1268">
      <c r="A1268" t="inlineStr">
        <is>
          <t>ENC117786</t>
        </is>
      </c>
      <c r="B1268" t="inlineStr">
        <is>
          <t>PT13380</t>
        </is>
      </c>
      <c r="C1268" s="42" t="n">
        <v>45889</v>
      </c>
      <c r="D1268" s="42" t="n">
        <v>45889</v>
      </c>
      <c r="E1268" s="38" t="n">
        <v>0</v>
      </c>
      <c r="F1268" t="inlineStr">
        <is>
          <t>Outpatient</t>
        </is>
      </c>
      <c r="G1268" t="inlineStr">
        <is>
          <t>Bluestone Outpatient Pavilion</t>
        </is>
      </c>
      <c r="H1268" t="inlineStr">
        <is>
          <t>Endocrinology &amp; Diabetes Clinic</t>
        </is>
      </c>
      <c r="I1268" t="inlineStr">
        <is>
          <t>Ambulatory</t>
        </is>
      </c>
      <c r="J1268" t="inlineStr">
        <is>
          <t>Rivera, Scott</t>
        </is>
      </c>
      <c r="K1268" t="inlineStr">
        <is>
          <t>E11.65</t>
        </is>
      </c>
      <c r="L1268" t="inlineStr">
        <is>
          <t>Endocrine</t>
        </is>
      </c>
      <c r="M1268" t="inlineStr">
        <is>
          <t>Summit Choice PPO</t>
        </is>
      </c>
      <c r="N1268" t="inlineStr">
        <is>
          <t>Commercial</t>
        </is>
      </c>
      <c r="O1268" s="39" t="n">
        <v>316.78</v>
      </c>
    </row>
    <row r="1269">
      <c r="A1269" t="inlineStr">
        <is>
          <t>ENC117789</t>
        </is>
      </c>
      <c r="B1269" t="inlineStr">
        <is>
          <t>PT10665</t>
        </is>
      </c>
      <c r="C1269" s="42" t="n">
        <v>45889</v>
      </c>
      <c r="D1269" s="42" t="n">
        <v>45892</v>
      </c>
      <c r="E1269" s="38" t="n">
        <v>3</v>
      </c>
      <c r="F1269" t="inlineStr">
        <is>
          <t>Inpatient</t>
        </is>
      </c>
      <c r="G1269" t="inlineStr">
        <is>
          <t>Ashby Falls Community Hospital</t>
        </is>
      </c>
      <c r="H1269" t="inlineStr">
        <is>
          <t>Medical-Surgical</t>
        </is>
      </c>
      <c r="I1269" t="inlineStr">
        <is>
          <t>Medicine</t>
        </is>
      </c>
      <c r="J1269" t="inlineStr">
        <is>
          <t>Carroll, Philip</t>
        </is>
      </c>
      <c r="K1269" t="inlineStr">
        <is>
          <t>J18.9</t>
        </is>
      </c>
      <c r="L1269" t="inlineStr">
        <is>
          <t>Respiratory</t>
        </is>
      </c>
      <c r="M1269" t="inlineStr">
        <is>
          <t>Keystone Health Partners</t>
        </is>
      </c>
      <c r="N1269" t="inlineStr">
        <is>
          <t>Commercial</t>
        </is>
      </c>
      <c r="O1269" s="39" t="n">
        <v>20137.16</v>
      </c>
      <c r="P1269" t="inlineStr">
        <is>
          <t>N</t>
        </is>
      </c>
    </row>
    <row r="1270">
      <c r="A1270" t="inlineStr">
        <is>
          <t>ENC117800</t>
        </is>
      </c>
      <c r="B1270" t="inlineStr">
        <is>
          <t>PT10246</t>
        </is>
      </c>
      <c r="C1270" s="42" t="n">
        <v>45889</v>
      </c>
      <c r="D1270" s="42" t="n">
        <v>45889</v>
      </c>
      <c r="E1270" s="38" t="n">
        <v>0</v>
      </c>
      <c r="F1270" t="inlineStr">
        <is>
          <t>Outpatient</t>
        </is>
      </c>
      <c r="G1270" t="inlineStr">
        <is>
          <t>Bluestone Outpatient Pavilion</t>
        </is>
      </c>
      <c r="H1270" t="inlineStr">
        <is>
          <t>Cardiology Clinic</t>
        </is>
      </c>
      <c r="I1270" t="inlineStr">
        <is>
          <t>Cardiovascular</t>
        </is>
      </c>
      <c r="J1270" t="inlineStr">
        <is>
          <t>Gomez, Mateo</t>
        </is>
      </c>
      <c r="K1270" t="inlineStr">
        <is>
          <t>I48.91</t>
        </is>
      </c>
      <c r="L1270" t="inlineStr">
        <is>
          <t>Circulatory</t>
        </is>
      </c>
      <c r="M1270" t="inlineStr">
        <is>
          <t>Keystone Health Partners</t>
        </is>
      </c>
      <c r="N1270" t="inlineStr">
        <is>
          <t>Commercial</t>
        </is>
      </c>
      <c r="O1270" s="39" t="n">
        <v>314.43</v>
      </c>
    </row>
    <row r="1271">
      <c r="A1271" t="inlineStr">
        <is>
          <t>ENC117801</t>
        </is>
      </c>
      <c r="B1271" t="inlineStr">
        <is>
          <t>PT11727</t>
        </is>
      </c>
      <c r="C1271" s="42" t="n">
        <v>45889</v>
      </c>
      <c r="D1271" s="42" t="n">
        <v>45889</v>
      </c>
      <c r="E1271" s="38" t="n">
        <v>0</v>
      </c>
      <c r="F1271" t="inlineStr">
        <is>
          <t>Outpatient</t>
        </is>
      </c>
      <c r="G1271" t="inlineStr">
        <is>
          <t>Bluestone Outpatient Pavilion</t>
        </is>
      </c>
      <c r="H1271" t="inlineStr">
        <is>
          <t>Endocrinology &amp; Diabetes Clinic</t>
        </is>
      </c>
      <c r="I1271" t="inlineStr">
        <is>
          <t>Ambulatory</t>
        </is>
      </c>
      <c r="J1271" t="inlineStr">
        <is>
          <t>Woods, Larry</t>
        </is>
      </c>
      <c r="K1271" t="inlineStr">
        <is>
          <t>E11.9</t>
        </is>
      </c>
      <c r="L1271" t="inlineStr">
        <is>
          <t>Endocrine</t>
        </is>
      </c>
      <c r="M1271" t="inlineStr">
        <is>
          <t>Summit Choice PPO</t>
        </is>
      </c>
      <c r="N1271" t="inlineStr">
        <is>
          <t>Commercial</t>
        </is>
      </c>
      <c r="O1271" s="39" t="n">
        <v>278.57</v>
      </c>
    </row>
    <row r="1272">
      <c r="A1272" t="inlineStr">
        <is>
          <t>ENC117804</t>
        </is>
      </c>
      <c r="B1272" t="inlineStr">
        <is>
          <t>PT13375</t>
        </is>
      </c>
      <c r="C1272" s="42" t="n">
        <v>45889</v>
      </c>
      <c r="D1272" s="42" t="n">
        <v>45889</v>
      </c>
      <c r="E1272" s="38" t="n">
        <v>0</v>
      </c>
      <c r="F1272" t="inlineStr">
        <is>
          <t>Outpatient</t>
        </is>
      </c>
      <c r="G1272" t="inlineStr">
        <is>
          <t>Bluestone Outpatient Pavilion</t>
        </is>
      </c>
      <c r="H1272" t="inlineStr">
        <is>
          <t>Endocrinology &amp; Diabetes Clinic</t>
        </is>
      </c>
      <c r="I1272" t="inlineStr">
        <is>
          <t>Ambulatory</t>
        </is>
      </c>
      <c r="J1272" t="inlineStr">
        <is>
          <t>Lee, Amber</t>
        </is>
      </c>
      <c r="K1272" t="inlineStr">
        <is>
          <t>E11.65</t>
        </is>
      </c>
      <c r="L1272" t="inlineStr">
        <is>
          <t>Endocrine</t>
        </is>
      </c>
      <c r="M1272" t="inlineStr">
        <is>
          <t>Medicare</t>
        </is>
      </c>
      <c r="N1272" t="inlineStr">
        <is>
          <t>Government</t>
        </is>
      </c>
      <c r="O1272" s="39" t="n">
        <v>166.49</v>
      </c>
    </row>
    <row r="1273">
      <c r="A1273" t="inlineStr">
        <is>
          <t>ENC117813</t>
        </is>
      </c>
      <c r="B1273" t="inlineStr">
        <is>
          <t>PT10323</t>
        </is>
      </c>
      <c r="C1273" s="42" t="n">
        <v>45889</v>
      </c>
      <c r="D1273" s="42" t="n">
        <v>45889</v>
      </c>
      <c r="E1273" s="38" t="n">
        <v>0</v>
      </c>
      <c r="F1273" t="inlineStr">
        <is>
          <t>Emergency</t>
        </is>
      </c>
      <c r="G1273" t="inlineStr">
        <is>
          <t>Bluestone Memorial Hospital</t>
        </is>
      </c>
      <c r="H1273" t="inlineStr">
        <is>
          <t>Emergency Department</t>
        </is>
      </c>
      <c r="I1273" t="inlineStr">
        <is>
          <t>Emergency</t>
        </is>
      </c>
      <c r="J1273" t="inlineStr">
        <is>
          <t>Kowalski, James</t>
        </is>
      </c>
      <c r="K1273" t="inlineStr">
        <is>
          <t>H66.90</t>
        </is>
      </c>
      <c r="L1273" t="inlineStr">
        <is>
          <t>Ear</t>
        </is>
      </c>
      <c r="M1273" t="inlineStr">
        <is>
          <t>State Medicaid</t>
        </is>
      </c>
      <c r="N1273" t="inlineStr">
        <is>
          <t>Government</t>
        </is>
      </c>
      <c r="O1273" s="39" t="n">
        <v>815.92</v>
      </c>
    </row>
    <row r="1274">
      <c r="A1274" t="inlineStr">
        <is>
          <t>ENC117814</t>
        </is>
      </c>
      <c r="B1274" t="inlineStr">
        <is>
          <t>PT10969</t>
        </is>
      </c>
      <c r="C1274" s="42" t="n">
        <v>45890</v>
      </c>
      <c r="D1274" s="42" t="n">
        <v>45890</v>
      </c>
      <c r="E1274" s="38" t="n">
        <v>0</v>
      </c>
      <c r="F1274" t="inlineStr">
        <is>
          <t>Emergency</t>
        </is>
      </c>
      <c r="G1274" t="inlineStr">
        <is>
          <t>Bluestone Memorial Hospital</t>
        </is>
      </c>
      <c r="H1274" t="inlineStr">
        <is>
          <t>Emergency Department</t>
        </is>
      </c>
      <c r="I1274" t="inlineStr">
        <is>
          <t>Emergency</t>
        </is>
      </c>
      <c r="J1274" t="inlineStr">
        <is>
          <t>Cruz, Mia</t>
        </is>
      </c>
      <c r="K1274" t="inlineStr">
        <is>
          <t>S93.401A</t>
        </is>
      </c>
      <c r="L1274" t="inlineStr">
        <is>
          <t>Injury</t>
        </is>
      </c>
      <c r="M1274" t="inlineStr">
        <is>
          <t>State Medicaid</t>
        </is>
      </c>
      <c r="N1274" t="inlineStr">
        <is>
          <t>Government</t>
        </is>
      </c>
      <c r="O1274" s="39" t="n">
        <v>536.38</v>
      </c>
    </row>
    <row r="1275">
      <c r="A1275" t="inlineStr">
        <is>
          <t>ENC117815</t>
        </is>
      </c>
      <c r="B1275" t="inlineStr">
        <is>
          <t>PT11447</t>
        </is>
      </c>
      <c r="C1275" s="42" t="n">
        <v>45890</v>
      </c>
      <c r="D1275" s="42" t="n">
        <v>45891</v>
      </c>
      <c r="E1275" s="38" t="n">
        <v>1</v>
      </c>
      <c r="F1275" t="inlineStr">
        <is>
          <t>Inpatient</t>
        </is>
      </c>
      <c r="G1275" t="inlineStr">
        <is>
          <t>Bluestone Memorial Hospital</t>
        </is>
      </c>
      <c r="H1275" t="inlineStr">
        <is>
          <t>Labor &amp; Delivery</t>
        </is>
      </c>
      <c r="I1275" t="inlineStr">
        <is>
          <t>Women &amp; Children</t>
        </is>
      </c>
      <c r="J1275" t="inlineStr">
        <is>
          <t>Taylor, Lauren</t>
        </is>
      </c>
      <c r="K1275" t="inlineStr">
        <is>
          <t>O80</t>
        </is>
      </c>
      <c r="L1275" t="inlineStr">
        <is>
          <t>Pregnancy</t>
        </is>
      </c>
      <c r="M1275" t="inlineStr">
        <is>
          <t>Summit Choice PPO</t>
        </is>
      </c>
      <c r="N1275" t="inlineStr">
        <is>
          <t>Commercial</t>
        </is>
      </c>
      <c r="O1275" s="39" t="n">
        <v>18935.66</v>
      </c>
      <c r="P1275" t="inlineStr">
        <is>
          <t>N</t>
        </is>
      </c>
    </row>
    <row r="1276">
      <c r="A1276" t="inlineStr">
        <is>
          <t>ENC117816</t>
        </is>
      </c>
      <c r="B1276" t="inlineStr">
        <is>
          <t>PT12971</t>
        </is>
      </c>
      <c r="C1276" s="42" t="n">
        <v>45890</v>
      </c>
      <c r="D1276" s="42" t="n">
        <v>45890</v>
      </c>
      <c r="E1276" s="38" t="n">
        <v>0</v>
      </c>
      <c r="F1276" t="inlineStr">
        <is>
          <t>Emergency</t>
        </is>
      </c>
      <c r="G1276" t="inlineStr">
        <is>
          <t>Bluestone Memorial Hospital</t>
        </is>
      </c>
      <c r="H1276" t="inlineStr">
        <is>
          <t>Emergency Department</t>
        </is>
      </c>
      <c r="I1276" t="inlineStr">
        <is>
          <t>Emergency</t>
        </is>
      </c>
      <c r="J1276" t="inlineStr">
        <is>
          <t>Ferguson, Roy</t>
        </is>
      </c>
      <c r="K1276" t="inlineStr">
        <is>
          <t>A08.4</t>
        </is>
      </c>
      <c r="L1276" t="inlineStr">
        <is>
          <t>Infectious</t>
        </is>
      </c>
      <c r="M1276" t="inlineStr">
        <is>
          <t>Evergreen Mutual Insurance</t>
        </is>
      </c>
      <c r="N1276" t="inlineStr">
        <is>
          <t>Commercial</t>
        </is>
      </c>
      <c r="O1276" s="39" t="n">
        <v>1051.72</v>
      </c>
    </row>
    <row r="1277">
      <c r="A1277" t="inlineStr">
        <is>
          <t>ENC117817</t>
        </is>
      </c>
      <c r="B1277" t="inlineStr">
        <is>
          <t>PT12200</t>
        </is>
      </c>
      <c r="C1277" s="42" t="n">
        <v>45890</v>
      </c>
      <c r="D1277" s="42" t="n">
        <v>45890</v>
      </c>
      <c r="E1277" s="38" t="n">
        <v>0</v>
      </c>
      <c r="F1277" t="inlineStr">
        <is>
          <t>Outpatient</t>
        </is>
      </c>
      <c r="G1277" t="inlineStr">
        <is>
          <t>Bluestone Outpatient Pavilion</t>
        </is>
      </c>
      <c r="H1277" t="inlineStr">
        <is>
          <t>Infusion &amp; Oncology Clinic</t>
        </is>
      </c>
      <c r="I1277" t="inlineStr">
        <is>
          <t>Oncology</t>
        </is>
      </c>
      <c r="J1277" t="inlineStr">
        <is>
          <t>Long, Fatima</t>
        </is>
      </c>
      <c r="K1277" t="inlineStr">
        <is>
          <t>Z51.11</t>
        </is>
      </c>
      <c r="L1277" t="inlineStr">
        <is>
          <t>Factors Influencing Health</t>
        </is>
      </c>
      <c r="M1277" t="inlineStr">
        <is>
          <t>State Medicaid</t>
        </is>
      </c>
      <c r="N1277" t="inlineStr">
        <is>
          <t>Government</t>
        </is>
      </c>
      <c r="O1277" s="39" t="n">
        <v>9106.889999999999</v>
      </c>
    </row>
    <row r="1278">
      <c r="A1278" t="inlineStr">
        <is>
          <t>ENC117830</t>
        </is>
      </c>
      <c r="B1278" t="inlineStr">
        <is>
          <t>PT12280</t>
        </is>
      </c>
      <c r="C1278" s="42" t="n">
        <v>45890</v>
      </c>
      <c r="D1278" s="42" t="n">
        <v>45890</v>
      </c>
      <c r="E1278" s="38" t="n">
        <v>0</v>
      </c>
      <c r="F1278" t="inlineStr">
        <is>
          <t>Outpatient</t>
        </is>
      </c>
      <c r="G1278" t="inlineStr">
        <is>
          <t>Bluestone Outpatient Pavilion</t>
        </is>
      </c>
      <c r="H1278" t="inlineStr">
        <is>
          <t>Endocrinology &amp; Diabetes Clinic</t>
        </is>
      </c>
      <c r="I1278" t="inlineStr">
        <is>
          <t>Ambulatory</t>
        </is>
      </c>
      <c r="J1278" t="inlineStr">
        <is>
          <t>Woods, Larry</t>
        </is>
      </c>
      <c r="K1278" t="inlineStr">
        <is>
          <t>E11.65</t>
        </is>
      </c>
      <c r="L1278" t="inlineStr">
        <is>
          <t>Endocrine</t>
        </is>
      </c>
      <c r="M1278" t="inlineStr">
        <is>
          <t>Self-Pay</t>
        </is>
      </c>
      <c r="N1278" t="inlineStr">
        <is>
          <t>Self-Pay</t>
        </is>
      </c>
      <c r="O1278" s="39" t="n">
        <v>269.88</v>
      </c>
    </row>
    <row r="1279">
      <c r="A1279" t="inlineStr">
        <is>
          <t>ENC117838</t>
        </is>
      </c>
      <c r="B1279" t="inlineStr">
        <is>
          <t>PT11443</t>
        </is>
      </c>
      <c r="C1279" s="42" t="n">
        <v>45890</v>
      </c>
      <c r="D1279" s="42" t="n">
        <v>45890</v>
      </c>
      <c r="E1279" s="38" t="n">
        <v>0</v>
      </c>
      <c r="F1279" t="inlineStr">
        <is>
          <t>Emergency</t>
        </is>
      </c>
      <c r="G1279" t="inlineStr">
        <is>
          <t>Cedar Ridge Medical Center</t>
        </is>
      </c>
      <c r="H1279" t="inlineStr">
        <is>
          <t>Emergency Department</t>
        </is>
      </c>
      <c r="I1279" t="inlineStr">
        <is>
          <t>Emergency</t>
        </is>
      </c>
      <c r="J1279" t="inlineStr">
        <is>
          <t>Henry, Brenda</t>
        </is>
      </c>
      <c r="K1279" t="inlineStr">
        <is>
          <t>E86.0</t>
        </is>
      </c>
      <c r="L1279" t="inlineStr">
        <is>
          <t>Endocrine</t>
        </is>
      </c>
      <c r="M1279" t="inlineStr">
        <is>
          <t>State Medicaid</t>
        </is>
      </c>
      <c r="N1279" t="inlineStr">
        <is>
          <t>Government</t>
        </is>
      </c>
      <c r="O1279" s="39" t="n">
        <v>2752.04</v>
      </c>
    </row>
    <row r="1280">
      <c r="A1280" t="inlineStr">
        <is>
          <t>ENC117848</t>
        </is>
      </c>
      <c r="B1280" t="inlineStr">
        <is>
          <t>PT13407</t>
        </is>
      </c>
      <c r="C1280" s="42" t="n">
        <v>45891</v>
      </c>
      <c r="D1280" s="42" t="n">
        <v>45901</v>
      </c>
      <c r="E1280" s="38" t="n">
        <v>10</v>
      </c>
      <c r="F1280" t="inlineStr">
        <is>
          <t>Inpatient</t>
        </is>
      </c>
      <c r="G1280" t="inlineStr">
        <is>
          <t>Bluestone Memorial Hospital</t>
        </is>
      </c>
      <c r="H1280" t="inlineStr">
        <is>
          <t>Neuroscience &amp; Stroke</t>
        </is>
      </c>
      <c r="I1280" t="inlineStr">
        <is>
          <t>Neuroscience</t>
        </is>
      </c>
      <c r="J1280" t="inlineStr">
        <is>
          <t>Abbott, Isabella</t>
        </is>
      </c>
      <c r="K1280" t="inlineStr">
        <is>
          <t>I63.9</t>
        </is>
      </c>
      <c r="L1280" t="inlineStr">
        <is>
          <t>Circulatory</t>
        </is>
      </c>
      <c r="M1280" t="inlineStr">
        <is>
          <t>Medicare</t>
        </is>
      </c>
      <c r="N1280" t="inlineStr">
        <is>
          <t>Government</t>
        </is>
      </c>
      <c r="O1280" s="39" t="n">
        <v>59721.07</v>
      </c>
      <c r="P1280" t="inlineStr">
        <is>
          <t>N</t>
        </is>
      </c>
    </row>
    <row r="1281">
      <c r="A1281" t="inlineStr">
        <is>
          <t>ENC117873</t>
        </is>
      </c>
      <c r="B1281" t="inlineStr">
        <is>
          <t>PT12081</t>
        </is>
      </c>
      <c r="C1281" s="42" t="n">
        <v>45891</v>
      </c>
      <c r="D1281" s="42" t="n">
        <v>45893</v>
      </c>
      <c r="E1281" s="38" t="n">
        <v>2</v>
      </c>
      <c r="F1281" t="inlineStr">
        <is>
          <t>Inpatient</t>
        </is>
      </c>
      <c r="G1281" t="inlineStr">
        <is>
          <t>Cedar Ridge Medical Center</t>
        </is>
      </c>
      <c r="H1281" t="inlineStr">
        <is>
          <t>Medical-Surgical</t>
        </is>
      </c>
      <c r="I1281" t="inlineStr">
        <is>
          <t>Medicine</t>
        </is>
      </c>
      <c r="J1281" t="inlineStr">
        <is>
          <t>Peters, Frank</t>
        </is>
      </c>
      <c r="K1281" t="inlineStr">
        <is>
          <t>K92.2</t>
        </is>
      </c>
      <c r="L1281" t="inlineStr">
        <is>
          <t>Digestive</t>
        </is>
      </c>
      <c r="M1281" t="inlineStr">
        <is>
          <t>Medicare</t>
        </is>
      </c>
      <c r="N1281" t="inlineStr">
        <is>
          <t>Government</t>
        </is>
      </c>
      <c r="O1281" s="39" t="n">
        <v>9651.33</v>
      </c>
      <c r="P1281" t="inlineStr">
        <is>
          <t>Y</t>
        </is>
      </c>
    </row>
    <row r="1282">
      <c r="A1282" t="inlineStr">
        <is>
          <t>ENC117879</t>
        </is>
      </c>
      <c r="B1282" t="inlineStr">
        <is>
          <t>PT11194</t>
        </is>
      </c>
      <c r="C1282" s="42" t="n">
        <v>45891</v>
      </c>
      <c r="D1282" s="42" t="n">
        <v>45892</v>
      </c>
      <c r="E1282" s="38" t="n">
        <v>1</v>
      </c>
      <c r="F1282" t="inlineStr">
        <is>
          <t>Emergency</t>
        </is>
      </c>
      <c r="G1282" t="inlineStr">
        <is>
          <t>Cedar Ridge Medical Center</t>
        </is>
      </c>
      <c r="H1282" t="inlineStr">
        <is>
          <t>Emergency Department</t>
        </is>
      </c>
      <c r="I1282" t="inlineStr">
        <is>
          <t>Emergency</t>
        </is>
      </c>
      <c r="J1282" t="inlineStr">
        <is>
          <t>Andrews, Michael</t>
        </is>
      </c>
      <c r="K1282" t="inlineStr">
        <is>
          <t>R10.9</t>
        </is>
      </c>
      <c r="L1282" t="inlineStr">
        <is>
          <t>Symptoms &amp; Signs</t>
        </is>
      </c>
      <c r="M1282" t="inlineStr">
        <is>
          <t>Medicare</t>
        </is>
      </c>
      <c r="N1282" t="inlineStr">
        <is>
          <t>Government</t>
        </is>
      </c>
      <c r="O1282" s="39" t="n">
        <v>3417.1</v>
      </c>
    </row>
    <row r="1283">
      <c r="A1283" t="inlineStr">
        <is>
          <t>ENC117890</t>
        </is>
      </c>
      <c r="B1283" t="inlineStr">
        <is>
          <t>PT12973</t>
        </is>
      </c>
      <c r="C1283" s="42" t="n">
        <v>45892</v>
      </c>
      <c r="D1283" s="42" t="n">
        <v>45892</v>
      </c>
      <c r="E1283" s="38" t="n">
        <v>0</v>
      </c>
      <c r="F1283" t="inlineStr">
        <is>
          <t>Emergency</t>
        </is>
      </c>
      <c r="G1283" t="inlineStr">
        <is>
          <t>Bluestone Memorial Hospital</t>
        </is>
      </c>
      <c r="H1283" t="inlineStr">
        <is>
          <t>Emergency Department</t>
        </is>
      </c>
      <c r="I1283" t="inlineStr">
        <is>
          <t>Emergency</t>
        </is>
      </c>
      <c r="J1283" t="inlineStr">
        <is>
          <t>Mendoza, Alexander</t>
        </is>
      </c>
      <c r="K1283" t="inlineStr">
        <is>
          <t>E86.0</t>
        </is>
      </c>
      <c r="L1283" t="inlineStr">
        <is>
          <t>Endocrine</t>
        </is>
      </c>
      <c r="M1283" t="inlineStr">
        <is>
          <t>Silverline Medicare Advantage</t>
        </is>
      </c>
      <c r="N1283" t="inlineStr">
        <is>
          <t>Medicare Advantage</t>
        </is>
      </c>
      <c r="O1283" s="39" t="n">
        <v>2216.13</v>
      </c>
    </row>
    <row r="1284">
      <c r="A1284" t="inlineStr">
        <is>
          <t>ENC117895</t>
        </is>
      </c>
      <c r="B1284" t="inlineStr">
        <is>
          <t>PT10410</t>
        </is>
      </c>
      <c r="C1284" s="42" t="n">
        <v>45892</v>
      </c>
      <c r="D1284" s="42" t="n">
        <v>45892</v>
      </c>
      <c r="E1284" s="38" t="n">
        <v>0</v>
      </c>
      <c r="F1284" t="inlineStr">
        <is>
          <t>Emergency</t>
        </is>
      </c>
      <c r="G1284" t="inlineStr">
        <is>
          <t>Bluestone Memorial Hospital</t>
        </is>
      </c>
      <c r="H1284" t="inlineStr">
        <is>
          <t>Emergency Department</t>
        </is>
      </c>
      <c r="I1284" t="inlineStr">
        <is>
          <t>Emergency</t>
        </is>
      </c>
      <c r="J1284" t="inlineStr">
        <is>
          <t>Gonzales, Mia</t>
        </is>
      </c>
      <c r="K1284" t="inlineStr">
        <is>
          <t>R07.9</t>
        </is>
      </c>
      <c r="L1284" t="inlineStr">
        <is>
          <t>Symptoms &amp; Signs</t>
        </is>
      </c>
      <c r="M1284" t="inlineStr">
        <is>
          <t>Medicare</t>
        </is>
      </c>
      <c r="N1284" t="inlineStr">
        <is>
          <t>Government</t>
        </is>
      </c>
      <c r="O1284" s="39" t="n">
        <v>3615.52</v>
      </c>
    </row>
    <row r="1285">
      <c r="A1285" t="inlineStr">
        <is>
          <t>ENC117898</t>
        </is>
      </c>
      <c r="B1285" t="inlineStr">
        <is>
          <t>PT13494</t>
        </is>
      </c>
      <c r="C1285" s="42" t="n">
        <v>45893</v>
      </c>
      <c r="D1285" s="42" t="n">
        <v>45893</v>
      </c>
      <c r="E1285" s="38" t="n">
        <v>0</v>
      </c>
      <c r="F1285" t="inlineStr">
        <is>
          <t>Emergency</t>
        </is>
      </c>
      <c r="G1285" t="inlineStr">
        <is>
          <t>Bluestone Memorial Hospital</t>
        </is>
      </c>
      <c r="H1285" t="inlineStr">
        <is>
          <t>Emergency Department</t>
        </is>
      </c>
      <c r="I1285" t="inlineStr">
        <is>
          <t>Emergency</t>
        </is>
      </c>
      <c r="J1285" t="inlineStr">
        <is>
          <t>Ferguson, Roy</t>
        </is>
      </c>
      <c r="K1285" t="inlineStr">
        <is>
          <t>E86.0</t>
        </is>
      </c>
      <c r="L1285" t="inlineStr">
        <is>
          <t>Endocrine</t>
        </is>
      </c>
      <c r="M1285" t="inlineStr">
        <is>
          <t>Silverline Medicare Advantage</t>
        </is>
      </c>
      <c r="N1285" t="inlineStr">
        <is>
          <t>Medicare Advantage</t>
        </is>
      </c>
      <c r="O1285" s="39" t="n">
        <v>1346.78</v>
      </c>
    </row>
    <row r="1286">
      <c r="A1286" t="inlineStr">
        <is>
          <t>ENC117899</t>
        </is>
      </c>
      <c r="B1286" t="inlineStr">
        <is>
          <t>PT11218</t>
        </is>
      </c>
      <c r="C1286" s="42" t="n">
        <v>45893</v>
      </c>
      <c r="D1286" s="42" t="n">
        <v>45893</v>
      </c>
      <c r="E1286" s="38" t="n">
        <v>0</v>
      </c>
      <c r="F1286" t="inlineStr">
        <is>
          <t>Emergency</t>
        </is>
      </c>
      <c r="G1286" t="inlineStr">
        <is>
          <t>Bluestone Memorial Hospital</t>
        </is>
      </c>
      <c r="H1286" t="inlineStr">
        <is>
          <t>Emergency Department</t>
        </is>
      </c>
      <c r="I1286" t="inlineStr">
        <is>
          <t>Emergency</t>
        </is>
      </c>
      <c r="J1286" t="inlineStr">
        <is>
          <t>Foster, Patrick</t>
        </is>
      </c>
      <c r="K1286" t="inlineStr">
        <is>
          <t>N39.0</t>
        </is>
      </c>
      <c r="L1286" t="inlineStr">
        <is>
          <t>Genitourinary</t>
        </is>
      </c>
      <c r="M1286" t="inlineStr">
        <is>
          <t>Keystone Health Partners</t>
        </is>
      </c>
      <c r="N1286" t="inlineStr">
        <is>
          <t>Commercial</t>
        </is>
      </c>
      <c r="O1286" s="39" t="n">
        <v>1105.21</v>
      </c>
    </row>
    <row r="1287">
      <c r="A1287" t="inlineStr">
        <is>
          <t>ENC117904</t>
        </is>
      </c>
      <c r="B1287" t="inlineStr">
        <is>
          <t>PT11105</t>
        </is>
      </c>
      <c r="C1287" s="42" t="n">
        <v>45893</v>
      </c>
      <c r="D1287" s="42" t="n">
        <v>45893</v>
      </c>
      <c r="E1287" s="38" t="n">
        <v>0</v>
      </c>
      <c r="F1287" t="inlineStr">
        <is>
          <t>Emergency</t>
        </is>
      </c>
      <c r="G1287" t="inlineStr">
        <is>
          <t>Ashby Falls Community Hospital</t>
        </is>
      </c>
      <c r="H1287" t="inlineStr">
        <is>
          <t>Emergency Department</t>
        </is>
      </c>
      <c r="I1287" t="inlineStr">
        <is>
          <t>Emergency</t>
        </is>
      </c>
      <c r="J1287" t="inlineStr">
        <is>
          <t>Collins, Frank</t>
        </is>
      </c>
      <c r="K1287" t="inlineStr">
        <is>
          <t>M54.50</t>
        </is>
      </c>
      <c r="L1287" t="inlineStr">
        <is>
          <t>Musculoskeletal</t>
        </is>
      </c>
      <c r="M1287" t="inlineStr">
        <is>
          <t>Silverline Medicare Advantage</t>
        </is>
      </c>
      <c r="N1287" t="inlineStr">
        <is>
          <t>Medicare Advantage</t>
        </is>
      </c>
      <c r="O1287" s="39" t="n">
        <v>1463.43</v>
      </c>
    </row>
    <row r="1288">
      <c r="A1288" t="inlineStr">
        <is>
          <t>ENC117907</t>
        </is>
      </c>
      <c r="B1288" t="inlineStr">
        <is>
          <t>PT11010</t>
        </is>
      </c>
      <c r="C1288" s="42" t="n">
        <v>45893</v>
      </c>
      <c r="D1288" s="42" t="n">
        <v>45894</v>
      </c>
      <c r="E1288" s="38" t="n">
        <v>1</v>
      </c>
      <c r="F1288" t="inlineStr">
        <is>
          <t>Observation</t>
        </is>
      </c>
      <c r="G1288" t="inlineStr">
        <is>
          <t>Ashby Falls Community Hospital</t>
        </is>
      </c>
      <c r="H1288" t="inlineStr">
        <is>
          <t>Medical-Surgical</t>
        </is>
      </c>
      <c r="I1288" t="inlineStr">
        <is>
          <t>Medicine</t>
        </is>
      </c>
      <c r="J1288" t="inlineStr">
        <is>
          <t>Carter, Karen</t>
        </is>
      </c>
      <c r="K1288" t="inlineStr">
        <is>
          <t>U07.1</t>
        </is>
      </c>
      <c r="L1288" t="inlineStr">
        <is>
          <t>Respiratory</t>
        </is>
      </c>
      <c r="M1288" t="inlineStr">
        <is>
          <t>Keystone Health Partners</t>
        </is>
      </c>
      <c r="N1288" t="inlineStr">
        <is>
          <t>Commercial</t>
        </is>
      </c>
      <c r="O1288" s="39" t="n">
        <v>5934.84</v>
      </c>
    </row>
    <row r="1289">
      <c r="A1289" t="inlineStr">
        <is>
          <t>ENC117911</t>
        </is>
      </c>
      <c r="B1289" t="inlineStr">
        <is>
          <t>PT12363</t>
        </is>
      </c>
      <c r="C1289" s="42" t="n">
        <v>45894</v>
      </c>
      <c r="D1289" s="42" t="n">
        <v>45894</v>
      </c>
      <c r="E1289" s="38" t="n">
        <v>0</v>
      </c>
      <c r="F1289" t="inlineStr">
        <is>
          <t>Emergency</t>
        </is>
      </c>
      <c r="G1289" t="inlineStr">
        <is>
          <t>Bluestone Memorial Hospital</t>
        </is>
      </c>
      <c r="H1289" t="inlineStr">
        <is>
          <t>Emergency Department</t>
        </is>
      </c>
      <c r="I1289" t="inlineStr">
        <is>
          <t>Emergency</t>
        </is>
      </c>
      <c r="J1289" t="inlineStr">
        <is>
          <t>Foster, Patrick</t>
        </is>
      </c>
      <c r="K1289" t="inlineStr">
        <is>
          <t>H66.90</t>
        </is>
      </c>
      <c r="L1289" t="inlineStr">
        <is>
          <t>Ear</t>
        </is>
      </c>
      <c r="M1289" t="inlineStr">
        <is>
          <t>Keystone Health Partners</t>
        </is>
      </c>
      <c r="N1289" t="inlineStr">
        <is>
          <t>Commercial</t>
        </is>
      </c>
      <c r="O1289" s="39" t="n">
        <v>995.14</v>
      </c>
    </row>
    <row r="1290">
      <c r="A1290" t="inlineStr">
        <is>
          <t>ENC117912</t>
        </is>
      </c>
      <c r="B1290" t="inlineStr">
        <is>
          <t>PT13691</t>
        </is>
      </c>
      <c r="C1290" s="42" t="n">
        <v>45894</v>
      </c>
      <c r="D1290" s="42" t="n">
        <v>45897</v>
      </c>
      <c r="E1290" s="38" t="n">
        <v>3</v>
      </c>
      <c r="F1290" t="inlineStr">
        <is>
          <t>Inpatient</t>
        </is>
      </c>
      <c r="G1290" t="inlineStr">
        <is>
          <t>Ashby Falls Community Hospital</t>
        </is>
      </c>
      <c r="H1290" t="inlineStr">
        <is>
          <t>Medical-Surgical</t>
        </is>
      </c>
      <c r="I1290" t="inlineStr">
        <is>
          <t>Medicine</t>
        </is>
      </c>
      <c r="J1290" t="inlineStr">
        <is>
          <t>Murray, Stephanie</t>
        </is>
      </c>
      <c r="K1290" t="inlineStr">
        <is>
          <t>R55</t>
        </is>
      </c>
      <c r="L1290" t="inlineStr">
        <is>
          <t>Symptoms &amp; Signs</t>
        </is>
      </c>
      <c r="M1290" t="inlineStr">
        <is>
          <t>Medicare</t>
        </is>
      </c>
      <c r="N1290" t="inlineStr">
        <is>
          <t>Government</t>
        </is>
      </c>
      <c r="O1290" s="39" t="n">
        <v>14335.59</v>
      </c>
      <c r="P1290" t="inlineStr">
        <is>
          <t>N</t>
        </is>
      </c>
    </row>
    <row r="1291">
      <c r="A1291" t="inlineStr">
        <is>
          <t>ENC117930</t>
        </is>
      </c>
      <c r="B1291" t="inlineStr">
        <is>
          <t>PT10984</t>
        </is>
      </c>
      <c r="C1291" s="42" t="n">
        <v>45894</v>
      </c>
      <c r="D1291" s="42" t="n">
        <v>45894</v>
      </c>
      <c r="E1291" s="38" t="n">
        <v>0</v>
      </c>
      <c r="F1291" t="inlineStr">
        <is>
          <t>Outpatient</t>
        </is>
      </c>
      <c r="G1291" t="inlineStr">
        <is>
          <t>Bluestone Outpatient Pavilion</t>
        </is>
      </c>
      <c r="H1291" t="inlineStr">
        <is>
          <t>Endocrinology &amp; Diabetes Clinic</t>
        </is>
      </c>
      <c r="I1291" t="inlineStr">
        <is>
          <t>Ambulatory</t>
        </is>
      </c>
      <c r="J1291" t="inlineStr">
        <is>
          <t>Woods, Larry</t>
        </is>
      </c>
      <c r="K1291" t="inlineStr">
        <is>
          <t>E11.65</t>
        </is>
      </c>
      <c r="L1291" t="inlineStr">
        <is>
          <t>Endocrine</t>
        </is>
      </c>
      <c r="M1291" t="inlineStr">
        <is>
          <t>Silverline Medicare Advantage</t>
        </is>
      </c>
      <c r="N1291" t="inlineStr">
        <is>
          <t>Medicare Advantage</t>
        </is>
      </c>
      <c r="O1291" s="39" t="n">
        <v>395.61</v>
      </c>
    </row>
    <row r="1292">
      <c r="A1292" t="inlineStr">
        <is>
          <t>ENC117933</t>
        </is>
      </c>
      <c r="B1292" t="inlineStr">
        <is>
          <t>PT11270</t>
        </is>
      </c>
      <c r="C1292" s="42" t="n">
        <v>45894</v>
      </c>
      <c r="D1292" s="42" t="n">
        <v>45894</v>
      </c>
      <c r="E1292" s="38" t="n">
        <v>0</v>
      </c>
      <c r="F1292" t="inlineStr">
        <is>
          <t>Emergency</t>
        </is>
      </c>
      <c r="G1292" t="inlineStr">
        <is>
          <t>Bluestone Memorial Hospital</t>
        </is>
      </c>
      <c r="H1292" t="inlineStr">
        <is>
          <t>Emergency Department</t>
        </is>
      </c>
      <c r="I1292" t="inlineStr">
        <is>
          <t>Emergency</t>
        </is>
      </c>
      <c r="J1292" t="inlineStr">
        <is>
          <t>Foster, Patrick</t>
        </is>
      </c>
      <c r="K1292" t="inlineStr">
        <is>
          <t>J06.9</t>
        </is>
      </c>
      <c r="L1292" t="inlineStr">
        <is>
          <t>Respiratory</t>
        </is>
      </c>
      <c r="M1292" t="inlineStr">
        <is>
          <t>Medicare</t>
        </is>
      </c>
      <c r="N1292" t="inlineStr">
        <is>
          <t>Government</t>
        </is>
      </c>
      <c r="O1292" s="39" t="n">
        <v>761.08</v>
      </c>
    </row>
    <row r="1293">
      <c r="A1293" t="inlineStr">
        <is>
          <t>ENC117934</t>
        </is>
      </c>
      <c r="B1293" t="inlineStr">
        <is>
          <t>PT13824</t>
        </is>
      </c>
      <c r="C1293" s="42" t="n">
        <v>45894</v>
      </c>
      <c r="D1293" s="42" t="n">
        <v>45894</v>
      </c>
      <c r="E1293" s="38" t="n">
        <v>0</v>
      </c>
      <c r="F1293" t="inlineStr">
        <is>
          <t>Emergency</t>
        </is>
      </c>
      <c r="G1293" t="inlineStr">
        <is>
          <t>Bluestone Memorial Hospital</t>
        </is>
      </c>
      <c r="H1293" t="inlineStr">
        <is>
          <t>Emergency Department</t>
        </is>
      </c>
      <c r="I1293" t="inlineStr">
        <is>
          <t>Emergency</t>
        </is>
      </c>
      <c r="J1293" t="inlineStr">
        <is>
          <t>Jordan, Wayne</t>
        </is>
      </c>
      <c r="K1293" t="inlineStr">
        <is>
          <t>R10.9</t>
        </is>
      </c>
      <c r="L1293" t="inlineStr">
        <is>
          <t>Symptoms &amp; Signs</t>
        </is>
      </c>
      <c r="M1293" t="inlineStr">
        <is>
          <t>Medicare</t>
        </is>
      </c>
      <c r="N1293" t="inlineStr">
        <is>
          <t>Government</t>
        </is>
      </c>
      <c r="O1293" s="39" t="n">
        <v>1062.71</v>
      </c>
    </row>
    <row r="1294">
      <c r="A1294" t="inlineStr">
        <is>
          <t>ENC117939</t>
        </is>
      </c>
      <c r="B1294" t="inlineStr">
        <is>
          <t>PT11384</t>
        </is>
      </c>
      <c r="C1294" s="42" t="n">
        <v>45894</v>
      </c>
      <c r="D1294" s="42" t="n">
        <v>45894</v>
      </c>
      <c r="E1294" s="38" t="n">
        <v>0</v>
      </c>
      <c r="F1294" t="inlineStr">
        <is>
          <t>Outpatient</t>
        </is>
      </c>
      <c r="G1294" t="inlineStr">
        <is>
          <t>Bluestone Outpatient Pavilion</t>
        </is>
      </c>
      <c r="H1294" t="inlineStr">
        <is>
          <t>Pediatric Clinic</t>
        </is>
      </c>
      <c r="I1294" t="inlineStr">
        <is>
          <t>Women &amp; Children</t>
        </is>
      </c>
      <c r="J1294" t="inlineStr">
        <is>
          <t>Wallace, Kevin</t>
        </is>
      </c>
      <c r="K1294" t="inlineStr">
        <is>
          <t>Z00.129</t>
        </is>
      </c>
      <c r="L1294" t="inlineStr">
        <is>
          <t>Factors Influencing Health</t>
        </is>
      </c>
      <c r="M1294" t="inlineStr">
        <is>
          <t>State Medicaid</t>
        </is>
      </c>
      <c r="N1294" t="inlineStr">
        <is>
          <t>Government</t>
        </is>
      </c>
      <c r="O1294" s="39" t="n">
        <v>376.28</v>
      </c>
    </row>
    <row r="1295">
      <c r="A1295" t="inlineStr">
        <is>
          <t>ENC117944</t>
        </is>
      </c>
      <c r="B1295" t="inlineStr">
        <is>
          <t>PT11491</t>
        </is>
      </c>
      <c r="C1295" s="42" t="n">
        <v>45894</v>
      </c>
      <c r="D1295" s="42" t="n">
        <v>45894</v>
      </c>
      <c r="E1295" s="38" t="n">
        <v>0</v>
      </c>
      <c r="F1295" t="inlineStr">
        <is>
          <t>Emergency</t>
        </is>
      </c>
      <c r="G1295" t="inlineStr">
        <is>
          <t>Bluestone Memorial Hospital</t>
        </is>
      </c>
      <c r="H1295" t="inlineStr">
        <is>
          <t>Emergency Department</t>
        </is>
      </c>
      <c r="I1295" t="inlineStr">
        <is>
          <t>Emergency</t>
        </is>
      </c>
      <c r="J1295" t="inlineStr">
        <is>
          <t>Cruz, Mia</t>
        </is>
      </c>
      <c r="K1295" t="inlineStr">
        <is>
          <t>A08.4</t>
        </is>
      </c>
      <c r="L1295" t="inlineStr">
        <is>
          <t>Infectious</t>
        </is>
      </c>
      <c r="M1295" t="inlineStr">
        <is>
          <t>Keystone Health Partners</t>
        </is>
      </c>
      <c r="N1295" t="inlineStr">
        <is>
          <t>Commercial</t>
        </is>
      </c>
      <c r="O1295" s="39" t="n">
        <v>869.4299999999999</v>
      </c>
    </row>
    <row r="1296">
      <c r="A1296" t="inlineStr">
        <is>
          <t>ENC117938</t>
        </is>
      </c>
      <c r="B1296" t="inlineStr">
        <is>
          <t>PT12862</t>
        </is>
      </c>
      <c r="C1296" s="42" t="n">
        <v>45894</v>
      </c>
      <c r="D1296" s="42" t="n">
        <v>45900</v>
      </c>
      <c r="E1296" s="38" t="n">
        <v>6</v>
      </c>
      <c r="F1296" t="inlineStr">
        <is>
          <t>Inpatient</t>
        </is>
      </c>
      <c r="G1296" t="inlineStr">
        <is>
          <t>Bluestone Memorial Hospital</t>
        </is>
      </c>
      <c r="H1296" t="inlineStr">
        <is>
          <t>Cardiac Step-Down</t>
        </is>
      </c>
      <c r="I1296" t="inlineStr">
        <is>
          <t>Cardiovascular</t>
        </is>
      </c>
      <c r="J1296" t="inlineStr">
        <is>
          <t>Cox, Judith</t>
        </is>
      </c>
      <c r="K1296" t="inlineStr">
        <is>
          <t>I50.9</t>
        </is>
      </c>
      <c r="L1296" t="inlineStr">
        <is>
          <t>Circulatory</t>
        </is>
      </c>
      <c r="M1296" t="inlineStr">
        <is>
          <t>Silverline Medicare Advantage</t>
        </is>
      </c>
      <c r="N1296" t="inlineStr">
        <is>
          <t>Medicare Advantage</t>
        </is>
      </c>
      <c r="O1296" s="39" t="n">
        <v>30370.01</v>
      </c>
      <c r="P1296" t="inlineStr">
        <is>
          <t>N</t>
        </is>
      </c>
    </row>
    <row r="1297">
      <c r="A1297" t="inlineStr">
        <is>
          <t>ENC117941</t>
        </is>
      </c>
      <c r="B1297" t="inlineStr">
        <is>
          <t>PT12571</t>
        </is>
      </c>
      <c r="C1297" s="42" t="n">
        <v>45894</v>
      </c>
      <c r="D1297" s="42" t="n">
        <v>45896</v>
      </c>
      <c r="E1297" s="38" t="n">
        <v>2</v>
      </c>
      <c r="F1297" t="inlineStr">
        <is>
          <t>Observation</t>
        </is>
      </c>
      <c r="G1297" t="inlineStr">
        <is>
          <t>Ashby Falls Community Hospital</t>
        </is>
      </c>
      <c r="H1297" t="inlineStr">
        <is>
          <t>Medical-Surgical</t>
        </is>
      </c>
      <c r="I1297" t="inlineStr">
        <is>
          <t>Medicine</t>
        </is>
      </c>
      <c r="J1297" t="inlineStr">
        <is>
          <t>Murray, Stephanie</t>
        </is>
      </c>
      <c r="K1297" t="inlineStr">
        <is>
          <t>R07.9</t>
        </is>
      </c>
      <c r="L1297" t="inlineStr">
        <is>
          <t>Symptoms &amp; Signs</t>
        </is>
      </c>
      <c r="M1297" t="inlineStr">
        <is>
          <t>Evergreen Mutual Insurance</t>
        </is>
      </c>
      <c r="N1297" t="inlineStr">
        <is>
          <t>Commercial</t>
        </is>
      </c>
      <c r="O1297" s="39" t="n">
        <v>9734</v>
      </c>
    </row>
    <row r="1298">
      <c r="A1298" t="inlineStr">
        <is>
          <t>ENC117947</t>
        </is>
      </c>
      <c r="B1298" t="inlineStr">
        <is>
          <t>PT11902</t>
        </is>
      </c>
      <c r="C1298" s="42" t="n">
        <v>45894</v>
      </c>
      <c r="D1298" s="42" t="n">
        <v>45895</v>
      </c>
      <c r="E1298" s="38" t="n">
        <v>1</v>
      </c>
      <c r="F1298" t="inlineStr">
        <is>
          <t>Emergency</t>
        </is>
      </c>
      <c r="G1298" t="inlineStr">
        <is>
          <t>Cedar Ridge Medical Center</t>
        </is>
      </c>
      <c r="H1298" t="inlineStr">
        <is>
          <t>Emergency Department</t>
        </is>
      </c>
      <c r="I1298" t="inlineStr">
        <is>
          <t>Emergency</t>
        </is>
      </c>
      <c r="J1298" t="inlineStr">
        <is>
          <t>Pena, Wayne</t>
        </is>
      </c>
      <c r="K1298" t="inlineStr">
        <is>
          <t>I48.91</t>
        </is>
      </c>
      <c r="L1298" t="inlineStr">
        <is>
          <t>Circulatory</t>
        </is>
      </c>
      <c r="M1298" t="inlineStr">
        <is>
          <t>Medicare</t>
        </is>
      </c>
      <c r="N1298" t="inlineStr">
        <is>
          <t>Government</t>
        </is>
      </c>
      <c r="O1298" s="39" t="n">
        <v>4521.7</v>
      </c>
    </row>
    <row r="1299">
      <c r="A1299" t="inlineStr">
        <is>
          <t>ENC117954</t>
        </is>
      </c>
      <c r="B1299" t="inlineStr">
        <is>
          <t>PT10968</t>
        </is>
      </c>
      <c r="C1299" s="42" t="n">
        <v>45895</v>
      </c>
      <c r="D1299" s="42" t="n">
        <v>45900</v>
      </c>
      <c r="E1299" s="38" t="n">
        <v>5</v>
      </c>
      <c r="F1299" t="inlineStr">
        <is>
          <t>Inpatient</t>
        </is>
      </c>
      <c r="G1299" t="inlineStr">
        <is>
          <t>Cedar Ridge Medical Center</t>
        </is>
      </c>
      <c r="H1299" t="inlineStr">
        <is>
          <t>Medical-Surgical</t>
        </is>
      </c>
      <c r="I1299" t="inlineStr">
        <is>
          <t>Medicine</t>
        </is>
      </c>
      <c r="J1299" t="inlineStr">
        <is>
          <t>Hall, Doris</t>
        </is>
      </c>
      <c r="K1299" t="inlineStr">
        <is>
          <t>J96.01</t>
        </is>
      </c>
      <c r="L1299" t="inlineStr">
        <is>
          <t>Respiratory</t>
        </is>
      </c>
      <c r="M1299" t="inlineStr">
        <is>
          <t>Medicare</t>
        </is>
      </c>
      <c r="N1299" t="inlineStr">
        <is>
          <t>Government</t>
        </is>
      </c>
      <c r="O1299" s="39" t="n">
        <v>39694.57</v>
      </c>
      <c r="P1299" t="inlineStr">
        <is>
          <t>N</t>
        </is>
      </c>
    </row>
    <row r="1300">
      <c r="A1300" t="inlineStr">
        <is>
          <t>ENC117956</t>
        </is>
      </c>
      <c r="B1300" t="inlineStr">
        <is>
          <t>PT10471</t>
        </is>
      </c>
      <c r="C1300" s="42" t="n">
        <v>45895</v>
      </c>
      <c r="D1300" s="42" t="n">
        <v>45899</v>
      </c>
      <c r="E1300" s="38" t="n">
        <v>4</v>
      </c>
      <c r="F1300" t="inlineStr">
        <is>
          <t>Inpatient</t>
        </is>
      </c>
      <c r="G1300" t="inlineStr">
        <is>
          <t>Cedar Ridge Medical Center</t>
        </is>
      </c>
      <c r="H1300" t="inlineStr">
        <is>
          <t>Medical-Surgical</t>
        </is>
      </c>
      <c r="I1300" t="inlineStr">
        <is>
          <t>Medicine</t>
        </is>
      </c>
      <c r="J1300" t="inlineStr">
        <is>
          <t>Peters, Frank</t>
        </is>
      </c>
      <c r="K1300" t="inlineStr">
        <is>
          <t>J44.1</t>
        </is>
      </c>
      <c r="L1300" t="inlineStr">
        <is>
          <t>Respiratory</t>
        </is>
      </c>
      <c r="M1300" t="inlineStr">
        <is>
          <t>Evergreen Mutual Insurance</t>
        </is>
      </c>
      <c r="N1300" t="inlineStr">
        <is>
          <t>Commercial</t>
        </is>
      </c>
      <c r="O1300" s="39" t="n">
        <v>13366.89</v>
      </c>
      <c r="P1300" t="inlineStr">
        <is>
          <t>Y</t>
        </is>
      </c>
    </row>
    <row r="1301">
      <c r="A1301" t="inlineStr">
        <is>
          <t>ENC117972</t>
        </is>
      </c>
      <c r="B1301" t="inlineStr">
        <is>
          <t>PT11777</t>
        </is>
      </c>
      <c r="C1301" s="42" t="n">
        <v>45895</v>
      </c>
      <c r="D1301" s="42" t="n">
        <v>45898</v>
      </c>
      <c r="E1301" s="38" t="n">
        <v>3</v>
      </c>
      <c r="F1301" t="inlineStr">
        <is>
          <t>Inpatient</t>
        </is>
      </c>
      <c r="G1301" t="inlineStr">
        <is>
          <t>Bluestone Memorial Hospital</t>
        </is>
      </c>
      <c r="H1301" t="inlineStr">
        <is>
          <t>Cardiac Step-Down</t>
        </is>
      </c>
      <c r="I1301" t="inlineStr">
        <is>
          <t>Cardiovascular</t>
        </is>
      </c>
      <c r="J1301" t="inlineStr">
        <is>
          <t>Taylor, Jonathan</t>
        </is>
      </c>
      <c r="K1301" t="inlineStr">
        <is>
          <t>I50.9</t>
        </is>
      </c>
      <c r="L1301" t="inlineStr">
        <is>
          <t>Circulatory</t>
        </is>
      </c>
      <c r="M1301" t="inlineStr">
        <is>
          <t>Summit Choice PPO</t>
        </is>
      </c>
      <c r="N1301" t="inlineStr">
        <is>
          <t>Commercial</t>
        </is>
      </c>
      <c r="O1301" s="39" t="n">
        <v>17756.56</v>
      </c>
      <c r="P1301" t="inlineStr">
        <is>
          <t>N</t>
        </is>
      </c>
    </row>
    <row r="1302">
      <c r="A1302" t="inlineStr">
        <is>
          <t>ENC117978</t>
        </is>
      </c>
      <c r="B1302" t="inlineStr">
        <is>
          <t>PT10466</t>
        </is>
      </c>
      <c r="C1302" s="42" t="n">
        <v>45896</v>
      </c>
      <c r="D1302" s="42" t="n">
        <v>45905</v>
      </c>
      <c r="E1302" s="38" t="n">
        <v>9</v>
      </c>
      <c r="F1302" t="inlineStr">
        <is>
          <t>Inpatient</t>
        </is>
      </c>
      <c r="G1302" t="inlineStr">
        <is>
          <t>Bluestone Memorial Hospital</t>
        </is>
      </c>
      <c r="H1302" t="inlineStr">
        <is>
          <t>Medical-Surgical 5 East</t>
        </is>
      </c>
      <c r="I1302" t="inlineStr">
        <is>
          <t>Medicine</t>
        </is>
      </c>
      <c r="J1302" t="inlineStr">
        <is>
          <t>Alvarado, Tyler</t>
        </is>
      </c>
      <c r="K1302" t="inlineStr">
        <is>
          <t>N17.9</t>
        </is>
      </c>
      <c r="L1302" t="inlineStr">
        <is>
          <t>Genitourinary</t>
        </is>
      </c>
      <c r="M1302" t="inlineStr">
        <is>
          <t>Medicare</t>
        </is>
      </c>
      <c r="N1302" t="inlineStr">
        <is>
          <t>Government</t>
        </is>
      </c>
      <c r="O1302" s="39" t="n">
        <v>65959</v>
      </c>
      <c r="P1302" t="inlineStr">
        <is>
          <t>N</t>
        </is>
      </c>
    </row>
    <row r="1303">
      <c r="A1303" t="inlineStr">
        <is>
          <t>ENC117981</t>
        </is>
      </c>
      <c r="B1303" t="inlineStr">
        <is>
          <t>PT10282</t>
        </is>
      </c>
      <c r="C1303" s="42" t="n">
        <v>45896</v>
      </c>
      <c r="D1303" s="42" t="n">
        <v>45896</v>
      </c>
      <c r="E1303" s="38" t="n">
        <v>0</v>
      </c>
      <c r="F1303" t="inlineStr">
        <is>
          <t>Outpatient</t>
        </is>
      </c>
      <c r="G1303" t="inlineStr">
        <is>
          <t>Bluestone Outpatient Pavilion</t>
        </is>
      </c>
      <c r="H1303" t="inlineStr">
        <is>
          <t>Infusion &amp; Oncology Clinic</t>
        </is>
      </c>
      <c r="I1303" t="inlineStr">
        <is>
          <t>Oncology</t>
        </is>
      </c>
      <c r="J1303" t="inlineStr">
        <is>
          <t>Hicks, Zachary</t>
        </is>
      </c>
      <c r="K1303" t="inlineStr">
        <is>
          <t>Z51.11</t>
        </is>
      </c>
      <c r="L1303" t="inlineStr">
        <is>
          <t>Factors Influencing Health</t>
        </is>
      </c>
      <c r="M1303" t="inlineStr">
        <is>
          <t>Keystone Health Partners</t>
        </is>
      </c>
      <c r="N1303" t="inlineStr">
        <is>
          <t>Commercial</t>
        </is>
      </c>
      <c r="O1303" s="39" t="n">
        <v>13928.85</v>
      </c>
    </row>
    <row r="1304">
      <c r="A1304" t="inlineStr">
        <is>
          <t>ENC117987</t>
        </is>
      </c>
      <c r="B1304" t="inlineStr">
        <is>
          <t>PT11752</t>
        </is>
      </c>
      <c r="C1304" s="42" t="n">
        <v>45896</v>
      </c>
      <c r="D1304" s="42" t="n">
        <v>45896</v>
      </c>
      <c r="E1304" s="38" t="n">
        <v>0</v>
      </c>
      <c r="F1304" t="inlineStr">
        <is>
          <t>Emergency</t>
        </is>
      </c>
      <c r="G1304" t="inlineStr">
        <is>
          <t>Cedar Ridge Medical Center</t>
        </is>
      </c>
      <c r="H1304" t="inlineStr">
        <is>
          <t>Emergency Department</t>
        </is>
      </c>
      <c r="I1304" t="inlineStr">
        <is>
          <t>Emergency</t>
        </is>
      </c>
      <c r="J1304" t="inlineStr">
        <is>
          <t>Riley, Shirley</t>
        </is>
      </c>
      <c r="K1304" t="inlineStr">
        <is>
          <t>G43.909</t>
        </is>
      </c>
      <c r="L1304" t="inlineStr">
        <is>
          <t>Nervous System</t>
        </is>
      </c>
      <c r="M1304" t="inlineStr">
        <is>
          <t>State Medicaid</t>
        </is>
      </c>
      <c r="N1304" t="inlineStr">
        <is>
          <t>Government</t>
        </is>
      </c>
      <c r="O1304" s="39" t="n">
        <v>2772.87</v>
      </c>
    </row>
    <row r="1305">
      <c r="A1305" t="inlineStr">
        <is>
          <t>ENC117989</t>
        </is>
      </c>
      <c r="B1305" t="inlineStr">
        <is>
          <t>PT13928</t>
        </is>
      </c>
      <c r="C1305" s="42" t="n">
        <v>45896</v>
      </c>
      <c r="D1305" s="42" t="n">
        <v>45896</v>
      </c>
      <c r="E1305" s="38" t="n">
        <v>0</v>
      </c>
      <c r="F1305" t="inlineStr">
        <is>
          <t>Outpatient</t>
        </is>
      </c>
      <c r="G1305" t="inlineStr">
        <is>
          <t>Bluestone Outpatient Pavilion</t>
        </is>
      </c>
      <c r="H1305" t="inlineStr">
        <is>
          <t>Primary Care Clinic</t>
        </is>
      </c>
      <c r="I1305" t="inlineStr">
        <is>
          <t>Ambulatory</t>
        </is>
      </c>
      <c r="J1305" t="inlineStr">
        <is>
          <t>Osei, Julie</t>
        </is>
      </c>
      <c r="K1305" t="inlineStr">
        <is>
          <t>Z00.00</t>
        </is>
      </c>
      <c r="L1305" t="inlineStr">
        <is>
          <t>Factors Influencing Health</t>
        </is>
      </c>
      <c r="M1305" t="inlineStr">
        <is>
          <t>Medicare</t>
        </is>
      </c>
      <c r="N1305" t="inlineStr">
        <is>
          <t>Government</t>
        </is>
      </c>
      <c r="O1305" s="39" t="n">
        <v>318.3</v>
      </c>
    </row>
    <row r="1306">
      <c r="A1306" t="inlineStr">
        <is>
          <t>ENC118003</t>
        </is>
      </c>
      <c r="B1306" t="inlineStr">
        <is>
          <t>PT12542</t>
        </is>
      </c>
      <c r="C1306" s="42" t="n">
        <v>45897</v>
      </c>
      <c r="D1306" s="42" t="n">
        <v>45897</v>
      </c>
      <c r="E1306" s="38" t="n">
        <v>0</v>
      </c>
      <c r="F1306" t="inlineStr">
        <is>
          <t>Outpatient</t>
        </is>
      </c>
      <c r="G1306" t="inlineStr">
        <is>
          <t>Bluestone Outpatient Pavilion</t>
        </is>
      </c>
      <c r="H1306" t="inlineStr">
        <is>
          <t>Orthopedic Clinic</t>
        </is>
      </c>
      <c r="I1306" t="inlineStr">
        <is>
          <t>Orthopedics</t>
        </is>
      </c>
      <c r="J1306" t="inlineStr">
        <is>
          <t>Wagner, Carlos</t>
        </is>
      </c>
      <c r="K1306" t="inlineStr">
        <is>
          <t>M16.11</t>
        </is>
      </c>
      <c r="L1306" t="inlineStr">
        <is>
          <t>Musculoskeletal</t>
        </is>
      </c>
      <c r="M1306" t="inlineStr">
        <is>
          <t>Medicare</t>
        </is>
      </c>
      <c r="N1306" t="inlineStr">
        <is>
          <t>Government</t>
        </is>
      </c>
      <c r="O1306" s="39" t="n">
        <v>420.08</v>
      </c>
    </row>
    <row r="1307">
      <c r="A1307" t="inlineStr">
        <is>
          <t>ENC118004</t>
        </is>
      </c>
      <c r="B1307" t="inlineStr">
        <is>
          <t>PT10328</t>
        </is>
      </c>
      <c r="C1307" s="42" t="n">
        <v>45897</v>
      </c>
      <c r="D1307" s="42" t="n">
        <v>45897</v>
      </c>
      <c r="E1307" s="38" t="n">
        <v>0</v>
      </c>
      <c r="F1307" t="inlineStr">
        <is>
          <t>Outpatient</t>
        </is>
      </c>
      <c r="G1307" t="inlineStr">
        <is>
          <t>Bluestone Outpatient Pavilion</t>
        </is>
      </c>
      <c r="H1307" t="inlineStr">
        <is>
          <t>Endocrinology &amp; Diabetes Clinic</t>
        </is>
      </c>
      <c r="I1307" t="inlineStr">
        <is>
          <t>Ambulatory</t>
        </is>
      </c>
      <c r="J1307" t="inlineStr">
        <is>
          <t>Woods, Larry</t>
        </is>
      </c>
      <c r="K1307" t="inlineStr">
        <is>
          <t>E11.9</t>
        </is>
      </c>
      <c r="L1307" t="inlineStr">
        <is>
          <t>Endocrine</t>
        </is>
      </c>
      <c r="M1307" t="inlineStr">
        <is>
          <t>Keystone Health Partners</t>
        </is>
      </c>
      <c r="N1307" t="inlineStr">
        <is>
          <t>Commercial</t>
        </is>
      </c>
      <c r="O1307" s="39" t="n">
        <v>390.73</v>
      </c>
    </row>
    <row r="1308">
      <c r="A1308" t="inlineStr">
        <is>
          <t>ENC118012</t>
        </is>
      </c>
      <c r="B1308" t="inlineStr">
        <is>
          <t>PT10364</t>
        </is>
      </c>
      <c r="C1308" s="42" t="n">
        <v>45897</v>
      </c>
      <c r="D1308" s="42" t="n">
        <v>45897</v>
      </c>
      <c r="E1308" s="38" t="n">
        <v>0</v>
      </c>
      <c r="F1308" t="inlineStr">
        <is>
          <t>Outpatient</t>
        </is>
      </c>
      <c r="G1308" t="inlineStr">
        <is>
          <t>Bluestone Outpatient Pavilion</t>
        </is>
      </c>
      <c r="H1308" t="inlineStr">
        <is>
          <t>Cardiology Clinic</t>
        </is>
      </c>
      <c r="I1308" t="inlineStr">
        <is>
          <t>Cardiovascular</t>
        </is>
      </c>
      <c r="J1308" t="inlineStr">
        <is>
          <t>Jenkins, Brittany</t>
        </is>
      </c>
      <c r="K1308" t="inlineStr">
        <is>
          <t>I48.91</t>
        </is>
      </c>
      <c r="L1308" t="inlineStr">
        <is>
          <t>Circulatory</t>
        </is>
      </c>
      <c r="M1308" t="inlineStr">
        <is>
          <t>Medicare</t>
        </is>
      </c>
      <c r="N1308" t="inlineStr">
        <is>
          <t>Government</t>
        </is>
      </c>
      <c r="O1308" s="39" t="n">
        <v>446.17</v>
      </c>
    </row>
    <row r="1309">
      <c r="A1309" t="inlineStr">
        <is>
          <t>ENC118013</t>
        </is>
      </c>
      <c r="B1309" t="inlineStr">
        <is>
          <t>PT11576</t>
        </is>
      </c>
      <c r="C1309" s="42" t="n">
        <v>45897</v>
      </c>
      <c r="D1309" s="42" t="n">
        <v>45897</v>
      </c>
      <c r="E1309" s="38" t="n">
        <v>0</v>
      </c>
      <c r="F1309" t="inlineStr">
        <is>
          <t>Emergency</t>
        </is>
      </c>
      <c r="G1309" t="inlineStr">
        <is>
          <t>Bluestone Memorial Hospital</t>
        </is>
      </c>
      <c r="H1309" t="inlineStr">
        <is>
          <t>Emergency Department</t>
        </is>
      </c>
      <c r="I1309" t="inlineStr">
        <is>
          <t>Emergency</t>
        </is>
      </c>
      <c r="J1309" t="inlineStr">
        <is>
          <t>Sullivan, Jacob</t>
        </is>
      </c>
      <c r="K1309" t="inlineStr">
        <is>
          <t>R10.9</t>
        </is>
      </c>
      <c r="L1309" t="inlineStr">
        <is>
          <t>Symptoms &amp; Signs</t>
        </is>
      </c>
      <c r="M1309" t="inlineStr">
        <is>
          <t>State Medicaid</t>
        </is>
      </c>
      <c r="N1309" t="inlineStr">
        <is>
          <t>Government</t>
        </is>
      </c>
      <c r="O1309" s="39" t="n">
        <v>2871.01</v>
      </c>
    </row>
    <row r="1310">
      <c r="A1310" t="inlineStr">
        <is>
          <t>ENC118016</t>
        </is>
      </c>
      <c r="B1310" t="inlineStr">
        <is>
          <t>PT13751</t>
        </is>
      </c>
      <c r="C1310" s="42" t="n">
        <v>45897</v>
      </c>
      <c r="D1310" s="42" t="n">
        <v>45897</v>
      </c>
      <c r="E1310" s="38" t="n">
        <v>0</v>
      </c>
      <c r="F1310" t="inlineStr">
        <is>
          <t>Outpatient</t>
        </is>
      </c>
      <c r="G1310" t="inlineStr">
        <is>
          <t>Bluestone Outpatient Pavilion</t>
        </is>
      </c>
      <c r="H1310" t="inlineStr">
        <is>
          <t>Primary Care Clinic</t>
        </is>
      </c>
      <c r="I1310" t="inlineStr">
        <is>
          <t>Ambulatory</t>
        </is>
      </c>
      <c r="J1310" t="inlineStr">
        <is>
          <t>Torres, Rebecca</t>
        </is>
      </c>
      <c r="K1310" t="inlineStr">
        <is>
          <t>N39.0</t>
        </is>
      </c>
      <c r="L1310" t="inlineStr">
        <is>
          <t>Genitourinary</t>
        </is>
      </c>
      <c r="M1310" t="inlineStr">
        <is>
          <t>Silverline Medicare Advantage</t>
        </is>
      </c>
      <c r="N1310" t="inlineStr">
        <is>
          <t>Medicare Advantage</t>
        </is>
      </c>
      <c r="O1310" s="39" t="n">
        <v>491.08</v>
      </c>
    </row>
    <row r="1311">
      <c r="A1311" t="inlineStr">
        <is>
          <t>ENC118024</t>
        </is>
      </c>
      <c r="B1311" t="inlineStr">
        <is>
          <t>PT12150</t>
        </is>
      </c>
      <c r="C1311" s="42" t="n">
        <v>45898</v>
      </c>
      <c r="D1311" s="42" t="n">
        <v>45899</v>
      </c>
      <c r="E1311" s="38" t="n">
        <v>1</v>
      </c>
      <c r="F1311" t="inlineStr">
        <is>
          <t>Inpatient</t>
        </is>
      </c>
      <c r="G1311" t="inlineStr">
        <is>
          <t>Bluestone Memorial Hospital</t>
        </is>
      </c>
      <c r="H1311" t="inlineStr">
        <is>
          <t>Medical-Surgical 5 East</t>
        </is>
      </c>
      <c r="I1311" t="inlineStr">
        <is>
          <t>Medicine</t>
        </is>
      </c>
      <c r="J1311" t="inlineStr">
        <is>
          <t>Ramirez, Jordan</t>
        </is>
      </c>
      <c r="K1311" t="inlineStr">
        <is>
          <t>K80.20</t>
        </is>
      </c>
      <c r="L1311" t="inlineStr">
        <is>
          <t>Digestive</t>
        </is>
      </c>
      <c r="M1311" t="inlineStr">
        <is>
          <t>Keystone Health Partners</t>
        </is>
      </c>
      <c r="N1311" t="inlineStr">
        <is>
          <t>Commercial</t>
        </is>
      </c>
      <c r="O1311" s="39" t="n">
        <v>30422.46</v>
      </c>
      <c r="P1311" t="inlineStr">
        <is>
          <t>N</t>
        </is>
      </c>
    </row>
    <row r="1312">
      <c r="A1312" t="inlineStr">
        <is>
          <t>ENC118026</t>
        </is>
      </c>
      <c r="B1312" t="inlineStr">
        <is>
          <t>PT13818</t>
        </is>
      </c>
      <c r="C1312" s="42" t="n">
        <v>45898</v>
      </c>
      <c r="D1312" s="42" t="n">
        <v>45898</v>
      </c>
      <c r="E1312" s="38" t="n">
        <v>0</v>
      </c>
      <c r="F1312" t="inlineStr">
        <is>
          <t>Outpatient</t>
        </is>
      </c>
      <c r="G1312" t="inlineStr">
        <is>
          <t>Bluestone Outpatient Pavilion</t>
        </is>
      </c>
      <c r="H1312" t="inlineStr">
        <is>
          <t>Endocrinology &amp; Diabetes Clinic</t>
        </is>
      </c>
      <c r="I1312" t="inlineStr">
        <is>
          <t>Ambulatory</t>
        </is>
      </c>
      <c r="J1312" t="inlineStr">
        <is>
          <t>Woods, Larry</t>
        </is>
      </c>
      <c r="K1312" t="inlineStr">
        <is>
          <t>E11.65</t>
        </is>
      </c>
      <c r="L1312" t="inlineStr">
        <is>
          <t>Endocrine</t>
        </is>
      </c>
      <c r="M1312" t="inlineStr">
        <is>
          <t>Keystone Health Partners</t>
        </is>
      </c>
      <c r="N1312" t="inlineStr">
        <is>
          <t>Commercial</t>
        </is>
      </c>
      <c r="O1312" s="39" t="n">
        <v>167.81</v>
      </c>
    </row>
    <row r="1313">
      <c r="A1313" t="inlineStr">
        <is>
          <t>ENC118034</t>
        </is>
      </c>
      <c r="B1313" t="inlineStr">
        <is>
          <t>PT10364</t>
        </is>
      </c>
      <c r="C1313" s="42" t="n">
        <v>45898</v>
      </c>
      <c r="D1313" s="42" t="n">
        <v>45898</v>
      </c>
      <c r="E1313" s="38" t="n">
        <v>0</v>
      </c>
      <c r="F1313" t="inlineStr">
        <is>
          <t>Emergency</t>
        </is>
      </c>
      <c r="G1313" t="inlineStr">
        <is>
          <t>Bluestone Memorial Hospital</t>
        </is>
      </c>
      <c r="H1313" t="inlineStr">
        <is>
          <t>Emergency Department</t>
        </is>
      </c>
      <c r="I1313" t="inlineStr">
        <is>
          <t>Emergency</t>
        </is>
      </c>
      <c r="J1313" t="inlineStr">
        <is>
          <t>Mendoza, Alexander</t>
        </is>
      </c>
      <c r="K1313" t="inlineStr">
        <is>
          <t>R07.9</t>
        </is>
      </c>
      <c r="L1313" t="inlineStr">
        <is>
          <t>Symptoms &amp; Signs</t>
        </is>
      </c>
      <c r="M1313" t="inlineStr">
        <is>
          <t>Medicare</t>
        </is>
      </c>
      <c r="N1313" t="inlineStr">
        <is>
          <t>Government</t>
        </is>
      </c>
      <c r="O1313" s="39" t="n">
        <v>2242.74</v>
      </c>
    </row>
    <row r="1314">
      <c r="A1314" t="inlineStr">
        <is>
          <t>ENC118037</t>
        </is>
      </c>
      <c r="B1314" t="inlineStr">
        <is>
          <t>PT13650</t>
        </is>
      </c>
      <c r="C1314" s="42" t="n">
        <v>45898</v>
      </c>
      <c r="D1314" s="42" t="n">
        <v>45898</v>
      </c>
      <c r="E1314" s="38" t="n">
        <v>0</v>
      </c>
      <c r="F1314" t="inlineStr">
        <is>
          <t>Outpatient</t>
        </is>
      </c>
      <c r="G1314" t="inlineStr">
        <is>
          <t>Bluestone Outpatient Pavilion</t>
        </is>
      </c>
      <c r="H1314" t="inlineStr">
        <is>
          <t>Pediatric Clinic</t>
        </is>
      </c>
      <c r="I1314" t="inlineStr">
        <is>
          <t>Women &amp; Children</t>
        </is>
      </c>
      <c r="J1314" t="inlineStr">
        <is>
          <t>Herrera, Christian</t>
        </is>
      </c>
      <c r="K1314" t="inlineStr">
        <is>
          <t>Z00.129</t>
        </is>
      </c>
      <c r="L1314" t="inlineStr">
        <is>
          <t>Factors Influencing Health</t>
        </is>
      </c>
      <c r="M1314" t="inlineStr">
        <is>
          <t>Keystone Health Partners</t>
        </is>
      </c>
      <c r="N1314" t="inlineStr">
        <is>
          <t>Commercial</t>
        </is>
      </c>
      <c r="O1314" s="39" t="n">
        <v>363.7</v>
      </c>
    </row>
    <row r="1315">
      <c r="A1315" t="inlineStr">
        <is>
          <t>ENC118040</t>
        </is>
      </c>
      <c r="B1315" t="inlineStr">
        <is>
          <t>PT10524</t>
        </is>
      </c>
      <c r="C1315" s="42" t="n">
        <v>45898</v>
      </c>
      <c r="D1315" s="42" t="n">
        <v>45898</v>
      </c>
      <c r="E1315" s="38" t="n">
        <v>0</v>
      </c>
      <c r="F1315" t="inlineStr">
        <is>
          <t>Outpatient</t>
        </is>
      </c>
      <c r="G1315" t="inlineStr">
        <is>
          <t>Bluestone Outpatient Pavilion</t>
        </is>
      </c>
      <c r="H1315" t="inlineStr">
        <is>
          <t>Infusion &amp; Oncology Clinic</t>
        </is>
      </c>
      <c r="I1315" t="inlineStr">
        <is>
          <t>Oncology</t>
        </is>
      </c>
      <c r="J1315" t="inlineStr">
        <is>
          <t>Cooper, Logan</t>
        </is>
      </c>
      <c r="K1315" t="inlineStr">
        <is>
          <t>Z51.11</t>
        </is>
      </c>
      <c r="L1315" t="inlineStr">
        <is>
          <t>Factors Influencing Health</t>
        </is>
      </c>
      <c r="M1315" t="inlineStr">
        <is>
          <t>Evergreen Mutual Insurance</t>
        </is>
      </c>
      <c r="N1315" t="inlineStr">
        <is>
          <t>Commercial</t>
        </is>
      </c>
      <c r="O1315" s="39" t="n">
        <v>10596.7</v>
      </c>
    </row>
    <row r="1316">
      <c r="A1316" t="inlineStr">
        <is>
          <t>ENC118041</t>
        </is>
      </c>
      <c r="B1316" t="inlineStr">
        <is>
          <t>PT12672</t>
        </is>
      </c>
      <c r="C1316" s="42" t="n">
        <v>45898</v>
      </c>
      <c r="D1316" s="42" t="n">
        <v>45898</v>
      </c>
      <c r="E1316" s="38" t="n">
        <v>0</v>
      </c>
      <c r="F1316" t="inlineStr">
        <is>
          <t>Outpatient</t>
        </is>
      </c>
      <c r="G1316" t="inlineStr">
        <is>
          <t>Bluestone Outpatient Pavilion</t>
        </is>
      </c>
      <c r="H1316" t="inlineStr">
        <is>
          <t>Infusion &amp; Oncology Clinic</t>
        </is>
      </c>
      <c r="I1316" t="inlineStr">
        <is>
          <t>Oncology</t>
        </is>
      </c>
      <c r="J1316" t="inlineStr">
        <is>
          <t>Long, Fatima</t>
        </is>
      </c>
      <c r="K1316" t="inlineStr">
        <is>
          <t>C50.911</t>
        </is>
      </c>
      <c r="L1316" t="inlineStr">
        <is>
          <t>Neoplasms</t>
        </is>
      </c>
      <c r="M1316" t="inlineStr">
        <is>
          <t>Medicare</t>
        </is>
      </c>
      <c r="N1316" t="inlineStr">
        <is>
          <t>Government</t>
        </is>
      </c>
      <c r="O1316" s="39" t="n">
        <v>577.85</v>
      </c>
    </row>
    <row r="1317">
      <c r="A1317" t="inlineStr">
        <is>
          <t>ENC118035</t>
        </is>
      </c>
      <c r="B1317" t="inlineStr">
        <is>
          <t>PT10136</t>
        </is>
      </c>
      <c r="C1317" s="42" t="n">
        <v>45898</v>
      </c>
      <c r="D1317" s="42" t="n">
        <v>45899</v>
      </c>
      <c r="E1317" s="38" t="n">
        <v>1</v>
      </c>
      <c r="F1317" t="inlineStr">
        <is>
          <t>Observation</t>
        </is>
      </c>
      <c r="G1317" t="inlineStr">
        <is>
          <t>Bluestone Memorial Hospital</t>
        </is>
      </c>
      <c r="H1317" t="inlineStr">
        <is>
          <t>Observation Unit</t>
        </is>
      </c>
      <c r="I1317" t="inlineStr">
        <is>
          <t>Medicine</t>
        </is>
      </c>
      <c r="J1317" t="inlineStr">
        <is>
          <t>Abdi, Hassan</t>
        </is>
      </c>
      <c r="K1317" t="inlineStr">
        <is>
          <t>R55</t>
        </is>
      </c>
      <c r="L1317" t="inlineStr">
        <is>
          <t>Symptoms &amp; Signs</t>
        </is>
      </c>
      <c r="M1317" t="inlineStr">
        <is>
          <t>Summit Choice PPO</t>
        </is>
      </c>
      <c r="N1317" t="inlineStr">
        <is>
          <t>Commercial</t>
        </is>
      </c>
      <c r="O1317" s="39" t="n">
        <v>8618.99</v>
      </c>
    </row>
    <row r="1318">
      <c r="A1318" t="inlineStr">
        <is>
          <t>ENC118059</t>
        </is>
      </c>
      <c r="B1318" t="inlineStr">
        <is>
          <t>PT10593</t>
        </is>
      </c>
      <c r="C1318" s="42" t="n">
        <v>45899</v>
      </c>
      <c r="D1318" s="42" t="n">
        <v>45899</v>
      </c>
      <c r="E1318" s="38" t="n">
        <v>0</v>
      </c>
      <c r="F1318" t="inlineStr">
        <is>
          <t>Emergency</t>
        </is>
      </c>
      <c r="G1318" t="inlineStr">
        <is>
          <t>Ashby Falls Community Hospital</t>
        </is>
      </c>
      <c r="H1318" t="inlineStr">
        <is>
          <t>Emergency Department</t>
        </is>
      </c>
      <c r="I1318" t="inlineStr">
        <is>
          <t>Emergency</t>
        </is>
      </c>
      <c r="J1318" t="inlineStr">
        <is>
          <t>Wright, Bruce</t>
        </is>
      </c>
      <c r="K1318" t="inlineStr">
        <is>
          <t>M54.50</t>
        </is>
      </c>
      <c r="L1318" t="inlineStr">
        <is>
          <t>Musculoskeletal</t>
        </is>
      </c>
      <c r="M1318" t="inlineStr">
        <is>
          <t>Silverline Medicare Advantage</t>
        </is>
      </c>
      <c r="N1318" t="inlineStr">
        <is>
          <t>Medicare Advantage</t>
        </is>
      </c>
      <c r="O1318" s="39" t="n">
        <v>773.52</v>
      </c>
    </row>
    <row r="1319">
      <c r="A1319" t="inlineStr">
        <is>
          <t>ENC118064</t>
        </is>
      </c>
      <c r="B1319" t="inlineStr">
        <is>
          <t>PT13847</t>
        </is>
      </c>
      <c r="C1319" s="42" t="n">
        <v>45899</v>
      </c>
      <c r="D1319" s="42" t="n">
        <v>45899</v>
      </c>
      <c r="E1319" s="38" t="n">
        <v>0</v>
      </c>
      <c r="F1319" t="inlineStr">
        <is>
          <t>Emergency</t>
        </is>
      </c>
      <c r="G1319" t="inlineStr">
        <is>
          <t>Bluestone Memorial Hospital</t>
        </is>
      </c>
      <c r="H1319" t="inlineStr">
        <is>
          <t>Emergency Department</t>
        </is>
      </c>
      <c r="I1319" t="inlineStr">
        <is>
          <t>Emergency</t>
        </is>
      </c>
      <c r="J1319" t="inlineStr">
        <is>
          <t>Vasquez, Bruce</t>
        </is>
      </c>
      <c r="K1319" t="inlineStr">
        <is>
          <t>M54.50</t>
        </is>
      </c>
      <c r="L1319" t="inlineStr">
        <is>
          <t>Musculoskeletal</t>
        </is>
      </c>
      <c r="M1319" t="inlineStr">
        <is>
          <t>Evergreen Mutual Insurance</t>
        </is>
      </c>
      <c r="N1319" t="inlineStr">
        <is>
          <t>Commercial</t>
        </is>
      </c>
      <c r="O1319" s="39" t="n">
        <v>3306.53</v>
      </c>
    </row>
    <row r="1320">
      <c r="A1320" t="inlineStr">
        <is>
          <t>ENC118063</t>
        </is>
      </c>
      <c r="B1320" t="inlineStr">
        <is>
          <t>PT10965</t>
        </is>
      </c>
      <c r="C1320" s="42" t="n">
        <v>45899</v>
      </c>
      <c r="D1320" s="42" t="n">
        <v>45903</v>
      </c>
      <c r="E1320" s="38" t="n">
        <v>4</v>
      </c>
      <c r="F1320" t="inlineStr">
        <is>
          <t>Inpatient</t>
        </is>
      </c>
      <c r="G1320" t="inlineStr">
        <is>
          <t>Bluestone Memorial Hospital</t>
        </is>
      </c>
      <c r="H1320" t="inlineStr">
        <is>
          <t>Medical-Surgical 4 West</t>
        </is>
      </c>
      <c r="I1320" t="inlineStr">
        <is>
          <t>Medicine</t>
        </is>
      </c>
      <c r="J1320" t="inlineStr">
        <is>
          <t>Price, Juan</t>
        </is>
      </c>
      <c r="K1320" t="inlineStr">
        <is>
          <t>E87.1</t>
        </is>
      </c>
      <c r="L1320" t="inlineStr">
        <is>
          <t>Endocrine</t>
        </is>
      </c>
      <c r="M1320" t="inlineStr">
        <is>
          <t>Silverline Medicare Advantage</t>
        </is>
      </c>
      <c r="N1320" t="inlineStr">
        <is>
          <t>Medicare Advantage</t>
        </is>
      </c>
      <c r="O1320" s="39" t="n">
        <v>14883.02</v>
      </c>
      <c r="P1320" t="inlineStr">
        <is>
          <t>N</t>
        </is>
      </c>
    </row>
    <row r="1321">
      <c r="A1321" t="inlineStr">
        <is>
          <t>ENC118077</t>
        </is>
      </c>
      <c r="B1321" t="inlineStr">
        <is>
          <t>PT13485</t>
        </is>
      </c>
      <c r="C1321" s="42" t="n">
        <v>45900</v>
      </c>
      <c r="D1321" s="42" t="n">
        <v>45900</v>
      </c>
      <c r="E1321" s="38" t="n">
        <v>0</v>
      </c>
      <c r="F1321" t="inlineStr">
        <is>
          <t>Emergency</t>
        </is>
      </c>
      <c r="G1321" t="inlineStr">
        <is>
          <t>Ashby Falls Community Hospital</t>
        </is>
      </c>
      <c r="H1321" t="inlineStr">
        <is>
          <t>Emergency Department</t>
        </is>
      </c>
      <c r="I1321" t="inlineStr">
        <is>
          <t>Emergency</t>
        </is>
      </c>
      <c r="J1321" t="inlineStr">
        <is>
          <t>Collins, Frank</t>
        </is>
      </c>
      <c r="K1321" t="inlineStr">
        <is>
          <t>M54.50</t>
        </is>
      </c>
      <c r="L1321" t="inlineStr">
        <is>
          <t>Musculoskeletal</t>
        </is>
      </c>
      <c r="M1321" t="inlineStr">
        <is>
          <t>Keystone Health Partners</t>
        </is>
      </c>
      <c r="N1321" t="inlineStr">
        <is>
          <t>Commercial</t>
        </is>
      </c>
      <c r="O1321" s="39" t="n">
        <v>1233.88</v>
      </c>
    </row>
    <row r="1322">
      <c r="A1322" t="inlineStr">
        <is>
          <t>ENC118080</t>
        </is>
      </c>
      <c r="B1322" t="inlineStr">
        <is>
          <t>PT11331</t>
        </is>
      </c>
      <c r="C1322" s="42" t="n">
        <v>45900</v>
      </c>
      <c r="D1322" s="42" t="n">
        <v>45909</v>
      </c>
      <c r="E1322" s="38" t="n">
        <v>9</v>
      </c>
      <c r="F1322" t="inlineStr">
        <is>
          <t>Inpatient</t>
        </is>
      </c>
      <c r="G1322" t="inlineStr">
        <is>
          <t>Bluestone Memorial Hospital</t>
        </is>
      </c>
      <c r="H1322" t="inlineStr">
        <is>
          <t>Behavioral Health</t>
        </is>
      </c>
      <c r="I1322" t="inlineStr">
        <is>
          <t>Behavioral Health</t>
        </is>
      </c>
      <c r="J1322" t="inlineStr">
        <is>
          <t>Clark, Frank</t>
        </is>
      </c>
      <c r="K1322" t="inlineStr">
        <is>
          <t>F32.9</t>
        </is>
      </c>
      <c r="L1322" t="inlineStr">
        <is>
          <t>Mental &amp; Behavioral</t>
        </is>
      </c>
      <c r="M1322" t="inlineStr">
        <is>
          <t>Medicare</t>
        </is>
      </c>
      <c r="N1322" t="inlineStr">
        <is>
          <t>Government</t>
        </is>
      </c>
      <c r="O1322" s="39" t="n">
        <v>29879.55</v>
      </c>
      <c r="P1322" t="inlineStr">
        <is>
          <t>N</t>
        </is>
      </c>
    </row>
    <row r="1323">
      <c r="A1323" t="inlineStr">
        <is>
          <t>ENC118086</t>
        </is>
      </c>
      <c r="B1323" t="inlineStr">
        <is>
          <t>PT13660</t>
        </is>
      </c>
      <c r="C1323" s="42" t="n">
        <v>45901</v>
      </c>
      <c r="D1323" s="42" t="n">
        <v>45901</v>
      </c>
      <c r="E1323" s="38" t="n">
        <v>0</v>
      </c>
      <c r="F1323" t="inlineStr">
        <is>
          <t>Emergency</t>
        </is>
      </c>
      <c r="G1323" t="inlineStr">
        <is>
          <t>Cedar Ridge Medical Center</t>
        </is>
      </c>
      <c r="H1323" t="inlineStr">
        <is>
          <t>Emergency Department</t>
        </is>
      </c>
      <c r="I1323" t="inlineStr">
        <is>
          <t>Emergency</t>
        </is>
      </c>
      <c r="J1323" t="inlineStr">
        <is>
          <t>Henry, Brenda</t>
        </is>
      </c>
      <c r="K1323" t="inlineStr">
        <is>
          <t>E86.0</t>
        </is>
      </c>
      <c r="L1323" t="inlineStr">
        <is>
          <t>Endocrine</t>
        </is>
      </c>
      <c r="M1323" t="inlineStr">
        <is>
          <t>Keystone Health Partners</t>
        </is>
      </c>
      <c r="N1323" t="inlineStr">
        <is>
          <t>Commercial</t>
        </is>
      </c>
      <c r="O1323" s="39" t="n">
        <v>865.33</v>
      </c>
    </row>
    <row r="1324">
      <c r="A1324" t="inlineStr">
        <is>
          <t>ENC118087</t>
        </is>
      </c>
      <c r="B1324" t="inlineStr">
        <is>
          <t>PT10383</t>
        </is>
      </c>
      <c r="C1324" s="42" t="n">
        <v>45901</v>
      </c>
      <c r="D1324" s="42" t="n">
        <v>45906</v>
      </c>
      <c r="E1324" s="38" t="n">
        <v>5</v>
      </c>
      <c r="F1324" t="inlineStr">
        <is>
          <t>Inpatient</t>
        </is>
      </c>
      <c r="G1324" t="inlineStr">
        <is>
          <t>Bluestone Memorial Hospital</t>
        </is>
      </c>
      <c r="H1324" t="inlineStr">
        <is>
          <t>Cardiac Step-Down</t>
        </is>
      </c>
      <c r="I1324" t="inlineStr">
        <is>
          <t>Cardiovascular</t>
        </is>
      </c>
      <c r="J1324" t="inlineStr">
        <is>
          <t>Taylor, Jonathan</t>
        </is>
      </c>
      <c r="K1324" t="inlineStr">
        <is>
          <t>I50.9</t>
        </is>
      </c>
      <c r="L1324" t="inlineStr">
        <is>
          <t>Circulatory</t>
        </is>
      </c>
      <c r="M1324" t="inlineStr">
        <is>
          <t>Silverline Medicare Advantage</t>
        </is>
      </c>
      <c r="N1324" t="inlineStr">
        <is>
          <t>Medicare Advantage</t>
        </is>
      </c>
      <c r="O1324" s="39" t="n">
        <v>41562.22</v>
      </c>
      <c r="P1324" t="inlineStr">
        <is>
          <t>N</t>
        </is>
      </c>
    </row>
    <row r="1325">
      <c r="A1325" t="inlineStr">
        <is>
          <t>ENC118088</t>
        </is>
      </c>
      <c r="B1325" t="inlineStr">
        <is>
          <t>PT11903</t>
        </is>
      </c>
      <c r="C1325" s="42" t="n">
        <v>45901</v>
      </c>
      <c r="D1325" s="42" t="n">
        <v>45901</v>
      </c>
      <c r="E1325" s="38" t="n">
        <v>0</v>
      </c>
      <c r="F1325" t="inlineStr">
        <is>
          <t>Outpatient</t>
        </is>
      </c>
      <c r="G1325" t="inlineStr">
        <is>
          <t>Bluestone Outpatient Pavilion</t>
        </is>
      </c>
      <c r="H1325" t="inlineStr">
        <is>
          <t>Cardiology Clinic</t>
        </is>
      </c>
      <c r="I1325" t="inlineStr">
        <is>
          <t>Cardiovascular</t>
        </is>
      </c>
      <c r="J1325" t="inlineStr">
        <is>
          <t>Gomez, Mateo</t>
        </is>
      </c>
      <c r="K1325" t="inlineStr">
        <is>
          <t>I50.9</t>
        </is>
      </c>
      <c r="L1325" t="inlineStr">
        <is>
          <t>Circulatory</t>
        </is>
      </c>
      <c r="M1325" t="inlineStr">
        <is>
          <t>Evergreen Mutual Insurance</t>
        </is>
      </c>
      <c r="N1325" t="inlineStr">
        <is>
          <t>Commercial</t>
        </is>
      </c>
      <c r="O1325" s="39" t="n">
        <v>644.74</v>
      </c>
    </row>
    <row r="1326">
      <c r="A1326" t="inlineStr">
        <is>
          <t>ENC118090</t>
        </is>
      </c>
      <c r="B1326" t="inlineStr">
        <is>
          <t>PT13043</t>
        </is>
      </c>
      <c r="C1326" s="42" t="n">
        <v>45901</v>
      </c>
      <c r="D1326" s="42" t="n">
        <v>45901</v>
      </c>
      <c r="E1326" s="38" t="n">
        <v>0</v>
      </c>
      <c r="F1326" t="inlineStr">
        <is>
          <t>Outpatient</t>
        </is>
      </c>
      <c r="G1326" t="inlineStr">
        <is>
          <t>Bluestone Outpatient Pavilion</t>
        </is>
      </c>
      <c r="H1326" t="inlineStr">
        <is>
          <t>Primary Care Clinic</t>
        </is>
      </c>
      <c r="I1326" t="inlineStr">
        <is>
          <t>Ambulatory</t>
        </is>
      </c>
      <c r="J1326" t="inlineStr">
        <is>
          <t>Black, Nancy</t>
        </is>
      </c>
      <c r="K1326" t="inlineStr">
        <is>
          <t>N39.0</t>
        </is>
      </c>
      <c r="L1326" t="inlineStr">
        <is>
          <t>Genitourinary</t>
        </is>
      </c>
      <c r="M1326" t="inlineStr">
        <is>
          <t>Medicare</t>
        </is>
      </c>
      <c r="N1326" t="inlineStr">
        <is>
          <t>Government</t>
        </is>
      </c>
      <c r="O1326" s="39" t="n">
        <v>431.92</v>
      </c>
    </row>
    <row r="1327">
      <c r="A1327" t="inlineStr">
        <is>
          <t>ENC118091</t>
        </is>
      </c>
      <c r="B1327" t="inlineStr">
        <is>
          <t>PT10811</t>
        </is>
      </c>
      <c r="C1327" s="42" t="n">
        <v>45901</v>
      </c>
      <c r="D1327" s="42" t="n">
        <v>45901</v>
      </c>
      <c r="E1327" s="38" t="n">
        <v>0</v>
      </c>
      <c r="F1327" t="inlineStr">
        <is>
          <t>Outpatient</t>
        </is>
      </c>
      <c r="G1327" t="inlineStr">
        <is>
          <t>Bluestone Outpatient Pavilion</t>
        </is>
      </c>
      <c r="H1327" t="inlineStr">
        <is>
          <t>Infusion &amp; Oncology Clinic</t>
        </is>
      </c>
      <c r="I1327" t="inlineStr">
        <is>
          <t>Oncology</t>
        </is>
      </c>
      <c r="J1327" t="inlineStr">
        <is>
          <t>Hicks, Zachary</t>
        </is>
      </c>
      <c r="K1327" t="inlineStr">
        <is>
          <t>Z51.11</t>
        </is>
      </c>
      <c r="L1327" t="inlineStr">
        <is>
          <t>Factors Influencing Health</t>
        </is>
      </c>
      <c r="M1327" t="inlineStr">
        <is>
          <t>Evergreen Mutual Insurance</t>
        </is>
      </c>
      <c r="N1327" t="inlineStr">
        <is>
          <t>Commercial</t>
        </is>
      </c>
      <c r="O1327" s="39" t="n">
        <v>9874.35</v>
      </c>
    </row>
    <row r="1328">
      <c r="A1328" t="inlineStr">
        <is>
          <t>ENC118092</t>
        </is>
      </c>
      <c r="B1328" t="inlineStr">
        <is>
          <t>PT11350</t>
        </is>
      </c>
      <c r="C1328" s="42" t="n">
        <v>45901</v>
      </c>
      <c r="D1328" s="42" t="n">
        <v>45901</v>
      </c>
      <c r="E1328" s="38" t="n">
        <v>0</v>
      </c>
      <c r="F1328" t="inlineStr">
        <is>
          <t>Emergency</t>
        </is>
      </c>
      <c r="G1328" t="inlineStr">
        <is>
          <t>Bluestone Memorial Hospital</t>
        </is>
      </c>
      <c r="H1328" t="inlineStr">
        <is>
          <t>Emergency Department</t>
        </is>
      </c>
      <c r="I1328" t="inlineStr">
        <is>
          <t>Emergency</t>
        </is>
      </c>
      <c r="J1328" t="inlineStr">
        <is>
          <t>Olson, Christian</t>
        </is>
      </c>
      <c r="K1328" t="inlineStr">
        <is>
          <t>U07.1</t>
        </is>
      </c>
      <c r="L1328" t="inlineStr">
        <is>
          <t>Respiratory</t>
        </is>
      </c>
      <c r="M1328" t="inlineStr">
        <is>
          <t>State Medicaid</t>
        </is>
      </c>
      <c r="N1328" t="inlineStr">
        <is>
          <t>Government</t>
        </is>
      </c>
      <c r="O1328" s="39" t="n">
        <v>3453.67</v>
      </c>
    </row>
    <row r="1329">
      <c r="A1329" t="inlineStr">
        <is>
          <t>ENC118098</t>
        </is>
      </c>
      <c r="B1329" t="inlineStr">
        <is>
          <t>PT12570</t>
        </is>
      </c>
      <c r="C1329" s="42" t="n">
        <v>45901</v>
      </c>
      <c r="D1329" s="42" t="n">
        <v>45904</v>
      </c>
      <c r="E1329" s="38" t="n">
        <v>3</v>
      </c>
      <c r="F1329" t="inlineStr">
        <is>
          <t>Inpatient</t>
        </is>
      </c>
      <c r="G1329" t="inlineStr">
        <is>
          <t>Bluestone Memorial Hospital</t>
        </is>
      </c>
      <c r="H1329" t="inlineStr">
        <is>
          <t>Cardiac Step-Down</t>
        </is>
      </c>
      <c r="I1329" t="inlineStr">
        <is>
          <t>Cardiovascular</t>
        </is>
      </c>
      <c r="J1329" t="inlineStr">
        <is>
          <t>Russell, Larry</t>
        </is>
      </c>
      <c r="K1329" t="inlineStr">
        <is>
          <t>I48.91</t>
        </is>
      </c>
      <c r="L1329" t="inlineStr">
        <is>
          <t>Circulatory</t>
        </is>
      </c>
      <c r="M1329" t="inlineStr">
        <is>
          <t>Silverline Medicare Advantage</t>
        </is>
      </c>
      <c r="N1329" t="inlineStr">
        <is>
          <t>Medicare Advantage</t>
        </is>
      </c>
      <c r="O1329" s="39" t="n">
        <v>17884.74</v>
      </c>
      <c r="P1329" t="inlineStr">
        <is>
          <t>N</t>
        </is>
      </c>
    </row>
    <row r="1330">
      <c r="A1330" t="inlineStr">
        <is>
          <t>ENC118107</t>
        </is>
      </c>
      <c r="B1330" t="inlineStr">
        <is>
          <t>PT10212</t>
        </is>
      </c>
      <c r="C1330" s="42" t="n">
        <v>45901</v>
      </c>
      <c r="D1330" s="42" t="n">
        <v>45901</v>
      </c>
      <c r="E1330" s="38" t="n">
        <v>0</v>
      </c>
      <c r="F1330" t="inlineStr">
        <is>
          <t>Outpatient</t>
        </is>
      </c>
      <c r="G1330" t="inlineStr">
        <is>
          <t>Bluestone Outpatient Pavilion</t>
        </is>
      </c>
      <c r="H1330" t="inlineStr">
        <is>
          <t>Pediatric Clinic</t>
        </is>
      </c>
      <c r="I1330" t="inlineStr">
        <is>
          <t>Women &amp; Children</t>
        </is>
      </c>
      <c r="J1330" t="inlineStr">
        <is>
          <t>Herrera, Christian</t>
        </is>
      </c>
      <c r="K1330" t="inlineStr">
        <is>
          <t>Z00.129</t>
        </is>
      </c>
      <c r="L1330" t="inlineStr">
        <is>
          <t>Factors Influencing Health</t>
        </is>
      </c>
      <c r="M1330" t="inlineStr">
        <is>
          <t>Summit Choice PPO</t>
        </is>
      </c>
      <c r="N1330" t="inlineStr">
        <is>
          <t>Commercial</t>
        </is>
      </c>
      <c r="O1330" s="39" t="n">
        <v>265.57</v>
      </c>
    </row>
    <row r="1331">
      <c r="A1331" t="inlineStr">
        <is>
          <t>ENC118102</t>
        </is>
      </c>
      <c r="B1331" t="inlineStr">
        <is>
          <t>PT13738</t>
        </is>
      </c>
      <c r="C1331" s="42" t="n">
        <v>45901</v>
      </c>
      <c r="D1331" s="42" t="n">
        <v>45902</v>
      </c>
      <c r="E1331" s="38" t="n">
        <v>1</v>
      </c>
      <c r="F1331" t="inlineStr">
        <is>
          <t>Observation</t>
        </is>
      </c>
      <c r="G1331" t="inlineStr">
        <is>
          <t>Bluestone Memorial Hospital</t>
        </is>
      </c>
      <c r="H1331" t="inlineStr">
        <is>
          <t>Observation Unit</t>
        </is>
      </c>
      <c r="I1331" t="inlineStr">
        <is>
          <t>Medicine</t>
        </is>
      </c>
      <c r="J1331" t="inlineStr">
        <is>
          <t>Cruz, Roger</t>
        </is>
      </c>
      <c r="K1331" t="inlineStr">
        <is>
          <t>F10.239</t>
        </is>
      </c>
      <c r="L1331" t="inlineStr">
        <is>
          <t>Mental &amp; Behavioral</t>
        </is>
      </c>
      <c r="M1331" t="inlineStr">
        <is>
          <t>State Medicaid</t>
        </is>
      </c>
      <c r="N1331" t="inlineStr">
        <is>
          <t>Government</t>
        </is>
      </c>
      <c r="O1331" s="39" t="n">
        <v>9239.610000000001</v>
      </c>
    </row>
    <row r="1332">
      <c r="A1332" t="inlineStr">
        <is>
          <t>ENC118110</t>
        </is>
      </c>
      <c r="B1332" t="inlineStr">
        <is>
          <t>PT10632</t>
        </is>
      </c>
      <c r="C1332" s="42" t="n">
        <v>45901</v>
      </c>
      <c r="D1332" s="42" t="n">
        <v>45901</v>
      </c>
      <c r="E1332" s="38" t="n">
        <v>0</v>
      </c>
      <c r="F1332" t="inlineStr">
        <is>
          <t>Emergency</t>
        </is>
      </c>
      <c r="G1332" t="inlineStr">
        <is>
          <t>Cedar Ridge Medical Center</t>
        </is>
      </c>
      <c r="H1332" t="inlineStr">
        <is>
          <t>Emergency Department</t>
        </is>
      </c>
      <c r="I1332" t="inlineStr">
        <is>
          <t>Emergency</t>
        </is>
      </c>
      <c r="J1332" t="inlineStr">
        <is>
          <t>Barnes, Gary</t>
        </is>
      </c>
      <c r="K1332" t="inlineStr">
        <is>
          <t>E86.0</t>
        </is>
      </c>
      <c r="L1332" t="inlineStr">
        <is>
          <t>Endocrine</t>
        </is>
      </c>
      <c r="M1332" t="inlineStr">
        <is>
          <t>Evergreen Mutual Insurance</t>
        </is>
      </c>
      <c r="N1332" t="inlineStr">
        <is>
          <t>Commercial</t>
        </is>
      </c>
      <c r="O1332" s="39" t="n">
        <v>773.1900000000001</v>
      </c>
    </row>
    <row r="1333">
      <c r="A1333" t="inlineStr">
        <is>
          <t>ENC118119</t>
        </is>
      </c>
      <c r="B1333" t="inlineStr">
        <is>
          <t>PT10886</t>
        </is>
      </c>
      <c r="C1333" s="42" t="n">
        <v>45901</v>
      </c>
      <c r="D1333" s="42" t="n">
        <v>45901</v>
      </c>
      <c r="E1333" s="38" t="n">
        <v>0</v>
      </c>
      <c r="F1333" t="inlineStr">
        <is>
          <t>Emergency</t>
        </is>
      </c>
      <c r="G1333" t="inlineStr">
        <is>
          <t>Cedar Ridge Medical Center</t>
        </is>
      </c>
      <c r="H1333" t="inlineStr">
        <is>
          <t>Emergency Department</t>
        </is>
      </c>
      <c r="I1333" t="inlineStr">
        <is>
          <t>Emergency</t>
        </is>
      </c>
      <c r="J1333" t="inlineStr">
        <is>
          <t>Schmidt, Anna</t>
        </is>
      </c>
      <c r="K1333" t="inlineStr">
        <is>
          <t>J44.1</t>
        </is>
      </c>
      <c r="L1333" t="inlineStr">
        <is>
          <t>Respiratory</t>
        </is>
      </c>
      <c r="M1333" t="inlineStr">
        <is>
          <t>Silverline Medicare Advantage</t>
        </is>
      </c>
      <c r="N1333" t="inlineStr">
        <is>
          <t>Medicare Advantage</t>
        </is>
      </c>
      <c r="O1333" s="39" t="n">
        <v>3251.24</v>
      </c>
    </row>
    <row r="1334">
      <c r="A1334" t="inlineStr">
        <is>
          <t>ENC118120</t>
        </is>
      </c>
      <c r="B1334" t="inlineStr">
        <is>
          <t>PT11756</t>
        </is>
      </c>
      <c r="C1334" s="42" t="n">
        <v>45901</v>
      </c>
      <c r="D1334" s="42" t="n">
        <v>45901</v>
      </c>
      <c r="E1334" s="38" t="n">
        <v>0</v>
      </c>
      <c r="F1334" t="inlineStr">
        <is>
          <t>Emergency</t>
        </is>
      </c>
      <c r="G1334" t="inlineStr">
        <is>
          <t>Cedar Ridge Medical Center</t>
        </is>
      </c>
      <c r="H1334" t="inlineStr">
        <is>
          <t>Emergency Department</t>
        </is>
      </c>
      <c r="I1334" t="inlineStr">
        <is>
          <t>Emergency</t>
        </is>
      </c>
      <c r="J1334" t="inlineStr">
        <is>
          <t>Warren, Victoria</t>
        </is>
      </c>
      <c r="K1334" t="inlineStr">
        <is>
          <t>A08.4</t>
        </is>
      </c>
      <c r="L1334" t="inlineStr">
        <is>
          <t>Infectious</t>
        </is>
      </c>
      <c r="M1334" t="inlineStr">
        <is>
          <t>Keystone Health Partners</t>
        </is>
      </c>
      <c r="N1334" t="inlineStr">
        <is>
          <t>Commercial</t>
        </is>
      </c>
      <c r="O1334" s="39" t="n">
        <v>1287.69</v>
      </c>
    </row>
    <row r="1335">
      <c r="A1335" t="inlineStr">
        <is>
          <t>ENC118121</t>
        </is>
      </c>
      <c r="B1335" t="inlineStr">
        <is>
          <t>PT12961</t>
        </is>
      </c>
      <c r="C1335" s="42" t="n">
        <v>45901</v>
      </c>
      <c r="D1335" s="42" t="n">
        <v>45902</v>
      </c>
      <c r="E1335" s="38" t="n">
        <v>1</v>
      </c>
      <c r="F1335" t="inlineStr">
        <is>
          <t>Emergency</t>
        </is>
      </c>
      <c r="G1335" t="inlineStr">
        <is>
          <t>Bluestone Memorial Hospital</t>
        </is>
      </c>
      <c r="H1335" t="inlineStr">
        <is>
          <t>Emergency Department</t>
        </is>
      </c>
      <c r="I1335" t="inlineStr">
        <is>
          <t>Emergency</t>
        </is>
      </c>
      <c r="J1335" t="inlineStr">
        <is>
          <t>Mendoza, Alexander</t>
        </is>
      </c>
      <c r="K1335" t="inlineStr">
        <is>
          <t>N39.0</t>
        </is>
      </c>
      <c r="L1335" t="inlineStr">
        <is>
          <t>Genitourinary</t>
        </is>
      </c>
      <c r="M1335" t="inlineStr">
        <is>
          <t>Medicare</t>
        </is>
      </c>
      <c r="N1335" t="inlineStr">
        <is>
          <t>Government</t>
        </is>
      </c>
      <c r="O1335" s="39" t="n">
        <v>2537.38</v>
      </c>
    </row>
    <row r="1336">
      <c r="A1336" t="inlineStr">
        <is>
          <t>ENC118122</t>
        </is>
      </c>
      <c r="B1336" t="inlineStr">
        <is>
          <t>PT10685</t>
        </is>
      </c>
      <c r="C1336" s="42" t="n">
        <v>45901</v>
      </c>
      <c r="D1336" s="42" t="n">
        <v>45902</v>
      </c>
      <c r="E1336" s="38" t="n">
        <v>1</v>
      </c>
      <c r="F1336" t="inlineStr">
        <is>
          <t>Emergency</t>
        </is>
      </c>
      <c r="G1336" t="inlineStr">
        <is>
          <t>Bluestone Memorial Hospital</t>
        </is>
      </c>
      <c r="H1336" t="inlineStr">
        <is>
          <t>Emergency Department</t>
        </is>
      </c>
      <c r="I1336" t="inlineStr">
        <is>
          <t>Emergency</t>
        </is>
      </c>
      <c r="J1336" t="inlineStr">
        <is>
          <t>Sullivan, Jacob</t>
        </is>
      </c>
      <c r="K1336" t="inlineStr">
        <is>
          <t>R55</t>
        </is>
      </c>
      <c r="L1336" t="inlineStr">
        <is>
          <t>Symptoms &amp; Signs</t>
        </is>
      </c>
      <c r="M1336" t="inlineStr">
        <is>
          <t>Keystone Health Partners</t>
        </is>
      </c>
      <c r="N1336" t="inlineStr">
        <is>
          <t>Commercial</t>
        </is>
      </c>
      <c r="O1336" s="39" t="n">
        <v>1483.54</v>
      </c>
    </row>
    <row r="1337">
      <c r="A1337" t="inlineStr">
        <is>
          <t>ENC118123</t>
        </is>
      </c>
      <c r="B1337" t="inlineStr">
        <is>
          <t>PT13302</t>
        </is>
      </c>
      <c r="C1337" s="42" t="n">
        <v>45901</v>
      </c>
      <c r="D1337" s="42" t="n">
        <v>45903</v>
      </c>
      <c r="E1337" s="38" t="n">
        <v>2</v>
      </c>
      <c r="F1337" t="inlineStr">
        <is>
          <t>Inpatient</t>
        </is>
      </c>
      <c r="G1337" t="inlineStr">
        <is>
          <t>Bluestone Memorial Hospital</t>
        </is>
      </c>
      <c r="H1337" t="inlineStr">
        <is>
          <t>Labor &amp; Delivery</t>
        </is>
      </c>
      <c r="I1337" t="inlineStr">
        <is>
          <t>Women &amp; Children</t>
        </is>
      </c>
      <c r="J1337" t="inlineStr">
        <is>
          <t>Watson, Frank</t>
        </is>
      </c>
      <c r="K1337" t="inlineStr">
        <is>
          <t>O80</t>
        </is>
      </c>
      <c r="L1337" t="inlineStr">
        <is>
          <t>Pregnancy</t>
        </is>
      </c>
      <c r="M1337" t="inlineStr">
        <is>
          <t>Self-Pay</t>
        </is>
      </c>
      <c r="N1337" t="inlineStr">
        <is>
          <t>Self-Pay</t>
        </is>
      </c>
      <c r="O1337" s="39" t="n">
        <v>12890.51</v>
      </c>
      <c r="P1337" t="inlineStr">
        <is>
          <t>N</t>
        </is>
      </c>
    </row>
    <row r="1338">
      <c r="A1338" t="inlineStr">
        <is>
          <t>ENC118136</t>
        </is>
      </c>
      <c r="B1338" t="inlineStr">
        <is>
          <t>PT11588</t>
        </is>
      </c>
      <c r="C1338" s="42" t="n">
        <v>45902</v>
      </c>
      <c r="D1338" s="42" t="n">
        <v>45902</v>
      </c>
      <c r="E1338" s="38" t="n">
        <v>0</v>
      </c>
      <c r="F1338" t="inlineStr">
        <is>
          <t>Outpatient</t>
        </is>
      </c>
      <c r="G1338" t="inlineStr">
        <is>
          <t>Bluestone Outpatient Pavilion</t>
        </is>
      </c>
      <c r="H1338" t="inlineStr">
        <is>
          <t>Primary Care Clinic</t>
        </is>
      </c>
      <c r="I1338" t="inlineStr">
        <is>
          <t>Ambulatory</t>
        </is>
      </c>
      <c r="J1338" t="inlineStr">
        <is>
          <t>Nguyen, Isabella</t>
        </is>
      </c>
      <c r="K1338" t="inlineStr">
        <is>
          <t>J44.1</t>
        </is>
      </c>
      <c r="L1338" t="inlineStr">
        <is>
          <t>Respiratory</t>
        </is>
      </c>
      <c r="M1338" t="inlineStr">
        <is>
          <t>Evergreen Mutual Insurance</t>
        </is>
      </c>
      <c r="N1338" t="inlineStr">
        <is>
          <t>Commercial</t>
        </is>
      </c>
      <c r="O1338" s="39" t="n">
        <v>183.7</v>
      </c>
    </row>
    <row r="1339">
      <c r="A1339" t="inlineStr">
        <is>
          <t>ENC118143</t>
        </is>
      </c>
      <c r="B1339" t="inlineStr">
        <is>
          <t>PT11630</t>
        </is>
      </c>
      <c r="C1339" s="42" t="n">
        <v>45902</v>
      </c>
      <c r="D1339" s="42" t="n">
        <v>45902</v>
      </c>
      <c r="E1339" s="38" t="n">
        <v>0</v>
      </c>
      <c r="F1339" t="inlineStr">
        <is>
          <t>Outpatient</t>
        </is>
      </c>
      <c r="G1339" t="inlineStr">
        <is>
          <t>Bluestone Outpatient Pavilion</t>
        </is>
      </c>
      <c r="H1339" t="inlineStr">
        <is>
          <t>Pediatric Clinic</t>
        </is>
      </c>
      <c r="I1339" t="inlineStr">
        <is>
          <t>Women &amp; Children</t>
        </is>
      </c>
      <c r="J1339" t="inlineStr">
        <is>
          <t>Herrera, Christian</t>
        </is>
      </c>
      <c r="K1339" t="inlineStr">
        <is>
          <t>H66.90</t>
        </is>
      </c>
      <c r="L1339" t="inlineStr">
        <is>
          <t>Ear</t>
        </is>
      </c>
      <c r="M1339" t="inlineStr">
        <is>
          <t>State Medicaid</t>
        </is>
      </c>
      <c r="N1339" t="inlineStr">
        <is>
          <t>Government</t>
        </is>
      </c>
      <c r="O1339" s="39" t="n">
        <v>521.12</v>
      </c>
    </row>
    <row r="1340">
      <c r="A1340" t="inlineStr">
        <is>
          <t>ENC118149</t>
        </is>
      </c>
      <c r="B1340" t="inlineStr">
        <is>
          <t>PT13325</t>
        </is>
      </c>
      <c r="C1340" s="42" t="n">
        <v>45902</v>
      </c>
      <c r="D1340" s="42" t="n">
        <v>45902</v>
      </c>
      <c r="E1340" s="38" t="n">
        <v>0</v>
      </c>
      <c r="F1340" t="inlineStr">
        <is>
          <t>Outpatient</t>
        </is>
      </c>
      <c r="G1340" t="inlineStr">
        <is>
          <t>Bluestone Outpatient Pavilion</t>
        </is>
      </c>
      <c r="H1340" t="inlineStr">
        <is>
          <t>Primary Care Clinic</t>
        </is>
      </c>
      <c r="I1340" t="inlineStr">
        <is>
          <t>Ambulatory</t>
        </is>
      </c>
      <c r="J1340" t="inlineStr">
        <is>
          <t>Vazquez, Carolyn</t>
        </is>
      </c>
      <c r="K1340" t="inlineStr">
        <is>
          <t>E78.5</t>
        </is>
      </c>
      <c r="L1340" t="inlineStr">
        <is>
          <t>Endocrine</t>
        </is>
      </c>
      <c r="M1340" t="inlineStr">
        <is>
          <t>State Medicaid</t>
        </is>
      </c>
      <c r="N1340" t="inlineStr">
        <is>
          <t>Government</t>
        </is>
      </c>
      <c r="O1340" s="39" t="n">
        <v>220.61</v>
      </c>
    </row>
    <row r="1341">
      <c r="A1341" t="inlineStr">
        <is>
          <t>ENC118154</t>
        </is>
      </c>
      <c r="B1341" t="inlineStr">
        <is>
          <t>PT10081</t>
        </is>
      </c>
      <c r="C1341" s="42" t="n">
        <v>45903</v>
      </c>
      <c r="D1341" s="42" t="n">
        <v>45905</v>
      </c>
      <c r="E1341" s="38" t="n">
        <v>2</v>
      </c>
      <c r="F1341" t="inlineStr">
        <is>
          <t>Inpatient</t>
        </is>
      </c>
      <c r="G1341" t="inlineStr">
        <is>
          <t>Bluestone Memorial Hospital</t>
        </is>
      </c>
      <c r="H1341" t="inlineStr">
        <is>
          <t>Orthopedics &amp; Spine</t>
        </is>
      </c>
      <c r="I1341" t="inlineStr">
        <is>
          <t>Orthopedics</t>
        </is>
      </c>
      <c r="J1341" t="inlineStr">
        <is>
          <t>Woods, Pamela</t>
        </is>
      </c>
      <c r="K1341" t="inlineStr">
        <is>
          <t>M16.11</t>
        </is>
      </c>
      <c r="L1341" t="inlineStr">
        <is>
          <t>Musculoskeletal</t>
        </is>
      </c>
      <c r="M1341" t="inlineStr">
        <is>
          <t>Medicare</t>
        </is>
      </c>
      <c r="N1341" t="inlineStr">
        <is>
          <t>Government</t>
        </is>
      </c>
      <c r="O1341" s="39" t="n">
        <v>81695.63</v>
      </c>
      <c r="P1341" t="inlineStr">
        <is>
          <t>N</t>
        </is>
      </c>
    </row>
    <row r="1342">
      <c r="A1342" t="inlineStr">
        <is>
          <t>ENC118163</t>
        </is>
      </c>
      <c r="B1342" t="inlineStr">
        <is>
          <t>PT10075</t>
        </is>
      </c>
      <c r="C1342" s="42" t="n">
        <v>45903</v>
      </c>
      <c r="D1342" s="42" t="n">
        <v>45903</v>
      </c>
      <c r="E1342" s="38" t="n">
        <v>0</v>
      </c>
      <c r="F1342" t="inlineStr">
        <is>
          <t>Outpatient</t>
        </is>
      </c>
      <c r="G1342" t="inlineStr">
        <is>
          <t>Bluestone Outpatient Pavilion</t>
        </is>
      </c>
      <c r="H1342" t="inlineStr">
        <is>
          <t>Endocrinology &amp; Diabetes Clinic</t>
        </is>
      </c>
      <c r="I1342" t="inlineStr">
        <is>
          <t>Ambulatory</t>
        </is>
      </c>
      <c r="J1342" t="inlineStr">
        <is>
          <t>Rivera, Scott</t>
        </is>
      </c>
      <c r="K1342" t="inlineStr">
        <is>
          <t>E11.9</t>
        </is>
      </c>
      <c r="L1342" t="inlineStr">
        <is>
          <t>Endocrine</t>
        </is>
      </c>
      <c r="M1342" t="inlineStr">
        <is>
          <t>Silverline Medicare Advantage</t>
        </is>
      </c>
      <c r="N1342" t="inlineStr">
        <is>
          <t>Medicare Advantage</t>
        </is>
      </c>
      <c r="O1342" s="39" t="n">
        <v>386.91</v>
      </c>
    </row>
    <row r="1343">
      <c r="A1343" t="inlineStr">
        <is>
          <t>ENC118179</t>
        </is>
      </c>
      <c r="B1343" t="inlineStr">
        <is>
          <t>PT12615</t>
        </is>
      </c>
      <c r="C1343" s="42" t="n">
        <v>45903</v>
      </c>
      <c r="D1343" s="42" t="n">
        <v>45903</v>
      </c>
      <c r="E1343" s="38" t="n">
        <v>0</v>
      </c>
      <c r="F1343" t="inlineStr">
        <is>
          <t>Outpatient</t>
        </is>
      </c>
      <c r="G1343" t="inlineStr">
        <is>
          <t>Bluestone Outpatient Pavilion</t>
        </is>
      </c>
      <c r="H1343" t="inlineStr">
        <is>
          <t>Infusion &amp; Oncology Clinic</t>
        </is>
      </c>
      <c r="I1343" t="inlineStr">
        <is>
          <t>Oncology</t>
        </is>
      </c>
      <c r="J1343" t="inlineStr">
        <is>
          <t>Hicks, Zachary</t>
        </is>
      </c>
      <c r="K1343" t="inlineStr">
        <is>
          <t>Z51.11</t>
        </is>
      </c>
      <c r="L1343" t="inlineStr">
        <is>
          <t>Factors Influencing Health</t>
        </is>
      </c>
      <c r="M1343" t="inlineStr">
        <is>
          <t>State Medicaid</t>
        </is>
      </c>
      <c r="N1343" t="inlineStr">
        <is>
          <t>Government</t>
        </is>
      </c>
      <c r="O1343" s="39" t="n">
        <v>16292.81</v>
      </c>
    </row>
    <row r="1344">
      <c r="A1344" t="inlineStr">
        <is>
          <t>ENC118180</t>
        </is>
      </c>
      <c r="B1344" t="inlineStr">
        <is>
          <t>PT10294</t>
        </is>
      </c>
      <c r="C1344" s="42" t="n">
        <v>45903</v>
      </c>
      <c r="D1344" s="42" t="n">
        <v>45903</v>
      </c>
      <c r="E1344" s="38" t="n">
        <v>0</v>
      </c>
      <c r="F1344" t="inlineStr">
        <is>
          <t>Emergency</t>
        </is>
      </c>
      <c r="G1344" t="inlineStr">
        <is>
          <t>Bluestone Memorial Hospital</t>
        </is>
      </c>
      <c r="H1344" t="inlineStr">
        <is>
          <t>Emergency Department</t>
        </is>
      </c>
      <c r="I1344" t="inlineStr">
        <is>
          <t>Emergency</t>
        </is>
      </c>
      <c r="J1344" t="inlineStr">
        <is>
          <t>Jordan, Wayne</t>
        </is>
      </c>
      <c r="K1344" t="inlineStr">
        <is>
          <t>H66.90</t>
        </is>
      </c>
      <c r="L1344" t="inlineStr">
        <is>
          <t>Ear</t>
        </is>
      </c>
      <c r="M1344" t="inlineStr">
        <is>
          <t>Evergreen Mutual Insurance</t>
        </is>
      </c>
      <c r="N1344" t="inlineStr">
        <is>
          <t>Commercial</t>
        </is>
      </c>
      <c r="O1344" s="39" t="n">
        <v>796.34</v>
      </c>
    </row>
    <row r="1345">
      <c r="A1345" t="inlineStr">
        <is>
          <t>ENC118182</t>
        </is>
      </c>
      <c r="B1345" t="inlineStr">
        <is>
          <t>PT11131</t>
        </is>
      </c>
      <c r="C1345" s="42" t="n">
        <v>45903</v>
      </c>
      <c r="D1345" s="42" t="n">
        <v>45903</v>
      </c>
      <c r="E1345" s="38" t="n">
        <v>0</v>
      </c>
      <c r="F1345" t="inlineStr">
        <is>
          <t>Emergency</t>
        </is>
      </c>
      <c r="G1345" t="inlineStr">
        <is>
          <t>Bluestone Memorial Hospital</t>
        </is>
      </c>
      <c r="H1345" t="inlineStr">
        <is>
          <t>Emergency Department</t>
        </is>
      </c>
      <c r="I1345" t="inlineStr">
        <is>
          <t>Emergency</t>
        </is>
      </c>
      <c r="J1345" t="inlineStr">
        <is>
          <t>Kowalski, James</t>
        </is>
      </c>
      <c r="K1345" t="inlineStr">
        <is>
          <t>E86.0</t>
        </is>
      </c>
      <c r="L1345" t="inlineStr">
        <is>
          <t>Endocrine</t>
        </is>
      </c>
      <c r="M1345" t="inlineStr">
        <is>
          <t>Self-Pay</t>
        </is>
      </c>
      <c r="N1345" t="inlineStr">
        <is>
          <t>Self-Pay</t>
        </is>
      </c>
      <c r="O1345" s="39" t="n">
        <v>4373.2</v>
      </c>
    </row>
    <row r="1346">
      <c r="A1346" t="inlineStr">
        <is>
          <t>ENC118168</t>
        </is>
      </c>
      <c r="B1346" t="inlineStr">
        <is>
          <t>PT12739</t>
        </is>
      </c>
      <c r="C1346" s="42" t="n">
        <v>45903</v>
      </c>
      <c r="D1346" s="42" t="n">
        <v>45908</v>
      </c>
      <c r="E1346" s="38" t="n">
        <v>5</v>
      </c>
      <c r="F1346" t="inlineStr">
        <is>
          <t>Inpatient</t>
        </is>
      </c>
      <c r="G1346" t="inlineStr">
        <is>
          <t>Bluestone Memorial Hospital</t>
        </is>
      </c>
      <c r="H1346" t="inlineStr">
        <is>
          <t>Medical-Surgical 5 East</t>
        </is>
      </c>
      <c r="I1346" t="inlineStr">
        <is>
          <t>Medicine</t>
        </is>
      </c>
      <c r="J1346" t="inlineStr">
        <is>
          <t>Yilmaz, Joe</t>
        </is>
      </c>
      <c r="K1346" t="inlineStr">
        <is>
          <t>N17.9</t>
        </is>
      </c>
      <c r="L1346" t="inlineStr">
        <is>
          <t>Genitourinary</t>
        </is>
      </c>
      <c r="M1346" t="inlineStr">
        <is>
          <t>Keystone Health Partners</t>
        </is>
      </c>
      <c r="N1346" t="inlineStr">
        <is>
          <t>Commercial</t>
        </is>
      </c>
      <c r="O1346" s="39" t="n">
        <v>22173.63</v>
      </c>
      <c r="P1346" t="inlineStr">
        <is>
          <t>N</t>
        </is>
      </c>
    </row>
    <row r="1347">
      <c r="A1347" t="inlineStr">
        <is>
          <t>ENC118185</t>
        </is>
      </c>
      <c r="B1347" t="inlineStr">
        <is>
          <t>PT13945</t>
        </is>
      </c>
      <c r="C1347" s="42" t="n">
        <v>45903</v>
      </c>
      <c r="D1347" s="42" t="n">
        <v>45903</v>
      </c>
      <c r="E1347" s="38" t="n">
        <v>0</v>
      </c>
      <c r="F1347" t="inlineStr">
        <is>
          <t>Emergency</t>
        </is>
      </c>
      <c r="G1347" t="inlineStr">
        <is>
          <t>Bluestone Memorial Hospital</t>
        </is>
      </c>
      <c r="H1347" t="inlineStr">
        <is>
          <t>Emergency Department</t>
        </is>
      </c>
      <c r="I1347" t="inlineStr">
        <is>
          <t>Emergency</t>
        </is>
      </c>
      <c r="J1347" t="inlineStr">
        <is>
          <t>Morris, Jordan</t>
        </is>
      </c>
      <c r="K1347" t="inlineStr">
        <is>
          <t>E86.0</t>
        </is>
      </c>
      <c r="L1347" t="inlineStr">
        <is>
          <t>Endocrine</t>
        </is>
      </c>
      <c r="M1347" t="inlineStr">
        <is>
          <t>Evergreen Mutual Insurance</t>
        </is>
      </c>
      <c r="N1347" t="inlineStr">
        <is>
          <t>Commercial</t>
        </is>
      </c>
      <c r="O1347" s="39" t="n">
        <v>3657.02</v>
      </c>
    </row>
    <row r="1348">
      <c r="A1348" t="inlineStr">
        <is>
          <t>ENC118186</t>
        </is>
      </c>
      <c r="B1348" t="inlineStr">
        <is>
          <t>PT13555</t>
        </is>
      </c>
      <c r="C1348" s="42" t="n">
        <v>45903</v>
      </c>
      <c r="D1348" s="42" t="n">
        <v>45904</v>
      </c>
      <c r="E1348" s="38" t="n">
        <v>1</v>
      </c>
      <c r="F1348" t="inlineStr">
        <is>
          <t>Observation</t>
        </is>
      </c>
      <c r="G1348" t="inlineStr">
        <is>
          <t>Bluestone Memorial Hospital</t>
        </is>
      </c>
      <c r="H1348" t="inlineStr">
        <is>
          <t>Observation Unit</t>
        </is>
      </c>
      <c r="I1348" t="inlineStr">
        <is>
          <t>Medicine</t>
        </is>
      </c>
      <c r="J1348" t="inlineStr">
        <is>
          <t>Alvarado, Tyler</t>
        </is>
      </c>
      <c r="K1348" t="inlineStr">
        <is>
          <t>K92.2</t>
        </is>
      </c>
      <c r="L1348" t="inlineStr">
        <is>
          <t>Digestive</t>
        </is>
      </c>
      <c r="M1348" t="inlineStr">
        <is>
          <t>Medicare</t>
        </is>
      </c>
      <c r="N1348" t="inlineStr">
        <is>
          <t>Government</t>
        </is>
      </c>
      <c r="O1348" s="39" t="n">
        <v>11240.24</v>
      </c>
    </row>
    <row r="1349">
      <c r="A1349" t="inlineStr">
        <is>
          <t>ENC118200</t>
        </is>
      </c>
      <c r="B1349" t="inlineStr">
        <is>
          <t>PT10374</t>
        </is>
      </c>
      <c r="C1349" s="42" t="n">
        <v>45904</v>
      </c>
      <c r="D1349" s="42" t="n">
        <v>45904</v>
      </c>
      <c r="E1349" s="38" t="n">
        <v>0</v>
      </c>
      <c r="F1349" t="inlineStr">
        <is>
          <t>Outpatient</t>
        </is>
      </c>
      <c r="G1349" t="inlineStr">
        <is>
          <t>Bluestone Outpatient Pavilion</t>
        </is>
      </c>
      <c r="H1349" t="inlineStr">
        <is>
          <t>Primary Care Clinic</t>
        </is>
      </c>
      <c r="I1349" t="inlineStr">
        <is>
          <t>Ambulatory</t>
        </is>
      </c>
      <c r="J1349" t="inlineStr">
        <is>
          <t>Black, Kelly</t>
        </is>
      </c>
      <c r="K1349" t="inlineStr">
        <is>
          <t>Z00.00</t>
        </is>
      </c>
      <c r="L1349" t="inlineStr">
        <is>
          <t>Factors Influencing Health</t>
        </is>
      </c>
      <c r="M1349" t="inlineStr">
        <is>
          <t>Summit Choice PPO</t>
        </is>
      </c>
      <c r="N1349" t="inlineStr">
        <is>
          <t>Commercial</t>
        </is>
      </c>
      <c r="O1349" s="39" t="n">
        <v>277.05</v>
      </c>
    </row>
    <row r="1350">
      <c r="A1350" t="inlineStr">
        <is>
          <t>ENC118204</t>
        </is>
      </c>
      <c r="B1350" t="inlineStr">
        <is>
          <t>PT10175</t>
        </is>
      </c>
      <c r="C1350" s="42" t="n">
        <v>45904</v>
      </c>
      <c r="D1350" s="42" t="n">
        <v>45904</v>
      </c>
      <c r="E1350" s="38" t="n">
        <v>0</v>
      </c>
      <c r="F1350" t="inlineStr">
        <is>
          <t>Outpatient</t>
        </is>
      </c>
      <c r="G1350" t="inlineStr">
        <is>
          <t>Bluestone Outpatient Pavilion</t>
        </is>
      </c>
      <c r="H1350" t="inlineStr">
        <is>
          <t>Primary Care Clinic</t>
        </is>
      </c>
      <c r="I1350" t="inlineStr">
        <is>
          <t>Ambulatory</t>
        </is>
      </c>
      <c r="J1350" t="inlineStr">
        <is>
          <t>Yilmaz, Richard</t>
        </is>
      </c>
      <c r="K1350" t="inlineStr">
        <is>
          <t>J45.909</t>
        </is>
      </c>
      <c r="L1350" t="inlineStr">
        <is>
          <t>Respiratory</t>
        </is>
      </c>
      <c r="M1350" t="inlineStr">
        <is>
          <t>Keystone Health Partners</t>
        </is>
      </c>
      <c r="N1350" t="inlineStr">
        <is>
          <t>Commercial</t>
        </is>
      </c>
      <c r="O1350" s="39" t="n">
        <v>509.71</v>
      </c>
    </row>
    <row r="1351">
      <c r="A1351" t="inlineStr">
        <is>
          <t>ENC118210</t>
        </is>
      </c>
      <c r="B1351" t="inlineStr">
        <is>
          <t>PT13029</t>
        </is>
      </c>
      <c r="C1351" s="42" t="n">
        <v>45904</v>
      </c>
      <c r="D1351" s="42" t="n">
        <v>45904</v>
      </c>
      <c r="E1351" s="38" t="n">
        <v>0</v>
      </c>
      <c r="F1351" t="inlineStr">
        <is>
          <t>Outpatient</t>
        </is>
      </c>
      <c r="G1351" t="inlineStr">
        <is>
          <t>Bluestone Outpatient Pavilion</t>
        </is>
      </c>
      <c r="H1351" t="inlineStr">
        <is>
          <t>Pediatric Clinic</t>
        </is>
      </c>
      <c r="I1351" t="inlineStr">
        <is>
          <t>Women &amp; Children</t>
        </is>
      </c>
      <c r="J1351" t="inlineStr">
        <is>
          <t>Herrera, Christian</t>
        </is>
      </c>
      <c r="K1351" t="inlineStr">
        <is>
          <t>Z00.129</t>
        </is>
      </c>
      <c r="L1351" t="inlineStr">
        <is>
          <t>Factors Influencing Health</t>
        </is>
      </c>
      <c r="M1351" t="inlineStr">
        <is>
          <t>Self-Pay</t>
        </is>
      </c>
      <c r="N1351" t="inlineStr">
        <is>
          <t>Self-Pay</t>
        </is>
      </c>
      <c r="O1351" s="39" t="n">
        <v>476.91</v>
      </c>
    </row>
    <row r="1352">
      <c r="A1352" t="inlineStr">
        <is>
          <t>ENC118211</t>
        </is>
      </c>
      <c r="B1352" t="inlineStr">
        <is>
          <t>PT10954</t>
        </is>
      </c>
      <c r="C1352" s="42" t="n">
        <v>45904</v>
      </c>
      <c r="D1352" s="42" t="n">
        <v>45904</v>
      </c>
      <c r="E1352" s="38" t="n">
        <v>0</v>
      </c>
      <c r="F1352" t="inlineStr">
        <is>
          <t>Outpatient</t>
        </is>
      </c>
      <c r="G1352" t="inlineStr">
        <is>
          <t>Bluestone Outpatient Pavilion</t>
        </is>
      </c>
      <c r="H1352" t="inlineStr">
        <is>
          <t>Pediatric Clinic</t>
        </is>
      </c>
      <c r="I1352" t="inlineStr">
        <is>
          <t>Women &amp; Children</t>
        </is>
      </c>
      <c r="J1352" t="inlineStr">
        <is>
          <t>Alvarez, Susan</t>
        </is>
      </c>
      <c r="K1352" t="inlineStr">
        <is>
          <t>Z00.129</t>
        </is>
      </c>
      <c r="L1352" t="inlineStr">
        <is>
          <t>Factors Influencing Health</t>
        </is>
      </c>
      <c r="M1352" t="inlineStr">
        <is>
          <t>State Medicaid</t>
        </is>
      </c>
      <c r="N1352" t="inlineStr">
        <is>
          <t>Government</t>
        </is>
      </c>
      <c r="O1352" s="39" t="n">
        <v>316.81</v>
      </c>
    </row>
    <row r="1353">
      <c r="A1353" t="inlineStr">
        <is>
          <t>ENC118205</t>
        </is>
      </c>
      <c r="B1353" t="inlineStr">
        <is>
          <t>PT13670</t>
        </is>
      </c>
      <c r="C1353" s="42" t="n">
        <v>45904</v>
      </c>
      <c r="D1353" s="42" t="n">
        <v>45909</v>
      </c>
      <c r="E1353" s="38" t="n">
        <v>5</v>
      </c>
      <c r="F1353" t="inlineStr">
        <is>
          <t>Inpatient</t>
        </is>
      </c>
      <c r="G1353" t="inlineStr">
        <is>
          <t>Bluestone Memorial Hospital</t>
        </is>
      </c>
      <c r="H1353" t="inlineStr">
        <is>
          <t>Medical-Surgical 4 West</t>
        </is>
      </c>
      <c r="I1353" t="inlineStr">
        <is>
          <t>Medicine</t>
        </is>
      </c>
      <c r="J1353" t="inlineStr">
        <is>
          <t>Abdi, Hassan</t>
        </is>
      </c>
      <c r="K1353" t="inlineStr">
        <is>
          <t>L03.115</t>
        </is>
      </c>
      <c r="L1353" t="inlineStr">
        <is>
          <t>Skin</t>
        </is>
      </c>
      <c r="M1353" t="inlineStr">
        <is>
          <t>Keystone Health Partners</t>
        </is>
      </c>
      <c r="N1353" t="inlineStr">
        <is>
          <t>Commercial</t>
        </is>
      </c>
      <c r="O1353" s="39" t="n">
        <v>21089.47</v>
      </c>
      <c r="P1353" t="inlineStr">
        <is>
          <t>N</t>
        </is>
      </c>
    </row>
    <row r="1354">
      <c r="A1354" t="inlineStr">
        <is>
          <t>ENC118223</t>
        </is>
      </c>
      <c r="B1354" t="inlineStr">
        <is>
          <t>PT10653</t>
        </is>
      </c>
      <c r="C1354" s="42" t="n">
        <v>45905</v>
      </c>
      <c r="D1354" s="42" t="n">
        <v>45905</v>
      </c>
      <c r="E1354" s="38" t="n">
        <v>0</v>
      </c>
      <c r="F1354" t="inlineStr">
        <is>
          <t>Outpatient</t>
        </is>
      </c>
      <c r="G1354" t="inlineStr">
        <is>
          <t>Bluestone Outpatient Pavilion</t>
        </is>
      </c>
      <c r="H1354" t="inlineStr">
        <is>
          <t>Endocrinology &amp; Diabetes Clinic</t>
        </is>
      </c>
      <c r="I1354" t="inlineStr">
        <is>
          <t>Ambulatory</t>
        </is>
      </c>
      <c r="J1354" t="inlineStr">
        <is>
          <t>Lee, Amber</t>
        </is>
      </c>
      <c r="K1354" t="inlineStr">
        <is>
          <t>E11.9</t>
        </is>
      </c>
      <c r="L1354" t="inlineStr">
        <is>
          <t>Endocrine</t>
        </is>
      </c>
      <c r="M1354" t="inlineStr">
        <is>
          <t>Medicare</t>
        </is>
      </c>
      <c r="N1354" t="inlineStr">
        <is>
          <t>Government</t>
        </is>
      </c>
      <c r="O1354" s="39" t="n">
        <v>311.01</v>
      </c>
    </row>
    <row r="1355">
      <c r="A1355" t="inlineStr">
        <is>
          <t>ENC118224</t>
        </is>
      </c>
      <c r="B1355" t="inlineStr">
        <is>
          <t>PT10547</t>
        </is>
      </c>
      <c r="C1355" s="42" t="n">
        <v>45905</v>
      </c>
      <c r="D1355" s="42" t="n">
        <v>45905</v>
      </c>
      <c r="E1355" s="38" t="n">
        <v>0</v>
      </c>
      <c r="F1355" t="inlineStr">
        <is>
          <t>Outpatient</t>
        </is>
      </c>
      <c r="G1355" t="inlineStr">
        <is>
          <t>Bluestone Outpatient Pavilion</t>
        </is>
      </c>
      <c r="H1355" t="inlineStr">
        <is>
          <t>Infusion &amp; Oncology Clinic</t>
        </is>
      </c>
      <c r="I1355" t="inlineStr">
        <is>
          <t>Oncology</t>
        </is>
      </c>
      <c r="J1355" t="inlineStr">
        <is>
          <t>Long, Fatima</t>
        </is>
      </c>
      <c r="K1355" t="inlineStr">
        <is>
          <t>Z51.11</t>
        </is>
      </c>
      <c r="L1355" t="inlineStr">
        <is>
          <t>Factors Influencing Health</t>
        </is>
      </c>
      <c r="M1355" t="inlineStr">
        <is>
          <t>Keystone Health Partners</t>
        </is>
      </c>
      <c r="N1355" t="inlineStr">
        <is>
          <t>Commercial</t>
        </is>
      </c>
      <c r="O1355" s="39" t="n">
        <v>6490.47</v>
      </c>
    </row>
    <row r="1356">
      <c r="A1356" t="inlineStr">
        <is>
          <t>ENC118227</t>
        </is>
      </c>
      <c r="B1356" t="inlineStr">
        <is>
          <t>PT13571</t>
        </is>
      </c>
      <c r="C1356" s="42" t="n">
        <v>45905</v>
      </c>
      <c r="D1356" s="42" t="n">
        <v>45908</v>
      </c>
      <c r="E1356" s="38" t="n">
        <v>3</v>
      </c>
      <c r="F1356" t="inlineStr">
        <is>
          <t>Inpatient</t>
        </is>
      </c>
      <c r="G1356" t="inlineStr">
        <is>
          <t>Cedar Ridge Medical Center</t>
        </is>
      </c>
      <c r="H1356" t="inlineStr">
        <is>
          <t>Medical-Surgical</t>
        </is>
      </c>
      <c r="I1356" t="inlineStr">
        <is>
          <t>Medicine</t>
        </is>
      </c>
      <c r="J1356" t="inlineStr">
        <is>
          <t>Peters, Frank</t>
        </is>
      </c>
      <c r="K1356" t="inlineStr">
        <is>
          <t>E86.0</t>
        </is>
      </c>
      <c r="L1356" t="inlineStr">
        <is>
          <t>Endocrine</t>
        </is>
      </c>
      <c r="M1356" t="inlineStr">
        <is>
          <t>Self-Pay</t>
        </is>
      </c>
      <c r="N1356" t="inlineStr">
        <is>
          <t>Self-Pay</t>
        </is>
      </c>
      <c r="O1356" s="39" t="n">
        <v>10391.37</v>
      </c>
      <c r="P1356" t="inlineStr">
        <is>
          <t>Y</t>
        </is>
      </c>
    </row>
    <row r="1357">
      <c r="A1357" t="inlineStr">
        <is>
          <t>ENC118231</t>
        </is>
      </c>
      <c r="B1357" t="inlineStr">
        <is>
          <t>PT12796</t>
        </is>
      </c>
      <c r="C1357" s="42" t="n">
        <v>45905</v>
      </c>
      <c r="D1357" s="42" t="n">
        <v>45905</v>
      </c>
      <c r="E1357" s="38" t="n">
        <v>0</v>
      </c>
      <c r="F1357" t="inlineStr">
        <is>
          <t>Outpatient</t>
        </is>
      </c>
      <c r="G1357" t="inlineStr">
        <is>
          <t>Bluestone Outpatient Pavilion</t>
        </is>
      </c>
      <c r="H1357" t="inlineStr">
        <is>
          <t>Primary Care Clinic</t>
        </is>
      </c>
      <c r="I1357" t="inlineStr">
        <is>
          <t>Ambulatory</t>
        </is>
      </c>
      <c r="J1357" t="inlineStr">
        <is>
          <t>Fisher, Brandon</t>
        </is>
      </c>
      <c r="K1357" t="inlineStr">
        <is>
          <t>G43.909</t>
        </is>
      </c>
      <c r="L1357" t="inlineStr">
        <is>
          <t>Nervous System</t>
        </is>
      </c>
      <c r="M1357" t="inlineStr">
        <is>
          <t>State Medicaid</t>
        </is>
      </c>
      <c r="N1357" t="inlineStr">
        <is>
          <t>Government</t>
        </is>
      </c>
      <c r="O1357" s="39" t="n">
        <v>214.11</v>
      </c>
    </row>
    <row r="1358">
      <c r="A1358" t="inlineStr">
        <is>
          <t>ENC118240</t>
        </is>
      </c>
      <c r="B1358" t="inlineStr">
        <is>
          <t>PT13071</t>
        </is>
      </c>
      <c r="C1358" s="42" t="n">
        <v>45905</v>
      </c>
      <c r="D1358" s="42" t="n">
        <v>45905</v>
      </c>
      <c r="E1358" s="38" t="n">
        <v>0</v>
      </c>
      <c r="F1358" t="inlineStr">
        <is>
          <t>Outpatient</t>
        </is>
      </c>
      <c r="G1358" t="inlineStr">
        <is>
          <t>Bluestone Outpatient Pavilion</t>
        </is>
      </c>
      <c r="H1358" t="inlineStr">
        <is>
          <t>Primary Care Clinic</t>
        </is>
      </c>
      <c r="I1358" t="inlineStr">
        <is>
          <t>Ambulatory</t>
        </is>
      </c>
      <c r="J1358" t="inlineStr">
        <is>
          <t>Black, Kelly</t>
        </is>
      </c>
      <c r="K1358" t="inlineStr">
        <is>
          <t>I10</t>
        </is>
      </c>
      <c r="L1358" t="inlineStr">
        <is>
          <t>Circulatory</t>
        </is>
      </c>
      <c r="M1358" t="inlineStr">
        <is>
          <t>Self-Pay</t>
        </is>
      </c>
      <c r="N1358" t="inlineStr">
        <is>
          <t>Self-Pay</t>
        </is>
      </c>
      <c r="O1358" s="39" t="n">
        <v>442.48</v>
      </c>
    </row>
    <row r="1359">
      <c r="A1359" t="inlineStr">
        <is>
          <t>ENC118241</t>
        </is>
      </c>
      <c r="B1359" t="inlineStr">
        <is>
          <t>PT12442</t>
        </is>
      </c>
      <c r="C1359" s="42" t="n">
        <v>45905</v>
      </c>
      <c r="D1359" s="42" t="n">
        <v>45905</v>
      </c>
      <c r="E1359" s="38" t="n">
        <v>0</v>
      </c>
      <c r="F1359" t="inlineStr">
        <is>
          <t>Outpatient</t>
        </is>
      </c>
      <c r="G1359" t="inlineStr">
        <is>
          <t>Bluestone Outpatient Pavilion</t>
        </is>
      </c>
      <c r="H1359" t="inlineStr">
        <is>
          <t>Cardiology Clinic</t>
        </is>
      </c>
      <c r="I1359" t="inlineStr">
        <is>
          <t>Cardiovascular</t>
        </is>
      </c>
      <c r="J1359" t="inlineStr">
        <is>
          <t>Gomez, Mateo</t>
        </is>
      </c>
      <c r="K1359" t="inlineStr">
        <is>
          <t>I50.9</t>
        </is>
      </c>
      <c r="L1359" t="inlineStr">
        <is>
          <t>Circulatory</t>
        </is>
      </c>
      <c r="M1359" t="inlineStr">
        <is>
          <t>Keystone Health Partners</t>
        </is>
      </c>
      <c r="N1359" t="inlineStr">
        <is>
          <t>Commercial</t>
        </is>
      </c>
      <c r="O1359" s="39" t="n">
        <v>342.53</v>
      </c>
    </row>
    <row r="1360">
      <c r="A1360" t="inlineStr">
        <is>
          <t>ENC118243</t>
        </is>
      </c>
      <c r="B1360" t="inlineStr">
        <is>
          <t>PT12963</t>
        </is>
      </c>
      <c r="C1360" s="42" t="n">
        <v>45905</v>
      </c>
      <c r="D1360" s="42" t="n">
        <v>45905</v>
      </c>
      <c r="E1360" s="38" t="n">
        <v>0</v>
      </c>
      <c r="F1360" t="inlineStr">
        <is>
          <t>Outpatient</t>
        </is>
      </c>
      <c r="G1360" t="inlineStr">
        <is>
          <t>Bluestone Outpatient Pavilion</t>
        </is>
      </c>
      <c r="H1360" t="inlineStr">
        <is>
          <t>Endocrinology &amp; Diabetes Clinic</t>
        </is>
      </c>
      <c r="I1360" t="inlineStr">
        <is>
          <t>Ambulatory</t>
        </is>
      </c>
      <c r="J1360" t="inlineStr">
        <is>
          <t>Lee, Amber</t>
        </is>
      </c>
      <c r="K1360" t="inlineStr">
        <is>
          <t>E11.65</t>
        </is>
      </c>
      <c r="L1360" t="inlineStr">
        <is>
          <t>Endocrine</t>
        </is>
      </c>
      <c r="M1360" t="inlineStr">
        <is>
          <t>Medicare</t>
        </is>
      </c>
      <c r="N1360" t="inlineStr">
        <is>
          <t>Government</t>
        </is>
      </c>
      <c r="O1360" s="39" t="n">
        <v>226.11</v>
      </c>
    </row>
    <row r="1361">
      <c r="A1361" t="inlineStr">
        <is>
          <t>ENC118246</t>
        </is>
      </c>
      <c r="B1361" t="inlineStr">
        <is>
          <t>PT11916</t>
        </is>
      </c>
      <c r="C1361" s="42" t="n">
        <v>45905</v>
      </c>
      <c r="D1361" s="42" t="n">
        <v>45905</v>
      </c>
      <c r="E1361" s="38" t="n">
        <v>0</v>
      </c>
      <c r="F1361" t="inlineStr">
        <is>
          <t>Emergency</t>
        </is>
      </c>
      <c r="G1361" t="inlineStr">
        <is>
          <t>Bluestone Memorial Hospital</t>
        </is>
      </c>
      <c r="H1361" t="inlineStr">
        <is>
          <t>Emergency Department</t>
        </is>
      </c>
      <c r="I1361" t="inlineStr">
        <is>
          <t>Emergency</t>
        </is>
      </c>
      <c r="J1361" t="inlineStr">
        <is>
          <t>Gonzales, Mia</t>
        </is>
      </c>
      <c r="K1361" t="inlineStr">
        <is>
          <t>N39.0</t>
        </is>
      </c>
      <c r="L1361" t="inlineStr">
        <is>
          <t>Genitourinary</t>
        </is>
      </c>
      <c r="M1361" t="inlineStr">
        <is>
          <t>Keystone Health Partners</t>
        </is>
      </c>
      <c r="N1361" t="inlineStr">
        <is>
          <t>Commercial</t>
        </is>
      </c>
      <c r="O1361" s="39" t="n">
        <v>3538.33</v>
      </c>
    </row>
    <row r="1362">
      <c r="A1362" t="inlineStr">
        <is>
          <t>ENC118251</t>
        </is>
      </c>
      <c r="B1362" t="inlineStr">
        <is>
          <t>PT11713</t>
        </is>
      </c>
      <c r="C1362" s="42" t="n">
        <v>45905</v>
      </c>
      <c r="D1362" s="42" t="n">
        <v>45907</v>
      </c>
      <c r="E1362" s="38" t="n">
        <v>2</v>
      </c>
      <c r="F1362" t="inlineStr">
        <is>
          <t>Inpatient</t>
        </is>
      </c>
      <c r="G1362" t="inlineStr">
        <is>
          <t>Bluestone Memorial Hospital</t>
        </is>
      </c>
      <c r="H1362" t="inlineStr">
        <is>
          <t>Medical-Surgical 5 East</t>
        </is>
      </c>
      <c r="I1362" t="inlineStr">
        <is>
          <t>Medicine</t>
        </is>
      </c>
      <c r="J1362" t="inlineStr">
        <is>
          <t>Alvarado, Tyler</t>
        </is>
      </c>
      <c r="K1362" t="inlineStr">
        <is>
          <t>E87.1</t>
        </is>
      </c>
      <c r="L1362" t="inlineStr">
        <is>
          <t>Endocrine</t>
        </is>
      </c>
      <c r="M1362" t="inlineStr">
        <is>
          <t>Silverline Medicare Advantage</t>
        </is>
      </c>
      <c r="N1362" t="inlineStr">
        <is>
          <t>Medicare Advantage</t>
        </is>
      </c>
      <c r="O1362" s="39" t="n">
        <v>9098.48</v>
      </c>
      <c r="P1362" t="inlineStr">
        <is>
          <t>N</t>
        </is>
      </c>
    </row>
    <row r="1363">
      <c r="A1363" t="inlineStr">
        <is>
          <t>ENC118263</t>
        </is>
      </c>
      <c r="B1363" t="inlineStr">
        <is>
          <t>PT10192</t>
        </is>
      </c>
      <c r="C1363" s="42" t="n">
        <v>45907</v>
      </c>
      <c r="D1363" s="42" t="n">
        <v>45911</v>
      </c>
      <c r="E1363" s="38" t="n">
        <v>4</v>
      </c>
      <c r="F1363" t="inlineStr">
        <is>
          <t>Inpatient</t>
        </is>
      </c>
      <c r="G1363" t="inlineStr">
        <is>
          <t>Bluestone Memorial Hospital</t>
        </is>
      </c>
      <c r="H1363" t="inlineStr">
        <is>
          <t>Intensive Care Unit</t>
        </is>
      </c>
      <c r="I1363" t="inlineStr">
        <is>
          <t>Critical Care</t>
        </is>
      </c>
      <c r="J1363" t="inlineStr">
        <is>
          <t>Bryant, Janet</t>
        </is>
      </c>
      <c r="K1363" t="inlineStr">
        <is>
          <t>J96.01</t>
        </is>
      </c>
      <c r="L1363" t="inlineStr">
        <is>
          <t>Respiratory</t>
        </is>
      </c>
      <c r="M1363" t="inlineStr">
        <is>
          <t>Summit Choice PPO</t>
        </is>
      </c>
      <c r="N1363" t="inlineStr">
        <is>
          <t>Commercial</t>
        </is>
      </c>
      <c r="O1363" s="39" t="n">
        <v>58394.99</v>
      </c>
      <c r="P1363" t="inlineStr">
        <is>
          <t>N</t>
        </is>
      </c>
    </row>
    <row r="1364">
      <c r="A1364" t="inlineStr">
        <is>
          <t>ENC118266</t>
        </is>
      </c>
      <c r="B1364" t="inlineStr">
        <is>
          <t>PT10219</t>
        </is>
      </c>
      <c r="C1364" s="42" t="n">
        <v>45907</v>
      </c>
      <c r="D1364" s="42" t="n">
        <v>45907</v>
      </c>
      <c r="E1364" s="38" t="n">
        <v>0</v>
      </c>
      <c r="F1364" t="inlineStr">
        <is>
          <t>Emergency</t>
        </is>
      </c>
      <c r="G1364" t="inlineStr">
        <is>
          <t>Cedar Ridge Medical Center</t>
        </is>
      </c>
      <c r="H1364" t="inlineStr">
        <is>
          <t>Emergency Department</t>
        </is>
      </c>
      <c r="I1364" t="inlineStr">
        <is>
          <t>Emergency</t>
        </is>
      </c>
      <c r="J1364" t="inlineStr">
        <is>
          <t>Schmidt, Anna</t>
        </is>
      </c>
      <c r="K1364" t="inlineStr">
        <is>
          <t>J44.1</t>
        </is>
      </c>
      <c r="L1364" t="inlineStr">
        <is>
          <t>Respiratory</t>
        </is>
      </c>
      <c r="M1364" t="inlineStr">
        <is>
          <t>Medicare</t>
        </is>
      </c>
      <c r="N1364" t="inlineStr">
        <is>
          <t>Government</t>
        </is>
      </c>
      <c r="O1364" s="39" t="n">
        <v>6621.64</v>
      </c>
    </row>
    <row r="1365">
      <c r="A1365" t="inlineStr">
        <is>
          <t>ENC118265</t>
        </is>
      </c>
      <c r="B1365" t="inlineStr">
        <is>
          <t>PT10328</t>
        </is>
      </c>
      <c r="C1365" s="42" t="n">
        <v>45907</v>
      </c>
      <c r="D1365" s="42" t="n">
        <v>45908</v>
      </c>
      <c r="E1365" s="38" t="n">
        <v>1</v>
      </c>
      <c r="F1365" t="inlineStr">
        <is>
          <t>Observation</t>
        </is>
      </c>
      <c r="G1365" t="inlineStr">
        <is>
          <t>Bluestone Memorial Hospital</t>
        </is>
      </c>
      <c r="H1365" t="inlineStr">
        <is>
          <t>Observation Unit</t>
        </is>
      </c>
      <c r="I1365" t="inlineStr">
        <is>
          <t>Medicine</t>
        </is>
      </c>
      <c r="J1365" t="inlineStr">
        <is>
          <t>Cruz, Roger</t>
        </is>
      </c>
      <c r="K1365" t="inlineStr">
        <is>
          <t>R55</t>
        </is>
      </c>
      <c r="L1365" t="inlineStr">
        <is>
          <t>Symptoms &amp; Signs</t>
        </is>
      </c>
      <c r="M1365" t="inlineStr">
        <is>
          <t>Keystone Health Partners</t>
        </is>
      </c>
      <c r="N1365" t="inlineStr">
        <is>
          <t>Commercial</t>
        </is>
      </c>
      <c r="O1365" s="39" t="n">
        <v>5635.81</v>
      </c>
    </row>
    <row r="1366">
      <c r="A1366" t="inlineStr">
        <is>
          <t>ENC118274</t>
        </is>
      </c>
      <c r="B1366" t="inlineStr">
        <is>
          <t>PT11093</t>
        </is>
      </c>
      <c r="C1366" s="42" t="n">
        <v>45907</v>
      </c>
      <c r="D1366" s="42" t="n">
        <v>45908</v>
      </c>
      <c r="E1366" s="38" t="n">
        <v>1</v>
      </c>
      <c r="F1366" t="inlineStr">
        <is>
          <t>Observation</t>
        </is>
      </c>
      <c r="G1366" t="inlineStr">
        <is>
          <t>Ashby Falls Community Hospital</t>
        </is>
      </c>
      <c r="H1366" t="inlineStr">
        <is>
          <t>Medical-Surgical</t>
        </is>
      </c>
      <c r="I1366" t="inlineStr">
        <is>
          <t>Medicine</t>
        </is>
      </c>
      <c r="J1366" t="inlineStr">
        <is>
          <t>Moreno, Melissa</t>
        </is>
      </c>
      <c r="K1366" t="inlineStr">
        <is>
          <t>I48.91</t>
        </is>
      </c>
      <c r="L1366" t="inlineStr">
        <is>
          <t>Circulatory</t>
        </is>
      </c>
      <c r="M1366" t="inlineStr">
        <is>
          <t>Silverline Medicare Advantage</t>
        </is>
      </c>
      <c r="N1366" t="inlineStr">
        <is>
          <t>Medicare Advantage</t>
        </is>
      </c>
      <c r="O1366" s="39" t="n">
        <v>9443.17</v>
      </c>
    </row>
    <row r="1367">
      <c r="A1367" t="inlineStr">
        <is>
          <t>ENC118289</t>
        </is>
      </c>
      <c r="B1367" t="inlineStr">
        <is>
          <t>PT12632</t>
        </is>
      </c>
      <c r="C1367" s="42" t="n">
        <v>45908</v>
      </c>
      <c r="D1367" s="42" t="n">
        <v>45908</v>
      </c>
      <c r="E1367" s="38" t="n">
        <v>0</v>
      </c>
      <c r="F1367" t="inlineStr">
        <is>
          <t>Outpatient</t>
        </is>
      </c>
      <c r="G1367" t="inlineStr">
        <is>
          <t>Bluestone Outpatient Pavilion</t>
        </is>
      </c>
      <c r="H1367" t="inlineStr">
        <is>
          <t>Pediatric Clinic</t>
        </is>
      </c>
      <c r="I1367" t="inlineStr">
        <is>
          <t>Women &amp; Children</t>
        </is>
      </c>
      <c r="J1367" t="inlineStr">
        <is>
          <t>Aguilar, Linh</t>
        </is>
      </c>
      <c r="K1367" t="inlineStr">
        <is>
          <t>G40.909</t>
        </is>
      </c>
      <c r="L1367" t="inlineStr">
        <is>
          <t>Nervous System</t>
        </is>
      </c>
      <c r="M1367" t="inlineStr">
        <is>
          <t>Evergreen Mutual Insurance</t>
        </is>
      </c>
      <c r="N1367" t="inlineStr">
        <is>
          <t>Commercial</t>
        </is>
      </c>
      <c r="O1367" s="39" t="n">
        <v>196.88</v>
      </c>
    </row>
    <row r="1368">
      <c r="A1368" t="inlineStr">
        <is>
          <t>ENC118292</t>
        </is>
      </c>
      <c r="B1368" t="inlineStr">
        <is>
          <t>PT13497</t>
        </is>
      </c>
      <c r="C1368" s="42" t="n">
        <v>45908</v>
      </c>
      <c r="D1368" s="42" t="n">
        <v>45908</v>
      </c>
      <c r="E1368" s="38" t="n">
        <v>0</v>
      </c>
      <c r="F1368" t="inlineStr">
        <is>
          <t>Outpatient</t>
        </is>
      </c>
      <c r="G1368" t="inlineStr">
        <is>
          <t>Bluestone Outpatient Pavilion</t>
        </is>
      </c>
      <c r="H1368" t="inlineStr">
        <is>
          <t>Primary Care Clinic</t>
        </is>
      </c>
      <c r="I1368" t="inlineStr">
        <is>
          <t>Ambulatory</t>
        </is>
      </c>
      <c r="J1368" t="inlineStr">
        <is>
          <t>Petrov, Doris</t>
        </is>
      </c>
      <c r="K1368" t="inlineStr">
        <is>
          <t>J44.1</t>
        </is>
      </c>
      <c r="L1368" t="inlineStr">
        <is>
          <t>Respiratory</t>
        </is>
      </c>
      <c r="M1368" t="inlineStr">
        <is>
          <t>Silverline Medicare Advantage</t>
        </is>
      </c>
      <c r="N1368" t="inlineStr">
        <is>
          <t>Medicare Advantage</t>
        </is>
      </c>
      <c r="O1368" s="39" t="n">
        <v>282.98</v>
      </c>
    </row>
    <row r="1369">
      <c r="A1369" t="inlineStr">
        <is>
          <t>ENC118306</t>
        </is>
      </c>
      <c r="B1369" t="inlineStr">
        <is>
          <t>PT11128</t>
        </is>
      </c>
      <c r="C1369" s="42" t="n">
        <v>45908</v>
      </c>
      <c r="D1369" s="42" t="n">
        <v>45908</v>
      </c>
      <c r="E1369" s="38" t="n">
        <v>0</v>
      </c>
      <c r="F1369" t="inlineStr">
        <is>
          <t>Emergency</t>
        </is>
      </c>
      <c r="G1369" t="inlineStr">
        <is>
          <t>Bluestone Memorial Hospital</t>
        </is>
      </c>
      <c r="H1369" t="inlineStr">
        <is>
          <t>Emergency Department</t>
        </is>
      </c>
      <c r="I1369" t="inlineStr">
        <is>
          <t>Emergency</t>
        </is>
      </c>
      <c r="J1369" t="inlineStr">
        <is>
          <t>Payne, Nancy</t>
        </is>
      </c>
      <c r="K1369" t="inlineStr">
        <is>
          <t>F32.9</t>
        </is>
      </c>
      <c r="L1369" t="inlineStr">
        <is>
          <t>Mental &amp; Behavioral</t>
        </is>
      </c>
      <c r="M1369" t="inlineStr">
        <is>
          <t>Keystone Health Partners</t>
        </is>
      </c>
      <c r="N1369" t="inlineStr">
        <is>
          <t>Commercial</t>
        </is>
      </c>
      <c r="O1369" s="39" t="n">
        <v>3276.02</v>
      </c>
    </row>
    <row r="1370">
      <c r="A1370" t="inlineStr">
        <is>
          <t>ENC118311</t>
        </is>
      </c>
      <c r="B1370" t="inlineStr">
        <is>
          <t>PT11676</t>
        </is>
      </c>
      <c r="C1370" s="42" t="n">
        <v>45908</v>
      </c>
      <c r="D1370" s="42" t="n">
        <v>45909</v>
      </c>
      <c r="E1370" s="38" t="n">
        <v>1</v>
      </c>
      <c r="F1370" t="inlineStr">
        <is>
          <t>Emergency</t>
        </is>
      </c>
      <c r="G1370" t="inlineStr">
        <is>
          <t>Bluestone Memorial Hospital</t>
        </is>
      </c>
      <c r="H1370" t="inlineStr">
        <is>
          <t>Emergency Department</t>
        </is>
      </c>
      <c r="I1370" t="inlineStr">
        <is>
          <t>Emergency</t>
        </is>
      </c>
      <c r="J1370" t="inlineStr">
        <is>
          <t>Payne, Nancy</t>
        </is>
      </c>
      <c r="K1370" t="inlineStr">
        <is>
          <t>F41.9</t>
        </is>
      </c>
      <c r="L1370" t="inlineStr">
        <is>
          <t>Mental &amp; Behavioral</t>
        </is>
      </c>
      <c r="M1370" t="inlineStr">
        <is>
          <t>State Medicaid</t>
        </is>
      </c>
      <c r="N1370" t="inlineStr">
        <is>
          <t>Government</t>
        </is>
      </c>
      <c r="O1370" s="39" t="n">
        <v>1069.76</v>
      </c>
    </row>
    <row r="1371">
      <c r="A1371" t="inlineStr">
        <is>
          <t>ENC118314</t>
        </is>
      </c>
      <c r="B1371" t="inlineStr">
        <is>
          <t>PT13395</t>
        </is>
      </c>
      <c r="C1371" s="42" t="n">
        <v>45909</v>
      </c>
      <c r="D1371" s="42" t="n">
        <v>45909</v>
      </c>
      <c r="E1371" s="38" t="n">
        <v>0</v>
      </c>
      <c r="F1371" t="inlineStr">
        <is>
          <t>Emergency</t>
        </is>
      </c>
      <c r="G1371" t="inlineStr">
        <is>
          <t>Bluestone Memorial Hospital</t>
        </is>
      </c>
      <c r="H1371" t="inlineStr">
        <is>
          <t>Emergency Department</t>
        </is>
      </c>
      <c r="I1371" t="inlineStr">
        <is>
          <t>Emergency</t>
        </is>
      </c>
      <c r="J1371" t="inlineStr">
        <is>
          <t>Foster, Patrick</t>
        </is>
      </c>
      <c r="K1371" t="inlineStr">
        <is>
          <t>R55</t>
        </is>
      </c>
      <c r="L1371" t="inlineStr">
        <is>
          <t>Symptoms &amp; Signs</t>
        </is>
      </c>
      <c r="M1371" t="inlineStr">
        <is>
          <t>Silverline Medicare Advantage</t>
        </is>
      </c>
      <c r="N1371" t="inlineStr">
        <is>
          <t>Medicare Advantage</t>
        </is>
      </c>
      <c r="O1371" s="39" t="n">
        <v>3237.47</v>
      </c>
    </row>
    <row r="1372">
      <c r="A1372" t="inlineStr">
        <is>
          <t>ENC118316</t>
        </is>
      </c>
      <c r="B1372" t="inlineStr">
        <is>
          <t>PT13325</t>
        </is>
      </c>
      <c r="C1372" s="42" t="n">
        <v>45909</v>
      </c>
      <c r="D1372" s="42" t="n">
        <v>45913</v>
      </c>
      <c r="E1372" s="38" t="n">
        <v>4</v>
      </c>
      <c r="F1372" t="inlineStr">
        <is>
          <t>Inpatient</t>
        </is>
      </c>
      <c r="G1372" t="inlineStr">
        <is>
          <t>Bluestone Memorial Hospital</t>
        </is>
      </c>
      <c r="H1372" t="inlineStr">
        <is>
          <t>Intensive Care Unit</t>
        </is>
      </c>
      <c r="I1372" t="inlineStr">
        <is>
          <t>Critical Care</t>
        </is>
      </c>
      <c r="J1372" t="inlineStr">
        <is>
          <t>Hamilton, Leila</t>
        </is>
      </c>
      <c r="K1372" t="inlineStr">
        <is>
          <t>K92.2</t>
        </is>
      </c>
      <c r="L1372" t="inlineStr">
        <is>
          <t>Digestive</t>
        </is>
      </c>
      <c r="M1372" t="inlineStr">
        <is>
          <t>State Medicaid</t>
        </is>
      </c>
      <c r="N1372" t="inlineStr">
        <is>
          <t>Government</t>
        </is>
      </c>
      <c r="O1372" s="39" t="n">
        <v>44415.64</v>
      </c>
      <c r="P1372" t="inlineStr">
        <is>
          <t>N</t>
        </is>
      </c>
    </row>
    <row r="1373">
      <c r="A1373" t="inlineStr">
        <is>
          <t>ENC118323</t>
        </is>
      </c>
      <c r="B1373" t="inlineStr">
        <is>
          <t>PT10932</t>
        </is>
      </c>
      <c r="C1373" s="42" t="n">
        <v>45909</v>
      </c>
      <c r="D1373" s="42" t="n">
        <v>45909</v>
      </c>
      <c r="E1373" s="38" t="n">
        <v>0</v>
      </c>
      <c r="F1373" t="inlineStr">
        <is>
          <t>Emergency</t>
        </is>
      </c>
      <c r="G1373" t="inlineStr">
        <is>
          <t>Bluestone Memorial Hospital</t>
        </is>
      </c>
      <c r="H1373" t="inlineStr">
        <is>
          <t>Emergency Department</t>
        </is>
      </c>
      <c r="I1373" t="inlineStr">
        <is>
          <t>Emergency</t>
        </is>
      </c>
      <c r="J1373" t="inlineStr">
        <is>
          <t>Ferguson, Roy</t>
        </is>
      </c>
      <c r="K1373" t="inlineStr">
        <is>
          <t>J18.9</t>
        </is>
      </c>
      <c r="L1373" t="inlineStr">
        <is>
          <t>Respiratory</t>
        </is>
      </c>
      <c r="M1373" t="inlineStr">
        <is>
          <t>Evergreen Mutual Insurance</t>
        </is>
      </c>
      <c r="N1373" t="inlineStr">
        <is>
          <t>Commercial</t>
        </is>
      </c>
      <c r="O1373" s="39" t="n">
        <v>1400.54</v>
      </c>
    </row>
    <row r="1374">
      <c r="A1374" t="inlineStr">
        <is>
          <t>ENC118334</t>
        </is>
      </c>
      <c r="B1374" t="inlineStr">
        <is>
          <t>PT10205</t>
        </is>
      </c>
      <c r="C1374" s="42" t="n">
        <v>45909</v>
      </c>
      <c r="D1374" s="42" t="n">
        <v>45909</v>
      </c>
      <c r="E1374" s="38" t="n">
        <v>0</v>
      </c>
      <c r="F1374" t="inlineStr">
        <is>
          <t>Outpatient</t>
        </is>
      </c>
      <c r="G1374" t="inlineStr">
        <is>
          <t>Bluestone Outpatient Pavilion</t>
        </is>
      </c>
      <c r="H1374" t="inlineStr">
        <is>
          <t>Primary Care Clinic</t>
        </is>
      </c>
      <c r="I1374" t="inlineStr">
        <is>
          <t>Ambulatory</t>
        </is>
      </c>
      <c r="J1374" t="inlineStr">
        <is>
          <t>Fisher, Brandon</t>
        </is>
      </c>
      <c r="K1374" t="inlineStr">
        <is>
          <t>I10</t>
        </is>
      </c>
      <c r="L1374" t="inlineStr">
        <is>
          <t>Circulatory</t>
        </is>
      </c>
      <c r="M1374" t="inlineStr">
        <is>
          <t>Silverline Medicare Advantage</t>
        </is>
      </c>
      <c r="N1374" t="inlineStr">
        <is>
          <t>Medicare Advantage</t>
        </is>
      </c>
      <c r="O1374" s="39" t="n">
        <v>476.94</v>
      </c>
    </row>
    <row r="1375">
      <c r="A1375" t="inlineStr">
        <is>
          <t>ENC118343</t>
        </is>
      </c>
      <c r="B1375" t="inlineStr">
        <is>
          <t>PT12280</t>
        </is>
      </c>
      <c r="C1375" s="42" t="n">
        <v>45909</v>
      </c>
      <c r="D1375" s="42" t="n">
        <v>45910</v>
      </c>
      <c r="E1375" s="38" t="n">
        <v>1</v>
      </c>
      <c r="F1375" t="inlineStr">
        <is>
          <t>Emergency</t>
        </is>
      </c>
      <c r="G1375" t="inlineStr">
        <is>
          <t>Bluestone Memorial Hospital</t>
        </is>
      </c>
      <c r="H1375" t="inlineStr">
        <is>
          <t>Emergency Department</t>
        </is>
      </c>
      <c r="I1375" t="inlineStr">
        <is>
          <t>Emergency</t>
        </is>
      </c>
      <c r="J1375" t="inlineStr">
        <is>
          <t>Kowalski, James</t>
        </is>
      </c>
      <c r="K1375" t="inlineStr">
        <is>
          <t>J06.9</t>
        </is>
      </c>
      <c r="L1375" t="inlineStr">
        <is>
          <t>Respiratory</t>
        </is>
      </c>
      <c r="M1375" t="inlineStr">
        <is>
          <t>Self-Pay</t>
        </is>
      </c>
      <c r="N1375" t="inlineStr">
        <is>
          <t>Self-Pay</t>
        </is>
      </c>
      <c r="O1375" s="39" t="n">
        <v>640.1799999999999</v>
      </c>
    </row>
    <row r="1376">
      <c r="A1376" t="inlineStr">
        <is>
          <t>ENC118348</t>
        </is>
      </c>
      <c r="B1376" t="inlineStr">
        <is>
          <t>PT13144</t>
        </is>
      </c>
      <c r="C1376" s="42" t="n">
        <v>45910</v>
      </c>
      <c r="D1376" s="42" t="n">
        <v>45915</v>
      </c>
      <c r="E1376" s="38" t="n">
        <v>5</v>
      </c>
      <c r="F1376" t="inlineStr">
        <is>
          <t>Inpatient</t>
        </is>
      </c>
      <c r="G1376" t="inlineStr">
        <is>
          <t>Cedar Ridge Medical Center</t>
        </is>
      </c>
      <c r="H1376" t="inlineStr">
        <is>
          <t>Medical-Surgical</t>
        </is>
      </c>
      <c r="I1376" t="inlineStr">
        <is>
          <t>Medicine</t>
        </is>
      </c>
      <c r="J1376" t="inlineStr">
        <is>
          <t>Payne, Tyler</t>
        </is>
      </c>
      <c r="K1376" t="inlineStr">
        <is>
          <t>J18.9</t>
        </is>
      </c>
      <c r="L1376" t="inlineStr">
        <is>
          <t>Respiratory</t>
        </is>
      </c>
      <c r="M1376" t="inlineStr">
        <is>
          <t>State Medicaid</t>
        </is>
      </c>
      <c r="N1376" t="inlineStr">
        <is>
          <t>Government</t>
        </is>
      </c>
      <c r="O1376" s="39" t="n">
        <v>21080.47</v>
      </c>
      <c r="P1376" t="inlineStr">
        <is>
          <t>N</t>
        </is>
      </c>
    </row>
    <row r="1377">
      <c r="A1377" t="inlineStr">
        <is>
          <t>ENC118346</t>
        </is>
      </c>
      <c r="B1377" t="inlineStr">
        <is>
          <t>PT12662</t>
        </is>
      </c>
      <c r="C1377" s="42" t="n">
        <v>45910</v>
      </c>
      <c r="D1377" s="42" t="n">
        <v>45911</v>
      </c>
      <c r="E1377" s="38" t="n">
        <v>1</v>
      </c>
      <c r="F1377" t="inlineStr">
        <is>
          <t>Observation</t>
        </is>
      </c>
      <c r="G1377" t="inlineStr">
        <is>
          <t>Bluestone Memorial Hospital</t>
        </is>
      </c>
      <c r="H1377" t="inlineStr">
        <is>
          <t>Observation Unit</t>
        </is>
      </c>
      <c r="I1377" t="inlineStr">
        <is>
          <t>Medicine</t>
        </is>
      </c>
      <c r="J1377" t="inlineStr">
        <is>
          <t>Russell, Larry</t>
        </is>
      </c>
      <c r="K1377" t="inlineStr">
        <is>
          <t>U07.1</t>
        </is>
      </c>
      <c r="L1377" t="inlineStr">
        <is>
          <t>Respiratory</t>
        </is>
      </c>
      <c r="M1377" t="inlineStr">
        <is>
          <t>Medicare</t>
        </is>
      </c>
      <c r="N1377" t="inlineStr">
        <is>
          <t>Government</t>
        </is>
      </c>
      <c r="O1377" s="39" t="n">
        <v>5858.71</v>
      </c>
    </row>
    <row r="1378">
      <c r="A1378" t="inlineStr">
        <is>
          <t>ENC118350</t>
        </is>
      </c>
      <c r="B1378" t="inlineStr">
        <is>
          <t>PT12345</t>
        </is>
      </c>
      <c r="C1378" s="42" t="n">
        <v>45910</v>
      </c>
      <c r="D1378" s="42" t="n">
        <v>45910</v>
      </c>
      <c r="E1378" s="38" t="n">
        <v>0</v>
      </c>
      <c r="F1378" t="inlineStr">
        <is>
          <t>Outpatient</t>
        </is>
      </c>
      <c r="G1378" t="inlineStr">
        <is>
          <t>Bluestone Outpatient Pavilion</t>
        </is>
      </c>
      <c r="H1378" t="inlineStr">
        <is>
          <t>Infusion &amp; Oncology Clinic</t>
        </is>
      </c>
      <c r="I1378" t="inlineStr">
        <is>
          <t>Oncology</t>
        </is>
      </c>
      <c r="J1378" t="inlineStr">
        <is>
          <t>Cooper, Logan</t>
        </is>
      </c>
      <c r="K1378" t="inlineStr">
        <is>
          <t>Z51.11</t>
        </is>
      </c>
      <c r="L1378" t="inlineStr">
        <is>
          <t>Factors Influencing Health</t>
        </is>
      </c>
      <c r="M1378" t="inlineStr">
        <is>
          <t>Medicare</t>
        </is>
      </c>
      <c r="N1378" t="inlineStr">
        <is>
          <t>Government</t>
        </is>
      </c>
      <c r="O1378" s="39" t="n">
        <v>12364.48</v>
      </c>
    </row>
    <row r="1379">
      <c r="A1379" t="inlineStr">
        <is>
          <t>ENC118360</t>
        </is>
      </c>
      <c r="B1379" t="inlineStr">
        <is>
          <t>PT13569</t>
        </is>
      </c>
      <c r="C1379" s="42" t="n">
        <v>45910</v>
      </c>
      <c r="D1379" s="42" t="n">
        <v>45910</v>
      </c>
      <c r="E1379" s="38" t="n">
        <v>0</v>
      </c>
      <c r="F1379" t="inlineStr">
        <is>
          <t>Outpatient</t>
        </is>
      </c>
      <c r="G1379" t="inlineStr">
        <is>
          <t>Bluestone Outpatient Pavilion</t>
        </is>
      </c>
      <c r="H1379" t="inlineStr">
        <is>
          <t>Orthopedic Clinic</t>
        </is>
      </c>
      <c r="I1379" t="inlineStr">
        <is>
          <t>Orthopedics</t>
        </is>
      </c>
      <c r="J1379" t="inlineStr">
        <is>
          <t>Lewis, Jonathan</t>
        </is>
      </c>
      <c r="K1379" t="inlineStr">
        <is>
          <t>M16.11</t>
        </is>
      </c>
      <c r="L1379" t="inlineStr">
        <is>
          <t>Musculoskeletal</t>
        </is>
      </c>
      <c r="M1379" t="inlineStr">
        <is>
          <t>State Medicaid</t>
        </is>
      </c>
      <c r="N1379" t="inlineStr">
        <is>
          <t>Government</t>
        </is>
      </c>
      <c r="O1379" s="39" t="n">
        <v>279.96</v>
      </c>
    </row>
    <row r="1380">
      <c r="A1380" t="inlineStr">
        <is>
          <t>ENC118362</t>
        </is>
      </c>
      <c r="B1380" t="inlineStr">
        <is>
          <t>PT10248</t>
        </is>
      </c>
      <c r="C1380" s="42" t="n">
        <v>45910</v>
      </c>
      <c r="D1380" s="42" t="n">
        <v>45910</v>
      </c>
      <c r="E1380" s="38" t="n">
        <v>0</v>
      </c>
      <c r="F1380" t="inlineStr">
        <is>
          <t>Outpatient</t>
        </is>
      </c>
      <c r="G1380" t="inlineStr">
        <is>
          <t>Bluestone Outpatient Pavilion</t>
        </is>
      </c>
      <c r="H1380" t="inlineStr">
        <is>
          <t>Pediatric Clinic</t>
        </is>
      </c>
      <c r="I1380" t="inlineStr">
        <is>
          <t>Women &amp; Children</t>
        </is>
      </c>
      <c r="J1380" t="inlineStr">
        <is>
          <t>Brown, Stephanie</t>
        </is>
      </c>
      <c r="K1380" t="inlineStr">
        <is>
          <t>Z00.129</t>
        </is>
      </c>
      <c r="L1380" t="inlineStr">
        <is>
          <t>Factors Influencing Health</t>
        </is>
      </c>
      <c r="M1380" t="inlineStr">
        <is>
          <t>Keystone Health Partners</t>
        </is>
      </c>
      <c r="N1380" t="inlineStr">
        <is>
          <t>Commercial</t>
        </is>
      </c>
      <c r="O1380" s="39" t="n">
        <v>332.76</v>
      </c>
    </row>
    <row r="1381">
      <c r="A1381" t="inlineStr">
        <is>
          <t>ENC118364</t>
        </is>
      </c>
      <c r="B1381" t="inlineStr">
        <is>
          <t>PT12863</t>
        </is>
      </c>
      <c r="C1381" s="42" t="n">
        <v>45910</v>
      </c>
      <c r="D1381" s="42" t="n">
        <v>45910</v>
      </c>
      <c r="E1381" s="38" t="n">
        <v>0</v>
      </c>
      <c r="F1381" t="inlineStr">
        <is>
          <t>Outpatient</t>
        </is>
      </c>
      <c r="G1381" t="inlineStr">
        <is>
          <t>Bluestone Outpatient Pavilion</t>
        </is>
      </c>
      <c r="H1381" t="inlineStr">
        <is>
          <t>Primary Care Clinic</t>
        </is>
      </c>
      <c r="I1381" t="inlineStr">
        <is>
          <t>Ambulatory</t>
        </is>
      </c>
      <c r="J1381" t="inlineStr">
        <is>
          <t>Osei, Julie</t>
        </is>
      </c>
      <c r="K1381" t="inlineStr">
        <is>
          <t>Z00.00</t>
        </is>
      </c>
      <c r="L1381" t="inlineStr">
        <is>
          <t>Factors Influencing Health</t>
        </is>
      </c>
      <c r="M1381" t="inlineStr">
        <is>
          <t>Silverline Medicare Advantage</t>
        </is>
      </c>
      <c r="N1381" t="inlineStr">
        <is>
          <t>Medicare Advantage</t>
        </is>
      </c>
      <c r="O1381" s="39" t="n">
        <v>249.18</v>
      </c>
    </row>
    <row r="1382">
      <c r="A1382" t="inlineStr">
        <is>
          <t>ENC118367</t>
        </is>
      </c>
      <c r="B1382" t="inlineStr">
        <is>
          <t>PT13966</t>
        </is>
      </c>
      <c r="C1382" s="42" t="n">
        <v>45910</v>
      </c>
      <c r="D1382" s="42" t="n">
        <v>45910</v>
      </c>
      <c r="E1382" s="38" t="n">
        <v>0</v>
      </c>
      <c r="F1382" t="inlineStr">
        <is>
          <t>Emergency</t>
        </is>
      </c>
      <c r="G1382" t="inlineStr">
        <is>
          <t>Bluestone Memorial Hospital</t>
        </is>
      </c>
      <c r="H1382" t="inlineStr">
        <is>
          <t>Emergency Department</t>
        </is>
      </c>
      <c r="I1382" t="inlineStr">
        <is>
          <t>Emergency</t>
        </is>
      </c>
      <c r="J1382" t="inlineStr">
        <is>
          <t>Olson, Christian</t>
        </is>
      </c>
      <c r="K1382" t="inlineStr">
        <is>
          <t>F32.9</t>
        </is>
      </c>
      <c r="L1382" t="inlineStr">
        <is>
          <t>Mental &amp; Behavioral</t>
        </is>
      </c>
      <c r="M1382" t="inlineStr">
        <is>
          <t>Silverline Medicare Advantage</t>
        </is>
      </c>
      <c r="N1382" t="inlineStr">
        <is>
          <t>Medicare Advantage</t>
        </is>
      </c>
      <c r="O1382" s="39" t="n">
        <v>3431.34</v>
      </c>
    </row>
    <row r="1383">
      <c r="A1383" t="inlineStr">
        <is>
          <t>ENC118368</t>
        </is>
      </c>
      <c r="B1383" t="inlineStr">
        <is>
          <t>PT11697</t>
        </is>
      </c>
      <c r="C1383" s="42" t="n">
        <v>45910</v>
      </c>
      <c r="D1383" s="42" t="n">
        <v>45915</v>
      </c>
      <c r="E1383" s="38" t="n">
        <v>5</v>
      </c>
      <c r="F1383" t="inlineStr">
        <is>
          <t>Inpatient</t>
        </is>
      </c>
      <c r="G1383" t="inlineStr">
        <is>
          <t>Bluestone Memorial Hospital</t>
        </is>
      </c>
      <c r="H1383" t="inlineStr">
        <is>
          <t>Oncology</t>
        </is>
      </c>
      <c r="I1383" t="inlineStr">
        <is>
          <t>Oncology</t>
        </is>
      </c>
      <c r="J1383" t="inlineStr">
        <is>
          <t>Hughes, Larry</t>
        </is>
      </c>
      <c r="K1383" t="inlineStr">
        <is>
          <t>D70.1</t>
        </is>
      </c>
      <c r="L1383" t="inlineStr">
        <is>
          <t>Blood</t>
        </is>
      </c>
      <c r="M1383" t="inlineStr">
        <is>
          <t>Silverline Medicare Advantage</t>
        </is>
      </c>
      <c r="N1383" t="inlineStr">
        <is>
          <t>Medicare Advantage</t>
        </is>
      </c>
      <c r="O1383" s="39" t="n">
        <v>29504.91</v>
      </c>
      <c r="P1383" t="inlineStr">
        <is>
          <t>N</t>
        </is>
      </c>
    </row>
    <row r="1384">
      <c r="A1384" t="inlineStr">
        <is>
          <t>ENC118370</t>
        </is>
      </c>
      <c r="B1384" t="inlineStr">
        <is>
          <t>PT13843</t>
        </is>
      </c>
      <c r="C1384" s="42" t="n">
        <v>45910</v>
      </c>
      <c r="D1384" s="42" t="n">
        <v>45910</v>
      </c>
      <c r="E1384" s="38" t="n">
        <v>0</v>
      </c>
      <c r="F1384" t="inlineStr">
        <is>
          <t>Emergency</t>
        </is>
      </c>
      <c r="G1384" t="inlineStr">
        <is>
          <t>Bluestone Memorial Hospital</t>
        </is>
      </c>
      <c r="H1384" t="inlineStr">
        <is>
          <t>Emergency Department</t>
        </is>
      </c>
      <c r="I1384" t="inlineStr">
        <is>
          <t>Emergency</t>
        </is>
      </c>
      <c r="J1384" t="inlineStr">
        <is>
          <t>Elliott, Jesse</t>
        </is>
      </c>
      <c r="K1384" t="inlineStr">
        <is>
          <t>E11.65</t>
        </is>
      </c>
      <c r="L1384" t="inlineStr">
        <is>
          <t>Endocrine</t>
        </is>
      </c>
      <c r="M1384" t="inlineStr">
        <is>
          <t>Silverline Medicare Advantage</t>
        </is>
      </c>
      <c r="N1384" t="inlineStr">
        <is>
          <t>Medicare Advantage</t>
        </is>
      </c>
      <c r="O1384" s="39" t="n">
        <v>5829.78</v>
      </c>
    </row>
    <row r="1385">
      <c r="A1385" t="inlineStr">
        <is>
          <t>ENC118374</t>
        </is>
      </c>
      <c r="B1385" t="inlineStr">
        <is>
          <t>PT11752</t>
        </is>
      </c>
      <c r="C1385" s="42" t="n">
        <v>45911</v>
      </c>
      <c r="D1385" s="42" t="n">
        <v>45912</v>
      </c>
      <c r="E1385" s="38" t="n">
        <v>1</v>
      </c>
      <c r="F1385" t="inlineStr">
        <is>
          <t>Inpatient</t>
        </is>
      </c>
      <c r="G1385" t="inlineStr">
        <is>
          <t>Cedar Ridge Medical Center</t>
        </is>
      </c>
      <c r="H1385" t="inlineStr">
        <is>
          <t>Medical-Surgical</t>
        </is>
      </c>
      <c r="I1385" t="inlineStr">
        <is>
          <t>Medicine</t>
        </is>
      </c>
      <c r="J1385" t="inlineStr">
        <is>
          <t>Hall, Doris</t>
        </is>
      </c>
      <c r="K1385" t="inlineStr">
        <is>
          <t>E11.65</t>
        </is>
      </c>
      <c r="L1385" t="inlineStr">
        <is>
          <t>Endocrine</t>
        </is>
      </c>
      <c r="M1385" t="inlineStr">
        <is>
          <t>State Medicaid</t>
        </is>
      </c>
      <c r="N1385" t="inlineStr">
        <is>
          <t>Government</t>
        </is>
      </c>
      <c r="O1385" s="39" t="n">
        <v>14704.04</v>
      </c>
      <c r="P1385" t="inlineStr">
        <is>
          <t>N</t>
        </is>
      </c>
    </row>
    <row r="1386">
      <c r="A1386" t="inlineStr">
        <is>
          <t>ENC118380</t>
        </is>
      </c>
      <c r="B1386" t="inlineStr">
        <is>
          <t>PT12624</t>
        </is>
      </c>
      <c r="C1386" s="42" t="n">
        <v>45911</v>
      </c>
      <c r="D1386" s="42" t="n">
        <v>45911</v>
      </c>
      <c r="E1386" s="38" t="n">
        <v>0</v>
      </c>
      <c r="F1386" t="inlineStr">
        <is>
          <t>Outpatient</t>
        </is>
      </c>
      <c r="G1386" t="inlineStr">
        <is>
          <t>Bluestone Outpatient Pavilion</t>
        </is>
      </c>
      <c r="H1386" t="inlineStr">
        <is>
          <t>Primary Care Clinic</t>
        </is>
      </c>
      <c r="I1386" t="inlineStr">
        <is>
          <t>Ambulatory</t>
        </is>
      </c>
      <c r="J1386" t="inlineStr">
        <is>
          <t>Arnold, Catherine</t>
        </is>
      </c>
      <c r="K1386" t="inlineStr">
        <is>
          <t>I10</t>
        </is>
      </c>
      <c r="L1386" t="inlineStr">
        <is>
          <t>Circulatory</t>
        </is>
      </c>
      <c r="M1386" t="inlineStr">
        <is>
          <t>Medicare</t>
        </is>
      </c>
      <c r="N1386" t="inlineStr">
        <is>
          <t>Government</t>
        </is>
      </c>
      <c r="O1386" s="39" t="n">
        <v>346.66</v>
      </c>
    </row>
    <row r="1387">
      <c r="A1387" t="inlineStr">
        <is>
          <t>ENC118393</t>
        </is>
      </c>
      <c r="B1387" t="inlineStr">
        <is>
          <t>PT10872</t>
        </is>
      </c>
      <c r="C1387" s="42" t="n">
        <v>45911</v>
      </c>
      <c r="D1387" s="42" t="n">
        <v>45911</v>
      </c>
      <c r="E1387" s="38" t="n">
        <v>0</v>
      </c>
      <c r="F1387" t="inlineStr">
        <is>
          <t>Outpatient</t>
        </is>
      </c>
      <c r="G1387" t="inlineStr">
        <is>
          <t>Bluestone Outpatient Pavilion</t>
        </is>
      </c>
      <c r="H1387" t="inlineStr">
        <is>
          <t>Orthopedic Clinic</t>
        </is>
      </c>
      <c r="I1387" t="inlineStr">
        <is>
          <t>Orthopedics</t>
        </is>
      </c>
      <c r="J1387" t="inlineStr">
        <is>
          <t>Wagner, Carlos</t>
        </is>
      </c>
      <c r="K1387" t="inlineStr">
        <is>
          <t>M17.11</t>
        </is>
      </c>
      <c r="L1387" t="inlineStr">
        <is>
          <t>Musculoskeletal</t>
        </is>
      </c>
      <c r="M1387" t="inlineStr">
        <is>
          <t>Keystone Health Partners</t>
        </is>
      </c>
      <c r="N1387" t="inlineStr">
        <is>
          <t>Commercial</t>
        </is>
      </c>
      <c r="O1387" s="39" t="n">
        <v>232.47</v>
      </c>
    </row>
    <row r="1388">
      <c r="A1388" t="inlineStr">
        <is>
          <t>ENC118408</t>
        </is>
      </c>
      <c r="B1388" t="inlineStr">
        <is>
          <t>PT10829</t>
        </is>
      </c>
      <c r="C1388" s="42" t="n">
        <v>45911</v>
      </c>
      <c r="D1388" s="42" t="n">
        <v>45911</v>
      </c>
      <c r="E1388" s="38" t="n">
        <v>0</v>
      </c>
      <c r="F1388" t="inlineStr">
        <is>
          <t>Emergency</t>
        </is>
      </c>
      <c r="G1388" t="inlineStr">
        <is>
          <t>Bluestone Memorial Hospital</t>
        </is>
      </c>
      <c r="H1388" t="inlineStr">
        <is>
          <t>Emergency Department</t>
        </is>
      </c>
      <c r="I1388" t="inlineStr">
        <is>
          <t>Emergency</t>
        </is>
      </c>
      <c r="J1388" t="inlineStr">
        <is>
          <t>Foster, Patrick</t>
        </is>
      </c>
      <c r="K1388" t="inlineStr">
        <is>
          <t>S06.0X0A</t>
        </is>
      </c>
      <c r="L1388" t="inlineStr">
        <is>
          <t>Injury</t>
        </is>
      </c>
      <c r="M1388" t="inlineStr">
        <is>
          <t>Keystone Health Partners</t>
        </is>
      </c>
      <c r="N1388" t="inlineStr">
        <is>
          <t>Commercial</t>
        </is>
      </c>
      <c r="O1388" s="39" t="n">
        <v>6017.38</v>
      </c>
    </row>
    <row r="1389">
      <c r="A1389" t="inlineStr">
        <is>
          <t>ENC118409</t>
        </is>
      </c>
      <c r="B1389" t="inlineStr">
        <is>
          <t>PT10430</t>
        </is>
      </c>
      <c r="C1389" s="42" t="n">
        <v>45911</v>
      </c>
      <c r="D1389" s="42" t="n">
        <v>45911</v>
      </c>
      <c r="E1389" s="38" t="n">
        <v>0</v>
      </c>
      <c r="F1389" t="inlineStr">
        <is>
          <t>Emergency</t>
        </is>
      </c>
      <c r="G1389" t="inlineStr">
        <is>
          <t>Bluestone Memorial Hospital</t>
        </is>
      </c>
      <c r="H1389" t="inlineStr">
        <is>
          <t>Emergency Department</t>
        </is>
      </c>
      <c r="I1389" t="inlineStr">
        <is>
          <t>Emergency</t>
        </is>
      </c>
      <c r="J1389" t="inlineStr">
        <is>
          <t>Elliott, Jesse</t>
        </is>
      </c>
      <c r="K1389" t="inlineStr">
        <is>
          <t>J06.9</t>
        </is>
      </c>
      <c r="L1389" t="inlineStr">
        <is>
          <t>Respiratory</t>
        </is>
      </c>
      <c r="M1389" t="inlineStr">
        <is>
          <t>State Medicaid</t>
        </is>
      </c>
      <c r="N1389" t="inlineStr">
        <is>
          <t>Government</t>
        </is>
      </c>
      <c r="O1389" s="39" t="n">
        <v>535.83</v>
      </c>
    </row>
    <row r="1390">
      <c r="A1390" t="inlineStr">
        <is>
          <t>ENC118411</t>
        </is>
      </c>
      <c r="B1390" t="inlineStr">
        <is>
          <t>PT11873</t>
        </is>
      </c>
      <c r="C1390" s="42" t="n">
        <v>45911</v>
      </c>
      <c r="D1390" s="42" t="n">
        <v>45911</v>
      </c>
      <c r="E1390" s="38" t="n">
        <v>0</v>
      </c>
      <c r="F1390" t="inlineStr">
        <is>
          <t>Emergency</t>
        </is>
      </c>
      <c r="G1390" t="inlineStr">
        <is>
          <t>Bluestone Memorial Hospital</t>
        </is>
      </c>
      <c r="H1390" t="inlineStr">
        <is>
          <t>Emergency Department</t>
        </is>
      </c>
      <c r="I1390" t="inlineStr">
        <is>
          <t>Emergency</t>
        </is>
      </c>
      <c r="J1390" t="inlineStr">
        <is>
          <t>Foster, Patrick</t>
        </is>
      </c>
      <c r="K1390" t="inlineStr">
        <is>
          <t>G40.909</t>
        </is>
      </c>
      <c r="L1390" t="inlineStr">
        <is>
          <t>Nervous System</t>
        </is>
      </c>
      <c r="M1390" t="inlineStr">
        <is>
          <t>Self-Pay</t>
        </is>
      </c>
      <c r="N1390" t="inlineStr">
        <is>
          <t>Self-Pay</t>
        </is>
      </c>
      <c r="O1390" s="39" t="n">
        <v>8177.94</v>
      </c>
    </row>
    <row r="1391">
      <c r="A1391" t="inlineStr">
        <is>
          <t>ENC118405</t>
        </is>
      </c>
      <c r="B1391" t="inlineStr">
        <is>
          <t>PT13915</t>
        </is>
      </c>
      <c r="C1391" s="42" t="n">
        <v>45911</v>
      </c>
      <c r="D1391" s="42" t="n">
        <v>45915</v>
      </c>
      <c r="E1391" s="38" t="n">
        <v>4</v>
      </c>
      <c r="F1391" t="inlineStr">
        <is>
          <t>Inpatient</t>
        </is>
      </c>
      <c r="G1391" t="inlineStr">
        <is>
          <t>Bluestone Memorial Hospital</t>
        </is>
      </c>
      <c r="H1391" t="inlineStr">
        <is>
          <t>Orthopedics &amp; Spine</t>
        </is>
      </c>
      <c r="I1391" t="inlineStr">
        <is>
          <t>Orthopedics</t>
        </is>
      </c>
      <c r="J1391" t="inlineStr">
        <is>
          <t>Woods, Pamela</t>
        </is>
      </c>
      <c r="K1391" t="inlineStr">
        <is>
          <t>S72.001A</t>
        </is>
      </c>
      <c r="L1391" t="inlineStr">
        <is>
          <t>Injury</t>
        </is>
      </c>
      <c r="M1391" t="inlineStr">
        <is>
          <t>Silverline Medicare Advantage</t>
        </is>
      </c>
      <c r="N1391" t="inlineStr">
        <is>
          <t>Medicare Advantage</t>
        </is>
      </c>
      <c r="O1391" s="39" t="n">
        <v>62523.63</v>
      </c>
      <c r="P1391" t="inlineStr">
        <is>
          <t>N</t>
        </is>
      </c>
    </row>
    <row r="1392">
      <c r="A1392" t="inlineStr">
        <is>
          <t>ENC118414</t>
        </is>
      </c>
      <c r="B1392" t="inlineStr">
        <is>
          <t>PT12641</t>
        </is>
      </c>
      <c r="C1392" s="42" t="n">
        <v>45912</v>
      </c>
      <c r="D1392" s="42" t="n">
        <v>45912</v>
      </c>
      <c r="E1392" s="38" t="n">
        <v>0</v>
      </c>
      <c r="F1392" t="inlineStr">
        <is>
          <t>Outpatient</t>
        </is>
      </c>
      <c r="G1392" t="inlineStr">
        <is>
          <t>Bluestone Outpatient Pavilion</t>
        </is>
      </c>
      <c r="H1392" t="inlineStr">
        <is>
          <t>Infusion &amp; Oncology Clinic</t>
        </is>
      </c>
      <c r="I1392" t="inlineStr">
        <is>
          <t>Oncology</t>
        </is>
      </c>
      <c r="J1392" t="inlineStr">
        <is>
          <t>Hicks, Zachary</t>
        </is>
      </c>
      <c r="K1392" t="inlineStr">
        <is>
          <t>C50.911</t>
        </is>
      </c>
      <c r="L1392" t="inlineStr">
        <is>
          <t>Neoplasms</t>
        </is>
      </c>
      <c r="M1392" t="inlineStr">
        <is>
          <t>Keystone Health Partners</t>
        </is>
      </c>
      <c r="N1392" t="inlineStr">
        <is>
          <t>Commercial</t>
        </is>
      </c>
      <c r="O1392" s="39" t="n">
        <v>549.01</v>
      </c>
    </row>
    <row r="1393">
      <c r="A1393" t="inlineStr">
        <is>
          <t>ENC118421</t>
        </is>
      </c>
      <c r="B1393" t="inlineStr">
        <is>
          <t>PT13203</t>
        </is>
      </c>
      <c r="C1393" s="42" t="n">
        <v>45912</v>
      </c>
      <c r="D1393" s="42" t="n">
        <v>45912</v>
      </c>
      <c r="E1393" s="38" t="n">
        <v>0</v>
      </c>
      <c r="F1393" t="inlineStr">
        <is>
          <t>Emergency</t>
        </is>
      </c>
      <c r="G1393" t="inlineStr">
        <is>
          <t>Bluestone Memorial Hospital</t>
        </is>
      </c>
      <c r="H1393" t="inlineStr">
        <is>
          <t>Emergency Department</t>
        </is>
      </c>
      <c r="I1393" t="inlineStr">
        <is>
          <t>Emergency</t>
        </is>
      </c>
      <c r="J1393" t="inlineStr">
        <is>
          <t>Mendoza, Alexander</t>
        </is>
      </c>
      <c r="K1393" t="inlineStr">
        <is>
          <t>R10.9</t>
        </is>
      </c>
      <c r="L1393" t="inlineStr">
        <is>
          <t>Symptoms &amp; Signs</t>
        </is>
      </c>
      <c r="M1393" t="inlineStr">
        <is>
          <t>State Medicaid</t>
        </is>
      </c>
      <c r="N1393" t="inlineStr">
        <is>
          <t>Government</t>
        </is>
      </c>
      <c r="O1393" s="39" t="n">
        <v>2610.23</v>
      </c>
    </row>
    <row r="1394">
      <c r="A1394" t="inlineStr">
        <is>
          <t>ENC118423</t>
        </is>
      </c>
      <c r="B1394" t="inlineStr">
        <is>
          <t>PT10124</t>
        </is>
      </c>
      <c r="C1394" s="42" t="n">
        <v>45912</v>
      </c>
      <c r="D1394" s="42" t="n">
        <v>45912</v>
      </c>
      <c r="E1394" s="38" t="n">
        <v>0</v>
      </c>
      <c r="F1394" t="inlineStr">
        <is>
          <t>Emergency</t>
        </is>
      </c>
      <c r="G1394" t="inlineStr">
        <is>
          <t>Ashby Falls Community Hospital</t>
        </is>
      </c>
      <c r="H1394" t="inlineStr">
        <is>
          <t>Emergency Department</t>
        </is>
      </c>
      <c r="I1394" t="inlineStr">
        <is>
          <t>Emergency</t>
        </is>
      </c>
      <c r="J1394" t="inlineStr">
        <is>
          <t>Marshall, Lisa</t>
        </is>
      </c>
      <c r="K1394" t="inlineStr">
        <is>
          <t>J06.9</t>
        </is>
      </c>
      <c r="L1394" t="inlineStr">
        <is>
          <t>Respiratory</t>
        </is>
      </c>
      <c r="M1394" t="inlineStr">
        <is>
          <t>State Medicaid</t>
        </is>
      </c>
      <c r="N1394" t="inlineStr">
        <is>
          <t>Government</t>
        </is>
      </c>
      <c r="O1394" s="39" t="n">
        <v>1154.39</v>
      </c>
    </row>
    <row r="1395">
      <c r="A1395" t="inlineStr">
        <is>
          <t>ENC118439</t>
        </is>
      </c>
      <c r="B1395" t="inlineStr">
        <is>
          <t>PT13798</t>
        </is>
      </c>
      <c r="C1395" s="42" t="n">
        <v>45913</v>
      </c>
      <c r="D1395" s="42" t="n">
        <v>45919</v>
      </c>
      <c r="E1395" s="38" t="n">
        <v>6</v>
      </c>
      <c r="F1395" t="inlineStr">
        <is>
          <t>Inpatient</t>
        </is>
      </c>
      <c r="G1395" t="inlineStr">
        <is>
          <t>Bluestone Memorial Hospital</t>
        </is>
      </c>
      <c r="H1395" t="inlineStr">
        <is>
          <t>Behavioral Health</t>
        </is>
      </c>
      <c r="I1395" t="inlineStr">
        <is>
          <t>Behavioral Health</t>
        </is>
      </c>
      <c r="J1395" t="inlineStr">
        <is>
          <t>Herrera, Ivan</t>
        </is>
      </c>
      <c r="K1395" t="inlineStr">
        <is>
          <t>F20.9</t>
        </is>
      </c>
      <c r="L1395" t="inlineStr">
        <is>
          <t>Mental &amp; Behavioral</t>
        </is>
      </c>
      <c r="M1395" t="inlineStr">
        <is>
          <t>Evergreen Mutual Insurance</t>
        </is>
      </c>
      <c r="N1395" t="inlineStr">
        <is>
          <t>Commercial</t>
        </is>
      </c>
      <c r="O1395" s="39" t="n">
        <v>21172.19</v>
      </c>
      <c r="P1395" t="inlineStr">
        <is>
          <t>N</t>
        </is>
      </c>
    </row>
    <row r="1396">
      <c r="A1396" t="inlineStr">
        <is>
          <t>ENC118445</t>
        </is>
      </c>
      <c r="B1396" t="inlineStr">
        <is>
          <t>PT13506</t>
        </is>
      </c>
      <c r="C1396" s="42" t="n">
        <v>45913</v>
      </c>
      <c r="D1396" s="42" t="n">
        <v>45917</v>
      </c>
      <c r="E1396" s="38" t="n">
        <v>4</v>
      </c>
      <c r="F1396" t="inlineStr">
        <is>
          <t>Inpatient</t>
        </is>
      </c>
      <c r="G1396" t="inlineStr">
        <is>
          <t>Bluestone Memorial Hospital</t>
        </is>
      </c>
      <c r="H1396" t="inlineStr">
        <is>
          <t>Medical-Surgical 4 West</t>
        </is>
      </c>
      <c r="I1396" t="inlineStr">
        <is>
          <t>Medicine</t>
        </is>
      </c>
      <c r="J1396" t="inlineStr">
        <is>
          <t>Price, Juan</t>
        </is>
      </c>
      <c r="K1396" t="inlineStr">
        <is>
          <t>F10.239</t>
        </is>
      </c>
      <c r="L1396" t="inlineStr">
        <is>
          <t>Mental &amp; Behavioral</t>
        </is>
      </c>
      <c r="M1396" t="inlineStr">
        <is>
          <t>Evergreen Mutual Insurance</t>
        </is>
      </c>
      <c r="N1396" t="inlineStr">
        <is>
          <t>Commercial</t>
        </is>
      </c>
      <c r="O1396" s="39" t="n">
        <v>9755.66</v>
      </c>
      <c r="P1396" t="inlineStr">
        <is>
          <t>N</t>
        </is>
      </c>
    </row>
    <row r="1397">
      <c r="A1397" t="inlineStr">
        <is>
          <t>ENC118450</t>
        </is>
      </c>
      <c r="B1397" t="inlineStr">
        <is>
          <t>PT10912</t>
        </is>
      </c>
      <c r="C1397" s="42" t="n">
        <v>45914</v>
      </c>
      <c r="D1397" s="42" t="n">
        <v>45914</v>
      </c>
      <c r="E1397" s="38" t="n">
        <v>0</v>
      </c>
      <c r="F1397" t="inlineStr">
        <is>
          <t>Emergency</t>
        </is>
      </c>
      <c r="G1397" t="inlineStr">
        <is>
          <t>Bluestone Memorial Hospital</t>
        </is>
      </c>
      <c r="H1397" t="inlineStr">
        <is>
          <t>Emergency Department</t>
        </is>
      </c>
      <c r="I1397" t="inlineStr">
        <is>
          <t>Emergency</t>
        </is>
      </c>
      <c r="J1397" t="inlineStr">
        <is>
          <t>Vasquez, Bruce</t>
        </is>
      </c>
      <c r="K1397" t="inlineStr">
        <is>
          <t>J18.9</t>
        </is>
      </c>
      <c r="L1397" t="inlineStr">
        <is>
          <t>Respiratory</t>
        </is>
      </c>
      <c r="M1397" t="inlineStr">
        <is>
          <t>Keystone Health Partners</t>
        </is>
      </c>
      <c r="N1397" t="inlineStr">
        <is>
          <t>Commercial</t>
        </is>
      </c>
      <c r="O1397" s="39" t="n">
        <v>5083.8</v>
      </c>
    </row>
    <row r="1398">
      <c r="A1398" t="inlineStr">
        <is>
          <t>ENC118452</t>
        </is>
      </c>
      <c r="B1398" t="inlineStr">
        <is>
          <t>PT13653</t>
        </is>
      </c>
      <c r="C1398" s="42" t="n">
        <v>45914</v>
      </c>
      <c r="D1398" s="42" t="n">
        <v>45914</v>
      </c>
      <c r="E1398" s="38" t="n">
        <v>0</v>
      </c>
      <c r="F1398" t="inlineStr">
        <is>
          <t>Emergency</t>
        </is>
      </c>
      <c r="G1398" t="inlineStr">
        <is>
          <t>Bluestone Memorial Hospital</t>
        </is>
      </c>
      <c r="H1398" t="inlineStr">
        <is>
          <t>Emergency Department</t>
        </is>
      </c>
      <c r="I1398" t="inlineStr">
        <is>
          <t>Emergency</t>
        </is>
      </c>
      <c r="J1398" t="inlineStr">
        <is>
          <t>Morris, Jordan</t>
        </is>
      </c>
      <c r="K1398" t="inlineStr">
        <is>
          <t>R55</t>
        </is>
      </c>
      <c r="L1398" t="inlineStr">
        <is>
          <t>Symptoms &amp; Signs</t>
        </is>
      </c>
      <c r="M1398" t="inlineStr">
        <is>
          <t>Keystone Health Partners</t>
        </is>
      </c>
      <c r="N1398" t="inlineStr">
        <is>
          <t>Commercial</t>
        </is>
      </c>
      <c r="O1398" s="39" t="n">
        <v>1571.95</v>
      </c>
    </row>
    <row r="1399">
      <c r="A1399" t="inlineStr">
        <is>
          <t>ENC118454</t>
        </is>
      </c>
      <c r="B1399" t="inlineStr">
        <is>
          <t>PT13984</t>
        </is>
      </c>
      <c r="C1399" s="42" t="n">
        <v>45914</v>
      </c>
      <c r="D1399" s="42" t="n">
        <v>45914</v>
      </c>
      <c r="E1399" s="38" t="n">
        <v>0</v>
      </c>
      <c r="F1399" t="inlineStr">
        <is>
          <t>Emergency</t>
        </is>
      </c>
      <c r="G1399" t="inlineStr">
        <is>
          <t>Bluestone Memorial Hospital</t>
        </is>
      </c>
      <c r="H1399" t="inlineStr">
        <is>
          <t>Emergency Department</t>
        </is>
      </c>
      <c r="I1399" t="inlineStr">
        <is>
          <t>Emergency</t>
        </is>
      </c>
      <c r="J1399" t="inlineStr">
        <is>
          <t>Morris, Jordan</t>
        </is>
      </c>
      <c r="K1399" t="inlineStr">
        <is>
          <t>J45.909</t>
        </is>
      </c>
      <c r="L1399" t="inlineStr">
        <is>
          <t>Respiratory</t>
        </is>
      </c>
      <c r="M1399" t="inlineStr">
        <is>
          <t>Medicare</t>
        </is>
      </c>
      <c r="N1399" t="inlineStr">
        <is>
          <t>Government</t>
        </is>
      </c>
      <c r="O1399" s="39" t="n">
        <v>3292.81</v>
      </c>
    </row>
    <row r="1400">
      <c r="A1400" t="inlineStr">
        <is>
          <t>ENC118459</t>
        </is>
      </c>
      <c r="B1400" t="inlineStr">
        <is>
          <t>PT11003</t>
        </is>
      </c>
      <c r="C1400" s="42" t="n">
        <v>45914</v>
      </c>
      <c r="D1400" s="42" t="n">
        <v>45914</v>
      </c>
      <c r="E1400" s="38" t="n">
        <v>0</v>
      </c>
      <c r="F1400" t="inlineStr">
        <is>
          <t>Emergency</t>
        </is>
      </c>
      <c r="G1400" t="inlineStr">
        <is>
          <t>Bluestone Memorial Hospital</t>
        </is>
      </c>
      <c r="H1400" t="inlineStr">
        <is>
          <t>Emergency Department</t>
        </is>
      </c>
      <c r="I1400" t="inlineStr">
        <is>
          <t>Emergency</t>
        </is>
      </c>
      <c r="J1400" t="inlineStr">
        <is>
          <t>Sullivan, Jacob</t>
        </is>
      </c>
      <c r="K1400" t="inlineStr">
        <is>
          <t>J21.9</t>
        </is>
      </c>
      <c r="L1400" t="inlineStr">
        <is>
          <t>Respiratory</t>
        </is>
      </c>
      <c r="M1400" t="inlineStr">
        <is>
          <t>State Medicaid</t>
        </is>
      </c>
      <c r="N1400" t="inlineStr">
        <is>
          <t>Government</t>
        </is>
      </c>
      <c r="O1400" s="39" t="n">
        <v>2709.43</v>
      </c>
    </row>
    <row r="1401">
      <c r="A1401" t="inlineStr">
        <is>
          <t>ENC118461</t>
        </is>
      </c>
      <c r="B1401" t="inlineStr">
        <is>
          <t>PT13507</t>
        </is>
      </c>
      <c r="C1401" s="42" t="n">
        <v>45914</v>
      </c>
      <c r="D1401" s="42" t="n">
        <v>45928</v>
      </c>
      <c r="E1401" s="38" t="n">
        <v>14</v>
      </c>
      <c r="F1401" t="inlineStr">
        <is>
          <t>Inpatient</t>
        </is>
      </c>
      <c r="G1401" t="inlineStr">
        <is>
          <t>Bluestone Memorial Hospital</t>
        </is>
      </c>
      <c r="H1401" t="inlineStr">
        <is>
          <t>Medical-Surgical 5 East</t>
        </is>
      </c>
      <c r="I1401" t="inlineStr">
        <is>
          <t>Medicine</t>
        </is>
      </c>
      <c r="J1401" t="inlineStr">
        <is>
          <t>Alvarado, Tyler</t>
        </is>
      </c>
      <c r="K1401" t="inlineStr">
        <is>
          <t>J18.9</t>
        </is>
      </c>
      <c r="L1401" t="inlineStr">
        <is>
          <t>Respiratory</t>
        </is>
      </c>
      <c r="M1401" t="inlineStr">
        <is>
          <t>State Medicaid</t>
        </is>
      </c>
      <c r="N1401" t="inlineStr">
        <is>
          <t>Government</t>
        </is>
      </c>
      <c r="O1401" s="39" t="n">
        <v>42820.63</v>
      </c>
      <c r="P1401" t="inlineStr">
        <is>
          <t>N</t>
        </is>
      </c>
    </row>
    <row r="1402">
      <c r="A1402" t="inlineStr">
        <is>
          <t>ENC118474</t>
        </is>
      </c>
      <c r="B1402" t="inlineStr">
        <is>
          <t>PT12478</t>
        </is>
      </c>
      <c r="C1402" s="42" t="n">
        <v>45915</v>
      </c>
      <c r="D1402" s="42" t="n">
        <v>45923</v>
      </c>
      <c r="E1402" s="38" t="n">
        <v>8</v>
      </c>
      <c r="F1402" t="inlineStr">
        <is>
          <t>Inpatient</t>
        </is>
      </c>
      <c r="G1402" t="inlineStr">
        <is>
          <t>Bluestone Memorial Hospital</t>
        </is>
      </c>
      <c r="H1402" t="inlineStr">
        <is>
          <t>Behavioral Health</t>
        </is>
      </c>
      <c r="I1402" t="inlineStr">
        <is>
          <t>Behavioral Health</t>
        </is>
      </c>
      <c r="J1402" t="inlineStr">
        <is>
          <t>Delgado, Amina</t>
        </is>
      </c>
      <c r="K1402" t="inlineStr">
        <is>
          <t>F32.9</t>
        </is>
      </c>
      <c r="L1402" t="inlineStr">
        <is>
          <t>Mental &amp; Behavioral</t>
        </is>
      </c>
      <c r="M1402" t="inlineStr">
        <is>
          <t>Medicare</t>
        </is>
      </c>
      <c r="N1402" t="inlineStr">
        <is>
          <t>Government</t>
        </is>
      </c>
      <c r="O1402" s="39" t="n">
        <v>25180.96</v>
      </c>
      <c r="P1402" t="inlineStr">
        <is>
          <t>N</t>
        </is>
      </c>
    </row>
    <row r="1403">
      <c r="A1403" t="inlineStr">
        <is>
          <t>ENC118475</t>
        </is>
      </c>
      <c r="B1403" t="inlineStr">
        <is>
          <t>PT12922</t>
        </is>
      </c>
      <c r="C1403" s="42" t="n">
        <v>45915</v>
      </c>
      <c r="D1403" s="42" t="n">
        <v>45921</v>
      </c>
      <c r="E1403" s="38" t="n">
        <v>6</v>
      </c>
      <c r="F1403" t="inlineStr">
        <is>
          <t>Inpatient</t>
        </is>
      </c>
      <c r="G1403" t="inlineStr">
        <is>
          <t>Cedar Ridge Medical Center</t>
        </is>
      </c>
      <c r="H1403" t="inlineStr">
        <is>
          <t>Cardiac Step-Down</t>
        </is>
      </c>
      <c r="I1403" t="inlineStr">
        <is>
          <t>Cardiovascular</t>
        </is>
      </c>
      <c r="J1403" t="inlineStr">
        <is>
          <t>Gonzales, Edward</t>
        </is>
      </c>
      <c r="K1403" t="inlineStr">
        <is>
          <t>I50.9</t>
        </is>
      </c>
      <c r="L1403" t="inlineStr">
        <is>
          <t>Circulatory</t>
        </is>
      </c>
      <c r="M1403" t="inlineStr">
        <is>
          <t>Medicare</t>
        </is>
      </c>
      <c r="N1403" t="inlineStr">
        <is>
          <t>Government</t>
        </is>
      </c>
      <c r="O1403" s="39" t="n">
        <v>49963.78</v>
      </c>
      <c r="P1403" t="inlineStr">
        <is>
          <t>N</t>
        </is>
      </c>
    </row>
    <row r="1404">
      <c r="A1404" t="inlineStr">
        <is>
          <t>ENC118482</t>
        </is>
      </c>
      <c r="B1404" t="inlineStr">
        <is>
          <t>PT10373</t>
        </is>
      </c>
      <c r="C1404" s="42" t="n">
        <v>45915</v>
      </c>
      <c r="D1404" s="42" t="n">
        <v>45915</v>
      </c>
      <c r="E1404" s="38" t="n">
        <v>0</v>
      </c>
      <c r="F1404" t="inlineStr">
        <is>
          <t>Outpatient</t>
        </is>
      </c>
      <c r="G1404" t="inlineStr">
        <is>
          <t>Bluestone Outpatient Pavilion</t>
        </is>
      </c>
      <c r="H1404" t="inlineStr">
        <is>
          <t>Endocrinology &amp; Diabetes Clinic</t>
        </is>
      </c>
      <c r="I1404" t="inlineStr">
        <is>
          <t>Ambulatory</t>
        </is>
      </c>
      <c r="J1404" t="inlineStr">
        <is>
          <t>Rivera, Scott</t>
        </is>
      </c>
      <c r="K1404" t="inlineStr">
        <is>
          <t>E11.65</t>
        </is>
      </c>
      <c r="L1404" t="inlineStr">
        <is>
          <t>Endocrine</t>
        </is>
      </c>
      <c r="M1404" t="inlineStr">
        <is>
          <t>Evergreen Mutual Insurance</t>
        </is>
      </c>
      <c r="N1404" t="inlineStr">
        <is>
          <t>Commercial</t>
        </is>
      </c>
      <c r="O1404" s="39" t="n">
        <v>239.03</v>
      </c>
    </row>
    <row r="1405">
      <c r="A1405" t="inlineStr">
        <is>
          <t>ENC118491</t>
        </is>
      </c>
      <c r="B1405" t="inlineStr">
        <is>
          <t>PT13385</t>
        </is>
      </c>
      <c r="C1405" s="42" t="n">
        <v>45915</v>
      </c>
      <c r="D1405" s="42" t="n">
        <v>45915</v>
      </c>
      <c r="E1405" s="38" t="n">
        <v>0</v>
      </c>
      <c r="F1405" t="inlineStr">
        <is>
          <t>Emergency</t>
        </is>
      </c>
      <c r="G1405" t="inlineStr">
        <is>
          <t>Bluestone Memorial Hospital</t>
        </is>
      </c>
      <c r="H1405" t="inlineStr">
        <is>
          <t>Emergency Department</t>
        </is>
      </c>
      <c r="I1405" t="inlineStr">
        <is>
          <t>Emergency</t>
        </is>
      </c>
      <c r="J1405" t="inlineStr">
        <is>
          <t>Morris, Jordan</t>
        </is>
      </c>
      <c r="K1405" t="inlineStr">
        <is>
          <t>R10.9</t>
        </is>
      </c>
      <c r="L1405" t="inlineStr">
        <is>
          <t>Symptoms &amp; Signs</t>
        </is>
      </c>
      <c r="M1405" t="inlineStr">
        <is>
          <t>Self-Pay</t>
        </is>
      </c>
      <c r="N1405" t="inlineStr">
        <is>
          <t>Self-Pay</t>
        </is>
      </c>
      <c r="O1405" s="39" t="n">
        <v>3662.31</v>
      </c>
    </row>
    <row r="1406">
      <c r="A1406" t="inlineStr">
        <is>
          <t>ENC118497</t>
        </is>
      </c>
      <c r="B1406" t="inlineStr">
        <is>
          <t>PT12557</t>
        </is>
      </c>
      <c r="C1406" s="42" t="n">
        <v>45916</v>
      </c>
      <c r="D1406" s="42" t="n">
        <v>45916</v>
      </c>
      <c r="E1406" s="38" t="n">
        <v>0</v>
      </c>
      <c r="F1406" t="inlineStr">
        <is>
          <t>Outpatient</t>
        </is>
      </c>
      <c r="G1406" t="inlineStr">
        <is>
          <t>Bluestone Outpatient Pavilion</t>
        </is>
      </c>
      <c r="H1406" t="inlineStr">
        <is>
          <t>Primary Care Clinic</t>
        </is>
      </c>
      <c r="I1406" t="inlineStr">
        <is>
          <t>Ambulatory</t>
        </is>
      </c>
      <c r="J1406" t="inlineStr">
        <is>
          <t>Torres, Rebecca</t>
        </is>
      </c>
      <c r="K1406" t="inlineStr">
        <is>
          <t>Z00.00</t>
        </is>
      </c>
      <c r="L1406" t="inlineStr">
        <is>
          <t>Factors Influencing Health</t>
        </is>
      </c>
      <c r="M1406" t="inlineStr">
        <is>
          <t>State Medicaid</t>
        </is>
      </c>
      <c r="N1406" t="inlineStr">
        <is>
          <t>Government</t>
        </is>
      </c>
      <c r="O1406" s="39" t="n">
        <v>377.28</v>
      </c>
    </row>
    <row r="1407">
      <c r="A1407" t="inlineStr">
        <is>
          <t>ENC118498</t>
        </is>
      </c>
      <c r="B1407" t="inlineStr">
        <is>
          <t>PT12684</t>
        </is>
      </c>
      <c r="C1407" s="42" t="n">
        <v>45916</v>
      </c>
      <c r="D1407" s="42" t="n">
        <v>45916</v>
      </c>
      <c r="E1407" s="38" t="n">
        <v>0</v>
      </c>
      <c r="F1407" t="inlineStr">
        <is>
          <t>Outpatient</t>
        </is>
      </c>
      <c r="G1407" t="inlineStr">
        <is>
          <t>Bluestone Outpatient Pavilion</t>
        </is>
      </c>
      <c r="H1407" t="inlineStr">
        <is>
          <t>Infusion &amp; Oncology Clinic</t>
        </is>
      </c>
      <c r="I1407" t="inlineStr">
        <is>
          <t>Oncology</t>
        </is>
      </c>
      <c r="J1407" t="inlineStr">
        <is>
          <t>Long, Fatima</t>
        </is>
      </c>
      <c r="K1407" t="inlineStr">
        <is>
          <t>C50.911</t>
        </is>
      </c>
      <c r="L1407" t="inlineStr">
        <is>
          <t>Neoplasms</t>
        </is>
      </c>
      <c r="M1407" t="inlineStr">
        <is>
          <t>Summit Choice PPO</t>
        </is>
      </c>
      <c r="N1407" t="inlineStr">
        <is>
          <t>Commercial</t>
        </is>
      </c>
      <c r="O1407" s="39" t="n">
        <v>986.85</v>
      </c>
    </row>
    <row r="1408">
      <c r="A1408" t="inlineStr">
        <is>
          <t>ENC118520</t>
        </is>
      </c>
      <c r="B1408" t="inlineStr">
        <is>
          <t>PT11380</t>
        </is>
      </c>
      <c r="C1408" s="42" t="n">
        <v>45916</v>
      </c>
      <c r="D1408" s="42" t="n">
        <v>45917</v>
      </c>
      <c r="E1408" s="38" t="n">
        <v>1</v>
      </c>
      <c r="F1408" t="inlineStr">
        <is>
          <t>Emergency</t>
        </is>
      </c>
      <c r="G1408" t="inlineStr">
        <is>
          <t>Bluestone Memorial Hospital</t>
        </is>
      </c>
      <c r="H1408" t="inlineStr">
        <is>
          <t>Emergency Department</t>
        </is>
      </c>
      <c r="I1408" t="inlineStr">
        <is>
          <t>Emergency</t>
        </is>
      </c>
      <c r="J1408" t="inlineStr">
        <is>
          <t>Vasquez, Bruce</t>
        </is>
      </c>
      <c r="K1408" t="inlineStr">
        <is>
          <t>N39.0</t>
        </is>
      </c>
      <c r="L1408" t="inlineStr">
        <is>
          <t>Genitourinary</t>
        </is>
      </c>
      <c r="M1408" t="inlineStr">
        <is>
          <t>Medicare</t>
        </is>
      </c>
      <c r="N1408" t="inlineStr">
        <is>
          <t>Government</t>
        </is>
      </c>
      <c r="O1408" s="39" t="n">
        <v>3031.41</v>
      </c>
    </row>
    <row r="1409">
      <c r="A1409" t="inlineStr">
        <is>
          <t>ENC118526</t>
        </is>
      </c>
      <c r="B1409" t="inlineStr">
        <is>
          <t>PT11624</t>
        </is>
      </c>
      <c r="C1409" s="42" t="n">
        <v>45917</v>
      </c>
      <c r="D1409" s="42" t="n">
        <v>45917</v>
      </c>
      <c r="E1409" s="38" t="n">
        <v>0</v>
      </c>
      <c r="F1409" t="inlineStr">
        <is>
          <t>Emergency</t>
        </is>
      </c>
      <c r="G1409" t="inlineStr">
        <is>
          <t>Bluestone Memorial Hospital</t>
        </is>
      </c>
      <c r="H1409" t="inlineStr">
        <is>
          <t>Emergency Department</t>
        </is>
      </c>
      <c r="I1409" t="inlineStr">
        <is>
          <t>Emergency</t>
        </is>
      </c>
      <c r="J1409" t="inlineStr">
        <is>
          <t>Cruz, Mia</t>
        </is>
      </c>
      <c r="K1409" t="inlineStr">
        <is>
          <t>N39.0</t>
        </is>
      </c>
      <c r="L1409" t="inlineStr">
        <is>
          <t>Genitourinary</t>
        </is>
      </c>
      <c r="M1409" t="inlineStr">
        <is>
          <t>State Medicaid</t>
        </is>
      </c>
      <c r="N1409" t="inlineStr">
        <is>
          <t>Government</t>
        </is>
      </c>
      <c r="O1409" s="39" t="n">
        <v>3181.79</v>
      </c>
    </row>
    <row r="1410">
      <c r="A1410" t="inlineStr">
        <is>
          <t>ENC118531</t>
        </is>
      </c>
      <c r="B1410" t="inlineStr">
        <is>
          <t>PT13744</t>
        </is>
      </c>
      <c r="C1410" s="42" t="n">
        <v>45917</v>
      </c>
      <c r="D1410" s="42" t="n">
        <v>45917</v>
      </c>
      <c r="E1410" s="38" t="n">
        <v>0</v>
      </c>
      <c r="F1410" t="inlineStr">
        <is>
          <t>Emergency</t>
        </is>
      </c>
      <c r="G1410" t="inlineStr">
        <is>
          <t>Bluestone Memorial Hospital</t>
        </is>
      </c>
      <c r="H1410" t="inlineStr">
        <is>
          <t>Emergency Department</t>
        </is>
      </c>
      <c r="I1410" t="inlineStr">
        <is>
          <t>Emergency</t>
        </is>
      </c>
      <c r="J1410" t="inlineStr">
        <is>
          <t>Sullivan, Jacob</t>
        </is>
      </c>
      <c r="K1410" t="inlineStr">
        <is>
          <t>S93.401A</t>
        </is>
      </c>
      <c r="L1410" t="inlineStr">
        <is>
          <t>Injury</t>
        </is>
      </c>
      <c r="M1410" t="inlineStr">
        <is>
          <t>Medicare</t>
        </is>
      </c>
      <c r="N1410" t="inlineStr">
        <is>
          <t>Government</t>
        </is>
      </c>
      <c r="O1410" s="39" t="n">
        <v>1726.81</v>
      </c>
    </row>
    <row r="1411">
      <c r="A1411" t="inlineStr">
        <is>
          <t>ENC118540</t>
        </is>
      </c>
      <c r="B1411" t="inlineStr">
        <is>
          <t>PT10404</t>
        </is>
      </c>
      <c r="C1411" s="42" t="n">
        <v>45917</v>
      </c>
      <c r="D1411" s="42" t="n">
        <v>45917</v>
      </c>
      <c r="E1411" s="38" t="n">
        <v>0</v>
      </c>
      <c r="F1411" t="inlineStr">
        <is>
          <t>Emergency</t>
        </is>
      </c>
      <c r="G1411" t="inlineStr">
        <is>
          <t>Bluestone Memorial Hospital</t>
        </is>
      </c>
      <c r="H1411" t="inlineStr">
        <is>
          <t>Emergency Department</t>
        </is>
      </c>
      <c r="I1411" t="inlineStr">
        <is>
          <t>Emergency</t>
        </is>
      </c>
      <c r="J1411" t="inlineStr">
        <is>
          <t>Olson, Christian</t>
        </is>
      </c>
      <c r="K1411" t="inlineStr">
        <is>
          <t>M54.50</t>
        </is>
      </c>
      <c r="L1411" t="inlineStr">
        <is>
          <t>Musculoskeletal</t>
        </is>
      </c>
      <c r="M1411" t="inlineStr">
        <is>
          <t>Workers' Compensation</t>
        </is>
      </c>
      <c r="N1411" t="inlineStr">
        <is>
          <t>Workers' Comp</t>
        </is>
      </c>
      <c r="O1411" s="39" t="n">
        <v>827.7</v>
      </c>
    </row>
    <row r="1412">
      <c r="A1412" t="inlineStr">
        <is>
          <t>ENC118543</t>
        </is>
      </c>
      <c r="B1412" t="inlineStr">
        <is>
          <t>PT10839</t>
        </is>
      </c>
      <c r="C1412" s="42" t="n">
        <v>45917</v>
      </c>
      <c r="D1412" s="42" t="n">
        <v>45917</v>
      </c>
      <c r="E1412" s="38" t="n">
        <v>0</v>
      </c>
      <c r="F1412" t="inlineStr">
        <is>
          <t>Outpatient</t>
        </is>
      </c>
      <c r="G1412" t="inlineStr">
        <is>
          <t>Bluestone Outpatient Pavilion</t>
        </is>
      </c>
      <c r="H1412" t="inlineStr">
        <is>
          <t>Primary Care Clinic</t>
        </is>
      </c>
      <c r="I1412" t="inlineStr">
        <is>
          <t>Ambulatory</t>
        </is>
      </c>
      <c r="J1412" t="inlineStr">
        <is>
          <t>Santos, Edward</t>
        </is>
      </c>
      <c r="K1412" t="inlineStr">
        <is>
          <t>Z00.00</t>
        </is>
      </c>
      <c r="L1412" t="inlineStr">
        <is>
          <t>Factors Influencing Health</t>
        </is>
      </c>
      <c r="M1412" t="inlineStr">
        <is>
          <t>Evergreen Mutual Insurance</t>
        </is>
      </c>
      <c r="N1412" t="inlineStr">
        <is>
          <t>Commercial</t>
        </is>
      </c>
      <c r="O1412" s="39" t="n">
        <v>258.12</v>
      </c>
    </row>
    <row r="1413">
      <c r="A1413" t="inlineStr">
        <is>
          <t>ENC118539</t>
        </is>
      </c>
      <c r="B1413" t="inlineStr">
        <is>
          <t>PT11619</t>
        </is>
      </c>
      <c r="C1413" s="42" t="n">
        <v>45917</v>
      </c>
      <c r="D1413" s="42" t="n">
        <v>45919</v>
      </c>
      <c r="E1413" s="38" t="n">
        <v>2</v>
      </c>
      <c r="F1413" t="inlineStr">
        <is>
          <t>Observation</t>
        </is>
      </c>
      <c r="G1413" t="inlineStr">
        <is>
          <t>Bluestone Memorial Hospital</t>
        </is>
      </c>
      <c r="H1413" t="inlineStr">
        <is>
          <t>Observation Unit</t>
        </is>
      </c>
      <c r="I1413" t="inlineStr">
        <is>
          <t>Medicine</t>
        </is>
      </c>
      <c r="J1413" t="inlineStr">
        <is>
          <t>Hunt, Richard</t>
        </is>
      </c>
      <c r="K1413" t="inlineStr">
        <is>
          <t>R07.9</t>
        </is>
      </c>
      <c r="L1413" t="inlineStr">
        <is>
          <t>Symptoms &amp; Signs</t>
        </is>
      </c>
      <c r="M1413" t="inlineStr">
        <is>
          <t>Medicare</t>
        </is>
      </c>
      <c r="N1413" t="inlineStr">
        <is>
          <t>Government</t>
        </is>
      </c>
      <c r="O1413" s="39" t="n">
        <v>16014.93</v>
      </c>
    </row>
    <row r="1414">
      <c r="A1414" t="inlineStr">
        <is>
          <t>ENC118548</t>
        </is>
      </c>
      <c r="B1414" t="inlineStr">
        <is>
          <t>PT13697</t>
        </is>
      </c>
      <c r="C1414" s="42" t="n">
        <v>45917</v>
      </c>
      <c r="D1414" s="42" t="n">
        <v>45917</v>
      </c>
      <c r="E1414" s="38" t="n">
        <v>0</v>
      </c>
      <c r="F1414" t="inlineStr">
        <is>
          <t>Emergency</t>
        </is>
      </c>
      <c r="G1414" t="inlineStr">
        <is>
          <t>Bluestone Memorial Hospital</t>
        </is>
      </c>
      <c r="H1414" t="inlineStr">
        <is>
          <t>Emergency Department</t>
        </is>
      </c>
      <c r="I1414" t="inlineStr">
        <is>
          <t>Emergency</t>
        </is>
      </c>
      <c r="J1414" t="inlineStr">
        <is>
          <t>Ferguson, Roy</t>
        </is>
      </c>
      <c r="K1414" t="inlineStr">
        <is>
          <t>S93.401A</t>
        </is>
      </c>
      <c r="L1414" t="inlineStr">
        <is>
          <t>Injury</t>
        </is>
      </c>
      <c r="M1414" t="inlineStr">
        <is>
          <t>Medicare</t>
        </is>
      </c>
      <c r="N1414" t="inlineStr">
        <is>
          <t>Government</t>
        </is>
      </c>
      <c r="O1414" s="39" t="n">
        <v>751.41</v>
      </c>
    </row>
    <row r="1415">
      <c r="A1415" t="inlineStr">
        <is>
          <t>ENC118570</t>
        </is>
      </c>
      <c r="B1415" t="inlineStr">
        <is>
          <t>PT11232</t>
        </is>
      </c>
      <c r="C1415" s="42" t="n">
        <v>45918</v>
      </c>
      <c r="D1415" s="42" t="n">
        <v>45918</v>
      </c>
      <c r="E1415" s="38" t="n">
        <v>0</v>
      </c>
      <c r="F1415" t="inlineStr">
        <is>
          <t>Outpatient</t>
        </is>
      </c>
      <c r="G1415" t="inlineStr">
        <is>
          <t>Bluestone Outpatient Pavilion</t>
        </is>
      </c>
      <c r="H1415" t="inlineStr">
        <is>
          <t>Primary Care Clinic</t>
        </is>
      </c>
      <c r="I1415" t="inlineStr">
        <is>
          <t>Ambulatory</t>
        </is>
      </c>
      <c r="J1415" t="inlineStr">
        <is>
          <t>Elliott, Douglas</t>
        </is>
      </c>
      <c r="K1415" t="inlineStr">
        <is>
          <t>F41.9</t>
        </is>
      </c>
      <c r="L1415" t="inlineStr">
        <is>
          <t>Mental &amp; Behavioral</t>
        </is>
      </c>
      <c r="M1415" t="inlineStr">
        <is>
          <t>State Medicaid</t>
        </is>
      </c>
      <c r="N1415" t="inlineStr">
        <is>
          <t>Government</t>
        </is>
      </c>
      <c r="O1415" s="39" t="n">
        <v>204.05</v>
      </c>
    </row>
    <row r="1416">
      <c r="A1416" t="inlineStr">
        <is>
          <t>ENC118583</t>
        </is>
      </c>
      <c r="B1416" t="inlineStr">
        <is>
          <t>PT11640</t>
        </is>
      </c>
      <c r="C1416" s="42" t="n">
        <v>45919</v>
      </c>
      <c r="D1416" s="42" t="n">
        <v>45919</v>
      </c>
      <c r="E1416" s="38" t="n">
        <v>0</v>
      </c>
      <c r="F1416" t="inlineStr">
        <is>
          <t>Emergency</t>
        </is>
      </c>
      <c r="G1416" t="inlineStr">
        <is>
          <t>Bluestone Memorial Hospital</t>
        </is>
      </c>
      <c r="H1416" t="inlineStr">
        <is>
          <t>Emergency Department</t>
        </is>
      </c>
      <c r="I1416" t="inlineStr">
        <is>
          <t>Emergency</t>
        </is>
      </c>
      <c r="J1416" t="inlineStr">
        <is>
          <t>Cruz, Mia</t>
        </is>
      </c>
      <c r="K1416" t="inlineStr">
        <is>
          <t>A08.4</t>
        </is>
      </c>
      <c r="L1416" t="inlineStr">
        <is>
          <t>Infectious</t>
        </is>
      </c>
      <c r="M1416" t="inlineStr">
        <is>
          <t>State Medicaid</t>
        </is>
      </c>
      <c r="N1416" t="inlineStr">
        <is>
          <t>Government</t>
        </is>
      </c>
      <c r="O1416" s="39" t="n">
        <v>1508.58</v>
      </c>
    </row>
    <row r="1417">
      <c r="A1417" t="inlineStr">
        <is>
          <t>ENC118582</t>
        </is>
      </c>
      <c r="B1417" t="inlineStr">
        <is>
          <t>PT13942</t>
        </is>
      </c>
      <c r="C1417" s="42" t="n">
        <v>45919</v>
      </c>
      <c r="D1417" s="42" t="n">
        <v>45921</v>
      </c>
      <c r="E1417" s="38" t="n">
        <v>2</v>
      </c>
      <c r="F1417" t="inlineStr">
        <is>
          <t>Inpatient</t>
        </is>
      </c>
      <c r="G1417" t="inlineStr">
        <is>
          <t>Ashby Falls Community Hospital</t>
        </is>
      </c>
      <c r="H1417" t="inlineStr">
        <is>
          <t>Medical-Surgical</t>
        </is>
      </c>
      <c r="I1417" t="inlineStr">
        <is>
          <t>Medicine</t>
        </is>
      </c>
      <c r="J1417" t="inlineStr">
        <is>
          <t>Carter, Karen</t>
        </is>
      </c>
      <c r="K1417" t="inlineStr">
        <is>
          <t>N39.0</t>
        </is>
      </c>
      <c r="L1417" t="inlineStr">
        <is>
          <t>Genitourinary</t>
        </is>
      </c>
      <c r="M1417" t="inlineStr">
        <is>
          <t>Silverline Medicare Advantage</t>
        </is>
      </c>
      <c r="N1417" t="inlineStr">
        <is>
          <t>Medicare Advantage</t>
        </is>
      </c>
      <c r="O1417" s="39" t="n">
        <v>11670.09</v>
      </c>
      <c r="P1417" t="inlineStr">
        <is>
          <t>Y</t>
        </is>
      </c>
    </row>
    <row r="1418">
      <c r="A1418" t="inlineStr">
        <is>
          <t>ENC118584</t>
        </is>
      </c>
      <c r="B1418" t="inlineStr">
        <is>
          <t>PT10185</t>
        </is>
      </c>
      <c r="C1418" s="42" t="n">
        <v>45919</v>
      </c>
      <c r="D1418" s="42" t="n">
        <v>45920</v>
      </c>
      <c r="E1418" s="38" t="n">
        <v>1</v>
      </c>
      <c r="F1418" t="inlineStr">
        <is>
          <t>Observation</t>
        </is>
      </c>
      <c r="G1418" t="inlineStr">
        <is>
          <t>Bluestone Memorial Hospital</t>
        </is>
      </c>
      <c r="H1418" t="inlineStr">
        <is>
          <t>Observation Unit</t>
        </is>
      </c>
      <c r="I1418" t="inlineStr">
        <is>
          <t>Medicine</t>
        </is>
      </c>
      <c r="J1418" t="inlineStr">
        <is>
          <t>Taylor, Jonathan</t>
        </is>
      </c>
      <c r="K1418" t="inlineStr">
        <is>
          <t>I48.91</t>
        </is>
      </c>
      <c r="L1418" t="inlineStr">
        <is>
          <t>Circulatory</t>
        </is>
      </c>
      <c r="M1418" t="inlineStr">
        <is>
          <t>Medicare</t>
        </is>
      </c>
      <c r="N1418" t="inlineStr">
        <is>
          <t>Government</t>
        </is>
      </c>
      <c r="O1418" s="39" t="n">
        <v>7387.99</v>
      </c>
    </row>
    <row r="1419">
      <c r="A1419" t="inlineStr">
        <is>
          <t>ENC118610</t>
        </is>
      </c>
      <c r="B1419" t="inlineStr">
        <is>
          <t>PT13422</t>
        </is>
      </c>
      <c r="C1419" s="42" t="n">
        <v>45920</v>
      </c>
      <c r="D1419" s="42" t="n">
        <v>45920</v>
      </c>
      <c r="E1419" s="38" t="n">
        <v>0</v>
      </c>
      <c r="F1419" t="inlineStr">
        <is>
          <t>Emergency</t>
        </is>
      </c>
      <c r="G1419" t="inlineStr">
        <is>
          <t>Bluestone Memorial Hospital</t>
        </is>
      </c>
      <c r="H1419" t="inlineStr">
        <is>
          <t>Emergency Department</t>
        </is>
      </c>
      <c r="I1419" t="inlineStr">
        <is>
          <t>Emergency</t>
        </is>
      </c>
      <c r="J1419" t="inlineStr">
        <is>
          <t>Kowalski, James</t>
        </is>
      </c>
      <c r="K1419" t="inlineStr">
        <is>
          <t>R10.9</t>
        </is>
      </c>
      <c r="L1419" t="inlineStr">
        <is>
          <t>Symptoms &amp; Signs</t>
        </is>
      </c>
      <c r="M1419" t="inlineStr">
        <is>
          <t>State Medicaid</t>
        </is>
      </c>
      <c r="N1419" t="inlineStr">
        <is>
          <t>Government</t>
        </is>
      </c>
      <c r="O1419" s="39" t="n">
        <v>1483.66</v>
      </c>
    </row>
    <row r="1420">
      <c r="A1420" t="inlineStr">
        <is>
          <t>ENC118611</t>
        </is>
      </c>
      <c r="B1420" t="inlineStr">
        <is>
          <t>PT10740</t>
        </is>
      </c>
      <c r="C1420" s="42" t="n">
        <v>45920</v>
      </c>
      <c r="D1420" s="42" t="n">
        <v>45928</v>
      </c>
      <c r="E1420" s="38" t="n">
        <v>8</v>
      </c>
      <c r="F1420" t="inlineStr">
        <is>
          <t>Inpatient</t>
        </is>
      </c>
      <c r="G1420" t="inlineStr">
        <is>
          <t>Bluestone Memorial Hospital</t>
        </is>
      </c>
      <c r="H1420" t="inlineStr">
        <is>
          <t>Neuroscience &amp; Stroke</t>
        </is>
      </c>
      <c r="I1420" t="inlineStr">
        <is>
          <t>Neuroscience</t>
        </is>
      </c>
      <c r="J1420" t="inlineStr">
        <is>
          <t>Garcia, Alexis</t>
        </is>
      </c>
      <c r="K1420" t="inlineStr">
        <is>
          <t>I63.9</t>
        </is>
      </c>
      <c r="L1420" t="inlineStr">
        <is>
          <t>Circulatory</t>
        </is>
      </c>
      <c r="M1420" t="inlineStr">
        <is>
          <t>Keystone Health Partners</t>
        </is>
      </c>
      <c r="N1420" t="inlineStr">
        <is>
          <t>Commercial</t>
        </is>
      </c>
      <c r="O1420" s="39" t="n">
        <v>47492.26</v>
      </c>
      <c r="P1420" t="inlineStr">
        <is>
          <t>N</t>
        </is>
      </c>
    </row>
    <row r="1421">
      <c r="A1421" t="inlineStr">
        <is>
          <t>ENC118621</t>
        </is>
      </c>
      <c r="B1421" t="inlineStr">
        <is>
          <t>PT10034</t>
        </is>
      </c>
      <c r="C1421" s="42" t="n">
        <v>45920</v>
      </c>
      <c r="D1421" s="42" t="n">
        <v>45920</v>
      </c>
      <c r="E1421" s="38" t="n">
        <v>0</v>
      </c>
      <c r="F1421" t="inlineStr">
        <is>
          <t>Emergency</t>
        </is>
      </c>
      <c r="G1421" t="inlineStr">
        <is>
          <t>Cedar Ridge Medical Center</t>
        </is>
      </c>
      <c r="H1421" t="inlineStr">
        <is>
          <t>Emergency Department</t>
        </is>
      </c>
      <c r="I1421" t="inlineStr">
        <is>
          <t>Emergency</t>
        </is>
      </c>
      <c r="J1421" t="inlineStr">
        <is>
          <t>Warren, Victoria</t>
        </is>
      </c>
      <c r="K1421" t="inlineStr">
        <is>
          <t>L03.115</t>
        </is>
      </c>
      <c r="L1421" t="inlineStr">
        <is>
          <t>Skin</t>
        </is>
      </c>
      <c r="M1421" t="inlineStr">
        <is>
          <t>Medicare</t>
        </is>
      </c>
      <c r="N1421" t="inlineStr">
        <is>
          <t>Government</t>
        </is>
      </c>
      <c r="O1421" s="39" t="n">
        <v>1119.07</v>
      </c>
    </row>
    <row r="1422">
      <c r="A1422" t="inlineStr">
        <is>
          <t>ENC118624</t>
        </is>
      </c>
      <c r="B1422" t="inlineStr">
        <is>
          <t>PT11172</t>
        </is>
      </c>
      <c r="C1422" s="42" t="n">
        <v>45920</v>
      </c>
      <c r="D1422" s="42" t="n">
        <v>45920</v>
      </c>
      <c r="E1422" s="38" t="n">
        <v>0</v>
      </c>
      <c r="F1422" t="inlineStr">
        <is>
          <t>Emergency</t>
        </is>
      </c>
      <c r="G1422" t="inlineStr">
        <is>
          <t>Bluestone Memorial Hospital</t>
        </is>
      </c>
      <c r="H1422" t="inlineStr">
        <is>
          <t>Emergency Department</t>
        </is>
      </c>
      <c r="I1422" t="inlineStr">
        <is>
          <t>Emergency</t>
        </is>
      </c>
      <c r="J1422" t="inlineStr">
        <is>
          <t>Kowalski, James</t>
        </is>
      </c>
      <c r="K1422" t="inlineStr">
        <is>
          <t>U07.1</t>
        </is>
      </c>
      <c r="L1422" t="inlineStr">
        <is>
          <t>Respiratory</t>
        </is>
      </c>
      <c r="M1422" t="inlineStr">
        <is>
          <t>Keystone Health Partners</t>
        </is>
      </c>
      <c r="N1422" t="inlineStr">
        <is>
          <t>Commercial</t>
        </is>
      </c>
      <c r="O1422" s="39" t="n">
        <v>2988.26</v>
      </c>
    </row>
    <row r="1423">
      <c r="A1423" t="inlineStr">
        <is>
          <t>ENC118623</t>
        </is>
      </c>
      <c r="B1423" t="inlineStr">
        <is>
          <t>PT13413</t>
        </is>
      </c>
      <c r="C1423" s="42" t="n">
        <v>45920</v>
      </c>
      <c r="D1423" s="42" t="n">
        <v>45924</v>
      </c>
      <c r="E1423" s="38" t="n">
        <v>4</v>
      </c>
      <c r="F1423" t="inlineStr">
        <is>
          <t>Inpatient</t>
        </is>
      </c>
      <c r="G1423" t="inlineStr">
        <is>
          <t>Bluestone Memorial Hospital</t>
        </is>
      </c>
      <c r="H1423" t="inlineStr">
        <is>
          <t>Medical-Surgical 5 East</t>
        </is>
      </c>
      <c r="I1423" t="inlineStr">
        <is>
          <t>Medicine</t>
        </is>
      </c>
      <c r="J1423" t="inlineStr">
        <is>
          <t>Abbott, Kathleen</t>
        </is>
      </c>
      <c r="K1423" t="inlineStr">
        <is>
          <t>E86.0</t>
        </is>
      </c>
      <c r="L1423" t="inlineStr">
        <is>
          <t>Endocrine</t>
        </is>
      </c>
      <c r="M1423" t="inlineStr">
        <is>
          <t>Keystone Health Partners</t>
        </is>
      </c>
      <c r="N1423" t="inlineStr">
        <is>
          <t>Commercial</t>
        </is>
      </c>
      <c r="O1423" s="39" t="n">
        <v>14726.97</v>
      </c>
      <c r="P1423" t="inlineStr">
        <is>
          <t>N</t>
        </is>
      </c>
    </row>
    <row r="1424">
      <c r="A1424" t="inlineStr">
        <is>
          <t>ENC118627</t>
        </is>
      </c>
      <c r="B1424" t="inlineStr">
        <is>
          <t>PT11216</t>
        </is>
      </c>
      <c r="C1424" s="42" t="n">
        <v>45920</v>
      </c>
      <c r="D1424" s="42" t="n">
        <v>45921</v>
      </c>
      <c r="E1424" s="38" t="n">
        <v>1</v>
      </c>
      <c r="F1424" t="inlineStr">
        <is>
          <t>Emergency</t>
        </is>
      </c>
      <c r="G1424" t="inlineStr">
        <is>
          <t>Bluestone Memorial Hospital</t>
        </is>
      </c>
      <c r="H1424" t="inlineStr">
        <is>
          <t>Emergency Department</t>
        </is>
      </c>
      <c r="I1424" t="inlineStr">
        <is>
          <t>Emergency</t>
        </is>
      </c>
      <c r="J1424" t="inlineStr">
        <is>
          <t>Sullivan, Jacob</t>
        </is>
      </c>
      <c r="K1424" t="inlineStr">
        <is>
          <t>F10.239</t>
        </is>
      </c>
      <c r="L1424" t="inlineStr">
        <is>
          <t>Mental &amp; Behavioral</t>
        </is>
      </c>
      <c r="M1424" t="inlineStr">
        <is>
          <t>Medicare</t>
        </is>
      </c>
      <c r="N1424" t="inlineStr">
        <is>
          <t>Government</t>
        </is>
      </c>
      <c r="O1424" s="39" t="n">
        <v>3315.05</v>
      </c>
    </row>
    <row r="1425">
      <c r="A1425" t="inlineStr">
        <is>
          <t>ENC118629</t>
        </is>
      </c>
      <c r="B1425" t="inlineStr">
        <is>
          <t>PT11725</t>
        </is>
      </c>
      <c r="C1425" s="42" t="n">
        <v>45921</v>
      </c>
      <c r="D1425" s="42" t="n">
        <v>45926</v>
      </c>
      <c r="E1425" s="38" t="n">
        <v>5</v>
      </c>
      <c r="F1425" t="inlineStr">
        <is>
          <t>Inpatient</t>
        </is>
      </c>
      <c r="G1425" t="inlineStr">
        <is>
          <t>Bluestone Memorial Hospital</t>
        </is>
      </c>
      <c r="H1425" t="inlineStr">
        <is>
          <t>Medical-Surgical 5 East</t>
        </is>
      </c>
      <c r="I1425" t="inlineStr">
        <is>
          <t>Medicine</t>
        </is>
      </c>
      <c r="J1425" t="inlineStr">
        <is>
          <t>Russell, Larry</t>
        </is>
      </c>
      <c r="K1425" t="inlineStr">
        <is>
          <t>J44.1</t>
        </is>
      </c>
      <c r="L1425" t="inlineStr">
        <is>
          <t>Respiratory</t>
        </is>
      </c>
      <c r="M1425" t="inlineStr">
        <is>
          <t>Keystone Health Partners</t>
        </is>
      </c>
      <c r="N1425" t="inlineStr">
        <is>
          <t>Commercial</t>
        </is>
      </c>
      <c r="O1425" s="39" t="n">
        <v>20909.85</v>
      </c>
      <c r="P1425" t="inlineStr">
        <is>
          <t>N</t>
        </is>
      </c>
    </row>
    <row r="1426">
      <c r="A1426" t="inlineStr">
        <is>
          <t>ENC118639</t>
        </is>
      </c>
      <c r="B1426" t="inlineStr">
        <is>
          <t>PT13311</t>
        </is>
      </c>
      <c r="C1426" s="42" t="n">
        <v>45922</v>
      </c>
      <c r="D1426" s="42" t="n">
        <v>45922</v>
      </c>
      <c r="E1426" s="38" t="n">
        <v>0</v>
      </c>
      <c r="F1426" t="inlineStr">
        <is>
          <t>Emergency</t>
        </is>
      </c>
      <c r="G1426" t="inlineStr">
        <is>
          <t>Bluestone Memorial Hospital</t>
        </is>
      </c>
      <c r="H1426" t="inlineStr">
        <is>
          <t>Emergency Department</t>
        </is>
      </c>
      <c r="I1426" t="inlineStr">
        <is>
          <t>Emergency</t>
        </is>
      </c>
      <c r="J1426" t="inlineStr">
        <is>
          <t>Cruz, Mia</t>
        </is>
      </c>
      <c r="K1426" t="inlineStr">
        <is>
          <t>J06.9</t>
        </is>
      </c>
      <c r="L1426" t="inlineStr">
        <is>
          <t>Respiratory</t>
        </is>
      </c>
      <c r="M1426" t="inlineStr">
        <is>
          <t>State Medicaid</t>
        </is>
      </c>
      <c r="N1426" t="inlineStr">
        <is>
          <t>Government</t>
        </is>
      </c>
      <c r="O1426" s="39" t="n">
        <v>1713.5</v>
      </c>
    </row>
    <row r="1427">
      <c r="A1427" t="inlineStr">
        <is>
          <t>ENC118640</t>
        </is>
      </c>
      <c r="B1427" t="inlineStr">
        <is>
          <t>PT13339</t>
        </is>
      </c>
      <c r="C1427" s="42" t="n">
        <v>45922</v>
      </c>
      <c r="D1427" s="42" t="n">
        <v>45923</v>
      </c>
      <c r="E1427" s="38" t="n">
        <v>1</v>
      </c>
      <c r="F1427" t="inlineStr">
        <is>
          <t>Inpatient</t>
        </is>
      </c>
      <c r="G1427" t="inlineStr">
        <is>
          <t>Bluestone Memorial Hospital</t>
        </is>
      </c>
      <c r="H1427" t="inlineStr">
        <is>
          <t>Labor &amp; Delivery</t>
        </is>
      </c>
      <c r="I1427" t="inlineStr">
        <is>
          <t>Women &amp; Children</t>
        </is>
      </c>
      <c r="J1427" t="inlineStr">
        <is>
          <t>Arnold, Marie</t>
        </is>
      </c>
      <c r="K1427" t="inlineStr">
        <is>
          <t>O80</t>
        </is>
      </c>
      <c r="L1427" t="inlineStr">
        <is>
          <t>Pregnancy</t>
        </is>
      </c>
      <c r="M1427" t="inlineStr">
        <is>
          <t>State Medicaid</t>
        </is>
      </c>
      <c r="N1427" t="inlineStr">
        <is>
          <t>Government</t>
        </is>
      </c>
      <c r="O1427" s="39" t="n">
        <v>14456.21</v>
      </c>
      <c r="P1427" t="inlineStr">
        <is>
          <t>N</t>
        </is>
      </c>
    </row>
    <row r="1428">
      <c r="A1428" t="inlineStr">
        <is>
          <t>ENC118641</t>
        </is>
      </c>
      <c r="B1428" t="inlineStr">
        <is>
          <t>PT12595</t>
        </is>
      </c>
      <c r="C1428" s="42" t="n">
        <v>45922</v>
      </c>
      <c r="D1428" s="42" t="n">
        <v>45922</v>
      </c>
      <c r="E1428" s="38" t="n">
        <v>0</v>
      </c>
      <c r="F1428" t="inlineStr">
        <is>
          <t>Outpatient</t>
        </is>
      </c>
      <c r="G1428" t="inlineStr">
        <is>
          <t>Bluestone Outpatient Pavilion</t>
        </is>
      </c>
      <c r="H1428" t="inlineStr">
        <is>
          <t>Infusion &amp; Oncology Clinic</t>
        </is>
      </c>
      <c r="I1428" t="inlineStr">
        <is>
          <t>Oncology</t>
        </is>
      </c>
      <c r="J1428" t="inlineStr">
        <is>
          <t>Cooper, Logan</t>
        </is>
      </c>
      <c r="K1428" t="inlineStr">
        <is>
          <t>C50.911</t>
        </is>
      </c>
      <c r="L1428" t="inlineStr">
        <is>
          <t>Neoplasms</t>
        </is>
      </c>
      <c r="M1428" t="inlineStr">
        <is>
          <t>Silverline Medicare Advantage</t>
        </is>
      </c>
      <c r="N1428" t="inlineStr">
        <is>
          <t>Medicare Advantage</t>
        </is>
      </c>
      <c r="O1428" s="39" t="n">
        <v>652.3</v>
      </c>
    </row>
    <row r="1429">
      <c r="A1429" t="inlineStr">
        <is>
          <t>ENC118642</t>
        </is>
      </c>
      <c r="B1429" t="inlineStr">
        <is>
          <t>PT11706</t>
        </is>
      </c>
      <c r="C1429" s="42" t="n">
        <v>45922</v>
      </c>
      <c r="D1429" s="42" t="n">
        <v>45922</v>
      </c>
      <c r="E1429" s="38" t="n">
        <v>0</v>
      </c>
      <c r="F1429" t="inlineStr">
        <is>
          <t>Emergency</t>
        </is>
      </c>
      <c r="G1429" t="inlineStr">
        <is>
          <t>Bluestone Memorial Hospital</t>
        </is>
      </c>
      <c r="H1429" t="inlineStr">
        <is>
          <t>Emergency Department</t>
        </is>
      </c>
      <c r="I1429" t="inlineStr">
        <is>
          <t>Emergency</t>
        </is>
      </c>
      <c r="J1429" t="inlineStr">
        <is>
          <t>Sullivan, Jacob</t>
        </is>
      </c>
      <c r="K1429" t="inlineStr">
        <is>
          <t>N39.0</t>
        </is>
      </c>
      <c r="L1429" t="inlineStr">
        <is>
          <t>Genitourinary</t>
        </is>
      </c>
      <c r="M1429" t="inlineStr">
        <is>
          <t>Silverline Medicare Advantage</t>
        </is>
      </c>
      <c r="N1429" t="inlineStr">
        <is>
          <t>Medicare Advantage</t>
        </is>
      </c>
      <c r="O1429" s="39" t="n">
        <v>4183.29</v>
      </c>
    </row>
    <row r="1430">
      <c r="A1430" t="inlineStr">
        <is>
          <t>ENC118650</t>
        </is>
      </c>
      <c r="B1430" t="inlineStr">
        <is>
          <t>PT11773</t>
        </is>
      </c>
      <c r="C1430" s="42" t="n">
        <v>45922</v>
      </c>
      <c r="D1430" s="42" t="n">
        <v>45924</v>
      </c>
      <c r="E1430" s="38" t="n">
        <v>2</v>
      </c>
      <c r="F1430" t="inlineStr">
        <is>
          <t>Observation</t>
        </is>
      </c>
      <c r="G1430" t="inlineStr">
        <is>
          <t>Bluestone Memorial Hospital</t>
        </is>
      </c>
      <c r="H1430" t="inlineStr">
        <is>
          <t>Observation Unit</t>
        </is>
      </c>
      <c r="I1430" t="inlineStr">
        <is>
          <t>Medicine</t>
        </is>
      </c>
      <c r="J1430" t="inlineStr">
        <is>
          <t>Simpson, Kelly</t>
        </is>
      </c>
      <c r="K1430" t="inlineStr">
        <is>
          <t>E87.1</t>
        </is>
      </c>
      <c r="L1430" t="inlineStr">
        <is>
          <t>Endocrine</t>
        </is>
      </c>
      <c r="M1430" t="inlineStr">
        <is>
          <t>Silverline Medicare Advantage</t>
        </is>
      </c>
      <c r="N1430" t="inlineStr">
        <is>
          <t>Medicare Advantage</t>
        </is>
      </c>
      <c r="O1430" s="39" t="n">
        <v>12675.43</v>
      </c>
    </row>
    <row r="1431">
      <c r="A1431" t="inlineStr">
        <is>
          <t>ENC118665</t>
        </is>
      </c>
      <c r="B1431" t="inlineStr">
        <is>
          <t>PT11301</t>
        </is>
      </c>
      <c r="C1431" s="42" t="n">
        <v>45922</v>
      </c>
      <c r="D1431" s="42" t="n">
        <v>45922</v>
      </c>
      <c r="E1431" s="38" t="n">
        <v>0</v>
      </c>
      <c r="F1431" t="inlineStr">
        <is>
          <t>Outpatient</t>
        </is>
      </c>
      <c r="G1431" t="inlineStr">
        <is>
          <t>Bluestone Outpatient Pavilion</t>
        </is>
      </c>
      <c r="H1431" t="inlineStr">
        <is>
          <t>Primary Care Clinic</t>
        </is>
      </c>
      <c r="I1431" t="inlineStr">
        <is>
          <t>Ambulatory</t>
        </is>
      </c>
      <c r="J1431" t="inlineStr">
        <is>
          <t>Torres, Rebecca</t>
        </is>
      </c>
      <c r="K1431" t="inlineStr">
        <is>
          <t>I10</t>
        </is>
      </c>
      <c r="L1431" t="inlineStr">
        <is>
          <t>Circulatory</t>
        </is>
      </c>
      <c r="M1431" t="inlineStr">
        <is>
          <t>Keystone Health Partners</t>
        </is>
      </c>
      <c r="N1431" t="inlineStr">
        <is>
          <t>Commercial</t>
        </is>
      </c>
      <c r="O1431" s="39" t="n">
        <v>345.32</v>
      </c>
    </row>
    <row r="1432">
      <c r="A1432" t="inlineStr">
        <is>
          <t>ENC118666</t>
        </is>
      </c>
      <c r="B1432" t="inlineStr">
        <is>
          <t>PT13489</t>
        </is>
      </c>
      <c r="C1432" s="42" t="n">
        <v>45922</v>
      </c>
      <c r="D1432" s="42" t="n">
        <v>45922</v>
      </c>
      <c r="E1432" s="38" t="n">
        <v>0</v>
      </c>
      <c r="F1432" t="inlineStr">
        <is>
          <t>Emergency</t>
        </is>
      </c>
      <c r="G1432" t="inlineStr">
        <is>
          <t>Bluestone Memorial Hospital</t>
        </is>
      </c>
      <c r="H1432" t="inlineStr">
        <is>
          <t>Emergency Department</t>
        </is>
      </c>
      <c r="I1432" t="inlineStr">
        <is>
          <t>Emergency</t>
        </is>
      </c>
      <c r="J1432" t="inlineStr">
        <is>
          <t>Olson, Christian</t>
        </is>
      </c>
      <c r="K1432" t="inlineStr">
        <is>
          <t>M54.50</t>
        </is>
      </c>
      <c r="L1432" t="inlineStr">
        <is>
          <t>Musculoskeletal</t>
        </is>
      </c>
      <c r="M1432" t="inlineStr">
        <is>
          <t>State Medicaid</t>
        </is>
      </c>
      <c r="N1432" t="inlineStr">
        <is>
          <t>Government</t>
        </is>
      </c>
      <c r="O1432" s="39" t="n">
        <v>2269.27</v>
      </c>
    </row>
    <row r="1433">
      <c r="A1433" t="inlineStr">
        <is>
          <t>ENC118688</t>
        </is>
      </c>
      <c r="B1433" t="inlineStr">
        <is>
          <t>PT11064</t>
        </is>
      </c>
      <c r="C1433" s="42" t="n">
        <v>45923</v>
      </c>
      <c r="D1433" s="42" t="n">
        <v>45923</v>
      </c>
      <c r="E1433" s="38" t="n">
        <v>0</v>
      </c>
      <c r="F1433" t="inlineStr">
        <is>
          <t>Outpatient</t>
        </is>
      </c>
      <c r="G1433" t="inlineStr">
        <is>
          <t>Bluestone Outpatient Pavilion</t>
        </is>
      </c>
      <c r="H1433" t="inlineStr">
        <is>
          <t>Primary Care Clinic</t>
        </is>
      </c>
      <c r="I1433" t="inlineStr">
        <is>
          <t>Ambulatory</t>
        </is>
      </c>
      <c r="J1433" t="inlineStr">
        <is>
          <t>Arnold, Catherine</t>
        </is>
      </c>
      <c r="K1433" t="inlineStr">
        <is>
          <t>J44.1</t>
        </is>
      </c>
      <c r="L1433" t="inlineStr">
        <is>
          <t>Respiratory</t>
        </is>
      </c>
      <c r="M1433" t="inlineStr">
        <is>
          <t>Keystone Health Partners</t>
        </is>
      </c>
      <c r="N1433" t="inlineStr">
        <is>
          <t>Commercial</t>
        </is>
      </c>
      <c r="O1433" s="39" t="n">
        <v>284.45</v>
      </c>
    </row>
    <row r="1434">
      <c r="A1434" t="inlineStr">
        <is>
          <t>ENC118695</t>
        </is>
      </c>
      <c r="B1434" t="inlineStr">
        <is>
          <t>PT10458</t>
        </is>
      </c>
      <c r="C1434" s="42" t="n">
        <v>45923</v>
      </c>
      <c r="D1434" s="42" t="n">
        <v>45926</v>
      </c>
      <c r="E1434" s="38" t="n">
        <v>3</v>
      </c>
      <c r="F1434" t="inlineStr">
        <is>
          <t>Inpatient</t>
        </is>
      </c>
      <c r="G1434" t="inlineStr">
        <is>
          <t>Bluestone Memorial Hospital</t>
        </is>
      </c>
      <c r="H1434" t="inlineStr">
        <is>
          <t>Labor &amp; Delivery</t>
        </is>
      </c>
      <c r="I1434" t="inlineStr">
        <is>
          <t>Women &amp; Children</t>
        </is>
      </c>
      <c r="J1434" t="inlineStr">
        <is>
          <t>James, Pamela</t>
        </is>
      </c>
      <c r="K1434" t="inlineStr">
        <is>
          <t>O80</t>
        </is>
      </c>
      <c r="L1434" t="inlineStr">
        <is>
          <t>Pregnancy</t>
        </is>
      </c>
      <c r="M1434" t="inlineStr">
        <is>
          <t>Keystone Health Partners</t>
        </is>
      </c>
      <c r="N1434" t="inlineStr">
        <is>
          <t>Commercial</t>
        </is>
      </c>
      <c r="O1434" s="39" t="n">
        <v>17569.04</v>
      </c>
      <c r="P1434" t="inlineStr">
        <is>
          <t>Y</t>
        </is>
      </c>
    </row>
    <row r="1435">
      <c r="A1435" t="inlineStr">
        <is>
          <t>ENC118710</t>
        </is>
      </c>
      <c r="B1435" t="inlineStr">
        <is>
          <t>PT12333</t>
        </is>
      </c>
      <c r="C1435" s="42" t="n">
        <v>45923</v>
      </c>
      <c r="D1435" s="42" t="n">
        <v>45927</v>
      </c>
      <c r="E1435" s="38" t="n">
        <v>4</v>
      </c>
      <c r="F1435" t="inlineStr">
        <is>
          <t>Inpatient</t>
        </is>
      </c>
      <c r="G1435" t="inlineStr">
        <is>
          <t>Ashby Falls Community Hospital</t>
        </is>
      </c>
      <c r="H1435" t="inlineStr">
        <is>
          <t>Medical-Surgical</t>
        </is>
      </c>
      <c r="I1435" t="inlineStr">
        <is>
          <t>Medicine</t>
        </is>
      </c>
      <c r="J1435" t="inlineStr">
        <is>
          <t>Moreno, Melissa</t>
        </is>
      </c>
      <c r="K1435" t="inlineStr">
        <is>
          <t>K92.2</t>
        </is>
      </c>
      <c r="L1435" t="inlineStr">
        <is>
          <t>Digestive</t>
        </is>
      </c>
      <c r="M1435" t="inlineStr">
        <is>
          <t>Medicare</t>
        </is>
      </c>
      <c r="N1435" t="inlineStr">
        <is>
          <t>Government</t>
        </is>
      </c>
      <c r="O1435" s="39" t="n">
        <v>25633.08</v>
      </c>
      <c r="P1435" t="inlineStr">
        <is>
          <t>N</t>
        </is>
      </c>
    </row>
    <row r="1436">
      <c r="A1436" t="inlineStr">
        <is>
          <t>ENC118721</t>
        </is>
      </c>
      <c r="B1436" t="inlineStr">
        <is>
          <t>PT12848</t>
        </is>
      </c>
      <c r="C1436" s="42" t="n">
        <v>45924</v>
      </c>
      <c r="D1436" s="42" t="n">
        <v>45924</v>
      </c>
      <c r="E1436" s="38" t="n">
        <v>0</v>
      </c>
      <c r="F1436" t="inlineStr">
        <is>
          <t>Outpatient</t>
        </is>
      </c>
      <c r="G1436" t="inlineStr">
        <is>
          <t>Bluestone Outpatient Pavilion</t>
        </is>
      </c>
      <c r="H1436" t="inlineStr">
        <is>
          <t>Primary Care Clinic</t>
        </is>
      </c>
      <c r="I1436" t="inlineStr">
        <is>
          <t>Ambulatory</t>
        </is>
      </c>
      <c r="J1436" t="inlineStr">
        <is>
          <t>Santos, Edward</t>
        </is>
      </c>
      <c r="K1436" t="inlineStr">
        <is>
          <t>E78.5</t>
        </is>
      </c>
      <c r="L1436" t="inlineStr">
        <is>
          <t>Endocrine</t>
        </is>
      </c>
      <c r="M1436" t="inlineStr">
        <is>
          <t>State Medicaid</t>
        </is>
      </c>
      <c r="N1436" t="inlineStr">
        <is>
          <t>Government</t>
        </is>
      </c>
      <c r="O1436" s="39" t="n">
        <v>251.13</v>
      </c>
    </row>
    <row r="1437">
      <c r="A1437" t="inlineStr">
        <is>
          <t>ENC118723</t>
        </is>
      </c>
      <c r="B1437" t="inlineStr">
        <is>
          <t>PT10609</t>
        </is>
      </c>
      <c r="C1437" s="42" t="n">
        <v>45924</v>
      </c>
      <c r="D1437" s="42" t="n">
        <v>45924</v>
      </c>
      <c r="E1437" s="38" t="n">
        <v>0</v>
      </c>
      <c r="F1437" t="inlineStr">
        <is>
          <t>Emergency</t>
        </is>
      </c>
      <c r="G1437" t="inlineStr">
        <is>
          <t>Bluestone Memorial Hospital</t>
        </is>
      </c>
      <c r="H1437" t="inlineStr">
        <is>
          <t>Emergency Department</t>
        </is>
      </c>
      <c r="I1437" t="inlineStr">
        <is>
          <t>Emergency</t>
        </is>
      </c>
      <c r="J1437" t="inlineStr">
        <is>
          <t>Ferguson, Roy</t>
        </is>
      </c>
      <c r="K1437" t="inlineStr">
        <is>
          <t>J06.9</t>
        </is>
      </c>
      <c r="L1437" t="inlineStr">
        <is>
          <t>Respiratory</t>
        </is>
      </c>
      <c r="M1437" t="inlineStr">
        <is>
          <t>Keystone Health Partners</t>
        </is>
      </c>
      <c r="N1437" t="inlineStr">
        <is>
          <t>Commercial</t>
        </is>
      </c>
      <c r="O1437" s="39" t="n">
        <v>1099.63</v>
      </c>
    </row>
    <row r="1438">
      <c r="A1438" t="inlineStr">
        <is>
          <t>ENC118734</t>
        </is>
      </c>
      <c r="B1438" t="inlineStr">
        <is>
          <t>PT12158</t>
        </is>
      </c>
      <c r="C1438" s="42" t="n">
        <v>45924</v>
      </c>
      <c r="D1438" s="42" t="n">
        <v>45924</v>
      </c>
      <c r="E1438" s="38" t="n">
        <v>0</v>
      </c>
      <c r="F1438" t="inlineStr">
        <is>
          <t>Outpatient</t>
        </is>
      </c>
      <c r="G1438" t="inlineStr">
        <is>
          <t>Bluestone Outpatient Pavilion</t>
        </is>
      </c>
      <c r="H1438" t="inlineStr">
        <is>
          <t>Primary Care Clinic</t>
        </is>
      </c>
      <c r="I1438" t="inlineStr">
        <is>
          <t>Ambulatory</t>
        </is>
      </c>
      <c r="J1438" t="inlineStr">
        <is>
          <t>Sullivan, Brenda</t>
        </is>
      </c>
      <c r="K1438" t="inlineStr">
        <is>
          <t>F41.9</t>
        </is>
      </c>
      <c r="L1438" t="inlineStr">
        <is>
          <t>Mental &amp; Behavioral</t>
        </is>
      </c>
      <c r="M1438" t="inlineStr">
        <is>
          <t>State Medicaid</t>
        </is>
      </c>
      <c r="N1438" t="inlineStr">
        <is>
          <t>Government</t>
        </is>
      </c>
      <c r="O1438" s="39" t="n">
        <v>424.53</v>
      </c>
    </row>
    <row r="1439">
      <c r="A1439" t="inlineStr">
        <is>
          <t>ENC118727</t>
        </is>
      </c>
      <c r="B1439" t="inlineStr">
        <is>
          <t>PT10798</t>
        </is>
      </c>
      <c r="C1439" s="42" t="n">
        <v>45924</v>
      </c>
      <c r="D1439" s="42" t="n">
        <v>45926</v>
      </c>
      <c r="E1439" s="38" t="n">
        <v>2</v>
      </c>
      <c r="F1439" t="inlineStr">
        <is>
          <t>Observation</t>
        </is>
      </c>
      <c r="G1439" t="inlineStr">
        <is>
          <t>Bluestone Memorial Hospital</t>
        </is>
      </c>
      <c r="H1439" t="inlineStr">
        <is>
          <t>Observation Unit</t>
        </is>
      </c>
      <c r="I1439" t="inlineStr">
        <is>
          <t>Medicine</t>
        </is>
      </c>
      <c r="J1439" t="inlineStr">
        <is>
          <t>Simpson, Kelly</t>
        </is>
      </c>
      <c r="K1439" t="inlineStr">
        <is>
          <t>R07.9</t>
        </is>
      </c>
      <c r="L1439" t="inlineStr">
        <is>
          <t>Symptoms &amp; Signs</t>
        </is>
      </c>
      <c r="M1439" t="inlineStr">
        <is>
          <t>Summit Choice PPO</t>
        </is>
      </c>
      <c r="N1439" t="inlineStr">
        <is>
          <t>Commercial</t>
        </is>
      </c>
      <c r="O1439" s="39" t="n">
        <v>6625.95</v>
      </c>
    </row>
    <row r="1440">
      <c r="A1440" t="inlineStr">
        <is>
          <t>ENC118749</t>
        </is>
      </c>
      <c r="B1440" t="inlineStr">
        <is>
          <t>PT10522</t>
        </is>
      </c>
      <c r="C1440" s="42" t="n">
        <v>45925</v>
      </c>
      <c r="D1440" s="42" t="n">
        <v>45925</v>
      </c>
      <c r="E1440" s="38" t="n">
        <v>0</v>
      </c>
      <c r="F1440" t="inlineStr">
        <is>
          <t>Outpatient</t>
        </is>
      </c>
      <c r="G1440" t="inlineStr">
        <is>
          <t>Bluestone Outpatient Pavilion</t>
        </is>
      </c>
      <c r="H1440" t="inlineStr">
        <is>
          <t>Pediatric Clinic</t>
        </is>
      </c>
      <c r="I1440" t="inlineStr">
        <is>
          <t>Women &amp; Children</t>
        </is>
      </c>
      <c r="J1440" t="inlineStr">
        <is>
          <t>Alvarez, Susan</t>
        </is>
      </c>
      <c r="K1440" t="inlineStr">
        <is>
          <t>Z00.129</t>
        </is>
      </c>
      <c r="L1440" t="inlineStr">
        <is>
          <t>Factors Influencing Health</t>
        </is>
      </c>
      <c r="M1440" t="inlineStr">
        <is>
          <t>Keystone Health Partners</t>
        </is>
      </c>
      <c r="N1440" t="inlineStr">
        <is>
          <t>Commercial</t>
        </is>
      </c>
      <c r="O1440" s="39" t="n">
        <v>467.09</v>
      </c>
    </row>
    <row r="1441">
      <c r="A1441" t="inlineStr">
        <is>
          <t>ENC118758</t>
        </is>
      </c>
      <c r="B1441" t="inlineStr">
        <is>
          <t>PT12355</t>
        </is>
      </c>
      <c r="C1441" s="42" t="n">
        <v>45925</v>
      </c>
      <c r="D1441" s="42" t="n">
        <v>45932</v>
      </c>
      <c r="E1441" s="38" t="n">
        <v>7</v>
      </c>
      <c r="F1441" t="inlineStr">
        <is>
          <t>Inpatient</t>
        </is>
      </c>
      <c r="G1441" t="inlineStr">
        <is>
          <t>Cedar Ridge Medical Center</t>
        </is>
      </c>
      <c r="H1441" t="inlineStr">
        <is>
          <t>Medical-Surgical</t>
        </is>
      </c>
      <c r="I1441" t="inlineStr">
        <is>
          <t>Medicine</t>
        </is>
      </c>
      <c r="J1441" t="inlineStr">
        <is>
          <t>Hansen, Wei</t>
        </is>
      </c>
      <c r="K1441" t="inlineStr">
        <is>
          <t>A41.9</t>
        </is>
      </c>
      <c r="L1441" t="inlineStr">
        <is>
          <t>Infectious</t>
        </is>
      </c>
      <c r="M1441" t="inlineStr">
        <is>
          <t>Medicare</t>
        </is>
      </c>
      <c r="N1441" t="inlineStr">
        <is>
          <t>Government</t>
        </is>
      </c>
      <c r="O1441" s="39" t="n">
        <v>63619.53</v>
      </c>
      <c r="P1441" t="inlineStr">
        <is>
          <t>N</t>
        </is>
      </c>
    </row>
    <row r="1442">
      <c r="A1442" t="inlineStr">
        <is>
          <t>ENC118765</t>
        </is>
      </c>
      <c r="B1442" t="inlineStr">
        <is>
          <t>PT10971</t>
        </is>
      </c>
      <c r="C1442" s="42" t="n">
        <v>45926</v>
      </c>
      <c r="D1442" s="42" t="n">
        <v>45926</v>
      </c>
      <c r="E1442" s="38" t="n">
        <v>0</v>
      </c>
      <c r="F1442" t="inlineStr">
        <is>
          <t>Emergency</t>
        </is>
      </c>
      <c r="G1442" t="inlineStr">
        <is>
          <t>Bluestone Memorial Hospital</t>
        </is>
      </c>
      <c r="H1442" t="inlineStr">
        <is>
          <t>Emergency Department</t>
        </is>
      </c>
      <c r="I1442" t="inlineStr">
        <is>
          <t>Emergency</t>
        </is>
      </c>
      <c r="J1442" t="inlineStr">
        <is>
          <t>Elliott, Jesse</t>
        </is>
      </c>
      <c r="K1442" t="inlineStr">
        <is>
          <t>G40.909</t>
        </is>
      </c>
      <c r="L1442" t="inlineStr">
        <is>
          <t>Nervous System</t>
        </is>
      </c>
      <c r="M1442" t="inlineStr">
        <is>
          <t>Keystone Health Partners</t>
        </is>
      </c>
      <c r="N1442" t="inlineStr">
        <is>
          <t>Commercial</t>
        </is>
      </c>
      <c r="O1442" s="39" t="n">
        <v>2751.77</v>
      </c>
    </row>
    <row r="1443">
      <c r="A1443" t="inlineStr">
        <is>
          <t>ENC118767</t>
        </is>
      </c>
      <c r="B1443" t="inlineStr">
        <is>
          <t>PT12015</t>
        </is>
      </c>
      <c r="C1443" s="42" t="n">
        <v>45926</v>
      </c>
      <c r="D1443" s="42" t="n">
        <v>45926</v>
      </c>
      <c r="E1443" s="38" t="n">
        <v>0</v>
      </c>
      <c r="F1443" t="inlineStr">
        <is>
          <t>Outpatient</t>
        </is>
      </c>
      <c r="G1443" t="inlineStr">
        <is>
          <t>Bluestone Outpatient Pavilion</t>
        </is>
      </c>
      <c r="H1443" t="inlineStr">
        <is>
          <t>Infusion &amp; Oncology Clinic</t>
        </is>
      </c>
      <c r="I1443" t="inlineStr">
        <is>
          <t>Oncology</t>
        </is>
      </c>
      <c r="J1443" t="inlineStr">
        <is>
          <t>Long, Fatima</t>
        </is>
      </c>
      <c r="K1443" t="inlineStr">
        <is>
          <t>Z51.11</t>
        </is>
      </c>
      <c r="L1443" t="inlineStr">
        <is>
          <t>Factors Influencing Health</t>
        </is>
      </c>
      <c r="M1443" t="inlineStr">
        <is>
          <t>Keystone Health Partners</t>
        </is>
      </c>
      <c r="N1443" t="inlineStr">
        <is>
          <t>Commercial</t>
        </is>
      </c>
      <c r="O1443" s="39" t="n">
        <v>13343.83</v>
      </c>
    </row>
    <row r="1444">
      <c r="A1444" t="inlineStr">
        <is>
          <t>ENC118771</t>
        </is>
      </c>
      <c r="B1444" t="inlineStr">
        <is>
          <t>PT12745</t>
        </is>
      </c>
      <c r="C1444" s="42" t="n">
        <v>45926</v>
      </c>
      <c r="D1444" s="42" t="n">
        <v>45926</v>
      </c>
      <c r="E1444" s="38" t="n">
        <v>0</v>
      </c>
      <c r="F1444" t="inlineStr">
        <is>
          <t>Emergency</t>
        </is>
      </c>
      <c r="G1444" t="inlineStr">
        <is>
          <t>Bluestone Memorial Hospital</t>
        </is>
      </c>
      <c r="H1444" t="inlineStr">
        <is>
          <t>Emergency Department</t>
        </is>
      </c>
      <c r="I1444" t="inlineStr">
        <is>
          <t>Emergency</t>
        </is>
      </c>
      <c r="J1444" t="inlineStr">
        <is>
          <t>Sullivan, Jacob</t>
        </is>
      </c>
      <c r="K1444" t="inlineStr">
        <is>
          <t>R10.9</t>
        </is>
      </c>
      <c r="L1444" t="inlineStr">
        <is>
          <t>Symptoms &amp; Signs</t>
        </is>
      </c>
      <c r="M1444" t="inlineStr">
        <is>
          <t>Medicare</t>
        </is>
      </c>
      <c r="N1444" t="inlineStr">
        <is>
          <t>Government</t>
        </is>
      </c>
      <c r="O1444" s="39" t="n">
        <v>1314.26</v>
      </c>
    </row>
    <row r="1445">
      <c r="A1445" t="inlineStr">
        <is>
          <t>ENC118779</t>
        </is>
      </c>
      <c r="B1445" t="inlineStr">
        <is>
          <t>PT11698</t>
        </is>
      </c>
      <c r="C1445" s="42" t="n">
        <v>45926</v>
      </c>
      <c r="D1445" s="42" t="n">
        <v>45932</v>
      </c>
      <c r="E1445" s="38" t="n">
        <v>6</v>
      </c>
      <c r="F1445" t="inlineStr">
        <is>
          <t>Inpatient</t>
        </is>
      </c>
      <c r="G1445" t="inlineStr">
        <is>
          <t>Bluestone Memorial Hospital</t>
        </is>
      </c>
      <c r="H1445" t="inlineStr">
        <is>
          <t>Medical-Surgical 5 East</t>
        </is>
      </c>
      <c r="I1445" t="inlineStr">
        <is>
          <t>Medicine</t>
        </is>
      </c>
      <c r="J1445" t="inlineStr">
        <is>
          <t>Yilmaz, Joe</t>
        </is>
      </c>
      <c r="K1445" t="inlineStr">
        <is>
          <t>N39.0</t>
        </is>
      </c>
      <c r="L1445" t="inlineStr">
        <is>
          <t>Genitourinary</t>
        </is>
      </c>
      <c r="M1445" t="inlineStr">
        <is>
          <t>Medicare</t>
        </is>
      </c>
      <c r="N1445" t="inlineStr">
        <is>
          <t>Government</t>
        </is>
      </c>
      <c r="O1445" s="39" t="n">
        <v>26261.44</v>
      </c>
      <c r="P1445" t="inlineStr">
        <is>
          <t>N</t>
        </is>
      </c>
    </row>
    <row r="1446">
      <c r="A1446" t="inlineStr">
        <is>
          <t>ENC118786</t>
        </is>
      </c>
      <c r="B1446" t="inlineStr">
        <is>
          <t>PT10990</t>
        </is>
      </c>
      <c r="C1446" s="42" t="n">
        <v>45926</v>
      </c>
      <c r="D1446" s="42" t="n">
        <v>45926</v>
      </c>
      <c r="E1446" s="38" t="n">
        <v>0</v>
      </c>
      <c r="F1446" t="inlineStr">
        <is>
          <t>Emergency</t>
        </is>
      </c>
      <c r="G1446" t="inlineStr">
        <is>
          <t>Bluestone Memorial Hospital</t>
        </is>
      </c>
      <c r="H1446" t="inlineStr">
        <is>
          <t>Emergency Department</t>
        </is>
      </c>
      <c r="I1446" t="inlineStr">
        <is>
          <t>Emergency</t>
        </is>
      </c>
      <c r="J1446" t="inlineStr">
        <is>
          <t>Payne, Nancy</t>
        </is>
      </c>
      <c r="K1446" t="inlineStr">
        <is>
          <t>S93.401A</t>
        </is>
      </c>
      <c r="L1446" t="inlineStr">
        <is>
          <t>Injury</t>
        </is>
      </c>
      <c r="M1446" t="inlineStr">
        <is>
          <t>State Medicaid</t>
        </is>
      </c>
      <c r="N1446" t="inlineStr">
        <is>
          <t>Government</t>
        </is>
      </c>
      <c r="O1446" s="39" t="n">
        <v>1129.52</v>
      </c>
    </row>
    <row r="1447">
      <c r="A1447" t="inlineStr">
        <is>
          <t>ENC118794</t>
        </is>
      </c>
      <c r="B1447" t="inlineStr">
        <is>
          <t>PT13669</t>
        </is>
      </c>
      <c r="C1447" s="42" t="n">
        <v>45927</v>
      </c>
      <c r="D1447" s="42" t="n">
        <v>45927</v>
      </c>
      <c r="E1447" s="38" t="n">
        <v>0</v>
      </c>
      <c r="F1447" t="inlineStr">
        <is>
          <t>Emergency</t>
        </is>
      </c>
      <c r="G1447" t="inlineStr">
        <is>
          <t>Ashby Falls Community Hospital</t>
        </is>
      </c>
      <c r="H1447" t="inlineStr">
        <is>
          <t>Emergency Department</t>
        </is>
      </c>
      <c r="I1447" t="inlineStr">
        <is>
          <t>Emergency</t>
        </is>
      </c>
      <c r="J1447" t="inlineStr">
        <is>
          <t>Richardson, Mei</t>
        </is>
      </c>
      <c r="K1447" t="inlineStr">
        <is>
          <t>N39.0</t>
        </is>
      </c>
      <c r="L1447" t="inlineStr">
        <is>
          <t>Genitourinary</t>
        </is>
      </c>
      <c r="M1447" t="inlineStr">
        <is>
          <t>Silverline Medicare Advantage</t>
        </is>
      </c>
      <c r="N1447" t="inlineStr">
        <is>
          <t>Medicare Advantage</t>
        </is>
      </c>
      <c r="O1447" s="39" t="n">
        <v>3883.48</v>
      </c>
    </row>
    <row r="1448">
      <c r="A1448" t="inlineStr">
        <is>
          <t>ENC118798</t>
        </is>
      </c>
      <c r="B1448" t="inlineStr">
        <is>
          <t>PT11937</t>
        </is>
      </c>
      <c r="C1448" s="42" t="n">
        <v>45927</v>
      </c>
      <c r="D1448" s="42" t="n">
        <v>45928</v>
      </c>
      <c r="E1448" s="38" t="n">
        <v>1</v>
      </c>
      <c r="F1448" t="inlineStr">
        <is>
          <t>Observation</t>
        </is>
      </c>
      <c r="G1448" t="inlineStr">
        <is>
          <t>Cedar Ridge Medical Center</t>
        </is>
      </c>
      <c r="H1448" t="inlineStr">
        <is>
          <t>Medical-Surgical</t>
        </is>
      </c>
      <c r="I1448" t="inlineStr">
        <is>
          <t>Medicine</t>
        </is>
      </c>
      <c r="J1448" t="inlineStr">
        <is>
          <t>Berry, Minh</t>
        </is>
      </c>
      <c r="K1448" t="inlineStr">
        <is>
          <t>J45.909</t>
        </is>
      </c>
      <c r="L1448" t="inlineStr">
        <is>
          <t>Respiratory</t>
        </is>
      </c>
      <c r="M1448" t="inlineStr">
        <is>
          <t>Self-Pay</t>
        </is>
      </c>
      <c r="N1448" t="inlineStr">
        <is>
          <t>Self-Pay</t>
        </is>
      </c>
      <c r="O1448" s="39" t="n">
        <v>7104.62</v>
      </c>
    </row>
    <row r="1449">
      <c r="A1449" t="inlineStr">
        <is>
          <t>ENC118806</t>
        </is>
      </c>
      <c r="B1449" t="inlineStr">
        <is>
          <t>PT10975</t>
        </is>
      </c>
      <c r="C1449" s="42" t="n">
        <v>45928</v>
      </c>
      <c r="D1449" s="42" t="n">
        <v>45934</v>
      </c>
      <c r="E1449" s="38" t="n">
        <v>6</v>
      </c>
      <c r="F1449" t="inlineStr">
        <is>
          <t>Inpatient</t>
        </is>
      </c>
      <c r="G1449" t="inlineStr">
        <is>
          <t>Bluestone Memorial Hospital</t>
        </is>
      </c>
      <c r="H1449" t="inlineStr">
        <is>
          <t>Cardiac Step-Down</t>
        </is>
      </c>
      <c r="I1449" t="inlineStr">
        <is>
          <t>Cardiovascular</t>
        </is>
      </c>
      <c r="J1449" t="inlineStr">
        <is>
          <t>Yilmaz, Joe</t>
        </is>
      </c>
      <c r="K1449" t="inlineStr">
        <is>
          <t>I21.4</t>
        </is>
      </c>
      <c r="L1449" t="inlineStr">
        <is>
          <t>Circulatory</t>
        </is>
      </c>
      <c r="M1449" t="inlineStr">
        <is>
          <t>Silverline Medicare Advantage</t>
        </is>
      </c>
      <c r="N1449" t="inlineStr">
        <is>
          <t>Medicare Advantage</t>
        </is>
      </c>
      <c r="O1449" s="39" t="n">
        <v>55783.14</v>
      </c>
      <c r="P1449" t="inlineStr">
        <is>
          <t>N</t>
        </is>
      </c>
    </row>
    <row r="1450">
      <c r="A1450" t="inlineStr">
        <is>
          <t>ENC118809</t>
        </is>
      </c>
      <c r="B1450" t="inlineStr">
        <is>
          <t>PT10726</t>
        </is>
      </c>
      <c r="C1450" s="42" t="n">
        <v>45928</v>
      </c>
      <c r="D1450" s="42" t="n">
        <v>45929</v>
      </c>
      <c r="E1450" s="38" t="n">
        <v>1</v>
      </c>
      <c r="F1450" t="inlineStr">
        <is>
          <t>Observation</t>
        </is>
      </c>
      <c r="G1450" t="inlineStr">
        <is>
          <t>Bluestone Memorial Hospital</t>
        </is>
      </c>
      <c r="H1450" t="inlineStr">
        <is>
          <t>Observation Unit</t>
        </is>
      </c>
      <c r="I1450" t="inlineStr">
        <is>
          <t>Medicine</t>
        </is>
      </c>
      <c r="J1450" t="inlineStr">
        <is>
          <t>Watson, Ashley</t>
        </is>
      </c>
      <c r="K1450" t="inlineStr">
        <is>
          <t>R55</t>
        </is>
      </c>
      <c r="L1450" t="inlineStr">
        <is>
          <t>Symptoms &amp; Signs</t>
        </is>
      </c>
      <c r="M1450" t="inlineStr">
        <is>
          <t>Keystone Health Partners</t>
        </is>
      </c>
      <c r="N1450" t="inlineStr">
        <is>
          <t>Commercial</t>
        </is>
      </c>
      <c r="O1450" s="39" t="n">
        <v>9705.559999999999</v>
      </c>
    </row>
    <row r="1451">
      <c r="A1451" t="inlineStr">
        <is>
          <t>ENC118820</t>
        </is>
      </c>
      <c r="B1451" t="inlineStr">
        <is>
          <t>PT12999</t>
        </is>
      </c>
      <c r="C1451" s="42" t="n">
        <v>45928</v>
      </c>
      <c r="D1451" s="42" t="n">
        <v>45928</v>
      </c>
      <c r="E1451" s="38" t="n">
        <v>0</v>
      </c>
      <c r="F1451" t="inlineStr">
        <is>
          <t>Emergency</t>
        </is>
      </c>
      <c r="G1451" t="inlineStr">
        <is>
          <t>Bluestone Memorial Hospital</t>
        </is>
      </c>
      <c r="H1451" t="inlineStr">
        <is>
          <t>Emergency Department</t>
        </is>
      </c>
      <c r="I1451" t="inlineStr">
        <is>
          <t>Emergency</t>
        </is>
      </c>
      <c r="J1451" t="inlineStr">
        <is>
          <t>Sullivan, Jacob</t>
        </is>
      </c>
      <c r="K1451" t="inlineStr">
        <is>
          <t>R07.9</t>
        </is>
      </c>
      <c r="L1451" t="inlineStr">
        <is>
          <t>Symptoms &amp; Signs</t>
        </is>
      </c>
      <c r="M1451" t="inlineStr">
        <is>
          <t>Medicare</t>
        </is>
      </c>
      <c r="N1451" t="inlineStr">
        <is>
          <t>Government</t>
        </is>
      </c>
      <c r="O1451" s="39" t="n">
        <v>3166.68</v>
      </c>
    </row>
    <row r="1452">
      <c r="A1452" t="inlineStr">
        <is>
          <t>ENC118824</t>
        </is>
      </c>
      <c r="B1452" t="inlineStr">
        <is>
          <t>PT13148</t>
        </is>
      </c>
      <c r="C1452" s="42" t="n">
        <v>45928</v>
      </c>
      <c r="D1452" s="42" t="n">
        <v>45934</v>
      </c>
      <c r="E1452" s="38" t="n">
        <v>6</v>
      </c>
      <c r="F1452" t="inlineStr">
        <is>
          <t>Inpatient</t>
        </is>
      </c>
      <c r="G1452" t="inlineStr">
        <is>
          <t>Bluestone Memorial Hospital</t>
        </is>
      </c>
      <c r="H1452" t="inlineStr">
        <is>
          <t>Labor &amp; Delivery</t>
        </is>
      </c>
      <c r="I1452" t="inlineStr">
        <is>
          <t>Women &amp; Children</t>
        </is>
      </c>
      <c r="J1452" t="inlineStr">
        <is>
          <t>Watson, Frank</t>
        </is>
      </c>
      <c r="K1452" t="inlineStr">
        <is>
          <t>O82</t>
        </is>
      </c>
      <c r="L1452" t="inlineStr">
        <is>
          <t>Pregnancy</t>
        </is>
      </c>
      <c r="M1452" t="inlineStr">
        <is>
          <t>State Medicaid</t>
        </is>
      </c>
      <c r="N1452" t="inlineStr">
        <is>
          <t>Government</t>
        </is>
      </c>
      <c r="O1452" s="39" t="n">
        <v>19463.64</v>
      </c>
      <c r="P1452" t="inlineStr">
        <is>
          <t>N</t>
        </is>
      </c>
    </row>
    <row r="1453">
      <c r="A1453" t="inlineStr">
        <is>
          <t>ENC118825</t>
        </is>
      </c>
      <c r="B1453" t="inlineStr">
        <is>
          <t>PT10523</t>
        </is>
      </c>
      <c r="C1453" s="42" t="n">
        <v>45928</v>
      </c>
      <c r="D1453" s="42" t="n">
        <v>45929</v>
      </c>
      <c r="E1453" s="38" t="n">
        <v>1</v>
      </c>
      <c r="F1453" t="inlineStr">
        <is>
          <t>Emergency</t>
        </is>
      </c>
      <c r="G1453" t="inlineStr">
        <is>
          <t>Cedar Ridge Medical Center</t>
        </is>
      </c>
      <c r="H1453" t="inlineStr">
        <is>
          <t>Emergency Department</t>
        </is>
      </c>
      <c r="I1453" t="inlineStr">
        <is>
          <t>Emergency</t>
        </is>
      </c>
      <c r="J1453" t="inlineStr">
        <is>
          <t>Schmidt, Anna</t>
        </is>
      </c>
      <c r="K1453" t="inlineStr">
        <is>
          <t>U07.1</t>
        </is>
      </c>
      <c r="L1453" t="inlineStr">
        <is>
          <t>Respiratory</t>
        </is>
      </c>
      <c r="M1453" t="inlineStr">
        <is>
          <t>Medicare</t>
        </is>
      </c>
      <c r="N1453" t="inlineStr">
        <is>
          <t>Government</t>
        </is>
      </c>
      <c r="O1453" s="39" t="n">
        <v>4491.81</v>
      </c>
    </row>
    <row r="1454">
      <c r="A1454" t="inlineStr">
        <is>
          <t>ENC118837</t>
        </is>
      </c>
      <c r="B1454" t="inlineStr">
        <is>
          <t>PT12979</t>
        </is>
      </c>
      <c r="C1454" s="42" t="n">
        <v>45929</v>
      </c>
      <c r="D1454" s="42" t="n">
        <v>45929</v>
      </c>
      <c r="E1454" s="38" t="n">
        <v>0</v>
      </c>
      <c r="F1454" t="inlineStr">
        <is>
          <t>Emergency</t>
        </is>
      </c>
      <c r="G1454" t="inlineStr">
        <is>
          <t>Cedar Ridge Medical Center</t>
        </is>
      </c>
      <c r="H1454" t="inlineStr">
        <is>
          <t>Emergency Department</t>
        </is>
      </c>
      <c r="I1454" t="inlineStr">
        <is>
          <t>Emergency</t>
        </is>
      </c>
      <c r="J1454" t="inlineStr">
        <is>
          <t>Warren, Victoria</t>
        </is>
      </c>
      <c r="K1454" t="inlineStr">
        <is>
          <t>M54.50</t>
        </is>
      </c>
      <c r="L1454" t="inlineStr">
        <is>
          <t>Musculoskeletal</t>
        </is>
      </c>
      <c r="M1454" t="inlineStr">
        <is>
          <t>State Medicaid</t>
        </is>
      </c>
      <c r="N1454" t="inlineStr">
        <is>
          <t>Government</t>
        </is>
      </c>
      <c r="O1454" s="39" t="n">
        <v>2574.5</v>
      </c>
    </row>
    <row r="1455">
      <c r="A1455" t="inlineStr">
        <is>
          <t>ENC118849</t>
        </is>
      </c>
      <c r="B1455" t="inlineStr">
        <is>
          <t>PT11530</t>
        </is>
      </c>
      <c r="C1455" s="42" t="n">
        <v>45929</v>
      </c>
      <c r="D1455" s="42" t="n">
        <v>45930</v>
      </c>
      <c r="E1455" s="38" t="n">
        <v>1</v>
      </c>
      <c r="F1455" t="inlineStr">
        <is>
          <t>Observation</t>
        </is>
      </c>
      <c r="G1455" t="inlineStr">
        <is>
          <t>Bluestone Memorial Hospital</t>
        </is>
      </c>
      <c r="H1455" t="inlineStr">
        <is>
          <t>Observation Unit</t>
        </is>
      </c>
      <c r="I1455" t="inlineStr">
        <is>
          <t>Medicine</t>
        </is>
      </c>
      <c r="J1455" t="inlineStr">
        <is>
          <t>Ramirez, Emma</t>
        </is>
      </c>
      <c r="K1455" t="inlineStr">
        <is>
          <t>R55</t>
        </is>
      </c>
      <c r="L1455" t="inlineStr">
        <is>
          <t>Symptoms &amp; Signs</t>
        </is>
      </c>
      <c r="M1455" t="inlineStr">
        <is>
          <t>State Medicaid</t>
        </is>
      </c>
      <c r="N1455" t="inlineStr">
        <is>
          <t>Government</t>
        </is>
      </c>
      <c r="O1455" s="39" t="n">
        <v>10658.68</v>
      </c>
    </row>
    <row r="1456">
      <c r="A1456" t="inlineStr">
        <is>
          <t>ENC118848</t>
        </is>
      </c>
      <c r="B1456" t="inlineStr">
        <is>
          <t>PT10662</t>
        </is>
      </c>
      <c r="C1456" s="42" t="n">
        <v>45929</v>
      </c>
      <c r="D1456" s="42" t="n">
        <v>45934</v>
      </c>
      <c r="E1456" s="38" t="n">
        <v>5</v>
      </c>
      <c r="F1456" t="inlineStr">
        <is>
          <t>Inpatient</t>
        </is>
      </c>
      <c r="G1456" t="inlineStr">
        <is>
          <t>Cedar Ridge Medical Center</t>
        </is>
      </c>
      <c r="H1456" t="inlineStr">
        <is>
          <t>Cardiac Step-Down</t>
        </is>
      </c>
      <c r="I1456" t="inlineStr">
        <is>
          <t>Cardiovascular</t>
        </is>
      </c>
      <c r="J1456" t="inlineStr">
        <is>
          <t>Vazquez, Leila</t>
        </is>
      </c>
      <c r="K1456" t="inlineStr">
        <is>
          <t>I48.91</t>
        </is>
      </c>
      <c r="L1456" t="inlineStr">
        <is>
          <t>Circulatory</t>
        </is>
      </c>
      <c r="M1456" t="inlineStr">
        <is>
          <t>Medicare</t>
        </is>
      </c>
      <c r="N1456" t="inlineStr">
        <is>
          <t>Government</t>
        </is>
      </c>
      <c r="O1456" s="39" t="n">
        <v>30614.39</v>
      </c>
      <c r="P1456" t="inlineStr">
        <is>
          <t>N</t>
        </is>
      </c>
    </row>
    <row r="1457">
      <c r="A1457" t="inlineStr">
        <is>
          <t>ENC118852</t>
        </is>
      </c>
      <c r="B1457" t="inlineStr">
        <is>
          <t>PT10101</t>
        </is>
      </c>
      <c r="C1457" s="42" t="n">
        <v>45929</v>
      </c>
      <c r="D1457" s="42" t="n">
        <v>45930</v>
      </c>
      <c r="E1457" s="38" t="n">
        <v>1</v>
      </c>
      <c r="F1457" t="inlineStr">
        <is>
          <t>Emergency</t>
        </is>
      </c>
      <c r="G1457" t="inlineStr">
        <is>
          <t>Cedar Ridge Medical Center</t>
        </is>
      </c>
      <c r="H1457" t="inlineStr">
        <is>
          <t>Emergency Department</t>
        </is>
      </c>
      <c r="I1457" t="inlineStr">
        <is>
          <t>Emergency</t>
        </is>
      </c>
      <c r="J1457" t="inlineStr">
        <is>
          <t>Warren, Victoria</t>
        </is>
      </c>
      <c r="K1457" t="inlineStr">
        <is>
          <t>J06.9</t>
        </is>
      </c>
      <c r="L1457" t="inlineStr">
        <is>
          <t>Respiratory</t>
        </is>
      </c>
      <c r="M1457" t="inlineStr">
        <is>
          <t>Silverline Medicare Advantage</t>
        </is>
      </c>
      <c r="N1457" t="inlineStr">
        <is>
          <t>Medicare Advantage</t>
        </is>
      </c>
      <c r="O1457" s="39" t="n">
        <v>1217.01</v>
      </c>
    </row>
    <row r="1458">
      <c r="A1458" t="inlineStr">
        <is>
          <t>ENC118858</t>
        </is>
      </c>
      <c r="B1458" t="inlineStr">
        <is>
          <t>PT10452</t>
        </is>
      </c>
      <c r="C1458" s="42" t="n">
        <v>45930</v>
      </c>
      <c r="D1458" s="42" t="n">
        <v>45930</v>
      </c>
      <c r="E1458" s="38" t="n">
        <v>0</v>
      </c>
      <c r="F1458" t="inlineStr">
        <is>
          <t>Outpatient</t>
        </is>
      </c>
      <c r="G1458" t="inlineStr">
        <is>
          <t>Bluestone Outpatient Pavilion</t>
        </is>
      </c>
      <c r="H1458" t="inlineStr">
        <is>
          <t>Primary Care Clinic</t>
        </is>
      </c>
      <c r="I1458" t="inlineStr">
        <is>
          <t>Ambulatory</t>
        </is>
      </c>
      <c r="J1458" t="inlineStr">
        <is>
          <t>Torres, Rebecca</t>
        </is>
      </c>
      <c r="K1458" t="inlineStr">
        <is>
          <t>E78.5</t>
        </is>
      </c>
      <c r="L1458" t="inlineStr">
        <is>
          <t>Endocrine</t>
        </is>
      </c>
      <c r="M1458" t="inlineStr">
        <is>
          <t>Medicare</t>
        </is>
      </c>
      <c r="N1458" t="inlineStr">
        <is>
          <t>Government</t>
        </is>
      </c>
      <c r="O1458" s="39" t="n">
        <v>307.33</v>
      </c>
    </row>
    <row r="1459">
      <c r="A1459" t="inlineStr">
        <is>
          <t>ENC118859</t>
        </is>
      </c>
      <c r="B1459" t="inlineStr">
        <is>
          <t>PT13759</t>
        </is>
      </c>
      <c r="C1459" s="42" t="n">
        <v>45930</v>
      </c>
      <c r="D1459" s="42" t="n">
        <v>45930</v>
      </c>
      <c r="E1459" s="38" t="n">
        <v>0</v>
      </c>
      <c r="F1459" t="inlineStr">
        <is>
          <t>Emergency</t>
        </is>
      </c>
      <c r="G1459" t="inlineStr">
        <is>
          <t>Bluestone Memorial Hospital</t>
        </is>
      </c>
      <c r="H1459" t="inlineStr">
        <is>
          <t>Emergency Department</t>
        </is>
      </c>
      <c r="I1459" t="inlineStr">
        <is>
          <t>Emergency</t>
        </is>
      </c>
      <c r="J1459" t="inlineStr">
        <is>
          <t>Mendoza, Alexander</t>
        </is>
      </c>
      <c r="K1459" t="inlineStr">
        <is>
          <t>R55</t>
        </is>
      </c>
      <c r="L1459" t="inlineStr">
        <is>
          <t>Symptoms &amp; Signs</t>
        </is>
      </c>
      <c r="M1459" t="inlineStr">
        <is>
          <t>Medicare</t>
        </is>
      </c>
      <c r="N1459" t="inlineStr">
        <is>
          <t>Government</t>
        </is>
      </c>
      <c r="O1459" s="39" t="n">
        <v>3207.65</v>
      </c>
    </row>
    <row r="1460">
      <c r="A1460" t="inlineStr">
        <is>
          <t>ENC118868</t>
        </is>
      </c>
      <c r="B1460" t="inlineStr">
        <is>
          <t>PT11672</t>
        </is>
      </c>
      <c r="C1460" s="42" t="n">
        <v>45930</v>
      </c>
      <c r="D1460" s="42" t="n">
        <v>45930</v>
      </c>
      <c r="E1460" s="38" t="n">
        <v>0</v>
      </c>
      <c r="F1460" t="inlineStr">
        <is>
          <t>Outpatient</t>
        </is>
      </c>
      <c r="G1460" t="inlineStr">
        <is>
          <t>Bluestone Outpatient Pavilion</t>
        </is>
      </c>
      <c r="H1460" t="inlineStr">
        <is>
          <t>Endocrinology &amp; Diabetes Clinic</t>
        </is>
      </c>
      <c r="I1460" t="inlineStr">
        <is>
          <t>Ambulatory</t>
        </is>
      </c>
      <c r="J1460" t="inlineStr">
        <is>
          <t>Lee, Amber</t>
        </is>
      </c>
      <c r="K1460" t="inlineStr">
        <is>
          <t>E11.9</t>
        </is>
      </c>
      <c r="L1460" t="inlineStr">
        <is>
          <t>Endocrine</t>
        </is>
      </c>
      <c r="M1460" t="inlineStr">
        <is>
          <t>Evergreen Mutual Insurance</t>
        </is>
      </c>
      <c r="N1460" t="inlineStr">
        <is>
          <t>Commercial</t>
        </is>
      </c>
      <c r="O1460" s="39" t="n">
        <v>587.0599999999999</v>
      </c>
    </row>
    <row r="1461">
      <c r="A1461" t="inlineStr">
        <is>
          <t>ENC118869</t>
        </is>
      </c>
      <c r="B1461" t="inlineStr">
        <is>
          <t>PT10346</t>
        </is>
      </c>
      <c r="C1461" s="42" t="n">
        <v>45930</v>
      </c>
      <c r="D1461" s="42" t="n">
        <v>45930</v>
      </c>
      <c r="E1461" s="38" t="n">
        <v>0</v>
      </c>
      <c r="F1461" t="inlineStr">
        <is>
          <t>Outpatient</t>
        </is>
      </c>
      <c r="G1461" t="inlineStr">
        <is>
          <t>Bluestone Outpatient Pavilion</t>
        </is>
      </c>
      <c r="H1461" t="inlineStr">
        <is>
          <t>Endocrinology &amp; Diabetes Clinic</t>
        </is>
      </c>
      <c r="I1461" t="inlineStr">
        <is>
          <t>Ambulatory</t>
        </is>
      </c>
      <c r="J1461" t="inlineStr">
        <is>
          <t>Woods, Larry</t>
        </is>
      </c>
      <c r="K1461" t="inlineStr">
        <is>
          <t>E11.9</t>
        </is>
      </c>
      <c r="L1461" t="inlineStr">
        <is>
          <t>Endocrine</t>
        </is>
      </c>
      <c r="M1461" t="inlineStr">
        <is>
          <t>Silverline Medicare Advantage</t>
        </is>
      </c>
      <c r="N1461" t="inlineStr">
        <is>
          <t>Medicare Advantage</t>
        </is>
      </c>
      <c r="O1461" s="39" t="n">
        <v>276.6</v>
      </c>
    </row>
    <row r="1462">
      <c r="A1462" t="inlineStr">
        <is>
          <t>ENC118863</t>
        </is>
      </c>
      <c r="B1462" t="inlineStr">
        <is>
          <t>PT10727</t>
        </is>
      </c>
      <c r="C1462" s="42" t="n">
        <v>45930</v>
      </c>
      <c r="D1462" s="42" t="n">
        <v>45931</v>
      </c>
      <c r="E1462" s="38" t="n">
        <v>1</v>
      </c>
      <c r="F1462" t="inlineStr">
        <is>
          <t>Observation</t>
        </is>
      </c>
      <c r="G1462" t="inlineStr">
        <is>
          <t>Bluestone Memorial Hospital</t>
        </is>
      </c>
      <c r="H1462" t="inlineStr">
        <is>
          <t>Observation Unit</t>
        </is>
      </c>
      <c r="I1462" t="inlineStr">
        <is>
          <t>Medicine</t>
        </is>
      </c>
      <c r="J1462" t="inlineStr">
        <is>
          <t>Price, Juan</t>
        </is>
      </c>
      <c r="K1462" t="inlineStr">
        <is>
          <t>R55</t>
        </is>
      </c>
      <c r="L1462" t="inlineStr">
        <is>
          <t>Symptoms &amp; Signs</t>
        </is>
      </c>
      <c r="M1462" t="inlineStr">
        <is>
          <t>Medicare</t>
        </is>
      </c>
      <c r="N1462" t="inlineStr">
        <is>
          <t>Government</t>
        </is>
      </c>
      <c r="O1462" s="39" t="n">
        <v>9897.84</v>
      </c>
    </row>
    <row r="1463">
      <c r="A1463" t="inlineStr">
        <is>
          <t>ENC118871</t>
        </is>
      </c>
      <c r="B1463" t="inlineStr">
        <is>
          <t>PT10092</t>
        </is>
      </c>
      <c r="C1463" s="42" t="n">
        <v>45930</v>
      </c>
      <c r="D1463" s="42" t="n">
        <v>45930</v>
      </c>
      <c r="E1463" s="38" t="n">
        <v>0</v>
      </c>
      <c r="F1463" t="inlineStr">
        <is>
          <t>Emergency</t>
        </is>
      </c>
      <c r="G1463" t="inlineStr">
        <is>
          <t>Bluestone Memorial Hospital</t>
        </is>
      </c>
      <c r="H1463" t="inlineStr">
        <is>
          <t>Emergency Department</t>
        </is>
      </c>
      <c r="I1463" t="inlineStr">
        <is>
          <t>Emergency</t>
        </is>
      </c>
      <c r="J1463" t="inlineStr">
        <is>
          <t>Kowalski, James</t>
        </is>
      </c>
      <c r="K1463" t="inlineStr">
        <is>
          <t>J06.9</t>
        </is>
      </c>
      <c r="L1463" t="inlineStr">
        <is>
          <t>Respiratory</t>
        </is>
      </c>
      <c r="M1463" t="inlineStr">
        <is>
          <t>Evergreen Mutual Insurance</t>
        </is>
      </c>
      <c r="N1463" t="inlineStr">
        <is>
          <t>Commercial</t>
        </is>
      </c>
      <c r="O1463" s="39" t="n">
        <v>1133.28</v>
      </c>
    </row>
    <row r="1464">
      <c r="A1464" t="inlineStr">
        <is>
          <t>ENC118881</t>
        </is>
      </c>
      <c r="B1464" t="inlineStr">
        <is>
          <t>PT11977</t>
        </is>
      </c>
      <c r="C1464" s="42" t="n">
        <v>45930</v>
      </c>
      <c r="D1464" s="42" t="n">
        <v>45931</v>
      </c>
      <c r="E1464" s="38" t="n">
        <v>1</v>
      </c>
      <c r="F1464" t="inlineStr">
        <is>
          <t>Emergency</t>
        </is>
      </c>
      <c r="G1464" t="inlineStr">
        <is>
          <t>Bluestone Memorial Hospital</t>
        </is>
      </c>
      <c r="H1464" t="inlineStr">
        <is>
          <t>Emergency Department</t>
        </is>
      </c>
      <c r="I1464" t="inlineStr">
        <is>
          <t>Emergency</t>
        </is>
      </c>
      <c r="J1464" t="inlineStr">
        <is>
          <t>Morris, Jordan</t>
        </is>
      </c>
      <c r="K1464" t="inlineStr">
        <is>
          <t>R10.9</t>
        </is>
      </c>
      <c r="L1464" t="inlineStr">
        <is>
          <t>Symptoms &amp; Signs</t>
        </is>
      </c>
      <c r="M1464" t="inlineStr">
        <is>
          <t>Keystone Health Partners</t>
        </is>
      </c>
      <c r="N1464" t="inlineStr">
        <is>
          <t>Commercial</t>
        </is>
      </c>
      <c r="O1464" s="39" t="n">
        <v>3712.7</v>
      </c>
    </row>
    <row r="1465">
      <c r="A1465" t="inlineStr">
        <is>
          <t>ENC118882</t>
        </is>
      </c>
      <c r="B1465" t="inlineStr">
        <is>
          <t>PT12304</t>
        </is>
      </c>
      <c r="C1465" s="42" t="n">
        <v>45930</v>
      </c>
      <c r="D1465" s="42" t="n">
        <v>45930</v>
      </c>
      <c r="E1465" s="38" t="n">
        <v>0</v>
      </c>
      <c r="F1465" t="inlineStr">
        <is>
          <t>Emergency</t>
        </is>
      </c>
      <c r="G1465" t="inlineStr">
        <is>
          <t>Bluestone Memorial Hospital</t>
        </is>
      </c>
      <c r="H1465" t="inlineStr">
        <is>
          <t>Emergency Department</t>
        </is>
      </c>
      <c r="I1465" t="inlineStr">
        <is>
          <t>Emergency</t>
        </is>
      </c>
      <c r="J1465" t="inlineStr">
        <is>
          <t>Foster, Patrick</t>
        </is>
      </c>
      <c r="K1465" t="inlineStr">
        <is>
          <t>J06.9</t>
        </is>
      </c>
      <c r="L1465" t="inlineStr">
        <is>
          <t>Respiratory</t>
        </is>
      </c>
      <c r="M1465" t="inlineStr">
        <is>
          <t>Medicare</t>
        </is>
      </c>
      <c r="N1465" t="inlineStr">
        <is>
          <t>Government</t>
        </is>
      </c>
      <c r="O1465" s="39" t="n">
        <v>1689.91</v>
      </c>
    </row>
    <row r="1466">
      <c r="A1466" t="inlineStr">
        <is>
          <t>ENC118897</t>
        </is>
      </c>
      <c r="B1466" t="inlineStr">
        <is>
          <t>PT11541</t>
        </is>
      </c>
      <c r="C1466" s="42" t="n">
        <v>45931</v>
      </c>
      <c r="D1466" s="42" t="n">
        <v>45932</v>
      </c>
      <c r="E1466" s="38" t="n">
        <v>1</v>
      </c>
      <c r="F1466" t="inlineStr">
        <is>
          <t>Observation</t>
        </is>
      </c>
      <c r="G1466" t="inlineStr">
        <is>
          <t>Ashby Falls Community Hospital</t>
        </is>
      </c>
      <c r="H1466" t="inlineStr">
        <is>
          <t>Medical-Surgical</t>
        </is>
      </c>
      <c r="I1466" t="inlineStr">
        <is>
          <t>Medicine</t>
        </is>
      </c>
      <c r="J1466" t="inlineStr">
        <is>
          <t>Murray, Stephanie</t>
        </is>
      </c>
      <c r="K1466" t="inlineStr">
        <is>
          <t>I50.9</t>
        </is>
      </c>
      <c r="L1466" t="inlineStr">
        <is>
          <t>Circulatory</t>
        </is>
      </c>
      <c r="M1466" t="inlineStr">
        <is>
          <t>Medicare</t>
        </is>
      </c>
      <c r="N1466" t="inlineStr">
        <is>
          <t>Government</t>
        </is>
      </c>
      <c r="O1466" s="39" t="n">
        <v>6512.17</v>
      </c>
    </row>
    <row r="1467">
      <c r="A1467" t="inlineStr">
        <is>
          <t>ENC118907</t>
        </is>
      </c>
      <c r="B1467" t="inlineStr">
        <is>
          <t>PT13578</t>
        </is>
      </c>
      <c r="C1467" s="42" t="n">
        <v>45931</v>
      </c>
      <c r="D1467" s="42" t="n">
        <v>45931</v>
      </c>
      <c r="E1467" s="38" t="n">
        <v>0</v>
      </c>
      <c r="F1467" t="inlineStr">
        <is>
          <t>Outpatient</t>
        </is>
      </c>
      <c r="G1467" t="inlineStr">
        <is>
          <t>Bluestone Outpatient Pavilion</t>
        </is>
      </c>
      <c r="H1467" t="inlineStr">
        <is>
          <t>Infusion &amp; Oncology Clinic</t>
        </is>
      </c>
      <c r="I1467" t="inlineStr">
        <is>
          <t>Oncology</t>
        </is>
      </c>
      <c r="J1467" t="inlineStr">
        <is>
          <t>Robinson, Bradley</t>
        </is>
      </c>
      <c r="K1467" t="inlineStr">
        <is>
          <t>Z51.11</t>
        </is>
      </c>
      <c r="L1467" t="inlineStr">
        <is>
          <t>Factors Influencing Health</t>
        </is>
      </c>
      <c r="M1467" t="inlineStr">
        <is>
          <t>Keystone Health Partners</t>
        </is>
      </c>
      <c r="N1467" t="inlineStr">
        <is>
          <t>Commercial</t>
        </is>
      </c>
      <c r="O1467" s="39" t="n">
        <v>9938.77</v>
      </c>
    </row>
    <row r="1468">
      <c r="A1468" t="inlineStr">
        <is>
          <t>ENC118908</t>
        </is>
      </c>
      <c r="B1468" t="inlineStr">
        <is>
          <t>PT11786</t>
        </is>
      </c>
      <c r="C1468" s="42" t="n">
        <v>45931</v>
      </c>
      <c r="D1468" s="42" t="n">
        <v>45933</v>
      </c>
      <c r="E1468" s="38" t="n">
        <v>2</v>
      </c>
      <c r="F1468" t="inlineStr">
        <is>
          <t>Inpatient</t>
        </is>
      </c>
      <c r="G1468" t="inlineStr">
        <is>
          <t>Bluestone Memorial Hospital</t>
        </is>
      </c>
      <c r="H1468" t="inlineStr">
        <is>
          <t>Medical-Surgical 4 West</t>
        </is>
      </c>
      <c r="I1468" t="inlineStr">
        <is>
          <t>Medicine</t>
        </is>
      </c>
      <c r="J1468" t="inlineStr">
        <is>
          <t>Russell, Larry</t>
        </is>
      </c>
      <c r="K1468" t="inlineStr">
        <is>
          <t>N17.9</t>
        </is>
      </c>
      <c r="L1468" t="inlineStr">
        <is>
          <t>Genitourinary</t>
        </is>
      </c>
      <c r="M1468" t="inlineStr">
        <is>
          <t>Silverline Medicare Advantage</t>
        </is>
      </c>
      <c r="N1468" t="inlineStr">
        <is>
          <t>Medicare Advantage</t>
        </is>
      </c>
      <c r="O1468" s="39" t="n">
        <v>18329.77</v>
      </c>
      <c r="P1468" t="inlineStr">
        <is>
          <t>N</t>
        </is>
      </c>
    </row>
    <row r="1469">
      <c r="A1469" t="inlineStr">
        <is>
          <t>ENC118912</t>
        </is>
      </c>
      <c r="B1469" t="inlineStr">
        <is>
          <t>PT10335</t>
        </is>
      </c>
      <c r="C1469" s="42" t="n">
        <v>45931</v>
      </c>
      <c r="D1469" s="42" t="n">
        <v>45933</v>
      </c>
      <c r="E1469" s="38" t="n">
        <v>2</v>
      </c>
      <c r="F1469" t="inlineStr">
        <is>
          <t>Observation</t>
        </is>
      </c>
      <c r="G1469" t="inlineStr">
        <is>
          <t>Bluestone Memorial Hospital</t>
        </is>
      </c>
      <c r="H1469" t="inlineStr">
        <is>
          <t>Observation Unit</t>
        </is>
      </c>
      <c r="I1469" t="inlineStr">
        <is>
          <t>Medicine</t>
        </is>
      </c>
      <c r="J1469" t="inlineStr">
        <is>
          <t>Simpson, Kelly</t>
        </is>
      </c>
      <c r="K1469" t="inlineStr">
        <is>
          <t>R07.9</t>
        </is>
      </c>
      <c r="L1469" t="inlineStr">
        <is>
          <t>Symptoms &amp; Signs</t>
        </is>
      </c>
      <c r="M1469" t="inlineStr">
        <is>
          <t>Medicare</t>
        </is>
      </c>
      <c r="N1469" t="inlineStr">
        <is>
          <t>Government</t>
        </is>
      </c>
      <c r="O1469" s="39" t="n">
        <v>5845.67</v>
      </c>
    </row>
    <row r="1470">
      <c r="A1470" t="inlineStr">
        <is>
          <t>ENC118916</t>
        </is>
      </c>
      <c r="B1470" t="inlineStr">
        <is>
          <t>PT12184</t>
        </is>
      </c>
      <c r="C1470" s="42" t="n">
        <v>45932</v>
      </c>
      <c r="D1470" s="42" t="n">
        <v>45932</v>
      </c>
      <c r="E1470" s="38" t="n">
        <v>0</v>
      </c>
      <c r="F1470" t="inlineStr">
        <is>
          <t>Emergency</t>
        </is>
      </c>
      <c r="G1470" t="inlineStr">
        <is>
          <t>Bluestone Memorial Hospital</t>
        </is>
      </c>
      <c r="H1470" t="inlineStr">
        <is>
          <t>Emergency Department</t>
        </is>
      </c>
      <c r="I1470" t="inlineStr">
        <is>
          <t>Emergency</t>
        </is>
      </c>
      <c r="J1470" t="inlineStr">
        <is>
          <t>Jordan, Wayne</t>
        </is>
      </c>
      <c r="K1470" t="inlineStr">
        <is>
          <t>R07.9</t>
        </is>
      </c>
      <c r="L1470" t="inlineStr">
        <is>
          <t>Symptoms &amp; Signs</t>
        </is>
      </c>
      <c r="M1470" t="inlineStr">
        <is>
          <t>Keystone Health Partners</t>
        </is>
      </c>
      <c r="N1470" t="inlineStr">
        <is>
          <t>Commercial</t>
        </is>
      </c>
      <c r="O1470" s="39" t="n">
        <v>5755.78</v>
      </c>
    </row>
    <row r="1471">
      <c r="A1471" t="inlineStr">
        <is>
          <t>ENC118921</t>
        </is>
      </c>
      <c r="B1471" t="inlineStr">
        <is>
          <t>PT12322</t>
        </is>
      </c>
      <c r="C1471" s="42" t="n">
        <v>45932</v>
      </c>
      <c r="D1471" s="42" t="n">
        <v>45932</v>
      </c>
      <c r="E1471" s="38" t="n">
        <v>0</v>
      </c>
      <c r="F1471" t="inlineStr">
        <is>
          <t>Outpatient</t>
        </is>
      </c>
      <c r="G1471" t="inlineStr">
        <is>
          <t>Bluestone Outpatient Pavilion</t>
        </is>
      </c>
      <c r="H1471" t="inlineStr">
        <is>
          <t>Primary Care Clinic</t>
        </is>
      </c>
      <c r="I1471" t="inlineStr">
        <is>
          <t>Ambulatory</t>
        </is>
      </c>
      <c r="J1471" t="inlineStr">
        <is>
          <t>Petrov, Doris</t>
        </is>
      </c>
      <c r="K1471" t="inlineStr">
        <is>
          <t>Z23</t>
        </is>
      </c>
      <c r="L1471" t="inlineStr">
        <is>
          <t>Factors Influencing Health</t>
        </is>
      </c>
      <c r="M1471" t="inlineStr">
        <is>
          <t>Medicare</t>
        </is>
      </c>
      <c r="N1471" t="inlineStr">
        <is>
          <t>Government</t>
        </is>
      </c>
      <c r="O1471" s="39" t="n">
        <v>117.44</v>
      </c>
    </row>
    <row r="1472">
      <c r="A1472" t="inlineStr">
        <is>
          <t>ENC118929</t>
        </is>
      </c>
      <c r="B1472" t="inlineStr">
        <is>
          <t>PT10721</t>
        </is>
      </c>
      <c r="C1472" s="42" t="n">
        <v>45932</v>
      </c>
      <c r="D1472" s="42" t="n">
        <v>45932</v>
      </c>
      <c r="E1472" s="38" t="n">
        <v>0</v>
      </c>
      <c r="F1472" t="inlineStr">
        <is>
          <t>Outpatient</t>
        </is>
      </c>
      <c r="G1472" t="inlineStr">
        <is>
          <t>Bluestone Outpatient Pavilion</t>
        </is>
      </c>
      <c r="H1472" t="inlineStr">
        <is>
          <t>Orthopedic Clinic</t>
        </is>
      </c>
      <c r="I1472" t="inlineStr">
        <is>
          <t>Orthopedics</t>
        </is>
      </c>
      <c r="J1472" t="inlineStr">
        <is>
          <t>Hernandez, Kyle</t>
        </is>
      </c>
      <c r="K1472" t="inlineStr">
        <is>
          <t>M16.11</t>
        </is>
      </c>
      <c r="L1472" t="inlineStr">
        <is>
          <t>Musculoskeletal</t>
        </is>
      </c>
      <c r="M1472" t="inlineStr">
        <is>
          <t>Medicare</t>
        </is>
      </c>
      <c r="N1472" t="inlineStr">
        <is>
          <t>Government</t>
        </is>
      </c>
      <c r="O1472" s="39" t="n">
        <v>302.18</v>
      </c>
    </row>
    <row r="1473">
      <c r="A1473" t="inlineStr">
        <is>
          <t>ENC118947</t>
        </is>
      </c>
      <c r="B1473" t="inlineStr">
        <is>
          <t>PT11462</t>
        </is>
      </c>
      <c r="C1473" s="42" t="n">
        <v>45932</v>
      </c>
      <c r="D1473" s="42" t="n">
        <v>45934</v>
      </c>
      <c r="E1473" s="38" t="n">
        <v>2</v>
      </c>
      <c r="F1473" t="inlineStr">
        <is>
          <t>Inpatient</t>
        </is>
      </c>
      <c r="G1473" t="inlineStr">
        <is>
          <t>Bluestone Memorial Hospital</t>
        </is>
      </c>
      <c r="H1473" t="inlineStr">
        <is>
          <t>Labor &amp; Delivery</t>
        </is>
      </c>
      <c r="I1473" t="inlineStr">
        <is>
          <t>Women &amp; Children</t>
        </is>
      </c>
      <c r="J1473" t="inlineStr">
        <is>
          <t>Taylor, Lauren</t>
        </is>
      </c>
      <c r="K1473" t="inlineStr">
        <is>
          <t>O80</t>
        </is>
      </c>
      <c r="L1473" t="inlineStr">
        <is>
          <t>Pregnancy</t>
        </is>
      </c>
      <c r="M1473" t="inlineStr">
        <is>
          <t>Keystone Health Partners</t>
        </is>
      </c>
      <c r="N1473" t="inlineStr">
        <is>
          <t>Commercial</t>
        </is>
      </c>
      <c r="O1473" s="39" t="n">
        <v>19844.9</v>
      </c>
      <c r="P1473" t="inlineStr">
        <is>
          <t>N</t>
        </is>
      </c>
    </row>
    <row r="1474">
      <c r="A1474" t="inlineStr">
        <is>
          <t>ENC118961</t>
        </is>
      </c>
      <c r="B1474" t="inlineStr">
        <is>
          <t>PT13033</t>
        </is>
      </c>
      <c r="C1474" s="42" t="n">
        <v>45933</v>
      </c>
      <c r="D1474" s="42" t="n">
        <v>45933</v>
      </c>
      <c r="E1474" s="38" t="n">
        <v>0</v>
      </c>
      <c r="F1474" t="inlineStr">
        <is>
          <t>Outpatient</t>
        </is>
      </c>
      <c r="G1474" t="inlineStr">
        <is>
          <t>Bluestone Outpatient Pavilion</t>
        </is>
      </c>
      <c r="H1474" t="inlineStr">
        <is>
          <t>Primary Care Clinic</t>
        </is>
      </c>
      <c r="I1474" t="inlineStr">
        <is>
          <t>Ambulatory</t>
        </is>
      </c>
      <c r="J1474" t="inlineStr">
        <is>
          <t>Myers, Lucia</t>
        </is>
      </c>
      <c r="K1474" t="inlineStr">
        <is>
          <t>F32.9</t>
        </is>
      </c>
      <c r="L1474" t="inlineStr">
        <is>
          <t>Mental &amp; Behavioral</t>
        </is>
      </c>
      <c r="M1474" t="inlineStr">
        <is>
          <t>Medicare</t>
        </is>
      </c>
      <c r="N1474" t="inlineStr">
        <is>
          <t>Government</t>
        </is>
      </c>
      <c r="O1474" s="39" t="n">
        <v>269.83</v>
      </c>
    </row>
    <row r="1475">
      <c r="A1475" t="inlineStr">
        <is>
          <t>ENC118962</t>
        </is>
      </c>
      <c r="B1475" t="inlineStr">
        <is>
          <t>PT13672</t>
        </is>
      </c>
      <c r="C1475" s="42" t="n">
        <v>45933</v>
      </c>
      <c r="D1475" s="42" t="n">
        <v>45933</v>
      </c>
      <c r="E1475" s="38" t="n">
        <v>0</v>
      </c>
      <c r="F1475" t="inlineStr">
        <is>
          <t>Emergency</t>
        </is>
      </c>
      <c r="G1475" t="inlineStr">
        <is>
          <t>Cedar Ridge Medical Center</t>
        </is>
      </c>
      <c r="H1475" t="inlineStr">
        <is>
          <t>Emergency Department</t>
        </is>
      </c>
      <c r="I1475" t="inlineStr">
        <is>
          <t>Emergency</t>
        </is>
      </c>
      <c r="J1475" t="inlineStr">
        <is>
          <t>Munoz, Linda</t>
        </is>
      </c>
      <c r="K1475" t="inlineStr">
        <is>
          <t>R07.9</t>
        </is>
      </c>
      <c r="L1475" t="inlineStr">
        <is>
          <t>Symptoms &amp; Signs</t>
        </is>
      </c>
      <c r="M1475" t="inlineStr">
        <is>
          <t>Silverline Medicare Advantage</t>
        </is>
      </c>
      <c r="N1475" t="inlineStr">
        <is>
          <t>Medicare Advantage</t>
        </is>
      </c>
      <c r="O1475" s="39" t="n">
        <v>5528.21</v>
      </c>
    </row>
    <row r="1476">
      <c r="A1476" t="inlineStr">
        <is>
          <t>ENC118968</t>
        </is>
      </c>
      <c r="B1476" t="inlineStr">
        <is>
          <t>PT10804</t>
        </is>
      </c>
      <c r="C1476" s="42" t="n">
        <v>45933</v>
      </c>
      <c r="D1476" s="42" t="n">
        <v>45933</v>
      </c>
      <c r="E1476" s="38" t="n">
        <v>0</v>
      </c>
      <c r="F1476" t="inlineStr">
        <is>
          <t>Outpatient</t>
        </is>
      </c>
      <c r="G1476" t="inlineStr">
        <is>
          <t>Bluestone Outpatient Pavilion</t>
        </is>
      </c>
      <c r="H1476" t="inlineStr">
        <is>
          <t>Orthopedic Clinic</t>
        </is>
      </c>
      <c r="I1476" t="inlineStr">
        <is>
          <t>Orthopedics</t>
        </is>
      </c>
      <c r="J1476" t="inlineStr">
        <is>
          <t>Hernandez, Kyle</t>
        </is>
      </c>
      <c r="K1476" t="inlineStr">
        <is>
          <t>M16.11</t>
        </is>
      </c>
      <c r="L1476" t="inlineStr">
        <is>
          <t>Musculoskeletal</t>
        </is>
      </c>
      <c r="M1476" t="inlineStr">
        <is>
          <t>Keystone Health Partners</t>
        </is>
      </c>
      <c r="N1476" t="inlineStr">
        <is>
          <t>Commercial</t>
        </is>
      </c>
      <c r="O1476" s="39" t="n">
        <v>437.34</v>
      </c>
    </row>
    <row r="1477">
      <c r="A1477" t="inlineStr">
        <is>
          <t>ENC118985</t>
        </is>
      </c>
      <c r="B1477" t="inlineStr">
        <is>
          <t>PT12555</t>
        </is>
      </c>
      <c r="C1477" s="42" t="n">
        <v>45934</v>
      </c>
      <c r="D1477" s="42" t="n">
        <v>45934</v>
      </c>
      <c r="E1477" s="38" t="n">
        <v>0</v>
      </c>
      <c r="F1477" t="inlineStr">
        <is>
          <t>Emergency</t>
        </is>
      </c>
      <c r="G1477" t="inlineStr">
        <is>
          <t>Bluestone Memorial Hospital</t>
        </is>
      </c>
      <c r="H1477" t="inlineStr">
        <is>
          <t>Emergency Department</t>
        </is>
      </c>
      <c r="I1477" t="inlineStr">
        <is>
          <t>Emergency</t>
        </is>
      </c>
      <c r="J1477" t="inlineStr">
        <is>
          <t>Morris, Jordan</t>
        </is>
      </c>
      <c r="K1477" t="inlineStr">
        <is>
          <t>N39.0</t>
        </is>
      </c>
      <c r="L1477" t="inlineStr">
        <is>
          <t>Genitourinary</t>
        </is>
      </c>
      <c r="M1477" t="inlineStr">
        <is>
          <t>Summit Choice PPO</t>
        </is>
      </c>
      <c r="N1477" t="inlineStr">
        <is>
          <t>Commercial</t>
        </is>
      </c>
      <c r="O1477" s="39" t="n">
        <v>1890.01</v>
      </c>
    </row>
    <row r="1478">
      <c r="A1478" t="inlineStr">
        <is>
          <t>ENC118989</t>
        </is>
      </c>
      <c r="B1478" t="inlineStr">
        <is>
          <t>PT10423</t>
        </is>
      </c>
      <c r="C1478" s="42" t="n">
        <v>45934</v>
      </c>
      <c r="D1478" s="42" t="n">
        <v>45934</v>
      </c>
      <c r="E1478" s="38" t="n">
        <v>0</v>
      </c>
      <c r="F1478" t="inlineStr">
        <is>
          <t>Emergency</t>
        </is>
      </c>
      <c r="G1478" t="inlineStr">
        <is>
          <t>Bluestone Memorial Hospital</t>
        </is>
      </c>
      <c r="H1478" t="inlineStr">
        <is>
          <t>Emergency Department</t>
        </is>
      </c>
      <c r="I1478" t="inlineStr">
        <is>
          <t>Emergency</t>
        </is>
      </c>
      <c r="J1478" t="inlineStr">
        <is>
          <t>Mendoza, Alexander</t>
        </is>
      </c>
      <c r="K1478" t="inlineStr">
        <is>
          <t>J06.9</t>
        </is>
      </c>
      <c r="L1478" t="inlineStr">
        <is>
          <t>Respiratory</t>
        </is>
      </c>
      <c r="M1478" t="inlineStr">
        <is>
          <t>Silverline Medicare Advantage</t>
        </is>
      </c>
      <c r="N1478" t="inlineStr">
        <is>
          <t>Medicare Advantage</t>
        </is>
      </c>
      <c r="O1478" s="39" t="n">
        <v>3541.86</v>
      </c>
    </row>
    <row r="1479">
      <c r="A1479" t="inlineStr">
        <is>
          <t>ENC118988</t>
        </is>
      </c>
      <c r="B1479" t="inlineStr">
        <is>
          <t>PT11883</t>
        </is>
      </c>
      <c r="C1479" s="42" t="n">
        <v>45934</v>
      </c>
      <c r="D1479" s="42" t="n">
        <v>45936</v>
      </c>
      <c r="E1479" s="38" t="n">
        <v>2</v>
      </c>
      <c r="F1479" t="inlineStr">
        <is>
          <t>Inpatient</t>
        </is>
      </c>
      <c r="G1479" t="inlineStr">
        <is>
          <t>Bluestone Memorial Hospital</t>
        </is>
      </c>
      <c r="H1479" t="inlineStr">
        <is>
          <t>Medical-Surgical 4 West</t>
        </is>
      </c>
      <c r="I1479" t="inlineStr">
        <is>
          <t>Medicine</t>
        </is>
      </c>
      <c r="J1479" t="inlineStr">
        <is>
          <t>Cox, Judith</t>
        </is>
      </c>
      <c r="K1479" t="inlineStr">
        <is>
          <t>E11.65</t>
        </is>
      </c>
      <c r="L1479" t="inlineStr">
        <is>
          <t>Endocrine</t>
        </is>
      </c>
      <c r="M1479" t="inlineStr">
        <is>
          <t>Evergreen Mutual Insurance</t>
        </is>
      </c>
      <c r="N1479" t="inlineStr">
        <is>
          <t>Commercial</t>
        </is>
      </c>
      <c r="O1479" s="39" t="n">
        <v>8970.870000000001</v>
      </c>
      <c r="P1479" t="inlineStr">
        <is>
          <t>N</t>
        </is>
      </c>
    </row>
    <row r="1480">
      <c r="A1480" t="inlineStr">
        <is>
          <t>ENC119004</t>
        </is>
      </c>
      <c r="B1480" t="inlineStr">
        <is>
          <t>PT11278</t>
        </is>
      </c>
      <c r="C1480" s="42" t="n">
        <v>45935</v>
      </c>
      <c r="D1480" s="42" t="n">
        <v>45935</v>
      </c>
      <c r="E1480" s="38" t="n">
        <v>0</v>
      </c>
      <c r="F1480" t="inlineStr">
        <is>
          <t>Emergency</t>
        </is>
      </c>
      <c r="G1480" t="inlineStr">
        <is>
          <t>Bluestone Memorial Hospital</t>
        </is>
      </c>
      <c r="H1480" t="inlineStr">
        <is>
          <t>Emergency Department</t>
        </is>
      </c>
      <c r="I1480" t="inlineStr">
        <is>
          <t>Emergency</t>
        </is>
      </c>
      <c r="J1480" t="inlineStr">
        <is>
          <t>Mendoza, Alexander</t>
        </is>
      </c>
      <c r="K1480" t="inlineStr">
        <is>
          <t>E86.0</t>
        </is>
      </c>
      <c r="L1480" t="inlineStr">
        <is>
          <t>Endocrine</t>
        </is>
      </c>
      <c r="M1480" t="inlineStr">
        <is>
          <t>Silverline Medicare Advantage</t>
        </is>
      </c>
      <c r="N1480" t="inlineStr">
        <is>
          <t>Medicare Advantage</t>
        </is>
      </c>
      <c r="O1480" s="39" t="n">
        <v>1672.06</v>
      </c>
    </row>
    <row r="1481">
      <c r="A1481" t="inlineStr">
        <is>
          <t>ENC119025</t>
        </is>
      </c>
      <c r="B1481" t="inlineStr">
        <is>
          <t>PT10142</t>
        </is>
      </c>
      <c r="C1481" s="42" t="n">
        <v>45936</v>
      </c>
      <c r="D1481" s="42" t="n">
        <v>45936</v>
      </c>
      <c r="E1481" s="38" t="n">
        <v>0</v>
      </c>
      <c r="F1481" t="inlineStr">
        <is>
          <t>Emergency</t>
        </is>
      </c>
      <c r="G1481" t="inlineStr">
        <is>
          <t>Bluestone Memorial Hospital</t>
        </is>
      </c>
      <c r="H1481" t="inlineStr">
        <is>
          <t>Emergency Department</t>
        </is>
      </c>
      <c r="I1481" t="inlineStr">
        <is>
          <t>Emergency</t>
        </is>
      </c>
      <c r="J1481" t="inlineStr">
        <is>
          <t>Morris, Jordan</t>
        </is>
      </c>
      <c r="K1481" t="inlineStr">
        <is>
          <t>L03.115</t>
        </is>
      </c>
      <c r="L1481" t="inlineStr">
        <is>
          <t>Skin</t>
        </is>
      </c>
      <c r="M1481" t="inlineStr">
        <is>
          <t>Medicare</t>
        </is>
      </c>
      <c r="N1481" t="inlineStr">
        <is>
          <t>Government</t>
        </is>
      </c>
      <c r="O1481" s="39" t="n">
        <v>1959.37</v>
      </c>
    </row>
    <row r="1482">
      <c r="A1482" t="inlineStr">
        <is>
          <t>ENC119036</t>
        </is>
      </c>
      <c r="B1482" t="inlineStr">
        <is>
          <t>PT12896</t>
        </is>
      </c>
      <c r="C1482" s="42" t="n">
        <v>45936</v>
      </c>
      <c r="D1482" s="42" t="n">
        <v>45936</v>
      </c>
      <c r="E1482" s="38" t="n">
        <v>0</v>
      </c>
      <c r="F1482" t="inlineStr">
        <is>
          <t>Outpatient</t>
        </is>
      </c>
      <c r="G1482" t="inlineStr">
        <is>
          <t>Bluestone Outpatient Pavilion</t>
        </is>
      </c>
      <c r="H1482" t="inlineStr">
        <is>
          <t>Primary Care Clinic</t>
        </is>
      </c>
      <c r="I1482" t="inlineStr">
        <is>
          <t>Ambulatory</t>
        </is>
      </c>
      <c r="J1482" t="inlineStr">
        <is>
          <t>Black, Nancy</t>
        </is>
      </c>
      <c r="K1482" t="inlineStr">
        <is>
          <t>J06.9</t>
        </is>
      </c>
      <c r="L1482" t="inlineStr">
        <is>
          <t>Respiratory</t>
        </is>
      </c>
      <c r="M1482" t="inlineStr">
        <is>
          <t>Silverline Medicare Advantage</t>
        </is>
      </c>
      <c r="N1482" t="inlineStr">
        <is>
          <t>Medicare Advantage</t>
        </is>
      </c>
      <c r="O1482" s="39" t="n">
        <v>166.36</v>
      </c>
    </row>
    <row r="1483">
      <c r="A1483" t="inlineStr">
        <is>
          <t>ENC119046</t>
        </is>
      </c>
      <c r="B1483" t="inlineStr">
        <is>
          <t>PT12407</t>
        </is>
      </c>
      <c r="C1483" s="42" t="n">
        <v>45936</v>
      </c>
      <c r="D1483" s="42" t="n">
        <v>45936</v>
      </c>
      <c r="E1483" s="38" t="n">
        <v>0</v>
      </c>
      <c r="F1483" t="inlineStr">
        <is>
          <t>Emergency</t>
        </is>
      </c>
      <c r="G1483" t="inlineStr">
        <is>
          <t>Bluestone Memorial Hospital</t>
        </is>
      </c>
      <c r="H1483" t="inlineStr">
        <is>
          <t>Emergency Department</t>
        </is>
      </c>
      <c r="I1483" t="inlineStr">
        <is>
          <t>Emergency</t>
        </is>
      </c>
      <c r="J1483" t="inlineStr">
        <is>
          <t>Foster, Patrick</t>
        </is>
      </c>
      <c r="K1483" t="inlineStr">
        <is>
          <t>G43.909</t>
        </is>
      </c>
      <c r="L1483" t="inlineStr">
        <is>
          <t>Nervous System</t>
        </is>
      </c>
      <c r="M1483" t="inlineStr">
        <is>
          <t>Evergreen Mutual Insurance</t>
        </is>
      </c>
      <c r="N1483" t="inlineStr">
        <is>
          <t>Commercial</t>
        </is>
      </c>
      <c r="O1483" s="39" t="n">
        <v>3248.51</v>
      </c>
    </row>
    <row r="1484">
      <c r="A1484" t="inlineStr">
        <is>
          <t>ENC119048</t>
        </is>
      </c>
      <c r="B1484" t="inlineStr">
        <is>
          <t>PT11694</t>
        </is>
      </c>
      <c r="C1484" s="42" t="n">
        <v>45936</v>
      </c>
      <c r="D1484" s="42" t="n">
        <v>45940</v>
      </c>
      <c r="E1484" s="38" t="n">
        <v>4</v>
      </c>
      <c r="F1484" t="inlineStr">
        <is>
          <t>Inpatient</t>
        </is>
      </c>
      <c r="G1484" t="inlineStr">
        <is>
          <t>Bluestone Memorial Hospital</t>
        </is>
      </c>
      <c r="H1484" t="inlineStr">
        <is>
          <t>Cardiac Step-Down</t>
        </is>
      </c>
      <c r="I1484" t="inlineStr">
        <is>
          <t>Cardiovascular</t>
        </is>
      </c>
      <c r="J1484" t="inlineStr">
        <is>
          <t>Taylor, Jonathan</t>
        </is>
      </c>
      <c r="K1484" t="inlineStr">
        <is>
          <t>I21.4</t>
        </is>
      </c>
      <c r="L1484" t="inlineStr">
        <is>
          <t>Circulatory</t>
        </is>
      </c>
      <c r="M1484" t="inlineStr">
        <is>
          <t>Medicare</t>
        </is>
      </c>
      <c r="N1484" t="inlineStr">
        <is>
          <t>Government</t>
        </is>
      </c>
      <c r="O1484" s="39" t="n">
        <v>48597.98</v>
      </c>
      <c r="P1484" t="inlineStr">
        <is>
          <t>N</t>
        </is>
      </c>
    </row>
    <row r="1485">
      <c r="A1485" t="inlineStr">
        <is>
          <t>ENC119053</t>
        </is>
      </c>
      <c r="B1485" t="inlineStr">
        <is>
          <t>PT10307</t>
        </is>
      </c>
      <c r="C1485" s="42" t="n">
        <v>45936</v>
      </c>
      <c r="D1485" s="42" t="n">
        <v>45937</v>
      </c>
      <c r="E1485" s="38" t="n">
        <v>1</v>
      </c>
      <c r="F1485" t="inlineStr">
        <is>
          <t>Emergency</t>
        </is>
      </c>
      <c r="G1485" t="inlineStr">
        <is>
          <t>Bluestone Memorial Hospital</t>
        </is>
      </c>
      <c r="H1485" t="inlineStr">
        <is>
          <t>Emergency Department</t>
        </is>
      </c>
      <c r="I1485" t="inlineStr">
        <is>
          <t>Emergency</t>
        </is>
      </c>
      <c r="J1485" t="inlineStr">
        <is>
          <t>Sullivan, Jacob</t>
        </is>
      </c>
      <c r="K1485" t="inlineStr">
        <is>
          <t>F32.9</t>
        </is>
      </c>
      <c r="L1485" t="inlineStr">
        <is>
          <t>Mental &amp; Behavioral</t>
        </is>
      </c>
      <c r="M1485" t="inlineStr">
        <is>
          <t>Medicare</t>
        </is>
      </c>
      <c r="N1485" t="inlineStr">
        <is>
          <t>Government</t>
        </is>
      </c>
      <c r="O1485" s="39" t="n">
        <v>7022.66</v>
      </c>
    </row>
    <row r="1486">
      <c r="A1486" t="inlineStr">
        <is>
          <t>ENC119059</t>
        </is>
      </c>
      <c r="B1486" t="inlineStr">
        <is>
          <t>PT10291</t>
        </is>
      </c>
      <c r="C1486" s="42" t="n">
        <v>45937</v>
      </c>
      <c r="D1486" s="42" t="n">
        <v>45937</v>
      </c>
      <c r="E1486" s="38" t="n">
        <v>0</v>
      </c>
      <c r="F1486" t="inlineStr">
        <is>
          <t>Emergency</t>
        </is>
      </c>
      <c r="G1486" t="inlineStr">
        <is>
          <t>Bluestone Memorial Hospital</t>
        </is>
      </c>
      <c r="H1486" t="inlineStr">
        <is>
          <t>Emergency Department</t>
        </is>
      </c>
      <c r="I1486" t="inlineStr">
        <is>
          <t>Emergency</t>
        </is>
      </c>
      <c r="J1486" t="inlineStr">
        <is>
          <t>Kowalski, James</t>
        </is>
      </c>
      <c r="K1486" t="inlineStr">
        <is>
          <t>J06.9</t>
        </is>
      </c>
      <c r="L1486" t="inlineStr">
        <is>
          <t>Respiratory</t>
        </is>
      </c>
      <c r="M1486" t="inlineStr">
        <is>
          <t>Evergreen Mutual Insurance</t>
        </is>
      </c>
      <c r="N1486" t="inlineStr">
        <is>
          <t>Commercial</t>
        </is>
      </c>
      <c r="O1486" s="39" t="n">
        <v>742.73</v>
      </c>
    </row>
    <row r="1487">
      <c r="A1487" t="inlineStr">
        <is>
          <t>ENC119060</t>
        </is>
      </c>
      <c r="B1487" t="inlineStr">
        <is>
          <t>PT12418</t>
        </is>
      </c>
      <c r="C1487" s="42" t="n">
        <v>45937</v>
      </c>
      <c r="D1487" s="42" t="n">
        <v>45937</v>
      </c>
      <c r="E1487" s="38" t="n">
        <v>0</v>
      </c>
      <c r="F1487" t="inlineStr">
        <is>
          <t>Outpatient</t>
        </is>
      </c>
      <c r="G1487" t="inlineStr">
        <is>
          <t>Bluestone Outpatient Pavilion</t>
        </is>
      </c>
      <c r="H1487" t="inlineStr">
        <is>
          <t>Pediatric Clinic</t>
        </is>
      </c>
      <c r="I1487" t="inlineStr">
        <is>
          <t>Women &amp; Children</t>
        </is>
      </c>
      <c r="J1487" t="inlineStr">
        <is>
          <t>Alvarez, Susan</t>
        </is>
      </c>
      <c r="K1487" t="inlineStr">
        <is>
          <t>F32.9</t>
        </is>
      </c>
      <c r="L1487" t="inlineStr">
        <is>
          <t>Mental &amp; Behavioral</t>
        </is>
      </c>
      <c r="M1487" t="inlineStr">
        <is>
          <t>Summit Choice PPO</t>
        </is>
      </c>
      <c r="N1487" t="inlineStr">
        <is>
          <t>Commercial</t>
        </is>
      </c>
      <c r="O1487" s="39" t="n">
        <v>222.16</v>
      </c>
    </row>
    <row r="1488">
      <c r="A1488" t="inlineStr">
        <is>
          <t>ENC119065</t>
        </is>
      </c>
      <c r="B1488" t="inlineStr">
        <is>
          <t>PT10750</t>
        </is>
      </c>
      <c r="C1488" s="42" t="n">
        <v>45937</v>
      </c>
      <c r="D1488" s="42" t="n">
        <v>45937</v>
      </c>
      <c r="E1488" s="38" t="n">
        <v>0</v>
      </c>
      <c r="F1488" t="inlineStr">
        <is>
          <t>Outpatient</t>
        </is>
      </c>
      <c r="G1488" t="inlineStr">
        <is>
          <t>Bluestone Outpatient Pavilion</t>
        </is>
      </c>
      <c r="H1488" t="inlineStr">
        <is>
          <t>Primary Care Clinic</t>
        </is>
      </c>
      <c r="I1488" t="inlineStr">
        <is>
          <t>Ambulatory</t>
        </is>
      </c>
      <c r="J1488" t="inlineStr">
        <is>
          <t>Vazquez, Carolyn</t>
        </is>
      </c>
      <c r="K1488" t="inlineStr">
        <is>
          <t>I10</t>
        </is>
      </c>
      <c r="L1488" t="inlineStr">
        <is>
          <t>Circulatory</t>
        </is>
      </c>
      <c r="M1488" t="inlineStr">
        <is>
          <t>Medicare</t>
        </is>
      </c>
      <c r="N1488" t="inlineStr">
        <is>
          <t>Government</t>
        </is>
      </c>
      <c r="O1488" s="39" t="n">
        <v>390.47</v>
      </c>
    </row>
    <row r="1489">
      <c r="A1489" t="inlineStr">
        <is>
          <t>ENC119067</t>
        </is>
      </c>
      <c r="B1489" t="inlineStr">
        <is>
          <t>PT12533</t>
        </is>
      </c>
      <c r="C1489" s="42" t="n">
        <v>45937</v>
      </c>
      <c r="D1489" s="42" t="n">
        <v>45937</v>
      </c>
      <c r="E1489" s="38" t="n">
        <v>0</v>
      </c>
      <c r="F1489" t="inlineStr">
        <is>
          <t>Outpatient</t>
        </is>
      </c>
      <c r="G1489" t="inlineStr">
        <is>
          <t>Bluestone Outpatient Pavilion</t>
        </is>
      </c>
      <c r="H1489" t="inlineStr">
        <is>
          <t>Primary Care Clinic</t>
        </is>
      </c>
      <c r="I1489" t="inlineStr">
        <is>
          <t>Ambulatory</t>
        </is>
      </c>
      <c r="J1489" t="inlineStr">
        <is>
          <t>Fisher, Brandon</t>
        </is>
      </c>
      <c r="K1489" t="inlineStr">
        <is>
          <t>Z00.00</t>
        </is>
      </c>
      <c r="L1489" t="inlineStr">
        <is>
          <t>Factors Influencing Health</t>
        </is>
      </c>
      <c r="M1489" t="inlineStr">
        <is>
          <t>State Medicaid</t>
        </is>
      </c>
      <c r="N1489" t="inlineStr">
        <is>
          <t>Government</t>
        </is>
      </c>
      <c r="O1489" s="39" t="n">
        <v>249.28</v>
      </c>
    </row>
    <row r="1490">
      <c r="A1490" t="inlineStr">
        <is>
          <t>ENC119068</t>
        </is>
      </c>
      <c r="B1490" t="inlineStr">
        <is>
          <t>PT10043</t>
        </is>
      </c>
      <c r="C1490" s="42" t="n">
        <v>45937</v>
      </c>
      <c r="D1490" s="42" t="n">
        <v>45939</v>
      </c>
      <c r="E1490" s="38" t="n">
        <v>2</v>
      </c>
      <c r="F1490" t="inlineStr">
        <is>
          <t>Inpatient</t>
        </is>
      </c>
      <c r="G1490" t="inlineStr">
        <is>
          <t>Cedar Ridge Medical Center</t>
        </is>
      </c>
      <c r="H1490" t="inlineStr">
        <is>
          <t>Medical-Surgical</t>
        </is>
      </c>
      <c r="I1490" t="inlineStr">
        <is>
          <t>Medicine</t>
        </is>
      </c>
      <c r="J1490" t="inlineStr">
        <is>
          <t>Peters, Frank</t>
        </is>
      </c>
      <c r="K1490" t="inlineStr">
        <is>
          <t>E86.0</t>
        </is>
      </c>
      <c r="L1490" t="inlineStr">
        <is>
          <t>Endocrine</t>
        </is>
      </c>
      <c r="M1490" t="inlineStr">
        <is>
          <t>Evergreen Mutual Insurance</t>
        </is>
      </c>
      <c r="N1490" t="inlineStr">
        <is>
          <t>Commercial</t>
        </is>
      </c>
      <c r="O1490" s="39" t="n">
        <v>15658.95</v>
      </c>
      <c r="P1490" t="inlineStr">
        <is>
          <t>N</t>
        </is>
      </c>
    </row>
    <row r="1491">
      <c r="A1491" t="inlineStr">
        <is>
          <t>ENC119073</t>
        </is>
      </c>
      <c r="B1491" t="inlineStr">
        <is>
          <t>PT10799</t>
        </is>
      </c>
      <c r="C1491" s="42" t="n">
        <v>45937</v>
      </c>
      <c r="D1491" s="42" t="n">
        <v>45940</v>
      </c>
      <c r="E1491" s="38" t="n">
        <v>3</v>
      </c>
      <c r="F1491" t="inlineStr">
        <is>
          <t>Inpatient</t>
        </is>
      </c>
      <c r="G1491" t="inlineStr">
        <is>
          <t>Bluestone Memorial Hospital</t>
        </is>
      </c>
      <c r="H1491" t="inlineStr">
        <is>
          <t>Medical-Surgical 4 West</t>
        </is>
      </c>
      <c r="I1491" t="inlineStr">
        <is>
          <t>Medicine</t>
        </is>
      </c>
      <c r="J1491" t="inlineStr">
        <is>
          <t>Cruz, Roger</t>
        </is>
      </c>
      <c r="K1491" t="inlineStr">
        <is>
          <t>N39.0</t>
        </is>
      </c>
      <c r="L1491" t="inlineStr">
        <is>
          <t>Genitourinary</t>
        </is>
      </c>
      <c r="M1491" t="inlineStr">
        <is>
          <t>Keystone Health Partners</t>
        </is>
      </c>
      <c r="N1491" t="inlineStr">
        <is>
          <t>Commercial</t>
        </is>
      </c>
      <c r="O1491" s="39" t="n">
        <v>12045.86</v>
      </c>
      <c r="P1491" t="inlineStr">
        <is>
          <t>N</t>
        </is>
      </c>
    </row>
    <row r="1492">
      <c r="A1492" t="inlineStr">
        <is>
          <t>ENC119079</t>
        </is>
      </c>
      <c r="B1492" t="inlineStr">
        <is>
          <t>PT10126</t>
        </is>
      </c>
      <c r="C1492" s="42" t="n">
        <v>45937</v>
      </c>
      <c r="D1492" s="42" t="n">
        <v>45937</v>
      </c>
      <c r="E1492" s="38" t="n">
        <v>0</v>
      </c>
      <c r="F1492" t="inlineStr">
        <is>
          <t>Emergency</t>
        </is>
      </c>
      <c r="G1492" t="inlineStr">
        <is>
          <t>Bluestone Memorial Hospital</t>
        </is>
      </c>
      <c r="H1492" t="inlineStr">
        <is>
          <t>Emergency Department</t>
        </is>
      </c>
      <c r="I1492" t="inlineStr">
        <is>
          <t>Emergency</t>
        </is>
      </c>
      <c r="J1492" t="inlineStr">
        <is>
          <t>Payne, Nancy</t>
        </is>
      </c>
      <c r="K1492" t="inlineStr">
        <is>
          <t>F32.9</t>
        </is>
      </c>
      <c r="L1492" t="inlineStr">
        <is>
          <t>Mental &amp; Behavioral</t>
        </is>
      </c>
      <c r="M1492" t="inlineStr">
        <is>
          <t>State Medicaid</t>
        </is>
      </c>
      <c r="N1492" t="inlineStr">
        <is>
          <t>Government</t>
        </is>
      </c>
      <c r="O1492" s="39" t="n">
        <v>7534.49</v>
      </c>
    </row>
    <row r="1493">
      <c r="A1493" t="inlineStr">
        <is>
          <t>ENC119085</t>
        </is>
      </c>
      <c r="B1493" t="inlineStr">
        <is>
          <t>PT11946</t>
        </is>
      </c>
      <c r="C1493" s="42" t="n">
        <v>45938</v>
      </c>
      <c r="D1493" s="42" t="n">
        <v>45938</v>
      </c>
      <c r="E1493" s="38" t="n">
        <v>0</v>
      </c>
      <c r="F1493" t="inlineStr">
        <is>
          <t>Emergency</t>
        </is>
      </c>
      <c r="G1493" t="inlineStr">
        <is>
          <t>Ashby Falls Community Hospital</t>
        </is>
      </c>
      <c r="H1493" t="inlineStr">
        <is>
          <t>Emergency Department</t>
        </is>
      </c>
      <c r="I1493" t="inlineStr">
        <is>
          <t>Emergency</t>
        </is>
      </c>
      <c r="J1493" t="inlineStr">
        <is>
          <t>Wright, Bruce</t>
        </is>
      </c>
      <c r="K1493" t="inlineStr">
        <is>
          <t>N39.0</t>
        </is>
      </c>
      <c r="L1493" t="inlineStr">
        <is>
          <t>Genitourinary</t>
        </is>
      </c>
      <c r="M1493" t="inlineStr">
        <is>
          <t>Evergreen Mutual Insurance</t>
        </is>
      </c>
      <c r="N1493" t="inlineStr">
        <is>
          <t>Commercial</t>
        </is>
      </c>
      <c r="O1493" s="39" t="n">
        <v>1466.76</v>
      </c>
    </row>
    <row r="1494">
      <c r="A1494" t="inlineStr">
        <is>
          <t>ENC119088</t>
        </is>
      </c>
      <c r="B1494" t="inlineStr">
        <is>
          <t>PT12173</t>
        </is>
      </c>
      <c r="C1494" s="42" t="n">
        <v>45938</v>
      </c>
      <c r="D1494" s="42" t="n">
        <v>45941</v>
      </c>
      <c r="E1494" s="38" t="n">
        <v>3</v>
      </c>
      <c r="F1494" t="inlineStr">
        <is>
          <t>Inpatient</t>
        </is>
      </c>
      <c r="G1494" t="inlineStr">
        <is>
          <t>Bluestone Memorial Hospital</t>
        </is>
      </c>
      <c r="H1494" t="inlineStr">
        <is>
          <t>Medical-Surgical 4 West</t>
        </is>
      </c>
      <c r="I1494" t="inlineStr">
        <is>
          <t>Medicine</t>
        </is>
      </c>
      <c r="J1494" t="inlineStr">
        <is>
          <t>Allen, Jean</t>
        </is>
      </c>
      <c r="K1494" t="inlineStr">
        <is>
          <t>E86.0</t>
        </is>
      </c>
      <c r="L1494" t="inlineStr">
        <is>
          <t>Endocrine</t>
        </is>
      </c>
      <c r="M1494" t="inlineStr">
        <is>
          <t>Medicare</t>
        </is>
      </c>
      <c r="N1494" t="inlineStr">
        <is>
          <t>Government</t>
        </is>
      </c>
      <c r="O1494" s="39" t="n">
        <v>17514.94</v>
      </c>
      <c r="P1494" t="inlineStr">
        <is>
          <t>N</t>
        </is>
      </c>
    </row>
    <row r="1495">
      <c r="A1495" t="inlineStr">
        <is>
          <t>ENC119090</t>
        </is>
      </c>
      <c r="B1495" t="inlineStr">
        <is>
          <t>PT12434</t>
        </is>
      </c>
      <c r="C1495" s="42" t="n">
        <v>45938</v>
      </c>
      <c r="D1495" s="42" t="n">
        <v>45938</v>
      </c>
      <c r="E1495" s="38" t="n">
        <v>0</v>
      </c>
      <c r="F1495" t="inlineStr">
        <is>
          <t>Outpatient</t>
        </is>
      </c>
      <c r="G1495" t="inlineStr">
        <is>
          <t>Bluestone Outpatient Pavilion</t>
        </is>
      </c>
      <c r="H1495" t="inlineStr">
        <is>
          <t>Primary Care Clinic</t>
        </is>
      </c>
      <c r="I1495" t="inlineStr">
        <is>
          <t>Ambulatory</t>
        </is>
      </c>
      <c r="J1495" t="inlineStr">
        <is>
          <t>Black, Nancy</t>
        </is>
      </c>
      <c r="K1495" t="inlineStr">
        <is>
          <t>G40.909</t>
        </is>
      </c>
      <c r="L1495" t="inlineStr">
        <is>
          <t>Nervous System</t>
        </is>
      </c>
      <c r="M1495" t="inlineStr">
        <is>
          <t>Medicare</t>
        </is>
      </c>
      <c r="N1495" t="inlineStr">
        <is>
          <t>Government</t>
        </is>
      </c>
      <c r="O1495" s="39" t="n">
        <v>355.35</v>
      </c>
    </row>
    <row r="1496">
      <c r="A1496" t="inlineStr">
        <is>
          <t>ENC119087</t>
        </is>
      </c>
      <c r="B1496" t="inlineStr">
        <is>
          <t>PT12867</t>
        </is>
      </c>
      <c r="C1496" s="42" t="n">
        <v>45938</v>
      </c>
      <c r="D1496" s="42" t="n">
        <v>45940</v>
      </c>
      <c r="E1496" s="38" t="n">
        <v>2</v>
      </c>
      <c r="F1496" t="inlineStr">
        <is>
          <t>Inpatient</t>
        </is>
      </c>
      <c r="G1496" t="inlineStr">
        <is>
          <t>Cedar Ridge Medical Center</t>
        </is>
      </c>
      <c r="H1496" t="inlineStr">
        <is>
          <t>Medical-Surgical</t>
        </is>
      </c>
      <c r="I1496" t="inlineStr">
        <is>
          <t>Medicine</t>
        </is>
      </c>
      <c r="J1496" t="inlineStr">
        <is>
          <t>Payne, Tyler</t>
        </is>
      </c>
      <c r="K1496" t="inlineStr">
        <is>
          <t>E11.65</t>
        </is>
      </c>
      <c r="L1496" t="inlineStr">
        <is>
          <t>Endocrine</t>
        </is>
      </c>
      <c r="M1496" t="inlineStr">
        <is>
          <t>Medicare</t>
        </is>
      </c>
      <c r="N1496" t="inlineStr">
        <is>
          <t>Government</t>
        </is>
      </c>
      <c r="O1496" s="39" t="n">
        <v>9196.389999999999</v>
      </c>
      <c r="P1496" t="inlineStr">
        <is>
          <t>N</t>
        </is>
      </c>
    </row>
    <row r="1497">
      <c r="A1497" t="inlineStr">
        <is>
          <t>ENC119100</t>
        </is>
      </c>
      <c r="B1497" t="inlineStr">
        <is>
          <t>PT10949</t>
        </is>
      </c>
      <c r="C1497" s="42" t="n">
        <v>45938</v>
      </c>
      <c r="D1497" s="42" t="n">
        <v>45938</v>
      </c>
      <c r="E1497" s="38" t="n">
        <v>0</v>
      </c>
      <c r="F1497" t="inlineStr">
        <is>
          <t>Outpatient</t>
        </is>
      </c>
      <c r="G1497" t="inlineStr">
        <is>
          <t>Bluestone Outpatient Pavilion</t>
        </is>
      </c>
      <c r="H1497" t="inlineStr">
        <is>
          <t>Orthopedic Clinic</t>
        </is>
      </c>
      <c r="I1497" t="inlineStr">
        <is>
          <t>Orthopedics</t>
        </is>
      </c>
      <c r="J1497" t="inlineStr">
        <is>
          <t>Wagner, Carlos</t>
        </is>
      </c>
      <c r="K1497" t="inlineStr">
        <is>
          <t>M17.11</t>
        </is>
      </c>
      <c r="L1497" t="inlineStr">
        <is>
          <t>Musculoskeletal</t>
        </is>
      </c>
      <c r="M1497" t="inlineStr">
        <is>
          <t>Medicare</t>
        </is>
      </c>
      <c r="N1497" t="inlineStr">
        <is>
          <t>Government</t>
        </is>
      </c>
      <c r="O1497" s="39" t="n">
        <v>384.41</v>
      </c>
    </row>
    <row r="1498">
      <c r="A1498" t="inlineStr">
        <is>
          <t>ENC119101</t>
        </is>
      </c>
      <c r="B1498" t="inlineStr">
        <is>
          <t>PT11674</t>
        </is>
      </c>
      <c r="C1498" s="42" t="n">
        <v>45938</v>
      </c>
      <c r="D1498" s="42" t="n">
        <v>45938</v>
      </c>
      <c r="E1498" s="38" t="n">
        <v>0</v>
      </c>
      <c r="F1498" t="inlineStr">
        <is>
          <t>Outpatient</t>
        </is>
      </c>
      <c r="G1498" t="inlineStr">
        <is>
          <t>Bluestone Outpatient Pavilion</t>
        </is>
      </c>
      <c r="H1498" t="inlineStr">
        <is>
          <t>Primary Care Clinic</t>
        </is>
      </c>
      <c r="I1498" t="inlineStr">
        <is>
          <t>Ambulatory</t>
        </is>
      </c>
      <c r="J1498" t="inlineStr">
        <is>
          <t>Nguyen, Isabella</t>
        </is>
      </c>
      <c r="K1498" t="inlineStr">
        <is>
          <t>E78.5</t>
        </is>
      </c>
      <c r="L1498" t="inlineStr">
        <is>
          <t>Endocrine</t>
        </is>
      </c>
      <c r="M1498" t="inlineStr">
        <is>
          <t>Evergreen Mutual Insurance</t>
        </is>
      </c>
      <c r="N1498" t="inlineStr">
        <is>
          <t>Commercial</t>
        </is>
      </c>
      <c r="O1498" s="39" t="n">
        <v>410.97</v>
      </c>
    </row>
    <row r="1499">
      <c r="A1499" t="inlineStr">
        <is>
          <t>ENC119103</t>
        </is>
      </c>
      <c r="B1499" t="inlineStr">
        <is>
          <t>PT13484</t>
        </is>
      </c>
      <c r="C1499" s="42" t="n">
        <v>45938</v>
      </c>
      <c r="D1499" s="42" t="n">
        <v>45941</v>
      </c>
      <c r="E1499" s="38" t="n">
        <v>3</v>
      </c>
      <c r="F1499" t="inlineStr">
        <is>
          <t>Inpatient</t>
        </is>
      </c>
      <c r="G1499" t="inlineStr">
        <is>
          <t>Bluestone Memorial Hospital</t>
        </is>
      </c>
      <c r="H1499" t="inlineStr">
        <is>
          <t>Medical-Surgical 5 East</t>
        </is>
      </c>
      <c r="I1499" t="inlineStr">
        <is>
          <t>Medicine</t>
        </is>
      </c>
      <c r="J1499" t="inlineStr">
        <is>
          <t>Cox, Judith</t>
        </is>
      </c>
      <c r="K1499" t="inlineStr">
        <is>
          <t>E11.65</t>
        </is>
      </c>
      <c r="L1499" t="inlineStr">
        <is>
          <t>Endocrine</t>
        </is>
      </c>
      <c r="M1499" t="inlineStr">
        <is>
          <t>Silverline Medicare Advantage</t>
        </is>
      </c>
      <c r="N1499" t="inlineStr">
        <is>
          <t>Medicare Advantage</t>
        </is>
      </c>
      <c r="O1499" s="39" t="n">
        <v>12794.3</v>
      </c>
      <c r="P1499" t="inlineStr">
        <is>
          <t>N</t>
        </is>
      </c>
    </row>
    <row r="1500">
      <c r="A1500" t="inlineStr">
        <is>
          <t>ENC119116</t>
        </is>
      </c>
      <c r="B1500" t="inlineStr">
        <is>
          <t>PT13085</t>
        </is>
      </c>
      <c r="C1500" s="42" t="n">
        <v>45938</v>
      </c>
      <c r="D1500" s="42" t="n">
        <v>45942</v>
      </c>
      <c r="E1500" s="38" t="n">
        <v>4</v>
      </c>
      <c r="F1500" t="inlineStr">
        <is>
          <t>Inpatient</t>
        </is>
      </c>
      <c r="G1500" t="inlineStr">
        <is>
          <t>Bluestone Memorial Hospital</t>
        </is>
      </c>
      <c r="H1500" t="inlineStr">
        <is>
          <t>Medical-Surgical 5 East</t>
        </is>
      </c>
      <c r="I1500" t="inlineStr">
        <is>
          <t>Medicine</t>
        </is>
      </c>
      <c r="J1500" t="inlineStr">
        <is>
          <t>Allen, Jean</t>
        </is>
      </c>
      <c r="K1500" t="inlineStr">
        <is>
          <t>N39.0</t>
        </is>
      </c>
      <c r="L1500" t="inlineStr">
        <is>
          <t>Genitourinary</t>
        </is>
      </c>
      <c r="M1500" t="inlineStr">
        <is>
          <t>Summit Choice PPO</t>
        </is>
      </c>
      <c r="N1500" t="inlineStr">
        <is>
          <t>Commercial</t>
        </is>
      </c>
      <c r="O1500" s="39" t="n">
        <v>21837.19</v>
      </c>
      <c r="P1500" t="inlineStr">
        <is>
          <t>N</t>
        </is>
      </c>
    </row>
    <row r="1501">
      <c r="A1501" t="inlineStr">
        <is>
          <t>ENC119117</t>
        </is>
      </c>
      <c r="B1501" t="inlineStr">
        <is>
          <t>PT13908</t>
        </is>
      </c>
      <c r="C1501" s="42" t="n">
        <v>45938</v>
      </c>
      <c r="D1501" s="42" t="n">
        <v>45940</v>
      </c>
      <c r="E1501" s="38" t="n">
        <v>2</v>
      </c>
      <c r="F1501" t="inlineStr">
        <is>
          <t>Inpatient</t>
        </is>
      </c>
      <c r="G1501" t="inlineStr">
        <is>
          <t>Bluestone Memorial Hospital</t>
        </is>
      </c>
      <c r="H1501" t="inlineStr">
        <is>
          <t>Medical-Surgical 4 West</t>
        </is>
      </c>
      <c r="I1501" t="inlineStr">
        <is>
          <t>Medicine</t>
        </is>
      </c>
      <c r="J1501" t="inlineStr">
        <is>
          <t>Cruz, Roger</t>
        </is>
      </c>
      <c r="K1501" t="inlineStr">
        <is>
          <t>E11.65</t>
        </is>
      </c>
      <c r="L1501" t="inlineStr">
        <is>
          <t>Endocrine</t>
        </is>
      </c>
      <c r="M1501" t="inlineStr">
        <is>
          <t>Summit Choice PPO</t>
        </is>
      </c>
      <c r="N1501" t="inlineStr">
        <is>
          <t>Commercial</t>
        </is>
      </c>
      <c r="O1501" s="39" t="n">
        <v>21811.1</v>
      </c>
      <c r="P1501" t="inlineStr">
        <is>
          <t>N</t>
        </is>
      </c>
    </row>
    <row r="1502">
      <c r="A1502" t="inlineStr">
        <is>
          <t>ENC119131</t>
        </is>
      </c>
      <c r="B1502" t="inlineStr">
        <is>
          <t>PT11700</t>
        </is>
      </c>
      <c r="C1502" s="42" t="n">
        <v>45939</v>
      </c>
      <c r="D1502" s="42" t="n">
        <v>45939</v>
      </c>
      <c r="E1502" s="38" t="n">
        <v>0</v>
      </c>
      <c r="F1502" t="inlineStr">
        <is>
          <t>Outpatient</t>
        </is>
      </c>
      <c r="G1502" t="inlineStr">
        <is>
          <t>Bluestone Outpatient Pavilion</t>
        </is>
      </c>
      <c r="H1502" t="inlineStr">
        <is>
          <t>Endocrinology &amp; Diabetes Clinic</t>
        </is>
      </c>
      <c r="I1502" t="inlineStr">
        <is>
          <t>Ambulatory</t>
        </is>
      </c>
      <c r="J1502" t="inlineStr">
        <is>
          <t>Rivera, Scott</t>
        </is>
      </c>
      <c r="K1502" t="inlineStr">
        <is>
          <t>E11.9</t>
        </is>
      </c>
      <c r="L1502" t="inlineStr">
        <is>
          <t>Endocrine</t>
        </is>
      </c>
      <c r="M1502" t="inlineStr">
        <is>
          <t>State Medicaid</t>
        </is>
      </c>
      <c r="N1502" t="inlineStr">
        <is>
          <t>Government</t>
        </is>
      </c>
      <c r="O1502" s="39" t="n">
        <v>142.59</v>
      </c>
    </row>
    <row r="1503">
      <c r="A1503" t="inlineStr">
        <is>
          <t>ENC119133</t>
        </is>
      </c>
      <c r="B1503" t="inlineStr">
        <is>
          <t>PT12758</t>
        </is>
      </c>
      <c r="C1503" s="42" t="n">
        <v>45939</v>
      </c>
      <c r="D1503" s="42" t="n">
        <v>45939</v>
      </c>
      <c r="E1503" s="38" t="n">
        <v>0</v>
      </c>
      <c r="F1503" t="inlineStr">
        <is>
          <t>Outpatient</t>
        </is>
      </c>
      <c r="G1503" t="inlineStr">
        <is>
          <t>Bluestone Outpatient Pavilion</t>
        </is>
      </c>
      <c r="H1503" t="inlineStr">
        <is>
          <t>Cardiology Clinic</t>
        </is>
      </c>
      <c r="I1503" t="inlineStr">
        <is>
          <t>Cardiovascular</t>
        </is>
      </c>
      <c r="J1503" t="inlineStr">
        <is>
          <t>Gomez, Mateo</t>
        </is>
      </c>
      <c r="K1503" t="inlineStr">
        <is>
          <t>I50.9</t>
        </is>
      </c>
      <c r="L1503" t="inlineStr">
        <is>
          <t>Circulatory</t>
        </is>
      </c>
      <c r="M1503" t="inlineStr">
        <is>
          <t>Medicare</t>
        </is>
      </c>
      <c r="N1503" t="inlineStr">
        <is>
          <t>Government</t>
        </is>
      </c>
      <c r="O1503" s="39" t="n">
        <v>321.85</v>
      </c>
    </row>
    <row r="1504">
      <c r="A1504" t="inlineStr">
        <is>
          <t>ENC119134</t>
        </is>
      </c>
      <c r="B1504" t="inlineStr">
        <is>
          <t>PT12025</t>
        </is>
      </c>
      <c r="C1504" s="42" t="n">
        <v>45939</v>
      </c>
      <c r="D1504" s="42" t="n">
        <v>45939</v>
      </c>
      <c r="E1504" s="38" t="n">
        <v>0</v>
      </c>
      <c r="F1504" t="inlineStr">
        <is>
          <t>Outpatient</t>
        </is>
      </c>
      <c r="G1504" t="inlineStr">
        <is>
          <t>Bluestone Outpatient Pavilion</t>
        </is>
      </c>
      <c r="H1504" t="inlineStr">
        <is>
          <t>Primary Care Clinic</t>
        </is>
      </c>
      <c r="I1504" t="inlineStr">
        <is>
          <t>Ambulatory</t>
        </is>
      </c>
      <c r="J1504" t="inlineStr">
        <is>
          <t>Elliott, Douglas</t>
        </is>
      </c>
      <c r="K1504" t="inlineStr">
        <is>
          <t>E78.5</t>
        </is>
      </c>
      <c r="L1504" t="inlineStr">
        <is>
          <t>Endocrine</t>
        </is>
      </c>
      <c r="M1504" t="inlineStr">
        <is>
          <t>Summit Choice PPO</t>
        </is>
      </c>
      <c r="N1504" t="inlineStr">
        <is>
          <t>Commercial</t>
        </is>
      </c>
      <c r="O1504" s="39" t="n">
        <v>402.55</v>
      </c>
    </row>
    <row r="1505">
      <c r="A1505" t="inlineStr">
        <is>
          <t>ENC119141</t>
        </is>
      </c>
      <c r="B1505" t="inlineStr">
        <is>
          <t>PT11241</t>
        </is>
      </c>
      <c r="C1505" s="42" t="n">
        <v>45939</v>
      </c>
      <c r="D1505" s="42" t="n">
        <v>45939</v>
      </c>
      <c r="E1505" s="38" t="n">
        <v>0</v>
      </c>
      <c r="F1505" t="inlineStr">
        <is>
          <t>Outpatient</t>
        </is>
      </c>
      <c r="G1505" t="inlineStr">
        <is>
          <t>Bluestone Outpatient Pavilion</t>
        </is>
      </c>
      <c r="H1505" t="inlineStr">
        <is>
          <t>Pediatric Clinic</t>
        </is>
      </c>
      <c r="I1505" t="inlineStr">
        <is>
          <t>Women &amp; Children</t>
        </is>
      </c>
      <c r="J1505" t="inlineStr">
        <is>
          <t>Brown, Stephanie</t>
        </is>
      </c>
      <c r="K1505" t="inlineStr">
        <is>
          <t>Z00.129</t>
        </is>
      </c>
      <c r="L1505" t="inlineStr">
        <is>
          <t>Factors Influencing Health</t>
        </is>
      </c>
      <c r="M1505" t="inlineStr">
        <is>
          <t>Self-Pay</t>
        </is>
      </c>
      <c r="N1505" t="inlineStr">
        <is>
          <t>Self-Pay</t>
        </is>
      </c>
      <c r="O1505" s="39" t="n">
        <v>254.4</v>
      </c>
    </row>
    <row r="1506">
      <c r="A1506" t="inlineStr">
        <is>
          <t>ENC119145</t>
        </is>
      </c>
      <c r="B1506" t="inlineStr">
        <is>
          <t>PT11192</t>
        </is>
      </c>
      <c r="C1506" s="42" t="n">
        <v>45939</v>
      </c>
      <c r="D1506" s="42" t="n">
        <v>45939</v>
      </c>
      <c r="E1506" s="38" t="n">
        <v>0</v>
      </c>
      <c r="F1506" t="inlineStr">
        <is>
          <t>Emergency</t>
        </is>
      </c>
      <c r="G1506" t="inlineStr">
        <is>
          <t>Ashby Falls Community Hospital</t>
        </is>
      </c>
      <c r="H1506" t="inlineStr">
        <is>
          <t>Emergency Department</t>
        </is>
      </c>
      <c r="I1506" t="inlineStr">
        <is>
          <t>Emergency</t>
        </is>
      </c>
      <c r="J1506" t="inlineStr">
        <is>
          <t>Marshall, Lisa</t>
        </is>
      </c>
      <c r="K1506" t="inlineStr">
        <is>
          <t>R07.9</t>
        </is>
      </c>
      <c r="L1506" t="inlineStr">
        <is>
          <t>Symptoms &amp; Signs</t>
        </is>
      </c>
      <c r="M1506" t="inlineStr">
        <is>
          <t>State Medicaid</t>
        </is>
      </c>
      <c r="N1506" t="inlineStr">
        <is>
          <t>Government</t>
        </is>
      </c>
      <c r="O1506" s="39" t="n">
        <v>4930.05</v>
      </c>
    </row>
    <row r="1507">
      <c r="A1507" t="inlineStr">
        <is>
          <t>ENC119147</t>
        </is>
      </c>
      <c r="B1507" t="inlineStr">
        <is>
          <t>PT10791</t>
        </is>
      </c>
      <c r="C1507" s="42" t="n">
        <v>45939</v>
      </c>
      <c r="D1507" s="42" t="n">
        <v>45939</v>
      </c>
      <c r="E1507" s="38" t="n">
        <v>0</v>
      </c>
      <c r="F1507" t="inlineStr">
        <is>
          <t>Emergency</t>
        </is>
      </c>
      <c r="G1507" t="inlineStr">
        <is>
          <t>Bluestone Memorial Hospital</t>
        </is>
      </c>
      <c r="H1507" t="inlineStr">
        <is>
          <t>Emergency Department</t>
        </is>
      </c>
      <c r="I1507" t="inlineStr">
        <is>
          <t>Emergency</t>
        </is>
      </c>
      <c r="J1507" t="inlineStr">
        <is>
          <t>Cruz, Mia</t>
        </is>
      </c>
      <c r="K1507" t="inlineStr">
        <is>
          <t>F32.9</t>
        </is>
      </c>
      <c r="L1507" t="inlineStr">
        <is>
          <t>Mental &amp; Behavioral</t>
        </is>
      </c>
      <c r="M1507" t="inlineStr">
        <is>
          <t>Summit Choice PPO</t>
        </is>
      </c>
      <c r="N1507" t="inlineStr">
        <is>
          <t>Commercial</t>
        </is>
      </c>
      <c r="O1507" s="39" t="n">
        <v>3680.24</v>
      </c>
    </row>
    <row r="1508">
      <c r="A1508" t="inlineStr">
        <is>
          <t>ENC119154</t>
        </is>
      </c>
      <c r="B1508" t="inlineStr">
        <is>
          <t>PT10924</t>
        </is>
      </c>
      <c r="C1508" s="42" t="n">
        <v>45940</v>
      </c>
      <c r="D1508" s="42" t="n">
        <v>45940</v>
      </c>
      <c r="E1508" s="38" t="n">
        <v>0</v>
      </c>
      <c r="F1508" t="inlineStr">
        <is>
          <t>Outpatient</t>
        </is>
      </c>
      <c r="G1508" t="inlineStr">
        <is>
          <t>Bluestone Outpatient Pavilion</t>
        </is>
      </c>
      <c r="H1508" t="inlineStr">
        <is>
          <t>Orthopedic Clinic</t>
        </is>
      </c>
      <c r="I1508" t="inlineStr">
        <is>
          <t>Orthopedics</t>
        </is>
      </c>
      <c r="J1508" t="inlineStr">
        <is>
          <t>Wagner, Carlos</t>
        </is>
      </c>
      <c r="K1508" t="inlineStr">
        <is>
          <t>M16.11</t>
        </is>
      </c>
      <c r="L1508" t="inlineStr">
        <is>
          <t>Musculoskeletal</t>
        </is>
      </c>
      <c r="M1508" t="inlineStr">
        <is>
          <t>Silverline Medicare Advantage</t>
        </is>
      </c>
      <c r="N1508" t="inlineStr">
        <is>
          <t>Medicare Advantage</t>
        </is>
      </c>
      <c r="O1508" s="39" t="n">
        <v>321.34</v>
      </c>
    </row>
    <row r="1509">
      <c r="A1509" t="inlineStr">
        <is>
          <t>ENC119168</t>
        </is>
      </c>
      <c r="B1509" t="inlineStr">
        <is>
          <t>PT12495</t>
        </is>
      </c>
      <c r="C1509" s="42" t="n">
        <v>45940</v>
      </c>
      <c r="D1509" s="42" t="n">
        <v>45945</v>
      </c>
      <c r="E1509" s="38" t="n">
        <v>5</v>
      </c>
      <c r="F1509" t="inlineStr">
        <is>
          <t>Inpatient</t>
        </is>
      </c>
      <c r="G1509" t="inlineStr">
        <is>
          <t>Bluestone Memorial Hospital</t>
        </is>
      </c>
      <c r="H1509" t="inlineStr">
        <is>
          <t>Medical-Surgical 4 West</t>
        </is>
      </c>
      <c r="I1509" t="inlineStr">
        <is>
          <t>Medicine</t>
        </is>
      </c>
      <c r="J1509" t="inlineStr">
        <is>
          <t>Ramirez, Emma</t>
        </is>
      </c>
      <c r="K1509" t="inlineStr">
        <is>
          <t>L03.115</t>
        </is>
      </c>
      <c r="L1509" t="inlineStr">
        <is>
          <t>Skin</t>
        </is>
      </c>
      <c r="M1509" t="inlineStr">
        <is>
          <t>Summit Choice PPO</t>
        </is>
      </c>
      <c r="N1509" t="inlineStr">
        <is>
          <t>Commercial</t>
        </is>
      </c>
      <c r="O1509" s="39" t="n">
        <v>20652.24</v>
      </c>
      <c r="P1509" t="inlineStr">
        <is>
          <t>N</t>
        </is>
      </c>
    </row>
    <row r="1510">
      <c r="A1510" t="inlineStr">
        <is>
          <t>ENC119176</t>
        </is>
      </c>
      <c r="B1510" t="inlineStr">
        <is>
          <t>PT11263</t>
        </is>
      </c>
      <c r="C1510" s="42" t="n">
        <v>45940</v>
      </c>
      <c r="D1510" s="42" t="n">
        <v>45940</v>
      </c>
      <c r="E1510" s="38" t="n">
        <v>0</v>
      </c>
      <c r="F1510" t="inlineStr">
        <is>
          <t>Emergency</t>
        </is>
      </c>
      <c r="G1510" t="inlineStr">
        <is>
          <t>Bluestone Memorial Hospital</t>
        </is>
      </c>
      <c r="H1510" t="inlineStr">
        <is>
          <t>Emergency Department</t>
        </is>
      </c>
      <c r="I1510" t="inlineStr">
        <is>
          <t>Emergency</t>
        </is>
      </c>
      <c r="J1510" t="inlineStr">
        <is>
          <t>Sullivan, Jacob</t>
        </is>
      </c>
      <c r="K1510" t="inlineStr">
        <is>
          <t>F41.9</t>
        </is>
      </c>
      <c r="L1510" t="inlineStr">
        <is>
          <t>Mental &amp; Behavioral</t>
        </is>
      </c>
      <c r="M1510" t="inlineStr">
        <is>
          <t>Keystone Health Partners</t>
        </is>
      </c>
      <c r="N1510" t="inlineStr">
        <is>
          <t>Commercial</t>
        </is>
      </c>
      <c r="O1510" s="39" t="n">
        <v>1813.75</v>
      </c>
    </row>
    <row r="1511">
      <c r="A1511" t="inlineStr">
        <is>
          <t>ENC119183</t>
        </is>
      </c>
      <c r="B1511" t="inlineStr">
        <is>
          <t>PT13836</t>
        </is>
      </c>
      <c r="C1511" s="42" t="n">
        <v>45941</v>
      </c>
      <c r="D1511" s="42" t="n">
        <v>45943</v>
      </c>
      <c r="E1511" s="38" t="n">
        <v>2</v>
      </c>
      <c r="F1511" t="inlineStr">
        <is>
          <t>Inpatient</t>
        </is>
      </c>
      <c r="G1511" t="inlineStr">
        <is>
          <t>Bluestone Memorial Hospital</t>
        </is>
      </c>
      <c r="H1511" t="inlineStr">
        <is>
          <t>Labor &amp; Delivery</t>
        </is>
      </c>
      <c r="I1511" t="inlineStr">
        <is>
          <t>Women &amp; Children</t>
        </is>
      </c>
      <c r="J1511" t="inlineStr">
        <is>
          <t>Bradley, Nicole</t>
        </is>
      </c>
      <c r="K1511" t="inlineStr">
        <is>
          <t>O80</t>
        </is>
      </c>
      <c r="L1511" t="inlineStr">
        <is>
          <t>Pregnancy</t>
        </is>
      </c>
      <c r="M1511" t="inlineStr">
        <is>
          <t>Keystone Health Partners</t>
        </is>
      </c>
      <c r="N1511" t="inlineStr">
        <is>
          <t>Commercial</t>
        </is>
      </c>
      <c r="O1511" s="39" t="n">
        <v>15694.06</v>
      </c>
      <c r="P1511" t="inlineStr">
        <is>
          <t>N</t>
        </is>
      </c>
    </row>
    <row r="1512">
      <c r="A1512" t="inlineStr">
        <is>
          <t>ENC119184</t>
        </is>
      </c>
      <c r="B1512" t="inlineStr">
        <is>
          <t>PT10905</t>
        </is>
      </c>
      <c r="C1512" s="42" t="n">
        <v>45941</v>
      </c>
      <c r="D1512" s="42" t="n">
        <v>45947</v>
      </c>
      <c r="E1512" s="38" t="n">
        <v>6</v>
      </c>
      <c r="F1512" t="inlineStr">
        <is>
          <t>Inpatient</t>
        </is>
      </c>
      <c r="G1512" t="inlineStr">
        <is>
          <t>Bluestone Memorial Hospital</t>
        </is>
      </c>
      <c r="H1512" t="inlineStr">
        <is>
          <t>Medical-Surgical 4 West</t>
        </is>
      </c>
      <c r="I1512" t="inlineStr">
        <is>
          <t>Medicine</t>
        </is>
      </c>
      <c r="J1512" t="inlineStr">
        <is>
          <t>Cruz, Roger</t>
        </is>
      </c>
      <c r="K1512" t="inlineStr">
        <is>
          <t>K92.2</t>
        </is>
      </c>
      <c r="L1512" t="inlineStr">
        <is>
          <t>Digestive</t>
        </is>
      </c>
      <c r="M1512" t="inlineStr">
        <is>
          <t>Self-Pay</t>
        </is>
      </c>
      <c r="N1512" t="inlineStr">
        <is>
          <t>Self-Pay</t>
        </is>
      </c>
      <c r="O1512" s="39" t="n">
        <v>28712.68</v>
      </c>
      <c r="P1512" t="inlineStr">
        <is>
          <t>N</t>
        </is>
      </c>
    </row>
    <row r="1513">
      <c r="A1513" t="inlineStr">
        <is>
          <t>ENC119190</t>
        </is>
      </c>
      <c r="B1513" t="inlineStr">
        <is>
          <t>PT11876</t>
        </is>
      </c>
      <c r="C1513" s="42" t="n">
        <v>45941</v>
      </c>
      <c r="D1513" s="42" t="n">
        <v>45942</v>
      </c>
      <c r="E1513" s="38" t="n">
        <v>1</v>
      </c>
      <c r="F1513" t="inlineStr">
        <is>
          <t>Observation</t>
        </is>
      </c>
      <c r="G1513" t="inlineStr">
        <is>
          <t>Cedar Ridge Medical Center</t>
        </is>
      </c>
      <c r="H1513" t="inlineStr">
        <is>
          <t>Medical-Surgical</t>
        </is>
      </c>
      <c r="I1513" t="inlineStr">
        <is>
          <t>Medicine</t>
        </is>
      </c>
      <c r="J1513" t="inlineStr">
        <is>
          <t>Berry, Minh</t>
        </is>
      </c>
      <c r="K1513" t="inlineStr">
        <is>
          <t>S06.0X0A</t>
        </is>
      </c>
      <c r="L1513" t="inlineStr">
        <is>
          <t>Injury</t>
        </is>
      </c>
      <c r="M1513" t="inlineStr">
        <is>
          <t>State Medicaid</t>
        </is>
      </c>
      <c r="N1513" t="inlineStr">
        <is>
          <t>Government</t>
        </is>
      </c>
      <c r="O1513" s="39" t="n">
        <v>7848.68</v>
      </c>
    </row>
    <row r="1514">
      <c r="A1514" t="inlineStr">
        <is>
          <t>ENC119199</t>
        </is>
      </c>
      <c r="B1514" t="inlineStr">
        <is>
          <t>PT13942</t>
        </is>
      </c>
      <c r="C1514" s="42" t="n">
        <v>45941</v>
      </c>
      <c r="D1514" s="42" t="n">
        <v>45944</v>
      </c>
      <c r="E1514" s="38" t="n">
        <v>3</v>
      </c>
      <c r="F1514" t="inlineStr">
        <is>
          <t>Inpatient</t>
        </is>
      </c>
      <c r="G1514" t="inlineStr">
        <is>
          <t>Ashby Falls Community Hospital</t>
        </is>
      </c>
      <c r="H1514" t="inlineStr">
        <is>
          <t>Medical-Surgical</t>
        </is>
      </c>
      <c r="I1514" t="inlineStr">
        <is>
          <t>Medicine</t>
        </is>
      </c>
      <c r="J1514" t="inlineStr">
        <is>
          <t>Murray, Stephanie</t>
        </is>
      </c>
      <c r="K1514" t="inlineStr">
        <is>
          <t>N39.0</t>
        </is>
      </c>
      <c r="L1514" t="inlineStr">
        <is>
          <t>Genitourinary</t>
        </is>
      </c>
      <c r="M1514" t="inlineStr">
        <is>
          <t>Silverline Medicare Advantage</t>
        </is>
      </c>
      <c r="N1514" t="inlineStr">
        <is>
          <t>Medicare Advantage</t>
        </is>
      </c>
      <c r="O1514" s="39" t="n">
        <v>19557.32</v>
      </c>
      <c r="P1514" t="inlineStr">
        <is>
          <t>N</t>
        </is>
      </c>
    </row>
    <row r="1515">
      <c r="A1515" t="inlineStr">
        <is>
          <t>ENC119204</t>
        </is>
      </c>
      <c r="B1515" t="inlineStr">
        <is>
          <t>PT12761</t>
        </is>
      </c>
      <c r="C1515" s="42" t="n">
        <v>45942</v>
      </c>
      <c r="D1515" s="42" t="n">
        <v>45942</v>
      </c>
      <c r="E1515" s="38" t="n">
        <v>0</v>
      </c>
      <c r="F1515" t="inlineStr">
        <is>
          <t>Emergency</t>
        </is>
      </c>
      <c r="G1515" t="inlineStr">
        <is>
          <t>Ashby Falls Community Hospital</t>
        </is>
      </c>
      <c r="H1515" t="inlineStr">
        <is>
          <t>Emergency Department</t>
        </is>
      </c>
      <c r="I1515" t="inlineStr">
        <is>
          <t>Emergency</t>
        </is>
      </c>
      <c r="J1515" t="inlineStr">
        <is>
          <t>Marshall, Lisa</t>
        </is>
      </c>
      <c r="K1515" t="inlineStr">
        <is>
          <t>R10.9</t>
        </is>
      </c>
      <c r="L1515" t="inlineStr">
        <is>
          <t>Symptoms &amp; Signs</t>
        </is>
      </c>
      <c r="M1515" t="inlineStr">
        <is>
          <t>Evergreen Mutual Insurance</t>
        </is>
      </c>
      <c r="N1515" t="inlineStr">
        <is>
          <t>Commercial</t>
        </is>
      </c>
      <c r="O1515" s="39" t="n">
        <v>2081.65</v>
      </c>
    </row>
    <row r="1516">
      <c r="A1516" t="inlineStr">
        <is>
          <t>ENC119211</t>
        </is>
      </c>
      <c r="B1516" t="inlineStr">
        <is>
          <t>PT13646</t>
        </is>
      </c>
      <c r="C1516" s="42" t="n">
        <v>45942</v>
      </c>
      <c r="D1516" s="42" t="n">
        <v>45942</v>
      </c>
      <c r="E1516" s="38" t="n">
        <v>0</v>
      </c>
      <c r="F1516" t="inlineStr">
        <is>
          <t>Emergency</t>
        </is>
      </c>
      <c r="G1516" t="inlineStr">
        <is>
          <t>Bluestone Memorial Hospital</t>
        </is>
      </c>
      <c r="H1516" t="inlineStr">
        <is>
          <t>Emergency Department</t>
        </is>
      </c>
      <c r="I1516" t="inlineStr">
        <is>
          <t>Emergency</t>
        </is>
      </c>
      <c r="J1516" t="inlineStr">
        <is>
          <t>Sullivan, Jacob</t>
        </is>
      </c>
      <c r="K1516" t="inlineStr">
        <is>
          <t>E11.65</t>
        </is>
      </c>
      <c r="L1516" t="inlineStr">
        <is>
          <t>Endocrine</t>
        </is>
      </c>
      <c r="M1516" t="inlineStr">
        <is>
          <t>Medicare</t>
        </is>
      </c>
      <c r="N1516" t="inlineStr">
        <is>
          <t>Government</t>
        </is>
      </c>
      <c r="O1516" s="39" t="n">
        <v>3780.81</v>
      </c>
    </row>
    <row r="1517">
      <c r="A1517" t="inlineStr">
        <is>
          <t>ENC119216</t>
        </is>
      </c>
      <c r="B1517" t="inlineStr">
        <is>
          <t>PT10582</t>
        </is>
      </c>
      <c r="C1517" s="42" t="n">
        <v>45943</v>
      </c>
      <c r="D1517" s="42" t="n">
        <v>45946</v>
      </c>
      <c r="E1517" s="38" t="n">
        <v>3</v>
      </c>
      <c r="F1517" t="inlineStr">
        <is>
          <t>Inpatient</t>
        </is>
      </c>
      <c r="G1517" t="inlineStr">
        <is>
          <t>Bluestone Memorial Hospital</t>
        </is>
      </c>
      <c r="H1517" t="inlineStr">
        <is>
          <t>Medical-Surgical 4 West</t>
        </is>
      </c>
      <c r="I1517" t="inlineStr">
        <is>
          <t>Medicine</t>
        </is>
      </c>
      <c r="J1517" t="inlineStr">
        <is>
          <t>Ramirez, Emma</t>
        </is>
      </c>
      <c r="K1517" t="inlineStr">
        <is>
          <t>N39.0</t>
        </is>
      </c>
      <c r="L1517" t="inlineStr">
        <is>
          <t>Genitourinary</t>
        </is>
      </c>
      <c r="M1517" t="inlineStr">
        <is>
          <t>Keystone Health Partners</t>
        </is>
      </c>
      <c r="N1517" t="inlineStr">
        <is>
          <t>Commercial</t>
        </is>
      </c>
      <c r="O1517" s="39" t="n">
        <v>14529.77</v>
      </c>
      <c r="P1517" t="inlineStr">
        <is>
          <t>N</t>
        </is>
      </c>
    </row>
    <row r="1518">
      <c r="A1518" t="inlineStr">
        <is>
          <t>ENC119229</t>
        </is>
      </c>
      <c r="B1518" t="inlineStr">
        <is>
          <t>PT13936</t>
        </is>
      </c>
      <c r="C1518" s="42" t="n">
        <v>45943</v>
      </c>
      <c r="D1518" s="42" t="n">
        <v>45953</v>
      </c>
      <c r="E1518" s="38" t="n">
        <v>10</v>
      </c>
      <c r="F1518" t="inlineStr">
        <is>
          <t>Inpatient</t>
        </is>
      </c>
      <c r="G1518" t="inlineStr">
        <is>
          <t>Bluestone Memorial Hospital</t>
        </is>
      </c>
      <c r="H1518" t="inlineStr">
        <is>
          <t>Medical-Surgical 4 West</t>
        </is>
      </c>
      <c r="I1518" t="inlineStr">
        <is>
          <t>Medicine</t>
        </is>
      </c>
      <c r="J1518" t="inlineStr">
        <is>
          <t>Cruz, Roger</t>
        </is>
      </c>
      <c r="K1518" t="inlineStr">
        <is>
          <t>J44.1</t>
        </is>
      </c>
      <c r="L1518" t="inlineStr">
        <is>
          <t>Respiratory</t>
        </is>
      </c>
      <c r="M1518" t="inlineStr">
        <is>
          <t>Medicare</t>
        </is>
      </c>
      <c r="N1518" t="inlineStr">
        <is>
          <t>Government</t>
        </is>
      </c>
      <c r="O1518" s="39" t="n">
        <v>41905.32</v>
      </c>
      <c r="P1518" t="inlineStr">
        <is>
          <t>Y</t>
        </is>
      </c>
    </row>
    <row r="1519">
      <c r="A1519" t="inlineStr">
        <is>
          <t>ENC119241</t>
        </is>
      </c>
      <c r="B1519" t="inlineStr">
        <is>
          <t>PT13295</t>
        </is>
      </c>
      <c r="C1519" s="42" t="n">
        <v>45943</v>
      </c>
      <c r="D1519" s="42" t="n">
        <v>45943</v>
      </c>
      <c r="E1519" s="38" t="n">
        <v>0</v>
      </c>
      <c r="F1519" t="inlineStr">
        <is>
          <t>Outpatient</t>
        </is>
      </c>
      <c r="G1519" t="inlineStr">
        <is>
          <t>Bluestone Outpatient Pavilion</t>
        </is>
      </c>
      <c r="H1519" t="inlineStr">
        <is>
          <t>Pediatric Clinic</t>
        </is>
      </c>
      <c r="I1519" t="inlineStr">
        <is>
          <t>Women &amp; Children</t>
        </is>
      </c>
      <c r="J1519" t="inlineStr">
        <is>
          <t>Brown, Stephanie</t>
        </is>
      </c>
      <c r="K1519" t="inlineStr">
        <is>
          <t>H66.90</t>
        </is>
      </c>
      <c r="L1519" t="inlineStr">
        <is>
          <t>Ear</t>
        </is>
      </c>
      <c r="M1519" t="inlineStr">
        <is>
          <t>Evergreen Mutual Insurance</t>
        </is>
      </c>
      <c r="N1519" t="inlineStr">
        <is>
          <t>Commercial</t>
        </is>
      </c>
      <c r="O1519" s="39" t="n">
        <v>218.23</v>
      </c>
    </row>
    <row r="1520">
      <c r="A1520" t="inlineStr">
        <is>
          <t>ENC119247</t>
        </is>
      </c>
      <c r="B1520" t="inlineStr">
        <is>
          <t>PT13035</t>
        </is>
      </c>
      <c r="C1520" s="42" t="n">
        <v>45943</v>
      </c>
      <c r="D1520" s="42" t="n">
        <v>45944</v>
      </c>
      <c r="E1520" s="38" t="n">
        <v>1</v>
      </c>
      <c r="F1520" t="inlineStr">
        <is>
          <t>Emergency</t>
        </is>
      </c>
      <c r="G1520" t="inlineStr">
        <is>
          <t>Bluestone Memorial Hospital</t>
        </is>
      </c>
      <c r="H1520" t="inlineStr">
        <is>
          <t>Emergency Department</t>
        </is>
      </c>
      <c r="I1520" t="inlineStr">
        <is>
          <t>Emergency</t>
        </is>
      </c>
      <c r="J1520" t="inlineStr">
        <is>
          <t>Elliott, Jesse</t>
        </is>
      </c>
      <c r="K1520" t="inlineStr">
        <is>
          <t>M54.50</t>
        </is>
      </c>
      <c r="L1520" t="inlineStr">
        <is>
          <t>Musculoskeletal</t>
        </is>
      </c>
      <c r="M1520" t="inlineStr">
        <is>
          <t>Medicare</t>
        </is>
      </c>
      <c r="N1520" t="inlineStr">
        <is>
          <t>Government</t>
        </is>
      </c>
      <c r="O1520" s="39" t="n">
        <v>2894.87</v>
      </c>
    </row>
    <row r="1521">
      <c r="A1521" t="inlineStr">
        <is>
          <t>ENC119252</t>
        </is>
      </c>
      <c r="B1521" t="inlineStr">
        <is>
          <t>PT12859</t>
        </is>
      </c>
      <c r="C1521" s="42" t="n">
        <v>45944</v>
      </c>
      <c r="D1521" s="42" t="n">
        <v>45944</v>
      </c>
      <c r="E1521" s="38" t="n">
        <v>0</v>
      </c>
      <c r="F1521" t="inlineStr">
        <is>
          <t>Emergency</t>
        </is>
      </c>
      <c r="G1521" t="inlineStr">
        <is>
          <t>Bluestone Memorial Hospital</t>
        </is>
      </c>
      <c r="H1521" t="inlineStr">
        <is>
          <t>Emergency Department</t>
        </is>
      </c>
      <c r="I1521" t="inlineStr">
        <is>
          <t>Emergency</t>
        </is>
      </c>
      <c r="J1521" t="inlineStr">
        <is>
          <t>Payne, Nancy</t>
        </is>
      </c>
      <c r="K1521" t="inlineStr">
        <is>
          <t>J21.9</t>
        </is>
      </c>
      <c r="L1521" t="inlineStr">
        <is>
          <t>Respiratory</t>
        </is>
      </c>
      <c r="M1521" t="inlineStr">
        <is>
          <t>Evergreen Mutual Insurance</t>
        </is>
      </c>
      <c r="N1521" t="inlineStr">
        <is>
          <t>Commercial</t>
        </is>
      </c>
      <c r="O1521" s="39" t="n">
        <v>2743.67</v>
      </c>
    </row>
    <row r="1522">
      <c r="A1522" t="inlineStr">
        <is>
          <t>ENC119254</t>
        </is>
      </c>
      <c r="B1522" t="inlineStr">
        <is>
          <t>PT13108</t>
        </is>
      </c>
      <c r="C1522" s="42" t="n">
        <v>45944</v>
      </c>
      <c r="D1522" s="42" t="n">
        <v>45944</v>
      </c>
      <c r="E1522" s="38" t="n">
        <v>0</v>
      </c>
      <c r="F1522" t="inlineStr">
        <is>
          <t>Outpatient</t>
        </is>
      </c>
      <c r="G1522" t="inlineStr">
        <is>
          <t>Bluestone Outpatient Pavilion</t>
        </is>
      </c>
      <c r="H1522" t="inlineStr">
        <is>
          <t>Pediatric Clinic</t>
        </is>
      </c>
      <c r="I1522" t="inlineStr">
        <is>
          <t>Women &amp; Children</t>
        </is>
      </c>
      <c r="J1522" t="inlineStr">
        <is>
          <t>Aguilar, Linh</t>
        </is>
      </c>
      <c r="K1522" t="inlineStr">
        <is>
          <t>Z00.129</t>
        </is>
      </c>
      <c r="L1522" t="inlineStr">
        <is>
          <t>Factors Influencing Health</t>
        </is>
      </c>
      <c r="M1522" t="inlineStr">
        <is>
          <t>State Medicaid</t>
        </is>
      </c>
      <c r="N1522" t="inlineStr">
        <is>
          <t>Government</t>
        </is>
      </c>
      <c r="O1522" s="39" t="n">
        <v>267.57</v>
      </c>
    </row>
    <row r="1523">
      <c r="A1523" t="inlineStr">
        <is>
          <t>ENC119257</t>
        </is>
      </c>
      <c r="B1523" t="inlineStr">
        <is>
          <t>PT11380</t>
        </is>
      </c>
      <c r="C1523" s="42" t="n">
        <v>45944</v>
      </c>
      <c r="D1523" s="42" t="n">
        <v>45944</v>
      </c>
      <c r="E1523" s="38" t="n">
        <v>0</v>
      </c>
      <c r="F1523" t="inlineStr">
        <is>
          <t>Outpatient</t>
        </is>
      </c>
      <c r="G1523" t="inlineStr">
        <is>
          <t>Bluestone Outpatient Pavilion</t>
        </is>
      </c>
      <c r="H1523" t="inlineStr">
        <is>
          <t>Primary Care Clinic</t>
        </is>
      </c>
      <c r="I1523" t="inlineStr">
        <is>
          <t>Ambulatory</t>
        </is>
      </c>
      <c r="J1523" t="inlineStr">
        <is>
          <t>Arnold, Catherine</t>
        </is>
      </c>
      <c r="K1523" t="inlineStr">
        <is>
          <t>I10</t>
        </is>
      </c>
      <c r="L1523" t="inlineStr">
        <is>
          <t>Circulatory</t>
        </is>
      </c>
      <c r="M1523" t="inlineStr">
        <is>
          <t>Medicare</t>
        </is>
      </c>
      <c r="N1523" t="inlineStr">
        <is>
          <t>Government</t>
        </is>
      </c>
      <c r="O1523" s="39" t="n">
        <v>244.79</v>
      </c>
    </row>
    <row r="1524">
      <c r="A1524" t="inlineStr">
        <is>
          <t>ENC119258</t>
        </is>
      </c>
      <c r="B1524" t="inlineStr">
        <is>
          <t>PT13014</t>
        </is>
      </c>
      <c r="C1524" s="42" t="n">
        <v>45944</v>
      </c>
      <c r="D1524" s="42" t="n">
        <v>45944</v>
      </c>
      <c r="E1524" s="38" t="n">
        <v>0</v>
      </c>
      <c r="F1524" t="inlineStr">
        <is>
          <t>Outpatient</t>
        </is>
      </c>
      <c r="G1524" t="inlineStr">
        <is>
          <t>Bluestone Outpatient Pavilion</t>
        </is>
      </c>
      <c r="H1524" t="inlineStr">
        <is>
          <t>Primary Care Clinic</t>
        </is>
      </c>
      <c r="I1524" t="inlineStr">
        <is>
          <t>Ambulatory</t>
        </is>
      </c>
      <c r="J1524" t="inlineStr">
        <is>
          <t>Petrov, Doris</t>
        </is>
      </c>
      <c r="K1524" t="inlineStr">
        <is>
          <t>G43.909</t>
        </is>
      </c>
      <c r="L1524" t="inlineStr">
        <is>
          <t>Nervous System</t>
        </is>
      </c>
      <c r="M1524" t="inlineStr">
        <is>
          <t>State Medicaid</t>
        </is>
      </c>
      <c r="N1524" t="inlineStr">
        <is>
          <t>Government</t>
        </is>
      </c>
      <c r="O1524" s="39" t="n">
        <v>328.46</v>
      </c>
    </row>
    <row r="1525">
      <c r="A1525" t="inlineStr">
        <is>
          <t>ENC119266</t>
        </is>
      </c>
      <c r="B1525" t="inlineStr">
        <is>
          <t>PT10444</t>
        </is>
      </c>
      <c r="C1525" s="42" t="n">
        <v>45944</v>
      </c>
      <c r="D1525" s="42" t="n">
        <v>45944</v>
      </c>
      <c r="E1525" s="38" t="n">
        <v>0</v>
      </c>
      <c r="F1525" t="inlineStr">
        <is>
          <t>Outpatient</t>
        </is>
      </c>
      <c r="G1525" t="inlineStr">
        <is>
          <t>Bluestone Outpatient Pavilion</t>
        </is>
      </c>
      <c r="H1525" t="inlineStr">
        <is>
          <t>Primary Care Clinic</t>
        </is>
      </c>
      <c r="I1525" t="inlineStr">
        <is>
          <t>Ambulatory</t>
        </is>
      </c>
      <c r="J1525" t="inlineStr">
        <is>
          <t>Nguyen, Isabella</t>
        </is>
      </c>
      <c r="K1525" t="inlineStr">
        <is>
          <t>J06.9</t>
        </is>
      </c>
      <c r="L1525" t="inlineStr">
        <is>
          <t>Respiratory</t>
        </is>
      </c>
      <c r="M1525" t="inlineStr">
        <is>
          <t>Medicare</t>
        </is>
      </c>
      <c r="N1525" t="inlineStr">
        <is>
          <t>Government</t>
        </is>
      </c>
      <c r="O1525" s="39" t="n">
        <v>353.81</v>
      </c>
    </row>
    <row r="1526">
      <c r="A1526" t="inlineStr">
        <is>
          <t>ENC119269</t>
        </is>
      </c>
      <c r="B1526" t="inlineStr">
        <is>
          <t>PT11774</t>
        </is>
      </c>
      <c r="C1526" s="42" t="n">
        <v>45944</v>
      </c>
      <c r="D1526" s="42" t="n">
        <v>45944</v>
      </c>
      <c r="E1526" s="38" t="n">
        <v>0</v>
      </c>
      <c r="F1526" t="inlineStr">
        <is>
          <t>Outpatient</t>
        </is>
      </c>
      <c r="G1526" t="inlineStr">
        <is>
          <t>Bluestone Outpatient Pavilion</t>
        </is>
      </c>
      <c r="H1526" t="inlineStr">
        <is>
          <t>Infusion &amp; Oncology Clinic</t>
        </is>
      </c>
      <c r="I1526" t="inlineStr">
        <is>
          <t>Oncology</t>
        </is>
      </c>
      <c r="J1526" t="inlineStr">
        <is>
          <t>Cooper, Logan</t>
        </is>
      </c>
      <c r="K1526" t="inlineStr">
        <is>
          <t>C50.911</t>
        </is>
      </c>
      <c r="L1526" t="inlineStr">
        <is>
          <t>Neoplasms</t>
        </is>
      </c>
      <c r="M1526" t="inlineStr">
        <is>
          <t>Summit Choice PPO</t>
        </is>
      </c>
      <c r="N1526" t="inlineStr">
        <is>
          <t>Commercial</t>
        </is>
      </c>
      <c r="O1526" s="39" t="n">
        <v>376.58</v>
      </c>
    </row>
    <row r="1527">
      <c r="A1527" t="inlineStr">
        <is>
          <t>ENC119271</t>
        </is>
      </c>
      <c r="B1527" t="inlineStr">
        <is>
          <t>PT12367</t>
        </is>
      </c>
      <c r="C1527" s="42" t="n">
        <v>45944</v>
      </c>
      <c r="D1527" s="42" t="n">
        <v>45950</v>
      </c>
      <c r="E1527" s="38" t="n">
        <v>6</v>
      </c>
      <c r="F1527" t="inlineStr">
        <is>
          <t>Inpatient</t>
        </is>
      </c>
      <c r="G1527" t="inlineStr">
        <is>
          <t>Bluestone Memorial Hospital</t>
        </is>
      </c>
      <c r="H1527" t="inlineStr">
        <is>
          <t>Medical-Surgical 5 East</t>
        </is>
      </c>
      <c r="I1527" t="inlineStr">
        <is>
          <t>Medicine</t>
        </is>
      </c>
      <c r="J1527" t="inlineStr">
        <is>
          <t>Hunt, Richard</t>
        </is>
      </c>
      <c r="K1527" t="inlineStr">
        <is>
          <t>J44.1</t>
        </is>
      </c>
      <c r="L1527" t="inlineStr">
        <is>
          <t>Respiratory</t>
        </is>
      </c>
      <c r="M1527" t="inlineStr">
        <is>
          <t>Medicare</t>
        </is>
      </c>
      <c r="N1527" t="inlineStr">
        <is>
          <t>Government</t>
        </is>
      </c>
      <c r="O1527" s="39" t="n">
        <v>12869.99</v>
      </c>
      <c r="P1527" t="inlineStr">
        <is>
          <t>N</t>
        </is>
      </c>
    </row>
    <row r="1528">
      <c r="A1528" t="inlineStr">
        <is>
          <t>ENC119273</t>
        </is>
      </c>
      <c r="B1528" t="inlineStr">
        <is>
          <t>PT13784</t>
        </is>
      </c>
      <c r="C1528" s="42" t="n">
        <v>45944</v>
      </c>
      <c r="D1528" s="42" t="n">
        <v>45944</v>
      </c>
      <c r="E1528" s="38" t="n">
        <v>0</v>
      </c>
      <c r="F1528" t="inlineStr">
        <is>
          <t>Outpatient</t>
        </is>
      </c>
      <c r="G1528" t="inlineStr">
        <is>
          <t>Bluestone Outpatient Pavilion</t>
        </is>
      </c>
      <c r="H1528" t="inlineStr">
        <is>
          <t>Primary Care Clinic</t>
        </is>
      </c>
      <c r="I1528" t="inlineStr">
        <is>
          <t>Ambulatory</t>
        </is>
      </c>
      <c r="J1528" t="inlineStr">
        <is>
          <t>Bennett, Randy</t>
        </is>
      </c>
      <c r="K1528" t="inlineStr">
        <is>
          <t>I10</t>
        </is>
      </c>
      <c r="L1528" t="inlineStr">
        <is>
          <t>Circulatory</t>
        </is>
      </c>
      <c r="M1528" t="inlineStr">
        <is>
          <t>Medicare</t>
        </is>
      </c>
      <c r="N1528" t="inlineStr">
        <is>
          <t>Government</t>
        </is>
      </c>
      <c r="O1528" s="39" t="n">
        <v>342.05</v>
      </c>
    </row>
    <row r="1529">
      <c r="A1529" t="inlineStr">
        <is>
          <t>ENC119281</t>
        </is>
      </c>
      <c r="B1529" t="inlineStr">
        <is>
          <t>PT10686</t>
        </is>
      </c>
      <c r="C1529" s="42" t="n">
        <v>45944</v>
      </c>
      <c r="D1529" s="42" t="n">
        <v>45948</v>
      </c>
      <c r="E1529" s="38" t="n">
        <v>4</v>
      </c>
      <c r="F1529" t="inlineStr">
        <is>
          <t>Inpatient</t>
        </is>
      </c>
      <c r="G1529" t="inlineStr">
        <is>
          <t>Bluestone Memorial Hospital</t>
        </is>
      </c>
      <c r="H1529" t="inlineStr">
        <is>
          <t>Orthopedics &amp; Spine</t>
        </is>
      </c>
      <c r="I1529" t="inlineStr">
        <is>
          <t>Orthopedics</t>
        </is>
      </c>
      <c r="J1529" t="inlineStr">
        <is>
          <t>Santos, Grace</t>
        </is>
      </c>
      <c r="K1529" t="inlineStr">
        <is>
          <t>S72.001A</t>
        </is>
      </c>
      <c r="L1529" t="inlineStr">
        <is>
          <t>Injury</t>
        </is>
      </c>
      <c r="M1529" t="inlineStr">
        <is>
          <t>Evergreen Mutual Insurance</t>
        </is>
      </c>
      <c r="N1529" t="inlineStr">
        <is>
          <t>Commercial</t>
        </is>
      </c>
      <c r="O1529" s="39" t="n">
        <v>44772.24</v>
      </c>
      <c r="P1529" t="inlineStr">
        <is>
          <t>Y</t>
        </is>
      </c>
    </row>
    <row r="1530">
      <c r="A1530" t="inlineStr">
        <is>
          <t>ENC119293</t>
        </is>
      </c>
      <c r="B1530" t="inlineStr">
        <is>
          <t>PT10665</t>
        </is>
      </c>
      <c r="C1530" s="42" t="n">
        <v>45945</v>
      </c>
      <c r="D1530" s="42" t="n">
        <v>45945</v>
      </c>
      <c r="E1530" s="38" t="n">
        <v>0</v>
      </c>
      <c r="F1530" t="inlineStr">
        <is>
          <t>Outpatient</t>
        </is>
      </c>
      <c r="G1530" t="inlineStr">
        <is>
          <t>Bluestone Outpatient Pavilion</t>
        </is>
      </c>
      <c r="H1530" t="inlineStr">
        <is>
          <t>Pediatric Clinic</t>
        </is>
      </c>
      <c r="I1530" t="inlineStr">
        <is>
          <t>Women &amp; Children</t>
        </is>
      </c>
      <c r="J1530" t="inlineStr">
        <is>
          <t>Alvarez, Susan</t>
        </is>
      </c>
      <c r="K1530" t="inlineStr">
        <is>
          <t>Z00.129</t>
        </is>
      </c>
      <c r="L1530" t="inlineStr">
        <is>
          <t>Factors Influencing Health</t>
        </is>
      </c>
      <c r="M1530" t="inlineStr">
        <is>
          <t>Keystone Health Partners</t>
        </is>
      </c>
      <c r="N1530" t="inlineStr">
        <is>
          <t>Commercial</t>
        </is>
      </c>
      <c r="O1530" s="39" t="n">
        <v>259.06</v>
      </c>
    </row>
    <row r="1531">
      <c r="A1531" t="inlineStr">
        <is>
          <t>ENC119295</t>
        </is>
      </c>
      <c r="B1531" t="inlineStr">
        <is>
          <t>PT10605</t>
        </is>
      </c>
      <c r="C1531" s="42" t="n">
        <v>45945</v>
      </c>
      <c r="D1531" s="42" t="n">
        <v>45945</v>
      </c>
      <c r="E1531" s="38" t="n">
        <v>0</v>
      </c>
      <c r="F1531" t="inlineStr">
        <is>
          <t>Outpatient</t>
        </is>
      </c>
      <c r="G1531" t="inlineStr">
        <is>
          <t>Bluestone Outpatient Pavilion</t>
        </is>
      </c>
      <c r="H1531" t="inlineStr">
        <is>
          <t>Primary Care Clinic</t>
        </is>
      </c>
      <c r="I1531" t="inlineStr">
        <is>
          <t>Ambulatory</t>
        </is>
      </c>
      <c r="J1531" t="inlineStr">
        <is>
          <t>Santos, Edward</t>
        </is>
      </c>
      <c r="K1531" t="inlineStr">
        <is>
          <t>Z00.00</t>
        </is>
      </c>
      <c r="L1531" t="inlineStr">
        <is>
          <t>Factors Influencing Health</t>
        </is>
      </c>
      <c r="M1531" t="inlineStr">
        <is>
          <t>Silverline Medicare Advantage</t>
        </is>
      </c>
      <c r="N1531" t="inlineStr">
        <is>
          <t>Medicare Advantage</t>
        </is>
      </c>
      <c r="O1531" s="39" t="n">
        <v>223.1</v>
      </c>
    </row>
    <row r="1532">
      <c r="A1532" t="inlineStr">
        <is>
          <t>ENC119303</t>
        </is>
      </c>
      <c r="B1532" t="inlineStr">
        <is>
          <t>PT12753</t>
        </is>
      </c>
      <c r="C1532" s="42" t="n">
        <v>45945</v>
      </c>
      <c r="D1532" s="42" t="n">
        <v>45945</v>
      </c>
      <c r="E1532" s="38" t="n">
        <v>0</v>
      </c>
      <c r="F1532" t="inlineStr">
        <is>
          <t>Outpatient</t>
        </is>
      </c>
      <c r="G1532" t="inlineStr">
        <is>
          <t>Bluestone Outpatient Pavilion</t>
        </is>
      </c>
      <c r="H1532" t="inlineStr">
        <is>
          <t>Pediatric Clinic</t>
        </is>
      </c>
      <c r="I1532" t="inlineStr">
        <is>
          <t>Women &amp; Children</t>
        </is>
      </c>
      <c r="J1532" t="inlineStr">
        <is>
          <t>Wallace, Kevin</t>
        </is>
      </c>
      <c r="K1532" t="inlineStr">
        <is>
          <t>Z23</t>
        </is>
      </c>
      <c r="L1532" t="inlineStr">
        <is>
          <t>Factors Influencing Health</t>
        </is>
      </c>
      <c r="M1532" t="inlineStr">
        <is>
          <t>State Medicaid</t>
        </is>
      </c>
      <c r="N1532" t="inlineStr">
        <is>
          <t>Government</t>
        </is>
      </c>
      <c r="O1532" s="39" t="n">
        <v>143.41</v>
      </c>
    </row>
    <row r="1533">
      <c r="A1533" t="inlineStr">
        <is>
          <t>ENC119309</t>
        </is>
      </c>
      <c r="B1533" t="inlineStr">
        <is>
          <t>PT10966</t>
        </is>
      </c>
      <c r="C1533" s="42" t="n">
        <v>45945</v>
      </c>
      <c r="D1533" s="42" t="n">
        <v>45948</v>
      </c>
      <c r="E1533" s="38" t="n">
        <v>3</v>
      </c>
      <c r="F1533" t="inlineStr">
        <is>
          <t>Inpatient</t>
        </is>
      </c>
      <c r="G1533" t="inlineStr">
        <is>
          <t>Cedar Ridge Medical Center</t>
        </is>
      </c>
      <c r="H1533" t="inlineStr">
        <is>
          <t>Medical-Surgical</t>
        </is>
      </c>
      <c r="I1533" t="inlineStr">
        <is>
          <t>Medicine</t>
        </is>
      </c>
      <c r="J1533" t="inlineStr">
        <is>
          <t>Hansen, Wei</t>
        </is>
      </c>
      <c r="K1533" t="inlineStr">
        <is>
          <t>J44.1</t>
        </is>
      </c>
      <c r="L1533" t="inlineStr">
        <is>
          <t>Respiratory</t>
        </is>
      </c>
      <c r="M1533" t="inlineStr">
        <is>
          <t>Keystone Health Partners</t>
        </is>
      </c>
      <c r="N1533" t="inlineStr">
        <is>
          <t>Commercial</t>
        </is>
      </c>
      <c r="O1533" s="39" t="n">
        <v>14941.67</v>
      </c>
      <c r="P1533" t="inlineStr">
        <is>
          <t>N</t>
        </is>
      </c>
    </row>
    <row r="1534">
      <c r="A1534" t="inlineStr">
        <is>
          <t>ENC119315</t>
        </is>
      </c>
      <c r="B1534" t="inlineStr">
        <is>
          <t>PT11270</t>
        </is>
      </c>
      <c r="C1534" s="42" t="n">
        <v>45945</v>
      </c>
      <c r="D1534" s="42" t="n">
        <v>45946</v>
      </c>
      <c r="E1534" s="38" t="n">
        <v>1</v>
      </c>
      <c r="F1534" t="inlineStr">
        <is>
          <t>Observation</t>
        </is>
      </c>
      <c r="G1534" t="inlineStr">
        <is>
          <t>Bluestone Memorial Hospital</t>
        </is>
      </c>
      <c r="H1534" t="inlineStr">
        <is>
          <t>Observation Unit</t>
        </is>
      </c>
      <c r="I1534" t="inlineStr">
        <is>
          <t>Medicine</t>
        </is>
      </c>
      <c r="J1534" t="inlineStr">
        <is>
          <t>Evans, Charles</t>
        </is>
      </c>
      <c r="K1534" t="inlineStr">
        <is>
          <t>I48.91</t>
        </is>
      </c>
      <c r="L1534" t="inlineStr">
        <is>
          <t>Circulatory</t>
        </is>
      </c>
      <c r="M1534" t="inlineStr">
        <is>
          <t>Medicare</t>
        </is>
      </c>
      <c r="N1534" t="inlineStr">
        <is>
          <t>Government</t>
        </is>
      </c>
      <c r="O1534" s="39" t="n">
        <v>9500.469999999999</v>
      </c>
    </row>
    <row r="1535">
      <c r="A1535" t="inlineStr">
        <is>
          <t>ENC119316</t>
        </is>
      </c>
      <c r="B1535" t="inlineStr">
        <is>
          <t>PT11286</t>
        </is>
      </c>
      <c r="C1535" s="42" t="n">
        <v>45945</v>
      </c>
      <c r="D1535" s="42" t="n">
        <v>45946</v>
      </c>
      <c r="E1535" s="38" t="n">
        <v>1</v>
      </c>
      <c r="F1535" t="inlineStr">
        <is>
          <t>Emergency</t>
        </is>
      </c>
      <c r="G1535" t="inlineStr">
        <is>
          <t>Bluestone Memorial Hospital</t>
        </is>
      </c>
      <c r="H1535" t="inlineStr">
        <is>
          <t>Emergency Department</t>
        </is>
      </c>
      <c r="I1535" t="inlineStr">
        <is>
          <t>Emergency</t>
        </is>
      </c>
      <c r="J1535" t="inlineStr">
        <is>
          <t>Payne, Nancy</t>
        </is>
      </c>
      <c r="K1535" t="inlineStr">
        <is>
          <t>J06.9</t>
        </is>
      </c>
      <c r="L1535" t="inlineStr">
        <is>
          <t>Respiratory</t>
        </is>
      </c>
      <c r="M1535" t="inlineStr">
        <is>
          <t>State Medicaid</t>
        </is>
      </c>
      <c r="N1535" t="inlineStr">
        <is>
          <t>Government</t>
        </is>
      </c>
      <c r="O1535" s="39" t="n">
        <v>953.97</v>
      </c>
    </row>
    <row r="1536">
      <c r="A1536" t="inlineStr">
        <is>
          <t>ENC119319</t>
        </is>
      </c>
      <c r="B1536" t="inlineStr">
        <is>
          <t>PT11904</t>
        </is>
      </c>
      <c r="C1536" s="42" t="n">
        <v>45946</v>
      </c>
      <c r="D1536" s="42" t="n">
        <v>45946</v>
      </c>
      <c r="E1536" s="38" t="n">
        <v>0</v>
      </c>
      <c r="F1536" t="inlineStr">
        <is>
          <t>Emergency</t>
        </is>
      </c>
      <c r="G1536" t="inlineStr">
        <is>
          <t>Bluestone Memorial Hospital</t>
        </is>
      </c>
      <c r="H1536" t="inlineStr">
        <is>
          <t>Emergency Department</t>
        </is>
      </c>
      <c r="I1536" t="inlineStr">
        <is>
          <t>Emergency</t>
        </is>
      </c>
      <c r="J1536" t="inlineStr">
        <is>
          <t>Sullivan, Jacob</t>
        </is>
      </c>
      <c r="K1536" t="inlineStr">
        <is>
          <t>M54.50</t>
        </is>
      </c>
      <c r="L1536" t="inlineStr">
        <is>
          <t>Musculoskeletal</t>
        </is>
      </c>
      <c r="M1536" t="inlineStr">
        <is>
          <t>Evergreen Mutual Insurance</t>
        </is>
      </c>
      <c r="N1536" t="inlineStr">
        <is>
          <t>Commercial</t>
        </is>
      </c>
      <c r="O1536" s="39" t="n">
        <v>3743.61</v>
      </c>
    </row>
    <row r="1537">
      <c r="A1537" t="inlineStr">
        <is>
          <t>ENC119318</t>
        </is>
      </c>
      <c r="B1537" t="inlineStr">
        <is>
          <t>PT10458</t>
        </is>
      </c>
      <c r="C1537" s="42" t="n">
        <v>45946</v>
      </c>
      <c r="D1537" s="42" t="n">
        <v>45951</v>
      </c>
      <c r="E1537" s="38" t="n">
        <v>5</v>
      </c>
      <c r="F1537" t="inlineStr">
        <is>
          <t>Inpatient</t>
        </is>
      </c>
      <c r="G1537" t="inlineStr">
        <is>
          <t>Bluestone Memorial Hospital</t>
        </is>
      </c>
      <c r="H1537" t="inlineStr">
        <is>
          <t>Medical-Surgical 5 East</t>
        </is>
      </c>
      <c r="I1537" t="inlineStr">
        <is>
          <t>Medicine</t>
        </is>
      </c>
      <c r="J1537" t="inlineStr">
        <is>
          <t>Alvarado, Tyler</t>
        </is>
      </c>
      <c r="K1537" t="inlineStr">
        <is>
          <t>E86.0</t>
        </is>
      </c>
      <c r="L1537" t="inlineStr">
        <is>
          <t>Endocrine</t>
        </is>
      </c>
      <c r="M1537" t="inlineStr">
        <is>
          <t>Keystone Health Partners</t>
        </is>
      </c>
      <c r="N1537" t="inlineStr">
        <is>
          <t>Commercial</t>
        </is>
      </c>
      <c r="O1537" s="39" t="n">
        <v>13357.39</v>
      </c>
      <c r="P1537" t="inlineStr">
        <is>
          <t>N</t>
        </is>
      </c>
    </row>
    <row r="1538">
      <c r="A1538" t="inlineStr">
        <is>
          <t>ENC119321</t>
        </is>
      </c>
      <c r="B1538" t="inlineStr">
        <is>
          <t>PT13923</t>
        </is>
      </c>
      <c r="C1538" s="42" t="n">
        <v>45946</v>
      </c>
      <c r="D1538" s="42" t="n">
        <v>45946</v>
      </c>
      <c r="E1538" s="38" t="n">
        <v>0</v>
      </c>
      <c r="F1538" t="inlineStr">
        <is>
          <t>Outpatient</t>
        </is>
      </c>
      <c r="G1538" t="inlineStr">
        <is>
          <t>Bluestone Outpatient Pavilion</t>
        </is>
      </c>
      <c r="H1538" t="inlineStr">
        <is>
          <t>Endocrinology &amp; Diabetes Clinic</t>
        </is>
      </c>
      <c r="I1538" t="inlineStr">
        <is>
          <t>Ambulatory</t>
        </is>
      </c>
      <c r="J1538" t="inlineStr">
        <is>
          <t>Lee, Amber</t>
        </is>
      </c>
      <c r="K1538" t="inlineStr">
        <is>
          <t>E11.9</t>
        </is>
      </c>
      <c r="L1538" t="inlineStr">
        <is>
          <t>Endocrine</t>
        </is>
      </c>
      <c r="M1538" t="inlineStr">
        <is>
          <t>Self-Pay</t>
        </is>
      </c>
      <c r="N1538" t="inlineStr">
        <is>
          <t>Self-Pay</t>
        </is>
      </c>
      <c r="O1538" s="39" t="n">
        <v>313.65</v>
      </c>
    </row>
    <row r="1539">
      <c r="A1539" t="inlineStr">
        <is>
          <t>ENC119323</t>
        </is>
      </c>
      <c r="B1539" t="inlineStr">
        <is>
          <t>PT11404</t>
        </is>
      </c>
      <c r="C1539" s="42" t="n">
        <v>45946</v>
      </c>
      <c r="D1539" s="42" t="n">
        <v>45946</v>
      </c>
      <c r="E1539" s="38" t="n">
        <v>0</v>
      </c>
      <c r="F1539" t="inlineStr">
        <is>
          <t>Outpatient</t>
        </is>
      </c>
      <c r="G1539" t="inlineStr">
        <is>
          <t>Bluestone Outpatient Pavilion</t>
        </is>
      </c>
      <c r="H1539" t="inlineStr">
        <is>
          <t>Primary Care Clinic</t>
        </is>
      </c>
      <c r="I1539" t="inlineStr">
        <is>
          <t>Ambulatory</t>
        </is>
      </c>
      <c r="J1539" t="inlineStr">
        <is>
          <t>Arnold, Catherine</t>
        </is>
      </c>
      <c r="K1539" t="inlineStr">
        <is>
          <t>I10</t>
        </is>
      </c>
      <c r="L1539" t="inlineStr">
        <is>
          <t>Circulatory</t>
        </is>
      </c>
      <c r="M1539" t="inlineStr">
        <is>
          <t>Medicare</t>
        </is>
      </c>
      <c r="N1539" t="inlineStr">
        <is>
          <t>Government</t>
        </is>
      </c>
      <c r="O1539" s="39" t="n">
        <v>297.83</v>
      </c>
    </row>
    <row r="1540">
      <c r="A1540" t="inlineStr">
        <is>
          <t>ENC119333</t>
        </is>
      </c>
      <c r="B1540" t="inlineStr">
        <is>
          <t>PT10151</t>
        </is>
      </c>
      <c r="C1540" s="42" t="n">
        <v>45946</v>
      </c>
      <c r="D1540" s="42" t="n">
        <v>45946</v>
      </c>
      <c r="E1540" s="38" t="n">
        <v>0</v>
      </c>
      <c r="F1540" t="inlineStr">
        <is>
          <t>Outpatient</t>
        </is>
      </c>
      <c r="G1540" t="inlineStr">
        <is>
          <t>Bluestone Outpatient Pavilion</t>
        </is>
      </c>
      <c r="H1540" t="inlineStr">
        <is>
          <t>Pediatric Clinic</t>
        </is>
      </c>
      <c r="I1540" t="inlineStr">
        <is>
          <t>Women &amp; Children</t>
        </is>
      </c>
      <c r="J1540" t="inlineStr">
        <is>
          <t>Alvarez, Susan</t>
        </is>
      </c>
      <c r="K1540" t="inlineStr">
        <is>
          <t>A08.4</t>
        </is>
      </c>
      <c r="L1540" t="inlineStr">
        <is>
          <t>Infectious</t>
        </is>
      </c>
      <c r="M1540" t="inlineStr">
        <is>
          <t>Summit Choice PPO</t>
        </is>
      </c>
      <c r="N1540" t="inlineStr">
        <is>
          <t>Commercial</t>
        </is>
      </c>
      <c r="O1540" s="39" t="n">
        <v>237.57</v>
      </c>
    </row>
    <row r="1541">
      <c r="A1541" t="inlineStr">
        <is>
          <t>ENC119346</t>
        </is>
      </c>
      <c r="B1541" t="inlineStr">
        <is>
          <t>PT10597</t>
        </is>
      </c>
      <c r="C1541" s="42" t="n">
        <v>45946</v>
      </c>
      <c r="D1541" s="42" t="n">
        <v>45951</v>
      </c>
      <c r="E1541" s="38" t="n">
        <v>5</v>
      </c>
      <c r="F1541" t="inlineStr">
        <is>
          <t>Inpatient</t>
        </is>
      </c>
      <c r="G1541" t="inlineStr">
        <is>
          <t>Bluestone Memorial Hospital</t>
        </is>
      </c>
      <c r="H1541" t="inlineStr">
        <is>
          <t>Cardiac Step-Down</t>
        </is>
      </c>
      <c r="I1541" t="inlineStr">
        <is>
          <t>Cardiovascular</t>
        </is>
      </c>
      <c r="J1541" t="inlineStr">
        <is>
          <t>Evans, Charles</t>
        </is>
      </c>
      <c r="K1541" t="inlineStr">
        <is>
          <t>I50.9</t>
        </is>
      </c>
      <c r="L1541" t="inlineStr">
        <is>
          <t>Circulatory</t>
        </is>
      </c>
      <c r="M1541" t="inlineStr">
        <is>
          <t>Medicare</t>
        </is>
      </c>
      <c r="N1541" t="inlineStr">
        <is>
          <t>Government</t>
        </is>
      </c>
      <c r="O1541" s="39" t="n">
        <v>37640.56</v>
      </c>
      <c r="P1541" t="inlineStr">
        <is>
          <t>Y</t>
        </is>
      </c>
    </row>
    <row r="1542">
      <c r="A1542" t="inlineStr">
        <is>
          <t>ENC119352</t>
        </is>
      </c>
      <c r="B1542" t="inlineStr">
        <is>
          <t>PT11979</t>
        </is>
      </c>
      <c r="C1542" s="42" t="n">
        <v>45947</v>
      </c>
      <c r="D1542" s="42" t="n">
        <v>45947</v>
      </c>
      <c r="E1542" s="38" t="n">
        <v>0</v>
      </c>
      <c r="F1542" t="inlineStr">
        <is>
          <t>Emergency</t>
        </is>
      </c>
      <c r="G1542" t="inlineStr">
        <is>
          <t>Bluestone Memorial Hospital</t>
        </is>
      </c>
      <c r="H1542" t="inlineStr">
        <is>
          <t>Emergency Department</t>
        </is>
      </c>
      <c r="I1542" t="inlineStr">
        <is>
          <t>Emergency</t>
        </is>
      </c>
      <c r="J1542" t="inlineStr">
        <is>
          <t>Payne, Nancy</t>
        </is>
      </c>
      <c r="K1542" t="inlineStr">
        <is>
          <t>G43.909</t>
        </is>
      </c>
      <c r="L1542" t="inlineStr">
        <is>
          <t>Nervous System</t>
        </is>
      </c>
      <c r="M1542" t="inlineStr">
        <is>
          <t>Summit Choice PPO</t>
        </is>
      </c>
      <c r="N1542" t="inlineStr">
        <is>
          <t>Commercial</t>
        </is>
      </c>
      <c r="O1542" s="39" t="n">
        <v>784.23</v>
      </c>
    </row>
    <row r="1543">
      <c r="A1543" t="inlineStr">
        <is>
          <t>ENC119357</t>
        </is>
      </c>
      <c r="B1543" t="inlineStr">
        <is>
          <t>PT13073</t>
        </is>
      </c>
      <c r="C1543" s="42" t="n">
        <v>45947</v>
      </c>
      <c r="D1543" s="42" t="n">
        <v>45947</v>
      </c>
      <c r="E1543" s="38" t="n">
        <v>0</v>
      </c>
      <c r="F1543" t="inlineStr">
        <is>
          <t>Emergency</t>
        </is>
      </c>
      <c r="G1543" t="inlineStr">
        <is>
          <t>Bluestone Memorial Hospital</t>
        </is>
      </c>
      <c r="H1543" t="inlineStr">
        <is>
          <t>Emergency Department</t>
        </is>
      </c>
      <c r="I1543" t="inlineStr">
        <is>
          <t>Emergency</t>
        </is>
      </c>
      <c r="J1543" t="inlineStr">
        <is>
          <t>Mendoza, Alexander</t>
        </is>
      </c>
      <c r="K1543" t="inlineStr">
        <is>
          <t>M54.50</t>
        </is>
      </c>
      <c r="L1543" t="inlineStr">
        <is>
          <t>Musculoskeletal</t>
        </is>
      </c>
      <c r="M1543" t="inlineStr">
        <is>
          <t>Silverline Medicare Advantage</t>
        </is>
      </c>
      <c r="N1543" t="inlineStr">
        <is>
          <t>Medicare Advantage</t>
        </is>
      </c>
      <c r="O1543" s="39" t="n">
        <v>1068.83</v>
      </c>
    </row>
    <row r="1544">
      <c r="A1544" t="inlineStr">
        <is>
          <t>ENC119360</t>
        </is>
      </c>
      <c r="B1544" t="inlineStr">
        <is>
          <t>PT13185</t>
        </is>
      </c>
      <c r="C1544" s="42" t="n">
        <v>45947</v>
      </c>
      <c r="D1544" s="42" t="n">
        <v>45947</v>
      </c>
      <c r="E1544" s="38" t="n">
        <v>0</v>
      </c>
      <c r="F1544" t="inlineStr">
        <is>
          <t>Outpatient</t>
        </is>
      </c>
      <c r="G1544" t="inlineStr">
        <is>
          <t>Bluestone Outpatient Pavilion</t>
        </is>
      </c>
      <c r="H1544" t="inlineStr">
        <is>
          <t>Endocrinology &amp; Diabetes Clinic</t>
        </is>
      </c>
      <c r="I1544" t="inlineStr">
        <is>
          <t>Ambulatory</t>
        </is>
      </c>
      <c r="J1544" t="inlineStr">
        <is>
          <t>Rivera, Scott</t>
        </is>
      </c>
      <c r="K1544" t="inlineStr">
        <is>
          <t>E11.65</t>
        </is>
      </c>
      <c r="L1544" t="inlineStr">
        <is>
          <t>Endocrine</t>
        </is>
      </c>
      <c r="M1544" t="inlineStr">
        <is>
          <t>Medicare</t>
        </is>
      </c>
      <c r="N1544" t="inlineStr">
        <is>
          <t>Government</t>
        </is>
      </c>
      <c r="O1544" s="39" t="n">
        <v>426.12</v>
      </c>
    </row>
    <row r="1545">
      <c r="A1545" t="inlineStr">
        <is>
          <t>ENC119363</t>
        </is>
      </c>
      <c r="B1545" t="inlineStr">
        <is>
          <t>PT12699</t>
        </is>
      </c>
      <c r="C1545" s="42" t="n">
        <v>45947</v>
      </c>
      <c r="D1545" s="42" t="n">
        <v>45947</v>
      </c>
      <c r="E1545" s="38" t="n">
        <v>0</v>
      </c>
      <c r="F1545" t="inlineStr">
        <is>
          <t>Outpatient</t>
        </is>
      </c>
      <c r="G1545" t="inlineStr">
        <is>
          <t>Bluestone Outpatient Pavilion</t>
        </is>
      </c>
      <c r="H1545" t="inlineStr">
        <is>
          <t>Primary Care Clinic</t>
        </is>
      </c>
      <c r="I1545" t="inlineStr">
        <is>
          <t>Ambulatory</t>
        </is>
      </c>
      <c r="J1545" t="inlineStr">
        <is>
          <t>Chen, Mei</t>
        </is>
      </c>
      <c r="K1545" t="inlineStr">
        <is>
          <t>E78.5</t>
        </is>
      </c>
      <c r="L1545" t="inlineStr">
        <is>
          <t>Endocrine</t>
        </is>
      </c>
      <c r="M1545" t="inlineStr">
        <is>
          <t>Silverline Medicare Advantage</t>
        </is>
      </c>
      <c r="N1545" t="inlineStr">
        <is>
          <t>Medicare Advantage</t>
        </is>
      </c>
      <c r="O1545" s="39" t="n">
        <v>211.72</v>
      </c>
    </row>
    <row r="1546">
      <c r="A1546" t="inlineStr">
        <is>
          <t>ENC119365</t>
        </is>
      </c>
      <c r="B1546" t="inlineStr">
        <is>
          <t>PT11721</t>
        </is>
      </c>
      <c r="C1546" s="42" t="n">
        <v>45947</v>
      </c>
      <c r="D1546" s="42" t="n">
        <v>45947</v>
      </c>
      <c r="E1546" s="38" t="n">
        <v>0</v>
      </c>
      <c r="F1546" t="inlineStr">
        <is>
          <t>Outpatient</t>
        </is>
      </c>
      <c r="G1546" t="inlineStr">
        <is>
          <t>Bluestone Outpatient Pavilion</t>
        </is>
      </c>
      <c r="H1546" t="inlineStr">
        <is>
          <t>Endocrinology &amp; Diabetes Clinic</t>
        </is>
      </c>
      <c r="I1546" t="inlineStr">
        <is>
          <t>Ambulatory</t>
        </is>
      </c>
      <c r="J1546" t="inlineStr">
        <is>
          <t>Woods, Larry</t>
        </is>
      </c>
      <c r="K1546" t="inlineStr">
        <is>
          <t>E11.9</t>
        </is>
      </c>
      <c r="L1546" t="inlineStr">
        <is>
          <t>Endocrine</t>
        </is>
      </c>
      <c r="M1546" t="inlineStr">
        <is>
          <t>State Medicaid</t>
        </is>
      </c>
      <c r="N1546" t="inlineStr">
        <is>
          <t>Government</t>
        </is>
      </c>
      <c r="O1546" s="39" t="n">
        <v>322.63</v>
      </c>
    </row>
    <row r="1547">
      <c r="A1547" t="inlineStr">
        <is>
          <t>ENC119369</t>
        </is>
      </c>
      <c r="B1547" t="inlineStr">
        <is>
          <t>PT11738</t>
        </is>
      </c>
      <c r="C1547" s="42" t="n">
        <v>45947</v>
      </c>
      <c r="D1547" s="42" t="n">
        <v>45947</v>
      </c>
      <c r="E1547" s="38" t="n">
        <v>0</v>
      </c>
      <c r="F1547" t="inlineStr">
        <is>
          <t>Emergency</t>
        </is>
      </c>
      <c r="G1547" t="inlineStr">
        <is>
          <t>Bluestone Memorial Hospital</t>
        </is>
      </c>
      <c r="H1547" t="inlineStr">
        <is>
          <t>Emergency Department</t>
        </is>
      </c>
      <c r="I1547" t="inlineStr">
        <is>
          <t>Emergency</t>
        </is>
      </c>
      <c r="J1547" t="inlineStr">
        <is>
          <t>Foster, Patrick</t>
        </is>
      </c>
      <c r="K1547" t="inlineStr">
        <is>
          <t>R55</t>
        </is>
      </c>
      <c r="L1547" t="inlineStr">
        <is>
          <t>Symptoms &amp; Signs</t>
        </is>
      </c>
      <c r="M1547" t="inlineStr">
        <is>
          <t>State Medicaid</t>
        </is>
      </c>
      <c r="N1547" t="inlineStr">
        <is>
          <t>Government</t>
        </is>
      </c>
      <c r="O1547" s="39" t="n">
        <v>2824.67</v>
      </c>
    </row>
    <row r="1548">
      <c r="A1548" t="inlineStr">
        <is>
          <t>ENC119371</t>
        </is>
      </c>
      <c r="B1548" t="inlineStr">
        <is>
          <t>PT12244</t>
        </is>
      </c>
      <c r="C1548" s="42" t="n">
        <v>45947</v>
      </c>
      <c r="D1548" s="42" t="n">
        <v>45947</v>
      </c>
      <c r="E1548" s="38" t="n">
        <v>0</v>
      </c>
      <c r="F1548" t="inlineStr">
        <is>
          <t>Emergency</t>
        </is>
      </c>
      <c r="G1548" t="inlineStr">
        <is>
          <t>Bluestone Memorial Hospital</t>
        </is>
      </c>
      <c r="H1548" t="inlineStr">
        <is>
          <t>Emergency Department</t>
        </is>
      </c>
      <c r="I1548" t="inlineStr">
        <is>
          <t>Emergency</t>
        </is>
      </c>
      <c r="J1548" t="inlineStr">
        <is>
          <t>Olson, Christian</t>
        </is>
      </c>
      <c r="K1548" t="inlineStr">
        <is>
          <t>J18.9</t>
        </is>
      </c>
      <c r="L1548" t="inlineStr">
        <is>
          <t>Respiratory</t>
        </is>
      </c>
      <c r="M1548" t="inlineStr">
        <is>
          <t>Silverline Medicare Advantage</t>
        </is>
      </c>
      <c r="N1548" t="inlineStr">
        <is>
          <t>Medicare Advantage</t>
        </is>
      </c>
      <c r="O1548" s="39" t="n">
        <v>1595.28</v>
      </c>
    </row>
    <row r="1549">
      <c r="A1549" t="inlineStr">
        <is>
          <t>ENC119373</t>
        </is>
      </c>
      <c r="B1549" t="inlineStr">
        <is>
          <t>PT11145</t>
        </is>
      </c>
      <c r="C1549" s="42" t="n">
        <v>45947</v>
      </c>
      <c r="D1549" s="42" t="n">
        <v>45947</v>
      </c>
      <c r="E1549" s="38" t="n">
        <v>0</v>
      </c>
      <c r="F1549" t="inlineStr">
        <is>
          <t>Emergency</t>
        </is>
      </c>
      <c r="G1549" t="inlineStr">
        <is>
          <t>Bluestone Memorial Hospital</t>
        </is>
      </c>
      <c r="H1549" t="inlineStr">
        <is>
          <t>Emergency Department</t>
        </is>
      </c>
      <c r="I1549" t="inlineStr">
        <is>
          <t>Emergency</t>
        </is>
      </c>
      <c r="J1549" t="inlineStr">
        <is>
          <t>Payne, Nancy</t>
        </is>
      </c>
      <c r="K1549" t="inlineStr">
        <is>
          <t>G40.909</t>
        </is>
      </c>
      <c r="L1549" t="inlineStr">
        <is>
          <t>Nervous System</t>
        </is>
      </c>
      <c r="M1549" t="inlineStr">
        <is>
          <t>Evergreen Mutual Insurance</t>
        </is>
      </c>
      <c r="N1549" t="inlineStr">
        <is>
          <t>Commercial</t>
        </is>
      </c>
      <c r="O1549" s="39" t="n">
        <v>3839.36</v>
      </c>
    </row>
    <row r="1550">
      <c r="A1550" t="inlineStr">
        <is>
          <t>ENC119375</t>
        </is>
      </c>
      <c r="B1550" t="inlineStr">
        <is>
          <t>PT11101</t>
        </is>
      </c>
      <c r="C1550" s="42" t="n">
        <v>45947</v>
      </c>
      <c r="D1550" s="42" t="n">
        <v>45951</v>
      </c>
      <c r="E1550" s="38" t="n">
        <v>4</v>
      </c>
      <c r="F1550" t="inlineStr">
        <is>
          <t>Inpatient</t>
        </is>
      </c>
      <c r="G1550" t="inlineStr">
        <is>
          <t>Cedar Ridge Medical Center</t>
        </is>
      </c>
      <c r="H1550" t="inlineStr">
        <is>
          <t>Medical-Surgical</t>
        </is>
      </c>
      <c r="I1550" t="inlineStr">
        <is>
          <t>Medicine</t>
        </is>
      </c>
      <c r="J1550" t="inlineStr">
        <is>
          <t>Peters, Frank</t>
        </is>
      </c>
      <c r="K1550" t="inlineStr">
        <is>
          <t>U07.1</t>
        </is>
      </c>
      <c r="L1550" t="inlineStr">
        <is>
          <t>Respiratory</t>
        </is>
      </c>
      <c r="M1550" t="inlineStr">
        <is>
          <t>Medicare</t>
        </is>
      </c>
      <c r="N1550" t="inlineStr">
        <is>
          <t>Government</t>
        </is>
      </c>
      <c r="O1550" s="39" t="n">
        <v>27361.76</v>
      </c>
      <c r="P1550" t="inlineStr">
        <is>
          <t>Y</t>
        </is>
      </c>
    </row>
    <row r="1551">
      <c r="A1551" t="inlineStr">
        <is>
          <t>ENC119379</t>
        </is>
      </c>
      <c r="B1551" t="inlineStr">
        <is>
          <t>PT13324</t>
        </is>
      </c>
      <c r="C1551" s="42" t="n">
        <v>45947</v>
      </c>
      <c r="D1551" s="42" t="n">
        <v>45951</v>
      </c>
      <c r="E1551" s="38" t="n">
        <v>4</v>
      </c>
      <c r="F1551" t="inlineStr">
        <is>
          <t>Inpatient</t>
        </is>
      </c>
      <c r="G1551" t="inlineStr">
        <is>
          <t>Cedar Ridge Medical Center</t>
        </is>
      </c>
      <c r="H1551" t="inlineStr">
        <is>
          <t>Cardiac Step-Down</t>
        </is>
      </c>
      <c r="I1551" t="inlineStr">
        <is>
          <t>Cardiovascular</t>
        </is>
      </c>
      <c r="J1551" t="inlineStr">
        <is>
          <t>Reyes, Harper</t>
        </is>
      </c>
      <c r="K1551" t="inlineStr">
        <is>
          <t>I48.91</t>
        </is>
      </c>
      <c r="L1551" t="inlineStr">
        <is>
          <t>Circulatory</t>
        </is>
      </c>
      <c r="M1551" t="inlineStr">
        <is>
          <t>Evergreen Mutual Insurance</t>
        </is>
      </c>
      <c r="N1551" t="inlineStr">
        <is>
          <t>Commercial</t>
        </is>
      </c>
      <c r="O1551" s="39" t="n">
        <v>23281.2</v>
      </c>
      <c r="P1551" t="inlineStr">
        <is>
          <t>N</t>
        </is>
      </c>
    </row>
    <row r="1552">
      <c r="A1552" t="inlineStr">
        <is>
          <t>ENC119396</t>
        </is>
      </c>
      <c r="B1552" t="inlineStr">
        <is>
          <t>PT10119</t>
        </is>
      </c>
      <c r="C1552" s="42" t="n">
        <v>45948</v>
      </c>
      <c r="D1552" s="42" t="n">
        <v>45948</v>
      </c>
      <c r="E1552" s="38" t="n">
        <v>0</v>
      </c>
      <c r="F1552" t="inlineStr">
        <is>
          <t>Emergency</t>
        </is>
      </c>
      <c r="G1552" t="inlineStr">
        <is>
          <t>Bluestone Memorial Hospital</t>
        </is>
      </c>
      <c r="H1552" t="inlineStr">
        <is>
          <t>Emergency Department</t>
        </is>
      </c>
      <c r="I1552" t="inlineStr">
        <is>
          <t>Emergency</t>
        </is>
      </c>
      <c r="J1552" t="inlineStr">
        <is>
          <t>Foster, Patrick</t>
        </is>
      </c>
      <c r="K1552" t="inlineStr">
        <is>
          <t>A08.4</t>
        </is>
      </c>
      <c r="L1552" t="inlineStr">
        <is>
          <t>Infectious</t>
        </is>
      </c>
      <c r="M1552" t="inlineStr">
        <is>
          <t>State Medicaid</t>
        </is>
      </c>
      <c r="N1552" t="inlineStr">
        <is>
          <t>Government</t>
        </is>
      </c>
      <c r="O1552" s="39" t="n">
        <v>3259.64</v>
      </c>
    </row>
    <row r="1553">
      <c r="A1553" t="inlineStr">
        <is>
          <t>ENC119398</t>
        </is>
      </c>
      <c r="B1553" t="inlineStr">
        <is>
          <t>PT13555</t>
        </is>
      </c>
      <c r="C1553" s="42" t="n">
        <v>45948</v>
      </c>
      <c r="D1553" s="42" t="n">
        <v>45955</v>
      </c>
      <c r="E1553" s="38" t="n">
        <v>7</v>
      </c>
      <c r="F1553" t="inlineStr">
        <is>
          <t>Inpatient</t>
        </is>
      </c>
      <c r="G1553" t="inlineStr">
        <is>
          <t>Bluestone Memorial Hospital</t>
        </is>
      </c>
      <c r="H1553" t="inlineStr">
        <is>
          <t>Medical-Surgical 5 East</t>
        </is>
      </c>
      <c r="I1553" t="inlineStr">
        <is>
          <t>Medicine</t>
        </is>
      </c>
      <c r="J1553" t="inlineStr">
        <is>
          <t>Cruz, Roger</t>
        </is>
      </c>
      <c r="K1553" t="inlineStr">
        <is>
          <t>F10.239</t>
        </is>
      </c>
      <c r="L1553" t="inlineStr">
        <is>
          <t>Mental &amp; Behavioral</t>
        </is>
      </c>
      <c r="M1553" t="inlineStr">
        <is>
          <t>Medicare</t>
        </is>
      </c>
      <c r="N1553" t="inlineStr">
        <is>
          <t>Government</t>
        </is>
      </c>
      <c r="O1553" s="39" t="n">
        <v>40449.16</v>
      </c>
      <c r="P1553" t="inlineStr">
        <is>
          <t>Y</t>
        </is>
      </c>
    </row>
    <row r="1554">
      <c r="A1554" t="inlineStr">
        <is>
          <t>ENC119399</t>
        </is>
      </c>
      <c r="B1554" t="inlineStr">
        <is>
          <t>PT10476</t>
        </is>
      </c>
      <c r="C1554" s="42" t="n">
        <v>45948</v>
      </c>
      <c r="D1554" s="42" t="n">
        <v>45949</v>
      </c>
      <c r="E1554" s="38" t="n">
        <v>1</v>
      </c>
      <c r="F1554" t="inlineStr">
        <is>
          <t>Observation</t>
        </is>
      </c>
      <c r="G1554" t="inlineStr">
        <is>
          <t>Cedar Ridge Medical Center</t>
        </is>
      </c>
      <c r="H1554" t="inlineStr">
        <is>
          <t>Medical-Surgical</t>
        </is>
      </c>
      <c r="I1554" t="inlineStr">
        <is>
          <t>Medicine</t>
        </is>
      </c>
      <c r="J1554" t="inlineStr">
        <is>
          <t>Hansen, Wei</t>
        </is>
      </c>
      <c r="K1554" t="inlineStr">
        <is>
          <t>N39.0</t>
        </is>
      </c>
      <c r="L1554" t="inlineStr">
        <is>
          <t>Genitourinary</t>
        </is>
      </c>
      <c r="M1554" t="inlineStr">
        <is>
          <t>State Medicaid</t>
        </is>
      </c>
      <c r="N1554" t="inlineStr">
        <is>
          <t>Government</t>
        </is>
      </c>
      <c r="O1554" s="39" t="n">
        <v>9673.799999999999</v>
      </c>
    </row>
    <row r="1555">
      <c r="A1555" t="inlineStr">
        <is>
          <t>ENC119401</t>
        </is>
      </c>
      <c r="B1555" t="inlineStr">
        <is>
          <t>PT10099</t>
        </is>
      </c>
      <c r="C1555" s="42" t="n">
        <v>45949</v>
      </c>
      <c r="D1555" s="42" t="n">
        <v>45951</v>
      </c>
      <c r="E1555" s="38" t="n">
        <v>2</v>
      </c>
      <c r="F1555" t="inlineStr">
        <is>
          <t>Inpatient</t>
        </is>
      </c>
      <c r="G1555" t="inlineStr">
        <is>
          <t>Bluestone Memorial Hospital</t>
        </is>
      </c>
      <c r="H1555" t="inlineStr">
        <is>
          <t>Labor &amp; Delivery</t>
        </is>
      </c>
      <c r="I1555" t="inlineStr">
        <is>
          <t>Women &amp; Children</t>
        </is>
      </c>
      <c r="J1555" t="inlineStr">
        <is>
          <t>James, Pamela</t>
        </is>
      </c>
      <c r="K1555" t="inlineStr">
        <is>
          <t>O80</t>
        </is>
      </c>
      <c r="L1555" t="inlineStr">
        <is>
          <t>Pregnancy</t>
        </is>
      </c>
      <c r="M1555" t="inlineStr">
        <is>
          <t>Keystone Health Partners</t>
        </is>
      </c>
      <c r="N1555" t="inlineStr">
        <is>
          <t>Commercial</t>
        </is>
      </c>
      <c r="O1555" s="39" t="n">
        <v>13541</v>
      </c>
      <c r="P1555" t="inlineStr">
        <is>
          <t>N</t>
        </is>
      </c>
    </row>
    <row r="1556">
      <c r="A1556" t="inlineStr">
        <is>
          <t>ENC119403</t>
        </is>
      </c>
      <c r="B1556" t="inlineStr">
        <is>
          <t>PT10568</t>
        </is>
      </c>
      <c r="C1556" s="42" t="n">
        <v>45949</v>
      </c>
      <c r="D1556" s="42" t="n">
        <v>45950</v>
      </c>
      <c r="E1556" s="38" t="n">
        <v>1</v>
      </c>
      <c r="F1556" t="inlineStr">
        <is>
          <t>Observation</t>
        </is>
      </c>
      <c r="G1556" t="inlineStr">
        <is>
          <t>Ashby Falls Community Hospital</t>
        </is>
      </c>
      <c r="H1556" t="inlineStr">
        <is>
          <t>Medical-Surgical</t>
        </is>
      </c>
      <c r="I1556" t="inlineStr">
        <is>
          <t>Medicine</t>
        </is>
      </c>
      <c r="J1556" t="inlineStr">
        <is>
          <t>Carter, Karen</t>
        </is>
      </c>
      <c r="K1556" t="inlineStr">
        <is>
          <t>I21.4</t>
        </is>
      </c>
      <c r="L1556" t="inlineStr">
        <is>
          <t>Circulatory</t>
        </is>
      </c>
      <c r="M1556" t="inlineStr">
        <is>
          <t>Silverline Medicare Advantage</t>
        </is>
      </c>
      <c r="N1556" t="inlineStr">
        <is>
          <t>Medicare Advantage</t>
        </is>
      </c>
      <c r="O1556" s="39" t="n">
        <v>11575.38</v>
      </c>
    </row>
    <row r="1557">
      <c r="A1557" t="inlineStr">
        <is>
          <t>ENC119410</t>
        </is>
      </c>
      <c r="B1557" t="inlineStr">
        <is>
          <t>PT12401</t>
        </is>
      </c>
      <c r="C1557" s="42" t="n">
        <v>45950</v>
      </c>
      <c r="D1557" s="42" t="n">
        <v>45954</v>
      </c>
      <c r="E1557" s="38" t="n">
        <v>4</v>
      </c>
      <c r="F1557" t="inlineStr">
        <is>
          <t>Inpatient</t>
        </is>
      </c>
      <c r="G1557" t="inlineStr">
        <is>
          <t>Bluestone Memorial Hospital</t>
        </is>
      </c>
      <c r="H1557" t="inlineStr">
        <is>
          <t>Oncology</t>
        </is>
      </c>
      <c r="I1557" t="inlineStr">
        <is>
          <t>Oncology</t>
        </is>
      </c>
      <c r="J1557" t="inlineStr">
        <is>
          <t>Hughes, Larry</t>
        </is>
      </c>
      <c r="K1557" t="inlineStr">
        <is>
          <t>C50.911</t>
        </is>
      </c>
      <c r="L1557" t="inlineStr">
        <is>
          <t>Neoplasms</t>
        </is>
      </c>
      <c r="M1557" t="inlineStr">
        <is>
          <t>Silverline Medicare Advantage</t>
        </is>
      </c>
      <c r="N1557" t="inlineStr">
        <is>
          <t>Medicare Advantage</t>
        </is>
      </c>
      <c r="O1557" s="39" t="n">
        <v>38945.72</v>
      </c>
      <c r="P1557" t="inlineStr">
        <is>
          <t>N</t>
        </is>
      </c>
    </row>
    <row r="1558">
      <c r="A1558" t="inlineStr">
        <is>
          <t>ENC119421</t>
        </is>
      </c>
      <c r="B1558" t="inlineStr">
        <is>
          <t>PT13200</t>
        </is>
      </c>
      <c r="C1558" s="42" t="n">
        <v>45950</v>
      </c>
      <c r="D1558" s="42" t="n">
        <v>45954</v>
      </c>
      <c r="E1558" s="38" t="n">
        <v>4</v>
      </c>
      <c r="F1558" t="inlineStr">
        <is>
          <t>Inpatient</t>
        </is>
      </c>
      <c r="G1558" t="inlineStr">
        <is>
          <t>Bluestone Memorial Hospital</t>
        </is>
      </c>
      <c r="H1558" t="inlineStr">
        <is>
          <t>Medical-Surgical 5 East</t>
        </is>
      </c>
      <c r="I1558" t="inlineStr">
        <is>
          <t>Medicine</t>
        </is>
      </c>
      <c r="J1558" t="inlineStr">
        <is>
          <t>Alvarado, Tyler</t>
        </is>
      </c>
      <c r="K1558" t="inlineStr">
        <is>
          <t>A41.9</t>
        </is>
      </c>
      <c r="L1558" t="inlineStr">
        <is>
          <t>Infectious</t>
        </is>
      </c>
      <c r="M1558" t="inlineStr">
        <is>
          <t>Self-Pay</t>
        </is>
      </c>
      <c r="N1558" t="inlineStr">
        <is>
          <t>Self-Pay</t>
        </is>
      </c>
      <c r="O1558" s="39" t="n">
        <v>43737.93</v>
      </c>
      <c r="P1558" t="inlineStr">
        <is>
          <t>N</t>
        </is>
      </c>
    </row>
    <row r="1559">
      <c r="A1559" t="inlineStr">
        <is>
          <t>ENC119430</t>
        </is>
      </c>
      <c r="B1559" t="inlineStr">
        <is>
          <t>PT13079</t>
        </is>
      </c>
      <c r="C1559" s="42" t="n">
        <v>45950</v>
      </c>
      <c r="D1559" s="42" t="n">
        <v>45950</v>
      </c>
      <c r="E1559" s="38" t="n">
        <v>0</v>
      </c>
      <c r="F1559" t="inlineStr">
        <is>
          <t>Outpatient</t>
        </is>
      </c>
      <c r="G1559" t="inlineStr">
        <is>
          <t>Bluestone Outpatient Pavilion</t>
        </is>
      </c>
      <c r="H1559" t="inlineStr">
        <is>
          <t>Primary Care Clinic</t>
        </is>
      </c>
      <c r="I1559" t="inlineStr">
        <is>
          <t>Ambulatory</t>
        </is>
      </c>
      <c r="J1559" t="inlineStr">
        <is>
          <t>Elliott, Douglas</t>
        </is>
      </c>
      <c r="K1559" t="inlineStr">
        <is>
          <t>I10</t>
        </is>
      </c>
      <c r="L1559" t="inlineStr">
        <is>
          <t>Circulatory</t>
        </is>
      </c>
      <c r="M1559" t="inlineStr">
        <is>
          <t>Medicare</t>
        </is>
      </c>
      <c r="N1559" t="inlineStr">
        <is>
          <t>Government</t>
        </is>
      </c>
      <c r="O1559" s="39" t="n">
        <v>352.17</v>
      </c>
    </row>
    <row r="1560">
      <c r="A1560" t="inlineStr">
        <is>
          <t>ENC119437</t>
        </is>
      </c>
      <c r="B1560" t="inlineStr">
        <is>
          <t>PT13376</t>
        </is>
      </c>
      <c r="C1560" s="42" t="n">
        <v>45950</v>
      </c>
      <c r="D1560" s="42" t="n">
        <v>45950</v>
      </c>
      <c r="E1560" s="38" t="n">
        <v>0</v>
      </c>
      <c r="F1560" t="inlineStr">
        <is>
          <t>Outpatient</t>
        </is>
      </c>
      <c r="G1560" t="inlineStr">
        <is>
          <t>Bluestone Outpatient Pavilion</t>
        </is>
      </c>
      <c r="H1560" t="inlineStr">
        <is>
          <t>Primary Care Clinic</t>
        </is>
      </c>
      <c r="I1560" t="inlineStr">
        <is>
          <t>Ambulatory</t>
        </is>
      </c>
      <c r="J1560" t="inlineStr">
        <is>
          <t>Chen, Mei</t>
        </is>
      </c>
      <c r="K1560" t="inlineStr">
        <is>
          <t>L03.115</t>
        </is>
      </c>
      <c r="L1560" t="inlineStr">
        <is>
          <t>Skin</t>
        </is>
      </c>
      <c r="M1560" t="inlineStr">
        <is>
          <t>State Medicaid</t>
        </is>
      </c>
      <c r="N1560" t="inlineStr">
        <is>
          <t>Government</t>
        </is>
      </c>
      <c r="O1560" s="39" t="n">
        <v>671.48</v>
      </c>
    </row>
    <row r="1561">
      <c r="A1561" t="inlineStr">
        <is>
          <t>ENC119435</t>
        </is>
      </c>
      <c r="B1561" t="inlineStr">
        <is>
          <t>PT11987</t>
        </is>
      </c>
      <c r="C1561" s="42" t="n">
        <v>45950</v>
      </c>
      <c r="D1561" s="42" t="n">
        <v>45951</v>
      </c>
      <c r="E1561" s="38" t="n">
        <v>1</v>
      </c>
      <c r="F1561" t="inlineStr">
        <is>
          <t>Observation</t>
        </is>
      </c>
      <c r="G1561" t="inlineStr">
        <is>
          <t>Bluestone Memorial Hospital</t>
        </is>
      </c>
      <c r="H1561" t="inlineStr">
        <is>
          <t>Observation Unit</t>
        </is>
      </c>
      <c r="I1561" t="inlineStr">
        <is>
          <t>Medicine</t>
        </is>
      </c>
      <c r="J1561" t="inlineStr">
        <is>
          <t>Vasquez, Jose</t>
        </is>
      </c>
      <c r="K1561" t="inlineStr">
        <is>
          <t>R07.9</t>
        </is>
      </c>
      <c r="L1561" t="inlineStr">
        <is>
          <t>Symptoms &amp; Signs</t>
        </is>
      </c>
      <c r="M1561" t="inlineStr">
        <is>
          <t>Silverline Medicare Advantage</t>
        </is>
      </c>
      <c r="N1561" t="inlineStr">
        <is>
          <t>Medicare Advantage</t>
        </is>
      </c>
      <c r="O1561" s="39" t="n">
        <v>7197.53</v>
      </c>
    </row>
    <row r="1562">
      <c r="A1562" t="inlineStr">
        <is>
          <t>ENC119434</t>
        </is>
      </c>
      <c r="B1562" t="inlineStr">
        <is>
          <t>PT11285</t>
        </is>
      </c>
      <c r="C1562" s="42" t="n">
        <v>45950</v>
      </c>
      <c r="D1562" s="42" t="n">
        <v>45951</v>
      </c>
      <c r="E1562" s="38" t="n">
        <v>1</v>
      </c>
      <c r="F1562" t="inlineStr">
        <is>
          <t>Observation</t>
        </is>
      </c>
      <c r="G1562" t="inlineStr">
        <is>
          <t>Bluestone Memorial Hospital</t>
        </is>
      </c>
      <c r="H1562" t="inlineStr">
        <is>
          <t>Observation Unit</t>
        </is>
      </c>
      <c r="I1562" t="inlineStr">
        <is>
          <t>Medicine</t>
        </is>
      </c>
      <c r="J1562" t="inlineStr">
        <is>
          <t>Yilmaz, Joe</t>
        </is>
      </c>
      <c r="K1562" t="inlineStr">
        <is>
          <t>R07.9</t>
        </is>
      </c>
      <c r="L1562" t="inlineStr">
        <is>
          <t>Symptoms &amp; Signs</t>
        </is>
      </c>
      <c r="M1562" t="inlineStr">
        <is>
          <t>State Medicaid</t>
        </is>
      </c>
      <c r="N1562" t="inlineStr">
        <is>
          <t>Government</t>
        </is>
      </c>
      <c r="O1562" s="39" t="n">
        <v>13361.82</v>
      </c>
    </row>
    <row r="1563">
      <c r="A1563" t="inlineStr">
        <is>
          <t>ENC119444</t>
        </is>
      </c>
      <c r="B1563" t="inlineStr">
        <is>
          <t>PT12578</t>
        </is>
      </c>
      <c r="C1563" s="42" t="n">
        <v>45950</v>
      </c>
      <c r="D1563" s="42" t="n">
        <v>45957</v>
      </c>
      <c r="E1563" s="38" t="n">
        <v>7</v>
      </c>
      <c r="F1563" t="inlineStr">
        <is>
          <t>Inpatient</t>
        </is>
      </c>
      <c r="G1563" t="inlineStr">
        <is>
          <t>Bluestone Memorial Hospital</t>
        </is>
      </c>
      <c r="H1563" t="inlineStr">
        <is>
          <t>Intensive Care Unit</t>
        </is>
      </c>
      <c r="I1563" t="inlineStr">
        <is>
          <t>Critical Care</t>
        </is>
      </c>
      <c r="J1563" t="inlineStr">
        <is>
          <t>Hamilton, Leila</t>
        </is>
      </c>
      <c r="K1563" t="inlineStr">
        <is>
          <t>A41.9</t>
        </is>
      </c>
      <c r="L1563" t="inlineStr">
        <is>
          <t>Infectious</t>
        </is>
      </c>
      <c r="M1563" t="inlineStr">
        <is>
          <t>Silverline Medicare Advantage</t>
        </is>
      </c>
      <c r="N1563" t="inlineStr">
        <is>
          <t>Medicare Advantage</t>
        </is>
      </c>
      <c r="O1563" s="39" t="n">
        <v>109542.49</v>
      </c>
      <c r="P1563" t="inlineStr">
        <is>
          <t>N</t>
        </is>
      </c>
    </row>
    <row r="1564">
      <c r="A1564" t="inlineStr">
        <is>
          <t>ENC119458</t>
        </is>
      </c>
      <c r="B1564" t="inlineStr">
        <is>
          <t>PT10821</t>
        </is>
      </c>
      <c r="C1564" s="42" t="n">
        <v>45951</v>
      </c>
      <c r="D1564" s="42" t="n">
        <v>45951</v>
      </c>
      <c r="E1564" s="38" t="n">
        <v>0</v>
      </c>
      <c r="F1564" t="inlineStr">
        <is>
          <t>Outpatient</t>
        </is>
      </c>
      <c r="G1564" t="inlineStr">
        <is>
          <t>Bluestone Outpatient Pavilion</t>
        </is>
      </c>
      <c r="H1564" t="inlineStr">
        <is>
          <t>Infusion &amp; Oncology Clinic</t>
        </is>
      </c>
      <c r="I1564" t="inlineStr">
        <is>
          <t>Oncology</t>
        </is>
      </c>
      <c r="J1564" t="inlineStr">
        <is>
          <t>Hicks, Zachary</t>
        </is>
      </c>
      <c r="K1564" t="inlineStr">
        <is>
          <t>Z51.11</t>
        </is>
      </c>
      <c r="L1564" t="inlineStr">
        <is>
          <t>Factors Influencing Health</t>
        </is>
      </c>
      <c r="M1564" t="inlineStr">
        <is>
          <t>Keystone Health Partners</t>
        </is>
      </c>
      <c r="N1564" t="inlineStr">
        <is>
          <t>Commercial</t>
        </is>
      </c>
      <c r="O1564" s="39" t="n">
        <v>9110.719999999999</v>
      </c>
    </row>
    <row r="1565">
      <c r="A1565" t="inlineStr">
        <is>
          <t>ENC119463</t>
        </is>
      </c>
      <c r="B1565" t="inlineStr">
        <is>
          <t>PT12729</t>
        </is>
      </c>
      <c r="C1565" s="42" t="n">
        <v>45951</v>
      </c>
      <c r="D1565" s="42" t="n">
        <v>45951</v>
      </c>
      <c r="E1565" s="38" t="n">
        <v>0</v>
      </c>
      <c r="F1565" t="inlineStr">
        <is>
          <t>Outpatient</t>
        </is>
      </c>
      <c r="G1565" t="inlineStr">
        <is>
          <t>Bluestone Outpatient Pavilion</t>
        </is>
      </c>
      <c r="H1565" t="inlineStr">
        <is>
          <t>Primary Care Clinic</t>
        </is>
      </c>
      <c r="I1565" t="inlineStr">
        <is>
          <t>Ambulatory</t>
        </is>
      </c>
      <c r="J1565" t="inlineStr">
        <is>
          <t>Fisher, Brandon</t>
        </is>
      </c>
      <c r="K1565" t="inlineStr">
        <is>
          <t>J06.9</t>
        </is>
      </c>
      <c r="L1565" t="inlineStr">
        <is>
          <t>Respiratory</t>
        </is>
      </c>
      <c r="M1565" t="inlineStr">
        <is>
          <t>Silverline Medicare Advantage</t>
        </is>
      </c>
      <c r="N1565" t="inlineStr">
        <is>
          <t>Medicare Advantage</t>
        </is>
      </c>
      <c r="O1565" s="39" t="n">
        <v>230.84</v>
      </c>
    </row>
    <row r="1566">
      <c r="A1566" t="inlineStr">
        <is>
          <t>ENC119466</t>
        </is>
      </c>
      <c r="B1566" t="inlineStr">
        <is>
          <t>PT12802</t>
        </is>
      </c>
      <c r="C1566" s="42" t="n">
        <v>45951</v>
      </c>
      <c r="D1566" s="42" t="n">
        <v>45951</v>
      </c>
      <c r="E1566" s="38" t="n">
        <v>0</v>
      </c>
      <c r="F1566" t="inlineStr">
        <is>
          <t>Outpatient</t>
        </is>
      </c>
      <c r="G1566" t="inlineStr">
        <is>
          <t>Bluestone Outpatient Pavilion</t>
        </is>
      </c>
      <c r="H1566" t="inlineStr">
        <is>
          <t>Primary Care Clinic</t>
        </is>
      </c>
      <c r="I1566" t="inlineStr">
        <is>
          <t>Ambulatory</t>
        </is>
      </c>
      <c r="J1566" t="inlineStr">
        <is>
          <t>Santos, Edward</t>
        </is>
      </c>
      <c r="K1566" t="inlineStr">
        <is>
          <t>M54.50</t>
        </is>
      </c>
      <c r="L1566" t="inlineStr">
        <is>
          <t>Musculoskeletal</t>
        </is>
      </c>
      <c r="M1566" t="inlineStr">
        <is>
          <t>Summit Choice PPO</t>
        </is>
      </c>
      <c r="N1566" t="inlineStr">
        <is>
          <t>Commercial</t>
        </is>
      </c>
      <c r="O1566" s="39" t="n">
        <v>262.16</v>
      </c>
    </row>
    <row r="1567">
      <c r="A1567" t="inlineStr">
        <is>
          <t>ENC119468</t>
        </is>
      </c>
      <c r="B1567" t="inlineStr">
        <is>
          <t>PT12176</t>
        </is>
      </c>
      <c r="C1567" s="42" t="n">
        <v>45951</v>
      </c>
      <c r="D1567" s="42" t="n">
        <v>45951</v>
      </c>
      <c r="E1567" s="38" t="n">
        <v>0</v>
      </c>
      <c r="F1567" t="inlineStr">
        <is>
          <t>Outpatient</t>
        </is>
      </c>
      <c r="G1567" t="inlineStr">
        <is>
          <t>Bluestone Outpatient Pavilion</t>
        </is>
      </c>
      <c r="H1567" t="inlineStr">
        <is>
          <t>Infusion &amp; Oncology Clinic</t>
        </is>
      </c>
      <c r="I1567" t="inlineStr">
        <is>
          <t>Oncology</t>
        </is>
      </c>
      <c r="J1567" t="inlineStr">
        <is>
          <t>Hicks, Zachary</t>
        </is>
      </c>
      <c r="K1567" t="inlineStr">
        <is>
          <t>C34.90</t>
        </is>
      </c>
      <c r="L1567" t="inlineStr">
        <is>
          <t>Neoplasms</t>
        </is>
      </c>
      <c r="M1567" t="inlineStr">
        <is>
          <t>Silverline Medicare Advantage</t>
        </is>
      </c>
      <c r="N1567" t="inlineStr">
        <is>
          <t>Medicare Advantage</t>
        </is>
      </c>
      <c r="O1567" s="39" t="n">
        <v>1221.93</v>
      </c>
    </row>
    <row r="1568">
      <c r="A1568" t="inlineStr">
        <is>
          <t>ENC119459</t>
        </is>
      </c>
      <c r="B1568" t="inlineStr">
        <is>
          <t>PT13006</t>
        </is>
      </c>
      <c r="C1568" s="42" t="n">
        <v>45951</v>
      </c>
      <c r="D1568" s="42" t="n">
        <v>45959</v>
      </c>
      <c r="E1568" s="38" t="n">
        <v>8</v>
      </c>
      <c r="F1568" t="inlineStr">
        <is>
          <t>Inpatient</t>
        </is>
      </c>
      <c r="G1568" t="inlineStr">
        <is>
          <t>Bluestone Memorial Hospital</t>
        </is>
      </c>
      <c r="H1568" t="inlineStr">
        <is>
          <t>Medical-Surgical 4 West</t>
        </is>
      </c>
      <c r="I1568" t="inlineStr">
        <is>
          <t>Medicine</t>
        </is>
      </c>
      <c r="J1568" t="inlineStr">
        <is>
          <t>Watson, Ashley</t>
        </is>
      </c>
      <c r="K1568" t="inlineStr">
        <is>
          <t>K92.2</t>
        </is>
      </c>
      <c r="L1568" t="inlineStr">
        <is>
          <t>Digestive</t>
        </is>
      </c>
      <c r="M1568" t="inlineStr">
        <is>
          <t>Silverline Medicare Advantage</t>
        </is>
      </c>
      <c r="N1568" t="inlineStr">
        <is>
          <t>Medicare Advantage</t>
        </is>
      </c>
      <c r="O1568" s="39" t="n">
        <v>39775.84</v>
      </c>
      <c r="P1568" t="inlineStr">
        <is>
          <t>N</t>
        </is>
      </c>
    </row>
    <row r="1569">
      <c r="A1569" t="inlineStr">
        <is>
          <t>ENC119476</t>
        </is>
      </c>
      <c r="B1569" t="inlineStr">
        <is>
          <t>PT12905</t>
        </is>
      </c>
      <c r="C1569" s="42" t="n">
        <v>45951</v>
      </c>
      <c r="D1569" s="42" t="n">
        <v>45951</v>
      </c>
      <c r="E1569" s="38" t="n">
        <v>0</v>
      </c>
      <c r="F1569" t="inlineStr">
        <is>
          <t>Outpatient</t>
        </is>
      </c>
      <c r="G1569" t="inlineStr">
        <is>
          <t>Bluestone Outpatient Pavilion</t>
        </is>
      </c>
      <c r="H1569" t="inlineStr">
        <is>
          <t>Endocrinology &amp; Diabetes Clinic</t>
        </is>
      </c>
      <c r="I1569" t="inlineStr">
        <is>
          <t>Ambulatory</t>
        </is>
      </c>
      <c r="J1569" t="inlineStr">
        <is>
          <t>Rivera, Scott</t>
        </is>
      </c>
      <c r="K1569" t="inlineStr">
        <is>
          <t>E11.65</t>
        </is>
      </c>
      <c r="L1569" t="inlineStr">
        <is>
          <t>Endocrine</t>
        </is>
      </c>
      <c r="M1569" t="inlineStr">
        <is>
          <t>Medicare</t>
        </is>
      </c>
      <c r="N1569" t="inlineStr">
        <is>
          <t>Government</t>
        </is>
      </c>
      <c r="O1569" s="39" t="n">
        <v>338.57</v>
      </c>
    </row>
    <row r="1570">
      <c r="A1570" t="inlineStr">
        <is>
          <t>ENC119480</t>
        </is>
      </c>
      <c r="B1570" t="inlineStr">
        <is>
          <t>PT12552</t>
        </is>
      </c>
      <c r="C1570" s="42" t="n">
        <v>45952</v>
      </c>
      <c r="D1570" s="42" t="n">
        <v>45959</v>
      </c>
      <c r="E1570" s="38" t="n">
        <v>7</v>
      </c>
      <c r="F1570" t="inlineStr">
        <is>
          <t>Inpatient</t>
        </is>
      </c>
      <c r="G1570" t="inlineStr">
        <is>
          <t>Bluestone Memorial Hospital</t>
        </is>
      </c>
      <c r="H1570" t="inlineStr">
        <is>
          <t>Intensive Care Unit</t>
        </is>
      </c>
      <c r="I1570" t="inlineStr">
        <is>
          <t>Critical Care</t>
        </is>
      </c>
      <c r="J1570" t="inlineStr">
        <is>
          <t>Hawkins, Bruce</t>
        </is>
      </c>
      <c r="K1570" t="inlineStr">
        <is>
          <t>J96.01</t>
        </is>
      </c>
      <c r="L1570" t="inlineStr">
        <is>
          <t>Respiratory</t>
        </is>
      </c>
      <c r="M1570" t="inlineStr">
        <is>
          <t>Summit Choice PPO</t>
        </is>
      </c>
      <c r="N1570" t="inlineStr">
        <is>
          <t>Commercial</t>
        </is>
      </c>
      <c r="O1570" s="39" t="n">
        <v>60667.62</v>
      </c>
      <c r="P1570" t="inlineStr">
        <is>
          <t>N</t>
        </is>
      </c>
    </row>
    <row r="1571">
      <c r="A1571" t="inlineStr">
        <is>
          <t>ENC119486</t>
        </is>
      </c>
      <c r="B1571" t="inlineStr">
        <is>
          <t>PT13359</t>
        </is>
      </c>
      <c r="C1571" s="42" t="n">
        <v>45952</v>
      </c>
      <c r="D1571" s="42" t="n">
        <v>45952</v>
      </c>
      <c r="E1571" s="38" t="n">
        <v>0</v>
      </c>
      <c r="F1571" t="inlineStr">
        <is>
          <t>Outpatient</t>
        </is>
      </c>
      <c r="G1571" t="inlineStr">
        <is>
          <t>Bluestone Outpatient Pavilion</t>
        </is>
      </c>
      <c r="H1571" t="inlineStr">
        <is>
          <t>Cardiology Clinic</t>
        </is>
      </c>
      <c r="I1571" t="inlineStr">
        <is>
          <t>Cardiovascular</t>
        </is>
      </c>
      <c r="J1571" t="inlineStr">
        <is>
          <t>Brooks, Edward</t>
        </is>
      </c>
      <c r="K1571" t="inlineStr">
        <is>
          <t>I48.91</t>
        </is>
      </c>
      <c r="L1571" t="inlineStr">
        <is>
          <t>Circulatory</t>
        </is>
      </c>
      <c r="M1571" t="inlineStr">
        <is>
          <t>Keystone Health Partners</t>
        </is>
      </c>
      <c r="N1571" t="inlineStr">
        <is>
          <t>Commercial</t>
        </is>
      </c>
      <c r="O1571" s="39" t="n">
        <v>274.78</v>
      </c>
    </row>
    <row r="1572">
      <c r="A1572" t="inlineStr">
        <is>
          <t>ENC119493</t>
        </is>
      </c>
      <c r="B1572" t="inlineStr">
        <is>
          <t>PT11891</t>
        </is>
      </c>
      <c r="C1572" s="42" t="n">
        <v>45952</v>
      </c>
      <c r="D1572" s="42" t="n">
        <v>45952</v>
      </c>
      <c r="E1572" s="38" t="n">
        <v>0</v>
      </c>
      <c r="F1572" t="inlineStr">
        <is>
          <t>Outpatient</t>
        </is>
      </c>
      <c r="G1572" t="inlineStr">
        <is>
          <t>Bluestone Outpatient Pavilion</t>
        </is>
      </c>
      <c r="H1572" t="inlineStr">
        <is>
          <t>Primary Care Clinic</t>
        </is>
      </c>
      <c r="I1572" t="inlineStr">
        <is>
          <t>Ambulatory</t>
        </is>
      </c>
      <c r="J1572" t="inlineStr">
        <is>
          <t>Black, Nancy</t>
        </is>
      </c>
      <c r="K1572" t="inlineStr">
        <is>
          <t>I10</t>
        </is>
      </c>
      <c r="L1572" t="inlineStr">
        <is>
          <t>Circulatory</t>
        </is>
      </c>
      <c r="M1572" t="inlineStr">
        <is>
          <t>State Medicaid</t>
        </is>
      </c>
      <c r="N1572" t="inlineStr">
        <is>
          <t>Government</t>
        </is>
      </c>
      <c r="O1572" s="39" t="n">
        <v>204.46</v>
      </c>
    </row>
    <row r="1573">
      <c r="A1573" t="inlineStr">
        <is>
          <t>ENC119495</t>
        </is>
      </c>
      <c r="B1573" t="inlineStr">
        <is>
          <t>PT13722</t>
        </is>
      </c>
      <c r="C1573" s="42" t="n">
        <v>45952</v>
      </c>
      <c r="D1573" s="42" t="n">
        <v>45952</v>
      </c>
      <c r="E1573" s="38" t="n">
        <v>0</v>
      </c>
      <c r="F1573" t="inlineStr">
        <is>
          <t>Outpatient</t>
        </is>
      </c>
      <c r="G1573" t="inlineStr">
        <is>
          <t>Bluestone Outpatient Pavilion</t>
        </is>
      </c>
      <c r="H1573" t="inlineStr">
        <is>
          <t>Endocrinology &amp; Diabetes Clinic</t>
        </is>
      </c>
      <c r="I1573" t="inlineStr">
        <is>
          <t>Ambulatory</t>
        </is>
      </c>
      <c r="J1573" t="inlineStr">
        <is>
          <t>Lee, Amber</t>
        </is>
      </c>
      <c r="K1573" t="inlineStr">
        <is>
          <t>E11.65</t>
        </is>
      </c>
      <c r="L1573" t="inlineStr">
        <is>
          <t>Endocrine</t>
        </is>
      </c>
      <c r="M1573" t="inlineStr">
        <is>
          <t>Keystone Health Partners</t>
        </is>
      </c>
      <c r="N1573" t="inlineStr">
        <is>
          <t>Commercial</t>
        </is>
      </c>
      <c r="O1573" s="39" t="n">
        <v>153.94</v>
      </c>
    </row>
    <row r="1574">
      <c r="A1574" t="inlineStr">
        <is>
          <t>ENC119497</t>
        </is>
      </c>
      <c r="B1574" t="inlineStr">
        <is>
          <t>PT10549</t>
        </is>
      </c>
      <c r="C1574" s="42" t="n">
        <v>45952</v>
      </c>
      <c r="D1574" s="42" t="n">
        <v>45952</v>
      </c>
      <c r="E1574" s="38" t="n">
        <v>0</v>
      </c>
      <c r="F1574" t="inlineStr">
        <is>
          <t>Outpatient</t>
        </is>
      </c>
      <c r="G1574" t="inlineStr">
        <is>
          <t>Bluestone Outpatient Pavilion</t>
        </is>
      </c>
      <c r="H1574" t="inlineStr">
        <is>
          <t>Cardiology Clinic</t>
        </is>
      </c>
      <c r="I1574" t="inlineStr">
        <is>
          <t>Cardiovascular</t>
        </is>
      </c>
      <c r="J1574" t="inlineStr">
        <is>
          <t>Brooks, Edward</t>
        </is>
      </c>
      <c r="K1574" t="inlineStr">
        <is>
          <t>I50.9</t>
        </is>
      </c>
      <c r="L1574" t="inlineStr">
        <is>
          <t>Circulatory</t>
        </is>
      </c>
      <c r="M1574" t="inlineStr">
        <is>
          <t>Silverline Medicare Advantage</t>
        </is>
      </c>
      <c r="N1574" t="inlineStr">
        <is>
          <t>Medicare Advantage</t>
        </is>
      </c>
      <c r="O1574" s="39" t="n">
        <v>221.79</v>
      </c>
    </row>
    <row r="1575">
      <c r="A1575" t="inlineStr">
        <is>
          <t>ENC119504</t>
        </is>
      </c>
      <c r="B1575" t="inlineStr">
        <is>
          <t>PT12741</t>
        </is>
      </c>
      <c r="C1575" s="42" t="n">
        <v>45952</v>
      </c>
      <c r="D1575" s="42" t="n">
        <v>45952</v>
      </c>
      <c r="E1575" s="38" t="n">
        <v>0</v>
      </c>
      <c r="F1575" t="inlineStr">
        <is>
          <t>Outpatient</t>
        </is>
      </c>
      <c r="G1575" t="inlineStr">
        <is>
          <t>Bluestone Outpatient Pavilion</t>
        </is>
      </c>
      <c r="H1575" t="inlineStr">
        <is>
          <t>Infusion &amp; Oncology Clinic</t>
        </is>
      </c>
      <c r="I1575" t="inlineStr">
        <is>
          <t>Oncology</t>
        </is>
      </c>
      <c r="J1575" t="inlineStr">
        <is>
          <t>Robinson, Bradley</t>
        </is>
      </c>
      <c r="K1575" t="inlineStr">
        <is>
          <t>Z51.11</t>
        </is>
      </c>
      <c r="L1575" t="inlineStr">
        <is>
          <t>Factors Influencing Health</t>
        </is>
      </c>
      <c r="M1575" t="inlineStr">
        <is>
          <t>Evergreen Mutual Insurance</t>
        </is>
      </c>
      <c r="N1575" t="inlineStr">
        <is>
          <t>Commercial</t>
        </is>
      </c>
      <c r="O1575" s="39" t="n">
        <v>14998.86</v>
      </c>
    </row>
    <row r="1576">
      <c r="A1576" t="inlineStr">
        <is>
          <t>ENC119512</t>
        </is>
      </c>
      <c r="B1576" t="inlineStr">
        <is>
          <t>PT13591</t>
        </is>
      </c>
      <c r="C1576" s="42" t="n">
        <v>45952</v>
      </c>
      <c r="D1576" s="42" t="n">
        <v>45955</v>
      </c>
      <c r="E1576" s="38" t="n">
        <v>3</v>
      </c>
      <c r="F1576" t="inlineStr">
        <is>
          <t>Inpatient</t>
        </is>
      </c>
      <c r="G1576" t="inlineStr">
        <is>
          <t>Ashby Falls Community Hospital</t>
        </is>
      </c>
      <c r="H1576" t="inlineStr">
        <is>
          <t>Medical-Surgical</t>
        </is>
      </c>
      <c r="I1576" t="inlineStr">
        <is>
          <t>Medicine</t>
        </is>
      </c>
      <c r="J1576" t="inlineStr">
        <is>
          <t>Carroll, Philip</t>
        </is>
      </c>
      <c r="K1576" t="inlineStr">
        <is>
          <t>J18.9</t>
        </is>
      </c>
      <c r="L1576" t="inlineStr">
        <is>
          <t>Respiratory</t>
        </is>
      </c>
      <c r="M1576" t="inlineStr">
        <is>
          <t>State Medicaid</t>
        </is>
      </c>
      <c r="N1576" t="inlineStr">
        <is>
          <t>Government</t>
        </is>
      </c>
      <c r="O1576" s="39" t="n">
        <v>11841.09</v>
      </c>
      <c r="P1576" t="inlineStr">
        <is>
          <t>N</t>
        </is>
      </c>
    </row>
    <row r="1577">
      <c r="A1577" t="inlineStr">
        <is>
          <t>ENC119517</t>
        </is>
      </c>
      <c r="B1577" t="inlineStr">
        <is>
          <t>PT11265</t>
        </is>
      </c>
      <c r="C1577" s="42" t="n">
        <v>45953</v>
      </c>
      <c r="D1577" s="42" t="n">
        <v>45953</v>
      </c>
      <c r="E1577" s="38" t="n">
        <v>0</v>
      </c>
      <c r="F1577" t="inlineStr">
        <is>
          <t>Emergency</t>
        </is>
      </c>
      <c r="G1577" t="inlineStr">
        <is>
          <t>Cedar Ridge Medical Center</t>
        </is>
      </c>
      <c r="H1577" t="inlineStr">
        <is>
          <t>Emergency Department</t>
        </is>
      </c>
      <c r="I1577" t="inlineStr">
        <is>
          <t>Emergency</t>
        </is>
      </c>
      <c r="J1577" t="inlineStr">
        <is>
          <t>Andrews, Michael</t>
        </is>
      </c>
      <c r="K1577" t="inlineStr">
        <is>
          <t>R07.9</t>
        </is>
      </c>
      <c r="L1577" t="inlineStr">
        <is>
          <t>Symptoms &amp; Signs</t>
        </is>
      </c>
      <c r="M1577" t="inlineStr">
        <is>
          <t>Summit Choice PPO</t>
        </is>
      </c>
      <c r="N1577" t="inlineStr">
        <is>
          <t>Commercial</t>
        </is>
      </c>
      <c r="O1577" s="39" t="n">
        <v>3491.35</v>
      </c>
    </row>
    <row r="1578">
      <c r="A1578" t="inlineStr">
        <is>
          <t>ENC119524</t>
        </is>
      </c>
      <c r="B1578" t="inlineStr">
        <is>
          <t>PT13323</t>
        </is>
      </c>
      <c r="C1578" s="42" t="n">
        <v>45953</v>
      </c>
      <c r="D1578" s="42" t="n">
        <v>45953</v>
      </c>
      <c r="E1578" s="38" t="n">
        <v>0</v>
      </c>
      <c r="F1578" t="inlineStr">
        <is>
          <t>Outpatient</t>
        </is>
      </c>
      <c r="G1578" t="inlineStr">
        <is>
          <t>Bluestone Outpatient Pavilion</t>
        </is>
      </c>
      <c r="H1578" t="inlineStr">
        <is>
          <t>Primary Care Clinic</t>
        </is>
      </c>
      <c r="I1578" t="inlineStr">
        <is>
          <t>Ambulatory</t>
        </is>
      </c>
      <c r="J1578" t="inlineStr">
        <is>
          <t>Sullivan, Brenda</t>
        </is>
      </c>
      <c r="K1578" t="inlineStr">
        <is>
          <t>Z00.00</t>
        </is>
      </c>
      <c r="L1578" t="inlineStr">
        <is>
          <t>Factors Influencing Health</t>
        </is>
      </c>
      <c r="M1578" t="inlineStr">
        <is>
          <t>Keystone Health Partners</t>
        </is>
      </c>
      <c r="N1578" t="inlineStr">
        <is>
          <t>Commercial</t>
        </is>
      </c>
      <c r="O1578" s="39" t="n">
        <v>397.8</v>
      </c>
    </row>
    <row r="1579">
      <c r="A1579" t="inlineStr">
        <is>
          <t>ENC119530</t>
        </is>
      </c>
      <c r="B1579" t="inlineStr">
        <is>
          <t>PT13908</t>
        </is>
      </c>
      <c r="C1579" s="42" t="n">
        <v>45953</v>
      </c>
      <c r="D1579" s="42" t="n">
        <v>45953</v>
      </c>
      <c r="E1579" s="38" t="n">
        <v>0</v>
      </c>
      <c r="F1579" t="inlineStr">
        <is>
          <t>Emergency</t>
        </is>
      </c>
      <c r="G1579" t="inlineStr">
        <is>
          <t>Bluestone Memorial Hospital</t>
        </is>
      </c>
      <c r="H1579" t="inlineStr">
        <is>
          <t>Emergency Department</t>
        </is>
      </c>
      <c r="I1579" t="inlineStr">
        <is>
          <t>Emergency</t>
        </is>
      </c>
      <c r="J1579" t="inlineStr">
        <is>
          <t>Payne, Nancy</t>
        </is>
      </c>
      <c r="K1579" t="inlineStr">
        <is>
          <t>M54.50</t>
        </is>
      </c>
      <c r="L1579" t="inlineStr">
        <is>
          <t>Musculoskeletal</t>
        </is>
      </c>
      <c r="M1579" t="inlineStr">
        <is>
          <t>Summit Choice PPO</t>
        </is>
      </c>
      <c r="N1579" t="inlineStr">
        <is>
          <t>Commercial</t>
        </is>
      </c>
      <c r="O1579" s="39" t="n">
        <v>808.33</v>
      </c>
    </row>
    <row r="1580">
      <c r="A1580" t="inlineStr">
        <is>
          <t>ENC119526</t>
        </is>
      </c>
      <c r="B1580" t="inlineStr">
        <is>
          <t>PT10057</t>
        </is>
      </c>
      <c r="C1580" s="42" t="n">
        <v>45953</v>
      </c>
      <c r="D1580" s="42" t="n">
        <v>45954</v>
      </c>
      <c r="E1580" s="38" t="n">
        <v>1</v>
      </c>
      <c r="F1580" t="inlineStr">
        <is>
          <t>Inpatient</t>
        </is>
      </c>
      <c r="G1580" t="inlineStr">
        <is>
          <t>Bluestone Memorial Hospital</t>
        </is>
      </c>
      <c r="H1580" t="inlineStr">
        <is>
          <t>Medical-Surgical 4 West</t>
        </is>
      </c>
      <c r="I1580" t="inlineStr">
        <is>
          <t>Medicine</t>
        </is>
      </c>
      <c r="J1580" t="inlineStr">
        <is>
          <t>Kim, Jeffrey</t>
        </is>
      </c>
      <c r="K1580" t="inlineStr">
        <is>
          <t>K35.80</t>
        </is>
      </c>
      <c r="L1580" t="inlineStr">
        <is>
          <t>Digestive</t>
        </is>
      </c>
      <c r="M1580" t="inlineStr">
        <is>
          <t>Summit Choice PPO</t>
        </is>
      </c>
      <c r="N1580" t="inlineStr">
        <is>
          <t>Commercial</t>
        </is>
      </c>
      <c r="O1580" s="39" t="n">
        <v>27436.42</v>
      </c>
      <c r="P1580" t="inlineStr">
        <is>
          <t>N</t>
        </is>
      </c>
    </row>
    <row r="1581">
      <c r="A1581" t="inlineStr">
        <is>
          <t>ENC119536</t>
        </is>
      </c>
      <c r="B1581" t="inlineStr">
        <is>
          <t>PT10082</t>
        </is>
      </c>
      <c r="C1581" s="42" t="n">
        <v>45953</v>
      </c>
      <c r="D1581" s="42" t="n">
        <v>45953</v>
      </c>
      <c r="E1581" s="38" t="n">
        <v>0</v>
      </c>
      <c r="F1581" t="inlineStr">
        <is>
          <t>Outpatient</t>
        </is>
      </c>
      <c r="G1581" t="inlineStr">
        <is>
          <t>Bluestone Outpatient Pavilion</t>
        </is>
      </c>
      <c r="H1581" t="inlineStr">
        <is>
          <t>Primary Care Clinic</t>
        </is>
      </c>
      <c r="I1581" t="inlineStr">
        <is>
          <t>Ambulatory</t>
        </is>
      </c>
      <c r="J1581" t="inlineStr">
        <is>
          <t>Fisher, Brandon</t>
        </is>
      </c>
      <c r="K1581" t="inlineStr">
        <is>
          <t>G43.909</t>
        </is>
      </c>
      <c r="L1581" t="inlineStr">
        <is>
          <t>Nervous System</t>
        </is>
      </c>
      <c r="M1581" t="inlineStr">
        <is>
          <t>Summit Choice PPO</t>
        </is>
      </c>
      <c r="N1581" t="inlineStr">
        <is>
          <t>Commercial</t>
        </is>
      </c>
      <c r="O1581" s="39" t="n">
        <v>273.84</v>
      </c>
    </row>
    <row r="1582">
      <c r="A1582" t="inlineStr">
        <is>
          <t>ENC119541</t>
        </is>
      </c>
      <c r="B1582" t="inlineStr">
        <is>
          <t>PT11276</t>
        </is>
      </c>
      <c r="C1582" s="42" t="n">
        <v>45953</v>
      </c>
      <c r="D1582" s="42" t="n">
        <v>45953</v>
      </c>
      <c r="E1582" s="38" t="n">
        <v>0</v>
      </c>
      <c r="F1582" t="inlineStr">
        <is>
          <t>Outpatient</t>
        </is>
      </c>
      <c r="G1582" t="inlineStr">
        <is>
          <t>Bluestone Outpatient Pavilion</t>
        </is>
      </c>
      <c r="H1582" t="inlineStr">
        <is>
          <t>Primary Care Clinic</t>
        </is>
      </c>
      <c r="I1582" t="inlineStr">
        <is>
          <t>Ambulatory</t>
        </is>
      </c>
      <c r="J1582" t="inlineStr">
        <is>
          <t>Osei, Julie</t>
        </is>
      </c>
      <c r="K1582" t="inlineStr">
        <is>
          <t>I10</t>
        </is>
      </c>
      <c r="L1582" t="inlineStr">
        <is>
          <t>Circulatory</t>
        </is>
      </c>
      <c r="M1582" t="inlineStr">
        <is>
          <t>Medicare</t>
        </is>
      </c>
      <c r="N1582" t="inlineStr">
        <is>
          <t>Government</t>
        </is>
      </c>
      <c r="O1582" s="39" t="n">
        <v>492.76</v>
      </c>
    </row>
    <row r="1583">
      <c r="A1583" t="inlineStr">
        <is>
          <t>ENC119556</t>
        </is>
      </c>
      <c r="B1583" t="inlineStr">
        <is>
          <t>PT10245</t>
        </is>
      </c>
      <c r="C1583" s="42" t="n">
        <v>45954</v>
      </c>
      <c r="D1583" s="42" t="n">
        <v>45954</v>
      </c>
      <c r="E1583" s="38" t="n">
        <v>0</v>
      </c>
      <c r="F1583" t="inlineStr">
        <is>
          <t>Outpatient</t>
        </is>
      </c>
      <c r="G1583" t="inlineStr">
        <is>
          <t>Bluestone Outpatient Pavilion</t>
        </is>
      </c>
      <c r="H1583" t="inlineStr">
        <is>
          <t>Primary Care Clinic</t>
        </is>
      </c>
      <c r="I1583" t="inlineStr">
        <is>
          <t>Ambulatory</t>
        </is>
      </c>
      <c r="J1583" t="inlineStr">
        <is>
          <t>Black, Kelly</t>
        </is>
      </c>
      <c r="K1583" t="inlineStr">
        <is>
          <t>I10</t>
        </is>
      </c>
      <c r="L1583" t="inlineStr">
        <is>
          <t>Circulatory</t>
        </is>
      </c>
      <c r="M1583" t="inlineStr">
        <is>
          <t>Evergreen Mutual Insurance</t>
        </is>
      </c>
      <c r="N1583" t="inlineStr">
        <is>
          <t>Commercial</t>
        </is>
      </c>
      <c r="O1583" s="39" t="n">
        <v>226</v>
      </c>
    </row>
    <row r="1584">
      <c r="A1584" t="inlineStr">
        <is>
          <t>ENC119557</t>
        </is>
      </c>
      <c r="B1584" t="inlineStr">
        <is>
          <t>PT10142</t>
        </is>
      </c>
      <c r="C1584" s="42" t="n">
        <v>45954</v>
      </c>
      <c r="D1584" s="42" t="n">
        <v>45954</v>
      </c>
      <c r="E1584" s="38" t="n">
        <v>0</v>
      </c>
      <c r="F1584" t="inlineStr">
        <is>
          <t>Outpatient</t>
        </is>
      </c>
      <c r="G1584" t="inlineStr">
        <is>
          <t>Bluestone Outpatient Pavilion</t>
        </is>
      </c>
      <c r="H1584" t="inlineStr">
        <is>
          <t>Primary Care Clinic</t>
        </is>
      </c>
      <c r="I1584" t="inlineStr">
        <is>
          <t>Ambulatory</t>
        </is>
      </c>
      <c r="J1584" t="inlineStr">
        <is>
          <t>Petrov, Doris</t>
        </is>
      </c>
      <c r="K1584" t="inlineStr">
        <is>
          <t>M54.50</t>
        </is>
      </c>
      <c r="L1584" t="inlineStr">
        <is>
          <t>Musculoskeletal</t>
        </is>
      </c>
      <c r="M1584" t="inlineStr">
        <is>
          <t>Medicare</t>
        </is>
      </c>
      <c r="N1584" t="inlineStr">
        <is>
          <t>Government</t>
        </is>
      </c>
      <c r="O1584" s="39" t="n">
        <v>381.2</v>
      </c>
    </row>
    <row r="1585">
      <c r="A1585" t="inlineStr">
        <is>
          <t>ENC119561</t>
        </is>
      </c>
      <c r="B1585" t="inlineStr">
        <is>
          <t>PT13808</t>
        </is>
      </c>
      <c r="C1585" s="42" t="n">
        <v>45954</v>
      </c>
      <c r="D1585" s="42" t="n">
        <v>45954</v>
      </c>
      <c r="E1585" s="38" t="n">
        <v>0</v>
      </c>
      <c r="F1585" t="inlineStr">
        <is>
          <t>Outpatient</t>
        </is>
      </c>
      <c r="G1585" t="inlineStr">
        <is>
          <t>Bluestone Outpatient Pavilion</t>
        </is>
      </c>
      <c r="H1585" t="inlineStr">
        <is>
          <t>Primary Care Clinic</t>
        </is>
      </c>
      <c r="I1585" t="inlineStr">
        <is>
          <t>Ambulatory</t>
        </is>
      </c>
      <c r="J1585" t="inlineStr">
        <is>
          <t>Osei, Julie</t>
        </is>
      </c>
      <c r="K1585" t="inlineStr">
        <is>
          <t>I10</t>
        </is>
      </c>
      <c r="L1585" t="inlineStr">
        <is>
          <t>Circulatory</t>
        </is>
      </c>
      <c r="M1585" t="inlineStr">
        <is>
          <t>Medicare</t>
        </is>
      </c>
      <c r="N1585" t="inlineStr">
        <is>
          <t>Government</t>
        </is>
      </c>
      <c r="O1585" s="39" t="n">
        <v>234.48</v>
      </c>
    </row>
    <row r="1586">
      <c r="A1586" t="inlineStr">
        <is>
          <t>ENC119569</t>
        </is>
      </c>
      <c r="B1586" t="inlineStr">
        <is>
          <t>PT12731</t>
        </is>
      </c>
      <c r="C1586" s="42" t="n">
        <v>45954</v>
      </c>
      <c r="D1586" s="42" t="n">
        <v>45954</v>
      </c>
      <c r="E1586" s="38" t="n">
        <v>0</v>
      </c>
      <c r="F1586" t="inlineStr">
        <is>
          <t>Outpatient</t>
        </is>
      </c>
      <c r="G1586" t="inlineStr">
        <is>
          <t>Bluestone Outpatient Pavilion</t>
        </is>
      </c>
      <c r="H1586" t="inlineStr">
        <is>
          <t>Primary Care Clinic</t>
        </is>
      </c>
      <c r="I1586" t="inlineStr">
        <is>
          <t>Ambulatory</t>
        </is>
      </c>
      <c r="J1586" t="inlineStr">
        <is>
          <t>Osei, Julie</t>
        </is>
      </c>
      <c r="K1586" t="inlineStr">
        <is>
          <t>Z00.00</t>
        </is>
      </c>
      <c r="L1586" t="inlineStr">
        <is>
          <t>Factors Influencing Health</t>
        </is>
      </c>
      <c r="M1586" t="inlineStr">
        <is>
          <t>Evergreen Mutual Insurance</t>
        </is>
      </c>
      <c r="N1586" t="inlineStr">
        <is>
          <t>Commercial</t>
        </is>
      </c>
      <c r="O1586" s="39" t="n">
        <v>429.08</v>
      </c>
    </row>
    <row r="1587">
      <c r="A1587" t="inlineStr">
        <is>
          <t>ENC119571</t>
        </is>
      </c>
      <c r="B1587" t="inlineStr">
        <is>
          <t>PT11153</t>
        </is>
      </c>
      <c r="C1587" s="42" t="n">
        <v>45954</v>
      </c>
      <c r="D1587" s="42" t="n">
        <v>45954</v>
      </c>
      <c r="E1587" s="38" t="n">
        <v>0</v>
      </c>
      <c r="F1587" t="inlineStr">
        <is>
          <t>Emergency</t>
        </is>
      </c>
      <c r="G1587" t="inlineStr">
        <is>
          <t>Bluestone Memorial Hospital</t>
        </is>
      </c>
      <c r="H1587" t="inlineStr">
        <is>
          <t>Emergency Department</t>
        </is>
      </c>
      <c r="I1587" t="inlineStr">
        <is>
          <t>Emergency</t>
        </is>
      </c>
      <c r="J1587" t="inlineStr">
        <is>
          <t>Foster, Patrick</t>
        </is>
      </c>
      <c r="K1587" t="inlineStr">
        <is>
          <t>H66.90</t>
        </is>
      </c>
      <c r="L1587" t="inlineStr">
        <is>
          <t>Ear</t>
        </is>
      </c>
      <c r="M1587" t="inlineStr">
        <is>
          <t>Evergreen Mutual Insurance</t>
        </is>
      </c>
      <c r="N1587" t="inlineStr">
        <is>
          <t>Commercial</t>
        </is>
      </c>
      <c r="O1587" s="39" t="n">
        <v>1817.76</v>
      </c>
    </row>
    <row r="1588">
      <c r="A1588" t="inlineStr">
        <is>
          <t>ENC119574</t>
        </is>
      </c>
      <c r="B1588" t="inlineStr">
        <is>
          <t>PT10674</t>
        </is>
      </c>
      <c r="C1588" s="42" t="n">
        <v>45954</v>
      </c>
      <c r="D1588" s="42" t="n">
        <v>45956</v>
      </c>
      <c r="E1588" s="38" t="n">
        <v>2</v>
      </c>
      <c r="F1588" t="inlineStr">
        <is>
          <t>Inpatient</t>
        </is>
      </c>
      <c r="G1588" t="inlineStr">
        <is>
          <t>Ashby Falls Community Hospital</t>
        </is>
      </c>
      <c r="H1588" t="inlineStr">
        <is>
          <t>Medical-Surgical</t>
        </is>
      </c>
      <c r="I1588" t="inlineStr">
        <is>
          <t>Medicine</t>
        </is>
      </c>
      <c r="J1588" t="inlineStr">
        <is>
          <t>Murray, Stephanie</t>
        </is>
      </c>
      <c r="K1588" t="inlineStr">
        <is>
          <t>A41.9</t>
        </is>
      </c>
      <c r="L1588" t="inlineStr">
        <is>
          <t>Infectious</t>
        </is>
      </c>
      <c r="M1588" t="inlineStr">
        <is>
          <t>Medicare</t>
        </is>
      </c>
      <c r="N1588" t="inlineStr">
        <is>
          <t>Government</t>
        </is>
      </c>
      <c r="O1588" s="39" t="n">
        <v>27031.9</v>
      </c>
      <c r="P1588" t="inlineStr">
        <is>
          <t>N</t>
        </is>
      </c>
    </row>
    <row r="1589">
      <c r="A1589" t="inlineStr">
        <is>
          <t>ENC119583</t>
        </is>
      </c>
      <c r="B1589" t="inlineStr">
        <is>
          <t>PT10135</t>
        </is>
      </c>
      <c r="C1589" s="42" t="n">
        <v>45954</v>
      </c>
      <c r="D1589" s="42" t="n">
        <v>45958</v>
      </c>
      <c r="E1589" s="38" t="n">
        <v>4</v>
      </c>
      <c r="F1589" t="inlineStr">
        <is>
          <t>Inpatient</t>
        </is>
      </c>
      <c r="G1589" t="inlineStr">
        <is>
          <t>Ashby Falls Community Hospital</t>
        </is>
      </c>
      <c r="H1589" t="inlineStr">
        <is>
          <t>Medical-Surgical</t>
        </is>
      </c>
      <c r="I1589" t="inlineStr">
        <is>
          <t>Medicine</t>
        </is>
      </c>
      <c r="J1589" t="inlineStr">
        <is>
          <t>Moreno, Melissa</t>
        </is>
      </c>
      <c r="K1589" t="inlineStr">
        <is>
          <t>E87.1</t>
        </is>
      </c>
      <c r="L1589" t="inlineStr">
        <is>
          <t>Endocrine</t>
        </is>
      </c>
      <c r="M1589" t="inlineStr">
        <is>
          <t>State Medicaid</t>
        </is>
      </c>
      <c r="N1589" t="inlineStr">
        <is>
          <t>Government</t>
        </is>
      </c>
      <c r="O1589" s="39" t="n">
        <v>18052.99</v>
      </c>
      <c r="P1589" t="inlineStr">
        <is>
          <t>N</t>
        </is>
      </c>
    </row>
    <row r="1590">
      <c r="A1590" t="inlineStr">
        <is>
          <t>ENC119585</t>
        </is>
      </c>
      <c r="B1590" t="inlineStr">
        <is>
          <t>PT12280</t>
        </is>
      </c>
      <c r="C1590" s="42" t="n">
        <v>45954</v>
      </c>
      <c r="D1590" s="42" t="n">
        <v>45955</v>
      </c>
      <c r="E1590" s="38" t="n">
        <v>1</v>
      </c>
      <c r="F1590" t="inlineStr">
        <is>
          <t>Emergency</t>
        </is>
      </c>
      <c r="G1590" t="inlineStr">
        <is>
          <t>Bluestone Memorial Hospital</t>
        </is>
      </c>
      <c r="H1590" t="inlineStr">
        <is>
          <t>Emergency Department</t>
        </is>
      </c>
      <c r="I1590" t="inlineStr">
        <is>
          <t>Emergency</t>
        </is>
      </c>
      <c r="J1590" t="inlineStr">
        <is>
          <t>Kowalski, James</t>
        </is>
      </c>
      <c r="K1590" t="inlineStr">
        <is>
          <t>R55</t>
        </is>
      </c>
      <c r="L1590" t="inlineStr">
        <is>
          <t>Symptoms &amp; Signs</t>
        </is>
      </c>
      <c r="M1590" t="inlineStr">
        <is>
          <t>Self-Pay</t>
        </is>
      </c>
      <c r="N1590" t="inlineStr">
        <is>
          <t>Self-Pay</t>
        </is>
      </c>
      <c r="O1590" s="39" t="n">
        <v>3276.65</v>
      </c>
    </row>
    <row r="1591">
      <c r="A1591" t="inlineStr">
        <is>
          <t>ENC119595</t>
        </is>
      </c>
      <c r="B1591" t="inlineStr">
        <is>
          <t>PT10874</t>
        </is>
      </c>
      <c r="C1591" s="42" t="n">
        <v>45955</v>
      </c>
      <c r="D1591" s="42" t="n">
        <v>45964</v>
      </c>
      <c r="E1591" s="38" t="n">
        <v>9</v>
      </c>
      <c r="F1591" t="inlineStr">
        <is>
          <t>Inpatient</t>
        </is>
      </c>
      <c r="G1591" t="inlineStr">
        <is>
          <t>Bluestone Memorial Hospital</t>
        </is>
      </c>
      <c r="H1591" t="inlineStr">
        <is>
          <t>Intensive Care Unit</t>
        </is>
      </c>
      <c r="I1591" t="inlineStr">
        <is>
          <t>Critical Care</t>
        </is>
      </c>
      <c r="J1591" t="inlineStr">
        <is>
          <t>Hawkins, Bruce</t>
        </is>
      </c>
      <c r="K1591" t="inlineStr">
        <is>
          <t>J96.01</t>
        </is>
      </c>
      <c r="L1591" t="inlineStr">
        <is>
          <t>Respiratory</t>
        </is>
      </c>
      <c r="M1591" t="inlineStr">
        <is>
          <t>Medicare</t>
        </is>
      </c>
      <c r="N1591" t="inlineStr">
        <is>
          <t>Government</t>
        </is>
      </c>
      <c r="O1591" s="39" t="n">
        <v>101532.82</v>
      </c>
      <c r="P1591" t="inlineStr">
        <is>
          <t>N</t>
        </is>
      </c>
    </row>
    <row r="1592">
      <c r="A1592" t="inlineStr">
        <is>
          <t>ENC119599</t>
        </is>
      </c>
      <c r="B1592" t="inlineStr">
        <is>
          <t>PT10514</t>
        </is>
      </c>
      <c r="C1592" s="42" t="n">
        <v>45956</v>
      </c>
      <c r="D1592" s="42" t="n">
        <v>45956</v>
      </c>
      <c r="E1592" s="38" t="n">
        <v>0</v>
      </c>
      <c r="F1592" t="inlineStr">
        <is>
          <t>Emergency</t>
        </is>
      </c>
      <c r="G1592" t="inlineStr">
        <is>
          <t>Bluestone Memorial Hospital</t>
        </is>
      </c>
      <c r="H1592" t="inlineStr">
        <is>
          <t>Emergency Department</t>
        </is>
      </c>
      <c r="I1592" t="inlineStr">
        <is>
          <t>Emergency</t>
        </is>
      </c>
      <c r="J1592" t="inlineStr">
        <is>
          <t>Morris, Jordan</t>
        </is>
      </c>
      <c r="K1592" t="inlineStr">
        <is>
          <t>F20.9</t>
        </is>
      </c>
      <c r="L1592" t="inlineStr">
        <is>
          <t>Mental &amp; Behavioral</t>
        </is>
      </c>
      <c r="M1592" t="inlineStr">
        <is>
          <t>Evergreen Mutual Insurance</t>
        </is>
      </c>
      <c r="N1592" t="inlineStr">
        <is>
          <t>Commercial</t>
        </is>
      </c>
      <c r="O1592" s="39" t="n">
        <v>8241.690000000001</v>
      </c>
    </row>
    <row r="1593">
      <c r="A1593" t="inlineStr">
        <is>
          <t>ENC119603</t>
        </is>
      </c>
      <c r="B1593" t="inlineStr">
        <is>
          <t>PT12502</t>
        </is>
      </c>
      <c r="C1593" s="42" t="n">
        <v>45956</v>
      </c>
      <c r="D1593" s="42" t="n">
        <v>45964</v>
      </c>
      <c r="E1593" s="38" t="n">
        <v>8</v>
      </c>
      <c r="F1593" t="inlineStr">
        <is>
          <t>Inpatient</t>
        </is>
      </c>
      <c r="G1593" t="inlineStr">
        <is>
          <t>Bluestone Memorial Hospital</t>
        </is>
      </c>
      <c r="H1593" t="inlineStr">
        <is>
          <t>Neuroscience &amp; Stroke</t>
        </is>
      </c>
      <c r="I1593" t="inlineStr">
        <is>
          <t>Neuroscience</t>
        </is>
      </c>
      <c r="J1593" t="inlineStr">
        <is>
          <t>Stone, Frank</t>
        </is>
      </c>
      <c r="K1593" t="inlineStr">
        <is>
          <t>I63.9</t>
        </is>
      </c>
      <c r="L1593" t="inlineStr">
        <is>
          <t>Circulatory</t>
        </is>
      </c>
      <c r="M1593" t="inlineStr">
        <is>
          <t>Medicare</t>
        </is>
      </c>
      <c r="N1593" t="inlineStr">
        <is>
          <t>Government</t>
        </is>
      </c>
      <c r="O1593" s="39" t="n">
        <v>39743.28</v>
      </c>
      <c r="P1593" t="inlineStr">
        <is>
          <t>Y</t>
        </is>
      </c>
    </row>
    <row r="1594">
      <c r="A1594" t="inlineStr">
        <is>
          <t>ENC119610</t>
        </is>
      </c>
      <c r="B1594" t="inlineStr">
        <is>
          <t>PT12717</t>
        </is>
      </c>
      <c r="C1594" s="42" t="n">
        <v>45956</v>
      </c>
      <c r="D1594" s="42" t="n">
        <v>45956</v>
      </c>
      <c r="E1594" s="38" t="n">
        <v>0</v>
      </c>
      <c r="F1594" t="inlineStr">
        <is>
          <t>Emergency</t>
        </is>
      </c>
      <c r="G1594" t="inlineStr">
        <is>
          <t>Bluestone Memorial Hospital</t>
        </is>
      </c>
      <c r="H1594" t="inlineStr">
        <is>
          <t>Emergency Department</t>
        </is>
      </c>
      <c r="I1594" t="inlineStr">
        <is>
          <t>Emergency</t>
        </is>
      </c>
      <c r="J1594" t="inlineStr">
        <is>
          <t>Gonzales, Mia</t>
        </is>
      </c>
      <c r="K1594" t="inlineStr">
        <is>
          <t>J44.1</t>
        </is>
      </c>
      <c r="L1594" t="inlineStr">
        <is>
          <t>Respiratory</t>
        </is>
      </c>
      <c r="M1594" t="inlineStr">
        <is>
          <t>Evergreen Mutual Insurance</t>
        </is>
      </c>
      <c r="N1594" t="inlineStr">
        <is>
          <t>Commercial</t>
        </is>
      </c>
      <c r="O1594" s="39" t="n">
        <v>2956.41</v>
      </c>
    </row>
    <row r="1595">
      <c r="A1595" t="inlineStr">
        <is>
          <t>ENC119613</t>
        </is>
      </c>
      <c r="B1595" t="inlineStr">
        <is>
          <t>PT11289</t>
        </is>
      </c>
      <c r="C1595" s="42" t="n">
        <v>45957</v>
      </c>
      <c r="D1595" s="42" t="n">
        <v>45959</v>
      </c>
      <c r="E1595" s="38" t="n">
        <v>2</v>
      </c>
      <c r="F1595" t="inlineStr">
        <is>
          <t>Inpatient</t>
        </is>
      </c>
      <c r="G1595" t="inlineStr">
        <is>
          <t>Cedar Ridge Medical Center</t>
        </is>
      </c>
      <c r="H1595" t="inlineStr">
        <is>
          <t>Cardiac Step-Down</t>
        </is>
      </c>
      <c r="I1595" t="inlineStr">
        <is>
          <t>Cardiovascular</t>
        </is>
      </c>
      <c r="J1595" t="inlineStr">
        <is>
          <t>Vazquez, Leila</t>
        </is>
      </c>
      <c r="K1595" t="inlineStr">
        <is>
          <t>I48.91</t>
        </is>
      </c>
      <c r="L1595" t="inlineStr">
        <is>
          <t>Circulatory</t>
        </is>
      </c>
      <c r="M1595" t="inlineStr">
        <is>
          <t>Self-Pay</t>
        </is>
      </c>
      <c r="N1595" t="inlineStr">
        <is>
          <t>Self-Pay</t>
        </is>
      </c>
      <c r="O1595" s="39" t="n">
        <v>14776.77</v>
      </c>
      <c r="P1595" t="inlineStr">
        <is>
          <t>N</t>
        </is>
      </c>
    </row>
    <row r="1596">
      <c r="A1596" t="inlineStr">
        <is>
          <t>ENC119630</t>
        </is>
      </c>
      <c r="B1596" t="inlineStr">
        <is>
          <t>PT13850</t>
        </is>
      </c>
      <c r="C1596" s="42" t="n">
        <v>45957</v>
      </c>
      <c r="D1596" s="42" t="n">
        <v>45957</v>
      </c>
      <c r="E1596" s="38" t="n">
        <v>0</v>
      </c>
      <c r="F1596" t="inlineStr">
        <is>
          <t>Outpatient</t>
        </is>
      </c>
      <c r="G1596" t="inlineStr">
        <is>
          <t>Bluestone Outpatient Pavilion</t>
        </is>
      </c>
      <c r="H1596" t="inlineStr">
        <is>
          <t>Primary Care Clinic</t>
        </is>
      </c>
      <c r="I1596" t="inlineStr">
        <is>
          <t>Ambulatory</t>
        </is>
      </c>
      <c r="J1596" t="inlineStr">
        <is>
          <t>Black, Kelly</t>
        </is>
      </c>
      <c r="K1596" t="inlineStr">
        <is>
          <t>F41.9</t>
        </is>
      </c>
      <c r="L1596" t="inlineStr">
        <is>
          <t>Mental &amp; Behavioral</t>
        </is>
      </c>
      <c r="M1596" t="inlineStr">
        <is>
          <t>Medicare</t>
        </is>
      </c>
      <c r="N1596" t="inlineStr">
        <is>
          <t>Government</t>
        </is>
      </c>
      <c r="O1596" s="39" t="n">
        <v>382.12</v>
      </c>
    </row>
    <row r="1597">
      <c r="A1597" t="inlineStr">
        <is>
          <t>ENC119634</t>
        </is>
      </c>
      <c r="B1597" t="inlineStr">
        <is>
          <t>PT11692</t>
        </is>
      </c>
      <c r="C1597" s="42" t="n">
        <v>45957</v>
      </c>
      <c r="D1597" s="42" t="n">
        <v>45957</v>
      </c>
      <c r="E1597" s="38" t="n">
        <v>0</v>
      </c>
      <c r="F1597" t="inlineStr">
        <is>
          <t>Emergency</t>
        </is>
      </c>
      <c r="G1597" t="inlineStr">
        <is>
          <t>Bluestone Memorial Hospital</t>
        </is>
      </c>
      <c r="H1597" t="inlineStr">
        <is>
          <t>Emergency Department</t>
        </is>
      </c>
      <c r="I1597" t="inlineStr">
        <is>
          <t>Emergency</t>
        </is>
      </c>
      <c r="J1597" t="inlineStr">
        <is>
          <t>Kowalski, James</t>
        </is>
      </c>
      <c r="K1597" t="inlineStr">
        <is>
          <t>S93.401A</t>
        </is>
      </c>
      <c r="L1597" t="inlineStr">
        <is>
          <t>Injury</t>
        </is>
      </c>
      <c r="M1597" t="inlineStr">
        <is>
          <t>Evergreen Mutual Insurance</t>
        </is>
      </c>
      <c r="N1597" t="inlineStr">
        <is>
          <t>Commercial</t>
        </is>
      </c>
      <c r="O1597" s="39" t="n">
        <v>791.22</v>
      </c>
    </row>
    <row r="1598">
      <c r="A1598" t="inlineStr">
        <is>
          <t>ENC119623</t>
        </is>
      </c>
      <c r="B1598" t="inlineStr">
        <is>
          <t>PT13821</t>
        </is>
      </c>
      <c r="C1598" s="42" t="n">
        <v>45957</v>
      </c>
      <c r="D1598" s="42" t="n">
        <v>45959</v>
      </c>
      <c r="E1598" s="38" t="n">
        <v>2</v>
      </c>
      <c r="F1598" t="inlineStr">
        <is>
          <t>Inpatient</t>
        </is>
      </c>
      <c r="G1598" t="inlineStr">
        <is>
          <t>Cedar Ridge Medical Center</t>
        </is>
      </c>
      <c r="H1598" t="inlineStr">
        <is>
          <t>Medical-Surgical</t>
        </is>
      </c>
      <c r="I1598" t="inlineStr">
        <is>
          <t>Medicine</t>
        </is>
      </c>
      <c r="J1598" t="inlineStr">
        <is>
          <t>Peters, Frank</t>
        </is>
      </c>
      <c r="K1598" t="inlineStr">
        <is>
          <t>E11.65</t>
        </is>
      </c>
      <c r="L1598" t="inlineStr">
        <is>
          <t>Endocrine</t>
        </is>
      </c>
      <c r="M1598" t="inlineStr">
        <is>
          <t>Summit Choice PPO</t>
        </is>
      </c>
      <c r="N1598" t="inlineStr">
        <is>
          <t>Commercial</t>
        </is>
      </c>
      <c r="O1598" s="39" t="n">
        <v>18152.48</v>
      </c>
      <c r="P1598" t="inlineStr">
        <is>
          <t>N</t>
        </is>
      </c>
    </row>
    <row r="1599">
      <c r="A1599" t="inlineStr">
        <is>
          <t>ENC119626</t>
        </is>
      </c>
      <c r="B1599" t="inlineStr">
        <is>
          <t>PT11258</t>
        </is>
      </c>
      <c r="C1599" s="42" t="n">
        <v>45957</v>
      </c>
      <c r="D1599" s="42" t="n">
        <v>45960</v>
      </c>
      <c r="E1599" s="38" t="n">
        <v>3</v>
      </c>
      <c r="F1599" t="inlineStr">
        <is>
          <t>Inpatient</t>
        </is>
      </c>
      <c r="G1599" t="inlineStr">
        <is>
          <t>Cedar Ridge Medical Center</t>
        </is>
      </c>
      <c r="H1599" t="inlineStr">
        <is>
          <t>Intensive Care Unit</t>
        </is>
      </c>
      <c r="I1599" t="inlineStr">
        <is>
          <t>Critical Care</t>
        </is>
      </c>
      <c r="J1599" t="inlineStr">
        <is>
          <t>White, Danielle</t>
        </is>
      </c>
      <c r="K1599" t="inlineStr">
        <is>
          <t>K92.2</t>
        </is>
      </c>
      <c r="L1599" t="inlineStr">
        <is>
          <t>Digestive</t>
        </is>
      </c>
      <c r="M1599" t="inlineStr">
        <is>
          <t>State Medicaid</t>
        </is>
      </c>
      <c r="N1599" t="inlineStr">
        <is>
          <t>Government</t>
        </is>
      </c>
      <c r="O1599" s="39" t="n">
        <v>39733.82</v>
      </c>
      <c r="P1599" t="inlineStr">
        <is>
          <t>N</t>
        </is>
      </c>
    </row>
    <row r="1600">
      <c r="A1600" t="inlineStr">
        <is>
          <t>ENC119643</t>
        </is>
      </c>
      <c r="B1600" t="inlineStr">
        <is>
          <t>PT12399</t>
        </is>
      </c>
      <c r="C1600" s="42" t="n">
        <v>45957</v>
      </c>
      <c r="D1600" s="42" t="n">
        <v>45958</v>
      </c>
      <c r="E1600" s="38" t="n">
        <v>1</v>
      </c>
      <c r="F1600" t="inlineStr">
        <is>
          <t>Emergency</t>
        </is>
      </c>
      <c r="G1600" t="inlineStr">
        <is>
          <t>Bluestone Memorial Hospital</t>
        </is>
      </c>
      <c r="H1600" t="inlineStr">
        <is>
          <t>Emergency Department</t>
        </is>
      </c>
      <c r="I1600" t="inlineStr">
        <is>
          <t>Emergency</t>
        </is>
      </c>
      <c r="J1600" t="inlineStr">
        <is>
          <t>Sullivan, Jacob</t>
        </is>
      </c>
      <c r="K1600" t="inlineStr">
        <is>
          <t>U07.1</t>
        </is>
      </c>
      <c r="L1600" t="inlineStr">
        <is>
          <t>Respiratory</t>
        </is>
      </c>
      <c r="M1600" t="inlineStr">
        <is>
          <t>Silverline Medicare Advantage</t>
        </is>
      </c>
      <c r="N1600" t="inlineStr">
        <is>
          <t>Medicare Advantage</t>
        </is>
      </c>
      <c r="O1600" s="39" t="n">
        <v>3371.82</v>
      </c>
    </row>
    <row r="1601">
      <c r="A1601" t="inlineStr">
        <is>
          <t>ENC119646</t>
        </is>
      </c>
      <c r="B1601" t="inlineStr">
        <is>
          <t>PT13681</t>
        </is>
      </c>
      <c r="C1601" s="42" t="n">
        <v>45958</v>
      </c>
      <c r="D1601" s="42" t="n">
        <v>45958</v>
      </c>
      <c r="E1601" s="38" t="n">
        <v>0</v>
      </c>
      <c r="F1601" t="inlineStr">
        <is>
          <t>Emergency</t>
        </is>
      </c>
      <c r="G1601" t="inlineStr">
        <is>
          <t>Bluestone Memorial Hospital</t>
        </is>
      </c>
      <c r="H1601" t="inlineStr">
        <is>
          <t>Emergency Department</t>
        </is>
      </c>
      <c r="I1601" t="inlineStr">
        <is>
          <t>Emergency</t>
        </is>
      </c>
      <c r="J1601" t="inlineStr">
        <is>
          <t>Vasquez, Bruce</t>
        </is>
      </c>
      <c r="K1601" t="inlineStr">
        <is>
          <t>K80.20</t>
        </is>
      </c>
      <c r="L1601" t="inlineStr">
        <is>
          <t>Digestive</t>
        </is>
      </c>
      <c r="M1601" t="inlineStr">
        <is>
          <t>Summit Choice PPO</t>
        </is>
      </c>
      <c r="N1601" t="inlineStr">
        <is>
          <t>Commercial</t>
        </is>
      </c>
      <c r="O1601" s="39" t="n">
        <v>6270.33</v>
      </c>
    </row>
    <row r="1602">
      <c r="A1602" t="inlineStr">
        <is>
          <t>ENC119654</t>
        </is>
      </c>
      <c r="B1602" t="inlineStr">
        <is>
          <t>PT11222</t>
        </is>
      </c>
      <c r="C1602" s="42" t="n">
        <v>45958</v>
      </c>
      <c r="D1602" s="42" t="n">
        <v>45964</v>
      </c>
      <c r="E1602" s="38" t="n">
        <v>6</v>
      </c>
      <c r="F1602" t="inlineStr">
        <is>
          <t>Inpatient</t>
        </is>
      </c>
      <c r="G1602" t="inlineStr">
        <is>
          <t>Ashby Falls Community Hospital</t>
        </is>
      </c>
      <c r="H1602" t="inlineStr">
        <is>
          <t>Medical-Surgical</t>
        </is>
      </c>
      <c r="I1602" t="inlineStr">
        <is>
          <t>Medicine</t>
        </is>
      </c>
      <c r="J1602" t="inlineStr">
        <is>
          <t>Moreno, Melissa</t>
        </is>
      </c>
      <c r="K1602" t="inlineStr">
        <is>
          <t>I48.91</t>
        </is>
      </c>
      <c r="L1602" t="inlineStr">
        <is>
          <t>Circulatory</t>
        </is>
      </c>
      <c r="M1602" t="inlineStr">
        <is>
          <t>Keystone Health Partners</t>
        </is>
      </c>
      <c r="N1602" t="inlineStr">
        <is>
          <t>Commercial</t>
        </is>
      </c>
      <c r="O1602" s="39" t="n">
        <v>32733.97</v>
      </c>
      <c r="P1602" t="inlineStr">
        <is>
          <t>N</t>
        </is>
      </c>
    </row>
    <row r="1603">
      <c r="A1603" t="inlineStr">
        <is>
          <t>ENC119673</t>
        </is>
      </c>
      <c r="B1603" t="inlineStr">
        <is>
          <t>PT12312</t>
        </is>
      </c>
      <c r="C1603" s="42" t="n">
        <v>45958</v>
      </c>
      <c r="D1603" s="42" t="n">
        <v>45958</v>
      </c>
      <c r="E1603" s="38" t="n">
        <v>0</v>
      </c>
      <c r="F1603" t="inlineStr">
        <is>
          <t>Outpatient</t>
        </is>
      </c>
      <c r="G1603" t="inlineStr">
        <is>
          <t>Bluestone Outpatient Pavilion</t>
        </is>
      </c>
      <c r="H1603" t="inlineStr">
        <is>
          <t>Endocrinology &amp; Diabetes Clinic</t>
        </is>
      </c>
      <c r="I1603" t="inlineStr">
        <is>
          <t>Ambulatory</t>
        </is>
      </c>
      <c r="J1603" t="inlineStr">
        <is>
          <t>Lee, Amber</t>
        </is>
      </c>
      <c r="K1603" t="inlineStr">
        <is>
          <t>E11.65</t>
        </is>
      </c>
      <c r="L1603" t="inlineStr">
        <is>
          <t>Endocrine</t>
        </is>
      </c>
      <c r="M1603" t="inlineStr">
        <is>
          <t>Medicare</t>
        </is>
      </c>
      <c r="N1603" t="inlineStr">
        <is>
          <t>Government</t>
        </is>
      </c>
      <c r="O1603" s="39" t="n">
        <v>458.87</v>
      </c>
    </row>
    <row r="1604">
      <c r="A1604" t="inlineStr">
        <is>
          <t>ENC119679</t>
        </is>
      </c>
      <c r="B1604" t="inlineStr">
        <is>
          <t>PT10014</t>
        </is>
      </c>
      <c r="C1604" s="42" t="n">
        <v>45958</v>
      </c>
      <c r="D1604" s="42" t="n">
        <v>45958</v>
      </c>
      <c r="E1604" s="38" t="n">
        <v>0</v>
      </c>
      <c r="F1604" t="inlineStr">
        <is>
          <t>Emergency</t>
        </is>
      </c>
      <c r="G1604" t="inlineStr">
        <is>
          <t>Bluestone Memorial Hospital</t>
        </is>
      </c>
      <c r="H1604" t="inlineStr">
        <is>
          <t>Emergency Department</t>
        </is>
      </c>
      <c r="I1604" t="inlineStr">
        <is>
          <t>Emergency</t>
        </is>
      </c>
      <c r="J1604" t="inlineStr">
        <is>
          <t>Morris, Jordan</t>
        </is>
      </c>
      <c r="K1604" t="inlineStr">
        <is>
          <t>E86.0</t>
        </is>
      </c>
      <c r="L1604" t="inlineStr">
        <is>
          <t>Endocrine</t>
        </is>
      </c>
      <c r="M1604" t="inlineStr">
        <is>
          <t>State Medicaid</t>
        </is>
      </c>
      <c r="N1604" t="inlineStr">
        <is>
          <t>Government</t>
        </is>
      </c>
      <c r="O1604" s="39" t="n">
        <v>1984.41</v>
      </c>
    </row>
    <row r="1605">
      <c r="A1605" t="inlineStr">
        <is>
          <t>ENC119682</t>
        </is>
      </c>
      <c r="B1605" t="inlineStr">
        <is>
          <t>PT13315</t>
        </is>
      </c>
      <c r="C1605" s="42" t="n">
        <v>45958</v>
      </c>
      <c r="D1605" s="42" t="n">
        <v>45958</v>
      </c>
      <c r="E1605" s="38" t="n">
        <v>0</v>
      </c>
      <c r="F1605" t="inlineStr">
        <is>
          <t>Emergency</t>
        </is>
      </c>
      <c r="G1605" t="inlineStr">
        <is>
          <t>Ashby Falls Community Hospital</t>
        </is>
      </c>
      <c r="H1605" t="inlineStr">
        <is>
          <t>Emergency Department</t>
        </is>
      </c>
      <c r="I1605" t="inlineStr">
        <is>
          <t>Emergency</t>
        </is>
      </c>
      <c r="J1605" t="inlineStr">
        <is>
          <t>Marshall, Lisa</t>
        </is>
      </c>
      <c r="K1605" t="inlineStr">
        <is>
          <t>G43.909</t>
        </is>
      </c>
      <c r="L1605" t="inlineStr">
        <is>
          <t>Nervous System</t>
        </is>
      </c>
      <c r="M1605" t="inlineStr">
        <is>
          <t>Summit Choice PPO</t>
        </is>
      </c>
      <c r="N1605" t="inlineStr">
        <is>
          <t>Commercial</t>
        </is>
      </c>
      <c r="O1605" s="39" t="n">
        <v>1434.76</v>
      </c>
    </row>
    <row r="1606">
      <c r="A1606" t="inlineStr">
        <is>
          <t>ENC119685</t>
        </is>
      </c>
      <c r="B1606" t="inlineStr">
        <is>
          <t>PT12524</t>
        </is>
      </c>
      <c r="C1606" s="42" t="n">
        <v>45958</v>
      </c>
      <c r="D1606" s="42" t="n">
        <v>45963</v>
      </c>
      <c r="E1606" s="38" t="n">
        <v>5</v>
      </c>
      <c r="F1606" t="inlineStr">
        <is>
          <t>Inpatient</t>
        </is>
      </c>
      <c r="G1606" t="inlineStr">
        <is>
          <t>Bluestone Memorial Hospital</t>
        </is>
      </c>
      <c r="H1606" t="inlineStr">
        <is>
          <t>Medical-Surgical 5 East</t>
        </is>
      </c>
      <c r="I1606" t="inlineStr">
        <is>
          <t>Medicine</t>
        </is>
      </c>
      <c r="J1606" t="inlineStr">
        <is>
          <t>Price, Juan</t>
        </is>
      </c>
      <c r="K1606" t="inlineStr">
        <is>
          <t>K92.2</t>
        </is>
      </c>
      <c r="L1606" t="inlineStr">
        <is>
          <t>Digestive</t>
        </is>
      </c>
      <c r="M1606" t="inlineStr">
        <is>
          <t>Medicare</t>
        </is>
      </c>
      <c r="N1606" t="inlineStr">
        <is>
          <t>Government</t>
        </is>
      </c>
      <c r="O1606" s="39" t="n">
        <v>18289.11</v>
      </c>
      <c r="P1606" t="inlineStr">
        <is>
          <t>N</t>
        </is>
      </c>
    </row>
    <row r="1607">
      <c r="A1607" t="inlineStr">
        <is>
          <t>ENC119677</t>
        </is>
      </c>
      <c r="B1607" t="inlineStr">
        <is>
          <t>PT12300</t>
        </is>
      </c>
      <c r="C1607" s="42" t="n">
        <v>45958</v>
      </c>
      <c r="D1607" s="42" t="n">
        <v>45960</v>
      </c>
      <c r="E1607" s="38" t="n">
        <v>2</v>
      </c>
      <c r="F1607" t="inlineStr">
        <is>
          <t>Inpatient</t>
        </is>
      </c>
      <c r="G1607" t="inlineStr">
        <is>
          <t>Bluestone Memorial Hospital</t>
        </is>
      </c>
      <c r="H1607" t="inlineStr">
        <is>
          <t>Neuroscience &amp; Stroke</t>
        </is>
      </c>
      <c r="I1607" t="inlineStr">
        <is>
          <t>Neuroscience</t>
        </is>
      </c>
      <c r="J1607" t="inlineStr">
        <is>
          <t>Garcia, Alexis</t>
        </is>
      </c>
      <c r="K1607" t="inlineStr">
        <is>
          <t>G40.909</t>
        </is>
      </c>
      <c r="L1607" t="inlineStr">
        <is>
          <t>Nervous System</t>
        </is>
      </c>
      <c r="M1607" t="inlineStr">
        <is>
          <t>Summit Choice PPO</t>
        </is>
      </c>
      <c r="N1607" t="inlineStr">
        <is>
          <t>Commercial</t>
        </is>
      </c>
      <c r="O1607" s="39" t="n">
        <v>17228.74</v>
      </c>
      <c r="P1607" t="inlineStr">
        <is>
          <t>N</t>
        </is>
      </c>
    </row>
    <row r="1608">
      <c r="A1608" t="inlineStr">
        <is>
          <t>ENC119707</t>
        </is>
      </c>
      <c r="B1608" t="inlineStr">
        <is>
          <t>PT13616</t>
        </is>
      </c>
      <c r="C1608" s="42" t="n">
        <v>45959</v>
      </c>
      <c r="D1608" s="42" t="n">
        <v>45959</v>
      </c>
      <c r="E1608" s="38" t="n">
        <v>0</v>
      </c>
      <c r="F1608" t="inlineStr">
        <is>
          <t>Outpatient</t>
        </is>
      </c>
      <c r="G1608" t="inlineStr">
        <is>
          <t>Bluestone Outpatient Pavilion</t>
        </is>
      </c>
      <c r="H1608" t="inlineStr">
        <is>
          <t>Primary Care Clinic</t>
        </is>
      </c>
      <c r="I1608" t="inlineStr">
        <is>
          <t>Ambulatory</t>
        </is>
      </c>
      <c r="J1608" t="inlineStr">
        <is>
          <t>Nguyen, Isabella</t>
        </is>
      </c>
      <c r="K1608" t="inlineStr">
        <is>
          <t>Z00.00</t>
        </is>
      </c>
      <c r="L1608" t="inlineStr">
        <is>
          <t>Factors Influencing Health</t>
        </is>
      </c>
      <c r="M1608" t="inlineStr">
        <is>
          <t>State Medicaid</t>
        </is>
      </c>
      <c r="N1608" t="inlineStr">
        <is>
          <t>Government</t>
        </is>
      </c>
      <c r="O1608" s="39" t="n">
        <v>354.81</v>
      </c>
    </row>
    <row r="1609">
      <c r="A1609" t="inlineStr">
        <is>
          <t>ENC119715</t>
        </is>
      </c>
      <c r="B1609" t="inlineStr">
        <is>
          <t>PT11807</t>
        </is>
      </c>
      <c r="C1609" s="42" t="n">
        <v>45959</v>
      </c>
      <c r="D1609" s="42" t="n">
        <v>45959</v>
      </c>
      <c r="E1609" s="38" t="n">
        <v>0</v>
      </c>
      <c r="F1609" t="inlineStr">
        <is>
          <t>Outpatient</t>
        </is>
      </c>
      <c r="G1609" t="inlineStr">
        <is>
          <t>Bluestone Outpatient Pavilion</t>
        </is>
      </c>
      <c r="H1609" t="inlineStr">
        <is>
          <t>Pediatric Clinic</t>
        </is>
      </c>
      <c r="I1609" t="inlineStr">
        <is>
          <t>Women &amp; Children</t>
        </is>
      </c>
      <c r="J1609" t="inlineStr">
        <is>
          <t>Alvarez, Susan</t>
        </is>
      </c>
      <c r="K1609" t="inlineStr">
        <is>
          <t>Z00.129</t>
        </is>
      </c>
      <c r="L1609" t="inlineStr">
        <is>
          <t>Factors Influencing Health</t>
        </is>
      </c>
      <c r="M1609" t="inlineStr">
        <is>
          <t>Keystone Health Partners</t>
        </is>
      </c>
      <c r="N1609" t="inlineStr">
        <is>
          <t>Commercial</t>
        </is>
      </c>
      <c r="O1609" s="39" t="n">
        <v>314.77</v>
      </c>
    </row>
    <row r="1610">
      <c r="A1610" t="inlineStr">
        <is>
          <t>ENC119726</t>
        </is>
      </c>
      <c r="B1610" t="inlineStr">
        <is>
          <t>PT11743</t>
        </is>
      </c>
      <c r="C1610" s="42" t="n">
        <v>45960</v>
      </c>
      <c r="D1610" s="42" t="n">
        <v>45960</v>
      </c>
      <c r="E1610" s="38" t="n">
        <v>0</v>
      </c>
      <c r="F1610" t="inlineStr">
        <is>
          <t>Outpatient</t>
        </is>
      </c>
      <c r="G1610" t="inlineStr">
        <is>
          <t>Bluestone Outpatient Pavilion</t>
        </is>
      </c>
      <c r="H1610" t="inlineStr">
        <is>
          <t>Primary Care Clinic</t>
        </is>
      </c>
      <c r="I1610" t="inlineStr">
        <is>
          <t>Ambulatory</t>
        </is>
      </c>
      <c r="J1610" t="inlineStr">
        <is>
          <t>Petrov, Doris</t>
        </is>
      </c>
      <c r="K1610" t="inlineStr">
        <is>
          <t>F41.9</t>
        </is>
      </c>
      <c r="L1610" t="inlineStr">
        <is>
          <t>Mental &amp; Behavioral</t>
        </is>
      </c>
      <c r="M1610" t="inlineStr">
        <is>
          <t>Medicare</t>
        </is>
      </c>
      <c r="N1610" t="inlineStr">
        <is>
          <t>Government</t>
        </is>
      </c>
      <c r="O1610" s="39" t="n">
        <v>331.08</v>
      </c>
    </row>
    <row r="1611">
      <c r="A1611" t="inlineStr">
        <is>
          <t>ENC119732</t>
        </is>
      </c>
      <c r="B1611" t="inlineStr">
        <is>
          <t>PT13910</t>
        </is>
      </c>
      <c r="C1611" s="42" t="n">
        <v>45960</v>
      </c>
      <c r="D1611" s="42" t="n">
        <v>45960</v>
      </c>
      <c r="E1611" s="38" t="n">
        <v>0</v>
      </c>
      <c r="F1611" t="inlineStr">
        <is>
          <t>Outpatient</t>
        </is>
      </c>
      <c r="G1611" t="inlineStr">
        <is>
          <t>Bluestone Outpatient Pavilion</t>
        </is>
      </c>
      <c r="H1611" t="inlineStr">
        <is>
          <t>Primary Care Clinic</t>
        </is>
      </c>
      <c r="I1611" t="inlineStr">
        <is>
          <t>Ambulatory</t>
        </is>
      </c>
      <c r="J1611" t="inlineStr">
        <is>
          <t>Myers, Lucia</t>
        </is>
      </c>
      <c r="K1611" t="inlineStr">
        <is>
          <t>F41.9</t>
        </is>
      </c>
      <c r="L1611" t="inlineStr">
        <is>
          <t>Mental &amp; Behavioral</t>
        </is>
      </c>
      <c r="M1611" t="inlineStr">
        <is>
          <t>Keystone Health Partners</t>
        </is>
      </c>
      <c r="N1611" t="inlineStr">
        <is>
          <t>Commercial</t>
        </is>
      </c>
      <c r="O1611" s="39" t="n">
        <v>252.01</v>
      </c>
    </row>
    <row r="1612">
      <c r="A1612" t="inlineStr">
        <is>
          <t>ENC119736</t>
        </is>
      </c>
      <c r="B1612" t="inlineStr">
        <is>
          <t>PT10941</t>
        </is>
      </c>
      <c r="C1612" s="42" t="n">
        <v>45960</v>
      </c>
      <c r="D1612" s="42" t="n">
        <v>45960</v>
      </c>
      <c r="E1612" s="38" t="n">
        <v>0</v>
      </c>
      <c r="F1612" t="inlineStr">
        <is>
          <t>Emergency</t>
        </is>
      </c>
      <c r="G1612" t="inlineStr">
        <is>
          <t>Bluestone Memorial Hospital</t>
        </is>
      </c>
      <c r="H1612" t="inlineStr">
        <is>
          <t>Emergency Department</t>
        </is>
      </c>
      <c r="I1612" t="inlineStr">
        <is>
          <t>Emergency</t>
        </is>
      </c>
      <c r="J1612" t="inlineStr">
        <is>
          <t>Kowalski, James</t>
        </is>
      </c>
      <c r="K1612" t="inlineStr">
        <is>
          <t>N39.0</t>
        </is>
      </c>
      <c r="L1612" t="inlineStr">
        <is>
          <t>Genitourinary</t>
        </is>
      </c>
      <c r="M1612" t="inlineStr">
        <is>
          <t>Medicare</t>
        </is>
      </c>
      <c r="N1612" t="inlineStr">
        <is>
          <t>Government</t>
        </is>
      </c>
      <c r="O1612" s="39" t="n">
        <v>4284.49</v>
      </c>
    </row>
    <row r="1613">
      <c r="A1613" t="inlineStr">
        <is>
          <t>ENC119748</t>
        </is>
      </c>
      <c r="B1613" t="inlineStr">
        <is>
          <t>PT11691</t>
        </is>
      </c>
      <c r="C1613" s="42" t="n">
        <v>45960</v>
      </c>
      <c r="D1613" s="42" t="n">
        <v>45960</v>
      </c>
      <c r="E1613" s="38" t="n">
        <v>0</v>
      </c>
      <c r="F1613" t="inlineStr">
        <is>
          <t>Outpatient</t>
        </is>
      </c>
      <c r="G1613" t="inlineStr">
        <is>
          <t>Bluestone Outpatient Pavilion</t>
        </is>
      </c>
      <c r="H1613" t="inlineStr">
        <is>
          <t>Primary Care Clinic</t>
        </is>
      </c>
      <c r="I1613" t="inlineStr">
        <is>
          <t>Ambulatory</t>
        </is>
      </c>
      <c r="J1613" t="inlineStr">
        <is>
          <t>Black, Nancy</t>
        </is>
      </c>
      <c r="K1613" t="inlineStr">
        <is>
          <t>L03.115</t>
        </is>
      </c>
      <c r="L1613" t="inlineStr">
        <is>
          <t>Skin</t>
        </is>
      </c>
      <c r="M1613" t="inlineStr">
        <is>
          <t>Evergreen Mutual Insurance</t>
        </is>
      </c>
      <c r="N1613" t="inlineStr">
        <is>
          <t>Commercial</t>
        </is>
      </c>
      <c r="O1613" s="39" t="n">
        <v>189.19</v>
      </c>
    </row>
    <row r="1614">
      <c r="A1614" t="inlineStr">
        <is>
          <t>ENC119755</t>
        </is>
      </c>
      <c r="B1614" t="inlineStr">
        <is>
          <t>PT10403</t>
        </is>
      </c>
      <c r="C1614" s="42" t="n">
        <v>45960</v>
      </c>
      <c r="D1614" s="42" t="n">
        <v>45960</v>
      </c>
      <c r="E1614" s="38" t="n">
        <v>0</v>
      </c>
      <c r="F1614" t="inlineStr">
        <is>
          <t>Outpatient</t>
        </is>
      </c>
      <c r="G1614" t="inlineStr">
        <is>
          <t>Bluestone Outpatient Pavilion</t>
        </is>
      </c>
      <c r="H1614" t="inlineStr">
        <is>
          <t>Cardiology Clinic</t>
        </is>
      </c>
      <c r="I1614" t="inlineStr">
        <is>
          <t>Cardiovascular</t>
        </is>
      </c>
      <c r="J1614" t="inlineStr">
        <is>
          <t>Brooks, Edward</t>
        </is>
      </c>
      <c r="K1614" t="inlineStr">
        <is>
          <t>I48.91</t>
        </is>
      </c>
      <c r="L1614" t="inlineStr">
        <is>
          <t>Circulatory</t>
        </is>
      </c>
      <c r="M1614" t="inlineStr">
        <is>
          <t>Medicare</t>
        </is>
      </c>
      <c r="N1614" t="inlineStr">
        <is>
          <t>Government</t>
        </is>
      </c>
      <c r="O1614" s="39" t="n">
        <v>476.9</v>
      </c>
    </row>
    <row r="1615">
      <c r="A1615" t="inlineStr">
        <is>
          <t>ENC119759</t>
        </is>
      </c>
      <c r="B1615" t="inlineStr">
        <is>
          <t>PT13534</t>
        </is>
      </c>
      <c r="C1615" s="42" t="n">
        <v>45961</v>
      </c>
      <c r="D1615" s="42" t="n">
        <v>45966</v>
      </c>
      <c r="E1615" s="38" t="n">
        <v>5</v>
      </c>
      <c r="F1615" t="inlineStr">
        <is>
          <t>Inpatient</t>
        </is>
      </c>
      <c r="G1615" t="inlineStr">
        <is>
          <t>Bluestone Memorial Hospital</t>
        </is>
      </c>
      <c r="H1615" t="inlineStr">
        <is>
          <t>Intensive Care Unit</t>
        </is>
      </c>
      <c r="I1615" t="inlineStr">
        <is>
          <t>Critical Care</t>
        </is>
      </c>
      <c r="J1615" t="inlineStr">
        <is>
          <t>Hawkins, Bruce</t>
        </is>
      </c>
      <c r="K1615" t="inlineStr">
        <is>
          <t>A41.9</t>
        </is>
      </c>
      <c r="L1615" t="inlineStr">
        <is>
          <t>Infectious</t>
        </is>
      </c>
      <c r="M1615" t="inlineStr">
        <is>
          <t>Keystone Health Partners</t>
        </is>
      </c>
      <c r="N1615" t="inlineStr">
        <is>
          <t>Commercial</t>
        </is>
      </c>
      <c r="O1615" s="39" t="n">
        <v>55119.67</v>
      </c>
      <c r="P1615" t="inlineStr">
        <is>
          <t>N</t>
        </is>
      </c>
    </row>
    <row r="1616">
      <c r="A1616" t="inlineStr">
        <is>
          <t>ENC119760</t>
        </is>
      </c>
      <c r="B1616" t="inlineStr">
        <is>
          <t>PT10807</t>
        </is>
      </c>
      <c r="C1616" s="42" t="n">
        <v>45961</v>
      </c>
      <c r="D1616" s="42" t="n">
        <v>45961</v>
      </c>
      <c r="E1616" s="38" t="n">
        <v>0</v>
      </c>
      <c r="F1616" t="inlineStr">
        <is>
          <t>Emergency</t>
        </is>
      </c>
      <c r="G1616" t="inlineStr">
        <is>
          <t>Bluestone Memorial Hospital</t>
        </is>
      </c>
      <c r="H1616" t="inlineStr">
        <is>
          <t>Emergency Department</t>
        </is>
      </c>
      <c r="I1616" t="inlineStr">
        <is>
          <t>Emergency</t>
        </is>
      </c>
      <c r="J1616" t="inlineStr">
        <is>
          <t>Elliott, Jesse</t>
        </is>
      </c>
      <c r="K1616" t="inlineStr">
        <is>
          <t>N39.0</t>
        </is>
      </c>
      <c r="L1616" t="inlineStr">
        <is>
          <t>Genitourinary</t>
        </is>
      </c>
      <c r="M1616" t="inlineStr">
        <is>
          <t>Evergreen Mutual Insurance</t>
        </is>
      </c>
      <c r="N1616" t="inlineStr">
        <is>
          <t>Commercial</t>
        </is>
      </c>
      <c r="O1616" s="39" t="n">
        <v>3965.35</v>
      </c>
    </row>
    <row r="1617">
      <c r="A1617" t="inlineStr">
        <is>
          <t>ENC119766</t>
        </is>
      </c>
      <c r="B1617" t="inlineStr">
        <is>
          <t>PT11628</t>
        </is>
      </c>
      <c r="C1617" s="42" t="n">
        <v>45961</v>
      </c>
      <c r="D1617" s="42" t="n">
        <v>45961</v>
      </c>
      <c r="E1617" s="38" t="n">
        <v>0</v>
      </c>
      <c r="F1617" t="inlineStr">
        <is>
          <t>Outpatient</t>
        </is>
      </c>
      <c r="G1617" t="inlineStr">
        <is>
          <t>Bluestone Outpatient Pavilion</t>
        </is>
      </c>
      <c r="H1617" t="inlineStr">
        <is>
          <t>Primary Care Clinic</t>
        </is>
      </c>
      <c r="I1617" t="inlineStr">
        <is>
          <t>Ambulatory</t>
        </is>
      </c>
      <c r="J1617" t="inlineStr">
        <is>
          <t>Sullivan, Brenda</t>
        </is>
      </c>
      <c r="K1617" t="inlineStr">
        <is>
          <t>I10</t>
        </is>
      </c>
      <c r="L1617" t="inlineStr">
        <is>
          <t>Circulatory</t>
        </is>
      </c>
      <c r="M1617" t="inlineStr">
        <is>
          <t>Silverline Medicare Advantage</t>
        </is>
      </c>
      <c r="N1617" t="inlineStr">
        <is>
          <t>Medicare Advantage</t>
        </is>
      </c>
      <c r="O1617" s="39" t="n">
        <v>438.36</v>
      </c>
    </row>
    <row r="1618">
      <c r="A1618" t="inlineStr">
        <is>
          <t>ENC119774</t>
        </is>
      </c>
      <c r="B1618" t="inlineStr">
        <is>
          <t>PT12323</t>
        </is>
      </c>
      <c r="C1618" s="42" t="n">
        <v>45961</v>
      </c>
      <c r="D1618" s="42" t="n">
        <v>45961</v>
      </c>
      <c r="E1618" s="38" t="n">
        <v>0</v>
      </c>
      <c r="F1618" t="inlineStr">
        <is>
          <t>Outpatient</t>
        </is>
      </c>
      <c r="G1618" t="inlineStr">
        <is>
          <t>Bluestone Outpatient Pavilion</t>
        </is>
      </c>
      <c r="H1618" t="inlineStr">
        <is>
          <t>Orthopedic Clinic</t>
        </is>
      </c>
      <c r="I1618" t="inlineStr">
        <is>
          <t>Orthopedics</t>
        </is>
      </c>
      <c r="J1618" t="inlineStr">
        <is>
          <t>Hernandez, Kyle</t>
        </is>
      </c>
      <c r="K1618" t="inlineStr">
        <is>
          <t>M16.11</t>
        </is>
      </c>
      <c r="L1618" t="inlineStr">
        <is>
          <t>Musculoskeletal</t>
        </is>
      </c>
      <c r="M1618" t="inlineStr">
        <is>
          <t>Self-Pay</t>
        </is>
      </c>
      <c r="N1618" t="inlineStr">
        <is>
          <t>Self-Pay</t>
        </is>
      </c>
      <c r="O1618" s="39" t="n">
        <v>420.6</v>
      </c>
    </row>
    <row r="1619">
      <c r="A1619" t="inlineStr">
        <is>
          <t>ENC119775</t>
        </is>
      </c>
      <c r="B1619" t="inlineStr">
        <is>
          <t>PT12647</t>
        </is>
      </c>
      <c r="C1619" s="42" t="n">
        <v>45961</v>
      </c>
      <c r="D1619" s="42" t="n">
        <v>45961</v>
      </c>
      <c r="E1619" s="38" t="n">
        <v>0</v>
      </c>
      <c r="F1619" t="inlineStr">
        <is>
          <t>Outpatient</t>
        </is>
      </c>
      <c r="G1619" t="inlineStr">
        <is>
          <t>Bluestone Outpatient Pavilion</t>
        </is>
      </c>
      <c r="H1619" t="inlineStr">
        <is>
          <t>Primary Care Clinic</t>
        </is>
      </c>
      <c r="I1619" t="inlineStr">
        <is>
          <t>Ambulatory</t>
        </is>
      </c>
      <c r="J1619" t="inlineStr">
        <is>
          <t>Black, Kelly</t>
        </is>
      </c>
      <c r="K1619" t="inlineStr">
        <is>
          <t>J06.9</t>
        </is>
      </c>
      <c r="L1619" t="inlineStr">
        <is>
          <t>Respiratory</t>
        </is>
      </c>
      <c r="M1619" t="inlineStr">
        <is>
          <t>Silverline Medicare Advantage</t>
        </is>
      </c>
      <c r="N1619" t="inlineStr">
        <is>
          <t>Medicare Advantage</t>
        </is>
      </c>
      <c r="O1619" s="39" t="n">
        <v>463.55</v>
      </c>
    </row>
    <row r="1620">
      <c r="A1620" t="inlineStr">
        <is>
          <t>ENC119781</t>
        </is>
      </c>
      <c r="B1620" t="inlineStr">
        <is>
          <t>PT10007</t>
        </is>
      </c>
      <c r="C1620" s="42" t="n">
        <v>45961</v>
      </c>
      <c r="D1620" s="42" t="n">
        <v>45961</v>
      </c>
      <c r="E1620" s="38" t="n">
        <v>0</v>
      </c>
      <c r="F1620" t="inlineStr">
        <is>
          <t>Emergency</t>
        </is>
      </c>
      <c r="G1620" t="inlineStr">
        <is>
          <t>Bluestone Memorial Hospital</t>
        </is>
      </c>
      <c r="H1620" t="inlineStr">
        <is>
          <t>Emergency Department</t>
        </is>
      </c>
      <c r="I1620" t="inlineStr">
        <is>
          <t>Emergency</t>
        </is>
      </c>
      <c r="J1620" t="inlineStr">
        <is>
          <t>Ferguson, Roy</t>
        </is>
      </c>
      <c r="K1620" t="inlineStr">
        <is>
          <t>K80.20</t>
        </is>
      </c>
      <c r="L1620" t="inlineStr">
        <is>
          <t>Digestive</t>
        </is>
      </c>
      <c r="M1620" t="inlineStr">
        <is>
          <t>Evergreen Mutual Insurance</t>
        </is>
      </c>
      <c r="N1620" t="inlineStr">
        <is>
          <t>Commercial</t>
        </is>
      </c>
      <c r="O1620" s="39" t="n">
        <v>5092.32</v>
      </c>
    </row>
    <row r="1621">
      <c r="A1621" t="inlineStr">
        <is>
          <t>ENC119787</t>
        </is>
      </c>
      <c r="B1621" t="inlineStr">
        <is>
          <t>PT12060</t>
        </is>
      </c>
      <c r="C1621" s="42" t="n">
        <v>45961</v>
      </c>
      <c r="D1621" s="42" t="n">
        <v>45961</v>
      </c>
      <c r="E1621" s="38" t="n">
        <v>0</v>
      </c>
      <c r="F1621" t="inlineStr">
        <is>
          <t>Emergency</t>
        </is>
      </c>
      <c r="G1621" t="inlineStr">
        <is>
          <t>Cedar Ridge Medical Center</t>
        </is>
      </c>
      <c r="H1621" t="inlineStr">
        <is>
          <t>Emergency Department</t>
        </is>
      </c>
      <c r="I1621" t="inlineStr">
        <is>
          <t>Emergency</t>
        </is>
      </c>
      <c r="J1621" t="inlineStr">
        <is>
          <t>Warren, Victoria</t>
        </is>
      </c>
      <c r="K1621" t="inlineStr">
        <is>
          <t>A08.4</t>
        </is>
      </c>
      <c r="L1621" t="inlineStr">
        <is>
          <t>Infectious</t>
        </is>
      </c>
      <c r="M1621" t="inlineStr">
        <is>
          <t>Summit Choice PPO</t>
        </is>
      </c>
      <c r="N1621" t="inlineStr">
        <is>
          <t>Commercial</t>
        </is>
      </c>
      <c r="O1621" s="39" t="n">
        <v>1288.83</v>
      </c>
    </row>
    <row r="1622">
      <c r="A1622" t="inlineStr">
        <is>
          <t>ENC119788</t>
        </is>
      </c>
      <c r="B1622" t="inlineStr">
        <is>
          <t>PT12243</t>
        </is>
      </c>
      <c r="C1622" s="42" t="n">
        <v>45961</v>
      </c>
      <c r="D1622" s="42" t="n">
        <v>45961</v>
      </c>
      <c r="E1622" s="38" t="n">
        <v>0</v>
      </c>
      <c r="F1622" t="inlineStr">
        <is>
          <t>Outpatient</t>
        </is>
      </c>
      <c r="G1622" t="inlineStr">
        <is>
          <t>Bluestone Outpatient Pavilion</t>
        </is>
      </c>
      <c r="H1622" t="inlineStr">
        <is>
          <t>Primary Care Clinic</t>
        </is>
      </c>
      <c r="I1622" t="inlineStr">
        <is>
          <t>Ambulatory</t>
        </is>
      </c>
      <c r="J1622" t="inlineStr">
        <is>
          <t>Arnold, Catherine</t>
        </is>
      </c>
      <c r="K1622" t="inlineStr">
        <is>
          <t>E78.5</t>
        </is>
      </c>
      <c r="L1622" t="inlineStr">
        <is>
          <t>Endocrine</t>
        </is>
      </c>
      <c r="M1622" t="inlineStr">
        <is>
          <t>Medicare</t>
        </is>
      </c>
      <c r="N1622" t="inlineStr">
        <is>
          <t>Government</t>
        </is>
      </c>
      <c r="O1622" s="39" t="n">
        <v>311.4</v>
      </c>
    </row>
    <row r="1623">
      <c r="A1623" t="inlineStr">
        <is>
          <t>ENC119801</t>
        </is>
      </c>
      <c r="B1623" t="inlineStr">
        <is>
          <t>PT11261</t>
        </is>
      </c>
      <c r="C1623" s="42" t="n">
        <v>45961</v>
      </c>
      <c r="D1623" s="42" t="n">
        <v>45967</v>
      </c>
      <c r="E1623" s="38" t="n">
        <v>6</v>
      </c>
      <c r="F1623" t="inlineStr">
        <is>
          <t>Inpatient</t>
        </is>
      </c>
      <c r="G1623" t="inlineStr">
        <is>
          <t>Ashby Falls Community Hospital</t>
        </is>
      </c>
      <c r="H1623" t="inlineStr">
        <is>
          <t>Intensive Care Unit</t>
        </is>
      </c>
      <c r="I1623" t="inlineStr">
        <is>
          <t>Critical Care</t>
        </is>
      </c>
      <c r="J1623" t="inlineStr">
        <is>
          <t>Wallace, Frank</t>
        </is>
      </c>
      <c r="K1623" t="inlineStr">
        <is>
          <t>K92.2</t>
        </is>
      </c>
      <c r="L1623" t="inlineStr">
        <is>
          <t>Digestive</t>
        </is>
      </c>
      <c r="M1623" t="inlineStr">
        <is>
          <t>Medicare</t>
        </is>
      </c>
      <c r="N1623" t="inlineStr">
        <is>
          <t>Government</t>
        </is>
      </c>
      <c r="O1623" s="39" t="n">
        <v>47243.36</v>
      </c>
      <c r="P1623" t="inlineStr">
        <is>
          <t>Y</t>
        </is>
      </c>
    </row>
    <row r="1624">
      <c r="A1624" t="inlineStr">
        <is>
          <t>ENC119807</t>
        </is>
      </c>
      <c r="B1624" t="inlineStr">
        <is>
          <t>PT10140</t>
        </is>
      </c>
      <c r="C1624" s="42" t="n">
        <v>45962</v>
      </c>
      <c r="D1624" s="42" t="n">
        <v>45962</v>
      </c>
      <c r="E1624" s="38" t="n">
        <v>0</v>
      </c>
      <c r="F1624" t="inlineStr">
        <is>
          <t>Emergency</t>
        </is>
      </c>
      <c r="G1624" t="inlineStr">
        <is>
          <t>Bluestone Memorial Hospital</t>
        </is>
      </c>
      <c r="H1624" t="inlineStr">
        <is>
          <t>Emergency Department</t>
        </is>
      </c>
      <c r="I1624" t="inlineStr">
        <is>
          <t>Emergency</t>
        </is>
      </c>
      <c r="J1624" t="inlineStr">
        <is>
          <t>Gonzales, Mia</t>
        </is>
      </c>
      <c r="K1624" t="inlineStr">
        <is>
          <t>J21.9</t>
        </is>
      </c>
      <c r="L1624" t="inlineStr">
        <is>
          <t>Respiratory</t>
        </is>
      </c>
      <c r="M1624" t="inlineStr">
        <is>
          <t>Summit Choice PPO</t>
        </is>
      </c>
      <c r="N1624" t="inlineStr">
        <is>
          <t>Commercial</t>
        </is>
      </c>
      <c r="O1624" s="39" t="n">
        <v>3023.42</v>
      </c>
    </row>
    <row r="1625">
      <c r="A1625" t="inlineStr">
        <is>
          <t>ENC119810</t>
        </is>
      </c>
      <c r="B1625" t="inlineStr">
        <is>
          <t>PT13692</t>
        </is>
      </c>
      <c r="C1625" s="42" t="n">
        <v>45962</v>
      </c>
      <c r="D1625" s="42" t="n">
        <v>45966</v>
      </c>
      <c r="E1625" s="38" t="n">
        <v>4</v>
      </c>
      <c r="F1625" t="inlineStr">
        <is>
          <t>Inpatient</t>
        </is>
      </c>
      <c r="G1625" t="inlineStr">
        <is>
          <t>Ashby Falls Community Hospital</t>
        </is>
      </c>
      <c r="H1625" t="inlineStr">
        <is>
          <t>Medical-Surgical</t>
        </is>
      </c>
      <c r="I1625" t="inlineStr">
        <is>
          <t>Medicine</t>
        </is>
      </c>
      <c r="J1625" t="inlineStr">
        <is>
          <t>Carter, Karen</t>
        </is>
      </c>
      <c r="K1625" t="inlineStr">
        <is>
          <t>I50.9</t>
        </is>
      </c>
      <c r="L1625" t="inlineStr">
        <is>
          <t>Circulatory</t>
        </is>
      </c>
      <c r="M1625" t="inlineStr">
        <is>
          <t>State Medicaid</t>
        </is>
      </c>
      <c r="N1625" t="inlineStr">
        <is>
          <t>Government</t>
        </is>
      </c>
      <c r="O1625" s="39" t="n">
        <v>19140.34</v>
      </c>
      <c r="P1625" t="inlineStr">
        <is>
          <t>N</t>
        </is>
      </c>
    </row>
    <row r="1626">
      <c r="A1626" t="inlineStr">
        <is>
          <t>ENC119815</t>
        </is>
      </c>
      <c r="B1626" t="inlineStr">
        <is>
          <t>PT10048</t>
        </is>
      </c>
      <c r="C1626" s="42" t="n">
        <v>45962</v>
      </c>
      <c r="D1626" s="42" t="n">
        <v>45962</v>
      </c>
      <c r="E1626" s="38" t="n">
        <v>0</v>
      </c>
      <c r="F1626" t="inlineStr">
        <is>
          <t>Emergency</t>
        </is>
      </c>
      <c r="G1626" t="inlineStr">
        <is>
          <t>Ashby Falls Community Hospital</t>
        </is>
      </c>
      <c r="H1626" t="inlineStr">
        <is>
          <t>Emergency Department</t>
        </is>
      </c>
      <c r="I1626" t="inlineStr">
        <is>
          <t>Emergency</t>
        </is>
      </c>
      <c r="J1626" t="inlineStr">
        <is>
          <t>Marshall, Lisa</t>
        </is>
      </c>
      <c r="K1626" t="inlineStr">
        <is>
          <t>J06.9</t>
        </is>
      </c>
      <c r="L1626" t="inlineStr">
        <is>
          <t>Respiratory</t>
        </is>
      </c>
      <c r="M1626" t="inlineStr">
        <is>
          <t>State Medicaid</t>
        </is>
      </c>
      <c r="N1626" t="inlineStr">
        <is>
          <t>Government</t>
        </is>
      </c>
      <c r="O1626" s="39" t="n">
        <v>971.66</v>
      </c>
    </row>
    <row r="1627">
      <c r="A1627" t="inlineStr">
        <is>
          <t>ENC119830</t>
        </is>
      </c>
      <c r="B1627" t="inlineStr">
        <is>
          <t>PT11569</t>
        </is>
      </c>
      <c r="C1627" s="42" t="n">
        <v>45964</v>
      </c>
      <c r="D1627" s="42" t="n">
        <v>45964</v>
      </c>
      <c r="E1627" s="38" t="n">
        <v>0</v>
      </c>
      <c r="F1627" t="inlineStr">
        <is>
          <t>Emergency</t>
        </is>
      </c>
      <c r="G1627" t="inlineStr">
        <is>
          <t>Bluestone Memorial Hospital</t>
        </is>
      </c>
      <c r="H1627" t="inlineStr">
        <is>
          <t>Emergency Department</t>
        </is>
      </c>
      <c r="I1627" t="inlineStr">
        <is>
          <t>Emergency</t>
        </is>
      </c>
      <c r="J1627" t="inlineStr">
        <is>
          <t>Cruz, Mia</t>
        </is>
      </c>
      <c r="K1627" t="inlineStr">
        <is>
          <t>E86.0</t>
        </is>
      </c>
      <c r="L1627" t="inlineStr">
        <is>
          <t>Endocrine</t>
        </is>
      </c>
      <c r="M1627" t="inlineStr">
        <is>
          <t>Keystone Health Partners</t>
        </is>
      </c>
      <c r="N1627" t="inlineStr">
        <is>
          <t>Commercial</t>
        </is>
      </c>
      <c r="O1627" s="39" t="n">
        <v>3259.6</v>
      </c>
    </row>
    <row r="1628">
      <c r="A1628" t="inlineStr">
        <is>
          <t>ENC119837</t>
        </is>
      </c>
      <c r="B1628" t="inlineStr">
        <is>
          <t>PT13456</t>
        </is>
      </c>
      <c r="C1628" s="42" t="n">
        <v>45964</v>
      </c>
      <c r="D1628" s="42" t="n">
        <v>45964</v>
      </c>
      <c r="E1628" s="38" t="n">
        <v>0</v>
      </c>
      <c r="F1628" t="inlineStr">
        <is>
          <t>Outpatient</t>
        </is>
      </c>
      <c r="G1628" t="inlineStr">
        <is>
          <t>Bluestone Outpatient Pavilion</t>
        </is>
      </c>
      <c r="H1628" t="inlineStr">
        <is>
          <t>Primary Care Clinic</t>
        </is>
      </c>
      <c r="I1628" t="inlineStr">
        <is>
          <t>Ambulatory</t>
        </is>
      </c>
      <c r="J1628" t="inlineStr">
        <is>
          <t>Black, Nancy</t>
        </is>
      </c>
      <c r="K1628" t="inlineStr">
        <is>
          <t>J45.909</t>
        </is>
      </c>
      <c r="L1628" t="inlineStr">
        <is>
          <t>Respiratory</t>
        </is>
      </c>
      <c r="M1628" t="inlineStr">
        <is>
          <t>Summit Choice PPO</t>
        </is>
      </c>
      <c r="N1628" t="inlineStr">
        <is>
          <t>Commercial</t>
        </is>
      </c>
      <c r="O1628" s="39" t="n">
        <v>352.56</v>
      </c>
    </row>
    <row r="1629">
      <c r="A1629" t="inlineStr">
        <is>
          <t>ENC119856</t>
        </is>
      </c>
      <c r="B1629" t="inlineStr">
        <is>
          <t>PT10418</t>
        </is>
      </c>
      <c r="C1629" s="42" t="n">
        <v>45964</v>
      </c>
      <c r="D1629" s="42" t="n">
        <v>45964</v>
      </c>
      <c r="E1629" s="38" t="n">
        <v>0</v>
      </c>
      <c r="F1629" t="inlineStr">
        <is>
          <t>Emergency</t>
        </is>
      </c>
      <c r="G1629" t="inlineStr">
        <is>
          <t>Bluestone Memorial Hospital</t>
        </is>
      </c>
      <c r="H1629" t="inlineStr">
        <is>
          <t>Emergency Department</t>
        </is>
      </c>
      <c r="I1629" t="inlineStr">
        <is>
          <t>Emergency</t>
        </is>
      </c>
      <c r="J1629" t="inlineStr">
        <is>
          <t>Mendoza, Alexander</t>
        </is>
      </c>
      <c r="K1629" t="inlineStr">
        <is>
          <t>H66.90</t>
        </is>
      </c>
      <c r="L1629" t="inlineStr">
        <is>
          <t>Ear</t>
        </is>
      </c>
      <c r="M1629" t="inlineStr">
        <is>
          <t>State Medicaid</t>
        </is>
      </c>
      <c r="N1629" t="inlineStr">
        <is>
          <t>Government</t>
        </is>
      </c>
      <c r="O1629" s="39" t="n">
        <v>1637.43</v>
      </c>
    </row>
    <row r="1630">
      <c r="A1630" t="inlineStr">
        <is>
          <t>ENC119859</t>
        </is>
      </c>
      <c r="B1630" t="inlineStr">
        <is>
          <t>PT11444</t>
        </is>
      </c>
      <c r="C1630" s="42" t="n">
        <v>45964</v>
      </c>
      <c r="D1630" s="42" t="n">
        <v>45964</v>
      </c>
      <c r="E1630" s="38" t="n">
        <v>0</v>
      </c>
      <c r="F1630" t="inlineStr">
        <is>
          <t>Emergency</t>
        </is>
      </c>
      <c r="G1630" t="inlineStr">
        <is>
          <t>Bluestone Memorial Hospital</t>
        </is>
      </c>
      <c r="H1630" t="inlineStr">
        <is>
          <t>Emergency Department</t>
        </is>
      </c>
      <c r="I1630" t="inlineStr">
        <is>
          <t>Emergency</t>
        </is>
      </c>
      <c r="J1630" t="inlineStr">
        <is>
          <t>Ferguson, Roy</t>
        </is>
      </c>
      <c r="K1630" t="inlineStr">
        <is>
          <t>M54.50</t>
        </is>
      </c>
      <c r="L1630" t="inlineStr">
        <is>
          <t>Musculoskeletal</t>
        </is>
      </c>
      <c r="M1630" t="inlineStr">
        <is>
          <t>State Medicaid</t>
        </is>
      </c>
      <c r="N1630" t="inlineStr">
        <is>
          <t>Government</t>
        </is>
      </c>
      <c r="O1630" s="39" t="n">
        <v>1376.86</v>
      </c>
    </row>
    <row r="1631">
      <c r="A1631" t="inlineStr">
        <is>
          <t>ENC119861</t>
        </is>
      </c>
      <c r="B1631" t="inlineStr">
        <is>
          <t>PT12621</t>
        </is>
      </c>
      <c r="C1631" s="42" t="n">
        <v>45964</v>
      </c>
      <c r="D1631" s="42" t="n">
        <v>45973</v>
      </c>
      <c r="E1631" s="38" t="n">
        <v>9</v>
      </c>
      <c r="F1631" t="inlineStr">
        <is>
          <t>Inpatient</t>
        </is>
      </c>
      <c r="G1631" t="inlineStr">
        <is>
          <t>Bluestone Memorial Hospital</t>
        </is>
      </c>
      <c r="H1631" t="inlineStr">
        <is>
          <t>Medical-Surgical 5 East</t>
        </is>
      </c>
      <c r="I1631" t="inlineStr">
        <is>
          <t>Medicine</t>
        </is>
      </c>
      <c r="J1631" t="inlineStr">
        <is>
          <t>Cruz, Roger</t>
        </is>
      </c>
      <c r="K1631" t="inlineStr">
        <is>
          <t>U07.1</t>
        </is>
      </c>
      <c r="L1631" t="inlineStr">
        <is>
          <t>Respiratory</t>
        </is>
      </c>
      <c r="M1631" t="inlineStr">
        <is>
          <t>State Medicaid</t>
        </is>
      </c>
      <c r="N1631" t="inlineStr">
        <is>
          <t>Government</t>
        </is>
      </c>
      <c r="O1631" s="39" t="n">
        <v>37972.43</v>
      </c>
      <c r="P1631" t="inlineStr">
        <is>
          <t>N</t>
        </is>
      </c>
    </row>
    <row r="1632">
      <c r="A1632" t="inlineStr">
        <is>
          <t>ENC119870</t>
        </is>
      </c>
      <c r="B1632" t="inlineStr">
        <is>
          <t>PT11637</t>
        </is>
      </c>
      <c r="C1632" s="42" t="n">
        <v>45964</v>
      </c>
      <c r="D1632" s="42" t="n">
        <v>45964</v>
      </c>
      <c r="E1632" s="38" t="n">
        <v>0</v>
      </c>
      <c r="F1632" t="inlineStr">
        <is>
          <t>Emergency</t>
        </is>
      </c>
      <c r="G1632" t="inlineStr">
        <is>
          <t>Bluestone Memorial Hospital</t>
        </is>
      </c>
      <c r="H1632" t="inlineStr">
        <is>
          <t>Emergency Department</t>
        </is>
      </c>
      <c r="I1632" t="inlineStr">
        <is>
          <t>Emergency</t>
        </is>
      </c>
      <c r="J1632" t="inlineStr">
        <is>
          <t>Payne, Nancy</t>
        </is>
      </c>
      <c r="K1632" t="inlineStr">
        <is>
          <t>N39.0</t>
        </is>
      </c>
      <c r="L1632" t="inlineStr">
        <is>
          <t>Genitourinary</t>
        </is>
      </c>
      <c r="M1632" t="inlineStr">
        <is>
          <t>State Medicaid</t>
        </is>
      </c>
      <c r="N1632" t="inlineStr">
        <is>
          <t>Government</t>
        </is>
      </c>
      <c r="O1632" s="39" t="n">
        <v>1320.02</v>
      </c>
    </row>
    <row r="1633">
      <c r="A1633" t="inlineStr">
        <is>
          <t>ENC119872</t>
        </is>
      </c>
      <c r="B1633" t="inlineStr">
        <is>
          <t>PT11562</t>
        </is>
      </c>
      <c r="C1633" s="42" t="n">
        <v>45964</v>
      </c>
      <c r="D1633" s="42" t="n">
        <v>45965</v>
      </c>
      <c r="E1633" s="38" t="n">
        <v>1</v>
      </c>
      <c r="F1633" t="inlineStr">
        <is>
          <t>Emergency</t>
        </is>
      </c>
      <c r="G1633" t="inlineStr">
        <is>
          <t>Bluestone Memorial Hospital</t>
        </is>
      </c>
      <c r="H1633" t="inlineStr">
        <is>
          <t>Emergency Department</t>
        </is>
      </c>
      <c r="I1633" t="inlineStr">
        <is>
          <t>Emergency</t>
        </is>
      </c>
      <c r="J1633" t="inlineStr">
        <is>
          <t>Sullivan, Jacob</t>
        </is>
      </c>
      <c r="K1633" t="inlineStr">
        <is>
          <t>R10.9</t>
        </is>
      </c>
      <c r="L1633" t="inlineStr">
        <is>
          <t>Symptoms &amp; Signs</t>
        </is>
      </c>
      <c r="M1633" t="inlineStr">
        <is>
          <t>Medicare</t>
        </is>
      </c>
      <c r="N1633" t="inlineStr">
        <is>
          <t>Government</t>
        </is>
      </c>
      <c r="O1633" s="39" t="n">
        <v>3517.48</v>
      </c>
    </row>
    <row r="1634">
      <c r="A1634" t="inlineStr">
        <is>
          <t>ENC119878</t>
        </is>
      </c>
      <c r="B1634" t="inlineStr">
        <is>
          <t>PT10364</t>
        </is>
      </c>
      <c r="C1634" s="42" t="n">
        <v>45965</v>
      </c>
      <c r="D1634" s="42" t="n">
        <v>45965</v>
      </c>
      <c r="E1634" s="38" t="n">
        <v>0</v>
      </c>
      <c r="F1634" t="inlineStr">
        <is>
          <t>Emergency</t>
        </is>
      </c>
      <c r="G1634" t="inlineStr">
        <is>
          <t>Bluestone Memorial Hospital</t>
        </is>
      </c>
      <c r="H1634" t="inlineStr">
        <is>
          <t>Emergency Department</t>
        </is>
      </c>
      <c r="I1634" t="inlineStr">
        <is>
          <t>Emergency</t>
        </is>
      </c>
      <c r="J1634" t="inlineStr">
        <is>
          <t>Olson, Christian</t>
        </is>
      </c>
      <c r="K1634" t="inlineStr">
        <is>
          <t>L03.115</t>
        </is>
      </c>
      <c r="L1634" t="inlineStr">
        <is>
          <t>Skin</t>
        </is>
      </c>
      <c r="M1634" t="inlineStr">
        <is>
          <t>Medicare</t>
        </is>
      </c>
      <c r="N1634" t="inlineStr">
        <is>
          <t>Government</t>
        </is>
      </c>
      <c r="O1634" s="39" t="n">
        <v>2739.36</v>
      </c>
    </row>
    <row r="1635">
      <c r="A1635" t="inlineStr">
        <is>
          <t>ENC119898</t>
        </is>
      </c>
      <c r="B1635" t="inlineStr">
        <is>
          <t>PT13890</t>
        </is>
      </c>
      <c r="C1635" s="42" t="n">
        <v>45965</v>
      </c>
      <c r="D1635" s="42" t="n">
        <v>45965</v>
      </c>
      <c r="E1635" s="38" t="n">
        <v>0</v>
      </c>
      <c r="F1635" t="inlineStr">
        <is>
          <t>Emergency</t>
        </is>
      </c>
      <c r="G1635" t="inlineStr">
        <is>
          <t>Bluestone Memorial Hospital</t>
        </is>
      </c>
      <c r="H1635" t="inlineStr">
        <is>
          <t>Emergency Department</t>
        </is>
      </c>
      <c r="I1635" t="inlineStr">
        <is>
          <t>Emergency</t>
        </is>
      </c>
      <c r="J1635" t="inlineStr">
        <is>
          <t>Payne, Nancy</t>
        </is>
      </c>
      <c r="K1635" t="inlineStr">
        <is>
          <t>S06.0X0A</t>
        </is>
      </c>
      <c r="L1635" t="inlineStr">
        <is>
          <t>Injury</t>
        </is>
      </c>
      <c r="M1635" t="inlineStr">
        <is>
          <t>Self-Pay</t>
        </is>
      </c>
      <c r="N1635" t="inlineStr">
        <is>
          <t>Self-Pay</t>
        </is>
      </c>
      <c r="O1635" s="39" t="n">
        <v>2972.65</v>
      </c>
    </row>
    <row r="1636">
      <c r="A1636" t="inlineStr">
        <is>
          <t>ENC119904</t>
        </is>
      </c>
      <c r="B1636" t="inlineStr">
        <is>
          <t>PT12390</t>
        </is>
      </c>
      <c r="C1636" s="42" t="n">
        <v>45965</v>
      </c>
      <c r="D1636" s="42" t="n">
        <v>45965</v>
      </c>
      <c r="E1636" s="38" t="n">
        <v>0</v>
      </c>
      <c r="F1636" t="inlineStr">
        <is>
          <t>Outpatient</t>
        </is>
      </c>
      <c r="G1636" t="inlineStr">
        <is>
          <t>Bluestone Outpatient Pavilion</t>
        </is>
      </c>
      <c r="H1636" t="inlineStr">
        <is>
          <t>Endocrinology &amp; Diabetes Clinic</t>
        </is>
      </c>
      <c r="I1636" t="inlineStr">
        <is>
          <t>Ambulatory</t>
        </is>
      </c>
      <c r="J1636" t="inlineStr">
        <is>
          <t>Lee, Amber</t>
        </is>
      </c>
      <c r="K1636" t="inlineStr">
        <is>
          <t>E11.9</t>
        </is>
      </c>
      <c r="L1636" t="inlineStr">
        <is>
          <t>Endocrine</t>
        </is>
      </c>
      <c r="M1636" t="inlineStr">
        <is>
          <t>Summit Choice PPO</t>
        </is>
      </c>
      <c r="N1636" t="inlineStr">
        <is>
          <t>Commercial</t>
        </is>
      </c>
      <c r="O1636" s="39" t="n">
        <v>153.9</v>
      </c>
    </row>
    <row r="1637">
      <c r="A1637" t="inlineStr">
        <is>
          <t>ENC119908</t>
        </is>
      </c>
      <c r="B1637" t="inlineStr">
        <is>
          <t>PT13811</t>
        </is>
      </c>
      <c r="C1637" s="42" t="n">
        <v>45965</v>
      </c>
      <c r="D1637" s="42" t="n">
        <v>45965</v>
      </c>
      <c r="E1637" s="38" t="n">
        <v>0</v>
      </c>
      <c r="F1637" t="inlineStr">
        <is>
          <t>Emergency</t>
        </is>
      </c>
      <c r="G1637" t="inlineStr">
        <is>
          <t>Ashby Falls Community Hospital</t>
        </is>
      </c>
      <c r="H1637" t="inlineStr">
        <is>
          <t>Emergency Department</t>
        </is>
      </c>
      <c r="I1637" t="inlineStr">
        <is>
          <t>Emergency</t>
        </is>
      </c>
      <c r="J1637" t="inlineStr">
        <is>
          <t>Wright, Bruce</t>
        </is>
      </c>
      <c r="K1637" t="inlineStr">
        <is>
          <t>J06.9</t>
        </is>
      </c>
      <c r="L1637" t="inlineStr">
        <is>
          <t>Respiratory</t>
        </is>
      </c>
      <c r="M1637" t="inlineStr">
        <is>
          <t>Medicare</t>
        </is>
      </c>
      <c r="N1637" t="inlineStr">
        <is>
          <t>Government</t>
        </is>
      </c>
      <c r="O1637" s="39" t="n">
        <v>2988.48</v>
      </c>
    </row>
    <row r="1638">
      <c r="A1638" t="inlineStr">
        <is>
          <t>ENC119909</t>
        </is>
      </c>
      <c r="B1638" t="inlineStr">
        <is>
          <t>PT12237</t>
        </is>
      </c>
      <c r="C1638" s="42" t="n">
        <v>45965</v>
      </c>
      <c r="D1638" s="42" t="n">
        <v>45966</v>
      </c>
      <c r="E1638" s="38" t="n">
        <v>1</v>
      </c>
      <c r="F1638" t="inlineStr">
        <is>
          <t>Observation</t>
        </is>
      </c>
      <c r="G1638" t="inlineStr">
        <is>
          <t>Bluestone Memorial Hospital</t>
        </is>
      </c>
      <c r="H1638" t="inlineStr">
        <is>
          <t>Observation Unit</t>
        </is>
      </c>
      <c r="I1638" t="inlineStr">
        <is>
          <t>Medicine</t>
        </is>
      </c>
      <c r="J1638" t="inlineStr">
        <is>
          <t>Vasquez, Jose</t>
        </is>
      </c>
      <c r="K1638" t="inlineStr">
        <is>
          <t>R07.9</t>
        </is>
      </c>
      <c r="L1638" t="inlineStr">
        <is>
          <t>Symptoms &amp; Signs</t>
        </is>
      </c>
      <c r="M1638" t="inlineStr">
        <is>
          <t>Self-Pay</t>
        </is>
      </c>
      <c r="N1638" t="inlineStr">
        <is>
          <t>Self-Pay</t>
        </is>
      </c>
      <c r="O1638" s="39" t="n">
        <v>5743.54</v>
      </c>
    </row>
    <row r="1639">
      <c r="A1639" t="inlineStr">
        <is>
          <t>ENC119929</t>
        </is>
      </c>
      <c r="B1639" t="inlineStr">
        <is>
          <t>PT12852</t>
        </is>
      </c>
      <c r="C1639" s="42" t="n">
        <v>45966</v>
      </c>
      <c r="D1639" s="42" t="n">
        <v>45966</v>
      </c>
      <c r="E1639" s="38" t="n">
        <v>0</v>
      </c>
      <c r="F1639" t="inlineStr">
        <is>
          <t>Emergency</t>
        </is>
      </c>
      <c r="G1639" t="inlineStr">
        <is>
          <t>Bluestone Memorial Hospital</t>
        </is>
      </c>
      <c r="H1639" t="inlineStr">
        <is>
          <t>Emergency Department</t>
        </is>
      </c>
      <c r="I1639" t="inlineStr">
        <is>
          <t>Emergency</t>
        </is>
      </c>
      <c r="J1639" t="inlineStr">
        <is>
          <t>Morris, Jordan</t>
        </is>
      </c>
      <c r="K1639" t="inlineStr">
        <is>
          <t>L03.115</t>
        </is>
      </c>
      <c r="L1639" t="inlineStr">
        <is>
          <t>Skin</t>
        </is>
      </c>
      <c r="M1639" t="inlineStr">
        <is>
          <t>State Medicaid</t>
        </is>
      </c>
      <c r="N1639" t="inlineStr">
        <is>
          <t>Government</t>
        </is>
      </c>
      <c r="O1639" s="39" t="n">
        <v>4477.44</v>
      </c>
    </row>
    <row r="1640">
      <c r="A1640" t="inlineStr">
        <is>
          <t>ENC119926</t>
        </is>
      </c>
      <c r="B1640" t="inlineStr">
        <is>
          <t>PT13586</t>
        </is>
      </c>
      <c r="C1640" s="42" t="n">
        <v>45966</v>
      </c>
      <c r="D1640" s="42" t="n">
        <v>45968</v>
      </c>
      <c r="E1640" s="38" t="n">
        <v>2</v>
      </c>
      <c r="F1640" t="inlineStr">
        <is>
          <t>Inpatient</t>
        </is>
      </c>
      <c r="G1640" t="inlineStr">
        <is>
          <t>Ashby Falls Community Hospital</t>
        </is>
      </c>
      <c r="H1640" t="inlineStr">
        <is>
          <t>Medical-Surgical</t>
        </is>
      </c>
      <c r="I1640" t="inlineStr">
        <is>
          <t>Medicine</t>
        </is>
      </c>
      <c r="J1640" t="inlineStr">
        <is>
          <t>Carter, Karen</t>
        </is>
      </c>
      <c r="K1640" t="inlineStr">
        <is>
          <t>J44.1</t>
        </is>
      </c>
      <c r="L1640" t="inlineStr">
        <is>
          <t>Respiratory</t>
        </is>
      </c>
      <c r="M1640" t="inlineStr">
        <is>
          <t>Medicare</t>
        </is>
      </c>
      <c r="N1640" t="inlineStr">
        <is>
          <t>Government</t>
        </is>
      </c>
      <c r="O1640" s="39" t="n">
        <v>13867.48</v>
      </c>
      <c r="P1640" t="inlineStr">
        <is>
          <t>Y</t>
        </is>
      </c>
    </row>
    <row r="1641">
      <c r="A1641" t="inlineStr">
        <is>
          <t>ENC119949</t>
        </is>
      </c>
      <c r="B1641" t="inlineStr">
        <is>
          <t>PT13041</t>
        </is>
      </c>
      <c r="C1641" s="42" t="n">
        <v>45966</v>
      </c>
      <c r="D1641" s="42" t="n">
        <v>45966</v>
      </c>
      <c r="E1641" s="38" t="n">
        <v>0</v>
      </c>
      <c r="F1641" t="inlineStr">
        <is>
          <t>Outpatient</t>
        </is>
      </c>
      <c r="G1641" t="inlineStr">
        <is>
          <t>Bluestone Outpatient Pavilion</t>
        </is>
      </c>
      <c r="H1641" t="inlineStr">
        <is>
          <t>Infusion &amp; Oncology Clinic</t>
        </is>
      </c>
      <c r="I1641" t="inlineStr">
        <is>
          <t>Oncology</t>
        </is>
      </c>
      <c r="J1641" t="inlineStr">
        <is>
          <t>Hicks, Zachary</t>
        </is>
      </c>
      <c r="K1641" t="inlineStr">
        <is>
          <t>Z51.11</t>
        </is>
      </c>
      <c r="L1641" t="inlineStr">
        <is>
          <t>Factors Influencing Health</t>
        </is>
      </c>
      <c r="M1641" t="inlineStr">
        <is>
          <t>Medicare</t>
        </is>
      </c>
      <c r="N1641" t="inlineStr">
        <is>
          <t>Government</t>
        </is>
      </c>
      <c r="O1641" s="39" t="n">
        <v>9085.27</v>
      </c>
    </row>
    <row r="1642">
      <c r="A1642" t="inlineStr">
        <is>
          <t>ENC119951</t>
        </is>
      </c>
      <c r="B1642" t="inlineStr">
        <is>
          <t>PT11008</t>
        </is>
      </c>
      <c r="C1642" s="42" t="n">
        <v>45966</v>
      </c>
      <c r="D1642" s="42" t="n">
        <v>45968</v>
      </c>
      <c r="E1642" s="38" t="n">
        <v>2</v>
      </c>
      <c r="F1642" t="inlineStr">
        <is>
          <t>Inpatient</t>
        </is>
      </c>
      <c r="G1642" t="inlineStr">
        <is>
          <t>Bluestone Memorial Hospital</t>
        </is>
      </c>
      <c r="H1642" t="inlineStr">
        <is>
          <t>Labor &amp; Delivery</t>
        </is>
      </c>
      <c r="I1642" t="inlineStr">
        <is>
          <t>Women &amp; Children</t>
        </is>
      </c>
      <c r="J1642" t="inlineStr">
        <is>
          <t>Watson, Frank</t>
        </is>
      </c>
      <c r="K1642" t="inlineStr">
        <is>
          <t>O80</t>
        </is>
      </c>
      <c r="L1642" t="inlineStr">
        <is>
          <t>Pregnancy</t>
        </is>
      </c>
      <c r="M1642" t="inlineStr">
        <is>
          <t>State Medicaid</t>
        </is>
      </c>
      <c r="N1642" t="inlineStr">
        <is>
          <t>Government</t>
        </is>
      </c>
      <c r="O1642" s="39" t="n">
        <v>11939.37</v>
      </c>
      <c r="P1642" t="inlineStr">
        <is>
          <t>N</t>
        </is>
      </c>
    </row>
    <row r="1643">
      <c r="A1643" t="inlineStr">
        <is>
          <t>ENC119952</t>
        </is>
      </c>
      <c r="B1643" t="inlineStr">
        <is>
          <t>PT10601</t>
        </is>
      </c>
      <c r="C1643" s="42" t="n">
        <v>45966</v>
      </c>
      <c r="D1643" s="42" t="n">
        <v>45966</v>
      </c>
      <c r="E1643" s="38" t="n">
        <v>0</v>
      </c>
      <c r="F1643" t="inlineStr">
        <is>
          <t>Emergency</t>
        </is>
      </c>
      <c r="G1643" t="inlineStr">
        <is>
          <t>Cedar Ridge Medical Center</t>
        </is>
      </c>
      <c r="H1643" t="inlineStr">
        <is>
          <t>Emergency Department</t>
        </is>
      </c>
      <c r="I1643" t="inlineStr">
        <is>
          <t>Emergency</t>
        </is>
      </c>
      <c r="J1643" t="inlineStr">
        <is>
          <t>Henry, Brenda</t>
        </is>
      </c>
      <c r="K1643" t="inlineStr">
        <is>
          <t>J06.9</t>
        </is>
      </c>
      <c r="L1643" t="inlineStr">
        <is>
          <t>Respiratory</t>
        </is>
      </c>
      <c r="M1643" t="inlineStr">
        <is>
          <t>Evergreen Mutual Insurance</t>
        </is>
      </c>
      <c r="N1643" t="inlineStr">
        <is>
          <t>Commercial</t>
        </is>
      </c>
      <c r="O1643" s="39" t="n">
        <v>1281.04</v>
      </c>
    </row>
    <row r="1644">
      <c r="A1644" t="inlineStr">
        <is>
          <t>ENC119959</t>
        </is>
      </c>
      <c r="B1644" t="inlineStr">
        <is>
          <t>PT11381</t>
        </is>
      </c>
      <c r="C1644" s="42" t="n">
        <v>45966</v>
      </c>
      <c r="D1644" s="42" t="n">
        <v>45967</v>
      </c>
      <c r="E1644" s="38" t="n">
        <v>1</v>
      </c>
      <c r="F1644" t="inlineStr">
        <is>
          <t>Emergency</t>
        </is>
      </c>
      <c r="G1644" t="inlineStr">
        <is>
          <t>Cedar Ridge Medical Center</t>
        </is>
      </c>
      <c r="H1644" t="inlineStr">
        <is>
          <t>Emergency Department</t>
        </is>
      </c>
      <c r="I1644" t="inlineStr">
        <is>
          <t>Emergency</t>
        </is>
      </c>
      <c r="J1644" t="inlineStr">
        <is>
          <t>Barnes, Gary</t>
        </is>
      </c>
      <c r="K1644" t="inlineStr">
        <is>
          <t>E11.65</t>
        </is>
      </c>
      <c r="L1644" t="inlineStr">
        <is>
          <t>Endocrine</t>
        </is>
      </c>
      <c r="M1644" t="inlineStr">
        <is>
          <t>Keystone Health Partners</t>
        </is>
      </c>
      <c r="N1644" t="inlineStr">
        <is>
          <t>Commercial</t>
        </is>
      </c>
      <c r="O1644" s="39" t="n">
        <v>3842.88</v>
      </c>
    </row>
    <row r="1645">
      <c r="A1645" t="inlineStr">
        <is>
          <t>ENC119955</t>
        </is>
      </c>
      <c r="B1645" t="inlineStr">
        <is>
          <t>PT13694</t>
        </is>
      </c>
      <c r="C1645" s="42" t="n">
        <v>45966</v>
      </c>
      <c r="D1645" s="42" t="n">
        <v>45970</v>
      </c>
      <c r="E1645" s="38" t="n">
        <v>4</v>
      </c>
      <c r="F1645" t="inlineStr">
        <is>
          <t>Inpatient</t>
        </is>
      </c>
      <c r="G1645" t="inlineStr">
        <is>
          <t>Ashby Falls Community Hospital</t>
        </is>
      </c>
      <c r="H1645" t="inlineStr">
        <is>
          <t>Medical-Surgical</t>
        </is>
      </c>
      <c r="I1645" t="inlineStr">
        <is>
          <t>Medicine</t>
        </is>
      </c>
      <c r="J1645" t="inlineStr">
        <is>
          <t>Carroll, Philip</t>
        </is>
      </c>
      <c r="K1645" t="inlineStr">
        <is>
          <t>I50.9</t>
        </is>
      </c>
      <c r="L1645" t="inlineStr">
        <is>
          <t>Circulatory</t>
        </is>
      </c>
      <c r="M1645" t="inlineStr">
        <is>
          <t>Medicare</t>
        </is>
      </c>
      <c r="N1645" t="inlineStr">
        <is>
          <t>Government</t>
        </is>
      </c>
      <c r="O1645" s="39" t="n">
        <v>28156.28</v>
      </c>
      <c r="P1645" t="inlineStr">
        <is>
          <t>N</t>
        </is>
      </c>
    </row>
    <row r="1646">
      <c r="A1646" t="inlineStr">
        <is>
          <t>ENC119956</t>
        </is>
      </c>
      <c r="B1646" t="inlineStr">
        <is>
          <t>PT10912</t>
        </is>
      </c>
      <c r="C1646" s="42" t="n">
        <v>45966</v>
      </c>
      <c r="D1646" s="42" t="n">
        <v>45972</v>
      </c>
      <c r="E1646" s="38" t="n">
        <v>6</v>
      </c>
      <c r="F1646" t="inlineStr">
        <is>
          <t>Inpatient</t>
        </is>
      </c>
      <c r="G1646" t="inlineStr">
        <is>
          <t>Bluestone Memorial Hospital</t>
        </is>
      </c>
      <c r="H1646" t="inlineStr">
        <is>
          <t>Intensive Care Unit</t>
        </is>
      </c>
      <c r="I1646" t="inlineStr">
        <is>
          <t>Critical Care</t>
        </is>
      </c>
      <c r="J1646" t="inlineStr">
        <is>
          <t>Hamilton, Leila</t>
        </is>
      </c>
      <c r="K1646" t="inlineStr">
        <is>
          <t>J96.01</t>
        </is>
      </c>
      <c r="L1646" t="inlineStr">
        <is>
          <t>Respiratory</t>
        </is>
      </c>
      <c r="M1646" t="inlineStr">
        <is>
          <t>Keystone Health Partners</t>
        </is>
      </c>
      <c r="N1646" t="inlineStr">
        <is>
          <t>Commercial</t>
        </is>
      </c>
      <c r="O1646" s="39" t="n">
        <v>87110.78999999999</v>
      </c>
      <c r="P1646" t="inlineStr">
        <is>
          <t>Y</t>
        </is>
      </c>
    </row>
    <row r="1647">
      <c r="A1647" t="inlineStr">
        <is>
          <t>ENC119960</t>
        </is>
      </c>
      <c r="B1647" t="inlineStr">
        <is>
          <t>PT13870</t>
        </is>
      </c>
      <c r="C1647" s="42" t="n">
        <v>45967</v>
      </c>
      <c r="D1647" s="42" t="n">
        <v>45967</v>
      </c>
      <c r="E1647" s="38" t="n">
        <v>0</v>
      </c>
      <c r="F1647" t="inlineStr">
        <is>
          <t>Emergency</t>
        </is>
      </c>
      <c r="G1647" t="inlineStr">
        <is>
          <t>Bluestone Memorial Hospital</t>
        </is>
      </c>
      <c r="H1647" t="inlineStr">
        <is>
          <t>Emergency Department</t>
        </is>
      </c>
      <c r="I1647" t="inlineStr">
        <is>
          <t>Emergency</t>
        </is>
      </c>
      <c r="J1647" t="inlineStr">
        <is>
          <t>Payne, Nancy</t>
        </is>
      </c>
      <c r="K1647" t="inlineStr">
        <is>
          <t>S93.401A</t>
        </is>
      </c>
      <c r="L1647" t="inlineStr">
        <is>
          <t>Injury</t>
        </is>
      </c>
      <c r="M1647" t="inlineStr">
        <is>
          <t>Self-Pay</t>
        </is>
      </c>
      <c r="N1647" t="inlineStr">
        <is>
          <t>Self-Pay</t>
        </is>
      </c>
      <c r="O1647" s="39" t="n">
        <v>695.51</v>
      </c>
    </row>
    <row r="1648">
      <c r="A1648" t="inlineStr">
        <is>
          <t>ENC119966</t>
        </is>
      </c>
      <c r="B1648" t="inlineStr">
        <is>
          <t>PT13997</t>
        </is>
      </c>
      <c r="C1648" s="42" t="n">
        <v>45967</v>
      </c>
      <c r="D1648" s="42" t="n">
        <v>45967</v>
      </c>
      <c r="E1648" s="38" t="n">
        <v>0</v>
      </c>
      <c r="F1648" t="inlineStr">
        <is>
          <t>Outpatient</t>
        </is>
      </c>
      <c r="G1648" t="inlineStr">
        <is>
          <t>Bluestone Outpatient Pavilion</t>
        </is>
      </c>
      <c r="H1648" t="inlineStr">
        <is>
          <t>Primary Care Clinic</t>
        </is>
      </c>
      <c r="I1648" t="inlineStr">
        <is>
          <t>Ambulatory</t>
        </is>
      </c>
      <c r="J1648" t="inlineStr">
        <is>
          <t>Alvarado, George</t>
        </is>
      </c>
      <c r="K1648" t="inlineStr">
        <is>
          <t>I10</t>
        </is>
      </c>
      <c r="L1648" t="inlineStr">
        <is>
          <t>Circulatory</t>
        </is>
      </c>
      <c r="M1648" t="inlineStr">
        <is>
          <t>Evergreen Mutual Insurance</t>
        </is>
      </c>
      <c r="N1648" t="inlineStr">
        <is>
          <t>Commercial</t>
        </is>
      </c>
      <c r="O1648" s="39" t="n">
        <v>374.61</v>
      </c>
    </row>
    <row r="1649">
      <c r="A1649" t="inlineStr">
        <is>
          <t>ENC119974</t>
        </is>
      </c>
      <c r="B1649" t="inlineStr">
        <is>
          <t>PT11527</t>
        </is>
      </c>
      <c r="C1649" s="42" t="n">
        <v>45967</v>
      </c>
      <c r="D1649" s="42" t="n">
        <v>45973</v>
      </c>
      <c r="E1649" s="38" t="n">
        <v>6</v>
      </c>
      <c r="F1649" t="inlineStr">
        <is>
          <t>Inpatient</t>
        </is>
      </c>
      <c r="G1649" t="inlineStr">
        <is>
          <t>Bluestone Memorial Hospital</t>
        </is>
      </c>
      <c r="H1649" t="inlineStr">
        <is>
          <t>Medical-Surgical 4 West</t>
        </is>
      </c>
      <c r="I1649" t="inlineStr">
        <is>
          <t>Medicine</t>
        </is>
      </c>
      <c r="J1649" t="inlineStr">
        <is>
          <t>Cruz, Roger</t>
        </is>
      </c>
      <c r="K1649" t="inlineStr">
        <is>
          <t>J18.9</t>
        </is>
      </c>
      <c r="L1649" t="inlineStr">
        <is>
          <t>Respiratory</t>
        </is>
      </c>
      <c r="M1649" t="inlineStr">
        <is>
          <t>Medicare</t>
        </is>
      </c>
      <c r="N1649" t="inlineStr">
        <is>
          <t>Government</t>
        </is>
      </c>
      <c r="O1649" s="39" t="n">
        <v>20465.11</v>
      </c>
      <c r="P1649" t="inlineStr">
        <is>
          <t>N</t>
        </is>
      </c>
    </row>
    <row r="1650">
      <c r="A1650" t="inlineStr">
        <is>
          <t>ENC119987</t>
        </is>
      </c>
      <c r="B1650" t="inlineStr">
        <is>
          <t>PT10621</t>
        </is>
      </c>
      <c r="C1650" s="42" t="n">
        <v>45967</v>
      </c>
      <c r="D1650" s="42" t="n">
        <v>45969</v>
      </c>
      <c r="E1650" s="38" t="n">
        <v>2</v>
      </c>
      <c r="F1650" t="inlineStr">
        <is>
          <t>Observation</t>
        </is>
      </c>
      <c r="G1650" t="inlineStr">
        <is>
          <t>Bluestone Memorial Hospital</t>
        </is>
      </c>
      <c r="H1650" t="inlineStr">
        <is>
          <t>Observation Unit</t>
        </is>
      </c>
      <c r="I1650" t="inlineStr">
        <is>
          <t>Medicine</t>
        </is>
      </c>
      <c r="J1650" t="inlineStr">
        <is>
          <t>Alvarado, Tyler</t>
        </is>
      </c>
      <c r="K1650" t="inlineStr">
        <is>
          <t>R10.9</t>
        </is>
      </c>
      <c r="L1650" t="inlineStr">
        <is>
          <t>Symptoms &amp; Signs</t>
        </is>
      </c>
      <c r="M1650" t="inlineStr">
        <is>
          <t>State Medicaid</t>
        </is>
      </c>
      <c r="N1650" t="inlineStr">
        <is>
          <t>Government</t>
        </is>
      </c>
      <c r="O1650" s="39" t="n">
        <v>7450.55</v>
      </c>
    </row>
    <row r="1651">
      <c r="A1651" t="inlineStr">
        <is>
          <t>ENC119990</t>
        </is>
      </c>
      <c r="B1651" t="inlineStr">
        <is>
          <t>PT11423</t>
        </is>
      </c>
      <c r="C1651" s="42" t="n">
        <v>45968</v>
      </c>
      <c r="D1651" s="42" t="n">
        <v>45968</v>
      </c>
      <c r="E1651" s="38" t="n">
        <v>0</v>
      </c>
      <c r="F1651" t="inlineStr">
        <is>
          <t>Observation</t>
        </is>
      </c>
      <c r="G1651" t="inlineStr">
        <is>
          <t>Bluestone Memorial Hospital</t>
        </is>
      </c>
      <c r="H1651" t="inlineStr">
        <is>
          <t>Observation Unit</t>
        </is>
      </c>
      <c r="I1651" t="inlineStr">
        <is>
          <t>Medicine</t>
        </is>
      </c>
      <c r="J1651" t="inlineStr">
        <is>
          <t>Cox, Judith</t>
        </is>
      </c>
      <c r="K1651" t="inlineStr">
        <is>
          <t>R07.9</t>
        </is>
      </c>
      <c r="L1651" t="inlineStr">
        <is>
          <t>Symptoms &amp; Signs</t>
        </is>
      </c>
      <c r="M1651" t="inlineStr">
        <is>
          <t>Evergreen Mutual Insurance</t>
        </is>
      </c>
      <c r="N1651" t="inlineStr">
        <is>
          <t>Commercial</t>
        </is>
      </c>
      <c r="O1651" s="39" t="n">
        <v>6936.52</v>
      </c>
    </row>
    <row r="1652">
      <c r="A1652" t="inlineStr">
        <is>
          <t>ENC119998</t>
        </is>
      </c>
      <c r="B1652" t="inlineStr">
        <is>
          <t>PT12973</t>
        </is>
      </c>
      <c r="C1652" s="42" t="n">
        <v>45968</v>
      </c>
      <c r="D1652" s="42" t="n">
        <v>45968</v>
      </c>
      <c r="E1652" s="38" t="n">
        <v>0</v>
      </c>
      <c r="F1652" t="inlineStr">
        <is>
          <t>Emergency</t>
        </is>
      </c>
      <c r="G1652" t="inlineStr">
        <is>
          <t>Bluestone Memorial Hospital</t>
        </is>
      </c>
      <c r="H1652" t="inlineStr">
        <is>
          <t>Emergency Department</t>
        </is>
      </c>
      <c r="I1652" t="inlineStr">
        <is>
          <t>Emergency</t>
        </is>
      </c>
      <c r="J1652" t="inlineStr">
        <is>
          <t>Kowalski, James</t>
        </is>
      </c>
      <c r="K1652" t="inlineStr">
        <is>
          <t>F32.9</t>
        </is>
      </c>
      <c r="L1652" t="inlineStr">
        <is>
          <t>Mental &amp; Behavioral</t>
        </is>
      </c>
      <c r="M1652" t="inlineStr">
        <is>
          <t>Silverline Medicare Advantage</t>
        </is>
      </c>
      <c r="N1652" t="inlineStr">
        <is>
          <t>Medicare Advantage</t>
        </is>
      </c>
      <c r="O1652" s="39" t="n">
        <v>4999.09</v>
      </c>
    </row>
    <row r="1653">
      <c r="A1653" t="inlineStr">
        <is>
          <t>ENC120003</t>
        </is>
      </c>
      <c r="B1653" t="inlineStr">
        <is>
          <t>PT12408</t>
        </is>
      </c>
      <c r="C1653" s="42" t="n">
        <v>45968</v>
      </c>
      <c r="D1653" s="42" t="n">
        <v>45969</v>
      </c>
      <c r="E1653" s="38" t="n">
        <v>1</v>
      </c>
      <c r="F1653" t="inlineStr">
        <is>
          <t>Observation</t>
        </is>
      </c>
      <c r="G1653" t="inlineStr">
        <is>
          <t>Bluestone Memorial Hospital</t>
        </is>
      </c>
      <c r="H1653" t="inlineStr">
        <is>
          <t>Observation Unit</t>
        </is>
      </c>
      <c r="I1653" t="inlineStr">
        <is>
          <t>Medicine</t>
        </is>
      </c>
      <c r="J1653" t="inlineStr">
        <is>
          <t>Price, Juan</t>
        </is>
      </c>
      <c r="K1653" t="inlineStr">
        <is>
          <t>R07.9</t>
        </is>
      </c>
      <c r="L1653" t="inlineStr">
        <is>
          <t>Symptoms &amp; Signs</t>
        </is>
      </c>
      <c r="M1653" t="inlineStr">
        <is>
          <t>State Medicaid</t>
        </is>
      </c>
      <c r="N1653" t="inlineStr">
        <is>
          <t>Government</t>
        </is>
      </c>
      <c r="O1653" s="39" t="n">
        <v>8979.299999999999</v>
      </c>
    </row>
    <row r="1654">
      <c r="A1654" t="inlineStr">
        <is>
          <t>ENC120014</t>
        </is>
      </c>
      <c r="B1654" t="inlineStr">
        <is>
          <t>PT10620</t>
        </is>
      </c>
      <c r="C1654" s="42" t="n">
        <v>45969</v>
      </c>
      <c r="D1654" s="42" t="n">
        <v>45970</v>
      </c>
      <c r="E1654" s="38" t="n">
        <v>1</v>
      </c>
      <c r="F1654" t="inlineStr">
        <is>
          <t>Observation</t>
        </is>
      </c>
      <c r="G1654" t="inlineStr">
        <is>
          <t>Ashby Falls Community Hospital</t>
        </is>
      </c>
      <c r="H1654" t="inlineStr">
        <is>
          <t>Medical-Surgical</t>
        </is>
      </c>
      <c r="I1654" t="inlineStr">
        <is>
          <t>Medicine</t>
        </is>
      </c>
      <c r="J1654" t="inlineStr">
        <is>
          <t>Carroll, Philip</t>
        </is>
      </c>
      <c r="K1654" t="inlineStr">
        <is>
          <t>J44.1</t>
        </is>
      </c>
      <c r="L1654" t="inlineStr">
        <is>
          <t>Respiratory</t>
        </is>
      </c>
      <c r="M1654" t="inlineStr">
        <is>
          <t>State Medicaid</t>
        </is>
      </c>
      <c r="N1654" t="inlineStr">
        <is>
          <t>Government</t>
        </is>
      </c>
      <c r="O1654" s="39" t="n">
        <v>7623.06</v>
      </c>
    </row>
    <row r="1655">
      <c r="A1655" t="inlineStr">
        <is>
          <t>ENC120016</t>
        </is>
      </c>
      <c r="B1655" t="inlineStr">
        <is>
          <t>PT11543</t>
        </is>
      </c>
      <c r="C1655" s="42" t="n">
        <v>45969</v>
      </c>
      <c r="D1655" s="42" t="n">
        <v>45969</v>
      </c>
      <c r="E1655" s="38" t="n">
        <v>0</v>
      </c>
      <c r="F1655" t="inlineStr">
        <is>
          <t>Emergency</t>
        </is>
      </c>
      <c r="G1655" t="inlineStr">
        <is>
          <t>Bluestone Memorial Hospital</t>
        </is>
      </c>
      <c r="H1655" t="inlineStr">
        <is>
          <t>Emergency Department</t>
        </is>
      </c>
      <c r="I1655" t="inlineStr">
        <is>
          <t>Emergency</t>
        </is>
      </c>
      <c r="J1655" t="inlineStr">
        <is>
          <t>Mendoza, Alexander</t>
        </is>
      </c>
      <c r="K1655" t="inlineStr">
        <is>
          <t>U07.1</t>
        </is>
      </c>
      <c r="L1655" t="inlineStr">
        <is>
          <t>Respiratory</t>
        </is>
      </c>
      <c r="M1655" t="inlineStr">
        <is>
          <t>State Medicaid</t>
        </is>
      </c>
      <c r="N1655" t="inlineStr">
        <is>
          <t>Government</t>
        </is>
      </c>
      <c r="O1655" s="39" t="n">
        <v>3006.59</v>
      </c>
    </row>
    <row r="1656">
      <c r="A1656" t="inlineStr">
        <is>
          <t>ENC120021</t>
        </is>
      </c>
      <c r="B1656" t="inlineStr">
        <is>
          <t>PT10263</t>
        </is>
      </c>
      <c r="C1656" s="42" t="n">
        <v>45969</v>
      </c>
      <c r="D1656" s="42" t="n">
        <v>45969</v>
      </c>
      <c r="E1656" s="38" t="n">
        <v>0</v>
      </c>
      <c r="F1656" t="inlineStr">
        <is>
          <t>Emergency</t>
        </is>
      </c>
      <c r="G1656" t="inlineStr">
        <is>
          <t>Bluestone Memorial Hospital</t>
        </is>
      </c>
      <c r="H1656" t="inlineStr">
        <is>
          <t>Emergency Department</t>
        </is>
      </c>
      <c r="I1656" t="inlineStr">
        <is>
          <t>Emergency</t>
        </is>
      </c>
      <c r="J1656" t="inlineStr">
        <is>
          <t>Cruz, Mia</t>
        </is>
      </c>
      <c r="K1656" t="inlineStr">
        <is>
          <t>F41.9</t>
        </is>
      </c>
      <c r="L1656" t="inlineStr">
        <is>
          <t>Mental &amp; Behavioral</t>
        </is>
      </c>
      <c r="M1656" t="inlineStr">
        <is>
          <t>Self-Pay</t>
        </is>
      </c>
      <c r="N1656" t="inlineStr">
        <is>
          <t>Self-Pay</t>
        </is>
      </c>
      <c r="O1656" s="39" t="n">
        <v>578.72</v>
      </c>
    </row>
    <row r="1657">
      <c r="A1657" t="inlineStr">
        <is>
          <t>ENC120022</t>
        </is>
      </c>
      <c r="B1657" t="inlineStr">
        <is>
          <t>PT11749</t>
        </is>
      </c>
      <c r="C1657" s="42" t="n">
        <v>45969</v>
      </c>
      <c r="D1657" s="42" t="n">
        <v>45970</v>
      </c>
      <c r="E1657" s="38" t="n">
        <v>1</v>
      </c>
      <c r="F1657" t="inlineStr">
        <is>
          <t>Observation</t>
        </is>
      </c>
      <c r="G1657" t="inlineStr">
        <is>
          <t>Bluestone Memorial Hospital</t>
        </is>
      </c>
      <c r="H1657" t="inlineStr">
        <is>
          <t>Observation Unit</t>
        </is>
      </c>
      <c r="I1657" t="inlineStr">
        <is>
          <t>Medicine</t>
        </is>
      </c>
      <c r="J1657" t="inlineStr">
        <is>
          <t>Simpson, Kelly</t>
        </is>
      </c>
      <c r="K1657" t="inlineStr">
        <is>
          <t>M54.50</t>
        </is>
      </c>
      <c r="L1657" t="inlineStr">
        <is>
          <t>Musculoskeletal</t>
        </is>
      </c>
      <c r="M1657" t="inlineStr">
        <is>
          <t>Self-Pay</t>
        </is>
      </c>
      <c r="N1657" t="inlineStr">
        <is>
          <t>Self-Pay</t>
        </is>
      </c>
      <c r="O1657" s="39" t="n">
        <v>9046.290000000001</v>
      </c>
    </row>
    <row r="1658">
      <c r="A1658" t="inlineStr">
        <is>
          <t>ENC120025</t>
        </is>
      </c>
      <c r="B1658" t="inlineStr">
        <is>
          <t>PT10463</t>
        </is>
      </c>
      <c r="C1658" s="42" t="n">
        <v>45969</v>
      </c>
      <c r="D1658" s="42" t="n">
        <v>45969</v>
      </c>
      <c r="E1658" s="38" t="n">
        <v>0</v>
      </c>
      <c r="F1658" t="inlineStr">
        <is>
          <t>Emergency</t>
        </is>
      </c>
      <c r="G1658" t="inlineStr">
        <is>
          <t>Bluestone Memorial Hospital</t>
        </is>
      </c>
      <c r="H1658" t="inlineStr">
        <is>
          <t>Emergency Department</t>
        </is>
      </c>
      <c r="I1658" t="inlineStr">
        <is>
          <t>Emergency</t>
        </is>
      </c>
      <c r="J1658" t="inlineStr">
        <is>
          <t>Cruz, Mia</t>
        </is>
      </c>
      <c r="K1658" t="inlineStr">
        <is>
          <t>F32.9</t>
        </is>
      </c>
      <c r="L1658" t="inlineStr">
        <is>
          <t>Mental &amp; Behavioral</t>
        </is>
      </c>
      <c r="M1658" t="inlineStr">
        <is>
          <t>Silverline Medicare Advantage</t>
        </is>
      </c>
      <c r="N1658" t="inlineStr">
        <is>
          <t>Medicare Advantage</t>
        </is>
      </c>
      <c r="O1658" s="39" t="n">
        <v>6592.55</v>
      </c>
    </row>
    <row r="1659">
      <c r="A1659" t="inlineStr">
        <is>
          <t>ENC120038</t>
        </is>
      </c>
      <c r="B1659" t="inlineStr">
        <is>
          <t>PT11902</t>
        </is>
      </c>
      <c r="C1659" s="42" t="n">
        <v>45970</v>
      </c>
      <c r="D1659" s="42" t="n">
        <v>45970</v>
      </c>
      <c r="E1659" s="38" t="n">
        <v>0</v>
      </c>
      <c r="F1659" t="inlineStr">
        <is>
          <t>Emergency</t>
        </is>
      </c>
      <c r="G1659" t="inlineStr">
        <is>
          <t>Bluestone Memorial Hospital</t>
        </is>
      </c>
      <c r="H1659" t="inlineStr">
        <is>
          <t>Emergency Department</t>
        </is>
      </c>
      <c r="I1659" t="inlineStr">
        <is>
          <t>Emergency</t>
        </is>
      </c>
      <c r="J1659" t="inlineStr">
        <is>
          <t>Foster, Patrick</t>
        </is>
      </c>
      <c r="K1659" t="inlineStr">
        <is>
          <t>R10.9</t>
        </is>
      </c>
      <c r="L1659" t="inlineStr">
        <is>
          <t>Symptoms &amp; Signs</t>
        </is>
      </c>
      <c r="M1659" t="inlineStr">
        <is>
          <t>Medicare</t>
        </is>
      </c>
      <c r="N1659" t="inlineStr">
        <is>
          <t>Government</t>
        </is>
      </c>
      <c r="O1659" s="39" t="n">
        <v>2665.71</v>
      </c>
    </row>
    <row r="1660">
      <c r="A1660" t="inlineStr">
        <is>
          <t>ENC120042</t>
        </is>
      </c>
      <c r="B1660" t="inlineStr">
        <is>
          <t>PT13092</t>
        </is>
      </c>
      <c r="C1660" s="42" t="n">
        <v>45970</v>
      </c>
      <c r="D1660" s="42" t="n">
        <v>45973</v>
      </c>
      <c r="E1660" s="38" t="n">
        <v>3</v>
      </c>
      <c r="F1660" t="inlineStr">
        <is>
          <t>Inpatient</t>
        </is>
      </c>
      <c r="G1660" t="inlineStr">
        <is>
          <t>Bluestone Memorial Hospital</t>
        </is>
      </c>
      <c r="H1660" t="inlineStr">
        <is>
          <t>Cardiac Step-Down</t>
        </is>
      </c>
      <c r="I1660" t="inlineStr">
        <is>
          <t>Cardiovascular</t>
        </is>
      </c>
      <c r="J1660" t="inlineStr">
        <is>
          <t>Evans, Charles</t>
        </is>
      </c>
      <c r="K1660" t="inlineStr">
        <is>
          <t>I50.9</t>
        </is>
      </c>
      <c r="L1660" t="inlineStr">
        <is>
          <t>Circulatory</t>
        </is>
      </c>
      <c r="M1660" t="inlineStr">
        <is>
          <t>Silverline Medicare Advantage</t>
        </is>
      </c>
      <c r="N1660" t="inlineStr">
        <is>
          <t>Medicare Advantage</t>
        </is>
      </c>
      <c r="O1660" s="39" t="n">
        <v>26807.81</v>
      </c>
      <c r="P1660" t="inlineStr">
        <is>
          <t>Y</t>
        </is>
      </c>
    </row>
    <row r="1661">
      <c r="A1661" t="inlineStr">
        <is>
          <t>ENC120039</t>
        </is>
      </c>
      <c r="B1661" t="inlineStr">
        <is>
          <t>PT13789</t>
        </is>
      </c>
      <c r="C1661" s="42" t="n">
        <v>45970</v>
      </c>
      <c r="D1661" s="42" t="n">
        <v>45981</v>
      </c>
      <c r="E1661" s="38" t="n">
        <v>11</v>
      </c>
      <c r="F1661" t="inlineStr">
        <is>
          <t>Inpatient</t>
        </is>
      </c>
      <c r="G1661" t="inlineStr">
        <is>
          <t>Bluestone Memorial Hospital</t>
        </is>
      </c>
      <c r="H1661" t="inlineStr">
        <is>
          <t>Oncology</t>
        </is>
      </c>
      <c r="I1661" t="inlineStr">
        <is>
          <t>Oncology</t>
        </is>
      </c>
      <c r="J1661" t="inlineStr">
        <is>
          <t>Robertson, Eric</t>
        </is>
      </c>
      <c r="K1661" t="inlineStr">
        <is>
          <t>C34.90</t>
        </is>
      </c>
      <c r="L1661" t="inlineStr">
        <is>
          <t>Neoplasms</t>
        </is>
      </c>
      <c r="M1661" t="inlineStr">
        <is>
          <t>Medicare</t>
        </is>
      </c>
      <c r="N1661" t="inlineStr">
        <is>
          <t>Government</t>
        </is>
      </c>
      <c r="O1661" s="39" t="n">
        <v>66195.42999999999</v>
      </c>
      <c r="P1661" t="inlineStr">
        <is>
          <t>N</t>
        </is>
      </c>
    </row>
    <row r="1662">
      <c r="A1662" t="inlineStr">
        <is>
          <t>ENC120070</t>
        </is>
      </c>
      <c r="B1662" t="inlineStr">
        <is>
          <t>PT11005</t>
        </is>
      </c>
      <c r="C1662" s="42" t="n">
        <v>45971</v>
      </c>
      <c r="D1662" s="42" t="n">
        <v>45971</v>
      </c>
      <c r="E1662" s="38" t="n">
        <v>0</v>
      </c>
      <c r="F1662" t="inlineStr">
        <is>
          <t>Outpatient</t>
        </is>
      </c>
      <c r="G1662" t="inlineStr">
        <is>
          <t>Bluestone Outpatient Pavilion</t>
        </is>
      </c>
      <c r="H1662" t="inlineStr">
        <is>
          <t>Pediatric Clinic</t>
        </is>
      </c>
      <c r="I1662" t="inlineStr">
        <is>
          <t>Women &amp; Children</t>
        </is>
      </c>
      <c r="J1662" t="inlineStr">
        <is>
          <t>Herrera, Christian</t>
        </is>
      </c>
      <c r="K1662" t="inlineStr">
        <is>
          <t>Z00.129</t>
        </is>
      </c>
      <c r="L1662" t="inlineStr">
        <is>
          <t>Factors Influencing Health</t>
        </is>
      </c>
      <c r="M1662" t="inlineStr">
        <is>
          <t>Evergreen Mutual Insurance</t>
        </is>
      </c>
      <c r="N1662" t="inlineStr">
        <is>
          <t>Commercial</t>
        </is>
      </c>
      <c r="O1662" s="39" t="n">
        <v>217.48</v>
      </c>
    </row>
    <row r="1663">
      <c r="A1663" t="inlineStr">
        <is>
          <t>ENC120077</t>
        </is>
      </c>
      <c r="B1663" t="inlineStr">
        <is>
          <t>PT13601</t>
        </is>
      </c>
      <c r="C1663" s="42" t="n">
        <v>45971</v>
      </c>
      <c r="D1663" s="42" t="n">
        <v>45971</v>
      </c>
      <c r="E1663" s="38" t="n">
        <v>0</v>
      </c>
      <c r="F1663" t="inlineStr">
        <is>
          <t>Emergency</t>
        </is>
      </c>
      <c r="G1663" t="inlineStr">
        <is>
          <t>Bluestone Memorial Hospital</t>
        </is>
      </c>
      <c r="H1663" t="inlineStr">
        <is>
          <t>Emergency Department</t>
        </is>
      </c>
      <c r="I1663" t="inlineStr">
        <is>
          <t>Emergency</t>
        </is>
      </c>
      <c r="J1663" t="inlineStr">
        <is>
          <t>Sullivan, Jacob</t>
        </is>
      </c>
      <c r="K1663" t="inlineStr">
        <is>
          <t>F32.9</t>
        </is>
      </c>
      <c r="L1663" t="inlineStr">
        <is>
          <t>Mental &amp; Behavioral</t>
        </is>
      </c>
      <c r="M1663" t="inlineStr">
        <is>
          <t>State Medicaid</t>
        </is>
      </c>
      <c r="N1663" t="inlineStr">
        <is>
          <t>Government</t>
        </is>
      </c>
      <c r="O1663" s="39" t="n">
        <v>6874.67</v>
      </c>
    </row>
    <row r="1664">
      <c r="A1664" t="inlineStr">
        <is>
          <t>ENC120082</t>
        </is>
      </c>
      <c r="B1664" t="inlineStr">
        <is>
          <t>PT10536</t>
        </is>
      </c>
      <c r="C1664" s="42" t="n">
        <v>45971</v>
      </c>
      <c r="D1664" s="42" t="n">
        <v>45971</v>
      </c>
      <c r="E1664" s="38" t="n">
        <v>0</v>
      </c>
      <c r="F1664" t="inlineStr">
        <is>
          <t>Emergency</t>
        </is>
      </c>
      <c r="G1664" t="inlineStr">
        <is>
          <t>Ashby Falls Community Hospital</t>
        </is>
      </c>
      <c r="H1664" t="inlineStr">
        <is>
          <t>Emergency Department</t>
        </is>
      </c>
      <c r="I1664" t="inlineStr">
        <is>
          <t>Emergency</t>
        </is>
      </c>
      <c r="J1664" t="inlineStr">
        <is>
          <t>Marshall, Lisa</t>
        </is>
      </c>
      <c r="K1664" t="inlineStr">
        <is>
          <t>R07.9</t>
        </is>
      </c>
      <c r="L1664" t="inlineStr">
        <is>
          <t>Symptoms &amp; Signs</t>
        </is>
      </c>
      <c r="M1664" t="inlineStr">
        <is>
          <t>Keystone Health Partners</t>
        </is>
      </c>
      <c r="N1664" t="inlineStr">
        <is>
          <t>Commercial</t>
        </is>
      </c>
      <c r="O1664" s="39" t="n">
        <v>1491.38</v>
      </c>
    </row>
    <row r="1665">
      <c r="A1665" t="inlineStr">
        <is>
          <t>ENC120094</t>
        </is>
      </c>
      <c r="B1665" t="inlineStr">
        <is>
          <t>PT11408</t>
        </is>
      </c>
      <c r="C1665" s="42" t="n">
        <v>45971</v>
      </c>
      <c r="D1665" s="42" t="n">
        <v>45971</v>
      </c>
      <c r="E1665" s="38" t="n">
        <v>0</v>
      </c>
      <c r="F1665" t="inlineStr">
        <is>
          <t>Emergency</t>
        </is>
      </c>
      <c r="G1665" t="inlineStr">
        <is>
          <t>Bluestone Memorial Hospital</t>
        </is>
      </c>
      <c r="H1665" t="inlineStr">
        <is>
          <t>Emergency Department</t>
        </is>
      </c>
      <c r="I1665" t="inlineStr">
        <is>
          <t>Emergency</t>
        </is>
      </c>
      <c r="J1665" t="inlineStr">
        <is>
          <t>Mendoza, Alexander</t>
        </is>
      </c>
      <c r="K1665" t="inlineStr">
        <is>
          <t>J21.9</t>
        </is>
      </c>
      <c r="L1665" t="inlineStr">
        <is>
          <t>Respiratory</t>
        </is>
      </c>
      <c r="M1665" t="inlineStr">
        <is>
          <t>State Medicaid</t>
        </is>
      </c>
      <c r="N1665" t="inlineStr">
        <is>
          <t>Government</t>
        </is>
      </c>
      <c r="O1665" s="39" t="n">
        <v>4333.7</v>
      </c>
    </row>
    <row r="1666">
      <c r="A1666" t="inlineStr">
        <is>
          <t>ENC120096</t>
        </is>
      </c>
      <c r="B1666" t="inlineStr">
        <is>
          <t>PT10715</t>
        </is>
      </c>
      <c r="C1666" s="42" t="n">
        <v>45972</v>
      </c>
      <c r="D1666" s="42" t="n">
        <v>45978</v>
      </c>
      <c r="E1666" s="38" t="n">
        <v>6</v>
      </c>
      <c r="F1666" t="inlineStr">
        <is>
          <t>Inpatient</t>
        </is>
      </c>
      <c r="G1666" t="inlineStr">
        <is>
          <t>Bluestone Memorial Hospital</t>
        </is>
      </c>
      <c r="H1666" t="inlineStr">
        <is>
          <t>Oncology</t>
        </is>
      </c>
      <c r="I1666" t="inlineStr">
        <is>
          <t>Oncology</t>
        </is>
      </c>
      <c r="J1666" t="inlineStr">
        <is>
          <t>Robertson, Eric</t>
        </is>
      </c>
      <c r="K1666" t="inlineStr">
        <is>
          <t>C50.911</t>
        </is>
      </c>
      <c r="L1666" t="inlineStr">
        <is>
          <t>Neoplasms</t>
        </is>
      </c>
      <c r="M1666" t="inlineStr">
        <is>
          <t>State Medicaid</t>
        </is>
      </c>
      <c r="N1666" t="inlineStr">
        <is>
          <t>Government</t>
        </is>
      </c>
      <c r="O1666" s="39" t="n">
        <v>37927.71</v>
      </c>
      <c r="P1666" t="inlineStr">
        <is>
          <t>N</t>
        </is>
      </c>
    </row>
    <row r="1667">
      <c r="A1667" t="inlineStr">
        <is>
          <t>ENC120111</t>
        </is>
      </c>
      <c r="B1667" t="inlineStr">
        <is>
          <t>PT12841</t>
        </is>
      </c>
      <c r="C1667" s="42" t="n">
        <v>45972</v>
      </c>
      <c r="D1667" s="42" t="n">
        <v>45972</v>
      </c>
      <c r="E1667" s="38" t="n">
        <v>0</v>
      </c>
      <c r="F1667" t="inlineStr">
        <is>
          <t>Emergency</t>
        </is>
      </c>
      <c r="G1667" t="inlineStr">
        <is>
          <t>Bluestone Memorial Hospital</t>
        </is>
      </c>
      <c r="H1667" t="inlineStr">
        <is>
          <t>Emergency Department</t>
        </is>
      </c>
      <c r="I1667" t="inlineStr">
        <is>
          <t>Emergency</t>
        </is>
      </c>
      <c r="J1667" t="inlineStr">
        <is>
          <t>Sullivan, Jacob</t>
        </is>
      </c>
      <c r="K1667" t="inlineStr">
        <is>
          <t>K80.20</t>
        </is>
      </c>
      <c r="L1667" t="inlineStr">
        <is>
          <t>Digestive</t>
        </is>
      </c>
      <c r="M1667" t="inlineStr">
        <is>
          <t>Silverline Medicare Advantage</t>
        </is>
      </c>
      <c r="N1667" t="inlineStr">
        <is>
          <t>Medicare Advantage</t>
        </is>
      </c>
      <c r="O1667" s="39" t="n">
        <v>3539.49</v>
      </c>
    </row>
    <row r="1668">
      <c r="A1668" t="inlineStr">
        <is>
          <t>ENC120125</t>
        </is>
      </c>
      <c r="B1668" t="inlineStr">
        <is>
          <t>PT10528</t>
        </is>
      </c>
      <c r="C1668" s="42" t="n">
        <v>45972</v>
      </c>
      <c r="D1668" s="42" t="n">
        <v>45972</v>
      </c>
      <c r="E1668" s="38" t="n">
        <v>0</v>
      </c>
      <c r="F1668" t="inlineStr">
        <is>
          <t>Outpatient</t>
        </is>
      </c>
      <c r="G1668" t="inlineStr">
        <is>
          <t>Bluestone Outpatient Pavilion</t>
        </is>
      </c>
      <c r="H1668" t="inlineStr">
        <is>
          <t>Primary Care Clinic</t>
        </is>
      </c>
      <c r="I1668" t="inlineStr">
        <is>
          <t>Ambulatory</t>
        </is>
      </c>
      <c r="J1668" t="inlineStr">
        <is>
          <t>Chen, Mei</t>
        </is>
      </c>
      <c r="K1668" t="inlineStr">
        <is>
          <t>J06.9</t>
        </is>
      </c>
      <c r="L1668" t="inlineStr">
        <is>
          <t>Respiratory</t>
        </is>
      </c>
      <c r="M1668" t="inlineStr">
        <is>
          <t>Medicare</t>
        </is>
      </c>
      <c r="N1668" t="inlineStr">
        <is>
          <t>Government</t>
        </is>
      </c>
      <c r="O1668" s="39" t="n">
        <v>313.42</v>
      </c>
    </row>
    <row r="1669">
      <c r="A1669" t="inlineStr">
        <is>
          <t>ENC120130</t>
        </is>
      </c>
      <c r="B1669" t="inlineStr">
        <is>
          <t>PT13690</t>
        </is>
      </c>
      <c r="C1669" s="42" t="n">
        <v>45972</v>
      </c>
      <c r="D1669" s="42" t="n">
        <v>45972</v>
      </c>
      <c r="E1669" s="38" t="n">
        <v>0</v>
      </c>
      <c r="F1669" t="inlineStr">
        <is>
          <t>Emergency</t>
        </is>
      </c>
      <c r="G1669" t="inlineStr">
        <is>
          <t>Bluestone Memorial Hospital</t>
        </is>
      </c>
      <c r="H1669" t="inlineStr">
        <is>
          <t>Emergency Department</t>
        </is>
      </c>
      <c r="I1669" t="inlineStr">
        <is>
          <t>Emergency</t>
        </is>
      </c>
      <c r="J1669" t="inlineStr">
        <is>
          <t>Kowalski, James</t>
        </is>
      </c>
      <c r="K1669" t="inlineStr">
        <is>
          <t>F32.9</t>
        </is>
      </c>
      <c r="L1669" t="inlineStr">
        <is>
          <t>Mental &amp; Behavioral</t>
        </is>
      </c>
      <c r="M1669" t="inlineStr">
        <is>
          <t>Silverline Medicare Advantage</t>
        </is>
      </c>
      <c r="N1669" t="inlineStr">
        <is>
          <t>Medicare Advantage</t>
        </is>
      </c>
      <c r="O1669" s="39" t="n">
        <v>6638.66</v>
      </c>
    </row>
    <row r="1670">
      <c r="A1670" t="inlineStr">
        <is>
          <t>ENC120141</t>
        </is>
      </c>
      <c r="B1670" t="inlineStr">
        <is>
          <t>PT12090</t>
        </is>
      </c>
      <c r="C1670" s="42" t="n">
        <v>45973</v>
      </c>
      <c r="D1670" s="42" t="n">
        <v>45973</v>
      </c>
      <c r="E1670" s="38" t="n">
        <v>0</v>
      </c>
      <c r="F1670" t="inlineStr">
        <is>
          <t>Emergency</t>
        </is>
      </c>
      <c r="G1670" t="inlineStr">
        <is>
          <t>Bluestone Memorial Hospital</t>
        </is>
      </c>
      <c r="H1670" t="inlineStr">
        <is>
          <t>Emergency Department</t>
        </is>
      </c>
      <c r="I1670" t="inlineStr">
        <is>
          <t>Emergency</t>
        </is>
      </c>
      <c r="J1670" t="inlineStr">
        <is>
          <t>Olson, Christian</t>
        </is>
      </c>
      <c r="K1670" t="inlineStr">
        <is>
          <t>G43.909</t>
        </is>
      </c>
      <c r="L1670" t="inlineStr">
        <is>
          <t>Nervous System</t>
        </is>
      </c>
      <c r="M1670" t="inlineStr">
        <is>
          <t>Evergreen Mutual Insurance</t>
        </is>
      </c>
      <c r="N1670" t="inlineStr">
        <is>
          <t>Commercial</t>
        </is>
      </c>
      <c r="O1670" s="39" t="n">
        <v>2165.34</v>
      </c>
    </row>
    <row r="1671">
      <c r="A1671" t="inlineStr">
        <is>
          <t>ENC120143</t>
        </is>
      </c>
      <c r="B1671" t="inlineStr">
        <is>
          <t>PT13505</t>
        </is>
      </c>
      <c r="C1671" s="42" t="n">
        <v>45973</v>
      </c>
      <c r="D1671" s="42" t="n">
        <v>45976</v>
      </c>
      <c r="E1671" s="38" t="n">
        <v>3</v>
      </c>
      <c r="F1671" t="inlineStr">
        <is>
          <t>Inpatient</t>
        </is>
      </c>
      <c r="G1671" t="inlineStr">
        <is>
          <t>Bluestone Memorial Hospital</t>
        </is>
      </c>
      <c r="H1671" t="inlineStr">
        <is>
          <t>Medical-Surgical 5 East</t>
        </is>
      </c>
      <c r="I1671" t="inlineStr">
        <is>
          <t>Medicine</t>
        </is>
      </c>
      <c r="J1671" t="inlineStr">
        <is>
          <t>Abbott, Kathleen</t>
        </is>
      </c>
      <c r="K1671" t="inlineStr">
        <is>
          <t>J18.9</t>
        </is>
      </c>
      <c r="L1671" t="inlineStr">
        <is>
          <t>Respiratory</t>
        </is>
      </c>
      <c r="M1671" t="inlineStr">
        <is>
          <t>Summit Choice PPO</t>
        </is>
      </c>
      <c r="N1671" t="inlineStr">
        <is>
          <t>Commercial</t>
        </is>
      </c>
      <c r="O1671" s="39" t="n">
        <v>18862.26</v>
      </c>
      <c r="P1671" t="inlineStr">
        <is>
          <t>N</t>
        </is>
      </c>
    </row>
    <row r="1672">
      <c r="A1672" t="inlineStr">
        <is>
          <t>ENC120156</t>
        </is>
      </c>
      <c r="B1672" t="inlineStr">
        <is>
          <t>PT12488</t>
        </is>
      </c>
      <c r="C1672" s="42" t="n">
        <v>45973</v>
      </c>
      <c r="D1672" s="42" t="n">
        <v>45973</v>
      </c>
      <c r="E1672" s="38" t="n">
        <v>0</v>
      </c>
      <c r="F1672" t="inlineStr">
        <is>
          <t>Outpatient</t>
        </is>
      </c>
      <c r="G1672" t="inlineStr">
        <is>
          <t>Bluestone Outpatient Pavilion</t>
        </is>
      </c>
      <c r="H1672" t="inlineStr">
        <is>
          <t>Primary Care Clinic</t>
        </is>
      </c>
      <c r="I1672" t="inlineStr">
        <is>
          <t>Ambulatory</t>
        </is>
      </c>
      <c r="J1672" t="inlineStr">
        <is>
          <t>Fisher, Brandon</t>
        </is>
      </c>
      <c r="K1672" t="inlineStr">
        <is>
          <t>Z23</t>
        </is>
      </c>
      <c r="L1672" t="inlineStr">
        <is>
          <t>Factors Influencing Health</t>
        </is>
      </c>
      <c r="M1672" t="inlineStr">
        <is>
          <t>Summit Choice PPO</t>
        </is>
      </c>
      <c r="N1672" t="inlineStr">
        <is>
          <t>Commercial</t>
        </is>
      </c>
      <c r="O1672" s="39" t="n">
        <v>106.73</v>
      </c>
    </row>
    <row r="1673">
      <c r="A1673" t="inlineStr">
        <is>
          <t>ENC120157</t>
        </is>
      </c>
      <c r="B1673" t="inlineStr">
        <is>
          <t>PT11561</t>
        </is>
      </c>
      <c r="C1673" s="42" t="n">
        <v>45973</v>
      </c>
      <c r="D1673" s="42" t="n">
        <v>45973</v>
      </c>
      <c r="E1673" s="38" t="n">
        <v>0</v>
      </c>
      <c r="F1673" t="inlineStr">
        <is>
          <t>Emergency</t>
        </is>
      </c>
      <c r="G1673" t="inlineStr">
        <is>
          <t>Bluestone Memorial Hospital</t>
        </is>
      </c>
      <c r="H1673" t="inlineStr">
        <is>
          <t>Emergency Department</t>
        </is>
      </c>
      <c r="I1673" t="inlineStr">
        <is>
          <t>Emergency</t>
        </is>
      </c>
      <c r="J1673" t="inlineStr">
        <is>
          <t>Elliott, Jesse</t>
        </is>
      </c>
      <c r="K1673" t="inlineStr">
        <is>
          <t>M54.50</t>
        </is>
      </c>
      <c r="L1673" t="inlineStr">
        <is>
          <t>Musculoskeletal</t>
        </is>
      </c>
      <c r="M1673" t="inlineStr">
        <is>
          <t>Silverline Medicare Advantage</t>
        </is>
      </c>
      <c r="N1673" t="inlineStr">
        <is>
          <t>Medicare Advantage</t>
        </is>
      </c>
      <c r="O1673" s="39" t="n">
        <v>3415.44</v>
      </c>
    </row>
    <row r="1674">
      <c r="A1674" t="inlineStr">
        <is>
          <t>ENC120172</t>
        </is>
      </c>
      <c r="B1674" t="inlineStr">
        <is>
          <t>PT13636</t>
        </is>
      </c>
      <c r="C1674" s="42" t="n">
        <v>45973</v>
      </c>
      <c r="D1674" s="42" t="n">
        <v>46007</v>
      </c>
      <c r="E1674" s="38" t="n">
        <v>34</v>
      </c>
      <c r="F1674" t="inlineStr">
        <is>
          <t>Inpatient</t>
        </is>
      </c>
      <c r="G1674" t="inlineStr">
        <is>
          <t>Bluestone Memorial Hospital</t>
        </is>
      </c>
      <c r="H1674" t="inlineStr">
        <is>
          <t>Behavioral Health</t>
        </is>
      </c>
      <c r="I1674" t="inlineStr">
        <is>
          <t>Behavioral Health</t>
        </is>
      </c>
      <c r="J1674" t="inlineStr">
        <is>
          <t>Lindqvist, Joe</t>
        </is>
      </c>
      <c r="K1674" t="inlineStr">
        <is>
          <t>F20.9</t>
        </is>
      </c>
      <c r="L1674" t="inlineStr">
        <is>
          <t>Mental &amp; Behavioral</t>
        </is>
      </c>
      <c r="M1674" t="inlineStr">
        <is>
          <t>Keystone Health Partners</t>
        </is>
      </c>
      <c r="N1674" t="inlineStr">
        <is>
          <t>Commercial</t>
        </is>
      </c>
      <c r="O1674" s="39" t="n">
        <v>109181.2</v>
      </c>
      <c r="P1674" t="inlineStr">
        <is>
          <t>Y</t>
        </is>
      </c>
    </row>
    <row r="1675">
      <c r="A1675" t="inlineStr">
        <is>
          <t>ENC120190</t>
        </is>
      </c>
      <c r="B1675" t="inlineStr">
        <is>
          <t>PT10215</t>
        </is>
      </c>
      <c r="C1675" s="42" t="n">
        <v>45974</v>
      </c>
      <c r="D1675" s="42" t="n">
        <v>45974</v>
      </c>
      <c r="E1675" s="38" t="n">
        <v>0</v>
      </c>
      <c r="F1675" t="inlineStr">
        <is>
          <t>Outpatient</t>
        </is>
      </c>
      <c r="G1675" t="inlineStr">
        <is>
          <t>Bluestone Outpatient Pavilion</t>
        </is>
      </c>
      <c r="H1675" t="inlineStr">
        <is>
          <t>Primary Care Clinic</t>
        </is>
      </c>
      <c r="I1675" t="inlineStr">
        <is>
          <t>Ambulatory</t>
        </is>
      </c>
      <c r="J1675" t="inlineStr">
        <is>
          <t>Myers, Lucia</t>
        </is>
      </c>
      <c r="K1675" t="inlineStr">
        <is>
          <t>I10</t>
        </is>
      </c>
      <c r="L1675" t="inlineStr">
        <is>
          <t>Circulatory</t>
        </is>
      </c>
      <c r="M1675" t="inlineStr">
        <is>
          <t>State Medicaid</t>
        </is>
      </c>
      <c r="N1675" t="inlineStr">
        <is>
          <t>Government</t>
        </is>
      </c>
      <c r="O1675" s="39" t="n">
        <v>576.1900000000001</v>
      </c>
    </row>
    <row r="1676">
      <c r="A1676" t="inlineStr">
        <is>
          <t>ENC120179</t>
        </is>
      </c>
      <c r="B1676" t="inlineStr">
        <is>
          <t>PT12299</t>
        </is>
      </c>
      <c r="C1676" s="42" t="n">
        <v>45974</v>
      </c>
      <c r="D1676" s="42" t="n">
        <v>45975</v>
      </c>
      <c r="E1676" s="38" t="n">
        <v>1</v>
      </c>
      <c r="F1676" t="inlineStr">
        <is>
          <t>Observation</t>
        </is>
      </c>
      <c r="G1676" t="inlineStr">
        <is>
          <t>Cedar Ridge Medical Center</t>
        </is>
      </c>
      <c r="H1676" t="inlineStr">
        <is>
          <t>Medical-Surgical</t>
        </is>
      </c>
      <c r="I1676" t="inlineStr">
        <is>
          <t>Medicine</t>
        </is>
      </c>
      <c r="J1676" t="inlineStr">
        <is>
          <t>Peters, Frank</t>
        </is>
      </c>
      <c r="K1676" t="inlineStr">
        <is>
          <t>R10.9</t>
        </is>
      </c>
      <c r="L1676" t="inlineStr">
        <is>
          <t>Symptoms &amp; Signs</t>
        </is>
      </c>
      <c r="M1676" t="inlineStr">
        <is>
          <t>Silverline Medicare Advantage</t>
        </is>
      </c>
      <c r="N1676" t="inlineStr">
        <is>
          <t>Medicare Advantage</t>
        </is>
      </c>
      <c r="O1676" s="39" t="n">
        <v>7554.93</v>
      </c>
    </row>
    <row r="1677">
      <c r="A1677" t="inlineStr">
        <is>
          <t>ENC120192</t>
        </is>
      </c>
      <c r="B1677" t="inlineStr">
        <is>
          <t>PT10624</t>
        </is>
      </c>
      <c r="C1677" s="42" t="n">
        <v>45974</v>
      </c>
      <c r="D1677" s="42" t="n">
        <v>45974</v>
      </c>
      <c r="E1677" s="38" t="n">
        <v>0</v>
      </c>
      <c r="F1677" t="inlineStr">
        <is>
          <t>Outpatient</t>
        </is>
      </c>
      <c r="G1677" t="inlineStr">
        <is>
          <t>Bluestone Outpatient Pavilion</t>
        </is>
      </c>
      <c r="H1677" t="inlineStr">
        <is>
          <t>Cardiology Clinic</t>
        </is>
      </c>
      <c r="I1677" t="inlineStr">
        <is>
          <t>Cardiovascular</t>
        </is>
      </c>
      <c r="J1677" t="inlineStr">
        <is>
          <t>Gomez, Mateo</t>
        </is>
      </c>
      <c r="K1677" t="inlineStr">
        <is>
          <t>I50.9</t>
        </is>
      </c>
      <c r="L1677" t="inlineStr">
        <is>
          <t>Circulatory</t>
        </is>
      </c>
      <c r="M1677" t="inlineStr">
        <is>
          <t>Medicare</t>
        </is>
      </c>
      <c r="N1677" t="inlineStr">
        <is>
          <t>Government</t>
        </is>
      </c>
      <c r="O1677" s="39" t="n">
        <v>278.58</v>
      </c>
    </row>
    <row r="1678">
      <c r="A1678" t="inlineStr">
        <is>
          <t>ENC120181</t>
        </is>
      </c>
      <c r="B1678" t="inlineStr">
        <is>
          <t>PT13078</t>
        </is>
      </c>
      <c r="C1678" s="42" t="n">
        <v>45974</v>
      </c>
      <c r="D1678" s="42" t="n">
        <v>45977</v>
      </c>
      <c r="E1678" s="38" t="n">
        <v>3</v>
      </c>
      <c r="F1678" t="inlineStr">
        <is>
          <t>Inpatient</t>
        </is>
      </c>
      <c r="G1678" t="inlineStr">
        <is>
          <t>Ashby Falls Community Hospital</t>
        </is>
      </c>
      <c r="H1678" t="inlineStr">
        <is>
          <t>Labor &amp; Delivery</t>
        </is>
      </c>
      <c r="I1678" t="inlineStr">
        <is>
          <t>Women &amp; Children</t>
        </is>
      </c>
      <c r="J1678" t="inlineStr">
        <is>
          <t>Rivera, Frances</t>
        </is>
      </c>
      <c r="K1678" t="inlineStr">
        <is>
          <t>O80</t>
        </is>
      </c>
      <c r="L1678" t="inlineStr">
        <is>
          <t>Pregnancy</t>
        </is>
      </c>
      <c r="M1678" t="inlineStr">
        <is>
          <t>Keystone Health Partners</t>
        </is>
      </c>
      <c r="N1678" t="inlineStr">
        <is>
          <t>Commercial</t>
        </is>
      </c>
      <c r="O1678" s="39" t="n">
        <v>28793.3</v>
      </c>
      <c r="P1678" t="inlineStr">
        <is>
          <t>N</t>
        </is>
      </c>
    </row>
    <row r="1679">
      <c r="A1679" t="inlineStr">
        <is>
          <t>ENC120199</t>
        </is>
      </c>
      <c r="B1679" t="inlineStr">
        <is>
          <t>PT12889</t>
        </is>
      </c>
      <c r="C1679" s="42" t="n">
        <v>45974</v>
      </c>
      <c r="D1679" s="42" t="n">
        <v>45974</v>
      </c>
      <c r="E1679" s="38" t="n">
        <v>0</v>
      </c>
      <c r="F1679" t="inlineStr">
        <is>
          <t>Outpatient</t>
        </is>
      </c>
      <c r="G1679" t="inlineStr">
        <is>
          <t>Bluestone Outpatient Pavilion</t>
        </is>
      </c>
      <c r="H1679" t="inlineStr">
        <is>
          <t>Infusion &amp; Oncology Clinic</t>
        </is>
      </c>
      <c r="I1679" t="inlineStr">
        <is>
          <t>Oncology</t>
        </is>
      </c>
      <c r="J1679" t="inlineStr">
        <is>
          <t>Robinson, Bradley</t>
        </is>
      </c>
      <c r="K1679" t="inlineStr">
        <is>
          <t>Z51.11</t>
        </is>
      </c>
      <c r="L1679" t="inlineStr">
        <is>
          <t>Factors Influencing Health</t>
        </is>
      </c>
      <c r="M1679" t="inlineStr">
        <is>
          <t>Medicare</t>
        </is>
      </c>
      <c r="N1679" t="inlineStr">
        <is>
          <t>Government</t>
        </is>
      </c>
      <c r="O1679" s="39" t="n">
        <v>14711.28</v>
      </c>
    </row>
    <row r="1680">
      <c r="A1680" t="inlineStr">
        <is>
          <t>ENC120201</t>
        </is>
      </c>
      <c r="B1680" t="inlineStr">
        <is>
          <t>PT10809</t>
        </is>
      </c>
      <c r="C1680" s="42" t="n">
        <v>45974</v>
      </c>
      <c r="D1680" s="42" t="n">
        <v>45974</v>
      </c>
      <c r="E1680" s="38" t="n">
        <v>0</v>
      </c>
      <c r="F1680" t="inlineStr">
        <is>
          <t>Outpatient</t>
        </is>
      </c>
      <c r="G1680" t="inlineStr">
        <is>
          <t>Bluestone Outpatient Pavilion</t>
        </is>
      </c>
      <c r="H1680" t="inlineStr">
        <is>
          <t>Primary Care Clinic</t>
        </is>
      </c>
      <c r="I1680" t="inlineStr">
        <is>
          <t>Ambulatory</t>
        </is>
      </c>
      <c r="J1680" t="inlineStr">
        <is>
          <t>Sullivan, Brenda</t>
        </is>
      </c>
      <c r="K1680" t="inlineStr">
        <is>
          <t>J06.9</t>
        </is>
      </c>
      <c r="L1680" t="inlineStr">
        <is>
          <t>Respiratory</t>
        </is>
      </c>
      <c r="M1680" t="inlineStr">
        <is>
          <t>State Medicaid</t>
        </is>
      </c>
      <c r="N1680" t="inlineStr">
        <is>
          <t>Government</t>
        </is>
      </c>
      <c r="O1680" s="39" t="n">
        <v>347.92</v>
      </c>
    </row>
    <row r="1681">
      <c r="A1681" t="inlineStr">
        <is>
          <t>ENC120204</t>
        </is>
      </c>
      <c r="B1681" t="inlineStr">
        <is>
          <t>PT10369</t>
        </is>
      </c>
      <c r="C1681" s="42" t="n">
        <v>45974</v>
      </c>
      <c r="D1681" s="42" t="n">
        <v>45974</v>
      </c>
      <c r="E1681" s="38" t="n">
        <v>0</v>
      </c>
      <c r="F1681" t="inlineStr">
        <is>
          <t>Outpatient</t>
        </is>
      </c>
      <c r="G1681" t="inlineStr">
        <is>
          <t>Bluestone Outpatient Pavilion</t>
        </is>
      </c>
      <c r="H1681" t="inlineStr">
        <is>
          <t>Primary Care Clinic</t>
        </is>
      </c>
      <c r="I1681" t="inlineStr">
        <is>
          <t>Ambulatory</t>
        </is>
      </c>
      <c r="J1681" t="inlineStr">
        <is>
          <t>Petrov, Doris</t>
        </is>
      </c>
      <c r="K1681" t="inlineStr">
        <is>
          <t>J06.9</t>
        </is>
      </c>
      <c r="L1681" t="inlineStr">
        <is>
          <t>Respiratory</t>
        </is>
      </c>
      <c r="M1681" t="inlineStr">
        <is>
          <t>Medicare</t>
        </is>
      </c>
      <c r="N1681" t="inlineStr">
        <is>
          <t>Government</t>
        </is>
      </c>
      <c r="O1681" s="39" t="n">
        <v>310.74</v>
      </c>
    </row>
    <row r="1682">
      <c r="A1682" t="inlineStr">
        <is>
          <t>ENC120205</t>
        </is>
      </c>
      <c r="B1682" t="inlineStr">
        <is>
          <t>PT12305</t>
        </is>
      </c>
      <c r="C1682" s="42" t="n">
        <v>45974</v>
      </c>
      <c r="D1682" s="42" t="n">
        <v>45974</v>
      </c>
      <c r="E1682" s="38" t="n">
        <v>0</v>
      </c>
      <c r="F1682" t="inlineStr">
        <is>
          <t>Outpatient</t>
        </is>
      </c>
      <c r="G1682" t="inlineStr">
        <is>
          <t>Bluestone Outpatient Pavilion</t>
        </is>
      </c>
      <c r="H1682" t="inlineStr">
        <is>
          <t>Primary Care Clinic</t>
        </is>
      </c>
      <c r="I1682" t="inlineStr">
        <is>
          <t>Ambulatory</t>
        </is>
      </c>
      <c r="J1682" t="inlineStr">
        <is>
          <t>Alvarado, George</t>
        </is>
      </c>
      <c r="K1682" t="inlineStr">
        <is>
          <t>E78.5</t>
        </is>
      </c>
      <c r="L1682" t="inlineStr">
        <is>
          <t>Endocrine</t>
        </is>
      </c>
      <c r="M1682" t="inlineStr">
        <is>
          <t>State Medicaid</t>
        </is>
      </c>
      <c r="N1682" t="inlineStr">
        <is>
          <t>Government</t>
        </is>
      </c>
      <c r="O1682" s="39" t="n">
        <v>418.65</v>
      </c>
    </row>
    <row r="1683">
      <c r="A1683" t="inlineStr">
        <is>
          <t>ENC120207</t>
        </is>
      </c>
      <c r="B1683" t="inlineStr">
        <is>
          <t>PT13770</t>
        </is>
      </c>
      <c r="C1683" s="42" t="n">
        <v>45974</v>
      </c>
      <c r="D1683" s="42" t="n">
        <v>45980</v>
      </c>
      <c r="E1683" s="38" t="n">
        <v>6</v>
      </c>
      <c r="F1683" t="inlineStr">
        <is>
          <t>Inpatient</t>
        </is>
      </c>
      <c r="G1683" t="inlineStr">
        <is>
          <t>Bluestone Memorial Hospital</t>
        </is>
      </c>
      <c r="H1683" t="inlineStr">
        <is>
          <t>Medical-Surgical 4 West</t>
        </is>
      </c>
      <c r="I1683" t="inlineStr">
        <is>
          <t>Medicine</t>
        </is>
      </c>
      <c r="J1683" t="inlineStr">
        <is>
          <t>Yilmaz, Joe</t>
        </is>
      </c>
      <c r="K1683" t="inlineStr">
        <is>
          <t>K92.2</t>
        </is>
      </c>
      <c r="L1683" t="inlineStr">
        <is>
          <t>Digestive</t>
        </is>
      </c>
      <c r="M1683" t="inlineStr">
        <is>
          <t>State Medicaid</t>
        </is>
      </c>
      <c r="N1683" t="inlineStr">
        <is>
          <t>Government</t>
        </is>
      </c>
      <c r="O1683" s="39" t="n">
        <v>20174.44</v>
      </c>
      <c r="P1683" t="inlineStr">
        <is>
          <t>N</t>
        </is>
      </c>
    </row>
    <row r="1684">
      <c r="A1684" t="inlineStr">
        <is>
          <t>ENC120211</t>
        </is>
      </c>
      <c r="B1684" t="inlineStr">
        <is>
          <t>PT11888</t>
        </is>
      </c>
      <c r="C1684" s="42" t="n">
        <v>45974</v>
      </c>
      <c r="D1684" s="42" t="n">
        <v>45976</v>
      </c>
      <c r="E1684" s="38" t="n">
        <v>2</v>
      </c>
      <c r="F1684" t="inlineStr">
        <is>
          <t>Inpatient</t>
        </is>
      </c>
      <c r="G1684" t="inlineStr">
        <is>
          <t>Bluestone Memorial Hospital</t>
        </is>
      </c>
      <c r="H1684" t="inlineStr">
        <is>
          <t>Medical-Surgical 4 West</t>
        </is>
      </c>
      <c r="I1684" t="inlineStr">
        <is>
          <t>Medicine</t>
        </is>
      </c>
      <c r="J1684" t="inlineStr">
        <is>
          <t>Vasquez, Jose</t>
        </is>
      </c>
      <c r="K1684" t="inlineStr">
        <is>
          <t>J18.9</t>
        </is>
      </c>
      <c r="L1684" t="inlineStr">
        <is>
          <t>Respiratory</t>
        </is>
      </c>
      <c r="M1684" t="inlineStr">
        <is>
          <t>Keystone Health Partners</t>
        </is>
      </c>
      <c r="N1684" t="inlineStr">
        <is>
          <t>Commercial</t>
        </is>
      </c>
      <c r="O1684" s="39" t="n">
        <v>15881.16</v>
      </c>
      <c r="P1684" t="inlineStr">
        <is>
          <t>N</t>
        </is>
      </c>
    </row>
    <row r="1685">
      <c r="A1685" t="inlineStr">
        <is>
          <t>ENC120215</t>
        </is>
      </c>
      <c r="B1685" t="inlineStr">
        <is>
          <t>PT13435</t>
        </is>
      </c>
      <c r="C1685" s="42" t="n">
        <v>45975</v>
      </c>
      <c r="D1685" s="42" t="n">
        <v>45975</v>
      </c>
      <c r="E1685" s="38" t="n">
        <v>0</v>
      </c>
      <c r="F1685" t="inlineStr">
        <is>
          <t>Outpatient</t>
        </is>
      </c>
      <c r="G1685" t="inlineStr">
        <is>
          <t>Bluestone Outpatient Pavilion</t>
        </is>
      </c>
      <c r="H1685" t="inlineStr">
        <is>
          <t>Primary Care Clinic</t>
        </is>
      </c>
      <c r="I1685" t="inlineStr">
        <is>
          <t>Ambulatory</t>
        </is>
      </c>
      <c r="J1685" t="inlineStr">
        <is>
          <t>Bennett, Randy</t>
        </is>
      </c>
      <c r="K1685" t="inlineStr">
        <is>
          <t>J06.9</t>
        </is>
      </c>
      <c r="L1685" t="inlineStr">
        <is>
          <t>Respiratory</t>
        </is>
      </c>
      <c r="M1685" t="inlineStr">
        <is>
          <t>State Medicaid</t>
        </is>
      </c>
      <c r="N1685" t="inlineStr">
        <is>
          <t>Government</t>
        </is>
      </c>
      <c r="O1685" s="39" t="n">
        <v>376.03</v>
      </c>
    </row>
    <row r="1686">
      <c r="A1686" t="inlineStr">
        <is>
          <t>ENC120220</t>
        </is>
      </c>
      <c r="B1686" t="inlineStr">
        <is>
          <t>PT13877</t>
        </is>
      </c>
      <c r="C1686" s="42" t="n">
        <v>45975</v>
      </c>
      <c r="D1686" s="42" t="n">
        <v>45975</v>
      </c>
      <c r="E1686" s="38" t="n">
        <v>0</v>
      </c>
      <c r="F1686" t="inlineStr">
        <is>
          <t>Outpatient</t>
        </is>
      </c>
      <c r="G1686" t="inlineStr">
        <is>
          <t>Bluestone Outpatient Pavilion</t>
        </is>
      </c>
      <c r="H1686" t="inlineStr">
        <is>
          <t>Primary Care Clinic</t>
        </is>
      </c>
      <c r="I1686" t="inlineStr">
        <is>
          <t>Ambulatory</t>
        </is>
      </c>
      <c r="J1686" t="inlineStr">
        <is>
          <t>Sullivan, Brenda</t>
        </is>
      </c>
      <c r="K1686" t="inlineStr">
        <is>
          <t>Z00.00</t>
        </is>
      </c>
      <c r="L1686" t="inlineStr">
        <is>
          <t>Factors Influencing Health</t>
        </is>
      </c>
      <c r="M1686" t="inlineStr">
        <is>
          <t>Silverline Medicare Advantage</t>
        </is>
      </c>
      <c r="N1686" t="inlineStr">
        <is>
          <t>Medicare Advantage</t>
        </is>
      </c>
      <c r="O1686" s="39" t="n">
        <v>374.87</v>
      </c>
    </row>
    <row r="1687">
      <c r="A1687" t="inlineStr">
        <is>
          <t>ENC120229</t>
        </is>
      </c>
      <c r="B1687" t="inlineStr">
        <is>
          <t>PT10746</t>
        </is>
      </c>
      <c r="C1687" s="42" t="n">
        <v>45975</v>
      </c>
      <c r="D1687" s="42" t="n">
        <v>45975</v>
      </c>
      <c r="E1687" s="38" t="n">
        <v>0</v>
      </c>
      <c r="F1687" t="inlineStr">
        <is>
          <t>Outpatient</t>
        </is>
      </c>
      <c r="G1687" t="inlineStr">
        <is>
          <t>Bluestone Outpatient Pavilion</t>
        </is>
      </c>
      <c r="H1687" t="inlineStr">
        <is>
          <t>Primary Care Clinic</t>
        </is>
      </c>
      <c r="I1687" t="inlineStr">
        <is>
          <t>Ambulatory</t>
        </is>
      </c>
      <c r="J1687" t="inlineStr">
        <is>
          <t>Chen, Mei</t>
        </is>
      </c>
      <c r="K1687" t="inlineStr">
        <is>
          <t>Z23</t>
        </is>
      </c>
      <c r="L1687" t="inlineStr">
        <is>
          <t>Factors Influencing Health</t>
        </is>
      </c>
      <c r="M1687" t="inlineStr">
        <is>
          <t>Keystone Health Partners</t>
        </is>
      </c>
      <c r="N1687" t="inlineStr">
        <is>
          <t>Commercial</t>
        </is>
      </c>
      <c r="O1687" s="39" t="n">
        <v>134.69</v>
      </c>
    </row>
    <row r="1688">
      <c r="A1688" t="inlineStr">
        <is>
          <t>ENC120231</t>
        </is>
      </c>
      <c r="B1688" t="inlineStr">
        <is>
          <t>PT10922</t>
        </is>
      </c>
      <c r="C1688" s="42" t="n">
        <v>45975</v>
      </c>
      <c r="D1688" s="42" t="n">
        <v>45979</v>
      </c>
      <c r="E1688" s="38" t="n">
        <v>4</v>
      </c>
      <c r="F1688" t="inlineStr">
        <is>
          <t>Inpatient</t>
        </is>
      </c>
      <c r="G1688" t="inlineStr">
        <is>
          <t>Bluestone Memorial Hospital</t>
        </is>
      </c>
      <c r="H1688" t="inlineStr">
        <is>
          <t>Medical-Surgical 5 East</t>
        </is>
      </c>
      <c r="I1688" t="inlineStr">
        <is>
          <t>Medicine</t>
        </is>
      </c>
      <c r="J1688" t="inlineStr">
        <is>
          <t>Lopez, Teresa</t>
        </is>
      </c>
      <c r="K1688" t="inlineStr">
        <is>
          <t>K56.609</t>
        </is>
      </c>
      <c r="L1688" t="inlineStr">
        <is>
          <t>Digestive</t>
        </is>
      </c>
      <c r="M1688" t="inlineStr">
        <is>
          <t>Summit Choice PPO</t>
        </is>
      </c>
      <c r="N1688" t="inlineStr">
        <is>
          <t>Commercial</t>
        </is>
      </c>
      <c r="O1688" s="39" t="n">
        <v>21484.12</v>
      </c>
      <c r="P1688" t="inlineStr">
        <is>
          <t>N</t>
        </is>
      </c>
    </row>
    <row r="1689">
      <c r="A1689" t="inlineStr">
        <is>
          <t>ENC120234</t>
        </is>
      </c>
      <c r="B1689" t="inlineStr">
        <is>
          <t>PT12391</t>
        </is>
      </c>
      <c r="C1689" s="42" t="n">
        <v>45975</v>
      </c>
      <c r="D1689" s="42" t="n">
        <v>45976</v>
      </c>
      <c r="E1689" s="38" t="n">
        <v>1</v>
      </c>
      <c r="F1689" t="inlineStr">
        <is>
          <t>Inpatient</t>
        </is>
      </c>
      <c r="G1689" t="inlineStr">
        <is>
          <t>Bluestone Memorial Hospital</t>
        </is>
      </c>
      <c r="H1689" t="inlineStr">
        <is>
          <t>Pediatrics</t>
        </is>
      </c>
      <c r="I1689" t="inlineStr">
        <is>
          <t>Women &amp; Children</t>
        </is>
      </c>
      <c r="J1689" t="inlineStr">
        <is>
          <t>Soto, Emma</t>
        </is>
      </c>
      <c r="K1689" t="inlineStr">
        <is>
          <t>J21.9</t>
        </is>
      </c>
      <c r="L1689" t="inlineStr">
        <is>
          <t>Respiratory</t>
        </is>
      </c>
      <c r="M1689" t="inlineStr">
        <is>
          <t>State Medicaid</t>
        </is>
      </c>
      <c r="N1689" t="inlineStr">
        <is>
          <t>Government</t>
        </is>
      </c>
      <c r="O1689" s="39" t="n">
        <v>3900.73</v>
      </c>
      <c r="P1689" t="inlineStr">
        <is>
          <t>N</t>
        </is>
      </c>
    </row>
    <row r="1690">
      <c r="A1690" t="inlineStr">
        <is>
          <t>ENC120245</t>
        </is>
      </c>
      <c r="B1690" t="inlineStr">
        <is>
          <t>PT13227</t>
        </is>
      </c>
      <c r="C1690" s="42" t="n">
        <v>45976</v>
      </c>
      <c r="D1690" s="42" t="n">
        <v>45976</v>
      </c>
      <c r="E1690" s="38" t="n">
        <v>0</v>
      </c>
      <c r="F1690" t="inlineStr">
        <is>
          <t>Emergency</t>
        </is>
      </c>
      <c r="G1690" t="inlineStr">
        <is>
          <t>Bluestone Memorial Hospital</t>
        </is>
      </c>
      <c r="H1690" t="inlineStr">
        <is>
          <t>Emergency Department</t>
        </is>
      </c>
      <c r="I1690" t="inlineStr">
        <is>
          <t>Emergency</t>
        </is>
      </c>
      <c r="J1690" t="inlineStr">
        <is>
          <t>Myers, Doris</t>
        </is>
      </c>
      <c r="K1690" t="inlineStr">
        <is>
          <t>F10.239</t>
        </is>
      </c>
      <c r="L1690" t="inlineStr">
        <is>
          <t>Mental &amp; Behavioral</t>
        </is>
      </c>
      <c r="M1690" t="inlineStr">
        <is>
          <t>Medicare</t>
        </is>
      </c>
      <c r="N1690" t="inlineStr">
        <is>
          <t>Government</t>
        </is>
      </c>
      <c r="O1690" s="39" t="n">
        <v>1197.71</v>
      </c>
    </row>
    <row r="1691">
      <c r="A1691" t="inlineStr">
        <is>
          <t>ENC120258</t>
        </is>
      </c>
      <c r="B1691" t="inlineStr">
        <is>
          <t>PT12735</t>
        </is>
      </c>
      <c r="C1691" s="42" t="n">
        <v>45977</v>
      </c>
      <c r="D1691" s="42" t="n">
        <v>45977</v>
      </c>
      <c r="E1691" s="38" t="n">
        <v>0</v>
      </c>
      <c r="F1691" t="inlineStr">
        <is>
          <t>Emergency</t>
        </is>
      </c>
      <c r="G1691" t="inlineStr">
        <is>
          <t>Cedar Ridge Medical Center</t>
        </is>
      </c>
      <c r="H1691" t="inlineStr">
        <is>
          <t>Emergency Department</t>
        </is>
      </c>
      <c r="I1691" t="inlineStr">
        <is>
          <t>Emergency</t>
        </is>
      </c>
      <c r="J1691" t="inlineStr">
        <is>
          <t>Warren, Victoria</t>
        </is>
      </c>
      <c r="K1691" t="inlineStr">
        <is>
          <t>R07.9</t>
        </is>
      </c>
      <c r="L1691" t="inlineStr">
        <is>
          <t>Symptoms &amp; Signs</t>
        </is>
      </c>
      <c r="M1691" t="inlineStr">
        <is>
          <t>State Medicaid</t>
        </is>
      </c>
      <c r="N1691" t="inlineStr">
        <is>
          <t>Government</t>
        </is>
      </c>
      <c r="O1691" s="39" t="n">
        <v>2556.57</v>
      </c>
    </row>
    <row r="1692">
      <c r="A1692" t="inlineStr">
        <is>
          <t>ENC120259</t>
        </is>
      </c>
      <c r="B1692" t="inlineStr">
        <is>
          <t>PT12851</t>
        </is>
      </c>
      <c r="C1692" s="42" t="n">
        <v>45977</v>
      </c>
      <c r="D1692" s="42" t="n">
        <v>45981</v>
      </c>
      <c r="E1692" s="38" t="n">
        <v>4</v>
      </c>
      <c r="F1692" t="inlineStr">
        <is>
          <t>Inpatient</t>
        </is>
      </c>
      <c r="G1692" t="inlineStr">
        <is>
          <t>Cedar Ridge Medical Center</t>
        </is>
      </c>
      <c r="H1692" t="inlineStr">
        <is>
          <t>Medical-Surgical</t>
        </is>
      </c>
      <c r="I1692" t="inlineStr">
        <is>
          <t>Medicine</t>
        </is>
      </c>
      <c r="J1692" t="inlineStr">
        <is>
          <t>Berry, Minh</t>
        </is>
      </c>
      <c r="K1692" t="inlineStr">
        <is>
          <t>J44.1</t>
        </is>
      </c>
      <c r="L1692" t="inlineStr">
        <is>
          <t>Respiratory</t>
        </is>
      </c>
      <c r="M1692" t="inlineStr">
        <is>
          <t>Medicare</t>
        </is>
      </c>
      <c r="N1692" t="inlineStr">
        <is>
          <t>Government</t>
        </is>
      </c>
      <c r="O1692" s="39" t="n">
        <v>23680.65</v>
      </c>
      <c r="P1692" t="inlineStr">
        <is>
          <t>N</t>
        </is>
      </c>
    </row>
    <row r="1693">
      <c r="A1693" t="inlineStr">
        <is>
          <t>ENC120263</t>
        </is>
      </c>
      <c r="B1693" t="inlineStr">
        <is>
          <t>PT11275</t>
        </is>
      </c>
      <c r="C1693" s="42" t="n">
        <v>45977</v>
      </c>
      <c r="D1693" s="42" t="n">
        <v>45977</v>
      </c>
      <c r="E1693" s="38" t="n">
        <v>0</v>
      </c>
      <c r="F1693" t="inlineStr">
        <is>
          <t>Emergency</t>
        </is>
      </c>
      <c r="G1693" t="inlineStr">
        <is>
          <t>Bluestone Memorial Hospital</t>
        </is>
      </c>
      <c r="H1693" t="inlineStr">
        <is>
          <t>Emergency Department</t>
        </is>
      </c>
      <c r="I1693" t="inlineStr">
        <is>
          <t>Emergency</t>
        </is>
      </c>
      <c r="J1693" t="inlineStr">
        <is>
          <t>Morris, Jordan</t>
        </is>
      </c>
      <c r="K1693" t="inlineStr">
        <is>
          <t>E86.0</t>
        </is>
      </c>
      <c r="L1693" t="inlineStr">
        <is>
          <t>Endocrine</t>
        </is>
      </c>
      <c r="M1693" t="inlineStr">
        <is>
          <t>Medicare</t>
        </is>
      </c>
      <c r="N1693" t="inlineStr">
        <is>
          <t>Government</t>
        </is>
      </c>
      <c r="O1693" s="39" t="n">
        <v>1812.42</v>
      </c>
    </row>
    <row r="1694">
      <c r="A1694" t="inlineStr">
        <is>
          <t>ENC120275</t>
        </is>
      </c>
      <c r="B1694" t="inlineStr">
        <is>
          <t>PT11089</t>
        </is>
      </c>
      <c r="C1694" s="42" t="n">
        <v>45977</v>
      </c>
      <c r="D1694" s="42" t="n">
        <v>45979</v>
      </c>
      <c r="E1694" s="38" t="n">
        <v>2</v>
      </c>
      <c r="F1694" t="inlineStr">
        <is>
          <t>Inpatient</t>
        </is>
      </c>
      <c r="G1694" t="inlineStr">
        <is>
          <t>Bluestone Memorial Hospital</t>
        </is>
      </c>
      <c r="H1694" t="inlineStr">
        <is>
          <t>Medical-Surgical 4 West</t>
        </is>
      </c>
      <c r="I1694" t="inlineStr">
        <is>
          <t>Medicine</t>
        </is>
      </c>
      <c r="J1694" t="inlineStr">
        <is>
          <t>Lopez, Teresa</t>
        </is>
      </c>
      <c r="K1694" t="inlineStr">
        <is>
          <t>K80.20</t>
        </is>
      </c>
      <c r="L1694" t="inlineStr">
        <is>
          <t>Digestive</t>
        </is>
      </c>
      <c r="M1694" t="inlineStr">
        <is>
          <t>Medicare</t>
        </is>
      </c>
      <c r="N1694" t="inlineStr">
        <is>
          <t>Government</t>
        </is>
      </c>
      <c r="O1694" s="39" t="n">
        <v>27500.87</v>
      </c>
      <c r="P1694" t="inlineStr">
        <is>
          <t>N</t>
        </is>
      </c>
    </row>
    <row r="1695">
      <c r="A1695" t="inlineStr">
        <is>
          <t>ENC120277</t>
        </is>
      </c>
      <c r="B1695" t="inlineStr">
        <is>
          <t>PT11926</t>
        </is>
      </c>
      <c r="C1695" s="42" t="n">
        <v>45978</v>
      </c>
      <c r="D1695" s="42" t="n">
        <v>45981</v>
      </c>
      <c r="E1695" s="38" t="n">
        <v>3</v>
      </c>
      <c r="F1695" t="inlineStr">
        <is>
          <t>Inpatient</t>
        </is>
      </c>
      <c r="G1695" t="inlineStr">
        <is>
          <t>Cedar Ridge Medical Center</t>
        </is>
      </c>
      <c r="H1695" t="inlineStr">
        <is>
          <t>Medical-Surgical</t>
        </is>
      </c>
      <c r="I1695" t="inlineStr">
        <is>
          <t>Medicine</t>
        </is>
      </c>
      <c r="J1695" t="inlineStr">
        <is>
          <t>Price, Carol</t>
        </is>
      </c>
      <c r="K1695" t="inlineStr">
        <is>
          <t>K56.609</t>
        </is>
      </c>
      <c r="L1695" t="inlineStr">
        <is>
          <t>Digestive</t>
        </is>
      </c>
      <c r="M1695" t="inlineStr">
        <is>
          <t>Silverline Medicare Advantage</t>
        </is>
      </c>
      <c r="N1695" t="inlineStr">
        <is>
          <t>Medicare Advantage</t>
        </is>
      </c>
      <c r="O1695" s="39" t="n">
        <v>30895.23</v>
      </c>
      <c r="P1695" t="inlineStr">
        <is>
          <t>N</t>
        </is>
      </c>
    </row>
    <row r="1696">
      <c r="A1696" t="inlineStr">
        <is>
          <t>ENC120286</t>
        </is>
      </c>
      <c r="B1696" t="inlineStr">
        <is>
          <t>PT12429</t>
        </is>
      </c>
      <c r="C1696" s="42" t="n">
        <v>45978</v>
      </c>
      <c r="D1696" s="42" t="n">
        <v>45978</v>
      </c>
      <c r="E1696" s="38" t="n">
        <v>0</v>
      </c>
      <c r="F1696" t="inlineStr">
        <is>
          <t>Emergency</t>
        </is>
      </c>
      <c r="G1696" t="inlineStr">
        <is>
          <t>Bluestone Memorial Hospital</t>
        </is>
      </c>
      <c r="H1696" t="inlineStr">
        <is>
          <t>Emergency Department</t>
        </is>
      </c>
      <c r="I1696" t="inlineStr">
        <is>
          <t>Emergency</t>
        </is>
      </c>
      <c r="J1696" t="inlineStr">
        <is>
          <t>Ferguson, Roy</t>
        </is>
      </c>
      <c r="K1696" t="inlineStr">
        <is>
          <t>S93.401A</t>
        </is>
      </c>
      <c r="L1696" t="inlineStr">
        <is>
          <t>Injury</t>
        </is>
      </c>
      <c r="M1696" t="inlineStr">
        <is>
          <t>Medicare</t>
        </is>
      </c>
      <c r="N1696" t="inlineStr">
        <is>
          <t>Government</t>
        </is>
      </c>
      <c r="O1696" s="39" t="n">
        <v>1614.28</v>
      </c>
    </row>
    <row r="1697">
      <c r="A1697" t="inlineStr">
        <is>
          <t>ENC120290</t>
        </is>
      </c>
      <c r="B1697" t="inlineStr">
        <is>
          <t>PT10952</t>
        </is>
      </c>
      <c r="C1697" s="42" t="n">
        <v>45978</v>
      </c>
      <c r="D1697" s="42" t="n">
        <v>45978</v>
      </c>
      <c r="E1697" s="38" t="n">
        <v>0</v>
      </c>
      <c r="F1697" t="inlineStr">
        <is>
          <t>Emergency</t>
        </is>
      </c>
      <c r="G1697" t="inlineStr">
        <is>
          <t>Bluestone Memorial Hospital</t>
        </is>
      </c>
      <c r="H1697" t="inlineStr">
        <is>
          <t>Emergency Department</t>
        </is>
      </c>
      <c r="I1697" t="inlineStr">
        <is>
          <t>Emergency</t>
        </is>
      </c>
      <c r="J1697" t="inlineStr">
        <is>
          <t>Gonzales, Mia</t>
        </is>
      </c>
      <c r="K1697" t="inlineStr">
        <is>
          <t>N39.0</t>
        </is>
      </c>
      <c r="L1697" t="inlineStr">
        <is>
          <t>Genitourinary</t>
        </is>
      </c>
      <c r="M1697" t="inlineStr">
        <is>
          <t>State Medicaid</t>
        </is>
      </c>
      <c r="N1697" t="inlineStr">
        <is>
          <t>Government</t>
        </is>
      </c>
      <c r="O1697" s="39" t="n">
        <v>1326.77</v>
      </c>
    </row>
    <row r="1698">
      <c r="A1698" t="inlineStr">
        <is>
          <t>ENC120296</t>
        </is>
      </c>
      <c r="B1698" t="inlineStr">
        <is>
          <t>PT11106</t>
        </is>
      </c>
      <c r="C1698" s="42" t="n">
        <v>45978</v>
      </c>
      <c r="D1698" s="42" t="n">
        <v>45978</v>
      </c>
      <c r="E1698" s="38" t="n">
        <v>0</v>
      </c>
      <c r="F1698" t="inlineStr">
        <is>
          <t>Outpatient</t>
        </is>
      </c>
      <c r="G1698" t="inlineStr">
        <is>
          <t>Bluestone Outpatient Pavilion</t>
        </is>
      </c>
      <c r="H1698" t="inlineStr">
        <is>
          <t>Infusion &amp; Oncology Clinic</t>
        </is>
      </c>
      <c r="I1698" t="inlineStr">
        <is>
          <t>Oncology</t>
        </is>
      </c>
      <c r="J1698" t="inlineStr">
        <is>
          <t>Long, Fatima</t>
        </is>
      </c>
      <c r="K1698" t="inlineStr">
        <is>
          <t>Z51.11</t>
        </is>
      </c>
      <c r="L1698" t="inlineStr">
        <is>
          <t>Factors Influencing Health</t>
        </is>
      </c>
      <c r="M1698" t="inlineStr">
        <is>
          <t>Medicare</t>
        </is>
      </c>
      <c r="N1698" t="inlineStr">
        <is>
          <t>Government</t>
        </is>
      </c>
      <c r="O1698" s="39" t="n">
        <v>8432.639999999999</v>
      </c>
    </row>
    <row r="1699">
      <c r="A1699" t="inlineStr">
        <is>
          <t>ENC120300</t>
        </is>
      </c>
      <c r="B1699" t="inlineStr">
        <is>
          <t>PT12153</t>
        </is>
      </c>
      <c r="C1699" s="42" t="n">
        <v>45978</v>
      </c>
      <c r="D1699" s="42" t="n">
        <v>45978</v>
      </c>
      <c r="E1699" s="38" t="n">
        <v>0</v>
      </c>
      <c r="F1699" t="inlineStr">
        <is>
          <t>Emergency</t>
        </is>
      </c>
      <c r="G1699" t="inlineStr">
        <is>
          <t>Bluestone Memorial Hospital</t>
        </is>
      </c>
      <c r="H1699" t="inlineStr">
        <is>
          <t>Emergency Department</t>
        </is>
      </c>
      <c r="I1699" t="inlineStr">
        <is>
          <t>Emergency</t>
        </is>
      </c>
      <c r="J1699" t="inlineStr">
        <is>
          <t>Morris, Jordan</t>
        </is>
      </c>
      <c r="K1699" t="inlineStr">
        <is>
          <t>S93.401A</t>
        </is>
      </c>
      <c r="L1699" t="inlineStr">
        <is>
          <t>Injury</t>
        </is>
      </c>
      <c r="M1699" t="inlineStr">
        <is>
          <t>Medicare</t>
        </is>
      </c>
      <c r="N1699" t="inlineStr">
        <is>
          <t>Government</t>
        </is>
      </c>
      <c r="O1699" s="39" t="n">
        <v>1334.63</v>
      </c>
    </row>
    <row r="1700">
      <c r="A1700" t="inlineStr">
        <is>
          <t>ENC120304</t>
        </is>
      </c>
      <c r="B1700" t="inlineStr">
        <is>
          <t>PT11003</t>
        </is>
      </c>
      <c r="C1700" s="42" t="n">
        <v>45978</v>
      </c>
      <c r="D1700" s="42" t="n">
        <v>45981</v>
      </c>
      <c r="E1700" s="38" t="n">
        <v>3</v>
      </c>
      <c r="F1700" t="inlineStr">
        <is>
          <t>Inpatient</t>
        </is>
      </c>
      <c r="G1700" t="inlineStr">
        <is>
          <t>Ashby Falls Community Hospital</t>
        </is>
      </c>
      <c r="H1700" t="inlineStr">
        <is>
          <t>Medical-Surgical</t>
        </is>
      </c>
      <c r="I1700" t="inlineStr">
        <is>
          <t>Medicine</t>
        </is>
      </c>
      <c r="J1700" t="inlineStr">
        <is>
          <t>Moreno, Melissa</t>
        </is>
      </c>
      <c r="K1700" t="inlineStr">
        <is>
          <t>J18.9</t>
        </is>
      </c>
      <c r="L1700" t="inlineStr">
        <is>
          <t>Respiratory</t>
        </is>
      </c>
      <c r="M1700" t="inlineStr">
        <is>
          <t>State Medicaid</t>
        </is>
      </c>
      <c r="N1700" t="inlineStr">
        <is>
          <t>Government</t>
        </is>
      </c>
      <c r="O1700" s="39" t="n">
        <v>15200.9</v>
      </c>
      <c r="P1700" t="inlineStr">
        <is>
          <t>N</t>
        </is>
      </c>
    </row>
    <row r="1701">
      <c r="A1701" t="inlineStr">
        <is>
          <t>ENC120306</t>
        </is>
      </c>
      <c r="B1701" t="inlineStr">
        <is>
          <t>PT13428</t>
        </is>
      </c>
      <c r="C1701" s="42" t="n">
        <v>45978</v>
      </c>
      <c r="D1701" s="42" t="n">
        <v>45978</v>
      </c>
      <c r="E1701" s="38" t="n">
        <v>0</v>
      </c>
      <c r="F1701" t="inlineStr">
        <is>
          <t>Outpatient</t>
        </is>
      </c>
      <c r="G1701" t="inlineStr">
        <is>
          <t>Bluestone Outpatient Pavilion</t>
        </is>
      </c>
      <c r="H1701" t="inlineStr">
        <is>
          <t>Primary Care Clinic</t>
        </is>
      </c>
      <c r="I1701" t="inlineStr">
        <is>
          <t>Ambulatory</t>
        </is>
      </c>
      <c r="J1701" t="inlineStr">
        <is>
          <t>Bennett, Randy</t>
        </is>
      </c>
      <c r="K1701" t="inlineStr">
        <is>
          <t>Z23</t>
        </is>
      </c>
      <c r="L1701" t="inlineStr">
        <is>
          <t>Factors Influencing Health</t>
        </is>
      </c>
      <c r="M1701" t="inlineStr">
        <is>
          <t>Keystone Health Partners</t>
        </is>
      </c>
      <c r="N1701" t="inlineStr">
        <is>
          <t>Commercial</t>
        </is>
      </c>
      <c r="O1701" s="39" t="n">
        <v>98.65000000000001</v>
      </c>
    </row>
    <row r="1702">
      <c r="A1702" t="inlineStr">
        <is>
          <t>ENC120317</t>
        </is>
      </c>
      <c r="B1702" t="inlineStr">
        <is>
          <t>PT11316</t>
        </is>
      </c>
      <c r="C1702" s="42" t="n">
        <v>45978</v>
      </c>
      <c r="D1702" s="42" t="n">
        <v>45978</v>
      </c>
      <c r="E1702" s="38" t="n">
        <v>0</v>
      </c>
      <c r="F1702" t="inlineStr">
        <is>
          <t>Emergency</t>
        </is>
      </c>
      <c r="G1702" t="inlineStr">
        <is>
          <t>Bluestone Memorial Hospital</t>
        </is>
      </c>
      <c r="H1702" t="inlineStr">
        <is>
          <t>Emergency Department</t>
        </is>
      </c>
      <c r="I1702" t="inlineStr">
        <is>
          <t>Emergency</t>
        </is>
      </c>
      <c r="J1702" t="inlineStr">
        <is>
          <t>Olson, Christian</t>
        </is>
      </c>
      <c r="K1702" t="inlineStr">
        <is>
          <t>R07.9</t>
        </is>
      </c>
      <c r="L1702" t="inlineStr">
        <is>
          <t>Symptoms &amp; Signs</t>
        </is>
      </c>
      <c r="M1702" t="inlineStr">
        <is>
          <t>State Medicaid</t>
        </is>
      </c>
      <c r="N1702" t="inlineStr">
        <is>
          <t>Government</t>
        </is>
      </c>
      <c r="O1702" s="39" t="n">
        <v>2914.77</v>
      </c>
    </row>
    <row r="1703">
      <c r="A1703" t="inlineStr">
        <is>
          <t>ENC120320</t>
        </is>
      </c>
      <c r="B1703" t="inlineStr">
        <is>
          <t>PT10454</t>
        </is>
      </c>
      <c r="C1703" s="42" t="n">
        <v>45978</v>
      </c>
      <c r="D1703" s="42" t="n">
        <v>45979</v>
      </c>
      <c r="E1703" s="38" t="n">
        <v>1</v>
      </c>
      <c r="F1703" t="inlineStr">
        <is>
          <t>Emergency</t>
        </is>
      </c>
      <c r="G1703" t="inlineStr">
        <is>
          <t>Bluestone Memorial Hospital</t>
        </is>
      </c>
      <c r="H1703" t="inlineStr">
        <is>
          <t>Emergency Department</t>
        </is>
      </c>
      <c r="I1703" t="inlineStr">
        <is>
          <t>Emergency</t>
        </is>
      </c>
      <c r="J1703" t="inlineStr">
        <is>
          <t>Sullivan, Jacob</t>
        </is>
      </c>
      <c r="K1703" t="inlineStr">
        <is>
          <t>J44.1</t>
        </is>
      </c>
      <c r="L1703" t="inlineStr">
        <is>
          <t>Respiratory</t>
        </is>
      </c>
      <c r="M1703" t="inlineStr">
        <is>
          <t>Medicare</t>
        </is>
      </c>
      <c r="N1703" t="inlineStr">
        <is>
          <t>Government</t>
        </is>
      </c>
      <c r="O1703" s="39" t="n">
        <v>5775.55</v>
      </c>
    </row>
    <row r="1704">
      <c r="A1704" t="inlineStr">
        <is>
          <t>ENC120321</t>
        </is>
      </c>
      <c r="B1704" t="inlineStr">
        <is>
          <t>PT10774</t>
        </is>
      </c>
      <c r="C1704" s="42" t="n">
        <v>45978</v>
      </c>
      <c r="D1704" s="42" t="n">
        <v>45979</v>
      </c>
      <c r="E1704" s="38" t="n">
        <v>1</v>
      </c>
      <c r="F1704" t="inlineStr">
        <is>
          <t>Emergency</t>
        </is>
      </c>
      <c r="G1704" t="inlineStr">
        <is>
          <t>Cedar Ridge Medical Center</t>
        </is>
      </c>
      <c r="H1704" t="inlineStr">
        <is>
          <t>Emergency Department</t>
        </is>
      </c>
      <c r="I1704" t="inlineStr">
        <is>
          <t>Emergency</t>
        </is>
      </c>
      <c r="J1704" t="inlineStr">
        <is>
          <t>Riley, Shirley</t>
        </is>
      </c>
      <c r="K1704" t="inlineStr">
        <is>
          <t>J45.909</t>
        </is>
      </c>
      <c r="L1704" t="inlineStr">
        <is>
          <t>Respiratory</t>
        </is>
      </c>
      <c r="M1704" t="inlineStr">
        <is>
          <t>Medicare</t>
        </is>
      </c>
      <c r="N1704" t="inlineStr">
        <is>
          <t>Government</t>
        </is>
      </c>
      <c r="O1704" s="39" t="n">
        <v>3591.48</v>
      </c>
    </row>
    <row r="1705">
      <c r="A1705" t="inlineStr">
        <is>
          <t>ENC120327</t>
        </is>
      </c>
      <c r="B1705" t="inlineStr">
        <is>
          <t>PT12499</t>
        </is>
      </c>
      <c r="C1705" s="42" t="n">
        <v>45979</v>
      </c>
      <c r="D1705" s="42" t="n">
        <v>45979</v>
      </c>
      <c r="E1705" s="38" t="n">
        <v>0</v>
      </c>
      <c r="F1705" t="inlineStr">
        <is>
          <t>Outpatient</t>
        </is>
      </c>
      <c r="G1705" t="inlineStr">
        <is>
          <t>Bluestone Outpatient Pavilion</t>
        </is>
      </c>
      <c r="H1705" t="inlineStr">
        <is>
          <t>Cardiology Clinic</t>
        </is>
      </c>
      <c r="I1705" t="inlineStr">
        <is>
          <t>Cardiovascular</t>
        </is>
      </c>
      <c r="J1705" t="inlineStr">
        <is>
          <t>Brooks, Edward</t>
        </is>
      </c>
      <c r="K1705" t="inlineStr">
        <is>
          <t>I48.91</t>
        </is>
      </c>
      <c r="L1705" t="inlineStr">
        <is>
          <t>Circulatory</t>
        </is>
      </c>
      <c r="M1705" t="inlineStr">
        <is>
          <t>Silverline Medicare Advantage</t>
        </is>
      </c>
      <c r="N1705" t="inlineStr">
        <is>
          <t>Medicare Advantage</t>
        </is>
      </c>
      <c r="O1705" s="39" t="n">
        <v>339.87</v>
      </c>
    </row>
    <row r="1706">
      <c r="A1706" t="inlineStr">
        <is>
          <t>ENC120328</t>
        </is>
      </c>
      <c r="B1706" t="inlineStr">
        <is>
          <t>PT13350</t>
        </is>
      </c>
      <c r="C1706" s="42" t="n">
        <v>45979</v>
      </c>
      <c r="D1706" s="42" t="n">
        <v>45985</v>
      </c>
      <c r="E1706" s="38" t="n">
        <v>6</v>
      </c>
      <c r="F1706" t="inlineStr">
        <is>
          <t>Inpatient</t>
        </is>
      </c>
      <c r="G1706" t="inlineStr">
        <is>
          <t>Bluestone Memorial Hospital</t>
        </is>
      </c>
      <c r="H1706" t="inlineStr">
        <is>
          <t>Intensive Care Unit</t>
        </is>
      </c>
      <c r="I1706" t="inlineStr">
        <is>
          <t>Critical Care</t>
        </is>
      </c>
      <c r="J1706" t="inlineStr">
        <is>
          <t>Hamilton, Leila</t>
        </is>
      </c>
      <c r="K1706" t="inlineStr">
        <is>
          <t>J96.01</t>
        </is>
      </c>
      <c r="L1706" t="inlineStr">
        <is>
          <t>Respiratory</t>
        </is>
      </c>
      <c r="M1706" t="inlineStr">
        <is>
          <t>Evergreen Mutual Insurance</t>
        </is>
      </c>
      <c r="N1706" t="inlineStr">
        <is>
          <t>Commercial</t>
        </is>
      </c>
      <c r="O1706" s="39" t="n">
        <v>36810.63</v>
      </c>
      <c r="P1706" t="inlineStr">
        <is>
          <t>Y</t>
        </is>
      </c>
    </row>
    <row r="1707">
      <c r="A1707" t="inlineStr">
        <is>
          <t>ENC120329</t>
        </is>
      </c>
      <c r="B1707" t="inlineStr">
        <is>
          <t>PT11326</t>
        </is>
      </c>
      <c r="C1707" s="42" t="n">
        <v>45979</v>
      </c>
      <c r="D1707" s="42" t="n">
        <v>45979</v>
      </c>
      <c r="E1707" s="38" t="n">
        <v>0</v>
      </c>
      <c r="F1707" t="inlineStr">
        <is>
          <t>Emergency</t>
        </is>
      </c>
      <c r="G1707" t="inlineStr">
        <is>
          <t>Ashby Falls Community Hospital</t>
        </is>
      </c>
      <c r="H1707" t="inlineStr">
        <is>
          <t>Emergency Department</t>
        </is>
      </c>
      <c r="I1707" t="inlineStr">
        <is>
          <t>Emergency</t>
        </is>
      </c>
      <c r="J1707" t="inlineStr">
        <is>
          <t>Richardson, Mei</t>
        </is>
      </c>
      <c r="K1707" t="inlineStr">
        <is>
          <t>J06.9</t>
        </is>
      </c>
      <c r="L1707" t="inlineStr">
        <is>
          <t>Respiratory</t>
        </is>
      </c>
      <c r="M1707" t="inlineStr">
        <is>
          <t>Medicare</t>
        </is>
      </c>
      <c r="N1707" t="inlineStr">
        <is>
          <t>Government</t>
        </is>
      </c>
      <c r="O1707" s="39" t="n">
        <v>2119.24</v>
      </c>
    </row>
    <row r="1708">
      <c r="A1708" t="inlineStr">
        <is>
          <t>ENC120334</t>
        </is>
      </c>
      <c r="B1708" t="inlineStr">
        <is>
          <t>PT13948</t>
        </is>
      </c>
      <c r="C1708" s="42" t="n">
        <v>45979</v>
      </c>
      <c r="D1708" s="42" t="n">
        <v>45979</v>
      </c>
      <c r="E1708" s="38" t="n">
        <v>0</v>
      </c>
      <c r="F1708" t="inlineStr">
        <is>
          <t>Emergency</t>
        </is>
      </c>
      <c r="G1708" t="inlineStr">
        <is>
          <t>Bluestone Memorial Hospital</t>
        </is>
      </c>
      <c r="H1708" t="inlineStr">
        <is>
          <t>Emergency Department</t>
        </is>
      </c>
      <c r="I1708" t="inlineStr">
        <is>
          <t>Emergency</t>
        </is>
      </c>
      <c r="J1708" t="inlineStr">
        <is>
          <t>Gonzales, Mia</t>
        </is>
      </c>
      <c r="K1708" t="inlineStr">
        <is>
          <t>R10.9</t>
        </is>
      </c>
      <c r="L1708" t="inlineStr">
        <is>
          <t>Symptoms &amp; Signs</t>
        </is>
      </c>
      <c r="M1708" t="inlineStr">
        <is>
          <t>Evergreen Mutual Insurance</t>
        </is>
      </c>
      <c r="N1708" t="inlineStr">
        <is>
          <t>Commercial</t>
        </is>
      </c>
      <c r="O1708" s="39" t="n">
        <v>1990.05</v>
      </c>
    </row>
    <row r="1709">
      <c r="A1709" t="inlineStr">
        <is>
          <t>ENC120336</t>
        </is>
      </c>
      <c r="B1709" t="inlineStr">
        <is>
          <t>PT11163</t>
        </is>
      </c>
      <c r="C1709" s="42" t="n">
        <v>45979</v>
      </c>
      <c r="D1709" s="42" t="n">
        <v>45979</v>
      </c>
      <c r="E1709" s="38" t="n">
        <v>0</v>
      </c>
      <c r="F1709" t="inlineStr">
        <is>
          <t>Outpatient</t>
        </is>
      </c>
      <c r="G1709" t="inlineStr">
        <is>
          <t>Bluestone Outpatient Pavilion</t>
        </is>
      </c>
      <c r="H1709" t="inlineStr">
        <is>
          <t>Primary Care Clinic</t>
        </is>
      </c>
      <c r="I1709" t="inlineStr">
        <is>
          <t>Ambulatory</t>
        </is>
      </c>
      <c r="J1709" t="inlineStr">
        <is>
          <t>Black, Kelly</t>
        </is>
      </c>
      <c r="K1709" t="inlineStr">
        <is>
          <t>Z23</t>
        </is>
      </c>
      <c r="L1709" t="inlineStr">
        <is>
          <t>Factors Influencing Health</t>
        </is>
      </c>
      <c r="M1709" t="inlineStr">
        <is>
          <t>Medicare</t>
        </is>
      </c>
      <c r="N1709" t="inlineStr">
        <is>
          <t>Government</t>
        </is>
      </c>
      <c r="O1709" s="39" t="n">
        <v>96.92</v>
      </c>
    </row>
    <row r="1710">
      <c r="A1710" t="inlineStr">
        <is>
          <t>ENC120339</t>
        </is>
      </c>
      <c r="B1710" t="inlineStr">
        <is>
          <t>PT11809</t>
        </is>
      </c>
      <c r="C1710" s="42" t="n">
        <v>45979</v>
      </c>
      <c r="D1710" s="42" t="n">
        <v>45979</v>
      </c>
      <c r="E1710" s="38" t="n">
        <v>0</v>
      </c>
      <c r="F1710" t="inlineStr">
        <is>
          <t>Outpatient</t>
        </is>
      </c>
      <c r="G1710" t="inlineStr">
        <is>
          <t>Bluestone Outpatient Pavilion</t>
        </is>
      </c>
      <c r="H1710" t="inlineStr">
        <is>
          <t>Pediatric Clinic</t>
        </is>
      </c>
      <c r="I1710" t="inlineStr">
        <is>
          <t>Women &amp; Children</t>
        </is>
      </c>
      <c r="J1710" t="inlineStr">
        <is>
          <t>Herrera, Christian</t>
        </is>
      </c>
      <c r="K1710" t="inlineStr">
        <is>
          <t>H66.90</t>
        </is>
      </c>
      <c r="L1710" t="inlineStr">
        <is>
          <t>Ear</t>
        </is>
      </c>
      <c r="M1710" t="inlineStr">
        <is>
          <t>Evergreen Mutual Insurance</t>
        </is>
      </c>
      <c r="N1710" t="inlineStr">
        <is>
          <t>Commercial</t>
        </is>
      </c>
      <c r="O1710" s="39" t="n">
        <v>341.86</v>
      </c>
    </row>
    <row r="1711">
      <c r="A1711" t="inlineStr">
        <is>
          <t>ENC120341</t>
        </is>
      </c>
      <c r="B1711" t="inlineStr">
        <is>
          <t>PT13456</t>
        </is>
      </c>
      <c r="C1711" s="42" t="n">
        <v>45979</v>
      </c>
      <c r="D1711" s="42" t="n">
        <v>45979</v>
      </c>
      <c r="E1711" s="38" t="n">
        <v>0</v>
      </c>
      <c r="F1711" t="inlineStr">
        <is>
          <t>Outpatient</t>
        </is>
      </c>
      <c r="G1711" t="inlineStr">
        <is>
          <t>Bluestone Outpatient Pavilion</t>
        </is>
      </c>
      <c r="H1711" t="inlineStr">
        <is>
          <t>Primary Care Clinic</t>
        </is>
      </c>
      <c r="I1711" t="inlineStr">
        <is>
          <t>Ambulatory</t>
        </is>
      </c>
      <c r="J1711" t="inlineStr">
        <is>
          <t>Sullivan, Brenda</t>
        </is>
      </c>
      <c r="K1711" t="inlineStr">
        <is>
          <t>E78.5</t>
        </is>
      </c>
      <c r="L1711" t="inlineStr">
        <is>
          <t>Endocrine</t>
        </is>
      </c>
      <c r="M1711" t="inlineStr">
        <is>
          <t>Summit Choice PPO</t>
        </is>
      </c>
      <c r="N1711" t="inlineStr">
        <is>
          <t>Commercial</t>
        </is>
      </c>
      <c r="O1711" s="39" t="n">
        <v>225.21</v>
      </c>
    </row>
    <row r="1712">
      <c r="A1712" t="inlineStr">
        <is>
          <t>ENC120342</t>
        </is>
      </c>
      <c r="B1712" t="inlineStr">
        <is>
          <t>PT13124</t>
        </is>
      </c>
      <c r="C1712" s="42" t="n">
        <v>45979</v>
      </c>
      <c r="D1712" s="42" t="n">
        <v>45979</v>
      </c>
      <c r="E1712" s="38" t="n">
        <v>0</v>
      </c>
      <c r="F1712" t="inlineStr">
        <is>
          <t>Outpatient</t>
        </is>
      </c>
      <c r="G1712" t="inlineStr">
        <is>
          <t>Bluestone Outpatient Pavilion</t>
        </is>
      </c>
      <c r="H1712" t="inlineStr">
        <is>
          <t>Pediatric Clinic</t>
        </is>
      </c>
      <c r="I1712" t="inlineStr">
        <is>
          <t>Women &amp; Children</t>
        </is>
      </c>
      <c r="J1712" t="inlineStr">
        <is>
          <t>Wallace, Kevin</t>
        </is>
      </c>
      <c r="K1712" t="inlineStr">
        <is>
          <t>Z00.129</t>
        </is>
      </c>
      <c r="L1712" t="inlineStr">
        <is>
          <t>Factors Influencing Health</t>
        </is>
      </c>
      <c r="M1712" t="inlineStr">
        <is>
          <t>State Medicaid</t>
        </is>
      </c>
      <c r="N1712" t="inlineStr">
        <is>
          <t>Government</t>
        </is>
      </c>
      <c r="O1712" s="39" t="n">
        <v>222.96</v>
      </c>
    </row>
    <row r="1713">
      <c r="A1713" t="inlineStr">
        <is>
          <t>ENC120355</t>
        </is>
      </c>
      <c r="B1713" t="inlineStr">
        <is>
          <t>PT13880</t>
        </is>
      </c>
      <c r="C1713" s="42" t="n">
        <v>45979</v>
      </c>
      <c r="D1713" s="42" t="n">
        <v>45983</v>
      </c>
      <c r="E1713" s="38" t="n">
        <v>4</v>
      </c>
      <c r="F1713" t="inlineStr">
        <is>
          <t>Inpatient</t>
        </is>
      </c>
      <c r="G1713" t="inlineStr">
        <is>
          <t>Bluestone Memorial Hospital</t>
        </is>
      </c>
      <c r="H1713" t="inlineStr">
        <is>
          <t>Medical-Surgical 4 West</t>
        </is>
      </c>
      <c r="I1713" t="inlineStr">
        <is>
          <t>Medicine</t>
        </is>
      </c>
      <c r="J1713" t="inlineStr">
        <is>
          <t>Abdi, Hassan</t>
        </is>
      </c>
      <c r="K1713" t="inlineStr">
        <is>
          <t>J18.9</t>
        </is>
      </c>
      <c r="L1713" t="inlineStr">
        <is>
          <t>Respiratory</t>
        </is>
      </c>
      <c r="M1713" t="inlineStr">
        <is>
          <t>Silverline Medicare Advantage</t>
        </is>
      </c>
      <c r="N1713" t="inlineStr">
        <is>
          <t>Medicare Advantage</t>
        </is>
      </c>
      <c r="O1713" s="39" t="n">
        <v>16511.45</v>
      </c>
      <c r="P1713" t="inlineStr">
        <is>
          <t>N</t>
        </is>
      </c>
    </row>
    <row r="1714">
      <c r="A1714" t="inlineStr">
        <is>
          <t>ENC120365</t>
        </is>
      </c>
      <c r="B1714" t="inlineStr">
        <is>
          <t>PT13190</t>
        </is>
      </c>
      <c r="C1714" s="42" t="n">
        <v>45980</v>
      </c>
      <c r="D1714" s="42" t="n">
        <v>45984</v>
      </c>
      <c r="E1714" s="38" t="n">
        <v>4</v>
      </c>
      <c r="F1714" t="inlineStr">
        <is>
          <t>Inpatient</t>
        </is>
      </c>
      <c r="G1714" t="inlineStr">
        <is>
          <t>Bluestone Memorial Hospital</t>
        </is>
      </c>
      <c r="H1714" t="inlineStr">
        <is>
          <t>Labor &amp; Delivery</t>
        </is>
      </c>
      <c r="I1714" t="inlineStr">
        <is>
          <t>Women &amp; Children</t>
        </is>
      </c>
      <c r="J1714" t="inlineStr">
        <is>
          <t>Bradley, Nicole</t>
        </is>
      </c>
      <c r="K1714" t="inlineStr">
        <is>
          <t>O82</t>
        </is>
      </c>
      <c r="L1714" t="inlineStr">
        <is>
          <t>Pregnancy</t>
        </is>
      </c>
      <c r="M1714" t="inlineStr">
        <is>
          <t>Summit Choice PPO</t>
        </is>
      </c>
      <c r="N1714" t="inlineStr">
        <is>
          <t>Commercial</t>
        </is>
      </c>
      <c r="O1714" s="39" t="n">
        <v>27058.7</v>
      </c>
      <c r="P1714" t="inlineStr">
        <is>
          <t>N</t>
        </is>
      </c>
    </row>
    <row r="1715">
      <c r="A1715" t="inlineStr">
        <is>
          <t>ENC120366</t>
        </is>
      </c>
      <c r="B1715" t="inlineStr">
        <is>
          <t>PT10367</t>
        </is>
      </c>
      <c r="C1715" s="42" t="n">
        <v>45980</v>
      </c>
      <c r="D1715" s="42" t="n">
        <v>45984</v>
      </c>
      <c r="E1715" s="38" t="n">
        <v>4</v>
      </c>
      <c r="F1715" t="inlineStr">
        <is>
          <t>Inpatient</t>
        </is>
      </c>
      <c r="G1715" t="inlineStr">
        <is>
          <t>Bluestone Memorial Hospital</t>
        </is>
      </c>
      <c r="H1715" t="inlineStr">
        <is>
          <t>Medical-Surgical 4 West</t>
        </is>
      </c>
      <c r="I1715" t="inlineStr">
        <is>
          <t>Medicine</t>
        </is>
      </c>
      <c r="J1715" t="inlineStr">
        <is>
          <t>Alvarado, Tyler</t>
        </is>
      </c>
      <c r="K1715" t="inlineStr">
        <is>
          <t>J44.1</t>
        </is>
      </c>
      <c r="L1715" t="inlineStr">
        <is>
          <t>Respiratory</t>
        </is>
      </c>
      <c r="M1715" t="inlineStr">
        <is>
          <t>Medicare</t>
        </is>
      </c>
      <c r="N1715" t="inlineStr">
        <is>
          <t>Government</t>
        </is>
      </c>
      <c r="O1715" s="39" t="n">
        <v>18498.12</v>
      </c>
      <c r="P1715" t="inlineStr">
        <is>
          <t>N</t>
        </is>
      </c>
    </row>
    <row r="1716">
      <c r="A1716" t="inlineStr">
        <is>
          <t>ENC120371</t>
        </is>
      </c>
      <c r="B1716" t="inlineStr">
        <is>
          <t>PT12719</t>
        </is>
      </c>
      <c r="C1716" s="42" t="n">
        <v>45980</v>
      </c>
      <c r="D1716" s="42" t="n">
        <v>45986</v>
      </c>
      <c r="E1716" s="38" t="n">
        <v>6</v>
      </c>
      <c r="F1716" t="inlineStr">
        <is>
          <t>Inpatient</t>
        </is>
      </c>
      <c r="G1716" t="inlineStr">
        <is>
          <t>Ashby Falls Community Hospital</t>
        </is>
      </c>
      <c r="H1716" t="inlineStr">
        <is>
          <t>Medical-Surgical</t>
        </is>
      </c>
      <c r="I1716" t="inlineStr">
        <is>
          <t>Medicine</t>
        </is>
      </c>
      <c r="J1716" t="inlineStr">
        <is>
          <t>Carter, Karen</t>
        </is>
      </c>
      <c r="K1716" t="inlineStr">
        <is>
          <t>A41.9</t>
        </is>
      </c>
      <c r="L1716" t="inlineStr">
        <is>
          <t>Infectious</t>
        </is>
      </c>
      <c r="M1716" t="inlineStr">
        <is>
          <t>Self-Pay</t>
        </is>
      </c>
      <c r="N1716" t="inlineStr">
        <is>
          <t>Self-Pay</t>
        </is>
      </c>
      <c r="O1716" s="39" t="n">
        <v>49374.31</v>
      </c>
      <c r="P1716" t="inlineStr">
        <is>
          <t>N</t>
        </is>
      </c>
    </row>
    <row r="1717">
      <c r="A1717" t="inlineStr">
        <is>
          <t>ENC120379</t>
        </is>
      </c>
      <c r="B1717" t="inlineStr">
        <is>
          <t>PT10346</t>
        </is>
      </c>
      <c r="C1717" s="42" t="n">
        <v>45980</v>
      </c>
      <c r="D1717" s="42" t="n">
        <v>45980</v>
      </c>
      <c r="E1717" s="38" t="n">
        <v>0</v>
      </c>
      <c r="F1717" t="inlineStr">
        <is>
          <t>Outpatient</t>
        </is>
      </c>
      <c r="G1717" t="inlineStr">
        <is>
          <t>Bluestone Outpatient Pavilion</t>
        </is>
      </c>
      <c r="H1717" t="inlineStr">
        <is>
          <t>Primary Care Clinic</t>
        </is>
      </c>
      <c r="I1717" t="inlineStr">
        <is>
          <t>Ambulatory</t>
        </is>
      </c>
      <c r="J1717" t="inlineStr">
        <is>
          <t>Bennett, Randy</t>
        </is>
      </c>
      <c r="K1717" t="inlineStr">
        <is>
          <t>I10</t>
        </is>
      </c>
      <c r="L1717" t="inlineStr">
        <is>
          <t>Circulatory</t>
        </is>
      </c>
      <c r="M1717" t="inlineStr">
        <is>
          <t>Silverline Medicare Advantage</t>
        </is>
      </c>
      <c r="N1717" t="inlineStr">
        <is>
          <t>Medicare Advantage</t>
        </is>
      </c>
      <c r="O1717" s="39" t="n">
        <v>223.86</v>
      </c>
    </row>
    <row r="1718">
      <c r="A1718" t="inlineStr">
        <is>
          <t>ENC120381</t>
        </is>
      </c>
      <c r="B1718" t="inlineStr">
        <is>
          <t>PT11640</t>
        </is>
      </c>
      <c r="C1718" s="42" t="n">
        <v>45980</v>
      </c>
      <c r="D1718" s="42" t="n">
        <v>45980</v>
      </c>
      <c r="E1718" s="38" t="n">
        <v>0</v>
      </c>
      <c r="F1718" t="inlineStr">
        <is>
          <t>Outpatient</t>
        </is>
      </c>
      <c r="G1718" t="inlineStr">
        <is>
          <t>Bluestone Outpatient Pavilion</t>
        </is>
      </c>
      <c r="H1718" t="inlineStr">
        <is>
          <t>Pediatric Clinic</t>
        </is>
      </c>
      <c r="I1718" t="inlineStr">
        <is>
          <t>Women &amp; Children</t>
        </is>
      </c>
      <c r="J1718" t="inlineStr">
        <is>
          <t>Alvarez, Susan</t>
        </is>
      </c>
      <c r="K1718" t="inlineStr">
        <is>
          <t>H66.90</t>
        </is>
      </c>
      <c r="L1718" t="inlineStr">
        <is>
          <t>Ear</t>
        </is>
      </c>
      <c r="M1718" t="inlineStr">
        <is>
          <t>State Medicaid</t>
        </is>
      </c>
      <c r="N1718" t="inlineStr">
        <is>
          <t>Government</t>
        </is>
      </c>
      <c r="O1718" s="39" t="n">
        <v>228.61</v>
      </c>
    </row>
    <row r="1719">
      <c r="A1719" t="inlineStr">
        <is>
          <t>ENC120410</t>
        </is>
      </c>
      <c r="B1719" t="inlineStr">
        <is>
          <t>PT12313</t>
        </is>
      </c>
      <c r="C1719" s="42" t="n">
        <v>45981</v>
      </c>
      <c r="D1719" s="42" t="n">
        <v>45981</v>
      </c>
      <c r="E1719" s="38" t="n">
        <v>0</v>
      </c>
      <c r="F1719" t="inlineStr">
        <is>
          <t>Outpatient</t>
        </is>
      </c>
      <c r="G1719" t="inlineStr">
        <is>
          <t>Bluestone Outpatient Pavilion</t>
        </is>
      </c>
      <c r="H1719" t="inlineStr">
        <is>
          <t>Primary Care Clinic</t>
        </is>
      </c>
      <c r="I1719" t="inlineStr">
        <is>
          <t>Ambulatory</t>
        </is>
      </c>
      <c r="J1719" t="inlineStr">
        <is>
          <t>Black, Kelly</t>
        </is>
      </c>
      <c r="K1719" t="inlineStr">
        <is>
          <t>J06.9</t>
        </is>
      </c>
      <c r="L1719" t="inlineStr">
        <is>
          <t>Respiratory</t>
        </is>
      </c>
      <c r="M1719" t="inlineStr">
        <is>
          <t>Medicare</t>
        </is>
      </c>
      <c r="N1719" t="inlineStr">
        <is>
          <t>Government</t>
        </is>
      </c>
      <c r="O1719" s="39" t="n">
        <v>515.62</v>
      </c>
    </row>
    <row r="1720">
      <c r="A1720" t="inlineStr">
        <is>
          <t>ENC120414</t>
        </is>
      </c>
      <c r="B1720" t="inlineStr">
        <is>
          <t>PT13699</t>
        </is>
      </c>
      <c r="C1720" s="42" t="n">
        <v>45981</v>
      </c>
      <c r="D1720" s="42" t="n">
        <v>45981</v>
      </c>
      <c r="E1720" s="38" t="n">
        <v>0</v>
      </c>
      <c r="F1720" t="inlineStr">
        <is>
          <t>Outpatient</t>
        </is>
      </c>
      <c r="G1720" t="inlineStr">
        <is>
          <t>Bluestone Outpatient Pavilion</t>
        </is>
      </c>
      <c r="H1720" t="inlineStr">
        <is>
          <t>Primary Care Clinic</t>
        </is>
      </c>
      <c r="I1720" t="inlineStr">
        <is>
          <t>Ambulatory</t>
        </is>
      </c>
      <c r="J1720" t="inlineStr">
        <is>
          <t>Nguyen, Isabella</t>
        </is>
      </c>
      <c r="K1720" t="inlineStr">
        <is>
          <t>Z00.00</t>
        </is>
      </c>
      <c r="L1720" t="inlineStr">
        <is>
          <t>Factors Influencing Health</t>
        </is>
      </c>
      <c r="M1720" t="inlineStr">
        <is>
          <t>Evergreen Mutual Insurance</t>
        </is>
      </c>
      <c r="N1720" t="inlineStr">
        <is>
          <t>Commercial</t>
        </is>
      </c>
      <c r="O1720" s="39" t="n">
        <v>285.77</v>
      </c>
    </row>
    <row r="1721">
      <c r="A1721" t="inlineStr">
        <is>
          <t>ENC120415</t>
        </is>
      </c>
      <c r="B1721" t="inlineStr">
        <is>
          <t>PT11082</t>
        </is>
      </c>
      <c r="C1721" s="42" t="n">
        <v>45981</v>
      </c>
      <c r="D1721" s="42" t="n">
        <v>45981</v>
      </c>
      <c r="E1721" s="38" t="n">
        <v>0</v>
      </c>
      <c r="F1721" t="inlineStr">
        <is>
          <t>Outpatient</t>
        </is>
      </c>
      <c r="G1721" t="inlineStr">
        <is>
          <t>Bluestone Outpatient Pavilion</t>
        </is>
      </c>
      <c r="H1721" t="inlineStr">
        <is>
          <t>Primary Care Clinic</t>
        </is>
      </c>
      <c r="I1721" t="inlineStr">
        <is>
          <t>Ambulatory</t>
        </is>
      </c>
      <c r="J1721" t="inlineStr">
        <is>
          <t>Petrov, Doris</t>
        </is>
      </c>
      <c r="K1721" t="inlineStr">
        <is>
          <t>Z23</t>
        </is>
      </c>
      <c r="L1721" t="inlineStr">
        <is>
          <t>Factors Influencing Health</t>
        </is>
      </c>
      <c r="M1721" t="inlineStr">
        <is>
          <t>Medicare</t>
        </is>
      </c>
      <c r="N1721" t="inlineStr">
        <is>
          <t>Government</t>
        </is>
      </c>
      <c r="O1721" s="39" t="n">
        <v>125.57</v>
      </c>
    </row>
    <row r="1722">
      <c r="A1722" t="inlineStr">
        <is>
          <t>ENC120421</t>
        </is>
      </c>
      <c r="B1722" t="inlineStr">
        <is>
          <t>PT11561</t>
        </is>
      </c>
      <c r="C1722" s="42" t="n">
        <v>45981</v>
      </c>
      <c r="D1722" s="42" t="n">
        <v>45981</v>
      </c>
      <c r="E1722" s="38" t="n">
        <v>0</v>
      </c>
      <c r="F1722" t="inlineStr">
        <is>
          <t>Emergency</t>
        </is>
      </c>
      <c r="G1722" t="inlineStr">
        <is>
          <t>Bluestone Memorial Hospital</t>
        </is>
      </c>
      <c r="H1722" t="inlineStr">
        <is>
          <t>Emergency Department</t>
        </is>
      </c>
      <c r="I1722" t="inlineStr">
        <is>
          <t>Emergency</t>
        </is>
      </c>
      <c r="J1722" t="inlineStr">
        <is>
          <t>Elliott, Jesse</t>
        </is>
      </c>
      <c r="K1722" t="inlineStr">
        <is>
          <t>R07.9</t>
        </is>
      </c>
      <c r="L1722" t="inlineStr">
        <is>
          <t>Symptoms &amp; Signs</t>
        </is>
      </c>
      <c r="M1722" t="inlineStr">
        <is>
          <t>Silverline Medicare Advantage</t>
        </is>
      </c>
      <c r="N1722" t="inlineStr">
        <is>
          <t>Medicare Advantage</t>
        </is>
      </c>
      <c r="O1722" s="39" t="n">
        <v>3456.74</v>
      </c>
    </row>
    <row r="1723">
      <c r="A1723" t="inlineStr">
        <is>
          <t>ENC120407</t>
        </is>
      </c>
      <c r="B1723" t="inlineStr">
        <is>
          <t>PT10252</t>
        </is>
      </c>
      <c r="C1723" s="42" t="n">
        <v>45981</v>
      </c>
      <c r="D1723" s="42" t="n">
        <v>45985</v>
      </c>
      <c r="E1723" s="38" t="n">
        <v>4</v>
      </c>
      <c r="F1723" t="inlineStr">
        <is>
          <t>Inpatient</t>
        </is>
      </c>
      <c r="G1723" t="inlineStr">
        <is>
          <t>Ashby Falls Community Hospital</t>
        </is>
      </c>
      <c r="H1723" t="inlineStr">
        <is>
          <t>Medical-Surgical</t>
        </is>
      </c>
      <c r="I1723" t="inlineStr">
        <is>
          <t>Medicine</t>
        </is>
      </c>
      <c r="J1723" t="inlineStr">
        <is>
          <t>Carroll, Philip</t>
        </is>
      </c>
      <c r="K1723" t="inlineStr">
        <is>
          <t>J18.9</t>
        </is>
      </c>
      <c r="L1723" t="inlineStr">
        <is>
          <t>Respiratory</t>
        </is>
      </c>
      <c r="M1723" t="inlineStr">
        <is>
          <t>Evergreen Mutual Insurance</t>
        </is>
      </c>
      <c r="N1723" t="inlineStr">
        <is>
          <t>Commercial</t>
        </is>
      </c>
      <c r="O1723" s="39" t="n">
        <v>17451.75</v>
      </c>
      <c r="P1723" t="inlineStr">
        <is>
          <t>N</t>
        </is>
      </c>
    </row>
    <row r="1724">
      <c r="A1724" t="inlineStr">
        <is>
          <t>ENC120424</t>
        </is>
      </c>
      <c r="B1724" t="inlineStr">
        <is>
          <t>PT10640</t>
        </is>
      </c>
      <c r="C1724" s="42" t="n">
        <v>45981</v>
      </c>
      <c r="D1724" s="42" t="n">
        <v>45983</v>
      </c>
      <c r="E1724" s="38" t="n">
        <v>2</v>
      </c>
      <c r="F1724" t="inlineStr">
        <is>
          <t>Inpatient</t>
        </is>
      </c>
      <c r="G1724" t="inlineStr">
        <is>
          <t>Bluestone Memorial Hospital</t>
        </is>
      </c>
      <c r="H1724" t="inlineStr">
        <is>
          <t>Medical-Surgical 5 East</t>
        </is>
      </c>
      <c r="I1724" t="inlineStr">
        <is>
          <t>Medicine</t>
        </is>
      </c>
      <c r="J1724" t="inlineStr">
        <is>
          <t>Ramirez, Emma</t>
        </is>
      </c>
      <c r="K1724" t="inlineStr">
        <is>
          <t>J18.9</t>
        </is>
      </c>
      <c r="L1724" t="inlineStr">
        <is>
          <t>Respiratory</t>
        </is>
      </c>
      <c r="M1724" t="inlineStr">
        <is>
          <t>Self-Pay</t>
        </is>
      </c>
      <c r="N1724" t="inlineStr">
        <is>
          <t>Self-Pay</t>
        </is>
      </c>
      <c r="O1724" s="39" t="n">
        <v>12051.23</v>
      </c>
      <c r="P1724" t="inlineStr">
        <is>
          <t>N</t>
        </is>
      </c>
    </row>
    <row r="1725">
      <c r="A1725" t="inlineStr">
        <is>
          <t>ENC120442</t>
        </is>
      </c>
      <c r="B1725" t="inlineStr">
        <is>
          <t>PT11834</t>
        </is>
      </c>
      <c r="C1725" s="42" t="n">
        <v>45982</v>
      </c>
      <c r="D1725" s="42" t="n">
        <v>45985</v>
      </c>
      <c r="E1725" s="38" t="n">
        <v>3</v>
      </c>
      <c r="F1725" t="inlineStr">
        <is>
          <t>Inpatient</t>
        </is>
      </c>
      <c r="G1725" t="inlineStr">
        <is>
          <t>Bluestone Memorial Hospital</t>
        </is>
      </c>
      <c r="H1725" t="inlineStr">
        <is>
          <t>Intensive Care Unit</t>
        </is>
      </c>
      <c r="I1725" t="inlineStr">
        <is>
          <t>Critical Care</t>
        </is>
      </c>
      <c r="J1725" t="inlineStr">
        <is>
          <t>Diaz, Adam</t>
        </is>
      </c>
      <c r="K1725" t="inlineStr">
        <is>
          <t>A41.9</t>
        </is>
      </c>
      <c r="L1725" t="inlineStr">
        <is>
          <t>Infectious</t>
        </is>
      </c>
      <c r="M1725" t="inlineStr">
        <is>
          <t>Silverline Medicare Advantage</t>
        </is>
      </c>
      <c r="N1725" t="inlineStr">
        <is>
          <t>Medicare Advantage</t>
        </is>
      </c>
      <c r="O1725" s="39" t="n">
        <v>21383.36</v>
      </c>
      <c r="P1725" t="inlineStr">
        <is>
          <t>N</t>
        </is>
      </c>
    </row>
    <row r="1726">
      <c r="A1726" t="inlineStr">
        <is>
          <t>ENC120443</t>
        </is>
      </c>
      <c r="B1726" t="inlineStr">
        <is>
          <t>PT12929</t>
        </is>
      </c>
      <c r="C1726" s="42" t="n">
        <v>45982</v>
      </c>
      <c r="D1726" s="42" t="n">
        <v>45982</v>
      </c>
      <c r="E1726" s="38" t="n">
        <v>0</v>
      </c>
      <c r="F1726" t="inlineStr">
        <is>
          <t>Emergency</t>
        </is>
      </c>
      <c r="G1726" t="inlineStr">
        <is>
          <t>Cedar Ridge Medical Center</t>
        </is>
      </c>
      <c r="H1726" t="inlineStr">
        <is>
          <t>Emergency Department</t>
        </is>
      </c>
      <c r="I1726" t="inlineStr">
        <is>
          <t>Emergency</t>
        </is>
      </c>
      <c r="J1726" t="inlineStr">
        <is>
          <t>Schmidt, Anna</t>
        </is>
      </c>
      <c r="K1726" t="inlineStr">
        <is>
          <t>N39.0</t>
        </is>
      </c>
      <c r="L1726" t="inlineStr">
        <is>
          <t>Genitourinary</t>
        </is>
      </c>
      <c r="M1726" t="inlineStr">
        <is>
          <t>State Medicaid</t>
        </is>
      </c>
      <c r="N1726" t="inlineStr">
        <is>
          <t>Government</t>
        </is>
      </c>
      <c r="O1726" s="39" t="n">
        <v>1740.17</v>
      </c>
    </row>
    <row r="1727">
      <c r="A1727" t="inlineStr">
        <is>
          <t>ENC120444</t>
        </is>
      </c>
      <c r="B1727" t="inlineStr">
        <is>
          <t>PT10463</t>
        </is>
      </c>
      <c r="C1727" s="42" t="n">
        <v>45982</v>
      </c>
      <c r="D1727" s="42" t="n">
        <v>45982</v>
      </c>
      <c r="E1727" s="38" t="n">
        <v>0</v>
      </c>
      <c r="F1727" t="inlineStr">
        <is>
          <t>Emergency</t>
        </is>
      </c>
      <c r="G1727" t="inlineStr">
        <is>
          <t>Cedar Ridge Medical Center</t>
        </is>
      </c>
      <c r="H1727" t="inlineStr">
        <is>
          <t>Emergency Department</t>
        </is>
      </c>
      <c r="I1727" t="inlineStr">
        <is>
          <t>Emergency</t>
        </is>
      </c>
      <c r="J1727" t="inlineStr">
        <is>
          <t>Munoz, Linda</t>
        </is>
      </c>
      <c r="K1727" t="inlineStr">
        <is>
          <t>J06.9</t>
        </is>
      </c>
      <c r="L1727" t="inlineStr">
        <is>
          <t>Respiratory</t>
        </is>
      </c>
      <c r="M1727" t="inlineStr">
        <is>
          <t>Silverline Medicare Advantage</t>
        </is>
      </c>
      <c r="N1727" t="inlineStr">
        <is>
          <t>Medicare Advantage</t>
        </is>
      </c>
      <c r="O1727" s="39" t="n">
        <v>2788.17</v>
      </c>
    </row>
    <row r="1728">
      <c r="A1728" t="inlineStr">
        <is>
          <t>ENC120445</t>
        </is>
      </c>
      <c r="B1728" t="inlineStr">
        <is>
          <t>PT10710</t>
        </is>
      </c>
      <c r="C1728" s="42" t="n">
        <v>45982</v>
      </c>
      <c r="D1728" s="42" t="n">
        <v>45983</v>
      </c>
      <c r="E1728" s="38" t="n">
        <v>1</v>
      </c>
      <c r="F1728" t="inlineStr">
        <is>
          <t>Inpatient</t>
        </is>
      </c>
      <c r="G1728" t="inlineStr">
        <is>
          <t>Bluestone Memorial Hospital</t>
        </is>
      </c>
      <c r="H1728" t="inlineStr">
        <is>
          <t>Medical-Surgical 5 East</t>
        </is>
      </c>
      <c r="I1728" t="inlineStr">
        <is>
          <t>Medicine</t>
        </is>
      </c>
      <c r="J1728" t="inlineStr">
        <is>
          <t>Ramirez, Jordan</t>
        </is>
      </c>
      <c r="K1728" t="inlineStr">
        <is>
          <t>K80.20</t>
        </is>
      </c>
      <c r="L1728" t="inlineStr">
        <is>
          <t>Digestive</t>
        </is>
      </c>
      <c r="M1728" t="inlineStr">
        <is>
          <t>Summit Choice PPO</t>
        </is>
      </c>
      <c r="N1728" t="inlineStr">
        <is>
          <t>Commercial</t>
        </is>
      </c>
      <c r="O1728" s="39" t="n">
        <v>31652.61</v>
      </c>
      <c r="P1728" t="inlineStr">
        <is>
          <t>N</t>
        </is>
      </c>
    </row>
    <row r="1729">
      <c r="A1729" t="inlineStr">
        <is>
          <t>ENC120447</t>
        </is>
      </c>
      <c r="B1729" t="inlineStr">
        <is>
          <t>PT12651</t>
        </is>
      </c>
      <c r="C1729" s="42" t="n">
        <v>45982</v>
      </c>
      <c r="D1729" s="42" t="n">
        <v>45982</v>
      </c>
      <c r="E1729" s="38" t="n">
        <v>0</v>
      </c>
      <c r="F1729" t="inlineStr">
        <is>
          <t>Outpatient</t>
        </is>
      </c>
      <c r="G1729" t="inlineStr">
        <is>
          <t>Bluestone Outpatient Pavilion</t>
        </is>
      </c>
      <c r="H1729" t="inlineStr">
        <is>
          <t>Primary Care Clinic</t>
        </is>
      </c>
      <c r="I1729" t="inlineStr">
        <is>
          <t>Ambulatory</t>
        </is>
      </c>
      <c r="J1729" t="inlineStr">
        <is>
          <t>Chen, Mei</t>
        </is>
      </c>
      <c r="K1729" t="inlineStr">
        <is>
          <t>N39.0</t>
        </is>
      </c>
      <c r="L1729" t="inlineStr">
        <is>
          <t>Genitourinary</t>
        </is>
      </c>
      <c r="M1729" t="inlineStr">
        <is>
          <t>Silverline Medicare Advantage</t>
        </is>
      </c>
      <c r="N1729" t="inlineStr">
        <is>
          <t>Medicare Advantage</t>
        </is>
      </c>
      <c r="O1729" s="39" t="n">
        <v>252.78</v>
      </c>
    </row>
    <row r="1730">
      <c r="A1730" t="inlineStr">
        <is>
          <t>ENC120448</t>
        </is>
      </c>
      <c r="B1730" t="inlineStr">
        <is>
          <t>PT13439</t>
        </is>
      </c>
      <c r="C1730" s="42" t="n">
        <v>45982</v>
      </c>
      <c r="D1730" s="42" t="n">
        <v>45982</v>
      </c>
      <c r="E1730" s="38" t="n">
        <v>0</v>
      </c>
      <c r="F1730" t="inlineStr">
        <is>
          <t>Outpatient</t>
        </is>
      </c>
      <c r="G1730" t="inlineStr">
        <is>
          <t>Bluestone Outpatient Pavilion</t>
        </is>
      </c>
      <c r="H1730" t="inlineStr">
        <is>
          <t>Primary Care Clinic</t>
        </is>
      </c>
      <c r="I1730" t="inlineStr">
        <is>
          <t>Ambulatory</t>
        </is>
      </c>
      <c r="J1730" t="inlineStr">
        <is>
          <t>Black, Kelly</t>
        </is>
      </c>
      <c r="K1730" t="inlineStr">
        <is>
          <t>E78.5</t>
        </is>
      </c>
      <c r="L1730" t="inlineStr">
        <is>
          <t>Endocrine</t>
        </is>
      </c>
      <c r="M1730" t="inlineStr">
        <is>
          <t>Silverline Medicare Advantage</t>
        </is>
      </c>
      <c r="N1730" t="inlineStr">
        <is>
          <t>Medicare Advantage</t>
        </is>
      </c>
      <c r="O1730" s="39" t="n">
        <v>311.75</v>
      </c>
    </row>
    <row r="1731">
      <c r="A1731" t="inlineStr">
        <is>
          <t>ENC120453</t>
        </is>
      </c>
      <c r="B1731" t="inlineStr">
        <is>
          <t>PT12859</t>
        </is>
      </c>
      <c r="C1731" s="42" t="n">
        <v>45982</v>
      </c>
      <c r="D1731" s="42" t="n">
        <v>45986</v>
      </c>
      <c r="E1731" s="38" t="n">
        <v>4</v>
      </c>
      <c r="F1731" t="inlineStr">
        <is>
          <t>Inpatient</t>
        </is>
      </c>
      <c r="G1731" t="inlineStr">
        <is>
          <t>Bluestone Memorial Hospital</t>
        </is>
      </c>
      <c r="H1731" t="inlineStr">
        <is>
          <t>Pediatrics</t>
        </is>
      </c>
      <c r="I1731" t="inlineStr">
        <is>
          <t>Women &amp; Children</t>
        </is>
      </c>
      <c r="J1731" t="inlineStr">
        <is>
          <t>Wagner, Sara</t>
        </is>
      </c>
      <c r="K1731" t="inlineStr">
        <is>
          <t>J21.9</t>
        </is>
      </c>
      <c r="L1731" t="inlineStr">
        <is>
          <t>Respiratory</t>
        </is>
      </c>
      <c r="M1731" t="inlineStr">
        <is>
          <t>Evergreen Mutual Insurance</t>
        </is>
      </c>
      <c r="N1731" t="inlineStr">
        <is>
          <t>Commercial</t>
        </is>
      </c>
      <c r="O1731" s="39" t="n">
        <v>20272.96</v>
      </c>
      <c r="P1731" t="inlineStr">
        <is>
          <t>N</t>
        </is>
      </c>
    </row>
    <row r="1732">
      <c r="A1732" t="inlineStr">
        <is>
          <t>ENC120454</t>
        </is>
      </c>
      <c r="B1732" t="inlineStr">
        <is>
          <t>PT11723</t>
        </is>
      </c>
      <c r="C1732" s="42" t="n">
        <v>45982</v>
      </c>
      <c r="D1732" s="42" t="n">
        <v>45982</v>
      </c>
      <c r="E1732" s="38" t="n">
        <v>0</v>
      </c>
      <c r="F1732" t="inlineStr">
        <is>
          <t>Outpatient</t>
        </is>
      </c>
      <c r="G1732" t="inlineStr">
        <is>
          <t>Bluestone Outpatient Pavilion</t>
        </is>
      </c>
      <c r="H1732" t="inlineStr">
        <is>
          <t>Infusion &amp; Oncology Clinic</t>
        </is>
      </c>
      <c r="I1732" t="inlineStr">
        <is>
          <t>Oncology</t>
        </is>
      </c>
      <c r="J1732" t="inlineStr">
        <is>
          <t>Robinson, Bradley</t>
        </is>
      </c>
      <c r="K1732" t="inlineStr">
        <is>
          <t>Z51.11</t>
        </is>
      </c>
      <c r="L1732" t="inlineStr">
        <is>
          <t>Factors Influencing Health</t>
        </is>
      </c>
      <c r="M1732" t="inlineStr">
        <is>
          <t>State Medicaid</t>
        </is>
      </c>
      <c r="N1732" t="inlineStr">
        <is>
          <t>Government</t>
        </is>
      </c>
      <c r="O1732" s="39" t="n">
        <v>12825.87</v>
      </c>
    </row>
    <row r="1733">
      <c r="A1733" t="inlineStr">
        <is>
          <t>ENC120460</t>
        </is>
      </c>
      <c r="B1733" t="inlineStr">
        <is>
          <t>PT13026</t>
        </is>
      </c>
      <c r="C1733" s="42" t="n">
        <v>45982</v>
      </c>
      <c r="D1733" s="42" t="n">
        <v>45982</v>
      </c>
      <c r="E1733" s="38" t="n">
        <v>0</v>
      </c>
      <c r="F1733" t="inlineStr">
        <is>
          <t>Outpatient</t>
        </is>
      </c>
      <c r="G1733" t="inlineStr">
        <is>
          <t>Bluestone Outpatient Pavilion</t>
        </is>
      </c>
      <c r="H1733" t="inlineStr">
        <is>
          <t>Primary Care Clinic</t>
        </is>
      </c>
      <c r="I1733" t="inlineStr">
        <is>
          <t>Ambulatory</t>
        </is>
      </c>
      <c r="J1733" t="inlineStr">
        <is>
          <t>Fisher, Brandon</t>
        </is>
      </c>
      <c r="K1733" t="inlineStr">
        <is>
          <t>Z23</t>
        </is>
      </c>
      <c r="L1733" t="inlineStr">
        <is>
          <t>Factors Influencing Health</t>
        </is>
      </c>
      <c r="M1733" t="inlineStr">
        <is>
          <t>State Medicaid</t>
        </is>
      </c>
      <c r="N1733" t="inlineStr">
        <is>
          <t>Government</t>
        </is>
      </c>
      <c r="O1733" s="39" t="n">
        <v>125.71</v>
      </c>
    </row>
    <row r="1734">
      <c r="A1734" t="inlineStr">
        <is>
          <t>ENC120465</t>
        </is>
      </c>
      <c r="B1734" t="inlineStr">
        <is>
          <t>PT11183</t>
        </is>
      </c>
      <c r="C1734" s="42" t="n">
        <v>45982</v>
      </c>
      <c r="D1734" s="42" t="n">
        <v>45982</v>
      </c>
      <c r="E1734" s="38" t="n">
        <v>0</v>
      </c>
      <c r="F1734" t="inlineStr">
        <is>
          <t>Outpatient</t>
        </is>
      </c>
      <c r="G1734" t="inlineStr">
        <is>
          <t>Bluestone Outpatient Pavilion</t>
        </is>
      </c>
      <c r="H1734" t="inlineStr">
        <is>
          <t>Primary Care Clinic</t>
        </is>
      </c>
      <c r="I1734" t="inlineStr">
        <is>
          <t>Ambulatory</t>
        </is>
      </c>
      <c r="J1734" t="inlineStr">
        <is>
          <t>Chen, Mei</t>
        </is>
      </c>
      <c r="K1734" t="inlineStr">
        <is>
          <t>J44.1</t>
        </is>
      </c>
      <c r="L1734" t="inlineStr">
        <is>
          <t>Respiratory</t>
        </is>
      </c>
      <c r="M1734" t="inlineStr">
        <is>
          <t>State Medicaid</t>
        </is>
      </c>
      <c r="N1734" t="inlineStr">
        <is>
          <t>Government</t>
        </is>
      </c>
      <c r="O1734" s="39" t="n">
        <v>242.64</v>
      </c>
    </row>
    <row r="1735">
      <c r="A1735" t="inlineStr">
        <is>
          <t>ENC120467</t>
        </is>
      </c>
      <c r="B1735" t="inlineStr">
        <is>
          <t>PT11697</t>
        </is>
      </c>
      <c r="C1735" s="42" t="n">
        <v>45982</v>
      </c>
      <c r="D1735" s="42" t="n">
        <v>45982</v>
      </c>
      <c r="E1735" s="38" t="n">
        <v>0</v>
      </c>
      <c r="F1735" t="inlineStr">
        <is>
          <t>Outpatient</t>
        </is>
      </c>
      <c r="G1735" t="inlineStr">
        <is>
          <t>Bluestone Outpatient Pavilion</t>
        </is>
      </c>
      <c r="H1735" t="inlineStr">
        <is>
          <t>Infusion &amp; Oncology Clinic</t>
        </is>
      </c>
      <c r="I1735" t="inlineStr">
        <is>
          <t>Oncology</t>
        </is>
      </c>
      <c r="J1735" t="inlineStr">
        <is>
          <t>Cooper, Logan</t>
        </is>
      </c>
      <c r="K1735" t="inlineStr">
        <is>
          <t>Z51.11</t>
        </is>
      </c>
      <c r="L1735" t="inlineStr">
        <is>
          <t>Factors Influencing Health</t>
        </is>
      </c>
      <c r="M1735" t="inlineStr">
        <is>
          <t>Silverline Medicare Advantage</t>
        </is>
      </c>
      <c r="N1735" t="inlineStr">
        <is>
          <t>Medicare Advantage</t>
        </is>
      </c>
      <c r="O1735" s="39" t="n">
        <v>6970.65</v>
      </c>
    </row>
    <row r="1736">
      <c r="A1736" t="inlineStr">
        <is>
          <t>ENC120479</t>
        </is>
      </c>
      <c r="B1736" t="inlineStr">
        <is>
          <t>PT12946</t>
        </is>
      </c>
      <c r="C1736" s="42" t="n">
        <v>45983</v>
      </c>
      <c r="D1736" s="42" t="n">
        <v>45983</v>
      </c>
      <c r="E1736" s="38" t="n">
        <v>0</v>
      </c>
      <c r="F1736" t="inlineStr">
        <is>
          <t>Emergency</t>
        </is>
      </c>
      <c r="G1736" t="inlineStr">
        <is>
          <t>Bluestone Memorial Hospital</t>
        </is>
      </c>
      <c r="H1736" t="inlineStr">
        <is>
          <t>Emergency Department</t>
        </is>
      </c>
      <c r="I1736" t="inlineStr">
        <is>
          <t>Emergency</t>
        </is>
      </c>
      <c r="J1736" t="inlineStr">
        <is>
          <t>Ferguson, Roy</t>
        </is>
      </c>
      <c r="K1736" t="inlineStr">
        <is>
          <t>U07.1</t>
        </is>
      </c>
      <c r="L1736" t="inlineStr">
        <is>
          <t>Respiratory</t>
        </is>
      </c>
      <c r="M1736" t="inlineStr">
        <is>
          <t>Keystone Health Partners</t>
        </is>
      </c>
      <c r="N1736" t="inlineStr">
        <is>
          <t>Commercial</t>
        </is>
      </c>
      <c r="O1736" s="39" t="n">
        <v>6362.79</v>
      </c>
    </row>
    <row r="1737">
      <c r="A1737" t="inlineStr">
        <is>
          <t>ENC120480</t>
        </is>
      </c>
      <c r="B1737" t="inlineStr">
        <is>
          <t>PT10555</t>
        </is>
      </c>
      <c r="C1737" s="42" t="n">
        <v>45983</v>
      </c>
      <c r="D1737" s="42" t="n">
        <v>45985</v>
      </c>
      <c r="E1737" s="38" t="n">
        <v>2</v>
      </c>
      <c r="F1737" t="inlineStr">
        <is>
          <t>Inpatient</t>
        </is>
      </c>
      <c r="G1737" t="inlineStr">
        <is>
          <t>Bluestone Memorial Hospital</t>
        </is>
      </c>
      <c r="H1737" t="inlineStr">
        <is>
          <t>Cardiac Step-Down</t>
        </is>
      </c>
      <c r="I1737" t="inlineStr">
        <is>
          <t>Cardiovascular</t>
        </is>
      </c>
      <c r="J1737" t="inlineStr">
        <is>
          <t>Vasquez, Jose</t>
        </is>
      </c>
      <c r="K1737" t="inlineStr">
        <is>
          <t>I50.9</t>
        </is>
      </c>
      <c r="L1737" t="inlineStr">
        <is>
          <t>Circulatory</t>
        </is>
      </c>
      <c r="M1737" t="inlineStr">
        <is>
          <t>Silverline Medicare Advantage</t>
        </is>
      </c>
      <c r="N1737" t="inlineStr">
        <is>
          <t>Medicare Advantage</t>
        </is>
      </c>
      <c r="O1737" s="39" t="n">
        <v>16723.35</v>
      </c>
      <c r="P1737" t="inlineStr">
        <is>
          <t>N</t>
        </is>
      </c>
    </row>
    <row r="1738">
      <c r="A1738" t="inlineStr">
        <is>
          <t>ENC120494</t>
        </is>
      </c>
      <c r="B1738" t="inlineStr">
        <is>
          <t>PT11325</t>
        </is>
      </c>
      <c r="C1738" s="42" t="n">
        <v>45984</v>
      </c>
      <c r="D1738" s="42" t="n">
        <v>45984</v>
      </c>
      <c r="E1738" s="38" t="n">
        <v>0</v>
      </c>
      <c r="F1738" t="inlineStr">
        <is>
          <t>Emergency</t>
        </is>
      </c>
      <c r="G1738" t="inlineStr">
        <is>
          <t>Bluestone Memorial Hospital</t>
        </is>
      </c>
      <c r="H1738" t="inlineStr">
        <is>
          <t>Emergency Department</t>
        </is>
      </c>
      <c r="I1738" t="inlineStr">
        <is>
          <t>Emergency</t>
        </is>
      </c>
      <c r="J1738" t="inlineStr">
        <is>
          <t>Payne, Nancy</t>
        </is>
      </c>
      <c r="K1738" t="inlineStr">
        <is>
          <t>F41.9</t>
        </is>
      </c>
      <c r="L1738" t="inlineStr">
        <is>
          <t>Mental &amp; Behavioral</t>
        </is>
      </c>
      <c r="M1738" t="inlineStr">
        <is>
          <t>Evergreen Mutual Insurance</t>
        </is>
      </c>
      <c r="N1738" t="inlineStr">
        <is>
          <t>Commercial</t>
        </is>
      </c>
      <c r="O1738" s="39" t="n">
        <v>790.52</v>
      </c>
    </row>
    <row r="1739">
      <c r="A1739" t="inlineStr">
        <is>
          <t>ENC120504</t>
        </is>
      </c>
      <c r="B1739" t="inlineStr">
        <is>
          <t>PT12764</t>
        </is>
      </c>
      <c r="C1739" s="42" t="n">
        <v>45984</v>
      </c>
      <c r="D1739" s="42" t="n">
        <v>45987</v>
      </c>
      <c r="E1739" s="38" t="n">
        <v>3</v>
      </c>
      <c r="F1739" t="inlineStr">
        <is>
          <t>Inpatient</t>
        </is>
      </c>
      <c r="G1739" t="inlineStr">
        <is>
          <t>Bluestone Memorial Hospital</t>
        </is>
      </c>
      <c r="H1739" t="inlineStr">
        <is>
          <t>Medical-Surgical 5 East</t>
        </is>
      </c>
      <c r="I1739" t="inlineStr">
        <is>
          <t>Medicine</t>
        </is>
      </c>
      <c r="J1739" t="inlineStr">
        <is>
          <t>Yilmaz, Joe</t>
        </is>
      </c>
      <c r="K1739" t="inlineStr">
        <is>
          <t>J18.9</t>
        </is>
      </c>
      <c r="L1739" t="inlineStr">
        <is>
          <t>Respiratory</t>
        </is>
      </c>
      <c r="M1739" t="inlineStr">
        <is>
          <t>Keystone Health Partners</t>
        </is>
      </c>
      <c r="N1739" t="inlineStr">
        <is>
          <t>Commercial</t>
        </is>
      </c>
      <c r="O1739" s="39" t="n">
        <v>11951.44</v>
      </c>
      <c r="P1739" t="inlineStr">
        <is>
          <t>N</t>
        </is>
      </c>
    </row>
    <row r="1740">
      <c r="A1740" t="inlineStr">
        <is>
          <t>ENC120508</t>
        </is>
      </c>
      <c r="B1740" t="inlineStr">
        <is>
          <t>PT13217</t>
        </is>
      </c>
      <c r="C1740" s="42" t="n">
        <v>45984</v>
      </c>
      <c r="D1740" s="42" t="n">
        <v>45986</v>
      </c>
      <c r="E1740" s="38" t="n">
        <v>2</v>
      </c>
      <c r="F1740" t="inlineStr">
        <is>
          <t>Observation</t>
        </is>
      </c>
      <c r="G1740" t="inlineStr">
        <is>
          <t>Cedar Ridge Medical Center</t>
        </is>
      </c>
      <c r="H1740" t="inlineStr">
        <is>
          <t>Medical-Surgical</t>
        </is>
      </c>
      <c r="I1740" t="inlineStr">
        <is>
          <t>Medicine</t>
        </is>
      </c>
      <c r="J1740" t="inlineStr">
        <is>
          <t>Hansen, Wei</t>
        </is>
      </c>
      <c r="K1740" t="inlineStr">
        <is>
          <t>N39.0</t>
        </is>
      </c>
      <c r="L1740" t="inlineStr">
        <is>
          <t>Genitourinary</t>
        </is>
      </c>
      <c r="M1740" t="inlineStr">
        <is>
          <t>State Medicaid</t>
        </is>
      </c>
      <c r="N1740" t="inlineStr">
        <is>
          <t>Government</t>
        </is>
      </c>
      <c r="O1740" s="39" t="n">
        <v>4946.09</v>
      </c>
    </row>
    <row r="1741">
      <c r="A1741" t="inlineStr">
        <is>
          <t>ENC120513</t>
        </is>
      </c>
      <c r="B1741" t="inlineStr">
        <is>
          <t>PT13575</t>
        </is>
      </c>
      <c r="C1741" s="42" t="n">
        <v>45984</v>
      </c>
      <c r="D1741" s="42" t="n">
        <v>45985</v>
      </c>
      <c r="E1741" s="38" t="n">
        <v>1</v>
      </c>
      <c r="F1741" t="inlineStr">
        <is>
          <t>Emergency</t>
        </is>
      </c>
      <c r="G1741" t="inlineStr">
        <is>
          <t>Cedar Ridge Medical Center</t>
        </is>
      </c>
      <c r="H1741" t="inlineStr">
        <is>
          <t>Emergency Department</t>
        </is>
      </c>
      <c r="I1741" t="inlineStr">
        <is>
          <t>Emergency</t>
        </is>
      </c>
      <c r="J1741" t="inlineStr">
        <is>
          <t>Schmidt, Anna</t>
        </is>
      </c>
      <c r="K1741" t="inlineStr">
        <is>
          <t>J06.9</t>
        </is>
      </c>
      <c r="L1741" t="inlineStr">
        <is>
          <t>Respiratory</t>
        </is>
      </c>
      <c r="M1741" t="inlineStr">
        <is>
          <t>State Medicaid</t>
        </is>
      </c>
      <c r="N1741" t="inlineStr">
        <is>
          <t>Government</t>
        </is>
      </c>
      <c r="O1741" s="39" t="n">
        <v>880.88</v>
      </c>
    </row>
    <row r="1742">
      <c r="A1742" t="inlineStr">
        <is>
          <t>ENC120514</t>
        </is>
      </c>
      <c r="B1742" t="inlineStr">
        <is>
          <t>PT10037</t>
        </is>
      </c>
      <c r="C1742" s="42" t="n">
        <v>45985</v>
      </c>
      <c r="D1742" s="42" t="n">
        <v>45985</v>
      </c>
      <c r="E1742" s="38" t="n">
        <v>0</v>
      </c>
      <c r="F1742" t="inlineStr">
        <is>
          <t>Emergency</t>
        </is>
      </c>
      <c r="G1742" t="inlineStr">
        <is>
          <t>Bluestone Memorial Hospital</t>
        </is>
      </c>
      <c r="H1742" t="inlineStr">
        <is>
          <t>Emergency Department</t>
        </is>
      </c>
      <c r="I1742" t="inlineStr">
        <is>
          <t>Emergency</t>
        </is>
      </c>
      <c r="J1742" t="inlineStr">
        <is>
          <t>Cruz, Mia</t>
        </is>
      </c>
      <c r="K1742" t="inlineStr">
        <is>
          <t>J44.1</t>
        </is>
      </c>
      <c r="L1742" t="inlineStr">
        <is>
          <t>Respiratory</t>
        </is>
      </c>
      <c r="M1742" t="inlineStr">
        <is>
          <t>Silverline Medicare Advantage</t>
        </is>
      </c>
      <c r="N1742" t="inlineStr">
        <is>
          <t>Medicare Advantage</t>
        </is>
      </c>
      <c r="O1742" s="39" t="n">
        <v>1389.1</v>
      </c>
    </row>
    <row r="1743">
      <c r="A1743" t="inlineStr">
        <is>
          <t>ENC120522</t>
        </is>
      </c>
      <c r="B1743" t="inlineStr">
        <is>
          <t>PT12021</t>
        </is>
      </c>
      <c r="C1743" s="42" t="n">
        <v>45985</v>
      </c>
      <c r="D1743" s="42" t="n">
        <v>45985</v>
      </c>
      <c r="E1743" s="38" t="n">
        <v>0</v>
      </c>
      <c r="F1743" t="inlineStr">
        <is>
          <t>Outpatient</t>
        </is>
      </c>
      <c r="G1743" t="inlineStr">
        <is>
          <t>Bluestone Outpatient Pavilion</t>
        </is>
      </c>
      <c r="H1743" t="inlineStr">
        <is>
          <t>Pediatric Clinic</t>
        </is>
      </c>
      <c r="I1743" t="inlineStr">
        <is>
          <t>Women &amp; Children</t>
        </is>
      </c>
      <c r="J1743" t="inlineStr">
        <is>
          <t>Herrera, Christian</t>
        </is>
      </c>
      <c r="K1743" t="inlineStr">
        <is>
          <t>H66.90</t>
        </is>
      </c>
      <c r="L1743" t="inlineStr">
        <is>
          <t>Ear</t>
        </is>
      </c>
      <c r="M1743" t="inlineStr">
        <is>
          <t>State Medicaid</t>
        </is>
      </c>
      <c r="N1743" t="inlineStr">
        <is>
          <t>Government</t>
        </is>
      </c>
      <c r="O1743" s="39" t="n">
        <v>337.44</v>
      </c>
    </row>
    <row r="1744">
      <c r="A1744" t="inlineStr">
        <is>
          <t>ENC120520</t>
        </is>
      </c>
      <c r="B1744" t="inlineStr">
        <is>
          <t>PT10434</t>
        </is>
      </c>
      <c r="C1744" s="42" t="n">
        <v>45985</v>
      </c>
      <c r="D1744" s="42" t="n">
        <v>45989</v>
      </c>
      <c r="E1744" s="38" t="n">
        <v>4</v>
      </c>
      <c r="F1744" t="inlineStr">
        <is>
          <t>Inpatient</t>
        </is>
      </c>
      <c r="G1744" t="inlineStr">
        <is>
          <t>Ashby Falls Community Hospital</t>
        </is>
      </c>
      <c r="H1744" t="inlineStr">
        <is>
          <t>Medical-Surgical</t>
        </is>
      </c>
      <c r="I1744" t="inlineStr">
        <is>
          <t>Medicine</t>
        </is>
      </c>
      <c r="J1744" t="inlineStr">
        <is>
          <t>Carter, Karen</t>
        </is>
      </c>
      <c r="K1744" t="inlineStr">
        <is>
          <t>J96.01</t>
        </is>
      </c>
      <c r="L1744" t="inlineStr">
        <is>
          <t>Respiratory</t>
        </is>
      </c>
      <c r="M1744" t="inlineStr">
        <is>
          <t>State Medicaid</t>
        </is>
      </c>
      <c r="N1744" t="inlineStr">
        <is>
          <t>Government</t>
        </is>
      </c>
      <c r="O1744" s="39" t="n">
        <v>39365.74</v>
      </c>
      <c r="P1744" t="inlineStr">
        <is>
          <t>N</t>
        </is>
      </c>
    </row>
    <row r="1745">
      <c r="A1745" t="inlineStr">
        <is>
          <t>ENC120523</t>
        </is>
      </c>
      <c r="B1745" t="inlineStr">
        <is>
          <t>PT10499</t>
        </is>
      </c>
      <c r="C1745" s="42" t="n">
        <v>45985</v>
      </c>
      <c r="D1745" s="42" t="n">
        <v>45985</v>
      </c>
      <c r="E1745" s="38" t="n">
        <v>0</v>
      </c>
      <c r="F1745" t="inlineStr">
        <is>
          <t>Emergency</t>
        </is>
      </c>
      <c r="G1745" t="inlineStr">
        <is>
          <t>Bluestone Memorial Hospital</t>
        </is>
      </c>
      <c r="H1745" t="inlineStr">
        <is>
          <t>Emergency Department</t>
        </is>
      </c>
      <c r="I1745" t="inlineStr">
        <is>
          <t>Emergency</t>
        </is>
      </c>
      <c r="J1745" t="inlineStr">
        <is>
          <t>Kowalski, James</t>
        </is>
      </c>
      <c r="K1745" t="inlineStr">
        <is>
          <t>S93.401A</t>
        </is>
      </c>
      <c r="L1745" t="inlineStr">
        <is>
          <t>Injury</t>
        </is>
      </c>
      <c r="M1745" t="inlineStr">
        <is>
          <t>Medicare</t>
        </is>
      </c>
      <c r="N1745" t="inlineStr">
        <is>
          <t>Government</t>
        </is>
      </c>
      <c r="O1745" s="39" t="n">
        <v>584.5</v>
      </c>
    </row>
    <row r="1746">
      <c r="A1746" t="inlineStr">
        <is>
          <t>ENC120526</t>
        </is>
      </c>
      <c r="B1746" t="inlineStr">
        <is>
          <t>PT12997</t>
        </is>
      </c>
      <c r="C1746" s="42" t="n">
        <v>45985</v>
      </c>
      <c r="D1746" s="42" t="n">
        <v>45985</v>
      </c>
      <c r="E1746" s="38" t="n">
        <v>0</v>
      </c>
      <c r="F1746" t="inlineStr">
        <is>
          <t>Outpatient</t>
        </is>
      </c>
      <c r="G1746" t="inlineStr">
        <is>
          <t>Bluestone Outpatient Pavilion</t>
        </is>
      </c>
      <c r="H1746" t="inlineStr">
        <is>
          <t>Endocrinology &amp; Diabetes Clinic</t>
        </is>
      </c>
      <c r="I1746" t="inlineStr">
        <is>
          <t>Ambulatory</t>
        </is>
      </c>
      <c r="J1746" t="inlineStr">
        <is>
          <t>Woods, Larry</t>
        </is>
      </c>
      <c r="K1746" t="inlineStr">
        <is>
          <t>E11.9</t>
        </is>
      </c>
      <c r="L1746" t="inlineStr">
        <is>
          <t>Endocrine</t>
        </is>
      </c>
      <c r="M1746" t="inlineStr">
        <is>
          <t>Self-Pay</t>
        </is>
      </c>
      <c r="N1746" t="inlineStr">
        <is>
          <t>Self-Pay</t>
        </is>
      </c>
      <c r="O1746" s="39" t="n">
        <v>222.54</v>
      </c>
    </row>
    <row r="1747">
      <c r="A1747" t="inlineStr">
        <is>
          <t>ENC120542</t>
        </is>
      </c>
      <c r="B1747" t="inlineStr">
        <is>
          <t>PT10104</t>
        </is>
      </c>
      <c r="C1747" s="42" t="n">
        <v>45985</v>
      </c>
      <c r="D1747" s="42" t="n">
        <v>45985</v>
      </c>
      <c r="E1747" s="38" t="n">
        <v>0</v>
      </c>
      <c r="F1747" t="inlineStr">
        <is>
          <t>Outpatient</t>
        </is>
      </c>
      <c r="G1747" t="inlineStr">
        <is>
          <t>Bluestone Outpatient Pavilion</t>
        </is>
      </c>
      <c r="H1747" t="inlineStr">
        <is>
          <t>Infusion &amp; Oncology Clinic</t>
        </is>
      </c>
      <c r="I1747" t="inlineStr">
        <is>
          <t>Oncology</t>
        </is>
      </c>
      <c r="J1747" t="inlineStr">
        <is>
          <t>Hicks, Zachary</t>
        </is>
      </c>
      <c r="K1747" t="inlineStr">
        <is>
          <t>Z51.11</t>
        </is>
      </c>
      <c r="L1747" t="inlineStr">
        <is>
          <t>Factors Influencing Health</t>
        </is>
      </c>
      <c r="M1747" t="inlineStr">
        <is>
          <t>State Medicaid</t>
        </is>
      </c>
      <c r="N1747" t="inlineStr">
        <is>
          <t>Government</t>
        </is>
      </c>
      <c r="O1747" s="39" t="n">
        <v>6805.34</v>
      </c>
    </row>
    <row r="1748">
      <c r="A1748" t="inlineStr">
        <is>
          <t>ENC120534</t>
        </is>
      </c>
      <c r="B1748" t="inlineStr">
        <is>
          <t>PT10387</t>
        </is>
      </c>
      <c r="C1748" s="42" t="n">
        <v>45985</v>
      </c>
      <c r="D1748" s="42" t="n">
        <v>45989</v>
      </c>
      <c r="E1748" s="38" t="n">
        <v>4</v>
      </c>
      <c r="F1748" t="inlineStr">
        <is>
          <t>Inpatient</t>
        </is>
      </c>
      <c r="G1748" t="inlineStr">
        <is>
          <t>Cedar Ridge Medical Center</t>
        </is>
      </c>
      <c r="H1748" t="inlineStr">
        <is>
          <t>Medical-Surgical</t>
        </is>
      </c>
      <c r="I1748" t="inlineStr">
        <is>
          <t>Medicine</t>
        </is>
      </c>
      <c r="J1748" t="inlineStr">
        <is>
          <t>Peters, Frank</t>
        </is>
      </c>
      <c r="K1748" t="inlineStr">
        <is>
          <t>A41.9</t>
        </is>
      </c>
      <c r="L1748" t="inlineStr">
        <is>
          <t>Infectious</t>
        </is>
      </c>
      <c r="M1748" t="inlineStr">
        <is>
          <t>State Medicaid</t>
        </is>
      </c>
      <c r="N1748" t="inlineStr">
        <is>
          <t>Government</t>
        </is>
      </c>
      <c r="O1748" s="39" t="n">
        <v>54144.63</v>
      </c>
      <c r="P1748" t="inlineStr">
        <is>
          <t>N</t>
        </is>
      </c>
    </row>
    <row r="1749">
      <c r="A1749" t="inlineStr">
        <is>
          <t>ENC120547</t>
        </is>
      </c>
      <c r="B1749" t="inlineStr">
        <is>
          <t>PT13650</t>
        </is>
      </c>
      <c r="C1749" s="42" t="n">
        <v>45985</v>
      </c>
      <c r="D1749" s="42" t="n">
        <v>45985</v>
      </c>
      <c r="E1749" s="38" t="n">
        <v>0</v>
      </c>
      <c r="F1749" t="inlineStr">
        <is>
          <t>Emergency</t>
        </is>
      </c>
      <c r="G1749" t="inlineStr">
        <is>
          <t>Bluestone Memorial Hospital</t>
        </is>
      </c>
      <c r="H1749" t="inlineStr">
        <is>
          <t>Emergency Department</t>
        </is>
      </c>
      <c r="I1749" t="inlineStr">
        <is>
          <t>Emergency</t>
        </is>
      </c>
      <c r="J1749" t="inlineStr">
        <is>
          <t>Payne, Nancy</t>
        </is>
      </c>
      <c r="K1749" t="inlineStr">
        <is>
          <t>H66.90</t>
        </is>
      </c>
      <c r="L1749" t="inlineStr">
        <is>
          <t>Ear</t>
        </is>
      </c>
      <c r="M1749" t="inlineStr">
        <is>
          <t>Keystone Health Partners</t>
        </is>
      </c>
      <c r="N1749" t="inlineStr">
        <is>
          <t>Commercial</t>
        </is>
      </c>
      <c r="O1749" s="39" t="n">
        <v>1603.78</v>
      </c>
    </row>
    <row r="1750">
      <c r="A1750" t="inlineStr">
        <is>
          <t>ENC120549</t>
        </is>
      </c>
      <c r="B1750" t="inlineStr">
        <is>
          <t>PT13517</t>
        </is>
      </c>
      <c r="C1750" s="42" t="n">
        <v>45985</v>
      </c>
      <c r="D1750" s="42" t="n">
        <v>45985</v>
      </c>
      <c r="E1750" s="38" t="n">
        <v>0</v>
      </c>
      <c r="F1750" t="inlineStr">
        <is>
          <t>Emergency</t>
        </is>
      </c>
      <c r="G1750" t="inlineStr">
        <is>
          <t>Ashby Falls Community Hospital</t>
        </is>
      </c>
      <c r="H1750" t="inlineStr">
        <is>
          <t>Emergency Department</t>
        </is>
      </c>
      <c r="I1750" t="inlineStr">
        <is>
          <t>Emergency</t>
        </is>
      </c>
      <c r="J1750" t="inlineStr">
        <is>
          <t>Richardson, Mei</t>
        </is>
      </c>
      <c r="K1750" t="inlineStr">
        <is>
          <t>U07.1</t>
        </is>
      </c>
      <c r="L1750" t="inlineStr">
        <is>
          <t>Respiratory</t>
        </is>
      </c>
      <c r="M1750" t="inlineStr">
        <is>
          <t>State Medicaid</t>
        </is>
      </c>
      <c r="N1750" t="inlineStr">
        <is>
          <t>Government</t>
        </is>
      </c>
      <c r="O1750" s="39" t="n">
        <v>4485.58</v>
      </c>
    </row>
    <row r="1751">
      <c r="A1751" t="inlineStr">
        <is>
          <t>ENC120562</t>
        </is>
      </c>
      <c r="B1751" t="inlineStr">
        <is>
          <t>PT13250</t>
        </is>
      </c>
      <c r="C1751" s="42" t="n">
        <v>45986</v>
      </c>
      <c r="D1751" s="42" t="n">
        <v>45986</v>
      </c>
      <c r="E1751" s="38" t="n">
        <v>0</v>
      </c>
      <c r="F1751" t="inlineStr">
        <is>
          <t>Outpatient</t>
        </is>
      </c>
      <c r="G1751" t="inlineStr">
        <is>
          <t>Bluestone Outpatient Pavilion</t>
        </is>
      </c>
      <c r="H1751" t="inlineStr">
        <is>
          <t>Cardiology Clinic</t>
        </is>
      </c>
      <c r="I1751" t="inlineStr">
        <is>
          <t>Cardiovascular</t>
        </is>
      </c>
      <c r="J1751" t="inlineStr">
        <is>
          <t>Brooks, Edward</t>
        </is>
      </c>
      <c r="K1751" t="inlineStr">
        <is>
          <t>I48.91</t>
        </is>
      </c>
      <c r="L1751" t="inlineStr">
        <is>
          <t>Circulatory</t>
        </is>
      </c>
      <c r="M1751" t="inlineStr">
        <is>
          <t>Medicare</t>
        </is>
      </c>
      <c r="N1751" t="inlineStr">
        <is>
          <t>Government</t>
        </is>
      </c>
      <c r="O1751" s="39" t="n">
        <v>386.93</v>
      </c>
    </row>
    <row r="1752">
      <c r="A1752" t="inlineStr">
        <is>
          <t>ENC120563</t>
        </is>
      </c>
      <c r="B1752" t="inlineStr">
        <is>
          <t>PT13967</t>
        </is>
      </c>
      <c r="C1752" s="42" t="n">
        <v>45986</v>
      </c>
      <c r="D1752" s="42" t="n">
        <v>45986</v>
      </c>
      <c r="E1752" s="38" t="n">
        <v>0</v>
      </c>
      <c r="F1752" t="inlineStr">
        <is>
          <t>Outpatient</t>
        </is>
      </c>
      <c r="G1752" t="inlineStr">
        <is>
          <t>Bluestone Outpatient Pavilion</t>
        </is>
      </c>
      <c r="H1752" t="inlineStr">
        <is>
          <t>Orthopedic Clinic</t>
        </is>
      </c>
      <c r="I1752" t="inlineStr">
        <is>
          <t>Orthopedics</t>
        </is>
      </c>
      <c r="J1752" t="inlineStr">
        <is>
          <t>Cox, Lori</t>
        </is>
      </c>
      <c r="K1752" t="inlineStr">
        <is>
          <t>M16.11</t>
        </is>
      </c>
      <c r="L1752" t="inlineStr">
        <is>
          <t>Musculoskeletal</t>
        </is>
      </c>
      <c r="M1752" t="inlineStr">
        <is>
          <t>Keystone Health Partners</t>
        </is>
      </c>
      <c r="N1752" t="inlineStr">
        <is>
          <t>Commercial</t>
        </is>
      </c>
      <c r="O1752" s="39" t="n">
        <v>340.61</v>
      </c>
    </row>
    <row r="1753">
      <c r="A1753" t="inlineStr">
        <is>
          <t>ENC120570</t>
        </is>
      </c>
      <c r="B1753" t="inlineStr">
        <is>
          <t>PT11197</t>
        </is>
      </c>
      <c r="C1753" s="42" t="n">
        <v>45986</v>
      </c>
      <c r="D1753" s="42" t="n">
        <v>45986</v>
      </c>
      <c r="E1753" s="38" t="n">
        <v>0</v>
      </c>
      <c r="F1753" t="inlineStr">
        <is>
          <t>Outpatient</t>
        </is>
      </c>
      <c r="G1753" t="inlineStr">
        <is>
          <t>Bluestone Outpatient Pavilion</t>
        </is>
      </c>
      <c r="H1753" t="inlineStr">
        <is>
          <t>Primary Care Clinic</t>
        </is>
      </c>
      <c r="I1753" t="inlineStr">
        <is>
          <t>Ambulatory</t>
        </is>
      </c>
      <c r="J1753" t="inlineStr">
        <is>
          <t>Vazquez, Carolyn</t>
        </is>
      </c>
      <c r="K1753" t="inlineStr">
        <is>
          <t>Z00.00</t>
        </is>
      </c>
      <c r="L1753" t="inlineStr">
        <is>
          <t>Factors Influencing Health</t>
        </is>
      </c>
      <c r="M1753" t="inlineStr">
        <is>
          <t>Medicare</t>
        </is>
      </c>
      <c r="N1753" t="inlineStr">
        <is>
          <t>Government</t>
        </is>
      </c>
      <c r="O1753" s="39" t="n">
        <v>354.36</v>
      </c>
    </row>
    <row r="1754">
      <c r="A1754" t="inlineStr">
        <is>
          <t>ENC120579</t>
        </is>
      </c>
      <c r="B1754" t="inlineStr">
        <is>
          <t>PT10331</t>
        </is>
      </c>
      <c r="C1754" s="42" t="n">
        <v>45986</v>
      </c>
      <c r="D1754" s="42" t="n">
        <v>45986</v>
      </c>
      <c r="E1754" s="38" t="n">
        <v>0</v>
      </c>
      <c r="F1754" t="inlineStr">
        <is>
          <t>Outpatient</t>
        </is>
      </c>
      <c r="G1754" t="inlineStr">
        <is>
          <t>Bluestone Outpatient Pavilion</t>
        </is>
      </c>
      <c r="H1754" t="inlineStr">
        <is>
          <t>Primary Care Clinic</t>
        </is>
      </c>
      <c r="I1754" t="inlineStr">
        <is>
          <t>Ambulatory</t>
        </is>
      </c>
      <c r="J1754" t="inlineStr">
        <is>
          <t>Yilmaz, Richard</t>
        </is>
      </c>
      <c r="K1754" t="inlineStr">
        <is>
          <t>F32.9</t>
        </is>
      </c>
      <c r="L1754" t="inlineStr">
        <is>
          <t>Mental &amp; Behavioral</t>
        </is>
      </c>
      <c r="M1754" t="inlineStr">
        <is>
          <t>Medicare</t>
        </is>
      </c>
      <c r="N1754" t="inlineStr">
        <is>
          <t>Government</t>
        </is>
      </c>
      <c r="O1754" s="39" t="n">
        <v>204.75</v>
      </c>
    </row>
    <row r="1755">
      <c r="A1755" t="inlineStr">
        <is>
          <t>ENC120586</t>
        </is>
      </c>
      <c r="B1755" t="inlineStr">
        <is>
          <t>PT13195</t>
        </is>
      </c>
      <c r="C1755" s="42" t="n">
        <v>45986</v>
      </c>
      <c r="D1755" s="42" t="n">
        <v>45986</v>
      </c>
      <c r="E1755" s="38" t="n">
        <v>0</v>
      </c>
      <c r="F1755" t="inlineStr">
        <is>
          <t>Emergency</t>
        </is>
      </c>
      <c r="G1755" t="inlineStr">
        <is>
          <t>Bluestone Memorial Hospital</t>
        </is>
      </c>
      <c r="H1755" t="inlineStr">
        <is>
          <t>Emergency Department</t>
        </is>
      </c>
      <c r="I1755" t="inlineStr">
        <is>
          <t>Emergency</t>
        </is>
      </c>
      <c r="J1755" t="inlineStr">
        <is>
          <t>Kowalski, James</t>
        </is>
      </c>
      <c r="K1755" t="inlineStr">
        <is>
          <t>J21.9</t>
        </is>
      </c>
      <c r="L1755" t="inlineStr">
        <is>
          <t>Respiratory</t>
        </is>
      </c>
      <c r="M1755" t="inlineStr">
        <is>
          <t>Keystone Health Partners</t>
        </is>
      </c>
      <c r="N1755" t="inlineStr">
        <is>
          <t>Commercial</t>
        </is>
      </c>
      <c r="O1755" s="39" t="n">
        <v>1576.7</v>
      </c>
    </row>
    <row r="1756">
      <c r="A1756" t="inlineStr">
        <is>
          <t>ENC120593</t>
        </is>
      </c>
      <c r="B1756" t="inlineStr">
        <is>
          <t>PT12427</t>
        </is>
      </c>
      <c r="C1756" s="42" t="n">
        <v>45987</v>
      </c>
      <c r="D1756" s="42" t="n">
        <v>45987</v>
      </c>
      <c r="E1756" s="38" t="n">
        <v>0</v>
      </c>
      <c r="F1756" t="inlineStr">
        <is>
          <t>Outpatient</t>
        </is>
      </c>
      <c r="G1756" t="inlineStr">
        <is>
          <t>Bluestone Outpatient Pavilion</t>
        </is>
      </c>
      <c r="H1756" t="inlineStr">
        <is>
          <t>Primary Care Clinic</t>
        </is>
      </c>
      <c r="I1756" t="inlineStr">
        <is>
          <t>Ambulatory</t>
        </is>
      </c>
      <c r="J1756" t="inlineStr">
        <is>
          <t>Sullivan, Brenda</t>
        </is>
      </c>
      <c r="K1756" t="inlineStr">
        <is>
          <t>J06.9</t>
        </is>
      </c>
      <c r="L1756" t="inlineStr">
        <is>
          <t>Respiratory</t>
        </is>
      </c>
      <c r="M1756" t="inlineStr">
        <is>
          <t>Medicare</t>
        </is>
      </c>
      <c r="N1756" t="inlineStr">
        <is>
          <t>Government</t>
        </is>
      </c>
      <c r="O1756" s="39" t="n">
        <v>208.17</v>
      </c>
    </row>
    <row r="1757">
      <c r="A1757" t="inlineStr">
        <is>
          <t>ENC120603</t>
        </is>
      </c>
      <c r="B1757" t="inlineStr">
        <is>
          <t>PT10959</t>
        </is>
      </c>
      <c r="C1757" s="42" t="n">
        <v>45987</v>
      </c>
      <c r="D1757" s="42" t="n">
        <v>45987</v>
      </c>
      <c r="E1757" s="38" t="n">
        <v>0</v>
      </c>
      <c r="F1757" t="inlineStr">
        <is>
          <t>Emergency</t>
        </is>
      </c>
      <c r="G1757" t="inlineStr">
        <is>
          <t>Bluestone Memorial Hospital</t>
        </is>
      </c>
      <c r="H1757" t="inlineStr">
        <is>
          <t>Emergency Department</t>
        </is>
      </c>
      <c r="I1757" t="inlineStr">
        <is>
          <t>Emergency</t>
        </is>
      </c>
      <c r="J1757" t="inlineStr">
        <is>
          <t>Kowalski, James</t>
        </is>
      </c>
      <c r="K1757" t="inlineStr">
        <is>
          <t>F10.239</t>
        </is>
      </c>
      <c r="L1757" t="inlineStr">
        <is>
          <t>Mental &amp; Behavioral</t>
        </is>
      </c>
      <c r="M1757" t="inlineStr">
        <is>
          <t>Summit Choice PPO</t>
        </is>
      </c>
      <c r="N1757" t="inlineStr">
        <is>
          <t>Commercial</t>
        </is>
      </c>
      <c r="O1757" s="39" t="n">
        <v>6820.02</v>
      </c>
    </row>
    <row r="1758">
      <c r="A1758" t="inlineStr">
        <is>
          <t>ENC120609</t>
        </is>
      </c>
      <c r="B1758" t="inlineStr">
        <is>
          <t>PT13788</t>
        </is>
      </c>
      <c r="C1758" s="42" t="n">
        <v>45987</v>
      </c>
      <c r="D1758" s="42" t="n">
        <v>45987</v>
      </c>
      <c r="E1758" s="38" t="n">
        <v>0</v>
      </c>
      <c r="F1758" t="inlineStr">
        <is>
          <t>Emergency</t>
        </is>
      </c>
      <c r="G1758" t="inlineStr">
        <is>
          <t>Bluestone Memorial Hospital</t>
        </is>
      </c>
      <c r="H1758" t="inlineStr">
        <is>
          <t>Emergency Department</t>
        </is>
      </c>
      <c r="I1758" t="inlineStr">
        <is>
          <t>Emergency</t>
        </is>
      </c>
      <c r="J1758" t="inlineStr">
        <is>
          <t>Ferguson, Roy</t>
        </is>
      </c>
      <c r="K1758" t="inlineStr">
        <is>
          <t>I48.91</t>
        </is>
      </c>
      <c r="L1758" t="inlineStr">
        <is>
          <t>Circulatory</t>
        </is>
      </c>
      <c r="M1758" t="inlineStr">
        <is>
          <t>Silverline Medicare Advantage</t>
        </is>
      </c>
      <c r="N1758" t="inlineStr">
        <is>
          <t>Medicare Advantage</t>
        </is>
      </c>
      <c r="O1758" s="39" t="n">
        <v>3563.44</v>
      </c>
    </row>
    <row r="1759">
      <c r="A1759" t="inlineStr">
        <is>
          <t>ENC120610</t>
        </is>
      </c>
      <c r="B1759" t="inlineStr">
        <is>
          <t>PT11794</t>
        </is>
      </c>
      <c r="C1759" s="42" t="n">
        <v>45987</v>
      </c>
      <c r="D1759" s="42" t="n">
        <v>45994</v>
      </c>
      <c r="E1759" s="38" t="n">
        <v>7</v>
      </c>
      <c r="F1759" t="inlineStr">
        <is>
          <t>Inpatient</t>
        </is>
      </c>
      <c r="G1759" t="inlineStr">
        <is>
          <t>Bluestone Memorial Hospital</t>
        </is>
      </c>
      <c r="H1759" t="inlineStr">
        <is>
          <t>Medical-Surgical 4 West</t>
        </is>
      </c>
      <c r="I1759" t="inlineStr">
        <is>
          <t>Medicine</t>
        </is>
      </c>
      <c r="J1759" t="inlineStr">
        <is>
          <t>Yilmaz, Joe</t>
        </is>
      </c>
      <c r="K1759" t="inlineStr">
        <is>
          <t>J18.9</t>
        </is>
      </c>
      <c r="L1759" t="inlineStr">
        <is>
          <t>Respiratory</t>
        </is>
      </c>
      <c r="M1759" t="inlineStr">
        <is>
          <t>Silverline Medicare Advantage</t>
        </is>
      </c>
      <c r="N1759" t="inlineStr">
        <is>
          <t>Medicare Advantage</t>
        </is>
      </c>
      <c r="O1759" s="39" t="n">
        <v>22415.61</v>
      </c>
      <c r="P1759" t="inlineStr">
        <is>
          <t>N</t>
        </is>
      </c>
    </row>
    <row r="1760">
      <c r="A1760" t="inlineStr">
        <is>
          <t>ENC120622</t>
        </is>
      </c>
      <c r="B1760" t="inlineStr">
        <is>
          <t>PT13912</t>
        </is>
      </c>
      <c r="C1760" s="42" t="n">
        <v>45988</v>
      </c>
      <c r="D1760" s="42" t="n">
        <v>45988</v>
      </c>
      <c r="E1760" s="38" t="n">
        <v>0</v>
      </c>
      <c r="F1760" t="inlineStr">
        <is>
          <t>Outpatient</t>
        </is>
      </c>
      <c r="G1760" t="inlineStr">
        <is>
          <t>Bluestone Outpatient Pavilion</t>
        </is>
      </c>
      <c r="H1760" t="inlineStr">
        <is>
          <t>Pediatric Clinic</t>
        </is>
      </c>
      <c r="I1760" t="inlineStr">
        <is>
          <t>Women &amp; Children</t>
        </is>
      </c>
      <c r="J1760" t="inlineStr">
        <is>
          <t>Brown, Stephanie</t>
        </is>
      </c>
      <c r="K1760" t="inlineStr">
        <is>
          <t>Z00.129</t>
        </is>
      </c>
      <c r="L1760" t="inlineStr">
        <is>
          <t>Factors Influencing Health</t>
        </is>
      </c>
      <c r="M1760" t="inlineStr">
        <is>
          <t>State Medicaid</t>
        </is>
      </c>
      <c r="N1760" t="inlineStr">
        <is>
          <t>Government</t>
        </is>
      </c>
      <c r="O1760" s="39" t="n">
        <v>209.9</v>
      </c>
    </row>
    <row r="1761">
      <c r="A1761" t="inlineStr">
        <is>
          <t>ENC120615</t>
        </is>
      </c>
      <c r="B1761" t="inlineStr">
        <is>
          <t>PT13278</t>
        </is>
      </c>
      <c r="C1761" s="42" t="n">
        <v>45988</v>
      </c>
      <c r="D1761" s="42" t="n">
        <v>45990</v>
      </c>
      <c r="E1761" s="38" t="n">
        <v>2</v>
      </c>
      <c r="F1761" t="inlineStr">
        <is>
          <t>Observation</t>
        </is>
      </c>
      <c r="G1761" t="inlineStr">
        <is>
          <t>Bluestone Memorial Hospital</t>
        </is>
      </c>
      <c r="H1761" t="inlineStr">
        <is>
          <t>Observation Unit</t>
        </is>
      </c>
      <c r="I1761" t="inlineStr">
        <is>
          <t>Medicine</t>
        </is>
      </c>
      <c r="J1761" t="inlineStr">
        <is>
          <t>Cruz, Roger</t>
        </is>
      </c>
      <c r="K1761" t="inlineStr">
        <is>
          <t>R07.9</t>
        </is>
      </c>
      <c r="L1761" t="inlineStr">
        <is>
          <t>Symptoms &amp; Signs</t>
        </is>
      </c>
      <c r="M1761" t="inlineStr">
        <is>
          <t>Keystone Health Partners</t>
        </is>
      </c>
      <c r="N1761" t="inlineStr">
        <is>
          <t>Commercial</t>
        </is>
      </c>
      <c r="O1761" s="39" t="n">
        <v>8789.139999999999</v>
      </c>
    </row>
    <row r="1762">
      <c r="A1762" t="inlineStr">
        <is>
          <t>ENC120628</t>
        </is>
      </c>
      <c r="B1762" t="inlineStr">
        <is>
          <t>PT11641</t>
        </is>
      </c>
      <c r="C1762" s="42" t="n">
        <v>45988</v>
      </c>
      <c r="D1762" s="42" t="n">
        <v>45988</v>
      </c>
      <c r="E1762" s="38" t="n">
        <v>0</v>
      </c>
      <c r="F1762" t="inlineStr">
        <is>
          <t>Outpatient</t>
        </is>
      </c>
      <c r="G1762" t="inlineStr">
        <is>
          <t>Bluestone Outpatient Pavilion</t>
        </is>
      </c>
      <c r="H1762" t="inlineStr">
        <is>
          <t>Endocrinology &amp; Diabetes Clinic</t>
        </is>
      </c>
      <c r="I1762" t="inlineStr">
        <is>
          <t>Ambulatory</t>
        </is>
      </c>
      <c r="J1762" t="inlineStr">
        <is>
          <t>Rivera, Scott</t>
        </is>
      </c>
      <c r="K1762" t="inlineStr">
        <is>
          <t>E11.9</t>
        </is>
      </c>
      <c r="L1762" t="inlineStr">
        <is>
          <t>Endocrine</t>
        </is>
      </c>
      <c r="M1762" t="inlineStr">
        <is>
          <t>Summit Choice PPO</t>
        </is>
      </c>
      <c r="N1762" t="inlineStr">
        <is>
          <t>Commercial</t>
        </is>
      </c>
      <c r="O1762" s="39" t="n">
        <v>296.53</v>
      </c>
    </row>
    <row r="1763">
      <c r="A1763" t="inlineStr">
        <is>
          <t>ENC120630</t>
        </is>
      </c>
      <c r="B1763" t="inlineStr">
        <is>
          <t>PT12180</t>
        </is>
      </c>
      <c r="C1763" s="42" t="n">
        <v>45988</v>
      </c>
      <c r="D1763" s="42" t="n">
        <v>45988</v>
      </c>
      <c r="E1763" s="38" t="n">
        <v>0</v>
      </c>
      <c r="F1763" t="inlineStr">
        <is>
          <t>Emergency</t>
        </is>
      </c>
      <c r="G1763" t="inlineStr">
        <is>
          <t>Bluestone Memorial Hospital</t>
        </is>
      </c>
      <c r="H1763" t="inlineStr">
        <is>
          <t>Emergency Department</t>
        </is>
      </c>
      <c r="I1763" t="inlineStr">
        <is>
          <t>Emergency</t>
        </is>
      </c>
      <c r="J1763" t="inlineStr">
        <is>
          <t>Myers, Doris</t>
        </is>
      </c>
      <c r="K1763" t="inlineStr">
        <is>
          <t>R10.9</t>
        </is>
      </c>
      <c r="L1763" t="inlineStr">
        <is>
          <t>Symptoms &amp; Signs</t>
        </is>
      </c>
      <c r="M1763" t="inlineStr">
        <is>
          <t>Silverline Medicare Advantage</t>
        </is>
      </c>
      <c r="N1763" t="inlineStr">
        <is>
          <t>Medicare Advantage</t>
        </is>
      </c>
      <c r="O1763" s="39" t="n">
        <v>3796.39</v>
      </c>
    </row>
    <row r="1764">
      <c r="A1764" t="inlineStr">
        <is>
          <t>ENC120635</t>
        </is>
      </c>
      <c r="B1764" t="inlineStr">
        <is>
          <t>PT10010</t>
        </is>
      </c>
      <c r="C1764" s="42" t="n">
        <v>45988</v>
      </c>
      <c r="D1764" s="42" t="n">
        <v>45988</v>
      </c>
      <c r="E1764" s="38" t="n">
        <v>0</v>
      </c>
      <c r="F1764" t="inlineStr">
        <is>
          <t>Emergency</t>
        </is>
      </c>
      <c r="G1764" t="inlineStr">
        <is>
          <t>Cedar Ridge Medical Center</t>
        </is>
      </c>
      <c r="H1764" t="inlineStr">
        <is>
          <t>Emergency Department</t>
        </is>
      </c>
      <c r="I1764" t="inlineStr">
        <is>
          <t>Emergency</t>
        </is>
      </c>
      <c r="J1764" t="inlineStr">
        <is>
          <t>Henry, Brenda</t>
        </is>
      </c>
      <c r="K1764" t="inlineStr">
        <is>
          <t>S93.401A</t>
        </is>
      </c>
      <c r="L1764" t="inlineStr">
        <is>
          <t>Injury</t>
        </is>
      </c>
      <c r="M1764" t="inlineStr">
        <is>
          <t>Workers' Compensation</t>
        </is>
      </c>
      <c r="N1764" t="inlineStr">
        <is>
          <t>Workers' Comp</t>
        </is>
      </c>
      <c r="O1764" s="39" t="n">
        <v>1132.51</v>
      </c>
    </row>
    <row r="1765">
      <c r="A1765" t="inlineStr">
        <is>
          <t>ENC120637</t>
        </is>
      </c>
      <c r="B1765" t="inlineStr">
        <is>
          <t>PT11594</t>
        </is>
      </c>
      <c r="C1765" s="42" t="n">
        <v>45988</v>
      </c>
      <c r="D1765" s="42" t="n">
        <v>45988</v>
      </c>
      <c r="E1765" s="38" t="n">
        <v>0</v>
      </c>
      <c r="F1765" t="inlineStr">
        <is>
          <t>Outpatient</t>
        </is>
      </c>
      <c r="G1765" t="inlineStr">
        <is>
          <t>Bluestone Outpatient Pavilion</t>
        </is>
      </c>
      <c r="H1765" t="inlineStr">
        <is>
          <t>Primary Care Clinic</t>
        </is>
      </c>
      <c r="I1765" t="inlineStr">
        <is>
          <t>Ambulatory</t>
        </is>
      </c>
      <c r="J1765" t="inlineStr">
        <is>
          <t>Myers, Lucia</t>
        </is>
      </c>
      <c r="K1765" t="inlineStr">
        <is>
          <t>I10</t>
        </is>
      </c>
      <c r="L1765" t="inlineStr">
        <is>
          <t>Circulatory</t>
        </is>
      </c>
      <c r="M1765" t="inlineStr">
        <is>
          <t>Medicare</t>
        </is>
      </c>
      <c r="N1765" t="inlineStr">
        <is>
          <t>Government</t>
        </is>
      </c>
      <c r="O1765" s="39" t="n">
        <v>380.48</v>
      </c>
    </row>
    <row r="1766">
      <c r="A1766" t="inlineStr">
        <is>
          <t>ENC120636</t>
        </is>
      </c>
      <c r="B1766" t="inlineStr">
        <is>
          <t>PT10713</t>
        </is>
      </c>
      <c r="C1766" s="42" t="n">
        <v>45988</v>
      </c>
      <c r="D1766" s="42" t="n">
        <v>45999</v>
      </c>
      <c r="E1766" s="38" t="n">
        <v>11</v>
      </c>
      <c r="F1766" t="inlineStr">
        <is>
          <t>Inpatient</t>
        </is>
      </c>
      <c r="G1766" t="inlineStr">
        <is>
          <t>Bluestone Memorial Hospital</t>
        </is>
      </c>
      <c r="H1766" t="inlineStr">
        <is>
          <t>Behavioral Health</t>
        </is>
      </c>
      <c r="I1766" t="inlineStr">
        <is>
          <t>Behavioral Health</t>
        </is>
      </c>
      <c r="J1766" t="inlineStr">
        <is>
          <t>Lindqvist, Joe</t>
        </is>
      </c>
      <c r="K1766" t="inlineStr">
        <is>
          <t>F20.9</t>
        </is>
      </c>
      <c r="L1766" t="inlineStr">
        <is>
          <t>Mental &amp; Behavioral</t>
        </is>
      </c>
      <c r="M1766" t="inlineStr">
        <is>
          <t>State Medicaid</t>
        </is>
      </c>
      <c r="N1766" t="inlineStr">
        <is>
          <t>Government</t>
        </is>
      </c>
      <c r="O1766" s="39" t="n">
        <v>19859.65</v>
      </c>
      <c r="P1766" t="inlineStr">
        <is>
          <t>N</t>
        </is>
      </c>
    </row>
    <row r="1767">
      <c r="A1767" t="inlineStr">
        <is>
          <t>ENC120649</t>
        </is>
      </c>
      <c r="B1767" t="inlineStr">
        <is>
          <t>PT13545</t>
        </is>
      </c>
      <c r="C1767" s="42" t="n">
        <v>45989</v>
      </c>
      <c r="D1767" s="42" t="n">
        <v>45989</v>
      </c>
      <c r="E1767" s="38" t="n">
        <v>0</v>
      </c>
      <c r="F1767" t="inlineStr">
        <is>
          <t>Emergency</t>
        </is>
      </c>
      <c r="G1767" t="inlineStr">
        <is>
          <t>Bluestone Memorial Hospital</t>
        </is>
      </c>
      <c r="H1767" t="inlineStr">
        <is>
          <t>Emergency Department</t>
        </is>
      </c>
      <c r="I1767" t="inlineStr">
        <is>
          <t>Emergency</t>
        </is>
      </c>
      <c r="J1767" t="inlineStr">
        <is>
          <t>Kowalski, James</t>
        </is>
      </c>
      <c r="K1767" t="inlineStr">
        <is>
          <t>J06.9</t>
        </is>
      </c>
      <c r="L1767" t="inlineStr">
        <is>
          <t>Respiratory</t>
        </is>
      </c>
      <c r="M1767" t="inlineStr">
        <is>
          <t>Evergreen Mutual Insurance</t>
        </is>
      </c>
      <c r="N1767" t="inlineStr">
        <is>
          <t>Commercial</t>
        </is>
      </c>
      <c r="O1767" s="39" t="n">
        <v>962.12</v>
      </c>
    </row>
    <row r="1768">
      <c r="A1768" t="inlineStr">
        <is>
          <t>ENC120651</t>
        </is>
      </c>
      <c r="B1768" t="inlineStr">
        <is>
          <t>PT10856</t>
        </is>
      </c>
      <c r="C1768" s="42" t="n">
        <v>45989</v>
      </c>
      <c r="D1768" s="42" t="n">
        <v>45998</v>
      </c>
      <c r="E1768" s="38" t="n">
        <v>9</v>
      </c>
      <c r="F1768" t="inlineStr">
        <is>
          <t>Inpatient</t>
        </is>
      </c>
      <c r="G1768" t="inlineStr">
        <is>
          <t>Bluestone Memorial Hospital</t>
        </is>
      </c>
      <c r="H1768" t="inlineStr">
        <is>
          <t>Intensive Care Unit</t>
        </is>
      </c>
      <c r="I1768" t="inlineStr">
        <is>
          <t>Critical Care</t>
        </is>
      </c>
      <c r="J1768" t="inlineStr">
        <is>
          <t>Hawkins, Bruce</t>
        </is>
      </c>
      <c r="K1768" t="inlineStr">
        <is>
          <t>J96.01</t>
        </is>
      </c>
      <c r="L1768" t="inlineStr">
        <is>
          <t>Respiratory</t>
        </is>
      </c>
      <c r="M1768" t="inlineStr">
        <is>
          <t>Medicare</t>
        </is>
      </c>
      <c r="N1768" t="inlineStr">
        <is>
          <t>Government</t>
        </is>
      </c>
      <c r="O1768" s="39" t="n">
        <v>90551.12</v>
      </c>
      <c r="P1768" t="inlineStr">
        <is>
          <t>N</t>
        </is>
      </c>
    </row>
    <row r="1769">
      <c r="A1769" t="inlineStr">
        <is>
          <t>ENC120666</t>
        </is>
      </c>
      <c r="B1769" t="inlineStr">
        <is>
          <t>PT12323</t>
        </is>
      </c>
      <c r="C1769" s="42" t="n">
        <v>45989</v>
      </c>
      <c r="D1769" s="42" t="n">
        <v>45989</v>
      </c>
      <c r="E1769" s="38" t="n">
        <v>0</v>
      </c>
      <c r="F1769" t="inlineStr">
        <is>
          <t>Outpatient</t>
        </is>
      </c>
      <c r="G1769" t="inlineStr">
        <is>
          <t>Bluestone Outpatient Pavilion</t>
        </is>
      </c>
      <c r="H1769" t="inlineStr">
        <is>
          <t>Infusion &amp; Oncology Clinic</t>
        </is>
      </c>
      <c r="I1769" t="inlineStr">
        <is>
          <t>Oncology</t>
        </is>
      </c>
      <c r="J1769" t="inlineStr">
        <is>
          <t>Robinson, Bradley</t>
        </is>
      </c>
      <c r="K1769" t="inlineStr">
        <is>
          <t>C50.911</t>
        </is>
      </c>
      <c r="L1769" t="inlineStr">
        <is>
          <t>Neoplasms</t>
        </is>
      </c>
      <c r="M1769" t="inlineStr">
        <is>
          <t>Self-Pay</t>
        </is>
      </c>
      <c r="N1769" t="inlineStr">
        <is>
          <t>Self-Pay</t>
        </is>
      </c>
      <c r="O1769" s="39" t="n">
        <v>859.97</v>
      </c>
    </row>
    <row r="1770">
      <c r="A1770" t="inlineStr">
        <is>
          <t>ENC120667</t>
        </is>
      </c>
      <c r="B1770" t="inlineStr">
        <is>
          <t>PT12399</t>
        </is>
      </c>
      <c r="C1770" s="42" t="n">
        <v>45989</v>
      </c>
      <c r="D1770" s="42" t="n">
        <v>45992</v>
      </c>
      <c r="E1770" s="38" t="n">
        <v>3</v>
      </c>
      <c r="F1770" t="inlineStr">
        <is>
          <t>Inpatient</t>
        </is>
      </c>
      <c r="G1770" t="inlineStr">
        <is>
          <t>Ashby Falls Community Hospital</t>
        </is>
      </c>
      <c r="H1770" t="inlineStr">
        <is>
          <t>Medical-Surgical</t>
        </is>
      </c>
      <c r="I1770" t="inlineStr">
        <is>
          <t>Medicine</t>
        </is>
      </c>
      <c r="J1770" t="inlineStr">
        <is>
          <t>Carroll, Philip</t>
        </is>
      </c>
      <c r="K1770" t="inlineStr">
        <is>
          <t>I50.9</t>
        </is>
      </c>
      <c r="L1770" t="inlineStr">
        <is>
          <t>Circulatory</t>
        </is>
      </c>
      <c r="M1770" t="inlineStr">
        <is>
          <t>Silverline Medicare Advantage</t>
        </is>
      </c>
      <c r="N1770" t="inlineStr">
        <is>
          <t>Medicare Advantage</t>
        </is>
      </c>
      <c r="O1770" s="39" t="n">
        <v>23271.15</v>
      </c>
      <c r="P1770" t="inlineStr">
        <is>
          <t>Y</t>
        </is>
      </c>
    </row>
    <row r="1771">
      <c r="A1771" t="inlineStr">
        <is>
          <t>ENC120677</t>
        </is>
      </c>
      <c r="B1771" t="inlineStr">
        <is>
          <t>PT12288</t>
        </is>
      </c>
      <c r="C1771" s="42" t="n">
        <v>45989</v>
      </c>
      <c r="D1771" s="42" t="n">
        <v>45989</v>
      </c>
      <c r="E1771" s="38" t="n">
        <v>0</v>
      </c>
      <c r="F1771" t="inlineStr">
        <is>
          <t>Outpatient</t>
        </is>
      </c>
      <c r="G1771" t="inlineStr">
        <is>
          <t>Bluestone Outpatient Pavilion</t>
        </is>
      </c>
      <c r="H1771" t="inlineStr">
        <is>
          <t>Primary Care Clinic</t>
        </is>
      </c>
      <c r="I1771" t="inlineStr">
        <is>
          <t>Ambulatory</t>
        </is>
      </c>
      <c r="J1771" t="inlineStr">
        <is>
          <t>Myers, Lucia</t>
        </is>
      </c>
      <c r="K1771" t="inlineStr">
        <is>
          <t>I10</t>
        </is>
      </c>
      <c r="L1771" t="inlineStr">
        <is>
          <t>Circulatory</t>
        </is>
      </c>
      <c r="M1771" t="inlineStr">
        <is>
          <t>Summit Choice PPO</t>
        </is>
      </c>
      <c r="N1771" t="inlineStr">
        <is>
          <t>Commercial</t>
        </is>
      </c>
      <c r="O1771" s="39" t="n">
        <v>407.32</v>
      </c>
    </row>
    <row r="1772">
      <c r="A1772" t="inlineStr">
        <is>
          <t>ENC120691</t>
        </is>
      </c>
      <c r="B1772" t="inlineStr">
        <is>
          <t>PT12432</t>
        </is>
      </c>
      <c r="C1772" s="42" t="n">
        <v>45990</v>
      </c>
      <c r="D1772" s="42" t="n">
        <v>45992</v>
      </c>
      <c r="E1772" s="38" t="n">
        <v>2</v>
      </c>
      <c r="F1772" t="inlineStr">
        <is>
          <t>Inpatient</t>
        </is>
      </c>
      <c r="G1772" t="inlineStr">
        <is>
          <t>Bluestone Memorial Hospital</t>
        </is>
      </c>
      <c r="H1772" t="inlineStr">
        <is>
          <t>Labor &amp; Delivery</t>
        </is>
      </c>
      <c r="I1772" t="inlineStr">
        <is>
          <t>Women &amp; Children</t>
        </is>
      </c>
      <c r="J1772" t="inlineStr">
        <is>
          <t>Watson, Frank</t>
        </is>
      </c>
      <c r="K1772" t="inlineStr">
        <is>
          <t>O82</t>
        </is>
      </c>
      <c r="L1772" t="inlineStr">
        <is>
          <t>Pregnancy</t>
        </is>
      </c>
      <c r="M1772" t="inlineStr">
        <is>
          <t>State Medicaid</t>
        </is>
      </c>
      <c r="N1772" t="inlineStr">
        <is>
          <t>Government</t>
        </is>
      </c>
      <c r="O1772" s="39" t="n">
        <v>13574.18</v>
      </c>
      <c r="P1772" t="inlineStr">
        <is>
          <t>N</t>
        </is>
      </c>
    </row>
    <row r="1773">
      <c r="A1773" t="inlineStr">
        <is>
          <t>ENC120697</t>
        </is>
      </c>
      <c r="B1773" t="inlineStr">
        <is>
          <t>PT12237</t>
        </is>
      </c>
      <c r="C1773" s="42" t="n">
        <v>45990</v>
      </c>
      <c r="D1773" s="42" t="n">
        <v>45994</v>
      </c>
      <c r="E1773" s="38" t="n">
        <v>4</v>
      </c>
      <c r="F1773" t="inlineStr">
        <is>
          <t>Inpatient</t>
        </is>
      </c>
      <c r="G1773" t="inlineStr">
        <is>
          <t>Bluestone Memorial Hospital</t>
        </is>
      </c>
      <c r="H1773" t="inlineStr">
        <is>
          <t>Medical-Surgical 4 West</t>
        </is>
      </c>
      <c r="I1773" t="inlineStr">
        <is>
          <t>Medicine</t>
        </is>
      </c>
      <c r="J1773" t="inlineStr">
        <is>
          <t>Allen, Jean</t>
        </is>
      </c>
      <c r="K1773" t="inlineStr">
        <is>
          <t>N17.9</t>
        </is>
      </c>
      <c r="L1773" t="inlineStr">
        <is>
          <t>Genitourinary</t>
        </is>
      </c>
      <c r="M1773" t="inlineStr">
        <is>
          <t>Self-Pay</t>
        </is>
      </c>
      <c r="N1773" t="inlineStr">
        <is>
          <t>Self-Pay</t>
        </is>
      </c>
      <c r="O1773" s="39" t="n">
        <v>13470.65</v>
      </c>
      <c r="P1773" t="inlineStr">
        <is>
          <t>N</t>
        </is>
      </c>
    </row>
    <row r="1774">
      <c r="A1774" t="inlineStr">
        <is>
          <t>ENC120704</t>
        </is>
      </c>
      <c r="B1774" t="inlineStr">
        <is>
          <t>PT12093</t>
        </is>
      </c>
      <c r="C1774" s="42" t="n">
        <v>45990</v>
      </c>
      <c r="D1774" s="42" t="n">
        <v>45990</v>
      </c>
      <c r="E1774" s="38" t="n">
        <v>0</v>
      </c>
      <c r="F1774" t="inlineStr">
        <is>
          <t>Emergency</t>
        </is>
      </c>
      <c r="G1774" t="inlineStr">
        <is>
          <t>Bluestone Memorial Hospital</t>
        </is>
      </c>
      <c r="H1774" t="inlineStr">
        <is>
          <t>Emergency Department</t>
        </is>
      </c>
      <c r="I1774" t="inlineStr">
        <is>
          <t>Emergency</t>
        </is>
      </c>
      <c r="J1774" t="inlineStr">
        <is>
          <t>Elliott, Jesse</t>
        </is>
      </c>
      <c r="K1774" t="inlineStr">
        <is>
          <t>F10.239</t>
        </is>
      </c>
      <c r="L1774" t="inlineStr">
        <is>
          <t>Mental &amp; Behavioral</t>
        </is>
      </c>
      <c r="M1774" t="inlineStr">
        <is>
          <t>Keystone Health Partners</t>
        </is>
      </c>
      <c r="N1774" t="inlineStr">
        <is>
          <t>Commercial</t>
        </is>
      </c>
      <c r="O1774" s="39" t="n">
        <v>4212.83</v>
      </c>
    </row>
    <row r="1775">
      <c r="A1775" t="inlineStr">
        <is>
          <t>ENC120715</t>
        </is>
      </c>
      <c r="B1775" t="inlineStr">
        <is>
          <t>PT13702</t>
        </is>
      </c>
      <c r="C1775" s="42" t="n">
        <v>45991</v>
      </c>
      <c r="D1775" s="42" t="n">
        <v>45991</v>
      </c>
      <c r="E1775" s="38" t="n">
        <v>0</v>
      </c>
      <c r="F1775" t="inlineStr">
        <is>
          <t>Emergency</t>
        </is>
      </c>
      <c r="G1775" t="inlineStr">
        <is>
          <t>Cedar Ridge Medical Center</t>
        </is>
      </c>
      <c r="H1775" t="inlineStr">
        <is>
          <t>Emergency Department</t>
        </is>
      </c>
      <c r="I1775" t="inlineStr">
        <is>
          <t>Emergency</t>
        </is>
      </c>
      <c r="J1775" t="inlineStr">
        <is>
          <t>Pena, Wayne</t>
        </is>
      </c>
      <c r="K1775" t="inlineStr">
        <is>
          <t>R55</t>
        </is>
      </c>
      <c r="L1775" t="inlineStr">
        <is>
          <t>Symptoms &amp; Signs</t>
        </is>
      </c>
      <c r="M1775" t="inlineStr">
        <is>
          <t>Evergreen Mutual Insurance</t>
        </is>
      </c>
      <c r="N1775" t="inlineStr">
        <is>
          <t>Commercial</t>
        </is>
      </c>
      <c r="O1775" s="39" t="n">
        <v>4452.1</v>
      </c>
    </row>
    <row r="1776">
      <c r="A1776" t="inlineStr">
        <is>
          <t>ENC120716</t>
        </is>
      </c>
      <c r="B1776" t="inlineStr">
        <is>
          <t>PT10111</t>
        </is>
      </c>
      <c r="C1776" s="42" t="n">
        <v>45991</v>
      </c>
      <c r="D1776" s="42" t="n">
        <v>45991</v>
      </c>
      <c r="E1776" s="38" t="n">
        <v>0</v>
      </c>
      <c r="F1776" t="inlineStr">
        <is>
          <t>Emergency</t>
        </is>
      </c>
      <c r="G1776" t="inlineStr">
        <is>
          <t>Bluestone Memorial Hospital</t>
        </is>
      </c>
      <c r="H1776" t="inlineStr">
        <is>
          <t>Emergency Department</t>
        </is>
      </c>
      <c r="I1776" t="inlineStr">
        <is>
          <t>Emergency</t>
        </is>
      </c>
      <c r="J1776" t="inlineStr">
        <is>
          <t>Payne, Nancy</t>
        </is>
      </c>
      <c r="K1776" t="inlineStr">
        <is>
          <t>H66.90</t>
        </is>
      </c>
      <c r="L1776" t="inlineStr">
        <is>
          <t>Ear</t>
        </is>
      </c>
      <c r="M1776" t="inlineStr">
        <is>
          <t>Self-Pay</t>
        </is>
      </c>
      <c r="N1776" t="inlineStr">
        <is>
          <t>Self-Pay</t>
        </is>
      </c>
      <c r="O1776" s="39" t="n">
        <v>1657.04</v>
      </c>
    </row>
    <row r="1777">
      <c r="A1777" t="inlineStr">
        <is>
          <t>ENC120721</t>
        </is>
      </c>
      <c r="B1777" t="inlineStr">
        <is>
          <t>PT11361</t>
        </is>
      </c>
      <c r="C1777" s="42" t="n">
        <v>45991</v>
      </c>
      <c r="D1777" s="42" t="n">
        <v>45991</v>
      </c>
      <c r="E1777" s="38" t="n">
        <v>0</v>
      </c>
      <c r="F1777" t="inlineStr">
        <is>
          <t>Emergency</t>
        </is>
      </c>
      <c r="G1777" t="inlineStr">
        <is>
          <t>Ashby Falls Community Hospital</t>
        </is>
      </c>
      <c r="H1777" t="inlineStr">
        <is>
          <t>Emergency Department</t>
        </is>
      </c>
      <c r="I1777" t="inlineStr">
        <is>
          <t>Emergency</t>
        </is>
      </c>
      <c r="J1777" t="inlineStr">
        <is>
          <t>Collins, Frank</t>
        </is>
      </c>
      <c r="K1777" t="inlineStr">
        <is>
          <t>R10.9</t>
        </is>
      </c>
      <c r="L1777" t="inlineStr">
        <is>
          <t>Symptoms &amp; Signs</t>
        </is>
      </c>
      <c r="M1777" t="inlineStr">
        <is>
          <t>Medicare</t>
        </is>
      </c>
      <c r="N1777" t="inlineStr">
        <is>
          <t>Government</t>
        </is>
      </c>
      <c r="O1777" s="39" t="n">
        <v>1886.91</v>
      </c>
    </row>
    <row r="1778">
      <c r="A1778" t="inlineStr">
        <is>
          <t>ENC120722</t>
        </is>
      </c>
      <c r="B1778" t="inlineStr">
        <is>
          <t>PT12031</t>
        </is>
      </c>
      <c r="C1778" s="42" t="n">
        <v>45991</v>
      </c>
      <c r="D1778" s="42" t="n">
        <v>45991</v>
      </c>
      <c r="E1778" s="38" t="n">
        <v>0</v>
      </c>
      <c r="F1778" t="inlineStr">
        <is>
          <t>Emergency</t>
        </is>
      </c>
      <c r="G1778" t="inlineStr">
        <is>
          <t>Bluestone Memorial Hospital</t>
        </is>
      </c>
      <c r="H1778" t="inlineStr">
        <is>
          <t>Emergency Department</t>
        </is>
      </c>
      <c r="I1778" t="inlineStr">
        <is>
          <t>Emergency</t>
        </is>
      </c>
      <c r="J1778" t="inlineStr">
        <is>
          <t>Cruz, Mia</t>
        </is>
      </c>
      <c r="K1778" t="inlineStr">
        <is>
          <t>G43.909</t>
        </is>
      </c>
      <c r="L1778" t="inlineStr">
        <is>
          <t>Nervous System</t>
        </is>
      </c>
      <c r="M1778" t="inlineStr">
        <is>
          <t>State Medicaid</t>
        </is>
      </c>
      <c r="N1778" t="inlineStr">
        <is>
          <t>Government</t>
        </is>
      </c>
      <c r="O1778" s="39" t="n">
        <v>587.6799999999999</v>
      </c>
    </row>
    <row r="1779">
      <c r="A1779" t="inlineStr">
        <is>
          <t>ENC120724</t>
        </is>
      </c>
      <c r="B1779" t="inlineStr">
        <is>
          <t>PT13938</t>
        </is>
      </c>
      <c r="C1779" s="42" t="n">
        <v>45991</v>
      </c>
      <c r="D1779" s="42" t="n">
        <v>45991</v>
      </c>
      <c r="E1779" s="38" t="n">
        <v>0</v>
      </c>
      <c r="F1779" t="inlineStr">
        <is>
          <t>Emergency</t>
        </is>
      </c>
      <c r="G1779" t="inlineStr">
        <is>
          <t>Bluestone Memorial Hospital</t>
        </is>
      </c>
      <c r="H1779" t="inlineStr">
        <is>
          <t>Emergency Department</t>
        </is>
      </c>
      <c r="I1779" t="inlineStr">
        <is>
          <t>Emergency</t>
        </is>
      </c>
      <c r="J1779" t="inlineStr">
        <is>
          <t>Foster, Patrick</t>
        </is>
      </c>
      <c r="K1779" t="inlineStr">
        <is>
          <t>A08.4</t>
        </is>
      </c>
      <c r="L1779" t="inlineStr">
        <is>
          <t>Infectious</t>
        </is>
      </c>
      <c r="M1779" t="inlineStr">
        <is>
          <t>Medicare</t>
        </is>
      </c>
      <c r="N1779" t="inlineStr">
        <is>
          <t>Government</t>
        </is>
      </c>
      <c r="O1779" s="39" t="n">
        <v>3492.79</v>
      </c>
    </row>
    <row r="1780">
      <c r="A1780" t="inlineStr">
        <is>
          <t>ENC120730</t>
        </is>
      </c>
      <c r="B1780" t="inlineStr">
        <is>
          <t>PT13010</t>
        </is>
      </c>
      <c r="C1780" s="42" t="n">
        <v>45991</v>
      </c>
      <c r="D1780" s="42" t="n">
        <v>45992</v>
      </c>
      <c r="E1780" s="38" t="n">
        <v>1</v>
      </c>
      <c r="F1780" t="inlineStr">
        <is>
          <t>Emergency</t>
        </is>
      </c>
      <c r="G1780" t="inlineStr">
        <is>
          <t>Bluestone Memorial Hospital</t>
        </is>
      </c>
      <c r="H1780" t="inlineStr">
        <is>
          <t>Emergency Department</t>
        </is>
      </c>
      <c r="I1780" t="inlineStr">
        <is>
          <t>Emergency</t>
        </is>
      </c>
      <c r="J1780" t="inlineStr">
        <is>
          <t>Foster, Patrick</t>
        </is>
      </c>
      <c r="K1780" t="inlineStr">
        <is>
          <t>J21.9</t>
        </is>
      </c>
      <c r="L1780" t="inlineStr">
        <is>
          <t>Respiratory</t>
        </is>
      </c>
      <c r="M1780" t="inlineStr">
        <is>
          <t>Evergreen Mutual Insurance</t>
        </is>
      </c>
      <c r="N1780" t="inlineStr">
        <is>
          <t>Commercial</t>
        </is>
      </c>
      <c r="O1780" s="39" t="n">
        <v>4184.93</v>
      </c>
    </row>
    <row r="1781">
      <c r="A1781" t="inlineStr">
        <is>
          <t>ENC120737</t>
        </is>
      </c>
      <c r="B1781" t="inlineStr">
        <is>
          <t>PT12685</t>
        </is>
      </c>
      <c r="C1781" s="42" t="n">
        <v>45992</v>
      </c>
      <c r="D1781" s="42" t="n">
        <v>45992</v>
      </c>
      <c r="E1781" s="38" t="n">
        <v>0</v>
      </c>
      <c r="F1781" t="inlineStr">
        <is>
          <t>Outpatient</t>
        </is>
      </c>
      <c r="G1781" t="inlineStr">
        <is>
          <t>Bluestone Outpatient Pavilion</t>
        </is>
      </c>
      <c r="H1781" t="inlineStr">
        <is>
          <t>Primary Care Clinic</t>
        </is>
      </c>
      <c r="I1781" t="inlineStr">
        <is>
          <t>Ambulatory</t>
        </is>
      </c>
      <c r="J1781" t="inlineStr">
        <is>
          <t>Vazquez, Carolyn</t>
        </is>
      </c>
      <c r="K1781" t="inlineStr">
        <is>
          <t>E78.5</t>
        </is>
      </c>
      <c r="L1781" t="inlineStr">
        <is>
          <t>Endocrine</t>
        </is>
      </c>
      <c r="M1781" t="inlineStr">
        <is>
          <t>Summit Choice PPO</t>
        </is>
      </c>
      <c r="N1781" t="inlineStr">
        <is>
          <t>Commercial</t>
        </is>
      </c>
      <c r="O1781" s="39" t="n">
        <v>396.99</v>
      </c>
    </row>
    <row r="1782">
      <c r="A1782" t="inlineStr">
        <is>
          <t>ENC120738</t>
        </is>
      </c>
      <c r="B1782" t="inlineStr">
        <is>
          <t>PT13788</t>
        </is>
      </c>
      <c r="C1782" s="42" t="n">
        <v>45992</v>
      </c>
      <c r="D1782" s="42" t="n">
        <v>45992</v>
      </c>
      <c r="E1782" s="38" t="n">
        <v>0</v>
      </c>
      <c r="F1782" t="inlineStr">
        <is>
          <t>Outpatient</t>
        </is>
      </c>
      <c r="G1782" t="inlineStr">
        <is>
          <t>Bluestone Outpatient Pavilion</t>
        </is>
      </c>
      <c r="H1782" t="inlineStr">
        <is>
          <t>Orthopedic Clinic</t>
        </is>
      </c>
      <c r="I1782" t="inlineStr">
        <is>
          <t>Orthopedics</t>
        </is>
      </c>
      <c r="J1782" t="inlineStr">
        <is>
          <t>Wagner, Carlos</t>
        </is>
      </c>
      <c r="K1782" t="inlineStr">
        <is>
          <t>M16.11</t>
        </is>
      </c>
      <c r="L1782" t="inlineStr">
        <is>
          <t>Musculoskeletal</t>
        </is>
      </c>
      <c r="M1782" t="inlineStr">
        <is>
          <t>Silverline Medicare Advantage</t>
        </is>
      </c>
      <c r="N1782" t="inlineStr">
        <is>
          <t>Medicare Advantage</t>
        </is>
      </c>
      <c r="O1782" s="39" t="n">
        <v>214.76</v>
      </c>
    </row>
    <row r="1783">
      <c r="A1783" t="inlineStr">
        <is>
          <t>ENC120739</t>
        </is>
      </c>
      <c r="B1783" t="inlineStr">
        <is>
          <t>PT13765</t>
        </is>
      </c>
      <c r="C1783" s="42" t="n">
        <v>45992</v>
      </c>
      <c r="D1783" s="42" t="n">
        <v>45992</v>
      </c>
      <c r="E1783" s="38" t="n">
        <v>0</v>
      </c>
      <c r="F1783" t="inlineStr">
        <is>
          <t>Emergency</t>
        </is>
      </c>
      <c r="G1783" t="inlineStr">
        <is>
          <t>Bluestone Memorial Hospital</t>
        </is>
      </c>
      <c r="H1783" t="inlineStr">
        <is>
          <t>Emergency Department</t>
        </is>
      </c>
      <c r="I1783" t="inlineStr">
        <is>
          <t>Emergency</t>
        </is>
      </c>
      <c r="J1783" t="inlineStr">
        <is>
          <t>Vasquez, Bruce</t>
        </is>
      </c>
      <c r="K1783" t="inlineStr">
        <is>
          <t>J45.909</t>
        </is>
      </c>
      <c r="L1783" t="inlineStr">
        <is>
          <t>Respiratory</t>
        </is>
      </c>
      <c r="M1783" t="inlineStr">
        <is>
          <t>Evergreen Mutual Insurance</t>
        </is>
      </c>
      <c r="N1783" t="inlineStr">
        <is>
          <t>Commercial</t>
        </is>
      </c>
      <c r="O1783" s="39" t="n">
        <v>2596.83</v>
      </c>
    </row>
    <row r="1784">
      <c r="A1784" t="inlineStr">
        <is>
          <t>ENC120741</t>
        </is>
      </c>
      <c r="B1784" t="inlineStr">
        <is>
          <t>PT12833</t>
        </is>
      </c>
      <c r="C1784" s="42" t="n">
        <v>45992</v>
      </c>
      <c r="D1784" s="42" t="n">
        <v>45992</v>
      </c>
      <c r="E1784" s="38" t="n">
        <v>0</v>
      </c>
      <c r="F1784" t="inlineStr">
        <is>
          <t>Outpatient</t>
        </is>
      </c>
      <c r="G1784" t="inlineStr">
        <is>
          <t>Bluestone Outpatient Pavilion</t>
        </is>
      </c>
      <c r="H1784" t="inlineStr">
        <is>
          <t>Primary Care Clinic</t>
        </is>
      </c>
      <c r="I1784" t="inlineStr">
        <is>
          <t>Ambulatory</t>
        </is>
      </c>
      <c r="J1784" t="inlineStr">
        <is>
          <t>Fisher, Brandon</t>
        </is>
      </c>
      <c r="K1784" t="inlineStr">
        <is>
          <t>Z00.00</t>
        </is>
      </c>
      <c r="L1784" t="inlineStr">
        <is>
          <t>Factors Influencing Health</t>
        </is>
      </c>
      <c r="M1784" t="inlineStr">
        <is>
          <t>Evergreen Mutual Insurance</t>
        </is>
      </c>
      <c r="N1784" t="inlineStr">
        <is>
          <t>Commercial</t>
        </is>
      </c>
      <c r="O1784" s="39" t="n">
        <v>333.22</v>
      </c>
    </row>
    <row r="1785">
      <c r="A1785" t="inlineStr">
        <is>
          <t>ENC120753</t>
        </is>
      </c>
      <c r="B1785" t="inlineStr">
        <is>
          <t>PT11925</t>
        </is>
      </c>
      <c r="C1785" s="42" t="n">
        <v>45992</v>
      </c>
      <c r="D1785" s="42" t="n">
        <v>45992</v>
      </c>
      <c r="E1785" s="38" t="n">
        <v>0</v>
      </c>
      <c r="F1785" t="inlineStr">
        <is>
          <t>Outpatient</t>
        </is>
      </c>
      <c r="G1785" t="inlineStr">
        <is>
          <t>Bluestone Outpatient Pavilion</t>
        </is>
      </c>
      <c r="H1785" t="inlineStr">
        <is>
          <t>Pediatric Clinic</t>
        </is>
      </c>
      <c r="I1785" t="inlineStr">
        <is>
          <t>Women &amp; Children</t>
        </is>
      </c>
      <c r="J1785" t="inlineStr">
        <is>
          <t>Alvarez, Susan</t>
        </is>
      </c>
      <c r="K1785" t="inlineStr">
        <is>
          <t>Z00.129</t>
        </is>
      </c>
      <c r="L1785" t="inlineStr">
        <is>
          <t>Factors Influencing Health</t>
        </is>
      </c>
      <c r="M1785" t="inlineStr">
        <is>
          <t>Evergreen Mutual Insurance</t>
        </is>
      </c>
      <c r="N1785" t="inlineStr">
        <is>
          <t>Commercial</t>
        </is>
      </c>
      <c r="O1785" s="39" t="n">
        <v>268.79</v>
      </c>
    </row>
    <row r="1786">
      <c r="A1786" t="inlineStr">
        <is>
          <t>ENC120754</t>
        </is>
      </c>
      <c r="B1786" t="inlineStr">
        <is>
          <t>PT11828</t>
        </is>
      </c>
      <c r="C1786" s="42" t="n">
        <v>45992</v>
      </c>
      <c r="D1786" s="42" t="n">
        <v>45992</v>
      </c>
      <c r="E1786" s="38" t="n">
        <v>0</v>
      </c>
      <c r="F1786" t="inlineStr">
        <is>
          <t>Emergency</t>
        </is>
      </c>
      <c r="G1786" t="inlineStr">
        <is>
          <t>Bluestone Memorial Hospital</t>
        </is>
      </c>
      <c r="H1786" t="inlineStr">
        <is>
          <t>Emergency Department</t>
        </is>
      </c>
      <c r="I1786" t="inlineStr">
        <is>
          <t>Emergency</t>
        </is>
      </c>
      <c r="J1786" t="inlineStr">
        <is>
          <t>Jordan, Wayne</t>
        </is>
      </c>
      <c r="K1786" t="inlineStr">
        <is>
          <t>R07.9</t>
        </is>
      </c>
      <c r="L1786" t="inlineStr">
        <is>
          <t>Symptoms &amp; Signs</t>
        </is>
      </c>
      <c r="M1786" t="inlineStr">
        <is>
          <t>Summit Choice PPO</t>
        </is>
      </c>
      <c r="N1786" t="inlineStr">
        <is>
          <t>Commercial</t>
        </is>
      </c>
      <c r="O1786" s="39" t="n">
        <v>3179.86</v>
      </c>
    </row>
    <row r="1787">
      <c r="A1787" t="inlineStr">
        <is>
          <t>ENC120758</t>
        </is>
      </c>
      <c r="B1787" t="inlineStr">
        <is>
          <t>PT11690</t>
        </is>
      </c>
      <c r="C1787" s="42" t="n">
        <v>45992</v>
      </c>
      <c r="D1787" s="42" t="n">
        <v>45992</v>
      </c>
      <c r="E1787" s="38" t="n">
        <v>0</v>
      </c>
      <c r="F1787" t="inlineStr">
        <is>
          <t>Outpatient</t>
        </is>
      </c>
      <c r="G1787" t="inlineStr">
        <is>
          <t>Bluestone Outpatient Pavilion</t>
        </is>
      </c>
      <c r="H1787" t="inlineStr">
        <is>
          <t>Pediatric Clinic</t>
        </is>
      </c>
      <c r="I1787" t="inlineStr">
        <is>
          <t>Women &amp; Children</t>
        </is>
      </c>
      <c r="J1787" t="inlineStr">
        <is>
          <t>Brown, Stephanie</t>
        </is>
      </c>
      <c r="K1787" t="inlineStr">
        <is>
          <t>Z23</t>
        </is>
      </c>
      <c r="L1787" t="inlineStr">
        <is>
          <t>Factors Influencing Health</t>
        </is>
      </c>
      <c r="M1787" t="inlineStr">
        <is>
          <t>Keystone Health Partners</t>
        </is>
      </c>
      <c r="N1787" t="inlineStr">
        <is>
          <t>Commercial</t>
        </is>
      </c>
      <c r="O1787" s="39" t="n">
        <v>106.26</v>
      </c>
    </row>
    <row r="1788">
      <c r="A1788" t="inlineStr">
        <is>
          <t>ENC120760</t>
        </is>
      </c>
      <c r="B1788" t="inlineStr">
        <is>
          <t>PT11168</t>
        </is>
      </c>
      <c r="C1788" s="42" t="n">
        <v>45992</v>
      </c>
      <c r="D1788" s="42" t="n">
        <v>45992</v>
      </c>
      <c r="E1788" s="38" t="n">
        <v>0</v>
      </c>
      <c r="F1788" t="inlineStr">
        <is>
          <t>Emergency</t>
        </is>
      </c>
      <c r="G1788" t="inlineStr">
        <is>
          <t>Cedar Ridge Medical Center</t>
        </is>
      </c>
      <c r="H1788" t="inlineStr">
        <is>
          <t>Emergency Department</t>
        </is>
      </c>
      <c r="I1788" t="inlineStr">
        <is>
          <t>Emergency</t>
        </is>
      </c>
      <c r="J1788" t="inlineStr">
        <is>
          <t>Riley, Shirley</t>
        </is>
      </c>
      <c r="K1788" t="inlineStr">
        <is>
          <t>J06.9</t>
        </is>
      </c>
      <c r="L1788" t="inlineStr">
        <is>
          <t>Respiratory</t>
        </is>
      </c>
      <c r="M1788" t="inlineStr">
        <is>
          <t>Medicare</t>
        </is>
      </c>
      <c r="N1788" t="inlineStr">
        <is>
          <t>Government</t>
        </is>
      </c>
      <c r="O1788" s="39" t="n">
        <v>1410.74</v>
      </c>
    </row>
    <row r="1789">
      <c r="A1789" t="inlineStr">
        <is>
          <t>ENC120796</t>
        </is>
      </c>
      <c r="B1789" t="inlineStr">
        <is>
          <t>PT10047</t>
        </is>
      </c>
      <c r="C1789" s="42" t="n">
        <v>45993</v>
      </c>
      <c r="D1789" s="42" t="n">
        <v>45993</v>
      </c>
      <c r="E1789" s="38" t="n">
        <v>0</v>
      </c>
      <c r="F1789" t="inlineStr">
        <is>
          <t>Outpatient</t>
        </is>
      </c>
      <c r="G1789" t="inlineStr">
        <is>
          <t>Bluestone Outpatient Pavilion</t>
        </is>
      </c>
      <c r="H1789" t="inlineStr">
        <is>
          <t>Pediatric Clinic</t>
        </is>
      </c>
      <c r="I1789" t="inlineStr">
        <is>
          <t>Women &amp; Children</t>
        </is>
      </c>
      <c r="J1789" t="inlineStr">
        <is>
          <t>Wallace, Kevin</t>
        </is>
      </c>
      <c r="K1789" t="inlineStr">
        <is>
          <t>Z00.129</t>
        </is>
      </c>
      <c r="L1789" t="inlineStr">
        <is>
          <t>Factors Influencing Health</t>
        </is>
      </c>
      <c r="M1789" t="inlineStr">
        <is>
          <t>State Medicaid</t>
        </is>
      </c>
      <c r="N1789" t="inlineStr">
        <is>
          <t>Government</t>
        </is>
      </c>
      <c r="O1789" s="39" t="n">
        <v>296.47</v>
      </c>
    </row>
    <row r="1790">
      <c r="A1790" t="inlineStr">
        <is>
          <t>ENC120797</t>
        </is>
      </c>
      <c r="B1790" t="inlineStr">
        <is>
          <t>PT13535</t>
        </is>
      </c>
      <c r="C1790" s="42" t="n">
        <v>45993</v>
      </c>
      <c r="D1790" s="42" t="n">
        <v>45993</v>
      </c>
      <c r="E1790" s="38" t="n">
        <v>0</v>
      </c>
      <c r="F1790" t="inlineStr">
        <is>
          <t>Emergency</t>
        </is>
      </c>
      <c r="G1790" t="inlineStr">
        <is>
          <t>Bluestone Memorial Hospital</t>
        </is>
      </c>
      <c r="H1790" t="inlineStr">
        <is>
          <t>Emergency Department</t>
        </is>
      </c>
      <c r="I1790" t="inlineStr">
        <is>
          <t>Emergency</t>
        </is>
      </c>
      <c r="J1790" t="inlineStr">
        <is>
          <t>Sullivan, Jacob</t>
        </is>
      </c>
      <c r="K1790" t="inlineStr">
        <is>
          <t>J06.9</t>
        </is>
      </c>
      <c r="L1790" t="inlineStr">
        <is>
          <t>Respiratory</t>
        </is>
      </c>
      <c r="M1790" t="inlineStr">
        <is>
          <t>Summit Choice PPO</t>
        </is>
      </c>
      <c r="N1790" t="inlineStr">
        <is>
          <t>Commercial</t>
        </is>
      </c>
      <c r="O1790" s="39" t="n">
        <v>670.37</v>
      </c>
    </row>
    <row r="1791">
      <c r="A1791" t="inlineStr">
        <is>
          <t>ENC120799</t>
        </is>
      </c>
      <c r="B1791" t="inlineStr">
        <is>
          <t>PT10011</t>
        </is>
      </c>
      <c r="C1791" s="42" t="n">
        <v>45993</v>
      </c>
      <c r="D1791" s="42" t="n">
        <v>45993</v>
      </c>
      <c r="E1791" s="38" t="n">
        <v>0</v>
      </c>
      <c r="F1791" t="inlineStr">
        <is>
          <t>Outpatient</t>
        </is>
      </c>
      <c r="G1791" t="inlineStr">
        <is>
          <t>Bluestone Outpatient Pavilion</t>
        </is>
      </c>
      <c r="H1791" t="inlineStr">
        <is>
          <t>Cardiology Clinic</t>
        </is>
      </c>
      <c r="I1791" t="inlineStr">
        <is>
          <t>Cardiovascular</t>
        </is>
      </c>
      <c r="J1791" t="inlineStr">
        <is>
          <t>Gomez, Mateo</t>
        </is>
      </c>
      <c r="K1791" t="inlineStr">
        <is>
          <t>I48.91</t>
        </is>
      </c>
      <c r="L1791" t="inlineStr">
        <is>
          <t>Circulatory</t>
        </is>
      </c>
      <c r="M1791" t="inlineStr">
        <is>
          <t>Medicare</t>
        </is>
      </c>
      <c r="N1791" t="inlineStr">
        <is>
          <t>Government</t>
        </is>
      </c>
      <c r="O1791" s="39" t="n">
        <v>409.31</v>
      </c>
    </row>
    <row r="1792">
      <c r="A1792" t="inlineStr">
        <is>
          <t>ENC120805</t>
        </is>
      </c>
      <c r="B1792" t="inlineStr">
        <is>
          <t>PT12300</t>
        </is>
      </c>
      <c r="C1792" s="42" t="n">
        <v>45993</v>
      </c>
      <c r="D1792" s="42" t="n">
        <v>45993</v>
      </c>
      <c r="E1792" s="38" t="n">
        <v>0</v>
      </c>
      <c r="F1792" t="inlineStr">
        <is>
          <t>Outpatient</t>
        </is>
      </c>
      <c r="G1792" t="inlineStr">
        <is>
          <t>Bluestone Outpatient Pavilion</t>
        </is>
      </c>
      <c r="H1792" t="inlineStr">
        <is>
          <t>Primary Care Clinic</t>
        </is>
      </c>
      <c r="I1792" t="inlineStr">
        <is>
          <t>Ambulatory</t>
        </is>
      </c>
      <c r="J1792" t="inlineStr">
        <is>
          <t>Chen, Mei</t>
        </is>
      </c>
      <c r="K1792" t="inlineStr">
        <is>
          <t>I10</t>
        </is>
      </c>
      <c r="L1792" t="inlineStr">
        <is>
          <t>Circulatory</t>
        </is>
      </c>
      <c r="M1792" t="inlineStr">
        <is>
          <t>Summit Choice PPO</t>
        </is>
      </c>
      <c r="N1792" t="inlineStr">
        <is>
          <t>Commercial</t>
        </is>
      </c>
      <c r="O1792" s="39" t="n">
        <v>467.76</v>
      </c>
    </row>
    <row r="1793">
      <c r="A1793" t="inlineStr">
        <is>
          <t>ENC120809</t>
        </is>
      </c>
      <c r="B1793" t="inlineStr">
        <is>
          <t>PT11977</t>
        </is>
      </c>
      <c r="C1793" s="42" t="n">
        <v>45993</v>
      </c>
      <c r="D1793" s="42" t="n">
        <v>45993</v>
      </c>
      <c r="E1793" s="38" t="n">
        <v>0</v>
      </c>
      <c r="F1793" t="inlineStr">
        <is>
          <t>Outpatient</t>
        </is>
      </c>
      <c r="G1793" t="inlineStr">
        <is>
          <t>Bluestone Outpatient Pavilion</t>
        </is>
      </c>
      <c r="H1793" t="inlineStr">
        <is>
          <t>Endocrinology &amp; Diabetes Clinic</t>
        </is>
      </c>
      <c r="I1793" t="inlineStr">
        <is>
          <t>Ambulatory</t>
        </is>
      </c>
      <c r="J1793" t="inlineStr">
        <is>
          <t>Rivera, Scott</t>
        </is>
      </c>
      <c r="K1793" t="inlineStr">
        <is>
          <t>E11.9</t>
        </is>
      </c>
      <c r="L1793" t="inlineStr">
        <is>
          <t>Endocrine</t>
        </is>
      </c>
      <c r="M1793" t="inlineStr">
        <is>
          <t>Keystone Health Partners</t>
        </is>
      </c>
      <c r="N1793" t="inlineStr">
        <is>
          <t>Commercial</t>
        </is>
      </c>
      <c r="O1793" s="39" t="n">
        <v>323.98</v>
      </c>
    </row>
    <row r="1794">
      <c r="A1794" t="inlineStr">
        <is>
          <t>ENC120816</t>
        </is>
      </c>
      <c r="B1794" t="inlineStr">
        <is>
          <t>PT13599</t>
        </is>
      </c>
      <c r="C1794" s="42" t="n">
        <v>45993</v>
      </c>
      <c r="D1794" s="42" t="n">
        <v>45993</v>
      </c>
      <c r="E1794" s="38" t="n">
        <v>0</v>
      </c>
      <c r="F1794" t="inlineStr">
        <is>
          <t>Emergency</t>
        </is>
      </c>
      <c r="G1794" t="inlineStr">
        <is>
          <t>Bluestone Memorial Hospital</t>
        </is>
      </c>
      <c r="H1794" t="inlineStr">
        <is>
          <t>Emergency Department</t>
        </is>
      </c>
      <c r="I1794" t="inlineStr">
        <is>
          <t>Emergency</t>
        </is>
      </c>
      <c r="J1794" t="inlineStr">
        <is>
          <t>Foster, Patrick</t>
        </is>
      </c>
      <c r="K1794" t="inlineStr">
        <is>
          <t>R10.9</t>
        </is>
      </c>
      <c r="L1794" t="inlineStr">
        <is>
          <t>Symptoms &amp; Signs</t>
        </is>
      </c>
      <c r="M1794" t="inlineStr">
        <is>
          <t>Medicare</t>
        </is>
      </c>
      <c r="N1794" t="inlineStr">
        <is>
          <t>Government</t>
        </is>
      </c>
      <c r="O1794" s="39" t="n">
        <v>3379.77</v>
      </c>
    </row>
    <row r="1795">
      <c r="A1795" t="inlineStr">
        <is>
          <t>ENC120821</t>
        </is>
      </c>
      <c r="B1795" t="inlineStr">
        <is>
          <t>PT13075</t>
        </is>
      </c>
      <c r="C1795" s="42" t="n">
        <v>45993</v>
      </c>
      <c r="D1795" s="42" t="n">
        <v>45993</v>
      </c>
      <c r="E1795" s="38" t="n">
        <v>0</v>
      </c>
      <c r="F1795" t="inlineStr">
        <is>
          <t>Emergency</t>
        </is>
      </c>
      <c r="G1795" t="inlineStr">
        <is>
          <t>Bluestone Memorial Hospital</t>
        </is>
      </c>
      <c r="H1795" t="inlineStr">
        <is>
          <t>Emergency Department</t>
        </is>
      </c>
      <c r="I1795" t="inlineStr">
        <is>
          <t>Emergency</t>
        </is>
      </c>
      <c r="J1795" t="inlineStr">
        <is>
          <t>Elliott, Jesse</t>
        </is>
      </c>
      <c r="K1795" t="inlineStr">
        <is>
          <t>A08.4</t>
        </is>
      </c>
      <c r="L1795" t="inlineStr">
        <is>
          <t>Infectious</t>
        </is>
      </c>
      <c r="M1795" t="inlineStr">
        <is>
          <t>Silverline Medicare Advantage</t>
        </is>
      </c>
      <c r="N1795" t="inlineStr">
        <is>
          <t>Medicare Advantage</t>
        </is>
      </c>
      <c r="O1795" s="39" t="n">
        <v>1737.23</v>
      </c>
    </row>
    <row r="1796">
      <c r="A1796" t="inlineStr">
        <is>
          <t>ENC120818</t>
        </is>
      </c>
      <c r="B1796" t="inlineStr">
        <is>
          <t>PT13677</t>
        </is>
      </c>
      <c r="C1796" s="42" t="n">
        <v>45993</v>
      </c>
      <c r="D1796" s="42" t="n">
        <v>46002</v>
      </c>
      <c r="E1796" s="38" t="n">
        <v>9</v>
      </c>
      <c r="F1796" t="inlineStr">
        <is>
          <t>Inpatient</t>
        </is>
      </c>
      <c r="G1796" t="inlineStr">
        <is>
          <t>Bluestone Memorial Hospital</t>
        </is>
      </c>
      <c r="H1796" t="inlineStr">
        <is>
          <t>Medical-Surgical 5 East</t>
        </is>
      </c>
      <c r="I1796" t="inlineStr">
        <is>
          <t>Medicine</t>
        </is>
      </c>
      <c r="J1796" t="inlineStr">
        <is>
          <t>Allen, Jean</t>
        </is>
      </c>
      <c r="K1796" t="inlineStr">
        <is>
          <t>J18.9</t>
        </is>
      </c>
      <c r="L1796" t="inlineStr">
        <is>
          <t>Respiratory</t>
        </is>
      </c>
      <c r="M1796" t="inlineStr">
        <is>
          <t>Medicare</t>
        </is>
      </c>
      <c r="N1796" t="inlineStr">
        <is>
          <t>Government</t>
        </is>
      </c>
      <c r="O1796" s="39" t="n">
        <v>36170.41</v>
      </c>
      <c r="P1796" t="inlineStr">
        <is>
          <t>N</t>
        </is>
      </c>
    </row>
    <row r="1797">
      <c r="A1797" t="inlineStr">
        <is>
          <t>ENC120828</t>
        </is>
      </c>
      <c r="B1797" t="inlineStr">
        <is>
          <t>PT10884</t>
        </is>
      </c>
      <c r="C1797" s="42" t="n">
        <v>45994</v>
      </c>
      <c r="D1797" s="42" t="n">
        <v>45996</v>
      </c>
      <c r="E1797" s="38" t="n">
        <v>2</v>
      </c>
      <c r="F1797" t="inlineStr">
        <is>
          <t>Inpatient</t>
        </is>
      </c>
      <c r="G1797" t="inlineStr">
        <is>
          <t>Bluestone Memorial Hospital</t>
        </is>
      </c>
      <c r="H1797" t="inlineStr">
        <is>
          <t>Orthopedics &amp; Spine</t>
        </is>
      </c>
      <c r="I1797" t="inlineStr">
        <is>
          <t>Orthopedics</t>
        </is>
      </c>
      <c r="J1797" t="inlineStr">
        <is>
          <t>Woods, Pamela</t>
        </is>
      </c>
      <c r="K1797" t="inlineStr">
        <is>
          <t>M17.11</t>
        </is>
      </c>
      <c r="L1797" t="inlineStr">
        <is>
          <t>Musculoskeletal</t>
        </is>
      </c>
      <c r="M1797" t="inlineStr">
        <is>
          <t>Silverline Medicare Advantage</t>
        </is>
      </c>
      <c r="N1797" t="inlineStr">
        <is>
          <t>Medicare Advantage</t>
        </is>
      </c>
      <c r="O1797" s="39" t="n">
        <v>51675.39</v>
      </c>
      <c r="P1797" t="inlineStr">
        <is>
          <t>N</t>
        </is>
      </c>
    </row>
    <row r="1798">
      <c r="A1798" t="inlineStr">
        <is>
          <t>ENC120830</t>
        </is>
      </c>
      <c r="B1798" t="inlineStr">
        <is>
          <t>PT10918</t>
        </is>
      </c>
      <c r="C1798" s="42" t="n">
        <v>45994</v>
      </c>
      <c r="D1798" s="42" t="n">
        <v>45994</v>
      </c>
      <c r="E1798" s="38" t="n">
        <v>0</v>
      </c>
      <c r="F1798" t="inlineStr">
        <is>
          <t>Outpatient</t>
        </is>
      </c>
      <c r="G1798" t="inlineStr">
        <is>
          <t>Bluestone Outpatient Pavilion</t>
        </is>
      </c>
      <c r="H1798" t="inlineStr">
        <is>
          <t>Primary Care Clinic</t>
        </is>
      </c>
      <c r="I1798" t="inlineStr">
        <is>
          <t>Ambulatory</t>
        </is>
      </c>
      <c r="J1798" t="inlineStr">
        <is>
          <t>Osei, Julie</t>
        </is>
      </c>
      <c r="K1798" t="inlineStr">
        <is>
          <t>Z00.00</t>
        </is>
      </c>
      <c r="L1798" t="inlineStr">
        <is>
          <t>Factors Influencing Health</t>
        </is>
      </c>
      <c r="M1798" t="inlineStr">
        <is>
          <t>Keystone Health Partners</t>
        </is>
      </c>
      <c r="N1798" t="inlineStr">
        <is>
          <t>Commercial</t>
        </is>
      </c>
      <c r="O1798" s="39" t="n">
        <v>525.77</v>
      </c>
    </row>
    <row r="1799">
      <c r="A1799" t="inlineStr">
        <is>
          <t>ENC120836</t>
        </is>
      </c>
      <c r="B1799" t="inlineStr">
        <is>
          <t>PT10385</t>
        </is>
      </c>
      <c r="C1799" s="42" t="n">
        <v>45994</v>
      </c>
      <c r="D1799" s="42" t="n">
        <v>45994</v>
      </c>
      <c r="E1799" s="38" t="n">
        <v>0</v>
      </c>
      <c r="F1799" t="inlineStr">
        <is>
          <t>Outpatient</t>
        </is>
      </c>
      <c r="G1799" t="inlineStr">
        <is>
          <t>Bluestone Outpatient Pavilion</t>
        </is>
      </c>
      <c r="H1799" t="inlineStr">
        <is>
          <t>Endocrinology &amp; Diabetes Clinic</t>
        </is>
      </c>
      <c r="I1799" t="inlineStr">
        <is>
          <t>Ambulatory</t>
        </is>
      </c>
      <c r="J1799" t="inlineStr">
        <is>
          <t>Rivera, Scott</t>
        </is>
      </c>
      <c r="K1799" t="inlineStr">
        <is>
          <t>E11.9</t>
        </is>
      </c>
      <c r="L1799" t="inlineStr">
        <is>
          <t>Endocrine</t>
        </is>
      </c>
      <c r="M1799" t="inlineStr">
        <is>
          <t>Summit Choice PPO</t>
        </is>
      </c>
      <c r="N1799" t="inlineStr">
        <is>
          <t>Commercial</t>
        </is>
      </c>
      <c r="O1799" s="39" t="n">
        <v>359.93</v>
      </c>
    </row>
    <row r="1800">
      <c r="A1800" t="inlineStr">
        <is>
          <t>ENC120837</t>
        </is>
      </c>
      <c r="B1800" t="inlineStr">
        <is>
          <t>PT10687</t>
        </is>
      </c>
      <c r="C1800" s="42" t="n">
        <v>45994</v>
      </c>
      <c r="D1800" s="42" t="n">
        <v>45994</v>
      </c>
      <c r="E1800" s="38" t="n">
        <v>0</v>
      </c>
      <c r="F1800" t="inlineStr">
        <is>
          <t>Outpatient</t>
        </is>
      </c>
      <c r="G1800" t="inlineStr">
        <is>
          <t>Bluestone Outpatient Pavilion</t>
        </is>
      </c>
      <c r="H1800" t="inlineStr">
        <is>
          <t>Pediatric Clinic</t>
        </is>
      </c>
      <c r="I1800" t="inlineStr">
        <is>
          <t>Women &amp; Children</t>
        </is>
      </c>
      <c r="J1800" t="inlineStr">
        <is>
          <t>Herrera, Christian</t>
        </is>
      </c>
      <c r="K1800" t="inlineStr">
        <is>
          <t>H66.90</t>
        </is>
      </c>
      <c r="L1800" t="inlineStr">
        <is>
          <t>Ear</t>
        </is>
      </c>
      <c r="M1800" t="inlineStr">
        <is>
          <t>Keystone Health Partners</t>
        </is>
      </c>
      <c r="N1800" t="inlineStr">
        <is>
          <t>Commercial</t>
        </is>
      </c>
      <c r="O1800" s="39" t="n">
        <v>283.32</v>
      </c>
    </row>
    <row r="1801">
      <c r="A1801" t="inlineStr">
        <is>
          <t>ENC120843</t>
        </is>
      </c>
      <c r="B1801" t="inlineStr">
        <is>
          <t>PT11548</t>
        </is>
      </c>
      <c r="C1801" s="42" t="n">
        <v>45994</v>
      </c>
      <c r="D1801" s="42" t="n">
        <v>45994</v>
      </c>
      <c r="E1801" s="38" t="n">
        <v>0</v>
      </c>
      <c r="F1801" t="inlineStr">
        <is>
          <t>Outpatient</t>
        </is>
      </c>
      <c r="G1801" t="inlineStr">
        <is>
          <t>Bluestone Outpatient Pavilion</t>
        </is>
      </c>
      <c r="H1801" t="inlineStr">
        <is>
          <t>Endocrinology &amp; Diabetes Clinic</t>
        </is>
      </c>
      <c r="I1801" t="inlineStr">
        <is>
          <t>Ambulatory</t>
        </is>
      </c>
      <c r="J1801" t="inlineStr">
        <is>
          <t>Woods, Larry</t>
        </is>
      </c>
      <c r="K1801" t="inlineStr">
        <is>
          <t>E11.9</t>
        </is>
      </c>
      <c r="L1801" t="inlineStr">
        <is>
          <t>Endocrine</t>
        </is>
      </c>
      <c r="M1801" t="inlineStr">
        <is>
          <t>Evergreen Mutual Insurance</t>
        </is>
      </c>
      <c r="N1801" t="inlineStr">
        <is>
          <t>Commercial</t>
        </is>
      </c>
      <c r="O1801" s="39" t="n">
        <v>295.03</v>
      </c>
    </row>
    <row r="1802">
      <c r="A1802" t="inlineStr">
        <is>
          <t>ENC120841</t>
        </is>
      </c>
      <c r="B1802" t="inlineStr">
        <is>
          <t>PT12333</t>
        </is>
      </c>
      <c r="C1802" s="42" t="n">
        <v>45994</v>
      </c>
      <c r="D1802" s="42" t="n">
        <v>45996</v>
      </c>
      <c r="E1802" s="38" t="n">
        <v>2</v>
      </c>
      <c r="F1802" t="inlineStr">
        <is>
          <t>Inpatient</t>
        </is>
      </c>
      <c r="G1802" t="inlineStr">
        <is>
          <t>Ashby Falls Community Hospital</t>
        </is>
      </c>
      <c r="H1802" t="inlineStr">
        <is>
          <t>Medical-Surgical</t>
        </is>
      </c>
      <c r="I1802" t="inlineStr">
        <is>
          <t>Medicine</t>
        </is>
      </c>
      <c r="J1802" t="inlineStr">
        <is>
          <t>Moreno, Melissa</t>
        </is>
      </c>
      <c r="K1802" t="inlineStr">
        <is>
          <t>I21.4</t>
        </is>
      </c>
      <c r="L1802" t="inlineStr">
        <is>
          <t>Circulatory</t>
        </is>
      </c>
      <c r="M1802" t="inlineStr">
        <is>
          <t>Medicare</t>
        </is>
      </c>
      <c r="N1802" t="inlineStr">
        <is>
          <t>Government</t>
        </is>
      </c>
      <c r="O1802" s="39" t="n">
        <v>31985.04</v>
      </c>
      <c r="P1802" t="inlineStr">
        <is>
          <t>N</t>
        </is>
      </c>
    </row>
    <row r="1803">
      <c r="A1803" t="inlineStr">
        <is>
          <t>ENC120854</t>
        </is>
      </c>
      <c r="B1803" t="inlineStr">
        <is>
          <t>PT13541</t>
        </is>
      </c>
      <c r="C1803" s="42" t="n">
        <v>45994</v>
      </c>
      <c r="D1803" s="42" t="n">
        <v>45994</v>
      </c>
      <c r="E1803" s="38" t="n">
        <v>0</v>
      </c>
      <c r="F1803" t="inlineStr">
        <is>
          <t>Outpatient</t>
        </is>
      </c>
      <c r="G1803" t="inlineStr">
        <is>
          <t>Bluestone Outpatient Pavilion</t>
        </is>
      </c>
      <c r="H1803" t="inlineStr">
        <is>
          <t>Primary Care Clinic</t>
        </is>
      </c>
      <c r="I1803" t="inlineStr">
        <is>
          <t>Ambulatory</t>
        </is>
      </c>
      <c r="J1803" t="inlineStr">
        <is>
          <t>Black, Nancy</t>
        </is>
      </c>
      <c r="K1803" t="inlineStr">
        <is>
          <t>Z23</t>
        </is>
      </c>
      <c r="L1803" t="inlineStr">
        <is>
          <t>Factors Influencing Health</t>
        </is>
      </c>
      <c r="M1803" t="inlineStr">
        <is>
          <t>Evergreen Mutual Insurance</t>
        </is>
      </c>
      <c r="N1803" t="inlineStr">
        <is>
          <t>Commercial</t>
        </is>
      </c>
      <c r="O1803" s="39" t="n">
        <v>131.11</v>
      </c>
    </row>
    <row r="1804">
      <c r="A1804" t="inlineStr">
        <is>
          <t>ENC120866</t>
        </is>
      </c>
      <c r="B1804" t="inlineStr">
        <is>
          <t>PT13877</t>
        </is>
      </c>
      <c r="C1804" s="42" t="n">
        <v>45995</v>
      </c>
      <c r="D1804" s="42" t="n">
        <v>45995</v>
      </c>
      <c r="E1804" s="38" t="n">
        <v>0</v>
      </c>
      <c r="F1804" t="inlineStr">
        <is>
          <t>Emergency</t>
        </is>
      </c>
      <c r="G1804" t="inlineStr">
        <is>
          <t>Bluestone Memorial Hospital</t>
        </is>
      </c>
      <c r="H1804" t="inlineStr">
        <is>
          <t>Emergency Department</t>
        </is>
      </c>
      <c r="I1804" t="inlineStr">
        <is>
          <t>Emergency</t>
        </is>
      </c>
      <c r="J1804" t="inlineStr">
        <is>
          <t>Morris, Jordan</t>
        </is>
      </c>
      <c r="K1804" t="inlineStr">
        <is>
          <t>J18.9</t>
        </is>
      </c>
      <c r="L1804" t="inlineStr">
        <is>
          <t>Respiratory</t>
        </is>
      </c>
      <c r="M1804" t="inlineStr">
        <is>
          <t>Silverline Medicare Advantage</t>
        </is>
      </c>
      <c r="N1804" t="inlineStr">
        <is>
          <t>Medicare Advantage</t>
        </is>
      </c>
      <c r="O1804" s="39" t="n">
        <v>5475.6</v>
      </c>
    </row>
    <row r="1805">
      <c r="A1805" t="inlineStr">
        <is>
          <t>ENC120870</t>
        </is>
      </c>
      <c r="B1805" t="inlineStr">
        <is>
          <t>PT10657</t>
        </is>
      </c>
      <c r="C1805" s="42" t="n">
        <v>45995</v>
      </c>
      <c r="D1805" s="42" t="n">
        <v>45995</v>
      </c>
      <c r="E1805" s="38" t="n">
        <v>0</v>
      </c>
      <c r="F1805" t="inlineStr">
        <is>
          <t>Emergency</t>
        </is>
      </c>
      <c r="G1805" t="inlineStr">
        <is>
          <t>Bluestone Memorial Hospital</t>
        </is>
      </c>
      <c r="H1805" t="inlineStr">
        <is>
          <t>Emergency Department</t>
        </is>
      </c>
      <c r="I1805" t="inlineStr">
        <is>
          <t>Emergency</t>
        </is>
      </c>
      <c r="J1805" t="inlineStr">
        <is>
          <t>Cruz, Mia</t>
        </is>
      </c>
      <c r="K1805" t="inlineStr">
        <is>
          <t>U07.1</t>
        </is>
      </c>
      <c r="L1805" t="inlineStr">
        <is>
          <t>Respiratory</t>
        </is>
      </c>
      <c r="M1805" t="inlineStr">
        <is>
          <t>State Medicaid</t>
        </is>
      </c>
      <c r="N1805" t="inlineStr">
        <is>
          <t>Government</t>
        </is>
      </c>
      <c r="O1805" s="39" t="n">
        <v>4088.71</v>
      </c>
    </row>
    <row r="1806">
      <c r="A1806" t="inlineStr">
        <is>
          <t>ENC120869</t>
        </is>
      </c>
      <c r="B1806" t="inlineStr">
        <is>
          <t>PT13491</t>
        </is>
      </c>
      <c r="C1806" s="42" t="n">
        <v>45995</v>
      </c>
      <c r="D1806" s="42" t="n">
        <v>46002</v>
      </c>
      <c r="E1806" s="38" t="n">
        <v>7</v>
      </c>
      <c r="F1806" t="inlineStr">
        <is>
          <t>Inpatient</t>
        </is>
      </c>
      <c r="G1806" t="inlineStr">
        <is>
          <t>Ashby Falls Community Hospital</t>
        </is>
      </c>
      <c r="H1806" t="inlineStr">
        <is>
          <t>Medical-Surgical</t>
        </is>
      </c>
      <c r="I1806" t="inlineStr">
        <is>
          <t>Medicine</t>
        </is>
      </c>
      <c r="J1806" t="inlineStr">
        <is>
          <t>Carroll, Philip</t>
        </is>
      </c>
      <c r="K1806" t="inlineStr">
        <is>
          <t>J44.1</t>
        </is>
      </c>
      <c r="L1806" t="inlineStr">
        <is>
          <t>Respiratory</t>
        </is>
      </c>
      <c r="M1806" t="inlineStr">
        <is>
          <t>Evergreen Mutual Insurance</t>
        </is>
      </c>
      <c r="N1806" t="inlineStr">
        <is>
          <t>Commercial</t>
        </is>
      </c>
      <c r="O1806" s="39" t="n">
        <v>33789.9</v>
      </c>
      <c r="P1806" t="inlineStr">
        <is>
          <t>N</t>
        </is>
      </c>
    </row>
    <row r="1807">
      <c r="A1807" t="inlineStr">
        <is>
          <t>ENC120877</t>
        </is>
      </c>
      <c r="B1807" t="inlineStr">
        <is>
          <t>PT13223</t>
        </is>
      </c>
      <c r="C1807" s="42" t="n">
        <v>45995</v>
      </c>
      <c r="D1807" s="42" t="n">
        <v>45995</v>
      </c>
      <c r="E1807" s="38" t="n">
        <v>0</v>
      </c>
      <c r="F1807" t="inlineStr">
        <is>
          <t>Outpatient</t>
        </is>
      </c>
      <c r="G1807" t="inlineStr">
        <is>
          <t>Bluestone Outpatient Pavilion</t>
        </is>
      </c>
      <c r="H1807" t="inlineStr">
        <is>
          <t>Primary Care Clinic</t>
        </is>
      </c>
      <c r="I1807" t="inlineStr">
        <is>
          <t>Ambulatory</t>
        </is>
      </c>
      <c r="J1807" t="inlineStr">
        <is>
          <t>Petrov, Doris</t>
        </is>
      </c>
      <c r="K1807" t="inlineStr">
        <is>
          <t>Z23</t>
        </is>
      </c>
      <c r="L1807" t="inlineStr">
        <is>
          <t>Factors Influencing Health</t>
        </is>
      </c>
      <c r="M1807" t="inlineStr">
        <is>
          <t>Summit Choice PPO</t>
        </is>
      </c>
      <c r="N1807" t="inlineStr">
        <is>
          <t>Commercial</t>
        </is>
      </c>
      <c r="O1807" s="39" t="n">
        <v>96.73</v>
      </c>
    </row>
    <row r="1808">
      <c r="A1808" t="inlineStr">
        <is>
          <t>ENC120895</t>
        </is>
      </c>
      <c r="B1808" t="inlineStr">
        <is>
          <t>PT13853</t>
        </is>
      </c>
      <c r="C1808" s="42" t="n">
        <v>45995</v>
      </c>
      <c r="D1808" s="42" t="n">
        <v>45997</v>
      </c>
      <c r="E1808" s="38" t="n">
        <v>2</v>
      </c>
      <c r="F1808" t="inlineStr">
        <is>
          <t>Observation</t>
        </is>
      </c>
      <c r="G1808" t="inlineStr">
        <is>
          <t>Cedar Ridge Medical Center</t>
        </is>
      </c>
      <c r="H1808" t="inlineStr">
        <is>
          <t>Medical-Surgical</t>
        </is>
      </c>
      <c r="I1808" t="inlineStr">
        <is>
          <t>Medicine</t>
        </is>
      </c>
      <c r="J1808" t="inlineStr">
        <is>
          <t>Peters, Frank</t>
        </is>
      </c>
      <c r="K1808" t="inlineStr">
        <is>
          <t>F41.9</t>
        </is>
      </c>
      <c r="L1808" t="inlineStr">
        <is>
          <t>Mental &amp; Behavioral</t>
        </is>
      </c>
      <c r="M1808" t="inlineStr">
        <is>
          <t>Silverline Medicare Advantage</t>
        </is>
      </c>
      <c r="N1808" t="inlineStr">
        <is>
          <t>Medicare Advantage</t>
        </is>
      </c>
      <c r="O1808" s="39" t="n">
        <v>5595.17</v>
      </c>
    </row>
    <row r="1809">
      <c r="A1809" t="inlineStr">
        <is>
          <t>ENC120880</t>
        </is>
      </c>
      <c r="B1809" t="inlineStr">
        <is>
          <t>PT11261</t>
        </is>
      </c>
      <c r="C1809" s="42" t="n">
        <v>45995</v>
      </c>
      <c r="D1809" s="42" t="n">
        <v>46001</v>
      </c>
      <c r="E1809" s="38" t="n">
        <v>6</v>
      </c>
      <c r="F1809" t="inlineStr">
        <is>
          <t>Inpatient</t>
        </is>
      </c>
      <c r="G1809" t="inlineStr">
        <is>
          <t>Ashby Falls Community Hospital</t>
        </is>
      </c>
      <c r="H1809" t="inlineStr">
        <is>
          <t>Medical-Surgical</t>
        </is>
      </c>
      <c r="I1809" t="inlineStr">
        <is>
          <t>Medicine</t>
        </is>
      </c>
      <c r="J1809" t="inlineStr">
        <is>
          <t>Carroll, Philip</t>
        </is>
      </c>
      <c r="K1809" t="inlineStr">
        <is>
          <t>A41.9</t>
        </is>
      </c>
      <c r="L1809" t="inlineStr">
        <is>
          <t>Infectious</t>
        </is>
      </c>
      <c r="M1809" t="inlineStr">
        <is>
          <t>Medicare</t>
        </is>
      </c>
      <c r="N1809" t="inlineStr">
        <is>
          <t>Government</t>
        </is>
      </c>
      <c r="O1809" s="39" t="n">
        <v>105662.5</v>
      </c>
      <c r="P1809" t="inlineStr">
        <is>
          <t>N</t>
        </is>
      </c>
    </row>
    <row r="1810">
      <c r="A1810" t="inlineStr">
        <is>
          <t>ENC120897</t>
        </is>
      </c>
      <c r="B1810" t="inlineStr">
        <is>
          <t>PT12605</t>
        </is>
      </c>
      <c r="C1810" s="42" t="n">
        <v>45995</v>
      </c>
      <c r="D1810" s="42" t="n">
        <v>45995</v>
      </c>
      <c r="E1810" s="38" t="n">
        <v>0</v>
      </c>
      <c r="F1810" t="inlineStr">
        <is>
          <t>Outpatient</t>
        </is>
      </c>
      <c r="G1810" t="inlineStr">
        <is>
          <t>Bluestone Outpatient Pavilion</t>
        </is>
      </c>
      <c r="H1810" t="inlineStr">
        <is>
          <t>Primary Care Clinic</t>
        </is>
      </c>
      <c r="I1810" t="inlineStr">
        <is>
          <t>Ambulatory</t>
        </is>
      </c>
      <c r="J1810" t="inlineStr">
        <is>
          <t>Fisher, Brandon</t>
        </is>
      </c>
      <c r="K1810" t="inlineStr">
        <is>
          <t>F32.9</t>
        </is>
      </c>
      <c r="L1810" t="inlineStr">
        <is>
          <t>Mental &amp; Behavioral</t>
        </is>
      </c>
      <c r="M1810" t="inlineStr">
        <is>
          <t>Silverline Medicare Advantage</t>
        </is>
      </c>
      <c r="N1810" t="inlineStr">
        <is>
          <t>Medicare Advantage</t>
        </is>
      </c>
      <c r="O1810" s="39" t="n">
        <v>327.5</v>
      </c>
    </row>
    <row r="1811">
      <c r="A1811" t="inlineStr">
        <is>
          <t>ENC120883</t>
        </is>
      </c>
      <c r="B1811" t="inlineStr">
        <is>
          <t>PT13067</t>
        </is>
      </c>
      <c r="C1811" s="42" t="n">
        <v>45995</v>
      </c>
      <c r="D1811" s="42" t="n">
        <v>45998</v>
      </c>
      <c r="E1811" s="38" t="n">
        <v>3</v>
      </c>
      <c r="F1811" t="inlineStr">
        <is>
          <t>Inpatient</t>
        </is>
      </c>
      <c r="G1811" t="inlineStr">
        <is>
          <t>Bluestone Memorial Hospital</t>
        </is>
      </c>
      <c r="H1811" t="inlineStr">
        <is>
          <t>Cardiac Step-Down</t>
        </is>
      </c>
      <c r="I1811" t="inlineStr">
        <is>
          <t>Cardiovascular</t>
        </is>
      </c>
      <c r="J1811" t="inlineStr">
        <is>
          <t>Taylor, Jonathan</t>
        </is>
      </c>
      <c r="K1811" t="inlineStr">
        <is>
          <t>I48.91</t>
        </is>
      </c>
      <c r="L1811" t="inlineStr">
        <is>
          <t>Circulatory</t>
        </is>
      </c>
      <c r="M1811" t="inlineStr">
        <is>
          <t>Medicare</t>
        </is>
      </c>
      <c r="N1811" t="inlineStr">
        <is>
          <t>Government</t>
        </is>
      </c>
      <c r="O1811" s="39" t="n">
        <v>19388.36</v>
      </c>
      <c r="P1811" t="inlineStr">
        <is>
          <t>N</t>
        </is>
      </c>
    </row>
    <row r="1812">
      <c r="A1812" t="inlineStr">
        <is>
          <t>ENC120904</t>
        </is>
      </c>
      <c r="B1812" t="inlineStr">
        <is>
          <t>PT11762</t>
        </is>
      </c>
      <c r="C1812" s="42" t="n">
        <v>45995</v>
      </c>
      <c r="D1812" s="42" t="n">
        <v>45995</v>
      </c>
      <c r="E1812" s="38" t="n">
        <v>0</v>
      </c>
      <c r="F1812" t="inlineStr">
        <is>
          <t>Emergency</t>
        </is>
      </c>
      <c r="G1812" t="inlineStr">
        <is>
          <t>Bluestone Memorial Hospital</t>
        </is>
      </c>
      <c r="H1812" t="inlineStr">
        <is>
          <t>Emergency Department</t>
        </is>
      </c>
      <c r="I1812" t="inlineStr">
        <is>
          <t>Emergency</t>
        </is>
      </c>
      <c r="J1812" t="inlineStr">
        <is>
          <t>Kowalski, James</t>
        </is>
      </c>
      <c r="K1812" t="inlineStr">
        <is>
          <t>J21.9</t>
        </is>
      </c>
      <c r="L1812" t="inlineStr">
        <is>
          <t>Respiratory</t>
        </is>
      </c>
      <c r="M1812" t="inlineStr">
        <is>
          <t>State Medicaid</t>
        </is>
      </c>
      <c r="N1812" t="inlineStr">
        <is>
          <t>Government</t>
        </is>
      </c>
      <c r="O1812" s="39" t="n">
        <v>1576.1</v>
      </c>
    </row>
    <row r="1813">
      <c r="A1813" t="inlineStr">
        <is>
          <t>ENC120899</t>
        </is>
      </c>
      <c r="B1813" t="inlineStr">
        <is>
          <t>PT10345</t>
        </is>
      </c>
      <c r="C1813" s="42" t="n">
        <v>45995</v>
      </c>
      <c r="D1813" s="42" t="n">
        <v>45997</v>
      </c>
      <c r="E1813" s="38" t="n">
        <v>2</v>
      </c>
      <c r="F1813" t="inlineStr">
        <is>
          <t>Observation</t>
        </is>
      </c>
      <c r="G1813" t="inlineStr">
        <is>
          <t>Ashby Falls Community Hospital</t>
        </is>
      </c>
      <c r="H1813" t="inlineStr">
        <is>
          <t>Medical-Surgical</t>
        </is>
      </c>
      <c r="I1813" t="inlineStr">
        <is>
          <t>Medicine</t>
        </is>
      </c>
      <c r="J1813" t="inlineStr">
        <is>
          <t>Carter, Karen</t>
        </is>
      </c>
      <c r="K1813" t="inlineStr">
        <is>
          <t>R10.9</t>
        </is>
      </c>
      <c r="L1813" t="inlineStr">
        <is>
          <t>Symptoms &amp; Signs</t>
        </is>
      </c>
      <c r="M1813" t="inlineStr">
        <is>
          <t>Medicare</t>
        </is>
      </c>
      <c r="N1813" t="inlineStr">
        <is>
          <t>Government</t>
        </is>
      </c>
      <c r="O1813" s="39" t="n">
        <v>12672.32</v>
      </c>
    </row>
    <row r="1814">
      <c r="A1814" t="inlineStr">
        <is>
          <t>ENC120903</t>
        </is>
      </c>
      <c r="B1814" t="inlineStr">
        <is>
          <t>PT10869</t>
        </is>
      </c>
      <c r="C1814" s="42" t="n">
        <v>45995</v>
      </c>
      <c r="D1814" s="42" t="n">
        <v>46007</v>
      </c>
      <c r="E1814" s="38" t="n">
        <v>12</v>
      </c>
      <c r="F1814" t="inlineStr">
        <is>
          <t>Inpatient</t>
        </is>
      </c>
      <c r="G1814" t="inlineStr">
        <is>
          <t>Bluestone Memorial Hospital</t>
        </is>
      </c>
      <c r="H1814" t="inlineStr">
        <is>
          <t>Neuroscience &amp; Stroke</t>
        </is>
      </c>
      <c r="I1814" t="inlineStr">
        <is>
          <t>Neuroscience</t>
        </is>
      </c>
      <c r="J1814" t="inlineStr">
        <is>
          <t>Garcia, Alexis</t>
        </is>
      </c>
      <c r="K1814" t="inlineStr">
        <is>
          <t>I63.9</t>
        </is>
      </c>
      <c r="L1814" t="inlineStr">
        <is>
          <t>Circulatory</t>
        </is>
      </c>
      <c r="M1814" t="inlineStr">
        <is>
          <t>State Medicaid</t>
        </is>
      </c>
      <c r="N1814" t="inlineStr">
        <is>
          <t>Government</t>
        </is>
      </c>
      <c r="O1814" s="39" t="n">
        <v>76616.11</v>
      </c>
      <c r="P1814" t="inlineStr">
        <is>
          <t>N</t>
        </is>
      </c>
    </row>
    <row r="1815">
      <c r="A1815" t="inlineStr">
        <is>
          <t>ENC120913</t>
        </is>
      </c>
      <c r="B1815" t="inlineStr">
        <is>
          <t>PT10221</t>
        </is>
      </c>
      <c r="C1815" s="42" t="n">
        <v>45996</v>
      </c>
      <c r="D1815" s="42" t="n">
        <v>45996</v>
      </c>
      <c r="E1815" s="38" t="n">
        <v>0</v>
      </c>
      <c r="F1815" t="inlineStr">
        <is>
          <t>Emergency</t>
        </is>
      </c>
      <c r="G1815" t="inlineStr">
        <is>
          <t>Bluestone Memorial Hospital</t>
        </is>
      </c>
      <c r="H1815" t="inlineStr">
        <is>
          <t>Emergency Department</t>
        </is>
      </c>
      <c r="I1815" t="inlineStr">
        <is>
          <t>Emergency</t>
        </is>
      </c>
      <c r="J1815" t="inlineStr">
        <is>
          <t>Foster, Patrick</t>
        </is>
      </c>
      <c r="K1815" t="inlineStr">
        <is>
          <t>G43.909</t>
        </is>
      </c>
      <c r="L1815" t="inlineStr">
        <is>
          <t>Nervous System</t>
        </is>
      </c>
      <c r="M1815" t="inlineStr">
        <is>
          <t>Evergreen Mutual Insurance</t>
        </is>
      </c>
      <c r="N1815" t="inlineStr">
        <is>
          <t>Commercial</t>
        </is>
      </c>
      <c r="O1815" s="39" t="n">
        <v>4082.56</v>
      </c>
    </row>
    <row r="1816">
      <c r="A1816" t="inlineStr">
        <is>
          <t>ENC120914</t>
        </is>
      </c>
      <c r="B1816" t="inlineStr">
        <is>
          <t>PT13492</t>
        </is>
      </c>
      <c r="C1816" s="42" t="n">
        <v>45996</v>
      </c>
      <c r="D1816" s="42" t="n">
        <v>45996</v>
      </c>
      <c r="E1816" s="38" t="n">
        <v>0</v>
      </c>
      <c r="F1816" t="inlineStr">
        <is>
          <t>Outpatient</t>
        </is>
      </c>
      <c r="G1816" t="inlineStr">
        <is>
          <t>Bluestone Outpatient Pavilion</t>
        </is>
      </c>
      <c r="H1816" t="inlineStr">
        <is>
          <t>Cardiology Clinic</t>
        </is>
      </c>
      <c r="I1816" t="inlineStr">
        <is>
          <t>Cardiovascular</t>
        </is>
      </c>
      <c r="J1816" t="inlineStr">
        <is>
          <t>Brooks, Edward</t>
        </is>
      </c>
      <c r="K1816" t="inlineStr">
        <is>
          <t>I50.9</t>
        </is>
      </c>
      <c r="L1816" t="inlineStr">
        <is>
          <t>Circulatory</t>
        </is>
      </c>
      <c r="M1816" t="inlineStr">
        <is>
          <t>Self-Pay</t>
        </is>
      </c>
      <c r="N1816" t="inlineStr">
        <is>
          <t>Self-Pay</t>
        </is>
      </c>
      <c r="O1816" s="39" t="n">
        <v>597.05</v>
      </c>
    </row>
    <row r="1817">
      <c r="A1817" t="inlineStr">
        <is>
          <t>ENC120915</t>
        </is>
      </c>
      <c r="B1817" t="inlineStr">
        <is>
          <t>PT10739</t>
        </is>
      </c>
      <c r="C1817" s="42" t="n">
        <v>45996</v>
      </c>
      <c r="D1817" s="42" t="n">
        <v>45996</v>
      </c>
      <c r="E1817" s="38" t="n">
        <v>0</v>
      </c>
      <c r="F1817" t="inlineStr">
        <is>
          <t>Outpatient</t>
        </is>
      </c>
      <c r="G1817" t="inlineStr">
        <is>
          <t>Bluestone Outpatient Pavilion</t>
        </is>
      </c>
      <c r="H1817" t="inlineStr">
        <is>
          <t>Primary Care Clinic</t>
        </is>
      </c>
      <c r="I1817" t="inlineStr">
        <is>
          <t>Ambulatory</t>
        </is>
      </c>
      <c r="J1817" t="inlineStr">
        <is>
          <t>Elliott, Douglas</t>
        </is>
      </c>
      <c r="K1817" t="inlineStr">
        <is>
          <t>Z00.00</t>
        </is>
      </c>
      <c r="L1817" t="inlineStr">
        <is>
          <t>Factors Influencing Health</t>
        </is>
      </c>
      <c r="M1817" t="inlineStr">
        <is>
          <t>State Medicaid</t>
        </is>
      </c>
      <c r="N1817" t="inlineStr">
        <is>
          <t>Government</t>
        </is>
      </c>
      <c r="O1817" s="39" t="n">
        <v>313.19</v>
      </c>
    </row>
    <row r="1818">
      <c r="A1818" t="inlineStr">
        <is>
          <t>ENC120918</t>
        </is>
      </c>
      <c r="B1818" t="inlineStr">
        <is>
          <t>PT10046</t>
        </is>
      </c>
      <c r="C1818" s="42" t="n">
        <v>45996</v>
      </c>
      <c r="D1818" s="42" t="n">
        <v>45996</v>
      </c>
      <c r="E1818" s="38" t="n">
        <v>0</v>
      </c>
      <c r="F1818" t="inlineStr">
        <is>
          <t>Outpatient</t>
        </is>
      </c>
      <c r="G1818" t="inlineStr">
        <is>
          <t>Bluestone Outpatient Pavilion</t>
        </is>
      </c>
      <c r="H1818" t="inlineStr">
        <is>
          <t>Primary Care Clinic</t>
        </is>
      </c>
      <c r="I1818" t="inlineStr">
        <is>
          <t>Ambulatory</t>
        </is>
      </c>
      <c r="J1818" t="inlineStr">
        <is>
          <t>Elliott, Douglas</t>
        </is>
      </c>
      <c r="K1818" t="inlineStr">
        <is>
          <t>J06.9</t>
        </is>
      </c>
      <c r="L1818" t="inlineStr">
        <is>
          <t>Respiratory</t>
        </is>
      </c>
      <c r="M1818" t="inlineStr">
        <is>
          <t>Self-Pay</t>
        </is>
      </c>
      <c r="N1818" t="inlineStr">
        <is>
          <t>Self-Pay</t>
        </is>
      </c>
      <c r="O1818" s="39" t="n">
        <v>372.24</v>
      </c>
    </row>
    <row r="1819">
      <c r="A1819" t="inlineStr">
        <is>
          <t>ENC120923</t>
        </is>
      </c>
      <c r="B1819" t="inlineStr">
        <is>
          <t>PT12156</t>
        </is>
      </c>
      <c r="C1819" s="42" t="n">
        <v>45996</v>
      </c>
      <c r="D1819" s="42" t="n">
        <v>45996</v>
      </c>
      <c r="E1819" s="38" t="n">
        <v>0</v>
      </c>
      <c r="F1819" t="inlineStr">
        <is>
          <t>Outpatient</t>
        </is>
      </c>
      <c r="G1819" t="inlineStr">
        <is>
          <t>Bluestone Outpatient Pavilion</t>
        </is>
      </c>
      <c r="H1819" t="inlineStr">
        <is>
          <t>Infusion &amp; Oncology Clinic</t>
        </is>
      </c>
      <c r="I1819" t="inlineStr">
        <is>
          <t>Oncology</t>
        </is>
      </c>
      <c r="J1819" t="inlineStr">
        <is>
          <t>Long, Fatima</t>
        </is>
      </c>
      <c r="K1819" t="inlineStr">
        <is>
          <t>C50.911</t>
        </is>
      </c>
      <c r="L1819" t="inlineStr">
        <is>
          <t>Neoplasms</t>
        </is>
      </c>
      <c r="M1819" t="inlineStr">
        <is>
          <t>State Medicaid</t>
        </is>
      </c>
      <c r="N1819" t="inlineStr">
        <is>
          <t>Government</t>
        </is>
      </c>
      <c r="O1819" s="39" t="n">
        <v>738.16</v>
      </c>
    </row>
    <row r="1820">
      <c r="A1820" t="inlineStr">
        <is>
          <t>ENC120928</t>
        </is>
      </c>
      <c r="B1820" t="inlineStr">
        <is>
          <t>PT13639</t>
        </is>
      </c>
      <c r="C1820" s="42" t="n">
        <v>45996</v>
      </c>
      <c r="D1820" s="42" t="n">
        <v>45996</v>
      </c>
      <c r="E1820" s="38" t="n">
        <v>0</v>
      </c>
      <c r="F1820" t="inlineStr">
        <is>
          <t>Outpatient</t>
        </is>
      </c>
      <c r="G1820" t="inlineStr">
        <is>
          <t>Bluestone Outpatient Pavilion</t>
        </is>
      </c>
      <c r="H1820" t="inlineStr">
        <is>
          <t>Pediatric Clinic</t>
        </is>
      </c>
      <c r="I1820" t="inlineStr">
        <is>
          <t>Women &amp; Children</t>
        </is>
      </c>
      <c r="J1820" t="inlineStr">
        <is>
          <t>Aguilar, Linh</t>
        </is>
      </c>
      <c r="K1820" t="inlineStr">
        <is>
          <t>J06.9</t>
        </is>
      </c>
      <c r="L1820" t="inlineStr">
        <is>
          <t>Respiratory</t>
        </is>
      </c>
      <c r="M1820" t="inlineStr">
        <is>
          <t>Summit Choice PPO</t>
        </is>
      </c>
      <c r="N1820" t="inlineStr">
        <is>
          <t>Commercial</t>
        </is>
      </c>
      <c r="O1820" s="39" t="n">
        <v>375.37</v>
      </c>
    </row>
    <row r="1821">
      <c r="A1821" t="inlineStr">
        <is>
          <t>ENC120925</t>
        </is>
      </c>
      <c r="B1821" t="inlineStr">
        <is>
          <t>PT13271</t>
        </is>
      </c>
      <c r="C1821" s="42" t="n">
        <v>45996</v>
      </c>
      <c r="D1821" s="42" t="n">
        <v>46013</v>
      </c>
      <c r="E1821" s="38" t="n">
        <v>17</v>
      </c>
      <c r="F1821" t="inlineStr">
        <is>
          <t>Inpatient</t>
        </is>
      </c>
      <c r="G1821" t="inlineStr">
        <is>
          <t>Bluestone Memorial Hospital</t>
        </is>
      </c>
      <c r="H1821" t="inlineStr">
        <is>
          <t>Cardiac Step-Down</t>
        </is>
      </c>
      <c r="I1821" t="inlineStr">
        <is>
          <t>Cardiovascular</t>
        </is>
      </c>
      <c r="J1821" t="inlineStr">
        <is>
          <t>Taylor, Jonathan</t>
        </is>
      </c>
      <c r="K1821" t="inlineStr">
        <is>
          <t>I50.9</t>
        </is>
      </c>
      <c r="L1821" t="inlineStr">
        <is>
          <t>Circulatory</t>
        </is>
      </c>
      <c r="M1821" t="inlineStr">
        <is>
          <t>Medicare</t>
        </is>
      </c>
      <c r="N1821" t="inlineStr">
        <is>
          <t>Government</t>
        </is>
      </c>
      <c r="O1821" s="39" t="n">
        <v>75801.07000000001</v>
      </c>
      <c r="P1821" t="inlineStr">
        <is>
          <t>N</t>
        </is>
      </c>
    </row>
    <row r="1822">
      <c r="A1822" t="inlineStr">
        <is>
          <t>ENC120943</t>
        </is>
      </c>
      <c r="B1822" t="inlineStr">
        <is>
          <t>PT10743</t>
        </is>
      </c>
      <c r="C1822" s="42" t="n">
        <v>45996</v>
      </c>
      <c r="D1822" s="42" t="n">
        <v>45996</v>
      </c>
      <c r="E1822" s="38" t="n">
        <v>0</v>
      </c>
      <c r="F1822" t="inlineStr">
        <is>
          <t>Outpatient</t>
        </is>
      </c>
      <c r="G1822" t="inlineStr">
        <is>
          <t>Bluestone Outpatient Pavilion</t>
        </is>
      </c>
      <c r="H1822" t="inlineStr">
        <is>
          <t>Infusion &amp; Oncology Clinic</t>
        </is>
      </c>
      <c r="I1822" t="inlineStr">
        <is>
          <t>Oncology</t>
        </is>
      </c>
      <c r="J1822" t="inlineStr">
        <is>
          <t>Cooper, Logan</t>
        </is>
      </c>
      <c r="K1822" t="inlineStr">
        <is>
          <t>C50.911</t>
        </is>
      </c>
      <c r="L1822" t="inlineStr">
        <is>
          <t>Neoplasms</t>
        </is>
      </c>
      <c r="M1822" t="inlineStr">
        <is>
          <t>Silverline Medicare Advantage</t>
        </is>
      </c>
      <c r="N1822" t="inlineStr">
        <is>
          <t>Medicare Advantage</t>
        </is>
      </c>
      <c r="O1822" s="39" t="n">
        <v>1099.75</v>
      </c>
    </row>
    <row r="1823">
      <c r="A1823" t="inlineStr">
        <is>
          <t>ENC120947</t>
        </is>
      </c>
      <c r="B1823" t="inlineStr">
        <is>
          <t>PT12637</t>
        </is>
      </c>
      <c r="C1823" s="42" t="n">
        <v>45996</v>
      </c>
      <c r="D1823" s="42" t="n">
        <v>45996</v>
      </c>
      <c r="E1823" s="38" t="n">
        <v>0</v>
      </c>
      <c r="F1823" t="inlineStr">
        <is>
          <t>Emergency</t>
        </is>
      </c>
      <c r="G1823" t="inlineStr">
        <is>
          <t>Bluestone Memorial Hospital</t>
        </is>
      </c>
      <c r="H1823" t="inlineStr">
        <is>
          <t>Emergency Department</t>
        </is>
      </c>
      <c r="I1823" t="inlineStr">
        <is>
          <t>Emergency</t>
        </is>
      </c>
      <c r="J1823" t="inlineStr">
        <is>
          <t>Mendoza, Alexander</t>
        </is>
      </c>
      <c r="K1823" t="inlineStr">
        <is>
          <t>S93.401A</t>
        </is>
      </c>
      <c r="L1823" t="inlineStr">
        <is>
          <t>Injury</t>
        </is>
      </c>
      <c r="M1823" t="inlineStr">
        <is>
          <t>Silverline Medicare Advantage</t>
        </is>
      </c>
      <c r="N1823" t="inlineStr">
        <is>
          <t>Medicare Advantage</t>
        </is>
      </c>
      <c r="O1823" s="39" t="n">
        <v>1362.36</v>
      </c>
    </row>
    <row r="1824">
      <c r="A1824" t="inlineStr">
        <is>
          <t>ENC120950</t>
        </is>
      </c>
      <c r="B1824" t="inlineStr">
        <is>
          <t>PT11247</t>
        </is>
      </c>
      <c r="C1824" s="42" t="n">
        <v>45996</v>
      </c>
      <c r="D1824" s="42" t="n">
        <v>45996</v>
      </c>
      <c r="E1824" s="38" t="n">
        <v>0</v>
      </c>
      <c r="F1824" t="inlineStr">
        <is>
          <t>Emergency</t>
        </is>
      </c>
      <c r="G1824" t="inlineStr">
        <is>
          <t>Bluestone Memorial Hospital</t>
        </is>
      </c>
      <c r="H1824" t="inlineStr">
        <is>
          <t>Emergency Department</t>
        </is>
      </c>
      <c r="I1824" t="inlineStr">
        <is>
          <t>Emergency</t>
        </is>
      </c>
      <c r="J1824" t="inlineStr">
        <is>
          <t>Vasquez, Bruce</t>
        </is>
      </c>
      <c r="K1824" t="inlineStr">
        <is>
          <t>J21.9</t>
        </is>
      </c>
      <c r="L1824" t="inlineStr">
        <is>
          <t>Respiratory</t>
        </is>
      </c>
      <c r="M1824" t="inlineStr">
        <is>
          <t>Keystone Health Partners</t>
        </is>
      </c>
      <c r="N1824" t="inlineStr">
        <is>
          <t>Commercial</t>
        </is>
      </c>
      <c r="O1824" s="39" t="n">
        <v>1450.74</v>
      </c>
    </row>
    <row r="1825">
      <c r="A1825" t="inlineStr">
        <is>
          <t>ENC120954</t>
        </is>
      </c>
      <c r="B1825" t="inlineStr">
        <is>
          <t>PT10420</t>
        </is>
      </c>
      <c r="C1825" s="42" t="n">
        <v>45996</v>
      </c>
      <c r="D1825" s="42" t="n">
        <v>45997</v>
      </c>
      <c r="E1825" s="38" t="n">
        <v>1</v>
      </c>
      <c r="F1825" t="inlineStr">
        <is>
          <t>Emergency</t>
        </is>
      </c>
      <c r="G1825" t="inlineStr">
        <is>
          <t>Bluestone Memorial Hospital</t>
        </is>
      </c>
      <c r="H1825" t="inlineStr">
        <is>
          <t>Emergency Department</t>
        </is>
      </c>
      <c r="I1825" t="inlineStr">
        <is>
          <t>Emergency</t>
        </is>
      </c>
      <c r="J1825" t="inlineStr">
        <is>
          <t>Mendoza, Alexander</t>
        </is>
      </c>
      <c r="K1825" t="inlineStr">
        <is>
          <t>J44.1</t>
        </is>
      </c>
      <c r="L1825" t="inlineStr">
        <is>
          <t>Respiratory</t>
        </is>
      </c>
      <c r="M1825" t="inlineStr">
        <is>
          <t>Evergreen Mutual Insurance</t>
        </is>
      </c>
      <c r="N1825" t="inlineStr">
        <is>
          <t>Commercial</t>
        </is>
      </c>
      <c r="O1825" s="39" t="n">
        <v>1550.86</v>
      </c>
    </row>
    <row r="1826">
      <c r="A1826" t="inlineStr">
        <is>
          <t>ENC120965</t>
        </is>
      </c>
      <c r="B1826" t="inlineStr">
        <is>
          <t>PT10101</t>
        </is>
      </c>
      <c r="C1826" s="42" t="n">
        <v>45997</v>
      </c>
      <c r="D1826" s="42" t="n">
        <v>45997</v>
      </c>
      <c r="E1826" s="38" t="n">
        <v>0</v>
      </c>
      <c r="F1826" t="inlineStr">
        <is>
          <t>Emergency</t>
        </is>
      </c>
      <c r="G1826" t="inlineStr">
        <is>
          <t>Bluestone Memorial Hospital</t>
        </is>
      </c>
      <c r="H1826" t="inlineStr">
        <is>
          <t>Emergency Department</t>
        </is>
      </c>
      <c r="I1826" t="inlineStr">
        <is>
          <t>Emergency</t>
        </is>
      </c>
      <c r="J1826" t="inlineStr">
        <is>
          <t>Sullivan, Jacob</t>
        </is>
      </c>
      <c r="K1826" t="inlineStr">
        <is>
          <t>J06.9</t>
        </is>
      </c>
      <c r="L1826" t="inlineStr">
        <is>
          <t>Respiratory</t>
        </is>
      </c>
      <c r="M1826" t="inlineStr">
        <is>
          <t>Silverline Medicare Advantage</t>
        </is>
      </c>
      <c r="N1826" t="inlineStr">
        <is>
          <t>Medicare Advantage</t>
        </is>
      </c>
      <c r="O1826" s="39" t="n">
        <v>1668.75</v>
      </c>
    </row>
    <row r="1827">
      <c r="A1827" t="inlineStr">
        <is>
          <t>ENC120966</t>
        </is>
      </c>
      <c r="B1827" t="inlineStr">
        <is>
          <t>PT11374</t>
        </is>
      </c>
      <c r="C1827" s="42" t="n">
        <v>45997</v>
      </c>
      <c r="D1827" s="42" t="n">
        <v>45997</v>
      </c>
      <c r="E1827" s="38" t="n">
        <v>0</v>
      </c>
      <c r="F1827" t="inlineStr">
        <is>
          <t>Emergency</t>
        </is>
      </c>
      <c r="G1827" t="inlineStr">
        <is>
          <t>Bluestone Memorial Hospital</t>
        </is>
      </c>
      <c r="H1827" t="inlineStr">
        <is>
          <t>Emergency Department</t>
        </is>
      </c>
      <c r="I1827" t="inlineStr">
        <is>
          <t>Emergency</t>
        </is>
      </c>
      <c r="J1827" t="inlineStr">
        <is>
          <t>Sullivan, Jacob</t>
        </is>
      </c>
      <c r="K1827" t="inlineStr">
        <is>
          <t>R07.9</t>
        </is>
      </c>
      <c r="L1827" t="inlineStr">
        <is>
          <t>Symptoms &amp; Signs</t>
        </is>
      </c>
      <c r="M1827" t="inlineStr">
        <is>
          <t>Medicare</t>
        </is>
      </c>
      <c r="N1827" t="inlineStr">
        <is>
          <t>Government</t>
        </is>
      </c>
      <c r="O1827" s="39" t="n">
        <v>3730.44</v>
      </c>
    </row>
    <row r="1828">
      <c r="A1828" t="inlineStr">
        <is>
          <t>ENC120974</t>
        </is>
      </c>
      <c r="B1828" t="inlineStr">
        <is>
          <t>PT10196</t>
        </is>
      </c>
      <c r="C1828" s="42" t="n">
        <v>45997</v>
      </c>
      <c r="D1828" s="42" t="n">
        <v>46004</v>
      </c>
      <c r="E1828" s="38" t="n">
        <v>7</v>
      </c>
      <c r="F1828" t="inlineStr">
        <is>
          <t>Inpatient</t>
        </is>
      </c>
      <c r="G1828" t="inlineStr">
        <is>
          <t>Bluestone Memorial Hospital</t>
        </is>
      </c>
      <c r="H1828" t="inlineStr">
        <is>
          <t>Intensive Care Unit</t>
        </is>
      </c>
      <c r="I1828" t="inlineStr">
        <is>
          <t>Critical Care</t>
        </is>
      </c>
      <c r="J1828" t="inlineStr">
        <is>
          <t>Hamilton, Leila</t>
        </is>
      </c>
      <c r="K1828" t="inlineStr">
        <is>
          <t>J96.01</t>
        </is>
      </c>
      <c r="L1828" t="inlineStr">
        <is>
          <t>Respiratory</t>
        </is>
      </c>
      <c r="M1828" t="inlineStr">
        <is>
          <t>Silverline Medicare Advantage</t>
        </is>
      </c>
      <c r="N1828" t="inlineStr">
        <is>
          <t>Medicare Advantage</t>
        </is>
      </c>
      <c r="O1828" s="39" t="n">
        <v>88135.64999999999</v>
      </c>
      <c r="P1828" t="inlineStr">
        <is>
          <t>N</t>
        </is>
      </c>
    </row>
    <row r="1829">
      <c r="A1829" t="inlineStr">
        <is>
          <t>ENC120972</t>
        </is>
      </c>
      <c r="B1829" t="inlineStr">
        <is>
          <t>PT10721</t>
        </is>
      </c>
      <c r="C1829" s="42" t="n">
        <v>45997</v>
      </c>
      <c r="D1829" s="42" t="n">
        <v>45999</v>
      </c>
      <c r="E1829" s="38" t="n">
        <v>2</v>
      </c>
      <c r="F1829" t="inlineStr">
        <is>
          <t>Observation</t>
        </is>
      </c>
      <c r="G1829" t="inlineStr">
        <is>
          <t>Cedar Ridge Medical Center</t>
        </is>
      </c>
      <c r="H1829" t="inlineStr">
        <is>
          <t>Medical-Surgical</t>
        </is>
      </c>
      <c r="I1829" t="inlineStr">
        <is>
          <t>Medicine</t>
        </is>
      </c>
      <c r="J1829" t="inlineStr">
        <is>
          <t>Peters, Frank</t>
        </is>
      </c>
      <c r="K1829" t="inlineStr">
        <is>
          <t>J44.1</t>
        </is>
      </c>
      <c r="L1829" t="inlineStr">
        <is>
          <t>Respiratory</t>
        </is>
      </c>
      <c r="M1829" t="inlineStr">
        <is>
          <t>Medicare</t>
        </is>
      </c>
      <c r="N1829" t="inlineStr">
        <is>
          <t>Government</t>
        </is>
      </c>
      <c r="O1829" s="39" t="n">
        <v>7153.48</v>
      </c>
    </row>
    <row r="1830">
      <c r="A1830" t="inlineStr">
        <is>
          <t>ENC120978</t>
        </is>
      </c>
      <c r="B1830" t="inlineStr">
        <is>
          <t>PT12368</t>
        </is>
      </c>
      <c r="C1830" s="42" t="n">
        <v>45997</v>
      </c>
      <c r="D1830" s="42" t="n">
        <v>46006</v>
      </c>
      <c r="E1830" s="38" t="n">
        <v>9</v>
      </c>
      <c r="F1830" t="inlineStr">
        <is>
          <t>Inpatient</t>
        </is>
      </c>
      <c r="G1830" t="inlineStr">
        <is>
          <t>Ashby Falls Community Hospital</t>
        </is>
      </c>
      <c r="H1830" t="inlineStr">
        <is>
          <t>Medical-Surgical</t>
        </is>
      </c>
      <c r="I1830" t="inlineStr">
        <is>
          <t>Medicine</t>
        </is>
      </c>
      <c r="J1830" t="inlineStr">
        <is>
          <t>Perkins, Stephen</t>
        </is>
      </c>
      <c r="K1830" t="inlineStr">
        <is>
          <t>K56.609</t>
        </is>
      </c>
      <c r="L1830" t="inlineStr">
        <is>
          <t>Digestive</t>
        </is>
      </c>
      <c r="M1830" t="inlineStr">
        <is>
          <t>Evergreen Mutual Insurance</t>
        </is>
      </c>
      <c r="N1830" t="inlineStr">
        <is>
          <t>Commercial</t>
        </is>
      </c>
      <c r="O1830" s="39" t="n">
        <v>55015.83</v>
      </c>
      <c r="P1830" t="inlineStr">
        <is>
          <t>Y</t>
        </is>
      </c>
    </row>
    <row r="1831">
      <c r="A1831" t="inlineStr">
        <is>
          <t>ENC120979</t>
        </is>
      </c>
      <c r="B1831" t="inlineStr">
        <is>
          <t>PT11149</t>
        </is>
      </c>
      <c r="C1831" s="42" t="n">
        <v>45998</v>
      </c>
      <c r="D1831" s="42" t="n">
        <v>46007</v>
      </c>
      <c r="E1831" s="38" t="n">
        <v>9</v>
      </c>
      <c r="F1831" t="inlineStr">
        <is>
          <t>Inpatient</t>
        </is>
      </c>
      <c r="G1831" t="inlineStr">
        <is>
          <t>Cedar Ridge Medical Center</t>
        </is>
      </c>
      <c r="H1831" t="inlineStr">
        <is>
          <t>Medical-Surgical</t>
        </is>
      </c>
      <c r="I1831" t="inlineStr">
        <is>
          <t>Medicine</t>
        </is>
      </c>
      <c r="J1831" t="inlineStr">
        <is>
          <t>Berry, Minh</t>
        </is>
      </c>
      <c r="K1831" t="inlineStr">
        <is>
          <t>J18.9</t>
        </is>
      </c>
      <c r="L1831" t="inlineStr">
        <is>
          <t>Respiratory</t>
        </is>
      </c>
      <c r="M1831" t="inlineStr">
        <is>
          <t>Evergreen Mutual Insurance</t>
        </is>
      </c>
      <c r="N1831" t="inlineStr">
        <is>
          <t>Commercial</t>
        </is>
      </c>
      <c r="O1831" s="39" t="n">
        <v>19712.53</v>
      </c>
      <c r="P1831" t="inlineStr">
        <is>
          <t>N</t>
        </is>
      </c>
    </row>
    <row r="1832">
      <c r="A1832" t="inlineStr">
        <is>
          <t>ENC120980</t>
        </is>
      </c>
      <c r="B1832" t="inlineStr">
        <is>
          <t>PT12770</t>
        </is>
      </c>
      <c r="C1832" s="42" t="n">
        <v>45998</v>
      </c>
      <c r="D1832" s="42" t="n">
        <v>45998</v>
      </c>
      <c r="E1832" s="38" t="n">
        <v>0</v>
      </c>
      <c r="F1832" t="inlineStr">
        <is>
          <t>Emergency</t>
        </is>
      </c>
      <c r="G1832" t="inlineStr">
        <is>
          <t>Cedar Ridge Medical Center</t>
        </is>
      </c>
      <c r="H1832" t="inlineStr">
        <is>
          <t>Emergency Department</t>
        </is>
      </c>
      <c r="I1832" t="inlineStr">
        <is>
          <t>Emergency</t>
        </is>
      </c>
      <c r="J1832" t="inlineStr">
        <is>
          <t>Andrews, Michael</t>
        </is>
      </c>
      <c r="K1832" t="inlineStr">
        <is>
          <t>F41.9</t>
        </is>
      </c>
      <c r="L1832" t="inlineStr">
        <is>
          <t>Mental &amp; Behavioral</t>
        </is>
      </c>
      <c r="M1832" t="inlineStr">
        <is>
          <t>Keystone Health Partners</t>
        </is>
      </c>
      <c r="N1832" t="inlineStr">
        <is>
          <t>Commercial</t>
        </is>
      </c>
      <c r="O1832" s="39" t="n">
        <v>951.78</v>
      </c>
    </row>
    <row r="1833">
      <c r="A1833" t="inlineStr">
        <is>
          <t>ENC120986</t>
        </is>
      </c>
      <c r="B1833" t="inlineStr">
        <is>
          <t>PT11452</t>
        </is>
      </c>
      <c r="C1833" s="42" t="n">
        <v>45998</v>
      </c>
      <c r="D1833" s="42" t="n">
        <v>45999</v>
      </c>
      <c r="E1833" s="38" t="n">
        <v>1</v>
      </c>
      <c r="F1833" t="inlineStr">
        <is>
          <t>Inpatient</t>
        </is>
      </c>
      <c r="G1833" t="inlineStr">
        <is>
          <t>Bluestone Memorial Hospital</t>
        </is>
      </c>
      <c r="H1833" t="inlineStr">
        <is>
          <t>Medical-Surgical 4 West</t>
        </is>
      </c>
      <c r="I1833" t="inlineStr">
        <is>
          <t>Medicine</t>
        </is>
      </c>
      <c r="J1833" t="inlineStr">
        <is>
          <t>White, Kathleen</t>
        </is>
      </c>
      <c r="K1833" t="inlineStr">
        <is>
          <t>K80.20</t>
        </is>
      </c>
      <c r="L1833" t="inlineStr">
        <is>
          <t>Digestive</t>
        </is>
      </c>
      <c r="M1833" t="inlineStr">
        <is>
          <t>Keystone Health Partners</t>
        </is>
      </c>
      <c r="N1833" t="inlineStr">
        <is>
          <t>Commercial</t>
        </is>
      </c>
      <c r="O1833" s="39" t="n">
        <v>22129.42</v>
      </c>
      <c r="P1833" t="inlineStr">
        <is>
          <t>N</t>
        </is>
      </c>
    </row>
    <row r="1834">
      <c r="A1834" t="inlineStr">
        <is>
          <t>ENC120988</t>
        </is>
      </c>
      <c r="B1834" t="inlineStr">
        <is>
          <t>PT10532</t>
        </is>
      </c>
      <c r="C1834" s="42" t="n">
        <v>45998</v>
      </c>
      <c r="D1834" s="42" t="n">
        <v>45999</v>
      </c>
      <c r="E1834" s="38" t="n">
        <v>1</v>
      </c>
      <c r="F1834" t="inlineStr">
        <is>
          <t>Observation</t>
        </is>
      </c>
      <c r="G1834" t="inlineStr">
        <is>
          <t>Cedar Ridge Medical Center</t>
        </is>
      </c>
      <c r="H1834" t="inlineStr">
        <is>
          <t>Medical-Surgical</t>
        </is>
      </c>
      <c r="I1834" t="inlineStr">
        <is>
          <t>Medicine</t>
        </is>
      </c>
      <c r="J1834" t="inlineStr">
        <is>
          <t>Payne, Tyler</t>
        </is>
      </c>
      <c r="K1834" t="inlineStr">
        <is>
          <t>J45.909</t>
        </is>
      </c>
      <c r="L1834" t="inlineStr">
        <is>
          <t>Respiratory</t>
        </is>
      </c>
      <c r="M1834" t="inlineStr">
        <is>
          <t>Keystone Health Partners</t>
        </is>
      </c>
      <c r="N1834" t="inlineStr">
        <is>
          <t>Commercial</t>
        </is>
      </c>
      <c r="O1834" s="39" t="n">
        <v>8042.91</v>
      </c>
    </row>
    <row r="1835">
      <c r="A1835" t="inlineStr">
        <is>
          <t>ENC120989</t>
        </is>
      </c>
      <c r="B1835" t="inlineStr">
        <is>
          <t>PT12485</t>
        </is>
      </c>
      <c r="C1835" s="42" t="n">
        <v>45998</v>
      </c>
      <c r="D1835" s="42" t="n">
        <v>45998</v>
      </c>
      <c r="E1835" s="38" t="n">
        <v>0</v>
      </c>
      <c r="F1835" t="inlineStr">
        <is>
          <t>Emergency</t>
        </is>
      </c>
      <c r="G1835" t="inlineStr">
        <is>
          <t>Cedar Ridge Medical Center</t>
        </is>
      </c>
      <c r="H1835" t="inlineStr">
        <is>
          <t>Emergency Department</t>
        </is>
      </c>
      <c r="I1835" t="inlineStr">
        <is>
          <t>Emergency</t>
        </is>
      </c>
      <c r="J1835" t="inlineStr">
        <is>
          <t>Barnes, Gary</t>
        </is>
      </c>
      <c r="K1835" t="inlineStr">
        <is>
          <t>S06.0X0A</t>
        </is>
      </c>
      <c r="L1835" t="inlineStr">
        <is>
          <t>Injury</t>
        </is>
      </c>
      <c r="M1835" t="inlineStr">
        <is>
          <t>Medicare</t>
        </is>
      </c>
      <c r="N1835" t="inlineStr">
        <is>
          <t>Government</t>
        </is>
      </c>
      <c r="O1835" s="39" t="n">
        <v>576.3</v>
      </c>
    </row>
    <row r="1836">
      <c r="A1836" t="inlineStr">
        <is>
          <t>ENC120995</t>
        </is>
      </c>
      <c r="B1836" t="inlineStr">
        <is>
          <t>PT10299</t>
        </is>
      </c>
      <c r="C1836" s="42" t="n">
        <v>45999</v>
      </c>
      <c r="D1836" s="42" t="n">
        <v>45999</v>
      </c>
      <c r="E1836" s="38" t="n">
        <v>0</v>
      </c>
      <c r="F1836" t="inlineStr">
        <is>
          <t>Emergency</t>
        </is>
      </c>
      <c r="G1836" t="inlineStr">
        <is>
          <t>Cedar Ridge Medical Center</t>
        </is>
      </c>
      <c r="H1836" t="inlineStr">
        <is>
          <t>Emergency Department</t>
        </is>
      </c>
      <c r="I1836" t="inlineStr">
        <is>
          <t>Emergency</t>
        </is>
      </c>
      <c r="J1836" t="inlineStr">
        <is>
          <t>Riley, Shirley</t>
        </is>
      </c>
      <c r="K1836" t="inlineStr">
        <is>
          <t>R10.9</t>
        </is>
      </c>
      <c r="L1836" t="inlineStr">
        <is>
          <t>Symptoms &amp; Signs</t>
        </is>
      </c>
      <c r="M1836" t="inlineStr">
        <is>
          <t>Summit Choice PPO</t>
        </is>
      </c>
      <c r="N1836" t="inlineStr">
        <is>
          <t>Commercial</t>
        </is>
      </c>
      <c r="O1836" s="39" t="n">
        <v>4593.42</v>
      </c>
    </row>
    <row r="1837">
      <c r="A1837" t="inlineStr">
        <is>
          <t>ENC121002</t>
        </is>
      </c>
      <c r="B1837" t="inlineStr">
        <is>
          <t>PT11604</t>
        </is>
      </c>
      <c r="C1837" s="42" t="n">
        <v>45999</v>
      </c>
      <c r="D1837" s="42" t="n">
        <v>45999</v>
      </c>
      <c r="E1837" s="38" t="n">
        <v>0</v>
      </c>
      <c r="F1837" t="inlineStr">
        <is>
          <t>Outpatient</t>
        </is>
      </c>
      <c r="G1837" t="inlineStr">
        <is>
          <t>Bluestone Outpatient Pavilion</t>
        </is>
      </c>
      <c r="H1837" t="inlineStr">
        <is>
          <t>Primary Care Clinic</t>
        </is>
      </c>
      <c r="I1837" t="inlineStr">
        <is>
          <t>Ambulatory</t>
        </is>
      </c>
      <c r="J1837" t="inlineStr">
        <is>
          <t>Chen, Mei</t>
        </is>
      </c>
      <c r="K1837" t="inlineStr">
        <is>
          <t>I10</t>
        </is>
      </c>
      <c r="L1837" t="inlineStr">
        <is>
          <t>Circulatory</t>
        </is>
      </c>
      <c r="M1837" t="inlineStr">
        <is>
          <t>Summit Choice PPO</t>
        </is>
      </c>
      <c r="N1837" t="inlineStr">
        <is>
          <t>Commercial</t>
        </is>
      </c>
      <c r="O1837" s="39" t="n">
        <v>327.17</v>
      </c>
    </row>
    <row r="1838">
      <c r="A1838" t="inlineStr">
        <is>
          <t>ENC121007</t>
        </is>
      </c>
      <c r="B1838" t="inlineStr">
        <is>
          <t>PT11221</t>
        </is>
      </c>
      <c r="C1838" s="42" t="n">
        <v>45999</v>
      </c>
      <c r="D1838" s="42" t="n">
        <v>45999</v>
      </c>
      <c r="E1838" s="38" t="n">
        <v>0</v>
      </c>
      <c r="F1838" t="inlineStr">
        <is>
          <t>Outpatient</t>
        </is>
      </c>
      <c r="G1838" t="inlineStr">
        <is>
          <t>Bluestone Outpatient Pavilion</t>
        </is>
      </c>
      <c r="H1838" t="inlineStr">
        <is>
          <t>Primary Care Clinic</t>
        </is>
      </c>
      <c r="I1838" t="inlineStr">
        <is>
          <t>Ambulatory</t>
        </is>
      </c>
      <c r="J1838" t="inlineStr">
        <is>
          <t>Torres, Rebecca</t>
        </is>
      </c>
      <c r="K1838" t="inlineStr">
        <is>
          <t>Z23</t>
        </is>
      </c>
      <c r="L1838" t="inlineStr">
        <is>
          <t>Factors Influencing Health</t>
        </is>
      </c>
      <c r="M1838" t="inlineStr">
        <is>
          <t>Silverline Medicare Advantage</t>
        </is>
      </c>
      <c r="N1838" t="inlineStr">
        <is>
          <t>Medicare Advantage</t>
        </is>
      </c>
      <c r="O1838" s="39" t="n">
        <v>135.37</v>
      </c>
    </row>
    <row r="1839">
      <c r="A1839" t="inlineStr">
        <is>
          <t>ENC121008</t>
        </is>
      </c>
      <c r="B1839" t="inlineStr">
        <is>
          <t>PT11805</t>
        </is>
      </c>
      <c r="C1839" s="42" t="n">
        <v>45999</v>
      </c>
      <c r="D1839" s="42" t="n">
        <v>45999</v>
      </c>
      <c r="E1839" s="38" t="n">
        <v>0</v>
      </c>
      <c r="F1839" t="inlineStr">
        <is>
          <t>Outpatient</t>
        </is>
      </c>
      <c r="G1839" t="inlineStr">
        <is>
          <t>Bluestone Outpatient Pavilion</t>
        </is>
      </c>
      <c r="H1839" t="inlineStr">
        <is>
          <t>Primary Care Clinic</t>
        </is>
      </c>
      <c r="I1839" t="inlineStr">
        <is>
          <t>Ambulatory</t>
        </is>
      </c>
      <c r="J1839" t="inlineStr">
        <is>
          <t>Alvarado, George</t>
        </is>
      </c>
      <c r="K1839" t="inlineStr">
        <is>
          <t>I10</t>
        </is>
      </c>
      <c r="L1839" t="inlineStr">
        <is>
          <t>Circulatory</t>
        </is>
      </c>
      <c r="M1839" t="inlineStr">
        <is>
          <t>Self-Pay</t>
        </is>
      </c>
      <c r="N1839" t="inlineStr">
        <is>
          <t>Self-Pay</t>
        </is>
      </c>
      <c r="O1839" s="39" t="n">
        <v>255.32</v>
      </c>
    </row>
    <row r="1840">
      <c r="A1840" t="inlineStr">
        <is>
          <t>ENC121014</t>
        </is>
      </c>
      <c r="B1840" t="inlineStr">
        <is>
          <t>PT12528</t>
        </is>
      </c>
      <c r="C1840" s="42" t="n">
        <v>45999</v>
      </c>
      <c r="D1840" s="42" t="n">
        <v>45999</v>
      </c>
      <c r="E1840" s="38" t="n">
        <v>0</v>
      </c>
      <c r="F1840" t="inlineStr">
        <is>
          <t>Outpatient</t>
        </is>
      </c>
      <c r="G1840" t="inlineStr">
        <is>
          <t>Bluestone Outpatient Pavilion</t>
        </is>
      </c>
      <c r="H1840" t="inlineStr">
        <is>
          <t>Infusion &amp; Oncology Clinic</t>
        </is>
      </c>
      <c r="I1840" t="inlineStr">
        <is>
          <t>Oncology</t>
        </is>
      </c>
      <c r="J1840" t="inlineStr">
        <is>
          <t>Long, Fatima</t>
        </is>
      </c>
      <c r="K1840" t="inlineStr">
        <is>
          <t>Z51.11</t>
        </is>
      </c>
      <c r="L1840" t="inlineStr">
        <is>
          <t>Factors Influencing Health</t>
        </is>
      </c>
      <c r="M1840" t="inlineStr">
        <is>
          <t>Self-Pay</t>
        </is>
      </c>
      <c r="N1840" t="inlineStr">
        <is>
          <t>Self-Pay</t>
        </is>
      </c>
      <c r="O1840" s="39" t="n">
        <v>10091.4</v>
      </c>
    </row>
    <row r="1841">
      <c r="A1841" t="inlineStr">
        <is>
          <t>ENC121026</t>
        </is>
      </c>
      <c r="B1841" t="inlineStr">
        <is>
          <t>PT11406</t>
        </is>
      </c>
      <c r="C1841" s="42" t="n">
        <v>45999</v>
      </c>
      <c r="D1841" s="42" t="n">
        <v>45999</v>
      </c>
      <c r="E1841" s="38" t="n">
        <v>0</v>
      </c>
      <c r="F1841" t="inlineStr">
        <is>
          <t>Emergency</t>
        </is>
      </c>
      <c r="G1841" t="inlineStr">
        <is>
          <t>Ashby Falls Community Hospital</t>
        </is>
      </c>
      <c r="H1841" t="inlineStr">
        <is>
          <t>Emergency Department</t>
        </is>
      </c>
      <c r="I1841" t="inlineStr">
        <is>
          <t>Emergency</t>
        </is>
      </c>
      <c r="J1841" t="inlineStr">
        <is>
          <t>Marshall, Lisa</t>
        </is>
      </c>
      <c r="K1841" t="inlineStr">
        <is>
          <t>R07.9</t>
        </is>
      </c>
      <c r="L1841" t="inlineStr">
        <is>
          <t>Symptoms &amp; Signs</t>
        </is>
      </c>
      <c r="M1841" t="inlineStr">
        <is>
          <t>Silverline Medicare Advantage</t>
        </is>
      </c>
      <c r="N1841" t="inlineStr">
        <is>
          <t>Medicare Advantage</t>
        </is>
      </c>
      <c r="O1841" s="39" t="n">
        <v>5183.23</v>
      </c>
    </row>
    <row r="1842">
      <c r="A1842" t="inlineStr">
        <is>
          <t>ENC121042</t>
        </is>
      </c>
      <c r="B1842" t="inlineStr">
        <is>
          <t>PT11396</t>
        </is>
      </c>
      <c r="C1842" s="42" t="n">
        <v>45999</v>
      </c>
      <c r="D1842" s="42" t="n">
        <v>45999</v>
      </c>
      <c r="E1842" s="38" t="n">
        <v>0</v>
      </c>
      <c r="F1842" t="inlineStr">
        <is>
          <t>Emergency</t>
        </is>
      </c>
      <c r="G1842" t="inlineStr">
        <is>
          <t>Bluestone Memorial Hospital</t>
        </is>
      </c>
      <c r="H1842" t="inlineStr">
        <is>
          <t>Emergency Department</t>
        </is>
      </c>
      <c r="I1842" t="inlineStr">
        <is>
          <t>Emergency</t>
        </is>
      </c>
      <c r="J1842" t="inlineStr">
        <is>
          <t>Cruz, Mia</t>
        </is>
      </c>
      <c r="K1842" t="inlineStr">
        <is>
          <t>N39.0</t>
        </is>
      </c>
      <c r="L1842" t="inlineStr">
        <is>
          <t>Genitourinary</t>
        </is>
      </c>
      <c r="M1842" t="inlineStr">
        <is>
          <t>Keystone Health Partners</t>
        </is>
      </c>
      <c r="N1842" t="inlineStr">
        <is>
          <t>Commercial</t>
        </is>
      </c>
      <c r="O1842" s="39" t="n">
        <v>4464.59</v>
      </c>
    </row>
    <row r="1843">
      <c r="A1843" t="inlineStr">
        <is>
          <t>ENC121045</t>
        </is>
      </c>
      <c r="B1843" t="inlineStr">
        <is>
          <t>PT13818</t>
        </is>
      </c>
      <c r="C1843" s="42" t="n">
        <v>45999</v>
      </c>
      <c r="D1843" s="42" t="n">
        <v>46000</v>
      </c>
      <c r="E1843" s="38" t="n">
        <v>1</v>
      </c>
      <c r="F1843" t="inlineStr">
        <is>
          <t>Emergency</t>
        </is>
      </c>
      <c r="G1843" t="inlineStr">
        <is>
          <t>Bluestone Memorial Hospital</t>
        </is>
      </c>
      <c r="H1843" t="inlineStr">
        <is>
          <t>Emergency Department</t>
        </is>
      </c>
      <c r="I1843" t="inlineStr">
        <is>
          <t>Emergency</t>
        </is>
      </c>
      <c r="J1843" t="inlineStr">
        <is>
          <t>Kowalski, James</t>
        </is>
      </c>
      <c r="K1843" t="inlineStr">
        <is>
          <t>F32.9</t>
        </is>
      </c>
      <c r="L1843" t="inlineStr">
        <is>
          <t>Mental &amp; Behavioral</t>
        </is>
      </c>
      <c r="M1843" t="inlineStr">
        <is>
          <t>Keystone Health Partners</t>
        </is>
      </c>
      <c r="N1843" t="inlineStr">
        <is>
          <t>Commercial</t>
        </is>
      </c>
      <c r="O1843" s="39" t="n">
        <v>4564.75</v>
      </c>
    </row>
    <row r="1844">
      <c r="A1844" t="inlineStr">
        <is>
          <t>ENC121047</t>
        </is>
      </c>
      <c r="B1844" t="inlineStr">
        <is>
          <t>PT11296</t>
        </is>
      </c>
      <c r="C1844" s="42" t="n">
        <v>45999</v>
      </c>
      <c r="D1844" s="42" t="n">
        <v>46000</v>
      </c>
      <c r="E1844" s="38" t="n">
        <v>1</v>
      </c>
      <c r="F1844" t="inlineStr">
        <is>
          <t>Emergency</t>
        </is>
      </c>
      <c r="G1844" t="inlineStr">
        <is>
          <t>Bluestone Memorial Hospital</t>
        </is>
      </c>
      <c r="H1844" t="inlineStr">
        <is>
          <t>Emergency Department</t>
        </is>
      </c>
      <c r="I1844" t="inlineStr">
        <is>
          <t>Emergency</t>
        </is>
      </c>
      <c r="J1844" t="inlineStr">
        <is>
          <t>Cruz, Mia</t>
        </is>
      </c>
      <c r="K1844" t="inlineStr">
        <is>
          <t>H66.90</t>
        </is>
      </c>
      <c r="L1844" t="inlineStr">
        <is>
          <t>Ear</t>
        </is>
      </c>
      <c r="M1844" t="inlineStr">
        <is>
          <t>Evergreen Mutual Insurance</t>
        </is>
      </c>
      <c r="N1844" t="inlineStr">
        <is>
          <t>Commercial</t>
        </is>
      </c>
      <c r="O1844" s="39" t="n">
        <v>1591.13</v>
      </c>
    </row>
    <row r="1845">
      <c r="A1845" t="inlineStr">
        <is>
          <t>ENC121048</t>
        </is>
      </c>
      <c r="B1845" t="inlineStr">
        <is>
          <t>PT10307</t>
        </is>
      </c>
      <c r="C1845" s="42" t="n">
        <v>46000</v>
      </c>
      <c r="D1845" s="42" t="n">
        <v>46005</v>
      </c>
      <c r="E1845" s="38" t="n">
        <v>5</v>
      </c>
      <c r="F1845" t="inlineStr">
        <is>
          <t>Inpatient</t>
        </is>
      </c>
      <c r="G1845" t="inlineStr">
        <is>
          <t>Ashby Falls Community Hospital</t>
        </is>
      </c>
      <c r="H1845" t="inlineStr">
        <is>
          <t>Medical-Surgical</t>
        </is>
      </c>
      <c r="I1845" t="inlineStr">
        <is>
          <t>Medicine</t>
        </is>
      </c>
      <c r="J1845" t="inlineStr">
        <is>
          <t>Carroll, Philip</t>
        </is>
      </c>
      <c r="K1845" t="inlineStr">
        <is>
          <t>J18.9</t>
        </is>
      </c>
      <c r="L1845" t="inlineStr">
        <is>
          <t>Respiratory</t>
        </is>
      </c>
      <c r="M1845" t="inlineStr">
        <is>
          <t>Medicare</t>
        </is>
      </c>
      <c r="N1845" t="inlineStr">
        <is>
          <t>Government</t>
        </is>
      </c>
      <c r="O1845" s="39" t="n">
        <v>22325.37</v>
      </c>
      <c r="P1845" t="inlineStr">
        <is>
          <t>N</t>
        </is>
      </c>
    </row>
    <row r="1846">
      <c r="A1846" t="inlineStr">
        <is>
          <t>ENC121050</t>
        </is>
      </c>
      <c r="B1846" t="inlineStr">
        <is>
          <t>PT13400</t>
        </is>
      </c>
      <c r="C1846" s="42" t="n">
        <v>46000</v>
      </c>
      <c r="D1846" s="42" t="n">
        <v>46001</v>
      </c>
      <c r="E1846" s="38" t="n">
        <v>1</v>
      </c>
      <c r="F1846" t="inlineStr">
        <is>
          <t>Observation</t>
        </is>
      </c>
      <c r="G1846" t="inlineStr">
        <is>
          <t>Bluestone Memorial Hospital</t>
        </is>
      </c>
      <c r="H1846" t="inlineStr">
        <is>
          <t>Observation Unit</t>
        </is>
      </c>
      <c r="I1846" t="inlineStr">
        <is>
          <t>Medicine</t>
        </is>
      </c>
      <c r="J1846" t="inlineStr">
        <is>
          <t>Wallace, Alan</t>
        </is>
      </c>
      <c r="K1846" t="inlineStr">
        <is>
          <t>J18.9</t>
        </is>
      </c>
      <c r="L1846" t="inlineStr">
        <is>
          <t>Respiratory</t>
        </is>
      </c>
      <c r="M1846" t="inlineStr">
        <is>
          <t>Keystone Health Partners</t>
        </is>
      </c>
      <c r="N1846" t="inlineStr">
        <is>
          <t>Commercial</t>
        </is>
      </c>
      <c r="O1846" s="39" t="n">
        <v>14814.19</v>
      </c>
    </row>
    <row r="1847">
      <c r="A1847" t="inlineStr">
        <is>
          <t>ENC121058</t>
        </is>
      </c>
      <c r="B1847" t="inlineStr">
        <is>
          <t>PT10752</t>
        </is>
      </c>
      <c r="C1847" s="42" t="n">
        <v>46000</v>
      </c>
      <c r="D1847" s="42" t="n">
        <v>46003</v>
      </c>
      <c r="E1847" s="38" t="n">
        <v>3</v>
      </c>
      <c r="F1847" t="inlineStr">
        <is>
          <t>Inpatient</t>
        </is>
      </c>
      <c r="G1847" t="inlineStr">
        <is>
          <t>Bluestone Memorial Hospital</t>
        </is>
      </c>
      <c r="H1847" t="inlineStr">
        <is>
          <t>Pediatrics</t>
        </is>
      </c>
      <c r="I1847" t="inlineStr">
        <is>
          <t>Women &amp; Children</t>
        </is>
      </c>
      <c r="J1847" t="inlineStr">
        <is>
          <t>Soto, Michael</t>
        </is>
      </c>
      <c r="K1847" t="inlineStr">
        <is>
          <t>J21.9</t>
        </is>
      </c>
      <c r="L1847" t="inlineStr">
        <is>
          <t>Respiratory</t>
        </is>
      </c>
      <c r="M1847" t="inlineStr">
        <is>
          <t>State Medicaid</t>
        </is>
      </c>
      <c r="N1847" t="inlineStr">
        <is>
          <t>Government</t>
        </is>
      </c>
      <c r="O1847" s="39" t="n">
        <v>15826.2</v>
      </c>
      <c r="P1847" t="inlineStr">
        <is>
          <t>N</t>
        </is>
      </c>
    </row>
    <row r="1848">
      <c r="A1848" t="inlineStr">
        <is>
          <t>ENC121065</t>
        </is>
      </c>
      <c r="B1848" t="inlineStr">
        <is>
          <t>PT10205</t>
        </is>
      </c>
      <c r="C1848" s="42" t="n">
        <v>46000</v>
      </c>
      <c r="D1848" s="42" t="n">
        <v>46000</v>
      </c>
      <c r="E1848" s="38" t="n">
        <v>0</v>
      </c>
      <c r="F1848" t="inlineStr">
        <is>
          <t>Outpatient</t>
        </is>
      </c>
      <c r="G1848" t="inlineStr">
        <is>
          <t>Bluestone Outpatient Pavilion</t>
        </is>
      </c>
      <c r="H1848" t="inlineStr">
        <is>
          <t>Primary Care Clinic</t>
        </is>
      </c>
      <c r="I1848" t="inlineStr">
        <is>
          <t>Ambulatory</t>
        </is>
      </c>
      <c r="J1848" t="inlineStr">
        <is>
          <t>Osei, Julie</t>
        </is>
      </c>
      <c r="K1848" t="inlineStr">
        <is>
          <t>Z00.00</t>
        </is>
      </c>
      <c r="L1848" t="inlineStr">
        <is>
          <t>Factors Influencing Health</t>
        </is>
      </c>
      <c r="M1848" t="inlineStr">
        <is>
          <t>Silverline Medicare Advantage</t>
        </is>
      </c>
      <c r="N1848" t="inlineStr">
        <is>
          <t>Medicare Advantage</t>
        </is>
      </c>
      <c r="O1848" s="39" t="n">
        <v>259.55</v>
      </c>
    </row>
    <row r="1849">
      <c r="A1849" t="inlineStr">
        <is>
          <t>ENC121060</t>
        </is>
      </c>
      <c r="B1849" t="inlineStr">
        <is>
          <t>PT12454</t>
        </is>
      </c>
      <c r="C1849" s="42" t="n">
        <v>46000</v>
      </c>
      <c r="D1849" s="42" t="n">
        <v>46001</v>
      </c>
      <c r="E1849" s="38" t="n">
        <v>1</v>
      </c>
      <c r="F1849" t="inlineStr">
        <is>
          <t>Inpatient</t>
        </is>
      </c>
      <c r="G1849" t="inlineStr">
        <is>
          <t>Cedar Ridge Medical Center</t>
        </is>
      </c>
      <c r="H1849" t="inlineStr">
        <is>
          <t>Medical-Surgical</t>
        </is>
      </c>
      <c r="I1849" t="inlineStr">
        <is>
          <t>Medicine</t>
        </is>
      </c>
      <c r="J1849" t="inlineStr">
        <is>
          <t>Price, Carol</t>
        </is>
      </c>
      <c r="K1849" t="inlineStr">
        <is>
          <t>K35.80</t>
        </is>
      </c>
      <c r="L1849" t="inlineStr">
        <is>
          <t>Digestive</t>
        </is>
      </c>
      <c r="M1849" t="inlineStr">
        <is>
          <t>Silverline Medicare Advantage</t>
        </is>
      </c>
      <c r="N1849" t="inlineStr">
        <is>
          <t>Medicare Advantage</t>
        </is>
      </c>
      <c r="O1849" s="39" t="n">
        <v>25758.46</v>
      </c>
      <c r="P1849" t="inlineStr">
        <is>
          <t>N</t>
        </is>
      </c>
    </row>
    <row r="1850">
      <c r="A1850" t="inlineStr">
        <is>
          <t>ENC121068</t>
        </is>
      </c>
      <c r="B1850" t="inlineStr">
        <is>
          <t>PT13326</t>
        </is>
      </c>
      <c r="C1850" s="42" t="n">
        <v>46000</v>
      </c>
      <c r="D1850" s="42" t="n">
        <v>46005</v>
      </c>
      <c r="E1850" s="38" t="n">
        <v>5</v>
      </c>
      <c r="F1850" t="inlineStr">
        <is>
          <t>Inpatient</t>
        </is>
      </c>
      <c r="G1850" t="inlineStr">
        <is>
          <t>Bluestone Memorial Hospital</t>
        </is>
      </c>
      <c r="H1850" t="inlineStr">
        <is>
          <t>Medical-Surgical 4 West</t>
        </is>
      </c>
      <c r="I1850" t="inlineStr">
        <is>
          <t>Medicine</t>
        </is>
      </c>
      <c r="J1850" t="inlineStr">
        <is>
          <t>Price, Juan</t>
        </is>
      </c>
      <c r="K1850" t="inlineStr">
        <is>
          <t>A41.9</t>
        </is>
      </c>
      <c r="L1850" t="inlineStr">
        <is>
          <t>Infectious</t>
        </is>
      </c>
      <c r="M1850" t="inlineStr">
        <is>
          <t>Keystone Health Partners</t>
        </is>
      </c>
      <c r="N1850" t="inlineStr">
        <is>
          <t>Commercial</t>
        </is>
      </c>
      <c r="O1850" s="39" t="n">
        <v>61227.32</v>
      </c>
      <c r="P1850" t="inlineStr">
        <is>
          <t>N</t>
        </is>
      </c>
    </row>
    <row r="1851">
      <c r="A1851" t="inlineStr">
        <is>
          <t>ENC121069</t>
        </is>
      </c>
      <c r="B1851" t="inlineStr">
        <is>
          <t>PT11604</t>
        </is>
      </c>
      <c r="C1851" s="42" t="n">
        <v>46000</v>
      </c>
      <c r="D1851" s="42" t="n">
        <v>46005</v>
      </c>
      <c r="E1851" s="38" t="n">
        <v>5</v>
      </c>
      <c r="F1851" t="inlineStr">
        <is>
          <t>Inpatient</t>
        </is>
      </c>
      <c r="G1851" t="inlineStr">
        <is>
          <t>Bluestone Memorial Hospital</t>
        </is>
      </c>
      <c r="H1851" t="inlineStr">
        <is>
          <t>Labor &amp; Delivery</t>
        </is>
      </c>
      <c r="I1851" t="inlineStr">
        <is>
          <t>Women &amp; Children</t>
        </is>
      </c>
      <c r="J1851" t="inlineStr">
        <is>
          <t>Taylor, Lauren</t>
        </is>
      </c>
      <c r="K1851" t="inlineStr">
        <is>
          <t>O80</t>
        </is>
      </c>
      <c r="L1851" t="inlineStr">
        <is>
          <t>Pregnancy</t>
        </is>
      </c>
      <c r="M1851" t="inlineStr">
        <is>
          <t>Summit Choice PPO</t>
        </is>
      </c>
      <c r="N1851" t="inlineStr">
        <is>
          <t>Commercial</t>
        </is>
      </c>
      <c r="O1851" s="39" t="n">
        <v>23921.17</v>
      </c>
      <c r="P1851" t="inlineStr">
        <is>
          <t>N</t>
        </is>
      </c>
    </row>
    <row r="1852">
      <c r="A1852" t="inlineStr">
        <is>
          <t>ENC121080</t>
        </is>
      </c>
      <c r="B1852" t="inlineStr">
        <is>
          <t>PT12910</t>
        </is>
      </c>
      <c r="C1852" s="42" t="n">
        <v>46000</v>
      </c>
      <c r="D1852" s="42" t="n">
        <v>46000</v>
      </c>
      <c r="E1852" s="38" t="n">
        <v>0</v>
      </c>
      <c r="F1852" t="inlineStr">
        <is>
          <t>Outpatient</t>
        </is>
      </c>
      <c r="G1852" t="inlineStr">
        <is>
          <t>Bluestone Outpatient Pavilion</t>
        </is>
      </c>
      <c r="H1852" t="inlineStr">
        <is>
          <t>Primary Care Clinic</t>
        </is>
      </c>
      <c r="I1852" t="inlineStr">
        <is>
          <t>Ambulatory</t>
        </is>
      </c>
      <c r="J1852" t="inlineStr">
        <is>
          <t>Black, Kelly</t>
        </is>
      </c>
      <c r="K1852" t="inlineStr">
        <is>
          <t>Z00.00</t>
        </is>
      </c>
      <c r="L1852" t="inlineStr">
        <is>
          <t>Factors Influencing Health</t>
        </is>
      </c>
      <c r="M1852" t="inlineStr">
        <is>
          <t>Evergreen Mutual Insurance</t>
        </is>
      </c>
      <c r="N1852" t="inlineStr">
        <is>
          <t>Commercial</t>
        </is>
      </c>
      <c r="O1852" s="39" t="n">
        <v>200.78</v>
      </c>
    </row>
    <row r="1853">
      <c r="A1853" t="inlineStr">
        <is>
          <t>ENC121099</t>
        </is>
      </c>
      <c r="B1853" t="inlineStr">
        <is>
          <t>PT13061</t>
        </is>
      </c>
      <c r="C1853" s="42" t="n">
        <v>46001</v>
      </c>
      <c r="D1853" s="42" t="n">
        <v>46001</v>
      </c>
      <c r="E1853" s="38" t="n">
        <v>0</v>
      </c>
      <c r="F1853" t="inlineStr">
        <is>
          <t>Outpatient</t>
        </is>
      </c>
      <c r="G1853" t="inlineStr">
        <is>
          <t>Bluestone Outpatient Pavilion</t>
        </is>
      </c>
      <c r="H1853" t="inlineStr">
        <is>
          <t>Pediatric Clinic</t>
        </is>
      </c>
      <c r="I1853" t="inlineStr">
        <is>
          <t>Women &amp; Children</t>
        </is>
      </c>
      <c r="J1853" t="inlineStr">
        <is>
          <t>Aguilar, Linh</t>
        </is>
      </c>
      <c r="K1853" t="inlineStr">
        <is>
          <t>Z00.129</t>
        </is>
      </c>
      <c r="L1853" t="inlineStr">
        <is>
          <t>Factors Influencing Health</t>
        </is>
      </c>
      <c r="M1853" t="inlineStr">
        <is>
          <t>State Medicaid</t>
        </is>
      </c>
      <c r="N1853" t="inlineStr">
        <is>
          <t>Government</t>
        </is>
      </c>
      <c r="O1853" s="39" t="n">
        <v>230.64</v>
      </c>
    </row>
    <row r="1854">
      <c r="A1854" t="inlineStr">
        <is>
          <t>ENC121104</t>
        </is>
      </c>
      <c r="B1854" t="inlineStr">
        <is>
          <t>PT13137</t>
        </is>
      </c>
      <c r="C1854" s="42" t="n">
        <v>46001</v>
      </c>
      <c r="D1854" s="42" t="n">
        <v>46001</v>
      </c>
      <c r="E1854" s="38" t="n">
        <v>0</v>
      </c>
      <c r="F1854" t="inlineStr">
        <is>
          <t>Outpatient</t>
        </is>
      </c>
      <c r="G1854" t="inlineStr">
        <is>
          <t>Bluestone Outpatient Pavilion</t>
        </is>
      </c>
      <c r="H1854" t="inlineStr">
        <is>
          <t>Primary Care Clinic</t>
        </is>
      </c>
      <c r="I1854" t="inlineStr">
        <is>
          <t>Ambulatory</t>
        </is>
      </c>
      <c r="J1854" t="inlineStr">
        <is>
          <t>Black, Nancy</t>
        </is>
      </c>
      <c r="K1854" t="inlineStr">
        <is>
          <t>J06.9</t>
        </is>
      </c>
      <c r="L1854" t="inlineStr">
        <is>
          <t>Respiratory</t>
        </is>
      </c>
      <c r="M1854" t="inlineStr">
        <is>
          <t>Keystone Health Partners</t>
        </is>
      </c>
      <c r="N1854" t="inlineStr">
        <is>
          <t>Commercial</t>
        </is>
      </c>
      <c r="O1854" s="39" t="n">
        <v>146.25</v>
      </c>
    </row>
    <row r="1855">
      <c r="A1855" t="inlineStr">
        <is>
          <t>ENC121115</t>
        </is>
      </c>
      <c r="B1855" t="inlineStr">
        <is>
          <t>PT12428</t>
        </is>
      </c>
      <c r="C1855" s="42" t="n">
        <v>46001</v>
      </c>
      <c r="D1855" s="42" t="n">
        <v>46001</v>
      </c>
      <c r="E1855" s="38" t="n">
        <v>0</v>
      </c>
      <c r="F1855" t="inlineStr">
        <is>
          <t>Emergency</t>
        </is>
      </c>
      <c r="G1855" t="inlineStr">
        <is>
          <t>Ashby Falls Community Hospital</t>
        </is>
      </c>
      <c r="H1855" t="inlineStr">
        <is>
          <t>Emergency Department</t>
        </is>
      </c>
      <c r="I1855" t="inlineStr">
        <is>
          <t>Emergency</t>
        </is>
      </c>
      <c r="J1855" t="inlineStr">
        <is>
          <t>Marshall, Lisa</t>
        </is>
      </c>
      <c r="K1855" t="inlineStr">
        <is>
          <t>J06.9</t>
        </is>
      </c>
      <c r="L1855" t="inlineStr">
        <is>
          <t>Respiratory</t>
        </is>
      </c>
      <c r="M1855" t="inlineStr">
        <is>
          <t>Summit Choice PPO</t>
        </is>
      </c>
      <c r="N1855" t="inlineStr">
        <is>
          <t>Commercial</t>
        </is>
      </c>
      <c r="O1855" s="39" t="n">
        <v>700.35</v>
      </c>
    </row>
    <row r="1856">
      <c r="A1856" t="inlineStr">
        <is>
          <t>ENC121118</t>
        </is>
      </c>
      <c r="B1856" t="inlineStr">
        <is>
          <t>PT10039</t>
        </is>
      </c>
      <c r="C1856" s="42" t="n">
        <v>46001</v>
      </c>
      <c r="D1856" s="42" t="n">
        <v>46001</v>
      </c>
      <c r="E1856" s="38" t="n">
        <v>0</v>
      </c>
      <c r="F1856" t="inlineStr">
        <is>
          <t>Outpatient</t>
        </is>
      </c>
      <c r="G1856" t="inlineStr">
        <is>
          <t>Bluestone Outpatient Pavilion</t>
        </is>
      </c>
      <c r="H1856" t="inlineStr">
        <is>
          <t>Pediatric Clinic</t>
        </is>
      </c>
      <c r="I1856" t="inlineStr">
        <is>
          <t>Women &amp; Children</t>
        </is>
      </c>
      <c r="J1856" t="inlineStr">
        <is>
          <t>Alvarez, Susan</t>
        </is>
      </c>
      <c r="K1856" t="inlineStr">
        <is>
          <t>Z00.129</t>
        </is>
      </c>
      <c r="L1856" t="inlineStr">
        <is>
          <t>Factors Influencing Health</t>
        </is>
      </c>
      <c r="M1856" t="inlineStr">
        <is>
          <t>State Medicaid</t>
        </is>
      </c>
      <c r="N1856" t="inlineStr">
        <is>
          <t>Government</t>
        </is>
      </c>
      <c r="O1856" s="39" t="n">
        <v>296.61</v>
      </c>
    </row>
    <row r="1857">
      <c r="A1857" t="inlineStr">
        <is>
          <t>ENC121122</t>
        </is>
      </c>
      <c r="B1857" t="inlineStr">
        <is>
          <t>PT11691</t>
        </is>
      </c>
      <c r="C1857" s="42" t="n">
        <v>46001</v>
      </c>
      <c r="D1857" s="42" t="n">
        <v>46001</v>
      </c>
      <c r="E1857" s="38" t="n">
        <v>0</v>
      </c>
      <c r="F1857" t="inlineStr">
        <is>
          <t>Emergency</t>
        </is>
      </c>
      <c r="G1857" t="inlineStr">
        <is>
          <t>Ashby Falls Community Hospital</t>
        </is>
      </c>
      <c r="H1857" t="inlineStr">
        <is>
          <t>Emergency Department</t>
        </is>
      </c>
      <c r="I1857" t="inlineStr">
        <is>
          <t>Emergency</t>
        </is>
      </c>
      <c r="J1857" t="inlineStr">
        <is>
          <t>Marshall, Lisa</t>
        </is>
      </c>
      <c r="K1857" t="inlineStr">
        <is>
          <t>J06.9</t>
        </is>
      </c>
      <c r="L1857" t="inlineStr">
        <is>
          <t>Respiratory</t>
        </is>
      </c>
      <c r="M1857" t="inlineStr">
        <is>
          <t>Evergreen Mutual Insurance</t>
        </is>
      </c>
      <c r="N1857" t="inlineStr">
        <is>
          <t>Commercial</t>
        </is>
      </c>
      <c r="O1857" s="39" t="n">
        <v>2816.38</v>
      </c>
    </row>
    <row r="1858">
      <c r="A1858" t="inlineStr">
        <is>
          <t>ENC121125</t>
        </is>
      </c>
      <c r="B1858" t="inlineStr">
        <is>
          <t>PT13786</t>
        </is>
      </c>
      <c r="C1858" s="42" t="n">
        <v>46001</v>
      </c>
      <c r="D1858" s="42" t="n">
        <v>46001</v>
      </c>
      <c r="E1858" s="38" t="n">
        <v>0</v>
      </c>
      <c r="F1858" t="inlineStr">
        <is>
          <t>Outpatient</t>
        </is>
      </c>
      <c r="G1858" t="inlineStr">
        <is>
          <t>Bluestone Outpatient Pavilion</t>
        </is>
      </c>
      <c r="H1858" t="inlineStr">
        <is>
          <t>Endocrinology &amp; Diabetes Clinic</t>
        </is>
      </c>
      <c r="I1858" t="inlineStr">
        <is>
          <t>Ambulatory</t>
        </is>
      </c>
      <c r="J1858" t="inlineStr">
        <is>
          <t>Woods, Larry</t>
        </is>
      </c>
      <c r="K1858" t="inlineStr">
        <is>
          <t>E11.65</t>
        </is>
      </c>
      <c r="L1858" t="inlineStr">
        <is>
          <t>Endocrine</t>
        </is>
      </c>
      <c r="M1858" t="inlineStr">
        <is>
          <t>Self-Pay</t>
        </is>
      </c>
      <c r="N1858" t="inlineStr">
        <is>
          <t>Self-Pay</t>
        </is>
      </c>
      <c r="O1858" s="39" t="n">
        <v>461.35</v>
      </c>
    </row>
    <row r="1859">
      <c r="A1859" t="inlineStr">
        <is>
          <t>ENC121127</t>
        </is>
      </c>
      <c r="B1859" t="inlineStr">
        <is>
          <t>PT13869</t>
        </is>
      </c>
      <c r="C1859" s="42" t="n">
        <v>46001</v>
      </c>
      <c r="D1859" s="42" t="n">
        <v>46001</v>
      </c>
      <c r="E1859" s="38" t="n">
        <v>0</v>
      </c>
      <c r="F1859" t="inlineStr">
        <is>
          <t>Emergency</t>
        </is>
      </c>
      <c r="G1859" t="inlineStr">
        <is>
          <t>Cedar Ridge Medical Center</t>
        </is>
      </c>
      <c r="H1859" t="inlineStr">
        <is>
          <t>Emergency Department</t>
        </is>
      </c>
      <c r="I1859" t="inlineStr">
        <is>
          <t>Emergency</t>
        </is>
      </c>
      <c r="J1859" t="inlineStr">
        <is>
          <t>Henry, Brenda</t>
        </is>
      </c>
      <c r="K1859" t="inlineStr">
        <is>
          <t>J06.9</t>
        </is>
      </c>
      <c r="L1859" t="inlineStr">
        <is>
          <t>Respiratory</t>
        </is>
      </c>
      <c r="M1859" t="inlineStr">
        <is>
          <t>Medicare</t>
        </is>
      </c>
      <c r="N1859" t="inlineStr">
        <is>
          <t>Government</t>
        </is>
      </c>
      <c r="O1859" s="39" t="n">
        <v>1699.65</v>
      </c>
    </row>
    <row r="1860">
      <c r="A1860" t="inlineStr">
        <is>
          <t>ENC121128</t>
        </is>
      </c>
      <c r="B1860" t="inlineStr">
        <is>
          <t>PT10138</t>
        </is>
      </c>
      <c r="C1860" s="42" t="n">
        <v>46001</v>
      </c>
      <c r="D1860" s="42" t="n">
        <v>46001</v>
      </c>
      <c r="E1860" s="38" t="n">
        <v>0</v>
      </c>
      <c r="F1860" t="inlineStr">
        <is>
          <t>Emergency</t>
        </is>
      </c>
      <c r="G1860" t="inlineStr">
        <is>
          <t>Bluestone Memorial Hospital</t>
        </is>
      </c>
      <c r="H1860" t="inlineStr">
        <is>
          <t>Emergency Department</t>
        </is>
      </c>
      <c r="I1860" t="inlineStr">
        <is>
          <t>Emergency</t>
        </is>
      </c>
      <c r="J1860" t="inlineStr">
        <is>
          <t>Foster, Patrick</t>
        </is>
      </c>
      <c r="K1860" t="inlineStr">
        <is>
          <t>F41.9</t>
        </is>
      </c>
      <c r="L1860" t="inlineStr">
        <is>
          <t>Mental &amp; Behavioral</t>
        </is>
      </c>
      <c r="M1860" t="inlineStr">
        <is>
          <t>State Medicaid</t>
        </is>
      </c>
      <c r="N1860" t="inlineStr">
        <is>
          <t>Government</t>
        </is>
      </c>
      <c r="O1860" s="39" t="n">
        <v>1359.09</v>
      </c>
    </row>
    <row r="1861">
      <c r="A1861" t="inlineStr">
        <is>
          <t>ENC121130</t>
        </is>
      </c>
      <c r="B1861" t="inlineStr">
        <is>
          <t>PT12024</t>
        </is>
      </c>
      <c r="C1861" s="42" t="n">
        <v>46001</v>
      </c>
      <c r="D1861" s="42" t="n">
        <v>46002</v>
      </c>
      <c r="E1861" s="38" t="n">
        <v>1</v>
      </c>
      <c r="F1861" t="inlineStr">
        <is>
          <t>Observation</t>
        </is>
      </c>
      <c r="G1861" t="inlineStr">
        <is>
          <t>Cedar Ridge Medical Center</t>
        </is>
      </c>
      <c r="H1861" t="inlineStr">
        <is>
          <t>Medical-Surgical</t>
        </is>
      </c>
      <c r="I1861" t="inlineStr">
        <is>
          <t>Medicine</t>
        </is>
      </c>
      <c r="J1861" t="inlineStr">
        <is>
          <t>Hall, Doris</t>
        </is>
      </c>
      <c r="K1861" t="inlineStr">
        <is>
          <t>R07.9</t>
        </is>
      </c>
      <c r="L1861" t="inlineStr">
        <is>
          <t>Symptoms &amp; Signs</t>
        </is>
      </c>
      <c r="M1861" t="inlineStr">
        <is>
          <t>Medicare</t>
        </is>
      </c>
      <c r="N1861" t="inlineStr">
        <is>
          <t>Government</t>
        </is>
      </c>
      <c r="O1861" s="39" t="n">
        <v>8652.98</v>
      </c>
    </row>
    <row r="1862">
      <c r="A1862" t="inlineStr">
        <is>
          <t>ENC121139</t>
        </is>
      </c>
      <c r="B1862" t="inlineStr">
        <is>
          <t>PT10391</t>
        </is>
      </c>
      <c r="C1862" s="42" t="n">
        <v>46001</v>
      </c>
      <c r="D1862" s="42" t="n">
        <v>46002</v>
      </c>
      <c r="E1862" s="38" t="n">
        <v>1</v>
      </c>
      <c r="F1862" t="inlineStr">
        <is>
          <t>Emergency</t>
        </is>
      </c>
      <c r="G1862" t="inlineStr">
        <is>
          <t>Bluestone Memorial Hospital</t>
        </is>
      </c>
      <c r="H1862" t="inlineStr">
        <is>
          <t>Emergency Department</t>
        </is>
      </c>
      <c r="I1862" t="inlineStr">
        <is>
          <t>Emergency</t>
        </is>
      </c>
      <c r="J1862" t="inlineStr">
        <is>
          <t>Elliott, Jesse</t>
        </is>
      </c>
      <c r="K1862" t="inlineStr">
        <is>
          <t>J06.9</t>
        </is>
      </c>
      <c r="L1862" t="inlineStr">
        <is>
          <t>Respiratory</t>
        </is>
      </c>
      <c r="M1862" t="inlineStr">
        <is>
          <t>Evergreen Mutual Insurance</t>
        </is>
      </c>
      <c r="N1862" t="inlineStr">
        <is>
          <t>Commercial</t>
        </is>
      </c>
      <c r="O1862" s="39" t="n">
        <v>1693.75</v>
      </c>
    </row>
    <row r="1863">
      <c r="A1863" t="inlineStr">
        <is>
          <t>ENC121141</t>
        </is>
      </c>
      <c r="B1863" t="inlineStr">
        <is>
          <t>PT10701</t>
        </is>
      </c>
      <c r="C1863" s="42" t="n">
        <v>46002</v>
      </c>
      <c r="D1863" s="42" t="n">
        <v>46002</v>
      </c>
      <c r="E1863" s="38" t="n">
        <v>0</v>
      </c>
      <c r="F1863" t="inlineStr">
        <is>
          <t>Outpatient</t>
        </is>
      </c>
      <c r="G1863" t="inlineStr">
        <is>
          <t>Bluestone Outpatient Pavilion</t>
        </is>
      </c>
      <c r="H1863" t="inlineStr">
        <is>
          <t>Primary Care Clinic</t>
        </is>
      </c>
      <c r="I1863" t="inlineStr">
        <is>
          <t>Ambulatory</t>
        </is>
      </c>
      <c r="J1863" t="inlineStr">
        <is>
          <t>Petrov, Doris</t>
        </is>
      </c>
      <c r="K1863" t="inlineStr">
        <is>
          <t>Z23</t>
        </is>
      </c>
      <c r="L1863" t="inlineStr">
        <is>
          <t>Factors Influencing Health</t>
        </is>
      </c>
      <c r="M1863" t="inlineStr">
        <is>
          <t>State Medicaid</t>
        </is>
      </c>
      <c r="N1863" t="inlineStr">
        <is>
          <t>Government</t>
        </is>
      </c>
      <c r="O1863" s="39" t="n">
        <v>96.31999999999999</v>
      </c>
    </row>
    <row r="1864">
      <c r="A1864" t="inlineStr">
        <is>
          <t>ENC121145</t>
        </is>
      </c>
      <c r="B1864" t="inlineStr">
        <is>
          <t>PT13133</t>
        </is>
      </c>
      <c r="C1864" s="42" t="n">
        <v>46002</v>
      </c>
      <c r="D1864" s="42" t="n">
        <v>46002</v>
      </c>
      <c r="E1864" s="38" t="n">
        <v>0</v>
      </c>
      <c r="F1864" t="inlineStr">
        <is>
          <t>Outpatient</t>
        </is>
      </c>
      <c r="G1864" t="inlineStr">
        <is>
          <t>Bluestone Outpatient Pavilion</t>
        </is>
      </c>
      <c r="H1864" t="inlineStr">
        <is>
          <t>Infusion &amp; Oncology Clinic</t>
        </is>
      </c>
      <c r="I1864" t="inlineStr">
        <is>
          <t>Oncology</t>
        </is>
      </c>
      <c r="J1864" t="inlineStr">
        <is>
          <t>Hicks, Zachary</t>
        </is>
      </c>
      <c r="K1864" t="inlineStr">
        <is>
          <t>Z51.11</t>
        </is>
      </c>
      <c r="L1864" t="inlineStr">
        <is>
          <t>Factors Influencing Health</t>
        </is>
      </c>
      <c r="M1864" t="inlineStr">
        <is>
          <t>Evergreen Mutual Insurance</t>
        </is>
      </c>
      <c r="N1864" t="inlineStr">
        <is>
          <t>Commercial</t>
        </is>
      </c>
      <c r="O1864" s="39" t="n">
        <v>20078.58</v>
      </c>
    </row>
    <row r="1865">
      <c r="A1865" t="inlineStr">
        <is>
          <t>ENC121151</t>
        </is>
      </c>
      <c r="B1865" t="inlineStr">
        <is>
          <t>PT10337</t>
        </is>
      </c>
      <c r="C1865" s="42" t="n">
        <v>46002</v>
      </c>
      <c r="D1865" s="42" t="n">
        <v>46002</v>
      </c>
      <c r="E1865" s="38" t="n">
        <v>0</v>
      </c>
      <c r="F1865" t="inlineStr">
        <is>
          <t>Outpatient</t>
        </is>
      </c>
      <c r="G1865" t="inlineStr">
        <is>
          <t>Bluestone Outpatient Pavilion</t>
        </is>
      </c>
      <c r="H1865" t="inlineStr">
        <is>
          <t>Orthopedic Clinic</t>
        </is>
      </c>
      <c r="I1865" t="inlineStr">
        <is>
          <t>Orthopedics</t>
        </is>
      </c>
      <c r="J1865" t="inlineStr">
        <is>
          <t>Cox, Lori</t>
        </is>
      </c>
      <c r="K1865" t="inlineStr">
        <is>
          <t>M17.11</t>
        </is>
      </c>
      <c r="L1865" t="inlineStr">
        <is>
          <t>Musculoskeletal</t>
        </is>
      </c>
      <c r="M1865" t="inlineStr">
        <is>
          <t>State Medicaid</t>
        </is>
      </c>
      <c r="N1865" t="inlineStr">
        <is>
          <t>Government</t>
        </is>
      </c>
      <c r="O1865" s="39" t="n">
        <v>246.31</v>
      </c>
    </row>
    <row r="1866">
      <c r="A1866" t="inlineStr">
        <is>
          <t>ENC121153</t>
        </is>
      </c>
      <c r="B1866" t="inlineStr">
        <is>
          <t>PT13991</t>
        </is>
      </c>
      <c r="C1866" s="42" t="n">
        <v>46002</v>
      </c>
      <c r="D1866" s="42" t="n">
        <v>46002</v>
      </c>
      <c r="E1866" s="38" t="n">
        <v>0</v>
      </c>
      <c r="F1866" t="inlineStr">
        <is>
          <t>Outpatient</t>
        </is>
      </c>
      <c r="G1866" t="inlineStr">
        <is>
          <t>Bluestone Outpatient Pavilion</t>
        </is>
      </c>
      <c r="H1866" t="inlineStr">
        <is>
          <t>Infusion &amp; Oncology Clinic</t>
        </is>
      </c>
      <c r="I1866" t="inlineStr">
        <is>
          <t>Oncology</t>
        </is>
      </c>
      <c r="J1866" t="inlineStr">
        <is>
          <t>Hicks, Zachary</t>
        </is>
      </c>
      <c r="K1866" t="inlineStr">
        <is>
          <t>Z51.11</t>
        </is>
      </c>
      <c r="L1866" t="inlineStr">
        <is>
          <t>Factors Influencing Health</t>
        </is>
      </c>
      <c r="M1866" t="inlineStr">
        <is>
          <t>Silverline Medicare Advantage</t>
        </is>
      </c>
      <c r="N1866" t="inlineStr">
        <is>
          <t>Medicare Advantage</t>
        </is>
      </c>
      <c r="O1866" s="39" t="n">
        <v>6845.14</v>
      </c>
    </row>
    <row r="1867">
      <c r="A1867" t="inlineStr">
        <is>
          <t>ENC121161</t>
        </is>
      </c>
      <c r="B1867" t="inlineStr">
        <is>
          <t>PT12745</t>
        </is>
      </c>
      <c r="C1867" s="42" t="n">
        <v>46002</v>
      </c>
      <c r="D1867" s="42" t="n">
        <v>46002</v>
      </c>
      <c r="E1867" s="38" t="n">
        <v>0</v>
      </c>
      <c r="F1867" t="inlineStr">
        <is>
          <t>Outpatient</t>
        </is>
      </c>
      <c r="G1867" t="inlineStr">
        <is>
          <t>Bluestone Outpatient Pavilion</t>
        </is>
      </c>
      <c r="H1867" t="inlineStr">
        <is>
          <t>Primary Care Clinic</t>
        </is>
      </c>
      <c r="I1867" t="inlineStr">
        <is>
          <t>Ambulatory</t>
        </is>
      </c>
      <c r="J1867" t="inlineStr">
        <is>
          <t>Torres, Rebecca</t>
        </is>
      </c>
      <c r="K1867" t="inlineStr">
        <is>
          <t>Z23</t>
        </is>
      </c>
      <c r="L1867" t="inlineStr">
        <is>
          <t>Factors Influencing Health</t>
        </is>
      </c>
      <c r="M1867" t="inlineStr">
        <is>
          <t>Medicare</t>
        </is>
      </c>
      <c r="N1867" t="inlineStr">
        <is>
          <t>Government</t>
        </is>
      </c>
      <c r="O1867" s="39" t="n">
        <v>132.17</v>
      </c>
    </row>
    <row r="1868">
      <c r="A1868" t="inlineStr">
        <is>
          <t>ENC121166</t>
        </is>
      </c>
      <c r="B1868" t="inlineStr">
        <is>
          <t>PT10019</t>
        </is>
      </c>
      <c r="C1868" s="42" t="n">
        <v>46002</v>
      </c>
      <c r="D1868" s="42" t="n">
        <v>46002</v>
      </c>
      <c r="E1868" s="38" t="n">
        <v>0</v>
      </c>
      <c r="F1868" t="inlineStr">
        <is>
          <t>Emergency</t>
        </is>
      </c>
      <c r="G1868" t="inlineStr">
        <is>
          <t>Bluestone Memorial Hospital</t>
        </is>
      </c>
      <c r="H1868" t="inlineStr">
        <is>
          <t>Emergency Department</t>
        </is>
      </c>
      <c r="I1868" t="inlineStr">
        <is>
          <t>Emergency</t>
        </is>
      </c>
      <c r="J1868" t="inlineStr">
        <is>
          <t>Kowalski, James</t>
        </is>
      </c>
      <c r="K1868" t="inlineStr">
        <is>
          <t>H66.90</t>
        </is>
      </c>
      <c r="L1868" t="inlineStr">
        <is>
          <t>Ear</t>
        </is>
      </c>
      <c r="M1868" t="inlineStr">
        <is>
          <t>Keystone Health Partners</t>
        </is>
      </c>
      <c r="N1868" t="inlineStr">
        <is>
          <t>Commercial</t>
        </is>
      </c>
      <c r="O1868" s="39" t="n">
        <v>671.55</v>
      </c>
    </row>
    <row r="1869">
      <c r="A1869" t="inlineStr">
        <is>
          <t>ENC121167</t>
        </is>
      </c>
      <c r="B1869" t="inlineStr">
        <is>
          <t>PT12338</t>
        </is>
      </c>
      <c r="C1869" s="42" t="n">
        <v>46002</v>
      </c>
      <c r="D1869" s="42" t="n">
        <v>46002</v>
      </c>
      <c r="E1869" s="38" t="n">
        <v>0</v>
      </c>
      <c r="F1869" t="inlineStr">
        <is>
          <t>Outpatient</t>
        </is>
      </c>
      <c r="G1869" t="inlineStr">
        <is>
          <t>Bluestone Outpatient Pavilion</t>
        </is>
      </c>
      <c r="H1869" t="inlineStr">
        <is>
          <t>Primary Care Clinic</t>
        </is>
      </c>
      <c r="I1869" t="inlineStr">
        <is>
          <t>Ambulatory</t>
        </is>
      </c>
      <c r="J1869" t="inlineStr">
        <is>
          <t>Black, Nancy</t>
        </is>
      </c>
      <c r="K1869" t="inlineStr">
        <is>
          <t>J06.9</t>
        </is>
      </c>
      <c r="L1869" t="inlineStr">
        <is>
          <t>Respiratory</t>
        </is>
      </c>
      <c r="M1869" t="inlineStr">
        <is>
          <t>State Medicaid</t>
        </is>
      </c>
      <c r="N1869" t="inlineStr">
        <is>
          <t>Government</t>
        </is>
      </c>
      <c r="O1869" s="39" t="n">
        <v>289.6</v>
      </c>
    </row>
    <row r="1870">
      <c r="A1870" t="inlineStr">
        <is>
          <t>ENC121164</t>
        </is>
      </c>
      <c r="B1870" t="inlineStr">
        <is>
          <t>PT10180</t>
        </is>
      </c>
      <c r="C1870" s="42" t="n">
        <v>46002</v>
      </c>
      <c r="D1870" s="42" t="n">
        <v>46014</v>
      </c>
      <c r="E1870" s="38" t="n">
        <v>12</v>
      </c>
      <c r="F1870" t="inlineStr">
        <is>
          <t>Inpatient</t>
        </is>
      </c>
      <c r="G1870" t="inlineStr">
        <is>
          <t>Bluestone Memorial Hospital</t>
        </is>
      </c>
      <c r="H1870" t="inlineStr">
        <is>
          <t>Medical-Surgical 5 East</t>
        </is>
      </c>
      <c r="I1870" t="inlineStr">
        <is>
          <t>Medicine</t>
        </is>
      </c>
      <c r="J1870" t="inlineStr">
        <is>
          <t>Hunt, Richard</t>
        </is>
      </c>
      <c r="K1870" t="inlineStr">
        <is>
          <t>A41.9</t>
        </is>
      </c>
      <c r="L1870" t="inlineStr">
        <is>
          <t>Infectious</t>
        </is>
      </c>
      <c r="M1870" t="inlineStr">
        <is>
          <t>Silverline Medicare Advantage</t>
        </is>
      </c>
      <c r="N1870" t="inlineStr">
        <is>
          <t>Medicare Advantage</t>
        </is>
      </c>
      <c r="O1870" s="39" t="n">
        <v>153289.75</v>
      </c>
      <c r="P1870" t="inlineStr">
        <is>
          <t>N</t>
        </is>
      </c>
    </row>
    <row r="1871">
      <c r="A1871" t="inlineStr">
        <is>
          <t>ENC121171</t>
        </is>
      </c>
      <c r="B1871" t="inlineStr">
        <is>
          <t>PT13386</t>
        </is>
      </c>
      <c r="C1871" s="42" t="n">
        <v>46002</v>
      </c>
      <c r="D1871" s="42" t="n">
        <v>46005</v>
      </c>
      <c r="E1871" s="38" t="n">
        <v>3</v>
      </c>
      <c r="F1871" t="inlineStr">
        <is>
          <t>Inpatient</t>
        </is>
      </c>
      <c r="G1871" t="inlineStr">
        <is>
          <t>Bluestone Memorial Hospital</t>
        </is>
      </c>
      <c r="H1871" t="inlineStr">
        <is>
          <t>Cardiac Step-Down</t>
        </is>
      </c>
      <c r="I1871" t="inlineStr">
        <is>
          <t>Cardiovascular</t>
        </is>
      </c>
      <c r="J1871" t="inlineStr">
        <is>
          <t>Taylor, Jonathan</t>
        </is>
      </c>
      <c r="K1871" t="inlineStr">
        <is>
          <t>I50.9</t>
        </is>
      </c>
      <c r="L1871" t="inlineStr">
        <is>
          <t>Circulatory</t>
        </is>
      </c>
      <c r="M1871" t="inlineStr">
        <is>
          <t>Medicare</t>
        </is>
      </c>
      <c r="N1871" t="inlineStr">
        <is>
          <t>Government</t>
        </is>
      </c>
      <c r="O1871" s="39" t="n">
        <v>30179.52</v>
      </c>
      <c r="P1871" t="inlineStr">
        <is>
          <t>Y</t>
        </is>
      </c>
    </row>
    <row r="1872">
      <c r="A1872" t="inlineStr">
        <is>
          <t>ENC121182</t>
        </is>
      </c>
      <c r="B1872" t="inlineStr">
        <is>
          <t>PT10111</t>
        </is>
      </c>
      <c r="C1872" s="42" t="n">
        <v>46003</v>
      </c>
      <c r="D1872" s="42" t="n">
        <v>46003</v>
      </c>
      <c r="E1872" s="38" t="n">
        <v>0</v>
      </c>
      <c r="F1872" t="inlineStr">
        <is>
          <t>Outpatient</t>
        </is>
      </c>
      <c r="G1872" t="inlineStr">
        <is>
          <t>Bluestone Outpatient Pavilion</t>
        </is>
      </c>
      <c r="H1872" t="inlineStr">
        <is>
          <t>Pediatric Clinic</t>
        </is>
      </c>
      <c r="I1872" t="inlineStr">
        <is>
          <t>Women &amp; Children</t>
        </is>
      </c>
      <c r="J1872" t="inlineStr">
        <is>
          <t>Aguilar, Linh</t>
        </is>
      </c>
      <c r="K1872" t="inlineStr">
        <is>
          <t>Z00.129</t>
        </is>
      </c>
      <c r="L1872" t="inlineStr">
        <is>
          <t>Factors Influencing Health</t>
        </is>
      </c>
      <c r="M1872" t="inlineStr">
        <is>
          <t>Self-Pay</t>
        </is>
      </c>
      <c r="N1872" t="inlineStr">
        <is>
          <t>Self-Pay</t>
        </is>
      </c>
      <c r="O1872" s="39" t="n">
        <v>479.16</v>
      </c>
    </row>
    <row r="1873">
      <c r="A1873" t="inlineStr">
        <is>
          <t>ENC121176</t>
        </is>
      </c>
      <c r="B1873" t="inlineStr">
        <is>
          <t>PT11968</t>
        </is>
      </c>
      <c r="C1873" s="42" t="n">
        <v>46003</v>
      </c>
      <c r="D1873" s="42" t="n">
        <v>46008</v>
      </c>
      <c r="E1873" s="38" t="n">
        <v>5</v>
      </c>
      <c r="F1873" t="inlineStr">
        <is>
          <t>Inpatient</t>
        </is>
      </c>
      <c r="G1873" t="inlineStr">
        <is>
          <t>Cedar Ridge Medical Center</t>
        </is>
      </c>
      <c r="H1873" t="inlineStr">
        <is>
          <t>Medical-Surgical</t>
        </is>
      </c>
      <c r="I1873" t="inlineStr">
        <is>
          <t>Medicine</t>
        </is>
      </c>
      <c r="J1873" t="inlineStr">
        <is>
          <t>Reyes, Harper</t>
        </is>
      </c>
      <c r="K1873" t="inlineStr">
        <is>
          <t>N39.0</t>
        </is>
      </c>
      <c r="L1873" t="inlineStr">
        <is>
          <t>Genitourinary</t>
        </is>
      </c>
      <c r="M1873" t="inlineStr">
        <is>
          <t>State Medicaid</t>
        </is>
      </c>
      <c r="N1873" t="inlineStr">
        <is>
          <t>Government</t>
        </is>
      </c>
      <c r="O1873" s="39" t="n">
        <v>27429.55</v>
      </c>
      <c r="P1873" t="inlineStr">
        <is>
          <t>N</t>
        </is>
      </c>
    </row>
    <row r="1874">
      <c r="A1874" t="inlineStr">
        <is>
          <t>ENC121185</t>
        </is>
      </c>
      <c r="B1874" t="inlineStr">
        <is>
          <t>PT11398</t>
        </is>
      </c>
      <c r="C1874" s="42" t="n">
        <v>46003</v>
      </c>
      <c r="D1874" s="42" t="n">
        <v>46003</v>
      </c>
      <c r="E1874" s="38" t="n">
        <v>0</v>
      </c>
      <c r="F1874" t="inlineStr">
        <is>
          <t>Outpatient</t>
        </is>
      </c>
      <c r="G1874" t="inlineStr">
        <is>
          <t>Bluestone Outpatient Pavilion</t>
        </is>
      </c>
      <c r="H1874" t="inlineStr">
        <is>
          <t>Primary Care Clinic</t>
        </is>
      </c>
      <c r="I1874" t="inlineStr">
        <is>
          <t>Ambulatory</t>
        </is>
      </c>
      <c r="J1874" t="inlineStr">
        <is>
          <t>Sullivan, Brenda</t>
        </is>
      </c>
      <c r="K1874" t="inlineStr">
        <is>
          <t>Z00.00</t>
        </is>
      </c>
      <c r="L1874" t="inlineStr">
        <is>
          <t>Factors Influencing Health</t>
        </is>
      </c>
      <c r="M1874" t="inlineStr">
        <is>
          <t>Keystone Health Partners</t>
        </is>
      </c>
      <c r="N1874" t="inlineStr">
        <is>
          <t>Commercial</t>
        </is>
      </c>
      <c r="O1874" s="39" t="n">
        <v>333.43</v>
      </c>
    </row>
    <row r="1875">
      <c r="A1875" t="inlineStr">
        <is>
          <t>ENC121194</t>
        </is>
      </c>
      <c r="B1875" t="inlineStr">
        <is>
          <t>PT10508</t>
        </is>
      </c>
      <c r="C1875" s="42" t="n">
        <v>46003</v>
      </c>
      <c r="D1875" s="42" t="n">
        <v>46003</v>
      </c>
      <c r="E1875" s="38" t="n">
        <v>0</v>
      </c>
      <c r="F1875" t="inlineStr">
        <is>
          <t>Emergency</t>
        </is>
      </c>
      <c r="G1875" t="inlineStr">
        <is>
          <t>Bluestone Memorial Hospital</t>
        </is>
      </c>
      <c r="H1875" t="inlineStr">
        <is>
          <t>Emergency Department</t>
        </is>
      </c>
      <c r="I1875" t="inlineStr">
        <is>
          <t>Emergency</t>
        </is>
      </c>
      <c r="J1875" t="inlineStr">
        <is>
          <t>Elliott, Jesse</t>
        </is>
      </c>
      <c r="K1875" t="inlineStr">
        <is>
          <t>J06.9</t>
        </is>
      </c>
      <c r="L1875" t="inlineStr">
        <is>
          <t>Respiratory</t>
        </is>
      </c>
      <c r="M1875" t="inlineStr">
        <is>
          <t>Silverline Medicare Advantage</t>
        </is>
      </c>
      <c r="N1875" t="inlineStr">
        <is>
          <t>Medicare Advantage</t>
        </is>
      </c>
      <c r="O1875" s="39" t="n">
        <v>933.5</v>
      </c>
    </row>
    <row r="1876">
      <c r="A1876" t="inlineStr">
        <is>
          <t>ENC121197</t>
        </is>
      </c>
      <c r="B1876" t="inlineStr">
        <is>
          <t>PT12522</t>
        </is>
      </c>
      <c r="C1876" s="42" t="n">
        <v>46003</v>
      </c>
      <c r="D1876" s="42" t="n">
        <v>46003</v>
      </c>
      <c r="E1876" s="38" t="n">
        <v>0</v>
      </c>
      <c r="F1876" t="inlineStr">
        <is>
          <t>Outpatient</t>
        </is>
      </c>
      <c r="G1876" t="inlineStr">
        <is>
          <t>Bluestone Outpatient Pavilion</t>
        </is>
      </c>
      <c r="H1876" t="inlineStr">
        <is>
          <t>Infusion &amp; Oncology Clinic</t>
        </is>
      </c>
      <c r="I1876" t="inlineStr">
        <is>
          <t>Oncology</t>
        </is>
      </c>
      <c r="J1876" t="inlineStr">
        <is>
          <t>Robinson, Bradley</t>
        </is>
      </c>
      <c r="K1876" t="inlineStr">
        <is>
          <t>Z51.11</t>
        </is>
      </c>
      <c r="L1876" t="inlineStr">
        <is>
          <t>Factors Influencing Health</t>
        </is>
      </c>
      <c r="M1876" t="inlineStr">
        <is>
          <t>Self-Pay</t>
        </is>
      </c>
      <c r="N1876" t="inlineStr">
        <is>
          <t>Self-Pay</t>
        </is>
      </c>
      <c r="O1876" s="39" t="n">
        <v>8360.559999999999</v>
      </c>
    </row>
    <row r="1877">
      <c r="A1877" t="inlineStr">
        <is>
          <t>ENC121206</t>
        </is>
      </c>
      <c r="B1877" t="inlineStr">
        <is>
          <t>PT11534</t>
        </is>
      </c>
      <c r="C1877" s="42" t="n">
        <v>46003</v>
      </c>
      <c r="D1877" s="42" t="n">
        <v>46003</v>
      </c>
      <c r="E1877" s="38" t="n">
        <v>0</v>
      </c>
      <c r="F1877" t="inlineStr">
        <is>
          <t>Outpatient</t>
        </is>
      </c>
      <c r="G1877" t="inlineStr">
        <is>
          <t>Bluestone Outpatient Pavilion</t>
        </is>
      </c>
      <c r="H1877" t="inlineStr">
        <is>
          <t>Primary Care Clinic</t>
        </is>
      </c>
      <c r="I1877" t="inlineStr">
        <is>
          <t>Ambulatory</t>
        </is>
      </c>
      <c r="J1877" t="inlineStr">
        <is>
          <t>Black, Kelly</t>
        </is>
      </c>
      <c r="K1877" t="inlineStr">
        <is>
          <t>Z00.00</t>
        </is>
      </c>
      <c r="L1877" t="inlineStr">
        <is>
          <t>Factors Influencing Health</t>
        </is>
      </c>
      <c r="M1877" t="inlineStr">
        <is>
          <t>Keystone Health Partners</t>
        </is>
      </c>
      <c r="N1877" t="inlineStr">
        <is>
          <t>Commercial</t>
        </is>
      </c>
      <c r="O1877" s="39" t="n">
        <v>536.24</v>
      </c>
    </row>
    <row r="1878">
      <c r="A1878" t="inlineStr">
        <is>
          <t>ENC121211</t>
        </is>
      </c>
      <c r="B1878" t="inlineStr">
        <is>
          <t>PT11621</t>
        </is>
      </c>
      <c r="C1878" s="42" t="n">
        <v>46003</v>
      </c>
      <c r="D1878" s="42" t="n">
        <v>46003</v>
      </c>
      <c r="E1878" s="38" t="n">
        <v>0</v>
      </c>
      <c r="F1878" t="inlineStr">
        <is>
          <t>Emergency</t>
        </is>
      </c>
      <c r="G1878" t="inlineStr">
        <is>
          <t>Bluestone Memorial Hospital</t>
        </is>
      </c>
      <c r="H1878" t="inlineStr">
        <is>
          <t>Emergency Department</t>
        </is>
      </c>
      <c r="I1878" t="inlineStr">
        <is>
          <t>Emergency</t>
        </is>
      </c>
      <c r="J1878" t="inlineStr">
        <is>
          <t>Cruz, Mia</t>
        </is>
      </c>
      <c r="K1878" t="inlineStr">
        <is>
          <t>S93.401A</t>
        </is>
      </c>
      <c r="L1878" t="inlineStr">
        <is>
          <t>Injury</t>
        </is>
      </c>
      <c r="M1878" t="inlineStr">
        <is>
          <t>Keystone Health Partners</t>
        </is>
      </c>
      <c r="N1878" t="inlineStr">
        <is>
          <t>Commercial</t>
        </is>
      </c>
      <c r="O1878" s="39" t="n">
        <v>1889.94</v>
      </c>
    </row>
    <row r="1879">
      <c r="A1879" t="inlineStr">
        <is>
          <t>ENC121200</t>
        </is>
      </c>
      <c r="B1879" t="inlineStr">
        <is>
          <t>PT11677</t>
        </is>
      </c>
      <c r="C1879" s="42" t="n">
        <v>46003</v>
      </c>
      <c r="D1879" s="42" t="n">
        <v>46009</v>
      </c>
      <c r="E1879" s="38" t="n">
        <v>6</v>
      </c>
      <c r="F1879" t="inlineStr">
        <is>
          <t>Inpatient</t>
        </is>
      </c>
      <c r="G1879" t="inlineStr">
        <is>
          <t>Bluestone Memorial Hospital</t>
        </is>
      </c>
      <c r="H1879" t="inlineStr">
        <is>
          <t>Cardiac Step-Down</t>
        </is>
      </c>
      <c r="I1879" t="inlineStr">
        <is>
          <t>Cardiovascular</t>
        </is>
      </c>
      <c r="J1879" t="inlineStr">
        <is>
          <t>Taylor, Jonathan</t>
        </is>
      </c>
      <c r="K1879" t="inlineStr">
        <is>
          <t>I50.9</t>
        </is>
      </c>
      <c r="L1879" t="inlineStr">
        <is>
          <t>Circulatory</t>
        </is>
      </c>
      <c r="M1879" t="inlineStr">
        <is>
          <t>Medicare</t>
        </is>
      </c>
      <c r="N1879" t="inlineStr">
        <is>
          <t>Government</t>
        </is>
      </c>
      <c r="O1879" s="39" t="n">
        <v>27986.43</v>
      </c>
      <c r="P1879" t="inlineStr">
        <is>
          <t>N</t>
        </is>
      </c>
    </row>
    <row r="1880">
      <c r="A1880" t="inlineStr">
        <is>
          <t>ENC121199</t>
        </is>
      </c>
      <c r="B1880" t="inlineStr">
        <is>
          <t>PT10479</t>
        </is>
      </c>
      <c r="C1880" s="42" t="n">
        <v>46003</v>
      </c>
      <c r="D1880" s="42" t="n">
        <v>46006</v>
      </c>
      <c r="E1880" s="38" t="n">
        <v>3</v>
      </c>
      <c r="F1880" t="inlineStr">
        <is>
          <t>Inpatient</t>
        </is>
      </c>
      <c r="G1880" t="inlineStr">
        <is>
          <t>Bluestone Memorial Hospital</t>
        </is>
      </c>
      <c r="H1880" t="inlineStr">
        <is>
          <t>Pediatrics</t>
        </is>
      </c>
      <c r="I1880" t="inlineStr">
        <is>
          <t>Women &amp; Children</t>
        </is>
      </c>
      <c r="J1880" t="inlineStr">
        <is>
          <t>Wagner, Sara</t>
        </is>
      </c>
      <c r="K1880" t="inlineStr">
        <is>
          <t>J21.9</t>
        </is>
      </c>
      <c r="L1880" t="inlineStr">
        <is>
          <t>Respiratory</t>
        </is>
      </c>
      <c r="M1880" t="inlineStr">
        <is>
          <t>State Medicaid</t>
        </is>
      </c>
      <c r="N1880" t="inlineStr">
        <is>
          <t>Government</t>
        </is>
      </c>
      <c r="O1880" s="39" t="n">
        <v>11692.28</v>
      </c>
      <c r="P1880" t="inlineStr">
        <is>
          <t>N</t>
        </is>
      </c>
    </row>
    <row r="1881">
      <c r="A1881" t="inlineStr">
        <is>
          <t>ENC121215</t>
        </is>
      </c>
      <c r="B1881" t="inlineStr">
        <is>
          <t>PT10054</t>
        </is>
      </c>
      <c r="C1881" s="42" t="n">
        <v>46003</v>
      </c>
      <c r="D1881" s="42" t="n">
        <v>46006</v>
      </c>
      <c r="E1881" s="38" t="n">
        <v>3</v>
      </c>
      <c r="F1881" t="inlineStr">
        <is>
          <t>Inpatient</t>
        </is>
      </c>
      <c r="G1881" t="inlineStr">
        <is>
          <t>Bluestone Memorial Hospital</t>
        </is>
      </c>
      <c r="H1881" t="inlineStr">
        <is>
          <t>Labor &amp; Delivery</t>
        </is>
      </c>
      <c r="I1881" t="inlineStr">
        <is>
          <t>Women &amp; Children</t>
        </is>
      </c>
      <c r="J1881" t="inlineStr">
        <is>
          <t>Taylor, Lauren</t>
        </is>
      </c>
      <c r="K1881" t="inlineStr">
        <is>
          <t>O80</t>
        </is>
      </c>
      <c r="L1881" t="inlineStr">
        <is>
          <t>Pregnancy</t>
        </is>
      </c>
      <c r="M1881" t="inlineStr">
        <is>
          <t>Evergreen Mutual Insurance</t>
        </is>
      </c>
      <c r="N1881" t="inlineStr">
        <is>
          <t>Commercial</t>
        </is>
      </c>
      <c r="O1881" s="39" t="n">
        <v>20225.27</v>
      </c>
      <c r="P1881" t="inlineStr">
        <is>
          <t>N</t>
        </is>
      </c>
    </row>
    <row r="1882">
      <c r="A1882" t="inlineStr">
        <is>
          <t>ENC121224</t>
        </is>
      </c>
      <c r="B1882" t="inlineStr">
        <is>
          <t>PT11548</t>
        </is>
      </c>
      <c r="C1882" s="42" t="n">
        <v>46004</v>
      </c>
      <c r="D1882" s="42" t="n">
        <v>46004</v>
      </c>
      <c r="E1882" s="38" t="n">
        <v>0</v>
      </c>
      <c r="F1882" t="inlineStr">
        <is>
          <t>Emergency</t>
        </is>
      </c>
      <c r="G1882" t="inlineStr">
        <is>
          <t>Cedar Ridge Medical Center</t>
        </is>
      </c>
      <c r="H1882" t="inlineStr">
        <is>
          <t>Emergency Department</t>
        </is>
      </c>
      <c r="I1882" t="inlineStr">
        <is>
          <t>Emergency</t>
        </is>
      </c>
      <c r="J1882" t="inlineStr">
        <is>
          <t>Pena, Wayne</t>
        </is>
      </c>
      <c r="K1882" t="inlineStr">
        <is>
          <t>G43.909</t>
        </is>
      </c>
      <c r="L1882" t="inlineStr">
        <is>
          <t>Nervous System</t>
        </is>
      </c>
      <c r="M1882" t="inlineStr">
        <is>
          <t>Evergreen Mutual Insurance</t>
        </is>
      </c>
      <c r="N1882" t="inlineStr">
        <is>
          <t>Commercial</t>
        </is>
      </c>
      <c r="O1882" s="39" t="n">
        <v>3339.3</v>
      </c>
    </row>
    <row r="1883">
      <c r="A1883" t="inlineStr">
        <is>
          <t>ENC121223</t>
        </is>
      </c>
      <c r="B1883" t="inlineStr">
        <is>
          <t>PT11919</t>
        </is>
      </c>
      <c r="C1883" s="42" t="n">
        <v>46004</v>
      </c>
      <c r="D1883" s="42" t="n">
        <v>46012</v>
      </c>
      <c r="E1883" s="38" t="n">
        <v>8</v>
      </c>
      <c r="F1883" t="inlineStr">
        <is>
          <t>Inpatient</t>
        </is>
      </c>
      <c r="G1883" t="inlineStr">
        <is>
          <t>Bluestone Memorial Hospital</t>
        </is>
      </c>
      <c r="H1883" t="inlineStr">
        <is>
          <t>Cardiac Step-Down</t>
        </is>
      </c>
      <c r="I1883" t="inlineStr">
        <is>
          <t>Cardiovascular</t>
        </is>
      </c>
      <c r="J1883" t="inlineStr">
        <is>
          <t>Evans, Charles</t>
        </is>
      </c>
      <c r="K1883" t="inlineStr">
        <is>
          <t>I50.9</t>
        </is>
      </c>
      <c r="L1883" t="inlineStr">
        <is>
          <t>Circulatory</t>
        </is>
      </c>
      <c r="M1883" t="inlineStr">
        <is>
          <t>Silverline Medicare Advantage</t>
        </is>
      </c>
      <c r="N1883" t="inlineStr">
        <is>
          <t>Medicare Advantage</t>
        </is>
      </c>
      <c r="O1883" s="39" t="n">
        <v>32247.86</v>
      </c>
      <c r="P1883" t="inlineStr">
        <is>
          <t>N</t>
        </is>
      </c>
    </row>
    <row r="1884">
      <c r="A1884" t="inlineStr">
        <is>
          <t>ENC121225</t>
        </is>
      </c>
      <c r="B1884" t="inlineStr">
        <is>
          <t>PT13884</t>
        </is>
      </c>
      <c r="C1884" s="42" t="n">
        <v>46004</v>
      </c>
      <c r="D1884" s="42" t="n">
        <v>46007</v>
      </c>
      <c r="E1884" s="38" t="n">
        <v>3</v>
      </c>
      <c r="F1884" t="inlineStr">
        <is>
          <t>Inpatient</t>
        </is>
      </c>
      <c r="G1884" t="inlineStr">
        <is>
          <t>Bluestone Memorial Hospital</t>
        </is>
      </c>
      <c r="H1884" t="inlineStr">
        <is>
          <t>Medical-Surgical 4 West</t>
        </is>
      </c>
      <c r="I1884" t="inlineStr">
        <is>
          <t>Medicine</t>
        </is>
      </c>
      <c r="J1884" t="inlineStr">
        <is>
          <t>Russell, Larry</t>
        </is>
      </c>
      <c r="K1884" t="inlineStr">
        <is>
          <t>N39.0</t>
        </is>
      </c>
      <c r="L1884" t="inlineStr">
        <is>
          <t>Genitourinary</t>
        </is>
      </c>
      <c r="M1884" t="inlineStr">
        <is>
          <t>Keystone Health Partners</t>
        </is>
      </c>
      <c r="N1884" t="inlineStr">
        <is>
          <t>Commercial</t>
        </is>
      </c>
      <c r="O1884" s="39" t="n">
        <v>12363.52</v>
      </c>
      <c r="P1884" t="inlineStr">
        <is>
          <t>N</t>
        </is>
      </c>
    </row>
    <row r="1885">
      <c r="A1885" t="inlineStr">
        <is>
          <t>ENC121234</t>
        </is>
      </c>
      <c r="B1885" t="inlineStr">
        <is>
          <t>PT10235</t>
        </is>
      </c>
      <c r="C1885" s="42" t="n">
        <v>46004</v>
      </c>
      <c r="D1885" s="42" t="n">
        <v>46005</v>
      </c>
      <c r="E1885" s="38" t="n">
        <v>1</v>
      </c>
      <c r="F1885" t="inlineStr">
        <is>
          <t>Emergency</t>
        </is>
      </c>
      <c r="G1885" t="inlineStr">
        <is>
          <t>Bluestone Memorial Hospital</t>
        </is>
      </c>
      <c r="H1885" t="inlineStr">
        <is>
          <t>Emergency Department</t>
        </is>
      </c>
      <c r="I1885" t="inlineStr">
        <is>
          <t>Emergency</t>
        </is>
      </c>
      <c r="J1885" t="inlineStr">
        <is>
          <t>Vasquez, Bruce</t>
        </is>
      </c>
      <c r="K1885" t="inlineStr">
        <is>
          <t>J18.9</t>
        </is>
      </c>
      <c r="L1885" t="inlineStr">
        <is>
          <t>Respiratory</t>
        </is>
      </c>
      <c r="M1885" t="inlineStr">
        <is>
          <t>Keystone Health Partners</t>
        </is>
      </c>
      <c r="N1885" t="inlineStr">
        <is>
          <t>Commercial</t>
        </is>
      </c>
      <c r="O1885" s="39" t="n">
        <v>7588.04</v>
      </c>
    </row>
    <row r="1886">
      <c r="A1886" t="inlineStr">
        <is>
          <t>ENC121233</t>
        </is>
      </c>
      <c r="B1886" t="inlineStr">
        <is>
          <t>PT11703</t>
        </is>
      </c>
      <c r="C1886" s="42" t="n">
        <v>46005</v>
      </c>
      <c r="D1886" s="42" t="n">
        <v>46013</v>
      </c>
      <c r="E1886" s="38" t="n">
        <v>8</v>
      </c>
      <c r="F1886" t="inlineStr">
        <is>
          <t>Inpatient</t>
        </is>
      </c>
      <c r="G1886" t="inlineStr">
        <is>
          <t>Bluestone Memorial Hospital</t>
        </is>
      </c>
      <c r="H1886" t="inlineStr">
        <is>
          <t>Medical-Surgical 5 East</t>
        </is>
      </c>
      <c r="I1886" t="inlineStr">
        <is>
          <t>Medicine</t>
        </is>
      </c>
      <c r="J1886" t="inlineStr">
        <is>
          <t>Cruz, Roger</t>
        </is>
      </c>
      <c r="K1886" t="inlineStr">
        <is>
          <t>K92.2</t>
        </is>
      </c>
      <c r="L1886" t="inlineStr">
        <is>
          <t>Digestive</t>
        </is>
      </c>
      <c r="M1886" t="inlineStr">
        <is>
          <t>State Medicaid</t>
        </is>
      </c>
      <c r="N1886" t="inlineStr">
        <is>
          <t>Government</t>
        </is>
      </c>
      <c r="O1886" s="39" t="n">
        <v>39070.44</v>
      </c>
      <c r="P1886" t="inlineStr">
        <is>
          <t>N</t>
        </is>
      </c>
    </row>
    <row r="1887">
      <c r="A1887" t="inlineStr">
        <is>
          <t>ENC121236</t>
        </is>
      </c>
      <c r="B1887" t="inlineStr">
        <is>
          <t>PT10267</t>
        </is>
      </c>
      <c r="C1887" s="42" t="n">
        <v>46005</v>
      </c>
      <c r="D1887" s="42" t="n">
        <v>46011</v>
      </c>
      <c r="E1887" s="38" t="n">
        <v>6</v>
      </c>
      <c r="F1887" t="inlineStr">
        <is>
          <t>Inpatient</t>
        </is>
      </c>
      <c r="G1887" t="inlineStr">
        <is>
          <t>Bluestone Memorial Hospital</t>
        </is>
      </c>
      <c r="H1887" t="inlineStr">
        <is>
          <t>Medical-Surgical 4 West</t>
        </is>
      </c>
      <c r="I1887" t="inlineStr">
        <is>
          <t>Medicine</t>
        </is>
      </c>
      <c r="J1887" t="inlineStr">
        <is>
          <t>Ramirez, Emma</t>
        </is>
      </c>
      <c r="K1887" t="inlineStr">
        <is>
          <t>A41.9</t>
        </is>
      </c>
      <c r="L1887" t="inlineStr">
        <is>
          <t>Infectious</t>
        </is>
      </c>
      <c r="M1887" t="inlineStr">
        <is>
          <t>Keystone Health Partners</t>
        </is>
      </c>
      <c r="N1887" t="inlineStr">
        <is>
          <t>Commercial</t>
        </is>
      </c>
      <c r="O1887" s="39" t="n">
        <v>70884.42999999999</v>
      </c>
      <c r="P1887" t="inlineStr">
        <is>
          <t>N</t>
        </is>
      </c>
    </row>
    <row r="1888">
      <c r="A1888" t="inlineStr">
        <is>
          <t>ENC121237</t>
        </is>
      </c>
      <c r="B1888" t="inlineStr">
        <is>
          <t>PT12049</t>
        </is>
      </c>
      <c r="C1888" s="42" t="n">
        <v>46005</v>
      </c>
      <c r="D1888" s="42" t="n">
        <v>46007</v>
      </c>
      <c r="E1888" s="38" t="n">
        <v>2</v>
      </c>
      <c r="F1888" t="inlineStr">
        <is>
          <t>Inpatient</t>
        </is>
      </c>
      <c r="G1888" t="inlineStr">
        <is>
          <t>Bluestone Memorial Hospital</t>
        </is>
      </c>
      <c r="H1888" t="inlineStr">
        <is>
          <t>Medical-Surgical 4 West</t>
        </is>
      </c>
      <c r="I1888" t="inlineStr">
        <is>
          <t>Medicine</t>
        </is>
      </c>
      <c r="J1888" t="inlineStr">
        <is>
          <t>Vasquez, Jose</t>
        </is>
      </c>
      <c r="K1888" t="inlineStr">
        <is>
          <t>J45.909</t>
        </is>
      </c>
      <c r="L1888" t="inlineStr">
        <is>
          <t>Respiratory</t>
        </is>
      </c>
      <c r="M1888" t="inlineStr">
        <is>
          <t>Medicare</t>
        </is>
      </c>
      <c r="N1888" t="inlineStr">
        <is>
          <t>Government</t>
        </is>
      </c>
      <c r="O1888" s="39" t="n">
        <v>6249.27</v>
      </c>
      <c r="P1888" t="inlineStr">
        <is>
          <t>N</t>
        </is>
      </c>
    </row>
    <row r="1889">
      <c r="A1889" t="inlineStr">
        <is>
          <t>ENC121243</t>
        </is>
      </c>
      <c r="B1889" t="inlineStr">
        <is>
          <t>PT12544</t>
        </is>
      </c>
      <c r="C1889" s="42" t="n">
        <v>46005</v>
      </c>
      <c r="D1889" s="42" t="n">
        <v>46005</v>
      </c>
      <c r="E1889" s="38" t="n">
        <v>0</v>
      </c>
      <c r="F1889" t="inlineStr">
        <is>
          <t>Emergency</t>
        </is>
      </c>
      <c r="G1889" t="inlineStr">
        <is>
          <t>Cedar Ridge Medical Center</t>
        </is>
      </c>
      <c r="H1889" t="inlineStr">
        <is>
          <t>Emergency Department</t>
        </is>
      </c>
      <c r="I1889" t="inlineStr">
        <is>
          <t>Emergency</t>
        </is>
      </c>
      <c r="J1889" t="inlineStr">
        <is>
          <t>Pena, Wayne</t>
        </is>
      </c>
      <c r="K1889" t="inlineStr">
        <is>
          <t>R07.9</t>
        </is>
      </c>
      <c r="L1889" t="inlineStr">
        <is>
          <t>Symptoms &amp; Signs</t>
        </is>
      </c>
      <c r="M1889" t="inlineStr">
        <is>
          <t>State Medicaid</t>
        </is>
      </c>
      <c r="N1889" t="inlineStr">
        <is>
          <t>Government</t>
        </is>
      </c>
      <c r="O1889" s="39" t="n">
        <v>3740.7</v>
      </c>
    </row>
    <row r="1890">
      <c r="A1890" t="inlineStr">
        <is>
          <t>ENC121249</t>
        </is>
      </c>
      <c r="B1890" t="inlineStr">
        <is>
          <t>PT10631</t>
        </is>
      </c>
      <c r="C1890" s="42" t="n">
        <v>46005</v>
      </c>
      <c r="D1890" s="42" t="n">
        <v>46006</v>
      </c>
      <c r="E1890" s="38" t="n">
        <v>1</v>
      </c>
      <c r="F1890" t="inlineStr">
        <is>
          <t>Emergency</t>
        </is>
      </c>
      <c r="G1890" t="inlineStr">
        <is>
          <t>Bluestone Memorial Hospital</t>
        </is>
      </c>
      <c r="H1890" t="inlineStr">
        <is>
          <t>Emergency Department</t>
        </is>
      </c>
      <c r="I1890" t="inlineStr">
        <is>
          <t>Emergency</t>
        </is>
      </c>
      <c r="J1890" t="inlineStr">
        <is>
          <t>Foster, Patrick</t>
        </is>
      </c>
      <c r="K1890" t="inlineStr">
        <is>
          <t>N39.0</t>
        </is>
      </c>
      <c r="L1890" t="inlineStr">
        <is>
          <t>Genitourinary</t>
        </is>
      </c>
      <c r="M1890" t="inlineStr">
        <is>
          <t>Keystone Health Partners</t>
        </is>
      </c>
      <c r="N1890" t="inlineStr">
        <is>
          <t>Commercial</t>
        </is>
      </c>
      <c r="O1890" s="39" t="n">
        <v>1272.64</v>
      </c>
    </row>
    <row r="1891">
      <c r="A1891" t="inlineStr">
        <is>
          <t>ENC121251</t>
        </is>
      </c>
      <c r="B1891" t="inlineStr">
        <is>
          <t>PT13685</t>
        </is>
      </c>
      <c r="C1891" s="42" t="n">
        <v>46006</v>
      </c>
      <c r="D1891" s="42" t="n">
        <v>46006</v>
      </c>
      <c r="E1891" s="38" t="n">
        <v>0</v>
      </c>
      <c r="F1891" t="inlineStr">
        <is>
          <t>Emergency</t>
        </is>
      </c>
      <c r="G1891" t="inlineStr">
        <is>
          <t>Bluestone Memorial Hospital</t>
        </is>
      </c>
      <c r="H1891" t="inlineStr">
        <is>
          <t>Emergency Department</t>
        </is>
      </c>
      <c r="I1891" t="inlineStr">
        <is>
          <t>Emergency</t>
        </is>
      </c>
      <c r="J1891" t="inlineStr">
        <is>
          <t>Elliott, Jesse</t>
        </is>
      </c>
      <c r="K1891" t="inlineStr">
        <is>
          <t>H66.90</t>
        </is>
      </c>
      <c r="L1891" t="inlineStr">
        <is>
          <t>Ear</t>
        </is>
      </c>
      <c r="M1891" t="inlineStr">
        <is>
          <t>State Medicaid</t>
        </is>
      </c>
      <c r="N1891" t="inlineStr">
        <is>
          <t>Government</t>
        </is>
      </c>
      <c r="O1891" s="39" t="n">
        <v>788.89</v>
      </c>
    </row>
    <row r="1892">
      <c r="A1892" t="inlineStr">
        <is>
          <t>ENC121254</t>
        </is>
      </c>
      <c r="B1892" t="inlineStr">
        <is>
          <t>PT11603</t>
        </is>
      </c>
      <c r="C1892" s="42" t="n">
        <v>46006</v>
      </c>
      <c r="D1892" s="42" t="n">
        <v>46006</v>
      </c>
      <c r="E1892" s="38" t="n">
        <v>0</v>
      </c>
      <c r="F1892" t="inlineStr">
        <is>
          <t>Emergency</t>
        </is>
      </c>
      <c r="G1892" t="inlineStr">
        <is>
          <t>Bluestone Memorial Hospital</t>
        </is>
      </c>
      <c r="H1892" t="inlineStr">
        <is>
          <t>Emergency Department</t>
        </is>
      </c>
      <c r="I1892" t="inlineStr">
        <is>
          <t>Emergency</t>
        </is>
      </c>
      <c r="J1892" t="inlineStr">
        <is>
          <t>Sullivan, Jacob</t>
        </is>
      </c>
      <c r="K1892" t="inlineStr">
        <is>
          <t>J06.9</t>
        </is>
      </c>
      <c r="L1892" t="inlineStr">
        <is>
          <t>Respiratory</t>
        </is>
      </c>
      <c r="M1892" t="inlineStr">
        <is>
          <t>State Medicaid</t>
        </is>
      </c>
      <c r="N1892" t="inlineStr">
        <is>
          <t>Government</t>
        </is>
      </c>
      <c r="O1892" s="39" t="n">
        <v>2138.76</v>
      </c>
    </row>
    <row r="1893">
      <c r="A1893" t="inlineStr">
        <is>
          <t>ENC121258</t>
        </is>
      </c>
      <c r="B1893" t="inlineStr">
        <is>
          <t>PT11727</t>
        </is>
      </c>
      <c r="C1893" s="42" t="n">
        <v>46006</v>
      </c>
      <c r="D1893" s="42" t="n">
        <v>46006</v>
      </c>
      <c r="E1893" s="38" t="n">
        <v>0</v>
      </c>
      <c r="F1893" t="inlineStr">
        <is>
          <t>Emergency</t>
        </is>
      </c>
      <c r="G1893" t="inlineStr">
        <is>
          <t>Cedar Ridge Medical Center</t>
        </is>
      </c>
      <c r="H1893" t="inlineStr">
        <is>
          <t>Emergency Department</t>
        </is>
      </c>
      <c r="I1893" t="inlineStr">
        <is>
          <t>Emergency</t>
        </is>
      </c>
      <c r="J1893" t="inlineStr">
        <is>
          <t>Andrews, Michael</t>
        </is>
      </c>
      <c r="K1893" t="inlineStr">
        <is>
          <t>J18.9</t>
        </is>
      </c>
      <c r="L1893" t="inlineStr">
        <is>
          <t>Respiratory</t>
        </is>
      </c>
      <c r="M1893" t="inlineStr">
        <is>
          <t>Summit Choice PPO</t>
        </is>
      </c>
      <c r="N1893" t="inlineStr">
        <is>
          <t>Commercial</t>
        </is>
      </c>
      <c r="O1893" s="39" t="n">
        <v>9020.440000000001</v>
      </c>
    </row>
    <row r="1894">
      <c r="A1894" t="inlineStr">
        <is>
          <t>ENC121261</t>
        </is>
      </c>
      <c r="B1894" t="inlineStr">
        <is>
          <t>PT11204</t>
        </is>
      </c>
      <c r="C1894" s="42" t="n">
        <v>46006</v>
      </c>
      <c r="D1894" s="42" t="n">
        <v>46006</v>
      </c>
      <c r="E1894" s="38" t="n">
        <v>0</v>
      </c>
      <c r="F1894" t="inlineStr">
        <is>
          <t>Emergency</t>
        </is>
      </c>
      <c r="G1894" t="inlineStr">
        <is>
          <t>Bluestone Memorial Hospital</t>
        </is>
      </c>
      <c r="H1894" t="inlineStr">
        <is>
          <t>Emergency Department</t>
        </is>
      </c>
      <c r="I1894" t="inlineStr">
        <is>
          <t>Emergency</t>
        </is>
      </c>
      <c r="J1894" t="inlineStr">
        <is>
          <t>Mendoza, Alexander</t>
        </is>
      </c>
      <c r="K1894" t="inlineStr">
        <is>
          <t>E86.0</t>
        </is>
      </c>
      <c r="L1894" t="inlineStr">
        <is>
          <t>Endocrine</t>
        </is>
      </c>
      <c r="M1894" t="inlineStr">
        <is>
          <t>Silverline Medicare Advantage</t>
        </is>
      </c>
      <c r="N1894" t="inlineStr">
        <is>
          <t>Medicare Advantage</t>
        </is>
      </c>
      <c r="O1894" s="39" t="n">
        <v>1273.98</v>
      </c>
    </row>
    <row r="1895">
      <c r="A1895" t="inlineStr">
        <is>
          <t>ENC121269</t>
        </is>
      </c>
      <c r="B1895" t="inlineStr">
        <is>
          <t>PT12708</t>
        </is>
      </c>
      <c r="C1895" s="42" t="n">
        <v>46006</v>
      </c>
      <c r="D1895" s="42" t="n">
        <v>46006</v>
      </c>
      <c r="E1895" s="38" t="n">
        <v>0</v>
      </c>
      <c r="F1895" t="inlineStr">
        <is>
          <t>Emergency</t>
        </is>
      </c>
      <c r="G1895" t="inlineStr">
        <is>
          <t>Bluestone Memorial Hospital</t>
        </is>
      </c>
      <c r="H1895" t="inlineStr">
        <is>
          <t>Emergency Department</t>
        </is>
      </c>
      <c r="I1895" t="inlineStr">
        <is>
          <t>Emergency</t>
        </is>
      </c>
      <c r="J1895" t="inlineStr">
        <is>
          <t>Payne, Nancy</t>
        </is>
      </c>
      <c r="K1895" t="inlineStr">
        <is>
          <t>J06.9</t>
        </is>
      </c>
      <c r="L1895" t="inlineStr">
        <is>
          <t>Respiratory</t>
        </is>
      </c>
      <c r="M1895" t="inlineStr">
        <is>
          <t>State Medicaid</t>
        </is>
      </c>
      <c r="N1895" t="inlineStr">
        <is>
          <t>Government</t>
        </is>
      </c>
      <c r="O1895" s="39" t="n">
        <v>778.4400000000001</v>
      </c>
    </row>
    <row r="1896">
      <c r="A1896" t="inlineStr">
        <is>
          <t>ENC121275</t>
        </is>
      </c>
      <c r="B1896" t="inlineStr">
        <is>
          <t>PT11163</t>
        </is>
      </c>
      <c r="C1896" s="42" t="n">
        <v>46006</v>
      </c>
      <c r="D1896" s="42" t="n">
        <v>46006</v>
      </c>
      <c r="E1896" s="38" t="n">
        <v>0</v>
      </c>
      <c r="F1896" t="inlineStr">
        <is>
          <t>Outpatient</t>
        </is>
      </c>
      <c r="G1896" t="inlineStr">
        <is>
          <t>Bluestone Outpatient Pavilion</t>
        </is>
      </c>
      <c r="H1896" t="inlineStr">
        <is>
          <t>Endocrinology &amp; Diabetes Clinic</t>
        </is>
      </c>
      <c r="I1896" t="inlineStr">
        <is>
          <t>Ambulatory</t>
        </is>
      </c>
      <c r="J1896" t="inlineStr">
        <is>
          <t>Woods, Larry</t>
        </is>
      </c>
      <c r="K1896" t="inlineStr">
        <is>
          <t>E11.9</t>
        </is>
      </c>
      <c r="L1896" t="inlineStr">
        <is>
          <t>Endocrine</t>
        </is>
      </c>
      <c r="M1896" t="inlineStr">
        <is>
          <t>Medicare</t>
        </is>
      </c>
      <c r="N1896" t="inlineStr">
        <is>
          <t>Government</t>
        </is>
      </c>
      <c r="O1896" s="39" t="n">
        <v>240.64</v>
      </c>
    </row>
    <row r="1897">
      <c r="A1897" t="inlineStr">
        <is>
          <t>ENC121291</t>
        </is>
      </c>
      <c r="B1897" t="inlineStr">
        <is>
          <t>PT10444</t>
        </is>
      </c>
      <c r="C1897" s="42" t="n">
        <v>46006</v>
      </c>
      <c r="D1897" s="42" t="n">
        <v>46006</v>
      </c>
      <c r="E1897" s="38" t="n">
        <v>0</v>
      </c>
      <c r="F1897" t="inlineStr">
        <is>
          <t>Emergency</t>
        </is>
      </c>
      <c r="G1897" t="inlineStr">
        <is>
          <t>Bluestone Memorial Hospital</t>
        </is>
      </c>
      <c r="H1897" t="inlineStr">
        <is>
          <t>Emergency Department</t>
        </is>
      </c>
      <c r="I1897" t="inlineStr">
        <is>
          <t>Emergency</t>
        </is>
      </c>
      <c r="J1897" t="inlineStr">
        <is>
          <t>Myers, Doris</t>
        </is>
      </c>
      <c r="K1897" t="inlineStr">
        <is>
          <t>J18.9</t>
        </is>
      </c>
      <c r="L1897" t="inlineStr">
        <is>
          <t>Respiratory</t>
        </is>
      </c>
      <c r="M1897" t="inlineStr">
        <is>
          <t>Medicare</t>
        </is>
      </c>
      <c r="N1897" t="inlineStr">
        <is>
          <t>Government</t>
        </is>
      </c>
      <c r="O1897" s="39" t="n">
        <v>1765.4</v>
      </c>
    </row>
    <row r="1898">
      <c r="A1898" t="inlineStr">
        <is>
          <t>ENC121298</t>
        </is>
      </c>
      <c r="B1898" t="inlineStr">
        <is>
          <t>PT10070</t>
        </is>
      </c>
      <c r="C1898" s="42" t="n">
        <v>46007</v>
      </c>
      <c r="D1898" s="42" t="n">
        <v>46015</v>
      </c>
      <c r="E1898" s="38" t="n">
        <v>8</v>
      </c>
      <c r="F1898" t="inlineStr">
        <is>
          <t>Inpatient</t>
        </is>
      </c>
      <c r="G1898" t="inlineStr">
        <is>
          <t>Bluestone Memorial Hospital</t>
        </is>
      </c>
      <c r="H1898" t="inlineStr">
        <is>
          <t>Medical-Surgical 4 West</t>
        </is>
      </c>
      <c r="I1898" t="inlineStr">
        <is>
          <t>Medicine</t>
        </is>
      </c>
      <c r="J1898" t="inlineStr">
        <is>
          <t>Allen, Jean</t>
        </is>
      </c>
      <c r="K1898" t="inlineStr">
        <is>
          <t>F10.239</t>
        </is>
      </c>
      <c r="L1898" t="inlineStr">
        <is>
          <t>Mental &amp; Behavioral</t>
        </is>
      </c>
      <c r="M1898" t="inlineStr">
        <is>
          <t>Silverline Medicare Advantage</t>
        </is>
      </c>
      <c r="N1898" t="inlineStr">
        <is>
          <t>Medicare Advantage</t>
        </is>
      </c>
      <c r="O1898" s="39" t="n">
        <v>48359.66</v>
      </c>
      <c r="P1898" t="inlineStr">
        <is>
          <t>N</t>
        </is>
      </c>
    </row>
    <row r="1899">
      <c r="A1899" t="inlineStr">
        <is>
          <t>ENC121300</t>
        </is>
      </c>
      <c r="B1899" t="inlineStr">
        <is>
          <t>PT10831</t>
        </is>
      </c>
      <c r="C1899" s="42" t="n">
        <v>46007</v>
      </c>
      <c r="D1899" s="42" t="n">
        <v>46007</v>
      </c>
      <c r="E1899" s="38" t="n">
        <v>0</v>
      </c>
      <c r="F1899" t="inlineStr">
        <is>
          <t>Outpatient</t>
        </is>
      </c>
      <c r="G1899" t="inlineStr">
        <is>
          <t>Bluestone Outpatient Pavilion</t>
        </is>
      </c>
      <c r="H1899" t="inlineStr">
        <is>
          <t>Primary Care Clinic</t>
        </is>
      </c>
      <c r="I1899" t="inlineStr">
        <is>
          <t>Ambulatory</t>
        </is>
      </c>
      <c r="J1899" t="inlineStr">
        <is>
          <t>Bennett, Randy</t>
        </is>
      </c>
      <c r="K1899" t="inlineStr">
        <is>
          <t>Z23</t>
        </is>
      </c>
      <c r="L1899" t="inlineStr">
        <is>
          <t>Factors Influencing Health</t>
        </is>
      </c>
      <c r="M1899" t="inlineStr">
        <is>
          <t>State Medicaid</t>
        </is>
      </c>
      <c r="N1899" t="inlineStr">
        <is>
          <t>Government</t>
        </is>
      </c>
      <c r="O1899" s="39" t="n">
        <v>121.15</v>
      </c>
    </row>
    <row r="1900">
      <c r="A1900" t="inlineStr">
        <is>
          <t>ENC121306</t>
        </is>
      </c>
      <c r="B1900" t="inlineStr">
        <is>
          <t>PT11577</t>
        </is>
      </c>
      <c r="C1900" s="42" t="n">
        <v>46007</v>
      </c>
      <c r="D1900" s="42" t="n">
        <v>46007</v>
      </c>
      <c r="E1900" s="38" t="n">
        <v>0</v>
      </c>
      <c r="F1900" t="inlineStr">
        <is>
          <t>Emergency</t>
        </is>
      </c>
      <c r="G1900" t="inlineStr">
        <is>
          <t>Ashby Falls Community Hospital</t>
        </is>
      </c>
      <c r="H1900" t="inlineStr">
        <is>
          <t>Emergency Department</t>
        </is>
      </c>
      <c r="I1900" t="inlineStr">
        <is>
          <t>Emergency</t>
        </is>
      </c>
      <c r="J1900" t="inlineStr">
        <is>
          <t>Marshall, Lisa</t>
        </is>
      </c>
      <c r="K1900" t="inlineStr">
        <is>
          <t>E11.65</t>
        </is>
      </c>
      <c r="L1900" t="inlineStr">
        <is>
          <t>Endocrine</t>
        </is>
      </c>
      <c r="M1900" t="inlineStr">
        <is>
          <t>Self-Pay</t>
        </is>
      </c>
      <c r="N1900" t="inlineStr">
        <is>
          <t>Self-Pay</t>
        </is>
      </c>
      <c r="O1900" s="39" t="n">
        <v>4055.9</v>
      </c>
    </row>
    <row r="1901">
      <c r="A1901" t="inlineStr">
        <is>
          <t>ENC121316</t>
        </is>
      </c>
      <c r="B1901" t="inlineStr">
        <is>
          <t>PT11047</t>
        </is>
      </c>
      <c r="C1901" s="42" t="n">
        <v>46007</v>
      </c>
      <c r="D1901" s="42" t="n">
        <v>46009</v>
      </c>
      <c r="E1901" s="38" t="n">
        <v>2</v>
      </c>
      <c r="F1901" t="inlineStr">
        <is>
          <t>Inpatient</t>
        </is>
      </c>
      <c r="G1901" t="inlineStr">
        <is>
          <t>Bluestone Memorial Hospital</t>
        </is>
      </c>
      <c r="H1901" t="inlineStr">
        <is>
          <t>Cardiac Step-Down</t>
        </is>
      </c>
      <c r="I1901" t="inlineStr">
        <is>
          <t>Cardiovascular</t>
        </is>
      </c>
      <c r="J1901" t="inlineStr">
        <is>
          <t>Evans, Charles</t>
        </is>
      </c>
      <c r="K1901" t="inlineStr">
        <is>
          <t>I48.91</t>
        </is>
      </c>
      <c r="L1901" t="inlineStr">
        <is>
          <t>Circulatory</t>
        </is>
      </c>
      <c r="M1901" t="inlineStr">
        <is>
          <t>Keystone Health Partners</t>
        </is>
      </c>
      <c r="N1901" t="inlineStr">
        <is>
          <t>Commercial</t>
        </is>
      </c>
      <c r="O1901" s="39" t="n">
        <v>9986.35</v>
      </c>
      <c r="P1901" t="inlineStr">
        <is>
          <t>N</t>
        </is>
      </c>
    </row>
    <row r="1902">
      <c r="A1902" t="inlineStr">
        <is>
          <t>ENC121304</t>
        </is>
      </c>
      <c r="B1902" t="inlineStr">
        <is>
          <t>PT13474</t>
        </is>
      </c>
      <c r="C1902" s="42" t="n">
        <v>46007</v>
      </c>
      <c r="D1902" s="42" t="n">
        <v>46011</v>
      </c>
      <c r="E1902" s="38" t="n">
        <v>4</v>
      </c>
      <c r="F1902" t="inlineStr">
        <is>
          <t>Inpatient</t>
        </is>
      </c>
      <c r="G1902" t="inlineStr">
        <is>
          <t>Bluestone Memorial Hospital</t>
        </is>
      </c>
      <c r="H1902" t="inlineStr">
        <is>
          <t>Oncology</t>
        </is>
      </c>
      <c r="I1902" t="inlineStr">
        <is>
          <t>Oncology</t>
        </is>
      </c>
      <c r="J1902" t="inlineStr">
        <is>
          <t>Robertson, Eric</t>
        </is>
      </c>
      <c r="K1902" t="inlineStr">
        <is>
          <t>C50.911</t>
        </is>
      </c>
      <c r="L1902" t="inlineStr">
        <is>
          <t>Neoplasms</t>
        </is>
      </c>
      <c r="M1902" t="inlineStr">
        <is>
          <t>Silverline Medicare Advantage</t>
        </is>
      </c>
      <c r="N1902" t="inlineStr">
        <is>
          <t>Medicare Advantage</t>
        </is>
      </c>
      <c r="O1902" s="39" t="n">
        <v>40622.18</v>
      </c>
      <c r="P1902" t="inlineStr">
        <is>
          <t>N</t>
        </is>
      </c>
    </row>
    <row r="1903">
      <c r="A1903" t="inlineStr">
        <is>
          <t>ENC121333</t>
        </is>
      </c>
      <c r="B1903" t="inlineStr">
        <is>
          <t>PT11175</t>
        </is>
      </c>
      <c r="C1903" s="42" t="n">
        <v>46007</v>
      </c>
      <c r="D1903" s="42" t="n">
        <v>46007</v>
      </c>
      <c r="E1903" s="38" t="n">
        <v>0</v>
      </c>
      <c r="F1903" t="inlineStr">
        <is>
          <t>Emergency</t>
        </is>
      </c>
      <c r="G1903" t="inlineStr">
        <is>
          <t>Bluestone Memorial Hospital</t>
        </is>
      </c>
      <c r="H1903" t="inlineStr">
        <is>
          <t>Emergency Department</t>
        </is>
      </c>
      <c r="I1903" t="inlineStr">
        <is>
          <t>Emergency</t>
        </is>
      </c>
      <c r="J1903" t="inlineStr">
        <is>
          <t>Elliott, Jesse</t>
        </is>
      </c>
      <c r="K1903" t="inlineStr">
        <is>
          <t>J06.9</t>
        </is>
      </c>
      <c r="L1903" t="inlineStr">
        <is>
          <t>Respiratory</t>
        </is>
      </c>
      <c r="M1903" t="inlineStr">
        <is>
          <t>Evergreen Mutual Insurance</t>
        </is>
      </c>
      <c r="N1903" t="inlineStr">
        <is>
          <t>Commercial</t>
        </is>
      </c>
      <c r="O1903" s="39" t="n">
        <v>954.53</v>
      </c>
    </row>
    <row r="1904">
      <c r="A1904" t="inlineStr">
        <is>
          <t>ENC121325</t>
        </is>
      </c>
      <c r="B1904" t="inlineStr">
        <is>
          <t>PT13669</t>
        </is>
      </c>
      <c r="C1904" s="42" t="n">
        <v>46007</v>
      </c>
      <c r="D1904" s="42" t="n">
        <v>46013</v>
      </c>
      <c r="E1904" s="38" t="n">
        <v>6</v>
      </c>
      <c r="F1904" t="inlineStr">
        <is>
          <t>Inpatient</t>
        </is>
      </c>
      <c r="G1904" t="inlineStr">
        <is>
          <t>Bluestone Memorial Hospital</t>
        </is>
      </c>
      <c r="H1904" t="inlineStr">
        <is>
          <t>Neuroscience &amp; Stroke</t>
        </is>
      </c>
      <c r="I1904" t="inlineStr">
        <is>
          <t>Neuroscience</t>
        </is>
      </c>
      <c r="J1904" t="inlineStr">
        <is>
          <t>Stone, Frank</t>
        </is>
      </c>
      <c r="K1904" t="inlineStr">
        <is>
          <t>I63.9</t>
        </is>
      </c>
      <c r="L1904" t="inlineStr">
        <is>
          <t>Circulatory</t>
        </is>
      </c>
      <c r="M1904" t="inlineStr">
        <is>
          <t>Silverline Medicare Advantage</t>
        </is>
      </c>
      <c r="N1904" t="inlineStr">
        <is>
          <t>Medicare Advantage</t>
        </is>
      </c>
      <c r="O1904" s="39" t="n">
        <v>21248.59</v>
      </c>
      <c r="P1904" t="inlineStr">
        <is>
          <t>Y</t>
        </is>
      </c>
    </row>
    <row r="1905">
      <c r="A1905" t="inlineStr">
        <is>
          <t>ENC121329</t>
        </is>
      </c>
      <c r="B1905" t="inlineStr">
        <is>
          <t>PT11345</t>
        </is>
      </c>
      <c r="C1905" s="42" t="n">
        <v>46007</v>
      </c>
      <c r="D1905" s="42" t="n">
        <v>46010</v>
      </c>
      <c r="E1905" s="38" t="n">
        <v>3</v>
      </c>
      <c r="F1905" t="inlineStr">
        <is>
          <t>Inpatient</t>
        </is>
      </c>
      <c r="G1905" t="inlineStr">
        <is>
          <t>Bluestone Memorial Hospital</t>
        </is>
      </c>
      <c r="H1905" t="inlineStr">
        <is>
          <t>Medical-Surgical 5 East</t>
        </is>
      </c>
      <c r="I1905" t="inlineStr">
        <is>
          <t>Medicine</t>
        </is>
      </c>
      <c r="J1905" t="inlineStr">
        <is>
          <t>Vasquez, Jose</t>
        </is>
      </c>
      <c r="K1905" t="inlineStr">
        <is>
          <t>U07.1</t>
        </is>
      </c>
      <c r="L1905" t="inlineStr">
        <is>
          <t>Respiratory</t>
        </is>
      </c>
      <c r="M1905" t="inlineStr">
        <is>
          <t>Keystone Health Partners</t>
        </is>
      </c>
      <c r="N1905" t="inlineStr">
        <is>
          <t>Commercial</t>
        </is>
      </c>
      <c r="O1905" s="39" t="n">
        <v>15800.46</v>
      </c>
      <c r="P1905" t="inlineStr">
        <is>
          <t>N</t>
        </is>
      </c>
    </row>
    <row r="1906">
      <c r="A1906" t="inlineStr">
        <is>
          <t>ENC121328</t>
        </is>
      </c>
      <c r="B1906" t="inlineStr">
        <is>
          <t>PT13110</t>
        </is>
      </c>
      <c r="C1906" s="42" t="n">
        <v>46007</v>
      </c>
      <c r="D1906" s="42" t="n">
        <v>46010</v>
      </c>
      <c r="E1906" s="38" t="n">
        <v>3</v>
      </c>
      <c r="F1906" t="inlineStr">
        <is>
          <t>Inpatient</t>
        </is>
      </c>
      <c r="G1906" t="inlineStr">
        <is>
          <t>Bluestone Memorial Hospital</t>
        </is>
      </c>
      <c r="H1906" t="inlineStr">
        <is>
          <t>Cardiac Step-Down</t>
        </is>
      </c>
      <c r="I1906" t="inlineStr">
        <is>
          <t>Cardiovascular</t>
        </is>
      </c>
      <c r="J1906" t="inlineStr">
        <is>
          <t>Taylor, Jonathan</t>
        </is>
      </c>
      <c r="K1906" t="inlineStr">
        <is>
          <t>I48.91</t>
        </is>
      </c>
      <c r="L1906" t="inlineStr">
        <is>
          <t>Circulatory</t>
        </is>
      </c>
      <c r="M1906" t="inlineStr">
        <is>
          <t>Silverline Medicare Advantage</t>
        </is>
      </c>
      <c r="N1906" t="inlineStr">
        <is>
          <t>Medicare Advantage</t>
        </is>
      </c>
      <c r="O1906" s="39" t="n">
        <v>18639.55</v>
      </c>
      <c r="P1906" t="inlineStr">
        <is>
          <t>N</t>
        </is>
      </c>
    </row>
    <row r="1907">
      <c r="A1907" t="inlineStr">
        <is>
          <t>ENC121347</t>
        </is>
      </c>
      <c r="B1907" t="inlineStr">
        <is>
          <t>PT10365</t>
        </is>
      </c>
      <c r="C1907" s="42" t="n">
        <v>46008</v>
      </c>
      <c r="D1907" s="42" t="n">
        <v>46008</v>
      </c>
      <c r="E1907" s="38" t="n">
        <v>0</v>
      </c>
      <c r="F1907" t="inlineStr">
        <is>
          <t>Emergency</t>
        </is>
      </c>
      <c r="G1907" t="inlineStr">
        <is>
          <t>Bluestone Memorial Hospital</t>
        </is>
      </c>
      <c r="H1907" t="inlineStr">
        <is>
          <t>Emergency Department</t>
        </is>
      </c>
      <c r="I1907" t="inlineStr">
        <is>
          <t>Emergency</t>
        </is>
      </c>
      <c r="J1907" t="inlineStr">
        <is>
          <t>Morris, Jordan</t>
        </is>
      </c>
      <c r="K1907" t="inlineStr">
        <is>
          <t>S93.401A</t>
        </is>
      </c>
      <c r="L1907" t="inlineStr">
        <is>
          <t>Injury</t>
        </is>
      </c>
      <c r="M1907" t="inlineStr">
        <is>
          <t>Evergreen Mutual Insurance</t>
        </is>
      </c>
      <c r="N1907" t="inlineStr">
        <is>
          <t>Commercial</t>
        </is>
      </c>
      <c r="O1907" s="39" t="n">
        <v>550.46</v>
      </c>
    </row>
    <row r="1908">
      <c r="A1908" t="inlineStr">
        <is>
          <t>ENC121354</t>
        </is>
      </c>
      <c r="B1908" t="inlineStr">
        <is>
          <t>PT11565</t>
        </is>
      </c>
      <c r="C1908" s="42" t="n">
        <v>46008</v>
      </c>
      <c r="D1908" s="42" t="n">
        <v>46008</v>
      </c>
      <c r="E1908" s="38" t="n">
        <v>0</v>
      </c>
      <c r="F1908" t="inlineStr">
        <is>
          <t>Emergency</t>
        </is>
      </c>
      <c r="G1908" t="inlineStr">
        <is>
          <t>Bluestone Memorial Hospital</t>
        </is>
      </c>
      <c r="H1908" t="inlineStr">
        <is>
          <t>Emergency Department</t>
        </is>
      </c>
      <c r="I1908" t="inlineStr">
        <is>
          <t>Emergency</t>
        </is>
      </c>
      <c r="J1908" t="inlineStr">
        <is>
          <t>Jordan, Wayne</t>
        </is>
      </c>
      <c r="K1908" t="inlineStr">
        <is>
          <t>F41.9</t>
        </is>
      </c>
      <c r="L1908" t="inlineStr">
        <is>
          <t>Mental &amp; Behavioral</t>
        </is>
      </c>
      <c r="M1908" t="inlineStr">
        <is>
          <t>Silverline Medicare Advantage</t>
        </is>
      </c>
      <c r="N1908" t="inlineStr">
        <is>
          <t>Medicare Advantage</t>
        </is>
      </c>
      <c r="O1908" s="39" t="n">
        <v>831.8</v>
      </c>
    </row>
    <row r="1909">
      <c r="A1909" t="inlineStr">
        <is>
          <t>ENC121356</t>
        </is>
      </c>
      <c r="B1909" t="inlineStr">
        <is>
          <t>PT12085</t>
        </is>
      </c>
      <c r="C1909" s="42" t="n">
        <v>46008</v>
      </c>
      <c r="D1909" s="42" t="n">
        <v>46008</v>
      </c>
      <c r="E1909" s="38" t="n">
        <v>0</v>
      </c>
      <c r="F1909" t="inlineStr">
        <is>
          <t>Outpatient</t>
        </is>
      </c>
      <c r="G1909" t="inlineStr">
        <is>
          <t>Bluestone Outpatient Pavilion</t>
        </is>
      </c>
      <c r="H1909" t="inlineStr">
        <is>
          <t>Primary Care Clinic</t>
        </is>
      </c>
      <c r="I1909" t="inlineStr">
        <is>
          <t>Ambulatory</t>
        </is>
      </c>
      <c r="J1909" t="inlineStr">
        <is>
          <t>Black, Nancy</t>
        </is>
      </c>
      <c r="K1909" t="inlineStr">
        <is>
          <t>K80.20</t>
        </is>
      </c>
      <c r="L1909" t="inlineStr">
        <is>
          <t>Digestive</t>
        </is>
      </c>
      <c r="M1909" t="inlineStr">
        <is>
          <t>Evergreen Mutual Insurance</t>
        </is>
      </c>
      <c r="N1909" t="inlineStr">
        <is>
          <t>Commercial</t>
        </is>
      </c>
      <c r="O1909" s="39" t="n">
        <v>545.73</v>
      </c>
    </row>
    <row r="1910">
      <c r="A1910" t="inlineStr">
        <is>
          <t>ENC121357</t>
        </is>
      </c>
      <c r="B1910" t="inlineStr">
        <is>
          <t>PT12731</t>
        </is>
      </c>
      <c r="C1910" s="42" t="n">
        <v>46008</v>
      </c>
      <c r="D1910" s="42" t="n">
        <v>46011</v>
      </c>
      <c r="E1910" s="38" t="n">
        <v>3</v>
      </c>
      <c r="F1910" t="inlineStr">
        <is>
          <t>Inpatient</t>
        </is>
      </c>
      <c r="G1910" t="inlineStr">
        <is>
          <t>Bluestone Memorial Hospital</t>
        </is>
      </c>
      <c r="H1910" t="inlineStr">
        <is>
          <t>Medical-Surgical 4 West</t>
        </is>
      </c>
      <c r="I1910" t="inlineStr">
        <is>
          <t>Medicine</t>
        </is>
      </c>
      <c r="J1910" t="inlineStr">
        <is>
          <t>Ramirez, Emma</t>
        </is>
      </c>
      <c r="K1910" t="inlineStr">
        <is>
          <t>U07.1</t>
        </is>
      </c>
      <c r="L1910" t="inlineStr">
        <is>
          <t>Respiratory</t>
        </is>
      </c>
      <c r="M1910" t="inlineStr">
        <is>
          <t>Evergreen Mutual Insurance</t>
        </is>
      </c>
      <c r="N1910" t="inlineStr">
        <is>
          <t>Commercial</t>
        </is>
      </c>
      <c r="O1910" s="39" t="n">
        <v>16220.43</v>
      </c>
      <c r="P1910" t="inlineStr">
        <is>
          <t>N</t>
        </is>
      </c>
    </row>
    <row r="1911">
      <c r="A1911" t="inlineStr">
        <is>
          <t>ENC121372</t>
        </is>
      </c>
      <c r="B1911" t="inlineStr">
        <is>
          <t>PT10816</t>
        </is>
      </c>
      <c r="C1911" s="42" t="n">
        <v>46008</v>
      </c>
      <c r="D1911" s="42" t="n">
        <v>46008</v>
      </c>
      <c r="E1911" s="38" t="n">
        <v>0</v>
      </c>
      <c r="F1911" t="inlineStr">
        <is>
          <t>Emergency</t>
        </is>
      </c>
      <c r="G1911" t="inlineStr">
        <is>
          <t>Bluestone Memorial Hospital</t>
        </is>
      </c>
      <c r="H1911" t="inlineStr">
        <is>
          <t>Emergency Department</t>
        </is>
      </c>
      <c r="I1911" t="inlineStr">
        <is>
          <t>Emergency</t>
        </is>
      </c>
      <c r="J1911" t="inlineStr">
        <is>
          <t>Myers, Doris</t>
        </is>
      </c>
      <c r="K1911" t="inlineStr">
        <is>
          <t>H66.90</t>
        </is>
      </c>
      <c r="L1911" t="inlineStr">
        <is>
          <t>Ear</t>
        </is>
      </c>
      <c r="M1911" t="inlineStr">
        <is>
          <t>Summit Choice PPO</t>
        </is>
      </c>
      <c r="N1911" t="inlineStr">
        <is>
          <t>Commercial</t>
        </is>
      </c>
      <c r="O1911" s="39" t="n">
        <v>668.89</v>
      </c>
    </row>
    <row r="1912">
      <c r="A1912" t="inlineStr">
        <is>
          <t>ENC121374</t>
        </is>
      </c>
      <c r="B1912" t="inlineStr">
        <is>
          <t>PT13101</t>
        </is>
      </c>
      <c r="C1912" s="42" t="n">
        <v>46008</v>
      </c>
      <c r="D1912" s="42" t="n">
        <v>46012</v>
      </c>
      <c r="E1912" s="38" t="n">
        <v>4</v>
      </c>
      <c r="F1912" t="inlineStr">
        <is>
          <t>Inpatient</t>
        </is>
      </c>
      <c r="G1912" t="inlineStr">
        <is>
          <t>Bluestone Memorial Hospital</t>
        </is>
      </c>
      <c r="H1912" t="inlineStr">
        <is>
          <t>Medical-Surgical 4 West</t>
        </is>
      </c>
      <c r="I1912" t="inlineStr">
        <is>
          <t>Medicine</t>
        </is>
      </c>
      <c r="J1912" t="inlineStr">
        <is>
          <t>Yilmaz, Joe</t>
        </is>
      </c>
      <c r="K1912" t="inlineStr">
        <is>
          <t>J44.1</t>
        </is>
      </c>
      <c r="L1912" t="inlineStr">
        <is>
          <t>Respiratory</t>
        </is>
      </c>
      <c r="M1912" t="inlineStr">
        <is>
          <t>Medicare</t>
        </is>
      </c>
      <c r="N1912" t="inlineStr">
        <is>
          <t>Government</t>
        </is>
      </c>
      <c r="O1912" s="39" t="n">
        <v>13653.49</v>
      </c>
      <c r="P1912" t="inlineStr">
        <is>
          <t>N</t>
        </is>
      </c>
    </row>
    <row r="1913">
      <c r="A1913" t="inlineStr">
        <is>
          <t>ENC121395</t>
        </is>
      </c>
      <c r="B1913" t="inlineStr">
        <is>
          <t>PT12529</t>
        </is>
      </c>
      <c r="C1913" s="42" t="n">
        <v>46009</v>
      </c>
      <c r="D1913" s="42" t="n">
        <v>46009</v>
      </c>
      <c r="E1913" s="38" t="n">
        <v>0</v>
      </c>
      <c r="F1913" t="inlineStr">
        <is>
          <t>Emergency</t>
        </is>
      </c>
      <c r="G1913" t="inlineStr">
        <is>
          <t>Ashby Falls Community Hospital</t>
        </is>
      </c>
      <c r="H1913" t="inlineStr">
        <is>
          <t>Emergency Department</t>
        </is>
      </c>
      <c r="I1913" t="inlineStr">
        <is>
          <t>Emergency</t>
        </is>
      </c>
      <c r="J1913" t="inlineStr">
        <is>
          <t>Marshall, Lisa</t>
        </is>
      </c>
      <c r="K1913" t="inlineStr">
        <is>
          <t>R55</t>
        </is>
      </c>
      <c r="L1913" t="inlineStr">
        <is>
          <t>Symptoms &amp; Signs</t>
        </is>
      </c>
      <c r="M1913" t="inlineStr">
        <is>
          <t>Keystone Health Partners</t>
        </is>
      </c>
      <c r="N1913" t="inlineStr">
        <is>
          <t>Commercial</t>
        </is>
      </c>
      <c r="O1913" s="39" t="n">
        <v>2242.7</v>
      </c>
    </row>
    <row r="1914">
      <c r="A1914" t="inlineStr">
        <is>
          <t>ENC121396</t>
        </is>
      </c>
      <c r="B1914" t="inlineStr">
        <is>
          <t>PT10616</t>
        </is>
      </c>
      <c r="C1914" s="42" t="n">
        <v>46009</v>
      </c>
      <c r="D1914" s="42" t="n">
        <v>46009</v>
      </c>
      <c r="E1914" s="38" t="n">
        <v>0</v>
      </c>
      <c r="F1914" t="inlineStr">
        <is>
          <t>Outpatient</t>
        </is>
      </c>
      <c r="G1914" t="inlineStr">
        <is>
          <t>Bluestone Outpatient Pavilion</t>
        </is>
      </c>
      <c r="H1914" t="inlineStr">
        <is>
          <t>Primary Care Clinic</t>
        </is>
      </c>
      <c r="I1914" t="inlineStr">
        <is>
          <t>Ambulatory</t>
        </is>
      </c>
      <c r="J1914" t="inlineStr">
        <is>
          <t>Santos, Edward</t>
        </is>
      </c>
      <c r="K1914" t="inlineStr">
        <is>
          <t>I10</t>
        </is>
      </c>
      <c r="L1914" t="inlineStr">
        <is>
          <t>Circulatory</t>
        </is>
      </c>
      <c r="M1914" t="inlineStr">
        <is>
          <t>Medicare</t>
        </is>
      </c>
      <c r="N1914" t="inlineStr">
        <is>
          <t>Government</t>
        </is>
      </c>
      <c r="O1914" s="39" t="n">
        <v>141.97</v>
      </c>
    </row>
    <row r="1915">
      <c r="A1915" t="inlineStr">
        <is>
          <t>ENC121399</t>
        </is>
      </c>
      <c r="B1915" t="inlineStr">
        <is>
          <t>PT13572</t>
        </is>
      </c>
      <c r="C1915" s="42" t="n">
        <v>46009</v>
      </c>
      <c r="D1915" s="42" t="n">
        <v>46009</v>
      </c>
      <c r="E1915" s="38" t="n">
        <v>0</v>
      </c>
      <c r="F1915" t="inlineStr">
        <is>
          <t>Outpatient</t>
        </is>
      </c>
      <c r="G1915" t="inlineStr">
        <is>
          <t>Bluestone Outpatient Pavilion</t>
        </is>
      </c>
      <c r="H1915" t="inlineStr">
        <is>
          <t>Endocrinology &amp; Diabetes Clinic</t>
        </is>
      </c>
      <c r="I1915" t="inlineStr">
        <is>
          <t>Ambulatory</t>
        </is>
      </c>
      <c r="J1915" t="inlineStr">
        <is>
          <t>Woods, Larry</t>
        </is>
      </c>
      <c r="K1915" t="inlineStr">
        <is>
          <t>E11.65</t>
        </is>
      </c>
      <c r="L1915" t="inlineStr">
        <is>
          <t>Endocrine</t>
        </is>
      </c>
      <c r="M1915" t="inlineStr">
        <is>
          <t>State Medicaid</t>
        </is>
      </c>
      <c r="N1915" t="inlineStr">
        <is>
          <t>Government</t>
        </is>
      </c>
      <c r="O1915" s="39" t="n">
        <v>213.38</v>
      </c>
    </row>
    <row r="1916">
      <c r="A1916" t="inlineStr">
        <is>
          <t>ENC121404</t>
        </is>
      </c>
      <c r="B1916" t="inlineStr">
        <is>
          <t>PT10129</t>
        </is>
      </c>
      <c r="C1916" s="42" t="n">
        <v>46009</v>
      </c>
      <c r="D1916" s="42" t="n">
        <v>46009</v>
      </c>
      <c r="E1916" s="38" t="n">
        <v>0</v>
      </c>
      <c r="F1916" t="inlineStr">
        <is>
          <t>Emergency</t>
        </is>
      </c>
      <c r="G1916" t="inlineStr">
        <is>
          <t>Ashby Falls Community Hospital</t>
        </is>
      </c>
      <c r="H1916" t="inlineStr">
        <is>
          <t>Emergency Department</t>
        </is>
      </c>
      <c r="I1916" t="inlineStr">
        <is>
          <t>Emergency</t>
        </is>
      </c>
      <c r="J1916" t="inlineStr">
        <is>
          <t>Walker, Margaret</t>
        </is>
      </c>
      <c r="K1916" t="inlineStr">
        <is>
          <t>J44.1</t>
        </is>
      </c>
      <c r="L1916" t="inlineStr">
        <is>
          <t>Respiratory</t>
        </is>
      </c>
      <c r="M1916" t="inlineStr">
        <is>
          <t>Evergreen Mutual Insurance</t>
        </is>
      </c>
      <c r="N1916" t="inlineStr">
        <is>
          <t>Commercial</t>
        </is>
      </c>
      <c r="O1916" s="39" t="n">
        <v>7202.96</v>
      </c>
    </row>
    <row r="1917">
      <c r="A1917" t="inlineStr">
        <is>
          <t>ENC121407</t>
        </is>
      </c>
      <c r="B1917" t="inlineStr">
        <is>
          <t>PT12497</t>
        </is>
      </c>
      <c r="C1917" s="42" t="n">
        <v>46009</v>
      </c>
      <c r="D1917" s="42" t="n">
        <v>46009</v>
      </c>
      <c r="E1917" s="38" t="n">
        <v>0</v>
      </c>
      <c r="F1917" t="inlineStr">
        <is>
          <t>Emergency</t>
        </is>
      </c>
      <c r="G1917" t="inlineStr">
        <is>
          <t>Bluestone Memorial Hospital</t>
        </is>
      </c>
      <c r="H1917" t="inlineStr">
        <is>
          <t>Emergency Department</t>
        </is>
      </c>
      <c r="I1917" t="inlineStr">
        <is>
          <t>Emergency</t>
        </is>
      </c>
      <c r="J1917" t="inlineStr">
        <is>
          <t>Ferguson, Roy</t>
        </is>
      </c>
      <c r="K1917" t="inlineStr">
        <is>
          <t>J06.9</t>
        </is>
      </c>
      <c r="L1917" t="inlineStr">
        <is>
          <t>Respiratory</t>
        </is>
      </c>
      <c r="M1917" t="inlineStr">
        <is>
          <t>Medicare</t>
        </is>
      </c>
      <c r="N1917" t="inlineStr">
        <is>
          <t>Government</t>
        </is>
      </c>
      <c r="O1917" s="39" t="n">
        <v>1313.85</v>
      </c>
    </row>
    <row r="1918">
      <c r="A1918" t="inlineStr">
        <is>
          <t>ENC121398</t>
        </is>
      </c>
      <c r="B1918" t="inlineStr">
        <is>
          <t>PT10623</t>
        </is>
      </c>
      <c r="C1918" s="42" t="n">
        <v>46009</v>
      </c>
      <c r="D1918" s="42" t="n">
        <v>46011</v>
      </c>
      <c r="E1918" s="38" t="n">
        <v>2</v>
      </c>
      <c r="F1918" t="inlineStr">
        <is>
          <t>Inpatient</t>
        </is>
      </c>
      <c r="G1918" t="inlineStr">
        <is>
          <t>Bluestone Memorial Hospital</t>
        </is>
      </c>
      <c r="H1918" t="inlineStr">
        <is>
          <t>Medical-Surgical 4 West</t>
        </is>
      </c>
      <c r="I1918" t="inlineStr">
        <is>
          <t>Medicine</t>
        </is>
      </c>
      <c r="J1918" t="inlineStr">
        <is>
          <t>Russell, Larry</t>
        </is>
      </c>
      <c r="K1918" t="inlineStr">
        <is>
          <t>E86.0</t>
        </is>
      </c>
      <c r="L1918" t="inlineStr">
        <is>
          <t>Endocrine</t>
        </is>
      </c>
      <c r="M1918" t="inlineStr">
        <is>
          <t>Keystone Health Partners</t>
        </is>
      </c>
      <c r="N1918" t="inlineStr">
        <is>
          <t>Commercial</t>
        </is>
      </c>
      <c r="O1918" s="39" t="n">
        <v>12254.1</v>
      </c>
      <c r="P1918" t="inlineStr">
        <is>
          <t>N</t>
        </is>
      </c>
    </row>
    <row r="1919">
      <c r="A1919" t="inlineStr">
        <is>
          <t>ENC121410</t>
        </is>
      </c>
      <c r="B1919" t="inlineStr">
        <is>
          <t>PT12510</t>
        </is>
      </c>
      <c r="C1919" s="42" t="n">
        <v>46009</v>
      </c>
      <c r="D1919" s="42" t="n">
        <v>46015</v>
      </c>
      <c r="E1919" s="38" t="n">
        <v>6</v>
      </c>
      <c r="F1919" t="inlineStr">
        <is>
          <t>Inpatient</t>
        </is>
      </c>
      <c r="G1919" t="inlineStr">
        <is>
          <t>Bluestone Memorial Hospital</t>
        </is>
      </c>
      <c r="H1919" t="inlineStr">
        <is>
          <t>Medical-Surgical 5 East</t>
        </is>
      </c>
      <c r="I1919" t="inlineStr">
        <is>
          <t>Medicine</t>
        </is>
      </c>
      <c r="J1919" t="inlineStr">
        <is>
          <t>Vasquez, Jose</t>
        </is>
      </c>
      <c r="K1919" t="inlineStr">
        <is>
          <t>U07.1</t>
        </is>
      </c>
      <c r="L1919" t="inlineStr">
        <is>
          <t>Respiratory</t>
        </is>
      </c>
      <c r="M1919" t="inlineStr">
        <is>
          <t>Evergreen Mutual Insurance</t>
        </is>
      </c>
      <c r="N1919" t="inlineStr">
        <is>
          <t>Commercial</t>
        </is>
      </c>
      <c r="O1919" s="39" t="n">
        <v>35112.09</v>
      </c>
      <c r="P1919" t="inlineStr">
        <is>
          <t>N</t>
        </is>
      </c>
    </row>
    <row r="1920">
      <c r="A1920" t="inlineStr">
        <is>
          <t>ENC121424</t>
        </is>
      </c>
      <c r="B1920" t="inlineStr">
        <is>
          <t>PT10435</t>
        </is>
      </c>
      <c r="C1920" s="42" t="n">
        <v>46009</v>
      </c>
      <c r="D1920" s="42" t="n">
        <v>46014</v>
      </c>
      <c r="E1920" s="38" t="n">
        <v>5</v>
      </c>
      <c r="F1920" t="inlineStr">
        <is>
          <t>Inpatient</t>
        </is>
      </c>
      <c r="G1920" t="inlineStr">
        <is>
          <t>Ashby Falls Community Hospital</t>
        </is>
      </c>
      <c r="H1920" t="inlineStr">
        <is>
          <t>Medical-Surgical</t>
        </is>
      </c>
      <c r="I1920" t="inlineStr">
        <is>
          <t>Medicine</t>
        </is>
      </c>
      <c r="J1920" t="inlineStr">
        <is>
          <t>Carroll, Philip</t>
        </is>
      </c>
      <c r="K1920" t="inlineStr">
        <is>
          <t>U07.1</t>
        </is>
      </c>
      <c r="L1920" t="inlineStr">
        <is>
          <t>Respiratory</t>
        </is>
      </c>
      <c r="M1920" t="inlineStr">
        <is>
          <t>Evergreen Mutual Insurance</t>
        </is>
      </c>
      <c r="N1920" t="inlineStr">
        <is>
          <t>Commercial</t>
        </is>
      </c>
      <c r="O1920" s="39" t="n">
        <v>28901.18</v>
      </c>
      <c r="P1920" t="inlineStr">
        <is>
          <t>N</t>
        </is>
      </c>
    </row>
    <row r="1921">
      <c r="A1921" t="inlineStr">
        <is>
          <t>ENC121423</t>
        </is>
      </c>
      <c r="B1921" t="inlineStr">
        <is>
          <t>PT10170</t>
        </is>
      </c>
      <c r="C1921" s="42" t="n">
        <v>46010</v>
      </c>
      <c r="D1921" s="42" t="n">
        <v>46012</v>
      </c>
      <c r="E1921" s="38" t="n">
        <v>2</v>
      </c>
      <c r="F1921" t="inlineStr">
        <is>
          <t>Inpatient</t>
        </is>
      </c>
      <c r="G1921" t="inlineStr">
        <is>
          <t>Bluestone Memorial Hospital</t>
        </is>
      </c>
      <c r="H1921" t="inlineStr">
        <is>
          <t>Medical-Surgical 5 East</t>
        </is>
      </c>
      <c r="I1921" t="inlineStr">
        <is>
          <t>Medicine</t>
        </is>
      </c>
      <c r="J1921" t="inlineStr">
        <is>
          <t>Price, Juan</t>
        </is>
      </c>
      <c r="K1921" t="inlineStr">
        <is>
          <t>J44.1</t>
        </is>
      </c>
      <c r="L1921" t="inlineStr">
        <is>
          <t>Respiratory</t>
        </is>
      </c>
      <c r="M1921" t="inlineStr">
        <is>
          <t>Silverline Medicare Advantage</t>
        </is>
      </c>
      <c r="N1921" t="inlineStr">
        <is>
          <t>Medicare Advantage</t>
        </is>
      </c>
      <c r="O1921" s="39" t="n">
        <v>10339.48</v>
      </c>
      <c r="P1921" t="inlineStr">
        <is>
          <t>N</t>
        </is>
      </c>
    </row>
    <row r="1922">
      <c r="A1922" t="inlineStr">
        <is>
          <t>ENC121434</t>
        </is>
      </c>
      <c r="B1922" t="inlineStr">
        <is>
          <t>PT12829</t>
        </is>
      </c>
      <c r="C1922" s="42" t="n">
        <v>46010</v>
      </c>
      <c r="D1922" s="42" t="n">
        <v>46010</v>
      </c>
      <c r="E1922" s="38" t="n">
        <v>0</v>
      </c>
      <c r="F1922" t="inlineStr">
        <is>
          <t>Emergency</t>
        </is>
      </c>
      <c r="G1922" t="inlineStr">
        <is>
          <t>Cedar Ridge Medical Center</t>
        </is>
      </c>
      <c r="H1922" t="inlineStr">
        <is>
          <t>Emergency Department</t>
        </is>
      </c>
      <c r="I1922" t="inlineStr">
        <is>
          <t>Emergency</t>
        </is>
      </c>
      <c r="J1922" t="inlineStr">
        <is>
          <t>Warren, Victoria</t>
        </is>
      </c>
      <c r="K1922" t="inlineStr">
        <is>
          <t>I10</t>
        </is>
      </c>
      <c r="L1922" t="inlineStr">
        <is>
          <t>Circulatory</t>
        </is>
      </c>
      <c r="M1922" t="inlineStr">
        <is>
          <t>Self-Pay</t>
        </is>
      </c>
      <c r="N1922" t="inlineStr">
        <is>
          <t>Self-Pay</t>
        </is>
      </c>
      <c r="O1922" s="39" t="n">
        <v>1626.9</v>
      </c>
    </row>
    <row r="1923">
      <c r="A1923" t="inlineStr">
        <is>
          <t>ENC121438</t>
        </is>
      </c>
      <c r="B1923" t="inlineStr">
        <is>
          <t>PT11056</t>
        </is>
      </c>
      <c r="C1923" s="42" t="n">
        <v>46010</v>
      </c>
      <c r="D1923" s="42" t="n">
        <v>46010</v>
      </c>
      <c r="E1923" s="38" t="n">
        <v>0</v>
      </c>
      <c r="F1923" t="inlineStr">
        <is>
          <t>Emergency</t>
        </is>
      </c>
      <c r="G1923" t="inlineStr">
        <is>
          <t>Bluestone Memorial Hospital</t>
        </is>
      </c>
      <c r="H1923" t="inlineStr">
        <is>
          <t>Emergency Department</t>
        </is>
      </c>
      <c r="I1923" t="inlineStr">
        <is>
          <t>Emergency</t>
        </is>
      </c>
      <c r="J1923" t="inlineStr">
        <is>
          <t>Sullivan, Jacob</t>
        </is>
      </c>
      <c r="K1923" t="inlineStr">
        <is>
          <t>J21.9</t>
        </is>
      </c>
      <c r="L1923" t="inlineStr">
        <is>
          <t>Respiratory</t>
        </is>
      </c>
      <c r="M1923" t="inlineStr">
        <is>
          <t>Keystone Health Partners</t>
        </is>
      </c>
      <c r="N1923" t="inlineStr">
        <is>
          <t>Commercial</t>
        </is>
      </c>
      <c r="O1923" s="39" t="n">
        <v>4633.16</v>
      </c>
    </row>
    <row r="1924">
      <c r="A1924" t="inlineStr">
        <is>
          <t>ENC121439</t>
        </is>
      </c>
      <c r="B1924" t="inlineStr">
        <is>
          <t>PT12207</t>
        </is>
      </c>
      <c r="C1924" s="42" t="n">
        <v>46010</v>
      </c>
      <c r="D1924" s="42" t="n">
        <v>46010</v>
      </c>
      <c r="E1924" s="38" t="n">
        <v>0</v>
      </c>
      <c r="F1924" t="inlineStr">
        <is>
          <t>Outpatient</t>
        </is>
      </c>
      <c r="G1924" t="inlineStr">
        <is>
          <t>Bluestone Outpatient Pavilion</t>
        </is>
      </c>
      <c r="H1924" t="inlineStr">
        <is>
          <t>Primary Care Clinic</t>
        </is>
      </c>
      <c r="I1924" t="inlineStr">
        <is>
          <t>Ambulatory</t>
        </is>
      </c>
      <c r="J1924" t="inlineStr">
        <is>
          <t>Black, Kelly</t>
        </is>
      </c>
      <c r="K1924" t="inlineStr">
        <is>
          <t>Z23</t>
        </is>
      </c>
      <c r="L1924" t="inlineStr">
        <is>
          <t>Factors Influencing Health</t>
        </is>
      </c>
      <c r="M1924" t="inlineStr">
        <is>
          <t>Summit Choice PPO</t>
        </is>
      </c>
      <c r="N1924" t="inlineStr">
        <is>
          <t>Commercial</t>
        </is>
      </c>
      <c r="O1924" s="39" t="n">
        <v>115.09</v>
      </c>
    </row>
    <row r="1925">
      <c r="A1925" t="inlineStr">
        <is>
          <t>ENC121440</t>
        </is>
      </c>
      <c r="B1925" t="inlineStr">
        <is>
          <t>PT10112</t>
        </is>
      </c>
      <c r="C1925" s="42" t="n">
        <v>46010</v>
      </c>
      <c r="D1925" s="42" t="n">
        <v>46010</v>
      </c>
      <c r="E1925" s="38" t="n">
        <v>0</v>
      </c>
      <c r="F1925" t="inlineStr">
        <is>
          <t>Emergency</t>
        </is>
      </c>
      <c r="G1925" t="inlineStr">
        <is>
          <t>Bluestone Memorial Hospital</t>
        </is>
      </c>
      <c r="H1925" t="inlineStr">
        <is>
          <t>Emergency Department</t>
        </is>
      </c>
      <c r="I1925" t="inlineStr">
        <is>
          <t>Emergency</t>
        </is>
      </c>
      <c r="J1925" t="inlineStr">
        <is>
          <t>Sullivan, Jacob</t>
        </is>
      </c>
      <c r="K1925" t="inlineStr">
        <is>
          <t>J06.9</t>
        </is>
      </c>
      <c r="L1925" t="inlineStr">
        <is>
          <t>Respiratory</t>
        </is>
      </c>
      <c r="M1925" t="inlineStr">
        <is>
          <t>Silverline Medicare Advantage</t>
        </is>
      </c>
      <c r="N1925" t="inlineStr">
        <is>
          <t>Medicare Advantage</t>
        </is>
      </c>
      <c r="O1925" s="39" t="n">
        <v>1631.39</v>
      </c>
    </row>
    <row r="1926">
      <c r="A1926" t="inlineStr">
        <is>
          <t>ENC121445</t>
        </is>
      </c>
      <c r="B1926" t="inlineStr">
        <is>
          <t>PT12946</t>
        </is>
      </c>
      <c r="C1926" s="42" t="n">
        <v>46010</v>
      </c>
      <c r="D1926" s="42" t="n">
        <v>46010</v>
      </c>
      <c r="E1926" s="38" t="n">
        <v>0</v>
      </c>
      <c r="F1926" t="inlineStr">
        <is>
          <t>Outpatient</t>
        </is>
      </c>
      <c r="G1926" t="inlineStr">
        <is>
          <t>Bluestone Outpatient Pavilion</t>
        </is>
      </c>
      <c r="H1926" t="inlineStr">
        <is>
          <t>Primary Care Clinic</t>
        </is>
      </c>
      <c r="I1926" t="inlineStr">
        <is>
          <t>Ambulatory</t>
        </is>
      </c>
      <c r="J1926" t="inlineStr">
        <is>
          <t>Osei, Julie</t>
        </is>
      </c>
      <c r="K1926" t="inlineStr">
        <is>
          <t>J44.1</t>
        </is>
      </c>
      <c r="L1926" t="inlineStr">
        <is>
          <t>Respiratory</t>
        </is>
      </c>
      <c r="M1926" t="inlineStr">
        <is>
          <t>Keystone Health Partners</t>
        </is>
      </c>
      <c r="N1926" t="inlineStr">
        <is>
          <t>Commercial</t>
        </is>
      </c>
      <c r="O1926" s="39" t="n">
        <v>267.99</v>
      </c>
    </row>
    <row r="1927">
      <c r="A1927" t="inlineStr">
        <is>
          <t>ENC121446</t>
        </is>
      </c>
      <c r="B1927" t="inlineStr">
        <is>
          <t>PT11963</t>
        </is>
      </c>
      <c r="C1927" s="42" t="n">
        <v>46010</v>
      </c>
      <c r="D1927" s="42" t="n">
        <v>46010</v>
      </c>
      <c r="E1927" s="38" t="n">
        <v>0</v>
      </c>
      <c r="F1927" t="inlineStr">
        <is>
          <t>Outpatient</t>
        </is>
      </c>
      <c r="G1927" t="inlineStr">
        <is>
          <t>Bluestone Outpatient Pavilion</t>
        </is>
      </c>
      <c r="H1927" t="inlineStr">
        <is>
          <t>Primary Care Clinic</t>
        </is>
      </c>
      <c r="I1927" t="inlineStr">
        <is>
          <t>Ambulatory</t>
        </is>
      </c>
      <c r="J1927" t="inlineStr">
        <is>
          <t>Myers, Lucia</t>
        </is>
      </c>
      <c r="K1927" t="inlineStr">
        <is>
          <t>J44.1</t>
        </is>
      </c>
      <c r="L1927" t="inlineStr">
        <is>
          <t>Respiratory</t>
        </is>
      </c>
      <c r="M1927" t="inlineStr">
        <is>
          <t>Medicare</t>
        </is>
      </c>
      <c r="N1927" t="inlineStr">
        <is>
          <t>Government</t>
        </is>
      </c>
      <c r="O1927" s="39" t="n">
        <v>211.12</v>
      </c>
    </row>
    <row r="1928">
      <c r="A1928" t="inlineStr">
        <is>
          <t>ENC121447</t>
        </is>
      </c>
      <c r="B1928" t="inlineStr">
        <is>
          <t>PT10079</t>
        </is>
      </c>
      <c r="C1928" s="42" t="n">
        <v>46010</v>
      </c>
      <c r="D1928" s="42" t="n">
        <v>46010</v>
      </c>
      <c r="E1928" s="38" t="n">
        <v>0</v>
      </c>
      <c r="F1928" t="inlineStr">
        <is>
          <t>Emergency</t>
        </is>
      </c>
      <c r="G1928" t="inlineStr">
        <is>
          <t>Ashby Falls Community Hospital</t>
        </is>
      </c>
      <c r="H1928" t="inlineStr">
        <is>
          <t>Emergency Department</t>
        </is>
      </c>
      <c r="I1928" t="inlineStr">
        <is>
          <t>Emergency</t>
        </is>
      </c>
      <c r="J1928" t="inlineStr">
        <is>
          <t>Wright, Bruce</t>
        </is>
      </c>
      <c r="K1928" t="inlineStr">
        <is>
          <t>R07.9</t>
        </is>
      </c>
      <c r="L1928" t="inlineStr">
        <is>
          <t>Symptoms &amp; Signs</t>
        </is>
      </c>
      <c r="M1928" t="inlineStr">
        <is>
          <t>Summit Choice PPO</t>
        </is>
      </c>
      <c r="N1928" t="inlineStr">
        <is>
          <t>Commercial</t>
        </is>
      </c>
      <c r="O1928" s="39" t="n">
        <v>3768.54</v>
      </c>
    </row>
    <row r="1929">
      <c r="A1929" t="inlineStr">
        <is>
          <t>ENC121436</t>
        </is>
      </c>
      <c r="B1929" t="inlineStr">
        <is>
          <t>PT13920</t>
        </is>
      </c>
      <c r="C1929" s="42" t="n">
        <v>46010</v>
      </c>
      <c r="D1929" s="42" t="n">
        <v>46013</v>
      </c>
      <c r="E1929" s="38" t="n">
        <v>3</v>
      </c>
      <c r="F1929" t="inlineStr">
        <is>
          <t>Inpatient</t>
        </is>
      </c>
      <c r="G1929" t="inlineStr">
        <is>
          <t>Bluestone Memorial Hospital</t>
        </is>
      </c>
      <c r="H1929" t="inlineStr">
        <is>
          <t>Medical-Surgical 5 East</t>
        </is>
      </c>
      <c r="I1929" t="inlineStr">
        <is>
          <t>Medicine</t>
        </is>
      </c>
      <c r="J1929" t="inlineStr">
        <is>
          <t>Russell, Larry</t>
        </is>
      </c>
      <c r="K1929" t="inlineStr">
        <is>
          <t>J18.9</t>
        </is>
      </c>
      <c r="L1929" t="inlineStr">
        <is>
          <t>Respiratory</t>
        </is>
      </c>
      <c r="M1929" t="inlineStr">
        <is>
          <t>Medicare</t>
        </is>
      </c>
      <c r="N1929" t="inlineStr">
        <is>
          <t>Government</t>
        </is>
      </c>
      <c r="O1929" s="39" t="n">
        <v>14646.1</v>
      </c>
      <c r="P1929" t="inlineStr">
        <is>
          <t>N</t>
        </is>
      </c>
    </row>
    <row r="1930">
      <c r="A1930" t="inlineStr">
        <is>
          <t>ENC121451</t>
        </is>
      </c>
      <c r="B1930" t="inlineStr">
        <is>
          <t>PT12942</t>
        </is>
      </c>
      <c r="C1930" s="42" t="n">
        <v>46010</v>
      </c>
      <c r="D1930" s="42" t="n">
        <v>46010</v>
      </c>
      <c r="E1930" s="38" t="n">
        <v>0</v>
      </c>
      <c r="F1930" t="inlineStr">
        <is>
          <t>Emergency</t>
        </is>
      </c>
      <c r="G1930" t="inlineStr">
        <is>
          <t>Bluestone Memorial Hospital</t>
        </is>
      </c>
      <c r="H1930" t="inlineStr">
        <is>
          <t>Emergency Department</t>
        </is>
      </c>
      <c r="I1930" t="inlineStr">
        <is>
          <t>Emergency</t>
        </is>
      </c>
      <c r="J1930" t="inlineStr">
        <is>
          <t>Morris, Jordan</t>
        </is>
      </c>
      <c r="K1930" t="inlineStr">
        <is>
          <t>J06.9</t>
        </is>
      </c>
      <c r="L1930" t="inlineStr">
        <is>
          <t>Respiratory</t>
        </is>
      </c>
      <c r="M1930" t="inlineStr">
        <is>
          <t>Summit Choice PPO</t>
        </is>
      </c>
      <c r="N1930" t="inlineStr">
        <is>
          <t>Commercial</t>
        </is>
      </c>
      <c r="O1930" s="39" t="n">
        <v>790.1900000000001</v>
      </c>
    </row>
    <row r="1931">
      <c r="A1931" t="inlineStr">
        <is>
          <t>ENC121457</t>
        </is>
      </c>
      <c r="B1931" t="inlineStr">
        <is>
          <t>PT13416</t>
        </is>
      </c>
      <c r="C1931" s="42" t="n">
        <v>46010</v>
      </c>
      <c r="D1931" s="42" t="n">
        <v>46010</v>
      </c>
      <c r="E1931" s="38" t="n">
        <v>0</v>
      </c>
      <c r="F1931" t="inlineStr">
        <is>
          <t>Emergency</t>
        </is>
      </c>
      <c r="G1931" t="inlineStr">
        <is>
          <t>Bluestone Memorial Hospital</t>
        </is>
      </c>
      <c r="H1931" t="inlineStr">
        <is>
          <t>Emergency Department</t>
        </is>
      </c>
      <c r="I1931" t="inlineStr">
        <is>
          <t>Emergency</t>
        </is>
      </c>
      <c r="J1931" t="inlineStr">
        <is>
          <t>Foster, Patrick</t>
        </is>
      </c>
      <c r="K1931" t="inlineStr">
        <is>
          <t>J18.9</t>
        </is>
      </c>
      <c r="L1931" t="inlineStr">
        <is>
          <t>Respiratory</t>
        </is>
      </c>
      <c r="M1931" t="inlineStr">
        <is>
          <t>Medicare</t>
        </is>
      </c>
      <c r="N1931" t="inlineStr">
        <is>
          <t>Government</t>
        </is>
      </c>
      <c r="O1931" s="39" t="n">
        <v>2557.8</v>
      </c>
    </row>
    <row r="1932">
      <c r="A1932" t="inlineStr">
        <is>
          <t>ENC121444</t>
        </is>
      </c>
      <c r="B1932" t="inlineStr">
        <is>
          <t>PT10575</t>
        </is>
      </c>
      <c r="C1932" s="42" t="n">
        <v>46010</v>
      </c>
      <c r="D1932" s="42" t="n">
        <v>46011</v>
      </c>
      <c r="E1932" s="38" t="n">
        <v>1</v>
      </c>
      <c r="F1932" t="inlineStr">
        <is>
          <t>Inpatient</t>
        </is>
      </c>
      <c r="G1932" t="inlineStr">
        <is>
          <t>Ashby Falls Community Hospital</t>
        </is>
      </c>
      <c r="H1932" t="inlineStr">
        <is>
          <t>Medical-Surgical</t>
        </is>
      </c>
      <c r="I1932" t="inlineStr">
        <is>
          <t>Medicine</t>
        </is>
      </c>
      <c r="J1932" t="inlineStr">
        <is>
          <t>Murray, Stephanie</t>
        </is>
      </c>
      <c r="K1932" t="inlineStr">
        <is>
          <t>N39.0</t>
        </is>
      </c>
      <c r="L1932" t="inlineStr">
        <is>
          <t>Genitourinary</t>
        </is>
      </c>
      <c r="M1932" t="inlineStr">
        <is>
          <t>Evergreen Mutual Insurance</t>
        </is>
      </c>
      <c r="N1932" t="inlineStr">
        <is>
          <t>Commercial</t>
        </is>
      </c>
      <c r="O1932" s="39" t="n">
        <v>13060.66</v>
      </c>
      <c r="P1932" t="inlineStr">
        <is>
          <t>N</t>
        </is>
      </c>
    </row>
    <row r="1933">
      <c r="A1933" t="inlineStr">
        <is>
          <t>ENC121461</t>
        </is>
      </c>
      <c r="B1933" t="inlineStr">
        <is>
          <t>PT12325</t>
        </is>
      </c>
      <c r="C1933" s="42" t="n">
        <v>46010</v>
      </c>
      <c r="D1933" s="42" t="n">
        <v>46018</v>
      </c>
      <c r="E1933" s="38" t="n">
        <v>8</v>
      </c>
      <c r="F1933" t="inlineStr">
        <is>
          <t>Inpatient</t>
        </is>
      </c>
      <c r="G1933" t="inlineStr">
        <is>
          <t>Cedar Ridge Medical Center</t>
        </is>
      </c>
      <c r="H1933" t="inlineStr">
        <is>
          <t>Orthopedics</t>
        </is>
      </c>
      <c r="I1933" t="inlineStr">
        <is>
          <t>Orthopedics</t>
        </is>
      </c>
      <c r="J1933" t="inlineStr">
        <is>
          <t>Hudson, Billy</t>
        </is>
      </c>
      <c r="K1933" t="inlineStr">
        <is>
          <t>S72.001A</t>
        </is>
      </c>
      <c r="L1933" t="inlineStr">
        <is>
          <t>Injury</t>
        </is>
      </c>
      <c r="M1933" t="inlineStr">
        <is>
          <t>Keystone Health Partners</t>
        </is>
      </c>
      <c r="N1933" t="inlineStr">
        <is>
          <t>Commercial</t>
        </is>
      </c>
      <c r="O1933" s="39" t="n">
        <v>73370.84</v>
      </c>
      <c r="P1933" t="inlineStr">
        <is>
          <t>N</t>
        </is>
      </c>
    </row>
    <row r="1934">
      <c r="A1934" t="inlineStr">
        <is>
          <t>ENC121468</t>
        </is>
      </c>
      <c r="B1934" t="inlineStr">
        <is>
          <t>PT10486</t>
        </is>
      </c>
      <c r="C1934" s="42" t="n">
        <v>46011</v>
      </c>
      <c r="D1934" s="42" t="n">
        <v>46011</v>
      </c>
      <c r="E1934" s="38" t="n">
        <v>0</v>
      </c>
      <c r="F1934" t="inlineStr">
        <is>
          <t>Emergency</t>
        </is>
      </c>
      <c r="G1934" t="inlineStr">
        <is>
          <t>Bluestone Memorial Hospital</t>
        </is>
      </c>
      <c r="H1934" t="inlineStr">
        <is>
          <t>Emergency Department</t>
        </is>
      </c>
      <c r="I1934" t="inlineStr">
        <is>
          <t>Emergency</t>
        </is>
      </c>
      <c r="J1934" t="inlineStr">
        <is>
          <t>Foster, Patrick</t>
        </is>
      </c>
      <c r="K1934" t="inlineStr">
        <is>
          <t>F41.9</t>
        </is>
      </c>
      <c r="L1934" t="inlineStr">
        <is>
          <t>Mental &amp; Behavioral</t>
        </is>
      </c>
      <c r="M1934" t="inlineStr">
        <is>
          <t>Silverline Medicare Advantage</t>
        </is>
      </c>
      <c r="N1934" t="inlineStr">
        <is>
          <t>Medicare Advantage</t>
        </is>
      </c>
      <c r="O1934" s="39" t="n">
        <v>1423.91</v>
      </c>
    </row>
    <row r="1935">
      <c r="A1935" t="inlineStr">
        <is>
          <t>ENC121478</t>
        </is>
      </c>
      <c r="B1935" t="inlineStr">
        <is>
          <t>PT13727</t>
        </is>
      </c>
      <c r="C1935" s="42" t="n">
        <v>46011</v>
      </c>
      <c r="D1935" s="42" t="n">
        <v>46017</v>
      </c>
      <c r="E1935" s="38" t="n">
        <v>6</v>
      </c>
      <c r="F1935" t="inlineStr">
        <is>
          <t>Inpatient</t>
        </is>
      </c>
      <c r="G1935" t="inlineStr">
        <is>
          <t>Bluestone Memorial Hospital</t>
        </is>
      </c>
      <c r="H1935" t="inlineStr">
        <is>
          <t>Medical-Surgical 4 West</t>
        </is>
      </c>
      <c r="I1935" t="inlineStr">
        <is>
          <t>Medicine</t>
        </is>
      </c>
      <c r="J1935" t="inlineStr">
        <is>
          <t>Yilmaz, Joe</t>
        </is>
      </c>
      <c r="K1935" t="inlineStr">
        <is>
          <t>J18.9</t>
        </is>
      </c>
      <c r="L1935" t="inlineStr">
        <is>
          <t>Respiratory</t>
        </is>
      </c>
      <c r="M1935" t="inlineStr">
        <is>
          <t>Keystone Health Partners</t>
        </is>
      </c>
      <c r="N1935" t="inlineStr">
        <is>
          <t>Commercial</t>
        </is>
      </c>
      <c r="O1935" s="39" t="n">
        <v>22126.21</v>
      </c>
      <c r="P1935" t="inlineStr">
        <is>
          <t>N</t>
        </is>
      </c>
    </row>
    <row r="1936">
      <c r="A1936" t="inlineStr">
        <is>
          <t>ENC121480</t>
        </is>
      </c>
      <c r="B1936" t="inlineStr">
        <is>
          <t>PT13565</t>
        </is>
      </c>
      <c r="C1936" s="42" t="n">
        <v>46011</v>
      </c>
      <c r="D1936" s="42" t="n">
        <v>46011</v>
      </c>
      <c r="E1936" s="38" t="n">
        <v>0</v>
      </c>
      <c r="F1936" t="inlineStr">
        <is>
          <t>Emergency</t>
        </is>
      </c>
      <c r="G1936" t="inlineStr">
        <is>
          <t>Bluestone Memorial Hospital</t>
        </is>
      </c>
      <c r="H1936" t="inlineStr">
        <is>
          <t>Emergency Department</t>
        </is>
      </c>
      <c r="I1936" t="inlineStr">
        <is>
          <t>Emergency</t>
        </is>
      </c>
      <c r="J1936" t="inlineStr">
        <is>
          <t>Gonzales, Mia</t>
        </is>
      </c>
      <c r="K1936" t="inlineStr">
        <is>
          <t>H66.90</t>
        </is>
      </c>
      <c r="L1936" t="inlineStr">
        <is>
          <t>Ear</t>
        </is>
      </c>
      <c r="M1936" t="inlineStr">
        <is>
          <t>State Medicaid</t>
        </is>
      </c>
      <c r="N1936" t="inlineStr">
        <is>
          <t>Government</t>
        </is>
      </c>
      <c r="O1936" s="39" t="n">
        <v>924.08</v>
      </c>
    </row>
    <row r="1937">
      <c r="A1937" t="inlineStr">
        <is>
          <t>ENC121485</t>
        </is>
      </c>
      <c r="B1937" t="inlineStr">
        <is>
          <t>PT11127</t>
        </is>
      </c>
      <c r="C1937" s="42" t="n">
        <v>46012</v>
      </c>
      <c r="D1937" s="42" t="n">
        <v>46015</v>
      </c>
      <c r="E1937" s="38" t="n">
        <v>3</v>
      </c>
      <c r="F1937" t="inlineStr">
        <is>
          <t>Inpatient</t>
        </is>
      </c>
      <c r="G1937" t="inlineStr">
        <is>
          <t>Ashby Falls Community Hospital</t>
        </is>
      </c>
      <c r="H1937" t="inlineStr">
        <is>
          <t>Labor &amp; Delivery</t>
        </is>
      </c>
      <c r="I1937" t="inlineStr">
        <is>
          <t>Women &amp; Children</t>
        </is>
      </c>
      <c r="J1937" t="inlineStr">
        <is>
          <t>Rivera, Frances</t>
        </is>
      </c>
      <c r="K1937" t="inlineStr">
        <is>
          <t>O80</t>
        </is>
      </c>
      <c r="L1937" t="inlineStr">
        <is>
          <t>Pregnancy</t>
        </is>
      </c>
      <c r="M1937" t="inlineStr">
        <is>
          <t>Keystone Health Partners</t>
        </is>
      </c>
      <c r="N1937" t="inlineStr">
        <is>
          <t>Commercial</t>
        </is>
      </c>
      <c r="O1937" s="39" t="n">
        <v>16407.95</v>
      </c>
      <c r="P1937" t="inlineStr">
        <is>
          <t>N</t>
        </is>
      </c>
    </row>
    <row r="1938">
      <c r="A1938" t="inlineStr">
        <is>
          <t>ENC121487</t>
        </is>
      </c>
      <c r="B1938" t="inlineStr">
        <is>
          <t>PT12597</t>
        </is>
      </c>
      <c r="C1938" s="42" t="n">
        <v>46012</v>
      </c>
      <c r="D1938" s="42" t="n">
        <v>46014</v>
      </c>
      <c r="E1938" s="38" t="n">
        <v>2</v>
      </c>
      <c r="F1938" t="inlineStr">
        <is>
          <t>Inpatient</t>
        </is>
      </c>
      <c r="G1938" t="inlineStr">
        <is>
          <t>Bluestone Memorial Hospital</t>
        </is>
      </c>
      <c r="H1938" t="inlineStr">
        <is>
          <t>Neuroscience &amp; Stroke</t>
        </is>
      </c>
      <c r="I1938" t="inlineStr">
        <is>
          <t>Neuroscience</t>
        </is>
      </c>
      <c r="J1938" t="inlineStr">
        <is>
          <t>Garcia, Alexis</t>
        </is>
      </c>
      <c r="K1938" t="inlineStr">
        <is>
          <t>I63.9</t>
        </is>
      </c>
      <c r="L1938" t="inlineStr">
        <is>
          <t>Circulatory</t>
        </is>
      </c>
      <c r="M1938" t="inlineStr">
        <is>
          <t>State Medicaid</t>
        </is>
      </c>
      <c r="N1938" t="inlineStr">
        <is>
          <t>Government</t>
        </is>
      </c>
      <c r="O1938" s="39" t="n">
        <v>17770.96</v>
      </c>
      <c r="P1938" t="inlineStr">
        <is>
          <t>N</t>
        </is>
      </c>
    </row>
    <row r="1939">
      <c r="A1939" t="inlineStr">
        <is>
          <t>ENC121488</t>
        </is>
      </c>
      <c r="B1939" t="inlineStr">
        <is>
          <t>PT10197</t>
        </is>
      </c>
      <c r="C1939" s="42" t="n">
        <v>46012</v>
      </c>
      <c r="D1939" s="42" t="n">
        <v>46012</v>
      </c>
      <c r="E1939" s="38" t="n">
        <v>0</v>
      </c>
      <c r="F1939" t="inlineStr">
        <is>
          <t>Emergency</t>
        </is>
      </c>
      <c r="G1939" t="inlineStr">
        <is>
          <t>Bluestone Memorial Hospital</t>
        </is>
      </c>
      <c r="H1939" t="inlineStr">
        <is>
          <t>Emergency Department</t>
        </is>
      </c>
      <c r="I1939" t="inlineStr">
        <is>
          <t>Emergency</t>
        </is>
      </c>
      <c r="J1939" t="inlineStr">
        <is>
          <t>Cruz, Mia</t>
        </is>
      </c>
      <c r="K1939" t="inlineStr">
        <is>
          <t>J18.9</t>
        </is>
      </c>
      <c r="L1939" t="inlineStr">
        <is>
          <t>Respiratory</t>
        </is>
      </c>
      <c r="M1939" t="inlineStr">
        <is>
          <t>Keystone Health Partners</t>
        </is>
      </c>
      <c r="N1939" t="inlineStr">
        <is>
          <t>Commercial</t>
        </is>
      </c>
      <c r="O1939" s="39" t="n">
        <v>1677.74</v>
      </c>
    </row>
    <row r="1940">
      <c r="A1940" t="inlineStr">
        <is>
          <t>ENC121495</t>
        </is>
      </c>
      <c r="B1940" t="inlineStr">
        <is>
          <t>PT10297</t>
        </is>
      </c>
      <c r="C1940" s="42" t="n">
        <v>46012</v>
      </c>
      <c r="D1940" s="42" t="n">
        <v>46020</v>
      </c>
      <c r="E1940" s="38" t="n">
        <v>8</v>
      </c>
      <c r="F1940" t="inlineStr">
        <is>
          <t>Inpatient</t>
        </is>
      </c>
      <c r="G1940" t="inlineStr">
        <is>
          <t>Bluestone Memorial Hospital</t>
        </is>
      </c>
      <c r="H1940" t="inlineStr">
        <is>
          <t>Cardiac Step-Down</t>
        </is>
      </c>
      <c r="I1940" t="inlineStr">
        <is>
          <t>Cardiovascular</t>
        </is>
      </c>
      <c r="J1940" t="inlineStr">
        <is>
          <t>Wallace, Alan</t>
        </is>
      </c>
      <c r="K1940" t="inlineStr">
        <is>
          <t>I50.9</t>
        </is>
      </c>
      <c r="L1940" t="inlineStr">
        <is>
          <t>Circulatory</t>
        </is>
      </c>
      <c r="M1940" t="inlineStr">
        <is>
          <t>Silverline Medicare Advantage</t>
        </is>
      </c>
      <c r="N1940" t="inlineStr">
        <is>
          <t>Medicare Advantage</t>
        </is>
      </c>
      <c r="O1940" s="39" t="n">
        <v>51959.13</v>
      </c>
      <c r="P1940" t="inlineStr">
        <is>
          <t>N</t>
        </is>
      </c>
    </row>
    <row r="1941">
      <c r="A1941" t="inlineStr">
        <is>
          <t>ENC121502</t>
        </is>
      </c>
      <c r="B1941" t="inlineStr">
        <is>
          <t>PT13350</t>
        </is>
      </c>
      <c r="C1941" s="42" t="n">
        <v>46012</v>
      </c>
      <c r="D1941" s="42" t="n">
        <v>46012</v>
      </c>
      <c r="E1941" s="38" t="n">
        <v>0</v>
      </c>
      <c r="F1941" t="inlineStr">
        <is>
          <t>Emergency</t>
        </is>
      </c>
      <c r="G1941" t="inlineStr">
        <is>
          <t>Bluestone Memorial Hospital</t>
        </is>
      </c>
      <c r="H1941" t="inlineStr">
        <is>
          <t>Emergency Department</t>
        </is>
      </c>
      <c r="I1941" t="inlineStr">
        <is>
          <t>Emergency</t>
        </is>
      </c>
      <c r="J1941" t="inlineStr">
        <is>
          <t>Payne, Nancy</t>
        </is>
      </c>
      <c r="K1941" t="inlineStr">
        <is>
          <t>A08.4</t>
        </is>
      </c>
      <c r="L1941" t="inlineStr">
        <is>
          <t>Infectious</t>
        </is>
      </c>
      <c r="M1941" t="inlineStr">
        <is>
          <t>Evergreen Mutual Insurance</t>
        </is>
      </c>
      <c r="N1941" t="inlineStr">
        <is>
          <t>Commercial</t>
        </is>
      </c>
      <c r="O1941" s="39" t="n">
        <v>1556.03</v>
      </c>
    </row>
    <row r="1942">
      <c r="A1942" t="inlineStr">
        <is>
          <t>ENC121505</t>
        </is>
      </c>
      <c r="B1942" t="inlineStr">
        <is>
          <t>PT11572</t>
        </is>
      </c>
      <c r="C1942" s="42" t="n">
        <v>46012</v>
      </c>
      <c r="D1942" s="42" t="n">
        <v>46012</v>
      </c>
      <c r="E1942" s="38" t="n">
        <v>0</v>
      </c>
      <c r="F1942" t="inlineStr">
        <is>
          <t>Emergency</t>
        </is>
      </c>
      <c r="G1942" t="inlineStr">
        <is>
          <t>Bluestone Memorial Hospital</t>
        </is>
      </c>
      <c r="H1942" t="inlineStr">
        <is>
          <t>Emergency Department</t>
        </is>
      </c>
      <c r="I1942" t="inlineStr">
        <is>
          <t>Emergency</t>
        </is>
      </c>
      <c r="J1942" t="inlineStr">
        <is>
          <t>Olson, Christian</t>
        </is>
      </c>
      <c r="K1942" t="inlineStr">
        <is>
          <t>M54.50</t>
        </is>
      </c>
      <c r="L1942" t="inlineStr">
        <is>
          <t>Musculoskeletal</t>
        </is>
      </c>
      <c r="M1942" t="inlineStr">
        <is>
          <t>Workers' Compensation</t>
        </is>
      </c>
      <c r="N1942" t="inlineStr">
        <is>
          <t>Workers' Comp</t>
        </is>
      </c>
      <c r="O1942" s="39" t="n">
        <v>1920.42</v>
      </c>
    </row>
    <row r="1943">
      <c r="A1943" t="inlineStr">
        <is>
          <t>ENC121510</t>
        </is>
      </c>
      <c r="B1943" t="inlineStr">
        <is>
          <t>PT11985</t>
        </is>
      </c>
      <c r="C1943" s="42" t="n">
        <v>46013</v>
      </c>
      <c r="D1943" s="42" t="n">
        <v>46013</v>
      </c>
      <c r="E1943" s="38" t="n">
        <v>0</v>
      </c>
      <c r="F1943" t="inlineStr">
        <is>
          <t>Outpatient</t>
        </is>
      </c>
      <c r="G1943" t="inlineStr">
        <is>
          <t>Bluestone Outpatient Pavilion</t>
        </is>
      </c>
      <c r="H1943" t="inlineStr">
        <is>
          <t>Primary Care Clinic</t>
        </is>
      </c>
      <c r="I1943" t="inlineStr">
        <is>
          <t>Ambulatory</t>
        </is>
      </c>
      <c r="J1943" t="inlineStr">
        <is>
          <t>Myers, Lucia</t>
        </is>
      </c>
      <c r="K1943" t="inlineStr">
        <is>
          <t>F41.9</t>
        </is>
      </c>
      <c r="L1943" t="inlineStr">
        <is>
          <t>Mental &amp; Behavioral</t>
        </is>
      </c>
      <c r="M1943" t="inlineStr">
        <is>
          <t>Keystone Health Partners</t>
        </is>
      </c>
      <c r="N1943" t="inlineStr">
        <is>
          <t>Commercial</t>
        </is>
      </c>
      <c r="O1943" s="39" t="n">
        <v>457.72</v>
      </c>
    </row>
    <row r="1944">
      <c r="A1944" t="inlineStr">
        <is>
          <t>ENC121516</t>
        </is>
      </c>
      <c r="B1944" t="inlineStr">
        <is>
          <t>PT10213</t>
        </is>
      </c>
      <c r="C1944" s="42" t="n">
        <v>46013</v>
      </c>
      <c r="D1944" s="42" t="n">
        <v>46013</v>
      </c>
      <c r="E1944" s="38" t="n">
        <v>0</v>
      </c>
      <c r="F1944" t="inlineStr">
        <is>
          <t>Outpatient</t>
        </is>
      </c>
      <c r="G1944" t="inlineStr">
        <is>
          <t>Bluestone Outpatient Pavilion</t>
        </is>
      </c>
      <c r="H1944" t="inlineStr">
        <is>
          <t>Primary Care Clinic</t>
        </is>
      </c>
      <c r="I1944" t="inlineStr">
        <is>
          <t>Ambulatory</t>
        </is>
      </c>
      <c r="J1944" t="inlineStr">
        <is>
          <t>Osei, Julie</t>
        </is>
      </c>
      <c r="K1944" t="inlineStr">
        <is>
          <t>I10</t>
        </is>
      </c>
      <c r="L1944" t="inlineStr">
        <is>
          <t>Circulatory</t>
        </is>
      </c>
      <c r="M1944" t="inlineStr">
        <is>
          <t>Evergreen Mutual Insurance</t>
        </is>
      </c>
      <c r="N1944" t="inlineStr">
        <is>
          <t>Commercial</t>
        </is>
      </c>
      <c r="O1944" s="39" t="n">
        <v>217.25</v>
      </c>
    </row>
    <row r="1945">
      <c r="A1945" t="inlineStr">
        <is>
          <t>ENC121530</t>
        </is>
      </c>
      <c r="B1945" t="inlineStr">
        <is>
          <t>PT10750</t>
        </is>
      </c>
      <c r="C1945" s="42" t="n">
        <v>46013</v>
      </c>
      <c r="D1945" s="42" t="n">
        <v>46013</v>
      </c>
      <c r="E1945" s="38" t="n">
        <v>0</v>
      </c>
      <c r="F1945" t="inlineStr">
        <is>
          <t>Emergency</t>
        </is>
      </c>
      <c r="G1945" t="inlineStr">
        <is>
          <t>Bluestone Memorial Hospital</t>
        </is>
      </c>
      <c r="H1945" t="inlineStr">
        <is>
          <t>Emergency Department</t>
        </is>
      </c>
      <c r="I1945" t="inlineStr">
        <is>
          <t>Emergency</t>
        </is>
      </c>
      <c r="J1945" t="inlineStr">
        <is>
          <t>Ferguson, Roy</t>
        </is>
      </c>
      <c r="K1945" t="inlineStr">
        <is>
          <t>R07.9</t>
        </is>
      </c>
      <c r="L1945" t="inlineStr">
        <is>
          <t>Symptoms &amp; Signs</t>
        </is>
      </c>
      <c r="M1945" t="inlineStr">
        <is>
          <t>Medicare</t>
        </is>
      </c>
      <c r="N1945" t="inlineStr">
        <is>
          <t>Government</t>
        </is>
      </c>
      <c r="O1945" s="39" t="n">
        <v>8065.9</v>
      </c>
    </row>
    <row r="1946">
      <c r="A1946" t="inlineStr">
        <is>
          <t>ENC121534</t>
        </is>
      </c>
      <c r="B1946" t="inlineStr">
        <is>
          <t>PT12604</t>
        </is>
      </c>
      <c r="C1946" s="42" t="n">
        <v>46013</v>
      </c>
      <c r="D1946" s="42" t="n">
        <v>46014</v>
      </c>
      <c r="E1946" s="38" t="n">
        <v>1</v>
      </c>
      <c r="F1946" t="inlineStr">
        <is>
          <t>Inpatient</t>
        </is>
      </c>
      <c r="G1946" t="inlineStr">
        <is>
          <t>Bluestone Memorial Hospital</t>
        </is>
      </c>
      <c r="H1946" t="inlineStr">
        <is>
          <t>Medical-Surgical 4 West</t>
        </is>
      </c>
      <c r="I1946" t="inlineStr">
        <is>
          <t>Medicine</t>
        </is>
      </c>
      <c r="J1946" t="inlineStr">
        <is>
          <t>Ramirez, Jordan</t>
        </is>
      </c>
      <c r="K1946" t="inlineStr">
        <is>
          <t>K80.20</t>
        </is>
      </c>
      <c r="L1946" t="inlineStr">
        <is>
          <t>Digestive</t>
        </is>
      </c>
      <c r="M1946" t="inlineStr">
        <is>
          <t>Keystone Health Partners</t>
        </is>
      </c>
      <c r="N1946" t="inlineStr">
        <is>
          <t>Commercial</t>
        </is>
      </c>
      <c r="O1946" s="39" t="n">
        <v>33420.44</v>
      </c>
      <c r="P1946" t="inlineStr">
        <is>
          <t>N</t>
        </is>
      </c>
    </row>
    <row r="1947">
      <c r="A1947" t="inlineStr">
        <is>
          <t>ENC121536</t>
        </is>
      </c>
      <c r="B1947" t="inlineStr">
        <is>
          <t>PT12765</t>
        </is>
      </c>
      <c r="C1947" s="42" t="n">
        <v>46013</v>
      </c>
      <c r="D1947" s="42" t="n">
        <v>46013</v>
      </c>
      <c r="E1947" s="38" t="n">
        <v>0</v>
      </c>
      <c r="F1947" t="inlineStr">
        <is>
          <t>Outpatient</t>
        </is>
      </c>
      <c r="G1947" t="inlineStr">
        <is>
          <t>Bluestone Outpatient Pavilion</t>
        </is>
      </c>
      <c r="H1947" t="inlineStr">
        <is>
          <t>Infusion &amp; Oncology Clinic</t>
        </is>
      </c>
      <c r="I1947" t="inlineStr">
        <is>
          <t>Oncology</t>
        </is>
      </c>
      <c r="J1947" t="inlineStr">
        <is>
          <t>Cooper, Logan</t>
        </is>
      </c>
      <c r="K1947" t="inlineStr">
        <is>
          <t>Z51.11</t>
        </is>
      </c>
      <c r="L1947" t="inlineStr">
        <is>
          <t>Factors Influencing Health</t>
        </is>
      </c>
      <c r="M1947" t="inlineStr">
        <is>
          <t>State Medicaid</t>
        </is>
      </c>
      <c r="N1947" t="inlineStr">
        <is>
          <t>Government</t>
        </is>
      </c>
      <c r="O1947" s="39" t="n">
        <v>14786.61</v>
      </c>
    </row>
    <row r="1948">
      <c r="A1948" t="inlineStr">
        <is>
          <t>ENC121537</t>
        </is>
      </c>
      <c r="B1948" t="inlineStr">
        <is>
          <t>PT11436</t>
        </is>
      </c>
      <c r="C1948" s="42" t="n">
        <v>46013</v>
      </c>
      <c r="D1948" s="42" t="n">
        <v>46013</v>
      </c>
      <c r="E1948" s="38" t="n">
        <v>0</v>
      </c>
      <c r="F1948" t="inlineStr">
        <is>
          <t>Emergency</t>
        </is>
      </c>
      <c r="G1948" t="inlineStr">
        <is>
          <t>Bluestone Memorial Hospital</t>
        </is>
      </c>
      <c r="H1948" t="inlineStr">
        <is>
          <t>Emergency Department</t>
        </is>
      </c>
      <c r="I1948" t="inlineStr">
        <is>
          <t>Emergency</t>
        </is>
      </c>
      <c r="J1948" t="inlineStr">
        <is>
          <t>Elliott, Jesse</t>
        </is>
      </c>
      <c r="K1948" t="inlineStr">
        <is>
          <t>E11.65</t>
        </is>
      </c>
      <c r="L1948" t="inlineStr">
        <is>
          <t>Endocrine</t>
        </is>
      </c>
      <c r="M1948" t="inlineStr">
        <is>
          <t>Silverline Medicare Advantage</t>
        </is>
      </c>
      <c r="N1948" t="inlineStr">
        <is>
          <t>Medicare Advantage</t>
        </is>
      </c>
      <c r="O1948" s="39" t="n">
        <v>1642.78</v>
      </c>
    </row>
    <row r="1949">
      <c r="A1949" t="inlineStr">
        <is>
          <t>ENC121552</t>
        </is>
      </c>
      <c r="B1949" t="inlineStr">
        <is>
          <t>PT12274</t>
        </is>
      </c>
      <c r="C1949" s="42" t="n">
        <v>46013</v>
      </c>
      <c r="D1949" s="42" t="n">
        <v>46013</v>
      </c>
      <c r="E1949" s="38" t="n">
        <v>0</v>
      </c>
      <c r="F1949" t="inlineStr">
        <is>
          <t>Emergency</t>
        </is>
      </c>
      <c r="G1949" t="inlineStr">
        <is>
          <t>Cedar Ridge Medical Center</t>
        </is>
      </c>
      <c r="H1949" t="inlineStr">
        <is>
          <t>Emergency Department</t>
        </is>
      </c>
      <c r="I1949" t="inlineStr">
        <is>
          <t>Emergency</t>
        </is>
      </c>
      <c r="J1949" t="inlineStr">
        <is>
          <t>Henry, Brenda</t>
        </is>
      </c>
      <c r="K1949" t="inlineStr">
        <is>
          <t>R07.9</t>
        </is>
      </c>
      <c r="L1949" t="inlineStr">
        <is>
          <t>Symptoms &amp; Signs</t>
        </is>
      </c>
      <c r="M1949" t="inlineStr">
        <is>
          <t>State Medicaid</t>
        </is>
      </c>
      <c r="N1949" t="inlineStr">
        <is>
          <t>Government</t>
        </is>
      </c>
      <c r="O1949" s="39" t="n">
        <v>3292.12</v>
      </c>
    </row>
    <row r="1950">
      <c r="A1950" t="inlineStr">
        <is>
          <t>ENC121558</t>
        </is>
      </c>
      <c r="B1950" t="inlineStr">
        <is>
          <t>PT12420</t>
        </is>
      </c>
      <c r="C1950" s="42" t="n">
        <v>46013</v>
      </c>
      <c r="D1950" s="42" t="n">
        <v>46013</v>
      </c>
      <c r="E1950" s="38" t="n">
        <v>0</v>
      </c>
      <c r="F1950" t="inlineStr">
        <is>
          <t>Emergency</t>
        </is>
      </c>
      <c r="G1950" t="inlineStr">
        <is>
          <t>Bluestone Memorial Hospital</t>
        </is>
      </c>
      <c r="H1950" t="inlineStr">
        <is>
          <t>Emergency Department</t>
        </is>
      </c>
      <c r="I1950" t="inlineStr">
        <is>
          <t>Emergency</t>
        </is>
      </c>
      <c r="J1950" t="inlineStr">
        <is>
          <t>Mendoza, Alexander</t>
        </is>
      </c>
      <c r="K1950" t="inlineStr">
        <is>
          <t>E86.0</t>
        </is>
      </c>
      <c r="L1950" t="inlineStr">
        <is>
          <t>Endocrine</t>
        </is>
      </c>
      <c r="M1950" t="inlineStr">
        <is>
          <t>Evergreen Mutual Insurance</t>
        </is>
      </c>
      <c r="N1950" t="inlineStr">
        <is>
          <t>Commercial</t>
        </is>
      </c>
      <c r="O1950" s="39" t="n">
        <v>5269.13</v>
      </c>
    </row>
    <row r="1951">
      <c r="A1951" t="inlineStr">
        <is>
          <t>ENC121575</t>
        </is>
      </c>
      <c r="B1951" t="inlineStr">
        <is>
          <t>PT13031</t>
        </is>
      </c>
      <c r="C1951" s="42" t="n">
        <v>46014</v>
      </c>
      <c r="D1951" s="42" t="n">
        <v>46014</v>
      </c>
      <c r="E1951" s="38" t="n">
        <v>0</v>
      </c>
      <c r="F1951" t="inlineStr">
        <is>
          <t>Outpatient</t>
        </is>
      </c>
      <c r="G1951" t="inlineStr">
        <is>
          <t>Bluestone Outpatient Pavilion</t>
        </is>
      </c>
      <c r="H1951" t="inlineStr">
        <is>
          <t>Primary Care Clinic</t>
        </is>
      </c>
      <c r="I1951" t="inlineStr">
        <is>
          <t>Ambulatory</t>
        </is>
      </c>
      <c r="J1951" t="inlineStr">
        <is>
          <t>Osei, Julie</t>
        </is>
      </c>
      <c r="K1951" t="inlineStr">
        <is>
          <t>Z23</t>
        </is>
      </c>
      <c r="L1951" t="inlineStr">
        <is>
          <t>Factors Influencing Health</t>
        </is>
      </c>
      <c r="M1951" t="inlineStr">
        <is>
          <t>Keystone Health Partners</t>
        </is>
      </c>
      <c r="N1951" t="inlineStr">
        <is>
          <t>Commercial</t>
        </is>
      </c>
      <c r="O1951" s="39" t="n">
        <v>117.01</v>
      </c>
    </row>
    <row r="1952">
      <c r="A1952" t="inlineStr">
        <is>
          <t>ENC121581</t>
        </is>
      </c>
      <c r="B1952" t="inlineStr">
        <is>
          <t>PT10412</t>
        </is>
      </c>
      <c r="C1952" s="42" t="n">
        <v>46014</v>
      </c>
      <c r="D1952" s="42" t="n">
        <v>46014</v>
      </c>
      <c r="E1952" s="38" t="n">
        <v>0</v>
      </c>
      <c r="F1952" t="inlineStr">
        <is>
          <t>Outpatient</t>
        </is>
      </c>
      <c r="G1952" t="inlineStr">
        <is>
          <t>Bluestone Outpatient Pavilion</t>
        </is>
      </c>
      <c r="H1952" t="inlineStr">
        <is>
          <t>Primary Care Clinic</t>
        </is>
      </c>
      <c r="I1952" t="inlineStr">
        <is>
          <t>Ambulatory</t>
        </is>
      </c>
      <c r="J1952" t="inlineStr">
        <is>
          <t>Alvarado, George</t>
        </is>
      </c>
      <c r="K1952" t="inlineStr">
        <is>
          <t>Z23</t>
        </is>
      </c>
      <c r="L1952" t="inlineStr">
        <is>
          <t>Factors Influencing Health</t>
        </is>
      </c>
      <c r="M1952" t="inlineStr">
        <is>
          <t>Self-Pay</t>
        </is>
      </c>
      <c r="N1952" t="inlineStr">
        <is>
          <t>Self-Pay</t>
        </is>
      </c>
      <c r="O1952" s="39" t="n">
        <v>136.48</v>
      </c>
    </row>
    <row r="1953">
      <c r="A1953" t="inlineStr">
        <is>
          <t>ENC121582</t>
        </is>
      </c>
      <c r="B1953" t="inlineStr">
        <is>
          <t>PT11328</t>
        </is>
      </c>
      <c r="C1953" s="42" t="n">
        <v>46014</v>
      </c>
      <c r="D1953" s="42" t="n">
        <v>46018</v>
      </c>
      <c r="E1953" s="38" t="n">
        <v>4</v>
      </c>
      <c r="F1953" t="inlineStr">
        <is>
          <t>Inpatient</t>
        </is>
      </c>
      <c r="G1953" t="inlineStr">
        <is>
          <t>Bluestone Memorial Hospital</t>
        </is>
      </c>
      <c r="H1953" t="inlineStr">
        <is>
          <t>Medical-Surgical 5 East</t>
        </is>
      </c>
      <c r="I1953" t="inlineStr">
        <is>
          <t>Medicine</t>
        </is>
      </c>
      <c r="J1953" t="inlineStr">
        <is>
          <t>Watson, Ashley</t>
        </is>
      </c>
      <c r="K1953" t="inlineStr">
        <is>
          <t>A41.9</t>
        </is>
      </c>
      <c r="L1953" t="inlineStr">
        <is>
          <t>Infectious</t>
        </is>
      </c>
      <c r="M1953" t="inlineStr">
        <is>
          <t>Medicare</t>
        </is>
      </c>
      <c r="N1953" t="inlineStr">
        <is>
          <t>Government</t>
        </is>
      </c>
      <c r="O1953" s="39" t="n">
        <v>52281.05</v>
      </c>
      <c r="P1953" t="inlineStr">
        <is>
          <t>N</t>
        </is>
      </c>
    </row>
    <row r="1954">
      <c r="A1954" t="inlineStr">
        <is>
          <t>ENC121601</t>
        </is>
      </c>
      <c r="B1954" t="inlineStr">
        <is>
          <t>PT12405</t>
        </is>
      </c>
      <c r="C1954" s="42" t="n">
        <v>46014</v>
      </c>
      <c r="D1954" s="42" t="n">
        <v>46014</v>
      </c>
      <c r="E1954" s="38" t="n">
        <v>0</v>
      </c>
      <c r="F1954" t="inlineStr">
        <is>
          <t>Emergency</t>
        </is>
      </c>
      <c r="G1954" t="inlineStr">
        <is>
          <t>Ashby Falls Community Hospital</t>
        </is>
      </c>
      <c r="H1954" t="inlineStr">
        <is>
          <t>Emergency Department</t>
        </is>
      </c>
      <c r="I1954" t="inlineStr">
        <is>
          <t>Emergency</t>
        </is>
      </c>
      <c r="J1954" t="inlineStr">
        <is>
          <t>Richardson, Mei</t>
        </is>
      </c>
      <c r="K1954" t="inlineStr">
        <is>
          <t>R55</t>
        </is>
      </c>
      <c r="L1954" t="inlineStr">
        <is>
          <t>Symptoms &amp; Signs</t>
        </is>
      </c>
      <c r="M1954" t="inlineStr">
        <is>
          <t>Evergreen Mutual Insurance</t>
        </is>
      </c>
      <c r="N1954" t="inlineStr">
        <is>
          <t>Commercial</t>
        </is>
      </c>
      <c r="O1954" s="39" t="n">
        <v>1455.16</v>
      </c>
    </row>
    <row r="1955">
      <c r="A1955" t="inlineStr">
        <is>
          <t>ENC121598</t>
        </is>
      </c>
      <c r="B1955" t="inlineStr">
        <is>
          <t>PT10471</t>
        </is>
      </c>
      <c r="C1955" s="42" t="n">
        <v>46014</v>
      </c>
      <c r="D1955" s="42" t="n">
        <v>46016</v>
      </c>
      <c r="E1955" s="38" t="n">
        <v>2</v>
      </c>
      <c r="F1955" t="inlineStr">
        <is>
          <t>Inpatient</t>
        </is>
      </c>
      <c r="G1955" t="inlineStr">
        <is>
          <t>Bluestone Memorial Hospital</t>
        </is>
      </c>
      <c r="H1955" t="inlineStr">
        <is>
          <t>Neuroscience &amp; Stroke</t>
        </is>
      </c>
      <c r="I1955" t="inlineStr">
        <is>
          <t>Neuroscience</t>
        </is>
      </c>
      <c r="J1955" t="inlineStr">
        <is>
          <t>Stone, Frank</t>
        </is>
      </c>
      <c r="K1955" t="inlineStr">
        <is>
          <t>I63.9</t>
        </is>
      </c>
      <c r="L1955" t="inlineStr">
        <is>
          <t>Circulatory</t>
        </is>
      </c>
      <c r="M1955" t="inlineStr">
        <is>
          <t>Evergreen Mutual Insurance</t>
        </is>
      </c>
      <c r="N1955" t="inlineStr">
        <is>
          <t>Commercial</t>
        </is>
      </c>
      <c r="O1955" s="39" t="n">
        <v>12852.23</v>
      </c>
      <c r="P1955" t="inlineStr">
        <is>
          <t>N</t>
        </is>
      </c>
    </row>
    <row r="1956">
      <c r="A1956" t="inlineStr">
        <is>
          <t>ENC121604</t>
        </is>
      </c>
      <c r="B1956" t="inlineStr">
        <is>
          <t>PT13831</t>
        </is>
      </c>
      <c r="C1956" s="42" t="n">
        <v>46014</v>
      </c>
      <c r="D1956" s="42" t="n">
        <v>46015</v>
      </c>
      <c r="E1956" s="38" t="n">
        <v>1</v>
      </c>
      <c r="F1956" t="inlineStr">
        <is>
          <t>Emergency</t>
        </is>
      </c>
      <c r="G1956" t="inlineStr">
        <is>
          <t>Bluestone Memorial Hospital</t>
        </is>
      </c>
      <c r="H1956" t="inlineStr">
        <is>
          <t>Emergency Department</t>
        </is>
      </c>
      <c r="I1956" t="inlineStr">
        <is>
          <t>Emergency</t>
        </is>
      </c>
      <c r="J1956" t="inlineStr">
        <is>
          <t>Payne, Nancy</t>
        </is>
      </c>
      <c r="K1956" t="inlineStr">
        <is>
          <t>M54.50</t>
        </is>
      </c>
      <c r="L1956" t="inlineStr">
        <is>
          <t>Musculoskeletal</t>
        </is>
      </c>
      <c r="M1956" t="inlineStr">
        <is>
          <t>Evergreen Mutual Insurance</t>
        </is>
      </c>
      <c r="N1956" t="inlineStr">
        <is>
          <t>Commercial</t>
        </is>
      </c>
      <c r="O1956" s="39" t="n">
        <v>1719.51</v>
      </c>
    </row>
    <row r="1957">
      <c r="A1957" t="inlineStr">
        <is>
          <t>ENC121607</t>
        </is>
      </c>
      <c r="B1957" t="inlineStr">
        <is>
          <t>PT10132</t>
        </is>
      </c>
      <c r="C1957" s="42" t="n">
        <v>46014</v>
      </c>
      <c r="D1957" s="42" t="n">
        <v>46015</v>
      </c>
      <c r="E1957" s="38" t="n">
        <v>1</v>
      </c>
      <c r="F1957" t="inlineStr">
        <is>
          <t>Emergency</t>
        </is>
      </c>
      <c r="G1957" t="inlineStr">
        <is>
          <t>Bluestone Memorial Hospital</t>
        </is>
      </c>
      <c r="H1957" t="inlineStr">
        <is>
          <t>Emergency Department</t>
        </is>
      </c>
      <c r="I1957" t="inlineStr">
        <is>
          <t>Emergency</t>
        </is>
      </c>
      <c r="J1957" t="inlineStr">
        <is>
          <t>Ferguson, Roy</t>
        </is>
      </c>
      <c r="K1957" t="inlineStr">
        <is>
          <t>R10.9</t>
        </is>
      </c>
      <c r="L1957" t="inlineStr">
        <is>
          <t>Symptoms &amp; Signs</t>
        </is>
      </c>
      <c r="M1957" t="inlineStr">
        <is>
          <t>Medicare</t>
        </is>
      </c>
      <c r="N1957" t="inlineStr">
        <is>
          <t>Government</t>
        </is>
      </c>
      <c r="O1957" s="39" t="n">
        <v>1841.01</v>
      </c>
    </row>
    <row r="1958">
      <c r="A1958" t="inlineStr">
        <is>
          <t>ENC121611</t>
        </is>
      </c>
      <c r="B1958" t="inlineStr">
        <is>
          <t>PT12850</t>
        </is>
      </c>
      <c r="C1958" s="42" t="n">
        <v>46015</v>
      </c>
      <c r="D1958" s="42" t="n">
        <v>46018</v>
      </c>
      <c r="E1958" s="38" t="n">
        <v>3</v>
      </c>
      <c r="F1958" t="inlineStr">
        <is>
          <t>Inpatient</t>
        </is>
      </c>
      <c r="G1958" t="inlineStr">
        <is>
          <t>Bluestone Memorial Hospital</t>
        </is>
      </c>
      <c r="H1958" t="inlineStr">
        <is>
          <t>Medical-Surgical 5 East</t>
        </is>
      </c>
      <c r="I1958" t="inlineStr">
        <is>
          <t>Medicine</t>
        </is>
      </c>
      <c r="J1958" t="inlineStr">
        <is>
          <t>Price, Juan</t>
        </is>
      </c>
      <c r="K1958" t="inlineStr">
        <is>
          <t>J44.1</t>
        </is>
      </c>
      <c r="L1958" t="inlineStr">
        <is>
          <t>Respiratory</t>
        </is>
      </c>
      <c r="M1958" t="inlineStr">
        <is>
          <t>Summit Choice PPO</t>
        </is>
      </c>
      <c r="N1958" t="inlineStr">
        <is>
          <t>Commercial</t>
        </is>
      </c>
      <c r="O1958" s="39" t="n">
        <v>20087.84</v>
      </c>
      <c r="P1958" t="inlineStr">
        <is>
          <t>N</t>
        </is>
      </c>
    </row>
    <row r="1959">
      <c r="A1959" t="inlineStr">
        <is>
          <t>ENC121633</t>
        </is>
      </c>
      <c r="B1959" t="inlineStr">
        <is>
          <t>PT11962</t>
        </is>
      </c>
      <c r="C1959" s="42" t="n">
        <v>46015</v>
      </c>
      <c r="D1959" s="42" t="n">
        <v>46015</v>
      </c>
      <c r="E1959" s="38" t="n">
        <v>0</v>
      </c>
      <c r="F1959" t="inlineStr">
        <is>
          <t>Outpatient</t>
        </is>
      </c>
      <c r="G1959" t="inlineStr">
        <is>
          <t>Bluestone Outpatient Pavilion</t>
        </is>
      </c>
      <c r="H1959" t="inlineStr">
        <is>
          <t>Pediatric Clinic</t>
        </is>
      </c>
      <c r="I1959" t="inlineStr">
        <is>
          <t>Women &amp; Children</t>
        </is>
      </c>
      <c r="J1959" t="inlineStr">
        <is>
          <t>Alvarez, Susan</t>
        </is>
      </c>
      <c r="K1959" t="inlineStr">
        <is>
          <t>H66.90</t>
        </is>
      </c>
      <c r="L1959" t="inlineStr">
        <is>
          <t>Ear</t>
        </is>
      </c>
      <c r="M1959" t="inlineStr">
        <is>
          <t>Evergreen Mutual Insurance</t>
        </is>
      </c>
      <c r="N1959" t="inlineStr">
        <is>
          <t>Commercial</t>
        </is>
      </c>
      <c r="O1959" s="39" t="n">
        <v>338.76</v>
      </c>
    </row>
    <row r="1960">
      <c r="A1960" t="inlineStr">
        <is>
          <t>ENC121632</t>
        </is>
      </c>
      <c r="B1960" t="inlineStr">
        <is>
          <t>PT13880</t>
        </is>
      </c>
      <c r="C1960" s="42" t="n">
        <v>46015</v>
      </c>
      <c r="D1960" s="42" t="n">
        <v>46017</v>
      </c>
      <c r="E1960" s="38" t="n">
        <v>2</v>
      </c>
      <c r="F1960" t="inlineStr">
        <is>
          <t>Inpatient</t>
        </is>
      </c>
      <c r="G1960" t="inlineStr">
        <is>
          <t>Bluestone Memorial Hospital</t>
        </is>
      </c>
      <c r="H1960" t="inlineStr">
        <is>
          <t>Cardiac Step-Down</t>
        </is>
      </c>
      <c r="I1960" t="inlineStr">
        <is>
          <t>Cardiovascular</t>
        </is>
      </c>
      <c r="J1960" t="inlineStr">
        <is>
          <t>Evans, Charles</t>
        </is>
      </c>
      <c r="K1960" t="inlineStr">
        <is>
          <t>I48.91</t>
        </is>
      </c>
      <c r="L1960" t="inlineStr">
        <is>
          <t>Circulatory</t>
        </is>
      </c>
      <c r="M1960" t="inlineStr">
        <is>
          <t>Silverline Medicare Advantage</t>
        </is>
      </c>
      <c r="N1960" t="inlineStr">
        <is>
          <t>Medicare Advantage</t>
        </is>
      </c>
      <c r="O1960" s="39" t="n">
        <v>11553.51</v>
      </c>
      <c r="P1960" t="inlineStr">
        <is>
          <t>N</t>
        </is>
      </c>
    </row>
    <row r="1961">
      <c r="A1961" t="inlineStr">
        <is>
          <t>ENC121639</t>
        </is>
      </c>
      <c r="B1961" t="inlineStr">
        <is>
          <t>PT11195</t>
        </is>
      </c>
      <c r="C1961" s="42" t="n">
        <v>46015</v>
      </c>
      <c r="D1961" s="42" t="n">
        <v>46015</v>
      </c>
      <c r="E1961" s="38" t="n">
        <v>0</v>
      </c>
      <c r="F1961" t="inlineStr">
        <is>
          <t>Emergency</t>
        </is>
      </c>
      <c r="G1961" t="inlineStr">
        <is>
          <t>Bluestone Memorial Hospital</t>
        </is>
      </c>
      <c r="H1961" t="inlineStr">
        <is>
          <t>Emergency Department</t>
        </is>
      </c>
      <c r="I1961" t="inlineStr">
        <is>
          <t>Emergency</t>
        </is>
      </c>
      <c r="J1961" t="inlineStr">
        <is>
          <t>Ferguson, Roy</t>
        </is>
      </c>
      <c r="K1961" t="inlineStr">
        <is>
          <t>R55</t>
        </is>
      </c>
      <c r="L1961" t="inlineStr">
        <is>
          <t>Symptoms &amp; Signs</t>
        </is>
      </c>
      <c r="M1961" t="inlineStr">
        <is>
          <t>Medicare</t>
        </is>
      </c>
      <c r="N1961" t="inlineStr">
        <is>
          <t>Government</t>
        </is>
      </c>
      <c r="O1961" s="39" t="n">
        <v>5146.07</v>
      </c>
    </row>
    <row r="1962">
      <c r="A1962" t="inlineStr">
        <is>
          <t>ENC121640</t>
        </is>
      </c>
      <c r="B1962" t="inlineStr">
        <is>
          <t>PT11600</t>
        </is>
      </c>
      <c r="C1962" s="42" t="n">
        <v>46015</v>
      </c>
      <c r="D1962" s="42" t="n">
        <v>46015</v>
      </c>
      <c r="E1962" s="38" t="n">
        <v>0</v>
      </c>
      <c r="F1962" t="inlineStr">
        <is>
          <t>Emergency</t>
        </is>
      </c>
      <c r="G1962" t="inlineStr">
        <is>
          <t>Bluestone Memorial Hospital</t>
        </is>
      </c>
      <c r="H1962" t="inlineStr">
        <is>
          <t>Emergency Department</t>
        </is>
      </c>
      <c r="I1962" t="inlineStr">
        <is>
          <t>Emergency</t>
        </is>
      </c>
      <c r="J1962" t="inlineStr">
        <is>
          <t>Cruz, Mia</t>
        </is>
      </c>
      <c r="K1962" t="inlineStr">
        <is>
          <t>R10.9</t>
        </is>
      </c>
      <c r="L1962" t="inlineStr">
        <is>
          <t>Symptoms &amp; Signs</t>
        </is>
      </c>
      <c r="M1962" t="inlineStr">
        <is>
          <t>State Medicaid</t>
        </is>
      </c>
      <c r="N1962" t="inlineStr">
        <is>
          <t>Government</t>
        </is>
      </c>
      <c r="O1962" s="39" t="n">
        <v>4366.92</v>
      </c>
    </row>
    <row r="1963">
      <c r="A1963" t="inlineStr">
        <is>
          <t>ENC121642</t>
        </is>
      </c>
      <c r="B1963" t="inlineStr">
        <is>
          <t>PT10129</t>
        </is>
      </c>
      <c r="C1963" s="42" t="n">
        <v>46016</v>
      </c>
      <c r="D1963" s="42" t="n">
        <v>46021</v>
      </c>
      <c r="E1963" s="38" t="n">
        <v>5</v>
      </c>
      <c r="F1963" t="inlineStr">
        <is>
          <t>Inpatient</t>
        </is>
      </c>
      <c r="G1963" t="inlineStr">
        <is>
          <t>Ashby Falls Community Hospital</t>
        </is>
      </c>
      <c r="H1963" t="inlineStr">
        <is>
          <t>Medical-Surgical</t>
        </is>
      </c>
      <c r="I1963" t="inlineStr">
        <is>
          <t>Medicine</t>
        </is>
      </c>
      <c r="J1963" t="inlineStr">
        <is>
          <t>Moreno, Melissa</t>
        </is>
      </c>
      <c r="K1963" t="inlineStr">
        <is>
          <t>A41.9</t>
        </is>
      </c>
      <c r="L1963" t="inlineStr">
        <is>
          <t>Infectious</t>
        </is>
      </c>
      <c r="M1963" t="inlineStr">
        <is>
          <t>Evergreen Mutual Insurance</t>
        </is>
      </c>
      <c r="N1963" t="inlineStr">
        <is>
          <t>Commercial</t>
        </is>
      </c>
      <c r="O1963" s="39" t="n">
        <v>61552.46</v>
      </c>
      <c r="P1963" t="inlineStr">
        <is>
          <t>N</t>
        </is>
      </c>
    </row>
    <row r="1964">
      <c r="A1964" t="inlineStr">
        <is>
          <t>ENC121651</t>
        </is>
      </c>
      <c r="B1964" t="inlineStr">
        <is>
          <t>PT13907</t>
        </is>
      </c>
      <c r="C1964" s="42" t="n">
        <v>46016</v>
      </c>
      <c r="D1964" s="42" t="n">
        <v>46016</v>
      </c>
      <c r="E1964" s="38" t="n">
        <v>0</v>
      </c>
      <c r="F1964" t="inlineStr">
        <is>
          <t>Emergency</t>
        </is>
      </c>
      <c r="G1964" t="inlineStr">
        <is>
          <t>Ashby Falls Community Hospital</t>
        </is>
      </c>
      <c r="H1964" t="inlineStr">
        <is>
          <t>Emergency Department</t>
        </is>
      </c>
      <c r="I1964" t="inlineStr">
        <is>
          <t>Emergency</t>
        </is>
      </c>
      <c r="J1964" t="inlineStr">
        <is>
          <t>Richardson, Mei</t>
        </is>
      </c>
      <c r="K1964" t="inlineStr">
        <is>
          <t>R07.9</t>
        </is>
      </c>
      <c r="L1964" t="inlineStr">
        <is>
          <t>Symptoms &amp; Signs</t>
        </is>
      </c>
      <c r="M1964" t="inlineStr">
        <is>
          <t>State Medicaid</t>
        </is>
      </c>
      <c r="N1964" t="inlineStr">
        <is>
          <t>Government</t>
        </is>
      </c>
      <c r="O1964" s="39" t="n">
        <v>5415.65</v>
      </c>
    </row>
    <row r="1965">
      <c r="A1965" t="inlineStr">
        <is>
          <t>ENC121658</t>
        </is>
      </c>
      <c r="B1965" t="inlineStr">
        <is>
          <t>PT10840</t>
        </is>
      </c>
      <c r="C1965" s="42" t="n">
        <v>46016</v>
      </c>
      <c r="D1965" s="42" t="n">
        <v>46016</v>
      </c>
      <c r="E1965" s="38" t="n">
        <v>0</v>
      </c>
      <c r="F1965" t="inlineStr">
        <is>
          <t>Outpatient</t>
        </is>
      </c>
      <c r="G1965" t="inlineStr">
        <is>
          <t>Bluestone Outpatient Pavilion</t>
        </is>
      </c>
      <c r="H1965" t="inlineStr">
        <is>
          <t>Primary Care Clinic</t>
        </is>
      </c>
      <c r="I1965" t="inlineStr">
        <is>
          <t>Ambulatory</t>
        </is>
      </c>
      <c r="J1965" t="inlineStr">
        <is>
          <t>Alvarado, George</t>
        </is>
      </c>
      <c r="K1965" t="inlineStr">
        <is>
          <t>Z23</t>
        </is>
      </c>
      <c r="L1965" t="inlineStr">
        <is>
          <t>Factors Influencing Health</t>
        </is>
      </c>
      <c r="M1965" t="inlineStr">
        <is>
          <t>Medicare</t>
        </is>
      </c>
      <c r="N1965" t="inlineStr">
        <is>
          <t>Government</t>
        </is>
      </c>
      <c r="O1965" s="39" t="n">
        <v>108.28</v>
      </c>
    </row>
    <row r="1966">
      <c r="A1966" t="inlineStr">
        <is>
          <t>ENC121663</t>
        </is>
      </c>
      <c r="B1966" t="inlineStr">
        <is>
          <t>PT10507</t>
        </is>
      </c>
      <c r="C1966" s="42" t="n">
        <v>46016</v>
      </c>
      <c r="D1966" s="42" t="n">
        <v>46016</v>
      </c>
      <c r="E1966" s="38" t="n">
        <v>0</v>
      </c>
      <c r="F1966" t="inlineStr">
        <is>
          <t>Outpatient</t>
        </is>
      </c>
      <c r="G1966" t="inlineStr">
        <is>
          <t>Bluestone Outpatient Pavilion</t>
        </is>
      </c>
      <c r="H1966" t="inlineStr">
        <is>
          <t>Cardiology Clinic</t>
        </is>
      </c>
      <c r="I1966" t="inlineStr">
        <is>
          <t>Cardiovascular</t>
        </is>
      </c>
      <c r="J1966" t="inlineStr">
        <is>
          <t>Gomez, Mateo</t>
        </is>
      </c>
      <c r="K1966" t="inlineStr">
        <is>
          <t>I50.9</t>
        </is>
      </c>
      <c r="L1966" t="inlineStr">
        <is>
          <t>Circulatory</t>
        </is>
      </c>
      <c r="M1966" t="inlineStr">
        <is>
          <t>Medicare</t>
        </is>
      </c>
      <c r="N1966" t="inlineStr">
        <is>
          <t>Government</t>
        </is>
      </c>
      <c r="O1966" s="39" t="n">
        <v>357.48</v>
      </c>
    </row>
    <row r="1967">
      <c r="A1967" t="inlineStr">
        <is>
          <t>ENC121665</t>
        </is>
      </c>
      <c r="B1967" t="inlineStr">
        <is>
          <t>PT10786</t>
        </is>
      </c>
      <c r="C1967" s="42" t="n">
        <v>46016</v>
      </c>
      <c r="D1967" s="42" t="n">
        <v>46016</v>
      </c>
      <c r="E1967" s="38" t="n">
        <v>0</v>
      </c>
      <c r="F1967" t="inlineStr">
        <is>
          <t>Emergency</t>
        </is>
      </c>
      <c r="G1967" t="inlineStr">
        <is>
          <t>Cedar Ridge Medical Center</t>
        </is>
      </c>
      <c r="H1967" t="inlineStr">
        <is>
          <t>Emergency Department</t>
        </is>
      </c>
      <c r="I1967" t="inlineStr">
        <is>
          <t>Emergency</t>
        </is>
      </c>
      <c r="J1967" t="inlineStr">
        <is>
          <t>Munoz, Linda</t>
        </is>
      </c>
      <c r="K1967" t="inlineStr">
        <is>
          <t>F41.9</t>
        </is>
      </c>
      <c r="L1967" t="inlineStr">
        <is>
          <t>Mental &amp; Behavioral</t>
        </is>
      </c>
      <c r="M1967" t="inlineStr">
        <is>
          <t>Self-Pay</t>
        </is>
      </c>
      <c r="N1967" t="inlineStr">
        <is>
          <t>Self-Pay</t>
        </is>
      </c>
      <c r="O1967" s="39" t="n">
        <v>1466.45</v>
      </c>
    </row>
    <row r="1968">
      <c r="A1968" t="inlineStr">
        <is>
          <t>ENC121666</t>
        </is>
      </c>
      <c r="B1968" t="inlineStr">
        <is>
          <t>PT10738</t>
        </is>
      </c>
      <c r="C1968" s="42" t="n">
        <v>46016</v>
      </c>
      <c r="D1968" s="42" t="n">
        <v>46016</v>
      </c>
      <c r="E1968" s="38" t="n">
        <v>0</v>
      </c>
      <c r="F1968" t="inlineStr">
        <is>
          <t>Outpatient</t>
        </is>
      </c>
      <c r="G1968" t="inlineStr">
        <is>
          <t>Bluestone Outpatient Pavilion</t>
        </is>
      </c>
      <c r="H1968" t="inlineStr">
        <is>
          <t>Primary Care Clinic</t>
        </is>
      </c>
      <c r="I1968" t="inlineStr">
        <is>
          <t>Ambulatory</t>
        </is>
      </c>
      <c r="J1968" t="inlineStr">
        <is>
          <t>Chen, Mei</t>
        </is>
      </c>
      <c r="K1968" t="inlineStr">
        <is>
          <t>I10</t>
        </is>
      </c>
      <c r="L1968" t="inlineStr">
        <is>
          <t>Circulatory</t>
        </is>
      </c>
      <c r="M1968" t="inlineStr">
        <is>
          <t>State Medicaid</t>
        </is>
      </c>
      <c r="N1968" t="inlineStr">
        <is>
          <t>Government</t>
        </is>
      </c>
      <c r="O1968" s="39" t="n">
        <v>490.64</v>
      </c>
    </row>
    <row r="1969">
      <c r="A1969" t="inlineStr">
        <is>
          <t>ENC121674</t>
        </is>
      </c>
      <c r="B1969" t="inlineStr">
        <is>
          <t>PT11252</t>
        </is>
      </c>
      <c r="C1969" s="42" t="n">
        <v>46016</v>
      </c>
      <c r="D1969" s="42" t="n">
        <v>46016</v>
      </c>
      <c r="E1969" s="38" t="n">
        <v>0</v>
      </c>
      <c r="F1969" t="inlineStr">
        <is>
          <t>Outpatient</t>
        </is>
      </c>
      <c r="G1969" t="inlineStr">
        <is>
          <t>Bluestone Outpatient Pavilion</t>
        </is>
      </c>
      <c r="H1969" t="inlineStr">
        <is>
          <t>Primary Care Clinic</t>
        </is>
      </c>
      <c r="I1969" t="inlineStr">
        <is>
          <t>Ambulatory</t>
        </is>
      </c>
      <c r="J1969" t="inlineStr">
        <is>
          <t>Nguyen, Isabella</t>
        </is>
      </c>
      <c r="K1969" t="inlineStr">
        <is>
          <t>I10</t>
        </is>
      </c>
      <c r="L1969" t="inlineStr">
        <is>
          <t>Circulatory</t>
        </is>
      </c>
      <c r="M1969" t="inlineStr">
        <is>
          <t>Medicare</t>
        </is>
      </c>
      <c r="N1969" t="inlineStr">
        <is>
          <t>Government</t>
        </is>
      </c>
      <c r="O1969" s="39" t="n">
        <v>257.45</v>
      </c>
    </row>
    <row r="1970">
      <c r="A1970" t="inlineStr">
        <is>
          <t>ENC121684</t>
        </is>
      </c>
      <c r="B1970" t="inlineStr">
        <is>
          <t>PT13843</t>
        </is>
      </c>
      <c r="C1970" s="42" t="n">
        <v>46016</v>
      </c>
      <c r="D1970" s="42" t="n">
        <v>46016</v>
      </c>
      <c r="E1970" s="38" t="n">
        <v>0</v>
      </c>
      <c r="F1970" t="inlineStr">
        <is>
          <t>Emergency</t>
        </is>
      </c>
      <c r="G1970" t="inlineStr">
        <is>
          <t>Ashby Falls Community Hospital</t>
        </is>
      </c>
      <c r="H1970" t="inlineStr">
        <is>
          <t>Emergency Department</t>
        </is>
      </c>
      <c r="I1970" t="inlineStr">
        <is>
          <t>Emergency</t>
        </is>
      </c>
      <c r="J1970" t="inlineStr">
        <is>
          <t>Collins, Frank</t>
        </is>
      </c>
      <c r="K1970" t="inlineStr">
        <is>
          <t>S93.401A</t>
        </is>
      </c>
      <c r="L1970" t="inlineStr">
        <is>
          <t>Injury</t>
        </is>
      </c>
      <c r="M1970" t="inlineStr">
        <is>
          <t>Silverline Medicare Advantage</t>
        </is>
      </c>
      <c r="N1970" t="inlineStr">
        <is>
          <t>Medicare Advantage</t>
        </is>
      </c>
      <c r="O1970" s="39" t="n">
        <v>795.26</v>
      </c>
    </row>
    <row r="1971">
      <c r="A1971" t="inlineStr">
        <is>
          <t>ENC121685</t>
        </is>
      </c>
      <c r="B1971" t="inlineStr">
        <is>
          <t>PT11479</t>
        </is>
      </c>
      <c r="C1971" s="42" t="n">
        <v>46016</v>
      </c>
      <c r="D1971" s="42" t="n">
        <v>46016</v>
      </c>
      <c r="E1971" s="38" t="n">
        <v>0</v>
      </c>
      <c r="F1971" t="inlineStr">
        <is>
          <t>Emergency</t>
        </is>
      </c>
      <c r="G1971" t="inlineStr">
        <is>
          <t>Bluestone Memorial Hospital</t>
        </is>
      </c>
      <c r="H1971" t="inlineStr">
        <is>
          <t>Emergency Department</t>
        </is>
      </c>
      <c r="I1971" t="inlineStr">
        <is>
          <t>Emergency</t>
        </is>
      </c>
      <c r="J1971" t="inlineStr">
        <is>
          <t>Foster, Patrick</t>
        </is>
      </c>
      <c r="K1971" t="inlineStr">
        <is>
          <t>J18.9</t>
        </is>
      </c>
      <c r="L1971" t="inlineStr">
        <is>
          <t>Respiratory</t>
        </is>
      </c>
      <c r="M1971" t="inlineStr">
        <is>
          <t>Silverline Medicare Advantage</t>
        </is>
      </c>
      <c r="N1971" t="inlineStr">
        <is>
          <t>Medicare Advantage</t>
        </is>
      </c>
      <c r="O1971" s="39" t="n">
        <v>5921.37</v>
      </c>
    </row>
    <row r="1972">
      <c r="A1972" t="inlineStr">
        <is>
          <t>ENC121678</t>
        </is>
      </c>
      <c r="B1972" t="inlineStr">
        <is>
          <t>PT12956</t>
        </is>
      </c>
      <c r="C1972" s="42" t="n">
        <v>46016</v>
      </c>
      <c r="D1972" s="42" t="n">
        <v>46018</v>
      </c>
      <c r="E1972" s="38" t="n">
        <v>2</v>
      </c>
      <c r="F1972" t="inlineStr">
        <is>
          <t>Observation</t>
        </is>
      </c>
      <c r="G1972" t="inlineStr">
        <is>
          <t>Bluestone Memorial Hospital</t>
        </is>
      </c>
      <c r="H1972" t="inlineStr">
        <is>
          <t>Observation Unit</t>
        </is>
      </c>
      <c r="I1972" t="inlineStr">
        <is>
          <t>Medicine</t>
        </is>
      </c>
      <c r="J1972" t="inlineStr">
        <is>
          <t>Simpson, Kelly</t>
        </is>
      </c>
      <c r="K1972" t="inlineStr">
        <is>
          <t>J45.909</t>
        </is>
      </c>
      <c r="L1972" t="inlineStr">
        <is>
          <t>Respiratory</t>
        </is>
      </c>
      <c r="M1972" t="inlineStr">
        <is>
          <t>Keystone Health Partners</t>
        </is>
      </c>
      <c r="N1972" t="inlineStr">
        <is>
          <t>Commercial</t>
        </is>
      </c>
      <c r="O1972" s="39" t="n">
        <v>12493.71</v>
      </c>
    </row>
    <row r="1973">
      <c r="A1973" t="inlineStr">
        <is>
          <t>ENC121681</t>
        </is>
      </c>
      <c r="B1973" t="inlineStr">
        <is>
          <t>PT11246</t>
        </is>
      </c>
      <c r="C1973" s="42" t="n">
        <v>46016</v>
      </c>
      <c r="D1973" s="42" t="n">
        <v>46018</v>
      </c>
      <c r="E1973" s="38" t="n">
        <v>2</v>
      </c>
      <c r="F1973" t="inlineStr">
        <is>
          <t>Observation</t>
        </is>
      </c>
      <c r="G1973" t="inlineStr">
        <is>
          <t>Cedar Ridge Medical Center</t>
        </is>
      </c>
      <c r="H1973" t="inlineStr">
        <is>
          <t>Medical-Surgical</t>
        </is>
      </c>
      <c r="I1973" t="inlineStr">
        <is>
          <t>Medicine</t>
        </is>
      </c>
      <c r="J1973" t="inlineStr">
        <is>
          <t>Hansen, Wei</t>
        </is>
      </c>
      <c r="K1973" t="inlineStr">
        <is>
          <t>J45.909</t>
        </is>
      </c>
      <c r="L1973" t="inlineStr">
        <is>
          <t>Respiratory</t>
        </is>
      </c>
      <c r="M1973" t="inlineStr">
        <is>
          <t>Evergreen Mutual Insurance</t>
        </is>
      </c>
      <c r="N1973" t="inlineStr">
        <is>
          <t>Commercial</t>
        </is>
      </c>
      <c r="O1973" s="39" t="n">
        <v>6856.53</v>
      </c>
    </row>
    <row r="1974">
      <c r="A1974" t="inlineStr">
        <is>
          <t>ENC121689</t>
        </is>
      </c>
      <c r="B1974" t="inlineStr">
        <is>
          <t>PT11213</t>
        </is>
      </c>
      <c r="C1974" s="42" t="n">
        <v>46016</v>
      </c>
      <c r="D1974" s="42" t="n">
        <v>46019</v>
      </c>
      <c r="E1974" s="38" t="n">
        <v>3</v>
      </c>
      <c r="F1974" t="inlineStr">
        <is>
          <t>Inpatient</t>
        </is>
      </c>
      <c r="G1974" t="inlineStr">
        <is>
          <t>Bluestone Memorial Hospital</t>
        </is>
      </c>
      <c r="H1974" t="inlineStr">
        <is>
          <t>Pediatrics</t>
        </is>
      </c>
      <c r="I1974" t="inlineStr">
        <is>
          <t>Women &amp; Children</t>
        </is>
      </c>
      <c r="J1974" t="inlineStr">
        <is>
          <t>Soto, Emma</t>
        </is>
      </c>
      <c r="K1974" t="inlineStr">
        <is>
          <t>J21.9</t>
        </is>
      </c>
      <c r="L1974" t="inlineStr">
        <is>
          <t>Respiratory</t>
        </is>
      </c>
      <c r="M1974" t="inlineStr">
        <is>
          <t>State Medicaid</t>
        </is>
      </c>
      <c r="N1974" t="inlineStr">
        <is>
          <t>Government</t>
        </is>
      </c>
      <c r="O1974" s="39" t="n">
        <v>20339.28</v>
      </c>
      <c r="P1974" t="inlineStr">
        <is>
          <t>N</t>
        </is>
      </c>
    </row>
    <row r="1975">
      <c r="A1975" t="inlineStr">
        <is>
          <t>ENC121695</t>
        </is>
      </c>
      <c r="B1975" t="inlineStr">
        <is>
          <t>PT13757</t>
        </is>
      </c>
      <c r="C1975" s="42" t="n">
        <v>46017</v>
      </c>
      <c r="D1975" s="42" t="n">
        <v>46022</v>
      </c>
      <c r="E1975" s="38" t="n">
        <v>5</v>
      </c>
      <c r="F1975" t="inlineStr">
        <is>
          <t>Inpatient</t>
        </is>
      </c>
      <c r="G1975" t="inlineStr">
        <is>
          <t>Ashby Falls Community Hospital</t>
        </is>
      </c>
      <c r="H1975" t="inlineStr">
        <is>
          <t>Medical-Surgical</t>
        </is>
      </c>
      <c r="I1975" t="inlineStr">
        <is>
          <t>Medicine</t>
        </is>
      </c>
      <c r="J1975" t="inlineStr">
        <is>
          <t>Moreno, Melissa</t>
        </is>
      </c>
      <c r="K1975" t="inlineStr">
        <is>
          <t>U07.1</t>
        </is>
      </c>
      <c r="L1975" t="inlineStr">
        <is>
          <t>Respiratory</t>
        </is>
      </c>
      <c r="M1975" t="inlineStr">
        <is>
          <t>Medicare</t>
        </is>
      </c>
      <c r="N1975" t="inlineStr">
        <is>
          <t>Government</t>
        </is>
      </c>
      <c r="O1975" s="39" t="n">
        <v>24989.17</v>
      </c>
      <c r="P1975" t="inlineStr">
        <is>
          <t>N</t>
        </is>
      </c>
    </row>
    <row r="1976">
      <c r="A1976" t="inlineStr">
        <is>
          <t>ENC121704</t>
        </is>
      </c>
      <c r="B1976" t="inlineStr">
        <is>
          <t>PT10191</t>
        </is>
      </c>
      <c r="C1976" s="42" t="n">
        <v>46017</v>
      </c>
      <c r="D1976" s="42" t="n">
        <v>46017</v>
      </c>
      <c r="E1976" s="38" t="n">
        <v>0</v>
      </c>
      <c r="F1976" t="inlineStr">
        <is>
          <t>Outpatient</t>
        </is>
      </c>
      <c r="G1976" t="inlineStr">
        <is>
          <t>Bluestone Outpatient Pavilion</t>
        </is>
      </c>
      <c r="H1976" t="inlineStr">
        <is>
          <t>Primary Care Clinic</t>
        </is>
      </c>
      <c r="I1976" t="inlineStr">
        <is>
          <t>Ambulatory</t>
        </is>
      </c>
      <c r="J1976" t="inlineStr">
        <is>
          <t>Osei, Julie</t>
        </is>
      </c>
      <c r="K1976" t="inlineStr">
        <is>
          <t>Z00.00</t>
        </is>
      </c>
      <c r="L1976" t="inlineStr">
        <is>
          <t>Factors Influencing Health</t>
        </is>
      </c>
      <c r="M1976" t="inlineStr">
        <is>
          <t>Medicare</t>
        </is>
      </c>
      <c r="N1976" t="inlineStr">
        <is>
          <t>Government</t>
        </is>
      </c>
      <c r="O1976" s="39" t="n">
        <v>296.77</v>
      </c>
    </row>
    <row r="1977">
      <c r="A1977" t="inlineStr">
        <is>
          <t>ENC121705</t>
        </is>
      </c>
      <c r="B1977" t="inlineStr">
        <is>
          <t>PT10058</t>
        </is>
      </c>
      <c r="C1977" s="42" t="n">
        <v>46017</v>
      </c>
      <c r="D1977" s="42" t="n">
        <v>46021</v>
      </c>
      <c r="E1977" s="38" t="n">
        <v>4</v>
      </c>
      <c r="F1977" t="inlineStr">
        <is>
          <t>Inpatient</t>
        </is>
      </c>
      <c r="G1977" t="inlineStr">
        <is>
          <t>Bluestone Memorial Hospital</t>
        </is>
      </c>
      <c r="H1977" t="inlineStr">
        <is>
          <t>Medical-Surgical 4 West</t>
        </is>
      </c>
      <c r="I1977" t="inlineStr">
        <is>
          <t>Medicine</t>
        </is>
      </c>
      <c r="J1977" t="inlineStr">
        <is>
          <t>Ramirez, Emma</t>
        </is>
      </c>
      <c r="K1977" t="inlineStr">
        <is>
          <t>A41.9</t>
        </is>
      </c>
      <c r="L1977" t="inlineStr">
        <is>
          <t>Infectious</t>
        </is>
      </c>
      <c r="M1977" t="inlineStr">
        <is>
          <t>Summit Choice PPO</t>
        </is>
      </c>
      <c r="N1977" t="inlineStr">
        <is>
          <t>Commercial</t>
        </is>
      </c>
      <c r="O1977" s="39" t="n">
        <v>47081.64</v>
      </c>
      <c r="P1977" t="inlineStr">
        <is>
          <t>N</t>
        </is>
      </c>
    </row>
    <row r="1978">
      <c r="A1978" t="inlineStr">
        <is>
          <t>ENC121697</t>
        </is>
      </c>
      <c r="B1978" t="inlineStr">
        <is>
          <t>PT12684</t>
        </is>
      </c>
      <c r="C1978" s="42" t="n">
        <v>46017</v>
      </c>
      <c r="D1978" s="42" t="n">
        <v>46021</v>
      </c>
      <c r="E1978" s="38" t="n">
        <v>4</v>
      </c>
      <c r="F1978" t="inlineStr">
        <is>
          <t>Inpatient</t>
        </is>
      </c>
      <c r="G1978" t="inlineStr">
        <is>
          <t>Bluestone Memorial Hospital</t>
        </is>
      </c>
      <c r="H1978" t="inlineStr">
        <is>
          <t>Medical-Surgical 5 East</t>
        </is>
      </c>
      <c r="I1978" t="inlineStr">
        <is>
          <t>Medicine</t>
        </is>
      </c>
      <c r="J1978" t="inlineStr">
        <is>
          <t>Vasquez, Jose</t>
        </is>
      </c>
      <c r="K1978" t="inlineStr">
        <is>
          <t>J44.1</t>
        </is>
      </c>
      <c r="L1978" t="inlineStr">
        <is>
          <t>Respiratory</t>
        </is>
      </c>
      <c r="M1978" t="inlineStr">
        <is>
          <t>Summit Choice PPO</t>
        </is>
      </c>
      <c r="N1978" t="inlineStr">
        <is>
          <t>Commercial</t>
        </is>
      </c>
      <c r="O1978" s="39" t="n">
        <v>22737.04</v>
      </c>
      <c r="P1978" t="inlineStr">
        <is>
          <t>N</t>
        </is>
      </c>
    </row>
    <row r="1979">
      <c r="A1979" t="inlineStr">
        <is>
          <t>ENC121713</t>
        </is>
      </c>
      <c r="B1979" t="inlineStr">
        <is>
          <t>PT12861</t>
        </is>
      </c>
      <c r="C1979" s="42" t="n">
        <v>46017</v>
      </c>
      <c r="D1979" s="42" t="n">
        <v>46017</v>
      </c>
      <c r="E1979" s="38" t="n">
        <v>0</v>
      </c>
      <c r="F1979" t="inlineStr">
        <is>
          <t>Outpatient</t>
        </is>
      </c>
      <c r="G1979" t="inlineStr">
        <is>
          <t>Bluestone Outpatient Pavilion</t>
        </is>
      </c>
      <c r="H1979" t="inlineStr">
        <is>
          <t>Primary Care Clinic</t>
        </is>
      </c>
      <c r="I1979" t="inlineStr">
        <is>
          <t>Ambulatory</t>
        </is>
      </c>
      <c r="J1979" t="inlineStr">
        <is>
          <t>Osei, Julie</t>
        </is>
      </c>
      <c r="K1979" t="inlineStr">
        <is>
          <t>J44.1</t>
        </is>
      </c>
      <c r="L1979" t="inlineStr">
        <is>
          <t>Respiratory</t>
        </is>
      </c>
      <c r="M1979" t="inlineStr">
        <is>
          <t>Evergreen Mutual Insurance</t>
        </is>
      </c>
      <c r="N1979" t="inlineStr">
        <is>
          <t>Commercial</t>
        </is>
      </c>
      <c r="O1979" s="39" t="n">
        <v>266.81</v>
      </c>
    </row>
    <row r="1980">
      <c r="A1980" t="inlineStr">
        <is>
          <t>ENC121719</t>
        </is>
      </c>
      <c r="B1980" t="inlineStr">
        <is>
          <t>PT13673</t>
        </is>
      </c>
      <c r="C1980" s="42" t="n">
        <v>46017</v>
      </c>
      <c r="D1980" s="42" t="n">
        <v>46022</v>
      </c>
      <c r="E1980" s="38" t="n">
        <v>5</v>
      </c>
      <c r="F1980" t="inlineStr">
        <is>
          <t>Inpatient</t>
        </is>
      </c>
      <c r="G1980" t="inlineStr">
        <is>
          <t>Bluestone Memorial Hospital</t>
        </is>
      </c>
      <c r="H1980" t="inlineStr">
        <is>
          <t>Oncology</t>
        </is>
      </c>
      <c r="I1980" t="inlineStr">
        <is>
          <t>Oncology</t>
        </is>
      </c>
      <c r="J1980" t="inlineStr">
        <is>
          <t>Hughes, Larry</t>
        </is>
      </c>
      <c r="K1980" t="inlineStr">
        <is>
          <t>C34.90</t>
        </is>
      </c>
      <c r="L1980" t="inlineStr">
        <is>
          <t>Neoplasms</t>
        </is>
      </c>
      <c r="M1980" t="inlineStr">
        <is>
          <t>Medicare</t>
        </is>
      </c>
      <c r="N1980" t="inlineStr">
        <is>
          <t>Government</t>
        </is>
      </c>
      <c r="O1980" s="39" t="n">
        <v>27253.82</v>
      </c>
      <c r="P1980" t="inlineStr">
        <is>
          <t>N</t>
        </is>
      </c>
    </row>
    <row r="1981">
      <c r="A1981" t="inlineStr">
        <is>
          <t>ENC121727</t>
        </is>
      </c>
      <c r="B1981" t="inlineStr">
        <is>
          <t>PT10637</t>
        </is>
      </c>
      <c r="C1981" s="42" t="n">
        <v>46018</v>
      </c>
      <c r="D1981" s="42" t="n">
        <v>46020</v>
      </c>
      <c r="E1981" s="38" t="n">
        <v>2</v>
      </c>
      <c r="F1981" t="inlineStr">
        <is>
          <t>Inpatient</t>
        </is>
      </c>
      <c r="G1981" t="inlineStr">
        <is>
          <t>Bluestone Memorial Hospital</t>
        </is>
      </c>
      <c r="H1981" t="inlineStr">
        <is>
          <t>Pediatrics</t>
        </is>
      </c>
      <c r="I1981" t="inlineStr">
        <is>
          <t>Women &amp; Children</t>
        </is>
      </c>
      <c r="J1981" t="inlineStr">
        <is>
          <t>Soto, Michael</t>
        </is>
      </c>
      <c r="K1981" t="inlineStr">
        <is>
          <t>J21.9</t>
        </is>
      </c>
      <c r="L1981" t="inlineStr">
        <is>
          <t>Respiratory</t>
        </is>
      </c>
      <c r="M1981" t="inlineStr">
        <is>
          <t>State Medicaid</t>
        </is>
      </c>
      <c r="N1981" t="inlineStr">
        <is>
          <t>Government</t>
        </is>
      </c>
      <c r="O1981" s="39" t="n">
        <v>9009.59</v>
      </c>
      <c r="P1981" t="inlineStr">
        <is>
          <t>N</t>
        </is>
      </c>
    </row>
    <row r="1982">
      <c r="A1982" t="inlineStr">
        <is>
          <t>ENC121730</t>
        </is>
      </c>
      <c r="B1982" t="inlineStr">
        <is>
          <t>PT11256</t>
        </is>
      </c>
      <c r="C1982" s="42" t="n">
        <v>46018</v>
      </c>
      <c r="D1982" s="42" t="n">
        <v>46018</v>
      </c>
      <c r="E1982" s="38" t="n">
        <v>0</v>
      </c>
      <c r="F1982" t="inlineStr">
        <is>
          <t>Emergency</t>
        </is>
      </c>
      <c r="G1982" t="inlineStr">
        <is>
          <t>Bluestone Memorial Hospital</t>
        </is>
      </c>
      <c r="H1982" t="inlineStr">
        <is>
          <t>Emergency Department</t>
        </is>
      </c>
      <c r="I1982" t="inlineStr">
        <is>
          <t>Emergency</t>
        </is>
      </c>
      <c r="J1982" t="inlineStr">
        <is>
          <t>Foster, Patrick</t>
        </is>
      </c>
      <c r="K1982" t="inlineStr">
        <is>
          <t>R10.9</t>
        </is>
      </c>
      <c r="L1982" t="inlineStr">
        <is>
          <t>Symptoms &amp; Signs</t>
        </is>
      </c>
      <c r="M1982" t="inlineStr">
        <is>
          <t>Keystone Health Partners</t>
        </is>
      </c>
      <c r="N1982" t="inlineStr">
        <is>
          <t>Commercial</t>
        </is>
      </c>
      <c r="O1982" s="39" t="n">
        <v>3685.83</v>
      </c>
    </row>
    <row r="1983">
      <c r="A1983" t="inlineStr">
        <is>
          <t>ENC121731</t>
        </is>
      </c>
      <c r="B1983" t="inlineStr">
        <is>
          <t>PT10816</t>
        </is>
      </c>
      <c r="C1983" s="42" t="n">
        <v>46018</v>
      </c>
      <c r="D1983" s="42" t="n">
        <v>46018</v>
      </c>
      <c r="E1983" s="38" t="n">
        <v>0</v>
      </c>
      <c r="F1983" t="inlineStr">
        <is>
          <t>Emergency</t>
        </is>
      </c>
      <c r="G1983" t="inlineStr">
        <is>
          <t>Bluestone Memorial Hospital</t>
        </is>
      </c>
      <c r="H1983" t="inlineStr">
        <is>
          <t>Emergency Department</t>
        </is>
      </c>
      <c r="I1983" t="inlineStr">
        <is>
          <t>Emergency</t>
        </is>
      </c>
      <c r="J1983" t="inlineStr">
        <is>
          <t>Ferguson, Roy</t>
        </is>
      </c>
      <c r="K1983" t="inlineStr">
        <is>
          <t>H66.90</t>
        </is>
      </c>
      <c r="L1983" t="inlineStr">
        <is>
          <t>Ear</t>
        </is>
      </c>
      <c r="M1983" t="inlineStr">
        <is>
          <t>Summit Choice PPO</t>
        </is>
      </c>
      <c r="N1983" t="inlineStr">
        <is>
          <t>Commercial</t>
        </is>
      </c>
      <c r="O1983" s="39" t="n">
        <v>573.41</v>
      </c>
    </row>
    <row r="1984">
      <c r="A1984" t="inlineStr">
        <is>
          <t>ENC121733</t>
        </is>
      </c>
      <c r="B1984" t="inlineStr">
        <is>
          <t>PT10487</t>
        </is>
      </c>
      <c r="C1984" s="42" t="n">
        <v>46018</v>
      </c>
      <c r="D1984" s="42" t="n">
        <v>46018</v>
      </c>
      <c r="E1984" s="38" t="n">
        <v>0</v>
      </c>
      <c r="F1984" t="inlineStr">
        <is>
          <t>Emergency</t>
        </is>
      </c>
      <c r="G1984" t="inlineStr">
        <is>
          <t>Bluestone Memorial Hospital</t>
        </is>
      </c>
      <c r="H1984" t="inlineStr">
        <is>
          <t>Emergency Department</t>
        </is>
      </c>
      <c r="I1984" t="inlineStr">
        <is>
          <t>Emergency</t>
        </is>
      </c>
      <c r="J1984" t="inlineStr">
        <is>
          <t>Mendoza, Alexander</t>
        </is>
      </c>
      <c r="K1984" t="inlineStr">
        <is>
          <t>R10.9</t>
        </is>
      </c>
      <c r="L1984" t="inlineStr">
        <is>
          <t>Symptoms &amp; Signs</t>
        </is>
      </c>
      <c r="M1984" t="inlineStr">
        <is>
          <t>Summit Choice PPO</t>
        </is>
      </c>
      <c r="N1984" t="inlineStr">
        <is>
          <t>Commercial</t>
        </is>
      </c>
      <c r="O1984" s="39" t="n">
        <v>1179</v>
      </c>
    </row>
    <row r="1985">
      <c r="A1985" t="inlineStr">
        <is>
          <t>ENC121739</t>
        </is>
      </c>
      <c r="B1985" t="inlineStr">
        <is>
          <t>PT10399</t>
        </is>
      </c>
      <c r="C1985" s="42" t="n">
        <v>46019</v>
      </c>
      <c r="D1985" s="42" t="n">
        <v>46022</v>
      </c>
      <c r="E1985" s="38" t="n">
        <v>3</v>
      </c>
      <c r="F1985" t="inlineStr">
        <is>
          <t>Inpatient</t>
        </is>
      </c>
      <c r="G1985" t="inlineStr">
        <is>
          <t>Bluestone Memorial Hospital</t>
        </is>
      </c>
      <c r="H1985" t="inlineStr">
        <is>
          <t>Oncology</t>
        </is>
      </c>
      <c r="I1985" t="inlineStr">
        <is>
          <t>Oncology</t>
        </is>
      </c>
      <c r="J1985" t="inlineStr">
        <is>
          <t>Gray, Fatima</t>
        </is>
      </c>
      <c r="K1985" t="inlineStr">
        <is>
          <t>D70.1</t>
        </is>
      </c>
      <c r="L1985" t="inlineStr">
        <is>
          <t>Blood</t>
        </is>
      </c>
      <c r="M1985" t="inlineStr">
        <is>
          <t>Evergreen Mutual Insurance</t>
        </is>
      </c>
      <c r="N1985" t="inlineStr">
        <is>
          <t>Commercial</t>
        </is>
      </c>
      <c r="O1985" s="39" t="n">
        <v>22566.78</v>
      </c>
      <c r="P1985" t="inlineStr">
        <is>
          <t>N</t>
        </is>
      </c>
    </row>
    <row r="1986">
      <c r="A1986" t="inlineStr">
        <is>
          <t>ENC121745</t>
        </is>
      </c>
      <c r="B1986" t="inlineStr">
        <is>
          <t>PT10422</t>
        </is>
      </c>
      <c r="C1986" s="42" t="n">
        <v>46019</v>
      </c>
      <c r="D1986" s="42" t="n">
        <v>46019</v>
      </c>
      <c r="E1986" s="38" t="n">
        <v>0</v>
      </c>
      <c r="F1986" t="inlineStr">
        <is>
          <t>Emergency</t>
        </is>
      </c>
      <c r="G1986" t="inlineStr">
        <is>
          <t>Cedar Ridge Medical Center</t>
        </is>
      </c>
      <c r="H1986" t="inlineStr">
        <is>
          <t>Emergency Department</t>
        </is>
      </c>
      <c r="I1986" t="inlineStr">
        <is>
          <t>Emergency</t>
        </is>
      </c>
      <c r="J1986" t="inlineStr">
        <is>
          <t>Munoz, Linda</t>
        </is>
      </c>
      <c r="K1986" t="inlineStr">
        <is>
          <t>I10</t>
        </is>
      </c>
      <c r="L1986" t="inlineStr">
        <is>
          <t>Circulatory</t>
        </is>
      </c>
      <c r="M1986" t="inlineStr">
        <is>
          <t>Medicare</t>
        </is>
      </c>
      <c r="N1986" t="inlineStr">
        <is>
          <t>Government</t>
        </is>
      </c>
      <c r="O1986" s="39" t="n">
        <v>1526.47</v>
      </c>
    </row>
    <row r="1987">
      <c r="A1987" t="inlineStr">
        <is>
          <t>ENC121746</t>
        </is>
      </c>
      <c r="B1987" t="inlineStr">
        <is>
          <t>PT12115</t>
        </is>
      </c>
      <c r="C1987" s="42" t="n">
        <v>46019</v>
      </c>
      <c r="D1987" s="42" t="n">
        <v>46019</v>
      </c>
      <c r="E1987" s="38" t="n">
        <v>0</v>
      </c>
      <c r="F1987" t="inlineStr">
        <is>
          <t>Emergency</t>
        </is>
      </c>
      <c r="G1987" t="inlineStr">
        <is>
          <t>Bluestone Memorial Hospital</t>
        </is>
      </c>
      <c r="H1987" t="inlineStr">
        <is>
          <t>Emergency Department</t>
        </is>
      </c>
      <c r="I1987" t="inlineStr">
        <is>
          <t>Emergency</t>
        </is>
      </c>
      <c r="J1987" t="inlineStr">
        <is>
          <t>Gonzales, Mia</t>
        </is>
      </c>
      <c r="K1987" t="inlineStr">
        <is>
          <t>E86.0</t>
        </is>
      </c>
      <c r="L1987" t="inlineStr">
        <is>
          <t>Endocrine</t>
        </is>
      </c>
      <c r="M1987" t="inlineStr">
        <is>
          <t>Keystone Health Partners</t>
        </is>
      </c>
      <c r="N1987" t="inlineStr">
        <is>
          <t>Commercial</t>
        </is>
      </c>
      <c r="O1987" s="39" t="n">
        <v>4041.99</v>
      </c>
    </row>
    <row r="1988">
      <c r="A1988" t="inlineStr">
        <is>
          <t>ENC121752</t>
        </is>
      </c>
      <c r="B1988" t="inlineStr">
        <is>
          <t>PT10608</t>
        </is>
      </c>
      <c r="C1988" s="42" t="n">
        <v>46019</v>
      </c>
      <c r="D1988" s="42" t="n">
        <v>46019</v>
      </c>
      <c r="E1988" s="38" t="n">
        <v>0</v>
      </c>
      <c r="F1988" t="inlineStr">
        <is>
          <t>Emergency</t>
        </is>
      </c>
      <c r="G1988" t="inlineStr">
        <is>
          <t>Bluestone Memorial Hospital</t>
        </is>
      </c>
      <c r="H1988" t="inlineStr">
        <is>
          <t>Emergency Department</t>
        </is>
      </c>
      <c r="I1988" t="inlineStr">
        <is>
          <t>Emergency</t>
        </is>
      </c>
      <c r="J1988" t="inlineStr">
        <is>
          <t>Morris, Jordan</t>
        </is>
      </c>
      <c r="K1988" t="inlineStr">
        <is>
          <t>M54.50</t>
        </is>
      </c>
      <c r="L1988" t="inlineStr">
        <is>
          <t>Musculoskeletal</t>
        </is>
      </c>
      <c r="M1988" t="inlineStr">
        <is>
          <t>Silverline Medicare Advantage</t>
        </is>
      </c>
      <c r="N1988" t="inlineStr">
        <is>
          <t>Medicare Advantage</t>
        </is>
      </c>
      <c r="O1988" s="39" t="n">
        <v>666.85</v>
      </c>
    </row>
    <row r="1989">
      <c r="A1989" t="inlineStr">
        <is>
          <t>ENC121761</t>
        </is>
      </c>
      <c r="B1989" t="inlineStr">
        <is>
          <t>PT11233</t>
        </is>
      </c>
      <c r="C1989" s="42" t="n">
        <v>46020</v>
      </c>
      <c r="D1989" s="42" t="n">
        <v>46020</v>
      </c>
      <c r="E1989" s="38" t="n">
        <v>0</v>
      </c>
      <c r="F1989" t="inlineStr">
        <is>
          <t>Outpatient</t>
        </is>
      </c>
      <c r="G1989" t="inlineStr">
        <is>
          <t>Bluestone Outpatient Pavilion</t>
        </is>
      </c>
      <c r="H1989" t="inlineStr">
        <is>
          <t>Endocrinology &amp; Diabetes Clinic</t>
        </is>
      </c>
      <c r="I1989" t="inlineStr">
        <is>
          <t>Ambulatory</t>
        </is>
      </c>
      <c r="J1989" t="inlineStr">
        <is>
          <t>Lee, Amber</t>
        </is>
      </c>
      <c r="K1989" t="inlineStr">
        <is>
          <t>E11.9</t>
        </is>
      </c>
      <c r="L1989" t="inlineStr">
        <is>
          <t>Endocrine</t>
        </is>
      </c>
      <c r="M1989" t="inlineStr">
        <is>
          <t>Keystone Health Partners</t>
        </is>
      </c>
      <c r="N1989" t="inlineStr">
        <is>
          <t>Commercial</t>
        </is>
      </c>
      <c r="O1989" s="39" t="n">
        <v>283.88</v>
      </c>
    </row>
    <row r="1990">
      <c r="A1990" t="inlineStr">
        <is>
          <t>ENC121779</t>
        </is>
      </c>
      <c r="B1990" t="inlineStr">
        <is>
          <t>PT11175</t>
        </is>
      </c>
      <c r="C1990" s="42" t="n">
        <v>46020</v>
      </c>
      <c r="D1990" s="42" t="n">
        <v>46020</v>
      </c>
      <c r="E1990" s="38" t="n">
        <v>0</v>
      </c>
      <c r="F1990" t="inlineStr">
        <is>
          <t>Outpatient</t>
        </is>
      </c>
      <c r="G1990" t="inlineStr">
        <is>
          <t>Bluestone Outpatient Pavilion</t>
        </is>
      </c>
      <c r="H1990" t="inlineStr">
        <is>
          <t>Primary Care Clinic</t>
        </is>
      </c>
      <c r="I1990" t="inlineStr">
        <is>
          <t>Ambulatory</t>
        </is>
      </c>
      <c r="J1990" t="inlineStr">
        <is>
          <t>Black, Nancy</t>
        </is>
      </c>
      <c r="K1990" t="inlineStr">
        <is>
          <t>Z23</t>
        </is>
      </c>
      <c r="L1990" t="inlineStr">
        <is>
          <t>Factors Influencing Health</t>
        </is>
      </c>
      <c r="M1990" t="inlineStr">
        <is>
          <t>Evergreen Mutual Insurance</t>
        </is>
      </c>
      <c r="N1990" t="inlineStr">
        <is>
          <t>Commercial</t>
        </is>
      </c>
      <c r="O1990" s="39" t="n">
        <v>134.44</v>
      </c>
    </row>
    <row r="1991">
      <c r="A1991" t="inlineStr">
        <is>
          <t>ENC121781</t>
        </is>
      </c>
      <c r="B1991" t="inlineStr">
        <is>
          <t>PT13319</t>
        </is>
      </c>
      <c r="C1991" s="42" t="n">
        <v>46020</v>
      </c>
      <c r="D1991" s="42" t="n">
        <v>46020</v>
      </c>
      <c r="E1991" s="38" t="n">
        <v>0</v>
      </c>
      <c r="F1991" t="inlineStr">
        <is>
          <t>Emergency</t>
        </is>
      </c>
      <c r="G1991" t="inlineStr">
        <is>
          <t>Bluestone Memorial Hospital</t>
        </is>
      </c>
      <c r="H1991" t="inlineStr">
        <is>
          <t>Emergency Department</t>
        </is>
      </c>
      <c r="I1991" t="inlineStr">
        <is>
          <t>Emergency</t>
        </is>
      </c>
      <c r="J1991" t="inlineStr">
        <is>
          <t>Kowalski, James</t>
        </is>
      </c>
      <c r="K1991" t="inlineStr">
        <is>
          <t>J21.9</t>
        </is>
      </c>
      <c r="L1991" t="inlineStr">
        <is>
          <t>Respiratory</t>
        </is>
      </c>
      <c r="M1991" t="inlineStr">
        <is>
          <t>Keystone Health Partners</t>
        </is>
      </c>
      <c r="N1991" t="inlineStr">
        <is>
          <t>Commercial</t>
        </is>
      </c>
      <c r="O1991" s="39" t="n">
        <v>6146.12</v>
      </c>
    </row>
    <row r="1992">
      <c r="A1992" t="inlineStr">
        <is>
          <t>ENC121784</t>
        </is>
      </c>
      <c r="B1992" t="inlineStr">
        <is>
          <t>PT12166</t>
        </is>
      </c>
      <c r="C1992" s="42" t="n">
        <v>46020</v>
      </c>
      <c r="D1992" s="42" t="n">
        <v>46020</v>
      </c>
      <c r="E1992" s="38" t="n">
        <v>0</v>
      </c>
      <c r="F1992" t="inlineStr">
        <is>
          <t>Emergency</t>
        </is>
      </c>
      <c r="G1992" t="inlineStr">
        <is>
          <t>Cedar Ridge Medical Center</t>
        </is>
      </c>
      <c r="H1992" t="inlineStr">
        <is>
          <t>Emergency Department</t>
        </is>
      </c>
      <c r="I1992" t="inlineStr">
        <is>
          <t>Emergency</t>
        </is>
      </c>
      <c r="J1992" t="inlineStr">
        <is>
          <t>Schmidt, Anna</t>
        </is>
      </c>
      <c r="K1992" t="inlineStr">
        <is>
          <t>G43.909</t>
        </is>
      </c>
      <c r="L1992" t="inlineStr">
        <is>
          <t>Nervous System</t>
        </is>
      </c>
      <c r="M1992" t="inlineStr">
        <is>
          <t>Medicare</t>
        </is>
      </c>
      <c r="N1992" t="inlineStr">
        <is>
          <t>Government</t>
        </is>
      </c>
      <c r="O1992" s="39" t="n">
        <v>1147.32</v>
      </c>
    </row>
    <row r="1993">
      <c r="A1993" t="inlineStr">
        <is>
          <t>ENC121791</t>
        </is>
      </c>
      <c r="B1993" t="inlineStr">
        <is>
          <t>PT12582</t>
        </is>
      </c>
      <c r="C1993" s="42" t="n">
        <v>46020</v>
      </c>
      <c r="D1993" s="42" t="n">
        <v>46020</v>
      </c>
      <c r="E1993" s="38" t="n">
        <v>0</v>
      </c>
      <c r="F1993" t="inlineStr">
        <is>
          <t>Emergency</t>
        </is>
      </c>
      <c r="G1993" t="inlineStr">
        <is>
          <t>Bluestone Memorial Hospital</t>
        </is>
      </c>
      <c r="H1993" t="inlineStr">
        <is>
          <t>Emergency Department</t>
        </is>
      </c>
      <c r="I1993" t="inlineStr">
        <is>
          <t>Emergency</t>
        </is>
      </c>
      <c r="J1993" t="inlineStr">
        <is>
          <t>Olson, Christian</t>
        </is>
      </c>
      <c r="K1993" t="inlineStr">
        <is>
          <t>G40.909</t>
        </is>
      </c>
      <c r="L1993" t="inlineStr">
        <is>
          <t>Nervous System</t>
        </is>
      </c>
      <c r="M1993" t="inlineStr">
        <is>
          <t>State Medicaid</t>
        </is>
      </c>
      <c r="N1993" t="inlineStr">
        <is>
          <t>Government</t>
        </is>
      </c>
      <c r="O1993" s="39" t="n">
        <v>3029.74</v>
      </c>
    </row>
    <row r="1994">
      <c r="A1994" t="inlineStr">
        <is>
          <t>ENC121794</t>
        </is>
      </c>
      <c r="B1994" t="inlineStr">
        <is>
          <t>PT10117</t>
        </is>
      </c>
      <c r="C1994" s="42" t="n">
        <v>46020</v>
      </c>
      <c r="D1994" s="42" t="n">
        <v>46021</v>
      </c>
      <c r="E1994" s="38" t="n">
        <v>1</v>
      </c>
      <c r="F1994" t="inlineStr">
        <is>
          <t>Emergency</t>
        </is>
      </c>
      <c r="G1994" t="inlineStr">
        <is>
          <t>Bluestone Memorial Hospital</t>
        </is>
      </c>
      <c r="H1994" t="inlineStr">
        <is>
          <t>Emergency Department</t>
        </is>
      </c>
      <c r="I1994" t="inlineStr">
        <is>
          <t>Emergency</t>
        </is>
      </c>
      <c r="J1994" t="inlineStr">
        <is>
          <t>Elliott, Jesse</t>
        </is>
      </c>
      <c r="K1994" t="inlineStr">
        <is>
          <t>J21.9</t>
        </is>
      </c>
      <c r="L1994" t="inlineStr">
        <is>
          <t>Respiratory</t>
        </is>
      </c>
      <c r="M1994" t="inlineStr">
        <is>
          <t>Keystone Health Partners</t>
        </is>
      </c>
      <c r="N1994" t="inlineStr">
        <is>
          <t>Commercial</t>
        </is>
      </c>
      <c r="O1994" s="39" t="n">
        <v>5986.18</v>
      </c>
    </row>
    <row r="1995">
      <c r="A1995" t="inlineStr">
        <is>
          <t>ENC121798</t>
        </is>
      </c>
      <c r="B1995" t="inlineStr">
        <is>
          <t>PT12203</t>
        </is>
      </c>
      <c r="C1995" s="42" t="n">
        <v>46021</v>
      </c>
      <c r="D1995" s="42" t="n">
        <v>46021</v>
      </c>
      <c r="E1995" s="38" t="n">
        <v>0</v>
      </c>
      <c r="F1995" t="inlineStr">
        <is>
          <t>Outpatient</t>
        </is>
      </c>
      <c r="G1995" t="inlineStr">
        <is>
          <t>Bluestone Outpatient Pavilion</t>
        </is>
      </c>
      <c r="H1995" t="inlineStr">
        <is>
          <t>Infusion &amp; Oncology Clinic</t>
        </is>
      </c>
      <c r="I1995" t="inlineStr">
        <is>
          <t>Oncology</t>
        </is>
      </c>
      <c r="J1995" t="inlineStr">
        <is>
          <t>Hicks, Zachary</t>
        </is>
      </c>
      <c r="K1995" t="inlineStr">
        <is>
          <t>Z51.11</t>
        </is>
      </c>
      <c r="L1995" t="inlineStr">
        <is>
          <t>Factors Influencing Health</t>
        </is>
      </c>
      <c r="M1995" t="inlineStr">
        <is>
          <t>Silverline Medicare Advantage</t>
        </is>
      </c>
      <c r="N1995" t="inlineStr">
        <is>
          <t>Medicare Advantage</t>
        </is>
      </c>
      <c r="O1995" s="39" t="n">
        <v>7276.91</v>
      </c>
    </row>
    <row r="1996">
      <c r="A1996" t="inlineStr">
        <is>
          <t>ENC121799</t>
        </is>
      </c>
      <c r="B1996" t="inlineStr">
        <is>
          <t>PT10059</t>
        </is>
      </c>
      <c r="C1996" s="42" t="n">
        <v>46021</v>
      </c>
      <c r="D1996" s="42" t="n">
        <v>46021</v>
      </c>
      <c r="E1996" s="38" t="n">
        <v>0</v>
      </c>
      <c r="F1996" t="inlineStr">
        <is>
          <t>Emergency</t>
        </is>
      </c>
      <c r="G1996" t="inlineStr">
        <is>
          <t>Bluestone Memorial Hospital</t>
        </is>
      </c>
      <c r="H1996" t="inlineStr">
        <is>
          <t>Emergency Department</t>
        </is>
      </c>
      <c r="I1996" t="inlineStr">
        <is>
          <t>Emergency</t>
        </is>
      </c>
      <c r="J1996" t="inlineStr">
        <is>
          <t>Olson, Christian</t>
        </is>
      </c>
      <c r="K1996" t="inlineStr">
        <is>
          <t>G43.909</t>
        </is>
      </c>
      <c r="L1996" t="inlineStr">
        <is>
          <t>Nervous System</t>
        </is>
      </c>
      <c r="M1996" t="inlineStr">
        <is>
          <t>Evergreen Mutual Insurance</t>
        </is>
      </c>
      <c r="N1996" t="inlineStr">
        <is>
          <t>Commercial</t>
        </is>
      </c>
      <c r="O1996" s="39" t="n">
        <v>2740.96</v>
      </c>
    </row>
    <row r="1997">
      <c r="A1997" t="inlineStr">
        <is>
          <t>ENC121807</t>
        </is>
      </c>
      <c r="B1997" t="inlineStr">
        <is>
          <t>PT13978</t>
        </is>
      </c>
      <c r="C1997" s="42" t="n">
        <v>46021</v>
      </c>
      <c r="D1997" s="42" t="n">
        <v>46021</v>
      </c>
      <c r="E1997" s="38" t="n">
        <v>0</v>
      </c>
      <c r="F1997" t="inlineStr">
        <is>
          <t>Outpatient</t>
        </is>
      </c>
      <c r="G1997" t="inlineStr">
        <is>
          <t>Bluestone Outpatient Pavilion</t>
        </is>
      </c>
      <c r="H1997" t="inlineStr">
        <is>
          <t>Primary Care Clinic</t>
        </is>
      </c>
      <c r="I1997" t="inlineStr">
        <is>
          <t>Ambulatory</t>
        </is>
      </c>
      <c r="J1997" t="inlineStr">
        <is>
          <t>Sullivan, Brenda</t>
        </is>
      </c>
      <c r="K1997" t="inlineStr">
        <is>
          <t>G43.909</t>
        </is>
      </c>
      <c r="L1997" t="inlineStr">
        <is>
          <t>Nervous System</t>
        </is>
      </c>
      <c r="M1997" t="inlineStr">
        <is>
          <t>State Medicaid</t>
        </is>
      </c>
      <c r="N1997" t="inlineStr">
        <is>
          <t>Government</t>
        </is>
      </c>
      <c r="O1997" s="39" t="n">
        <v>559.48</v>
      </c>
    </row>
    <row r="1998">
      <c r="A1998" t="inlineStr">
        <is>
          <t>ENC121811</t>
        </is>
      </c>
      <c r="B1998" t="inlineStr">
        <is>
          <t>PT11894</t>
        </is>
      </c>
      <c r="C1998" s="42" t="n">
        <v>46021</v>
      </c>
      <c r="D1998" s="42" t="n">
        <v>46021</v>
      </c>
      <c r="E1998" s="38" t="n">
        <v>0</v>
      </c>
      <c r="F1998" t="inlineStr">
        <is>
          <t>Outpatient</t>
        </is>
      </c>
      <c r="G1998" t="inlineStr">
        <is>
          <t>Bluestone Outpatient Pavilion</t>
        </is>
      </c>
      <c r="H1998" t="inlineStr">
        <is>
          <t>Pediatric Clinic</t>
        </is>
      </c>
      <c r="I1998" t="inlineStr">
        <is>
          <t>Women &amp; Children</t>
        </is>
      </c>
      <c r="J1998" t="inlineStr">
        <is>
          <t>Wallace, Kevin</t>
        </is>
      </c>
      <c r="K1998" t="inlineStr">
        <is>
          <t>H66.90</t>
        </is>
      </c>
      <c r="L1998" t="inlineStr">
        <is>
          <t>Ear</t>
        </is>
      </c>
      <c r="M1998" t="inlineStr">
        <is>
          <t>Evergreen Mutual Insurance</t>
        </is>
      </c>
      <c r="N1998" t="inlineStr">
        <is>
          <t>Commercial</t>
        </is>
      </c>
      <c r="O1998" s="39" t="n">
        <v>224.1</v>
      </c>
    </row>
    <row r="1999">
      <c r="A1999" t="inlineStr">
        <is>
          <t>ENC121835</t>
        </is>
      </c>
      <c r="B1999" t="inlineStr">
        <is>
          <t>PT12888</t>
        </is>
      </c>
      <c r="C1999" s="42" t="n">
        <v>46022</v>
      </c>
      <c r="D1999" s="42" t="n">
        <v>46022</v>
      </c>
      <c r="E1999" s="38" t="n">
        <v>0</v>
      </c>
      <c r="F1999" t="inlineStr">
        <is>
          <t>Emergency</t>
        </is>
      </c>
      <c r="G1999" t="inlineStr">
        <is>
          <t>Bluestone Memorial Hospital</t>
        </is>
      </c>
      <c r="H1999" t="inlineStr">
        <is>
          <t>Emergency Department</t>
        </is>
      </c>
      <c r="I1999" t="inlineStr">
        <is>
          <t>Emergency</t>
        </is>
      </c>
      <c r="J1999" t="inlineStr">
        <is>
          <t>Morris, Jordan</t>
        </is>
      </c>
      <c r="K1999" t="inlineStr">
        <is>
          <t>I10</t>
        </is>
      </c>
      <c r="L1999" t="inlineStr">
        <is>
          <t>Circulatory</t>
        </is>
      </c>
      <c r="M1999" t="inlineStr">
        <is>
          <t>Evergreen Mutual Insurance</t>
        </is>
      </c>
      <c r="N1999" t="inlineStr">
        <is>
          <t>Commercial</t>
        </is>
      </c>
      <c r="O1999" s="39" t="n">
        <v>4974.22</v>
      </c>
    </row>
    <row r="2000">
      <c r="A2000" t="inlineStr">
        <is>
          <t>ENC121839</t>
        </is>
      </c>
      <c r="B2000" t="inlineStr">
        <is>
          <t>PT13893</t>
        </is>
      </c>
      <c r="C2000" s="42" t="n">
        <v>46022</v>
      </c>
      <c r="D2000" s="42" t="n">
        <v>46022</v>
      </c>
      <c r="E2000" s="38" t="n">
        <v>0</v>
      </c>
      <c r="F2000" t="inlineStr">
        <is>
          <t>Emergency</t>
        </is>
      </c>
      <c r="G2000" t="inlineStr">
        <is>
          <t>Bluestone Memorial Hospital</t>
        </is>
      </c>
      <c r="H2000" t="inlineStr">
        <is>
          <t>Emergency Department</t>
        </is>
      </c>
      <c r="I2000" t="inlineStr">
        <is>
          <t>Emergency</t>
        </is>
      </c>
      <c r="J2000" t="inlineStr">
        <is>
          <t>Olson, Christian</t>
        </is>
      </c>
      <c r="K2000" t="inlineStr">
        <is>
          <t>J44.1</t>
        </is>
      </c>
      <c r="L2000" t="inlineStr">
        <is>
          <t>Respiratory</t>
        </is>
      </c>
      <c r="M2000" t="inlineStr">
        <is>
          <t>Silverline Medicare Advantage</t>
        </is>
      </c>
      <c r="N2000" t="inlineStr">
        <is>
          <t>Medicare Advantage</t>
        </is>
      </c>
      <c r="O2000" s="39" t="n">
        <v>6362.75</v>
      </c>
    </row>
    <row r="2001">
      <c r="A2001" t="inlineStr">
        <is>
          <t>ENC121854</t>
        </is>
      </c>
      <c r="B2001" t="inlineStr">
        <is>
          <t>PT10809</t>
        </is>
      </c>
      <c r="C2001" s="42" t="n">
        <v>46022</v>
      </c>
      <c r="D2001" s="42" t="n">
        <v>46022</v>
      </c>
      <c r="E2001" s="38" t="n">
        <v>0</v>
      </c>
      <c r="F2001" t="inlineStr">
        <is>
          <t>Emergency</t>
        </is>
      </c>
      <c r="G2001" t="inlineStr">
        <is>
          <t>Bluestone Memorial Hospital</t>
        </is>
      </c>
      <c r="H2001" t="inlineStr">
        <is>
          <t>Emergency Department</t>
        </is>
      </c>
      <c r="I2001" t="inlineStr">
        <is>
          <t>Emergency</t>
        </is>
      </c>
      <c r="J2001" t="inlineStr">
        <is>
          <t>Mendoza, Alexander</t>
        </is>
      </c>
      <c r="K2001" t="inlineStr">
        <is>
          <t>R10.9</t>
        </is>
      </c>
      <c r="L2001" t="inlineStr">
        <is>
          <t>Symptoms &amp; Signs</t>
        </is>
      </c>
      <c r="M2001" t="inlineStr">
        <is>
          <t>State Medicaid</t>
        </is>
      </c>
      <c r="N2001" t="inlineStr">
        <is>
          <t>Government</t>
        </is>
      </c>
      <c r="O2001" s="39" t="n">
        <v>4143.83</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48"/>
  <sheetViews>
    <sheetView tabSelected="0"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26" customWidth="1" min="4" max="4"/>
    <col width="30" customWidth="1" min="5" max="5"/>
    <col width="30" customWidth="1" min="6" max="6"/>
    <col width="12" customWidth="1" min="7" max="7"/>
    <col width="9" customWidth="1" min="8" max="8"/>
  </cols>
  <sheetData>
    <row r="1">
      <c r="A1" s="33" t="inlineStr">
        <is>
          <t>ProviderID</t>
        </is>
      </c>
      <c r="B1" s="33" t="inlineStr">
        <is>
          <t>Provider</t>
        </is>
      </c>
      <c r="C1" s="33" t="inlineStr">
        <is>
          <t>Credential</t>
        </is>
      </c>
      <c r="D1" s="33" t="inlineStr">
        <is>
          <t>Specialty</t>
        </is>
      </c>
      <c r="E1" s="33" t="inlineStr">
        <is>
          <t>Facility</t>
        </is>
      </c>
      <c r="F1" s="33" t="inlineStr">
        <is>
          <t>Department</t>
        </is>
      </c>
      <c r="G1" s="33" t="inlineStr">
        <is>
          <t>HireDate</t>
        </is>
      </c>
      <c r="H1" s="33" t="inlineStr">
        <is>
          <t>FTE</t>
        </is>
      </c>
    </row>
    <row r="2">
      <c r="A2" t="inlineStr">
        <is>
          <t>PRV1001</t>
        </is>
      </c>
      <c r="B2" t="inlineStr">
        <is>
          <t>Ferguson, Roy</t>
        </is>
      </c>
      <c r="C2" t="inlineStr">
        <is>
          <t>MD</t>
        </is>
      </c>
      <c r="D2" t="inlineStr">
        <is>
          <t>Emergency Medicine</t>
        </is>
      </c>
      <c r="E2" t="inlineStr">
        <is>
          <t>Bluestone Memorial Hospital</t>
        </is>
      </c>
      <c r="F2" t="inlineStr">
        <is>
          <t>Emergency Department</t>
        </is>
      </c>
      <c r="G2" s="42" t="n">
        <v>40803</v>
      </c>
      <c r="H2" s="43" t="n">
        <v>1</v>
      </c>
    </row>
    <row r="3">
      <c r="A3" t="inlineStr">
        <is>
          <t>PRV1002</t>
        </is>
      </c>
      <c r="B3" t="inlineStr">
        <is>
          <t>Cruz, Mia</t>
        </is>
      </c>
      <c r="C3" t="inlineStr">
        <is>
          <t>MD</t>
        </is>
      </c>
      <c r="D3" t="inlineStr">
        <is>
          <t>Emergency Medicine</t>
        </is>
      </c>
      <c r="E3" t="inlineStr">
        <is>
          <t>Bluestone Memorial Hospital</t>
        </is>
      </c>
      <c r="F3" t="inlineStr">
        <is>
          <t>Emergency Department</t>
        </is>
      </c>
      <c r="G3" s="42" t="n">
        <v>39297</v>
      </c>
      <c r="H3" s="43" t="n">
        <v>0.9</v>
      </c>
    </row>
    <row r="4">
      <c r="A4" t="inlineStr">
        <is>
          <t>PRV1003</t>
        </is>
      </c>
      <c r="B4" t="inlineStr">
        <is>
          <t>Morris, Jordan</t>
        </is>
      </c>
      <c r="C4" t="inlineStr">
        <is>
          <t>MD</t>
        </is>
      </c>
      <c r="D4" t="inlineStr">
        <is>
          <t>Emergency Medicine</t>
        </is>
      </c>
      <c r="E4" t="inlineStr">
        <is>
          <t>Bluestone Memorial Hospital</t>
        </is>
      </c>
      <c r="F4" t="inlineStr">
        <is>
          <t>Emergency Department</t>
        </is>
      </c>
      <c r="G4" s="42" t="n">
        <v>38529</v>
      </c>
      <c r="H4" s="43" t="n">
        <v>1</v>
      </c>
    </row>
    <row r="5">
      <c r="A5" t="inlineStr">
        <is>
          <t>PRV1004</t>
        </is>
      </c>
      <c r="B5" t="inlineStr">
        <is>
          <t>Elliott, Jesse</t>
        </is>
      </c>
      <c r="C5" t="inlineStr">
        <is>
          <t>MD</t>
        </is>
      </c>
      <c r="D5" t="inlineStr">
        <is>
          <t>Emergency Medicine</t>
        </is>
      </c>
      <c r="E5" t="inlineStr">
        <is>
          <t>Bluestone Memorial Hospital</t>
        </is>
      </c>
      <c r="F5" t="inlineStr">
        <is>
          <t>Emergency Department</t>
        </is>
      </c>
      <c r="G5" s="42" t="n">
        <v>41165</v>
      </c>
      <c r="H5" s="43" t="n">
        <v>1</v>
      </c>
    </row>
    <row r="6">
      <c r="A6" t="inlineStr">
        <is>
          <t>PRV1005</t>
        </is>
      </c>
      <c r="B6" t="inlineStr">
        <is>
          <t>Olson, Christian</t>
        </is>
      </c>
      <c r="C6" t="inlineStr">
        <is>
          <t>DO</t>
        </is>
      </c>
      <c r="D6" t="inlineStr">
        <is>
          <t>Emergency Medicine</t>
        </is>
      </c>
      <c r="E6" t="inlineStr">
        <is>
          <t>Bluestone Memorial Hospital</t>
        </is>
      </c>
      <c r="F6" t="inlineStr">
        <is>
          <t>Emergency Department</t>
        </is>
      </c>
      <c r="G6" s="42" t="n">
        <v>39554</v>
      </c>
      <c r="H6" s="43" t="n">
        <v>1</v>
      </c>
    </row>
    <row r="7">
      <c r="A7" t="inlineStr">
        <is>
          <t>PRV1006</t>
        </is>
      </c>
      <c r="B7" t="inlineStr">
        <is>
          <t>Kowalski, James</t>
        </is>
      </c>
      <c r="C7" t="inlineStr">
        <is>
          <t>MD</t>
        </is>
      </c>
      <c r="D7" t="inlineStr">
        <is>
          <t>Emergency Medicine</t>
        </is>
      </c>
      <c r="E7" t="inlineStr">
        <is>
          <t>Bluestone Memorial Hospital</t>
        </is>
      </c>
      <c r="F7" t="inlineStr">
        <is>
          <t>Emergency Department</t>
        </is>
      </c>
      <c r="G7" s="42" t="n">
        <v>37283</v>
      </c>
      <c r="H7" s="43" t="n">
        <v>1</v>
      </c>
    </row>
    <row r="8">
      <c r="A8" t="inlineStr">
        <is>
          <t>PRV1007</t>
        </is>
      </c>
      <c r="B8" t="inlineStr">
        <is>
          <t>Mendoza, Alexander</t>
        </is>
      </c>
      <c r="C8" t="inlineStr">
        <is>
          <t>MD</t>
        </is>
      </c>
      <c r="D8" t="inlineStr">
        <is>
          <t>Emergency Medicine</t>
        </is>
      </c>
      <c r="E8" t="inlineStr">
        <is>
          <t>Bluestone Memorial Hospital</t>
        </is>
      </c>
      <c r="F8" t="inlineStr">
        <is>
          <t>Emergency Department</t>
        </is>
      </c>
      <c r="G8" s="42" t="n">
        <v>44233</v>
      </c>
      <c r="H8" s="43" t="n">
        <v>1</v>
      </c>
    </row>
    <row r="9">
      <c r="A9" t="inlineStr">
        <is>
          <t>PRV1008</t>
        </is>
      </c>
      <c r="B9" t="inlineStr">
        <is>
          <t>Sullivan, Jacob</t>
        </is>
      </c>
      <c r="C9" t="inlineStr">
        <is>
          <t>DO</t>
        </is>
      </c>
      <c r="D9" t="inlineStr">
        <is>
          <t>Emergency Medicine</t>
        </is>
      </c>
      <c r="E9" t="inlineStr">
        <is>
          <t>Bluestone Memorial Hospital</t>
        </is>
      </c>
      <c r="F9" t="inlineStr">
        <is>
          <t>Emergency Department</t>
        </is>
      </c>
      <c r="G9" s="42" t="n">
        <v>36898</v>
      </c>
      <c r="H9" s="43" t="n">
        <v>0.9</v>
      </c>
    </row>
    <row r="10">
      <c r="A10" t="inlineStr">
        <is>
          <t>PRV1009</t>
        </is>
      </c>
      <c r="B10" t="inlineStr">
        <is>
          <t>Foster, Patrick</t>
        </is>
      </c>
      <c r="C10" t="inlineStr">
        <is>
          <t>DO</t>
        </is>
      </c>
      <c r="D10" t="inlineStr">
        <is>
          <t>Emergency Medicine</t>
        </is>
      </c>
      <c r="E10" t="inlineStr">
        <is>
          <t>Bluestone Memorial Hospital</t>
        </is>
      </c>
      <c r="F10" t="inlineStr">
        <is>
          <t>Emergency Department</t>
        </is>
      </c>
      <c r="G10" s="42" t="n">
        <v>39506</v>
      </c>
      <c r="H10" s="43" t="n">
        <v>1</v>
      </c>
    </row>
    <row r="11">
      <c r="A11" t="inlineStr">
        <is>
          <t>PRV1010</t>
        </is>
      </c>
      <c r="B11" t="inlineStr">
        <is>
          <t>Payne, Nancy</t>
        </is>
      </c>
      <c r="C11" t="inlineStr">
        <is>
          <t>MD</t>
        </is>
      </c>
      <c r="D11" t="inlineStr">
        <is>
          <t>Emergency Medicine</t>
        </is>
      </c>
      <c r="E11" t="inlineStr">
        <is>
          <t>Bluestone Memorial Hospital</t>
        </is>
      </c>
      <c r="F11" t="inlineStr">
        <is>
          <t>Emergency Department</t>
        </is>
      </c>
      <c r="G11" s="42" t="n">
        <v>43123</v>
      </c>
      <c r="H11" s="43" t="n">
        <v>1</v>
      </c>
    </row>
    <row r="12">
      <c r="A12" t="inlineStr">
        <is>
          <t>PRV1011</t>
        </is>
      </c>
      <c r="B12" t="inlineStr">
        <is>
          <t>Gonzales, Mia</t>
        </is>
      </c>
      <c r="C12" t="inlineStr">
        <is>
          <t>PA</t>
        </is>
      </c>
      <c r="D12" t="inlineStr">
        <is>
          <t>Emergency Medicine</t>
        </is>
      </c>
      <c r="E12" t="inlineStr">
        <is>
          <t>Bluestone Memorial Hospital</t>
        </is>
      </c>
      <c r="F12" t="inlineStr">
        <is>
          <t>Emergency Department</t>
        </is>
      </c>
      <c r="G12" s="42" t="n">
        <v>40177</v>
      </c>
      <c r="H12" s="43" t="n">
        <v>1</v>
      </c>
    </row>
    <row r="13">
      <c r="A13" t="inlineStr">
        <is>
          <t>PRV1012</t>
        </is>
      </c>
      <c r="B13" t="inlineStr">
        <is>
          <t>Vasquez, Bruce</t>
        </is>
      </c>
      <c r="C13" t="inlineStr">
        <is>
          <t>NP</t>
        </is>
      </c>
      <c r="D13" t="inlineStr">
        <is>
          <t>Emergency Medicine</t>
        </is>
      </c>
      <c r="E13" t="inlineStr">
        <is>
          <t>Bluestone Memorial Hospital</t>
        </is>
      </c>
      <c r="F13" t="inlineStr">
        <is>
          <t>Emergency Department</t>
        </is>
      </c>
      <c r="G13" s="42" t="n">
        <v>45137</v>
      </c>
      <c r="H13" s="43" t="n">
        <v>0.5</v>
      </c>
    </row>
    <row r="14">
      <c r="A14" t="inlineStr">
        <is>
          <t>PRV1013</t>
        </is>
      </c>
      <c r="B14" t="inlineStr">
        <is>
          <t>Myers, Doris</t>
        </is>
      </c>
      <c r="C14" t="inlineStr">
        <is>
          <t>PA</t>
        </is>
      </c>
      <c r="D14" t="inlineStr">
        <is>
          <t>Emergency Medicine</t>
        </is>
      </c>
      <c r="E14" t="inlineStr">
        <is>
          <t>Bluestone Memorial Hospital</t>
        </is>
      </c>
      <c r="F14" t="inlineStr">
        <is>
          <t>Emergency Department</t>
        </is>
      </c>
      <c r="G14" s="42" t="n">
        <v>42976</v>
      </c>
      <c r="H14" s="43" t="n">
        <v>1</v>
      </c>
    </row>
    <row r="15">
      <c r="A15" t="inlineStr">
        <is>
          <t>PRV1014</t>
        </is>
      </c>
      <c r="B15" t="inlineStr">
        <is>
          <t>Jordan, Wayne</t>
        </is>
      </c>
      <c r="C15" t="inlineStr">
        <is>
          <t>PA</t>
        </is>
      </c>
      <c r="D15" t="inlineStr">
        <is>
          <t>Emergency Medicine</t>
        </is>
      </c>
      <c r="E15" t="inlineStr">
        <is>
          <t>Bluestone Memorial Hospital</t>
        </is>
      </c>
      <c r="F15" t="inlineStr">
        <is>
          <t>Emergency Department</t>
        </is>
      </c>
      <c r="G15" s="42" t="n">
        <v>37381</v>
      </c>
      <c r="H15" s="43" t="n">
        <v>1</v>
      </c>
    </row>
    <row r="16">
      <c r="A16" t="inlineStr">
        <is>
          <t>PRV1015</t>
        </is>
      </c>
      <c r="B16" t="inlineStr">
        <is>
          <t>Walker, Margaret</t>
        </is>
      </c>
      <c r="C16" t="inlineStr">
        <is>
          <t>MD</t>
        </is>
      </c>
      <c r="D16" t="inlineStr">
        <is>
          <t>Emergency Medicine</t>
        </is>
      </c>
      <c r="E16" t="inlineStr">
        <is>
          <t>Ashby Falls Community Hospital</t>
        </is>
      </c>
      <c r="F16" t="inlineStr">
        <is>
          <t>Emergency Department</t>
        </is>
      </c>
      <c r="G16" s="42" t="n">
        <v>36913</v>
      </c>
      <c r="H16" s="43" t="n">
        <v>1</v>
      </c>
    </row>
    <row r="17">
      <c r="A17" t="inlineStr">
        <is>
          <t>PRV1016</t>
        </is>
      </c>
      <c r="B17" t="inlineStr">
        <is>
          <t>Richardson, Mei</t>
        </is>
      </c>
      <c r="C17" t="inlineStr">
        <is>
          <t>MD</t>
        </is>
      </c>
      <c r="D17" t="inlineStr">
        <is>
          <t>Emergency Medicine</t>
        </is>
      </c>
      <c r="E17" t="inlineStr">
        <is>
          <t>Ashby Falls Community Hospital</t>
        </is>
      </c>
      <c r="F17" t="inlineStr">
        <is>
          <t>Emergency Department</t>
        </is>
      </c>
      <c r="G17" s="42" t="n">
        <v>39964</v>
      </c>
      <c r="H17" s="43" t="n">
        <v>0.8</v>
      </c>
    </row>
    <row r="18">
      <c r="A18" t="inlineStr">
        <is>
          <t>PRV1017</t>
        </is>
      </c>
      <c r="B18" t="inlineStr">
        <is>
          <t>Wright, Bruce</t>
        </is>
      </c>
      <c r="C18" t="inlineStr">
        <is>
          <t>MD</t>
        </is>
      </c>
      <c r="D18" t="inlineStr">
        <is>
          <t>Emergency Medicine</t>
        </is>
      </c>
      <c r="E18" t="inlineStr">
        <is>
          <t>Ashby Falls Community Hospital</t>
        </is>
      </c>
      <c r="F18" t="inlineStr">
        <is>
          <t>Emergency Department</t>
        </is>
      </c>
      <c r="G18" s="42" t="n">
        <v>39785</v>
      </c>
      <c r="H18" s="43" t="n">
        <v>1</v>
      </c>
    </row>
    <row r="19">
      <c r="A19" t="inlineStr">
        <is>
          <t>PRV1018</t>
        </is>
      </c>
      <c r="B19" t="inlineStr">
        <is>
          <t>Collins, Frank</t>
        </is>
      </c>
      <c r="C19" t="inlineStr">
        <is>
          <t>MD</t>
        </is>
      </c>
      <c r="D19" t="inlineStr">
        <is>
          <t>Emergency Medicine</t>
        </is>
      </c>
      <c r="E19" t="inlineStr">
        <is>
          <t>Ashby Falls Community Hospital</t>
        </is>
      </c>
      <c r="F19" t="inlineStr">
        <is>
          <t>Emergency Department</t>
        </is>
      </c>
      <c r="G19" s="42" t="n">
        <v>43146</v>
      </c>
      <c r="H19" s="43" t="n">
        <v>1</v>
      </c>
    </row>
    <row r="20">
      <c r="A20" t="inlineStr">
        <is>
          <t>PRV1019</t>
        </is>
      </c>
      <c r="B20" t="inlineStr">
        <is>
          <t>Marshall, Lisa</t>
        </is>
      </c>
      <c r="C20" t="inlineStr">
        <is>
          <t>DO</t>
        </is>
      </c>
      <c r="D20" t="inlineStr">
        <is>
          <t>Emergency Medicine</t>
        </is>
      </c>
      <c r="E20" t="inlineStr">
        <is>
          <t>Ashby Falls Community Hospital</t>
        </is>
      </c>
      <c r="F20" t="inlineStr">
        <is>
          <t>Emergency Department</t>
        </is>
      </c>
      <c r="G20" s="42" t="n">
        <v>37156</v>
      </c>
      <c r="H20" s="43" t="n">
        <v>1</v>
      </c>
    </row>
    <row r="21">
      <c r="A21" t="inlineStr">
        <is>
          <t>PRV1020</t>
        </is>
      </c>
      <c r="B21" t="inlineStr">
        <is>
          <t>Peters, Megan</t>
        </is>
      </c>
      <c r="C21" t="inlineStr">
        <is>
          <t>NP</t>
        </is>
      </c>
      <c r="D21" t="inlineStr">
        <is>
          <t>Emergency Medicine</t>
        </is>
      </c>
      <c r="E21" t="inlineStr">
        <is>
          <t>Ashby Falls Community Hospital</t>
        </is>
      </c>
      <c r="F21" t="inlineStr">
        <is>
          <t>Emergency Department</t>
        </is>
      </c>
      <c r="G21" s="42" t="n">
        <v>39702</v>
      </c>
      <c r="H21" s="43" t="n">
        <v>1</v>
      </c>
    </row>
    <row r="22">
      <c r="A22" t="inlineStr">
        <is>
          <t>PRV1021</t>
        </is>
      </c>
      <c r="B22" t="inlineStr">
        <is>
          <t>Henry, Brenda</t>
        </is>
      </c>
      <c r="C22" t="inlineStr">
        <is>
          <t>MD</t>
        </is>
      </c>
      <c r="D22" t="inlineStr">
        <is>
          <t>Emergency Medicine</t>
        </is>
      </c>
      <c r="E22" t="inlineStr">
        <is>
          <t>Cedar Ridge Medical Center</t>
        </is>
      </c>
      <c r="F22" t="inlineStr">
        <is>
          <t>Emergency Department</t>
        </is>
      </c>
      <c r="G22" s="42" t="n">
        <v>39653</v>
      </c>
      <c r="H22" s="43" t="n">
        <v>1</v>
      </c>
    </row>
    <row r="23">
      <c r="A23" t="inlineStr">
        <is>
          <t>PRV1022</t>
        </is>
      </c>
      <c r="B23" t="inlineStr">
        <is>
          <t>Schmidt, Anna</t>
        </is>
      </c>
      <c r="C23" t="inlineStr">
        <is>
          <t>MD</t>
        </is>
      </c>
      <c r="D23" t="inlineStr">
        <is>
          <t>Emergency Medicine</t>
        </is>
      </c>
      <c r="E23" t="inlineStr">
        <is>
          <t>Cedar Ridge Medical Center</t>
        </is>
      </c>
      <c r="F23" t="inlineStr">
        <is>
          <t>Emergency Department</t>
        </is>
      </c>
      <c r="G23" s="42" t="n">
        <v>36192</v>
      </c>
      <c r="H23" s="43" t="n">
        <v>1</v>
      </c>
    </row>
    <row r="24">
      <c r="A24" t="inlineStr">
        <is>
          <t>PRV1023</t>
        </is>
      </c>
      <c r="B24" t="inlineStr">
        <is>
          <t>Barnes, Gary</t>
        </is>
      </c>
      <c r="C24" t="inlineStr">
        <is>
          <t>DO</t>
        </is>
      </c>
      <c r="D24" t="inlineStr">
        <is>
          <t>Emergency Medicine</t>
        </is>
      </c>
      <c r="E24" t="inlineStr">
        <is>
          <t>Cedar Ridge Medical Center</t>
        </is>
      </c>
      <c r="F24" t="inlineStr">
        <is>
          <t>Emergency Department</t>
        </is>
      </c>
      <c r="G24" s="42" t="n">
        <v>39586</v>
      </c>
      <c r="H24" s="43" t="n">
        <v>1</v>
      </c>
    </row>
    <row r="25">
      <c r="A25" t="inlineStr">
        <is>
          <t>PRV1024</t>
        </is>
      </c>
      <c r="B25" t="inlineStr">
        <is>
          <t>Andrews, Michael</t>
        </is>
      </c>
      <c r="C25" t="inlineStr">
        <is>
          <t>DO</t>
        </is>
      </c>
      <c r="D25" t="inlineStr">
        <is>
          <t>Emergency Medicine</t>
        </is>
      </c>
      <c r="E25" t="inlineStr">
        <is>
          <t>Cedar Ridge Medical Center</t>
        </is>
      </c>
      <c r="F25" t="inlineStr">
        <is>
          <t>Emergency Department</t>
        </is>
      </c>
      <c r="G25" s="42" t="n">
        <v>40481</v>
      </c>
      <c r="H25" s="43" t="n">
        <v>1</v>
      </c>
    </row>
    <row r="26">
      <c r="A26" t="inlineStr">
        <is>
          <t>PRV1025</t>
        </is>
      </c>
      <c r="B26" t="inlineStr">
        <is>
          <t>Warren, Victoria</t>
        </is>
      </c>
      <c r="C26" t="inlineStr">
        <is>
          <t>MD</t>
        </is>
      </c>
      <c r="D26" t="inlineStr">
        <is>
          <t>Emergency Medicine</t>
        </is>
      </c>
      <c r="E26" t="inlineStr">
        <is>
          <t>Cedar Ridge Medical Center</t>
        </is>
      </c>
      <c r="F26" t="inlineStr">
        <is>
          <t>Emergency Department</t>
        </is>
      </c>
      <c r="G26" s="42" t="n">
        <v>40959</v>
      </c>
      <c r="H26" s="43" t="n">
        <v>0.6</v>
      </c>
    </row>
    <row r="27">
      <c r="A27" t="inlineStr">
        <is>
          <t>PRV1026</t>
        </is>
      </c>
      <c r="B27" t="inlineStr">
        <is>
          <t>Munoz, Linda</t>
        </is>
      </c>
      <c r="C27" t="inlineStr">
        <is>
          <t>DO</t>
        </is>
      </c>
      <c r="D27" t="inlineStr">
        <is>
          <t>Emergency Medicine</t>
        </is>
      </c>
      <c r="E27" t="inlineStr">
        <is>
          <t>Cedar Ridge Medical Center</t>
        </is>
      </c>
      <c r="F27" t="inlineStr">
        <is>
          <t>Emergency Department</t>
        </is>
      </c>
      <c r="G27" s="42" t="n">
        <v>42266</v>
      </c>
      <c r="H27" s="43" t="n">
        <v>0.8</v>
      </c>
    </row>
    <row r="28">
      <c r="A28" t="inlineStr">
        <is>
          <t>PRV1027</t>
        </is>
      </c>
      <c r="B28" t="inlineStr">
        <is>
          <t>Pena, Wayne</t>
        </is>
      </c>
      <c r="C28" t="inlineStr">
        <is>
          <t>NP</t>
        </is>
      </c>
      <c r="D28" t="inlineStr">
        <is>
          <t>Emergency Medicine</t>
        </is>
      </c>
      <c r="E28" t="inlineStr">
        <is>
          <t>Cedar Ridge Medical Center</t>
        </is>
      </c>
      <c r="F28" t="inlineStr">
        <is>
          <t>Emergency Department</t>
        </is>
      </c>
      <c r="G28" s="42" t="n">
        <v>43542</v>
      </c>
      <c r="H28" s="43" t="n">
        <v>1</v>
      </c>
    </row>
    <row r="29">
      <c r="A29" t="inlineStr">
        <is>
          <t>PRV1028</t>
        </is>
      </c>
      <c r="B29" t="inlineStr">
        <is>
          <t>Riley, Shirley</t>
        </is>
      </c>
      <c r="C29" t="inlineStr">
        <is>
          <t>PA</t>
        </is>
      </c>
      <c r="D29" t="inlineStr">
        <is>
          <t>Emergency Medicine</t>
        </is>
      </c>
      <c r="E29" t="inlineStr">
        <is>
          <t>Cedar Ridge Medical Center</t>
        </is>
      </c>
      <c r="F29" t="inlineStr">
        <is>
          <t>Emergency Department</t>
        </is>
      </c>
      <c r="G29" s="42" t="n">
        <v>45267</v>
      </c>
      <c r="H29" s="43" t="n">
        <v>1</v>
      </c>
    </row>
    <row r="30">
      <c r="A30" t="inlineStr">
        <is>
          <t>PRV1029</t>
        </is>
      </c>
      <c r="B30" t="inlineStr">
        <is>
          <t>Simpson, Kelly</t>
        </is>
      </c>
      <c r="C30" t="inlineStr">
        <is>
          <t>MD</t>
        </is>
      </c>
      <c r="D30" t="inlineStr">
        <is>
          <t>Hospital Medicine</t>
        </is>
      </c>
      <c r="E30" t="inlineStr">
        <is>
          <t>Bluestone Memorial Hospital</t>
        </is>
      </c>
      <c r="F30" t="inlineStr">
        <is>
          <t>Medical-Surgical 4 West</t>
        </is>
      </c>
      <c r="G30" s="42" t="n">
        <v>35974</v>
      </c>
      <c r="H30" s="43" t="n">
        <v>1</v>
      </c>
    </row>
    <row r="31">
      <c r="A31" t="inlineStr">
        <is>
          <t>PRV1030</t>
        </is>
      </c>
      <c r="B31" t="inlineStr">
        <is>
          <t>Cox, Judith</t>
        </is>
      </c>
      <c r="C31" t="inlineStr">
        <is>
          <t>DO</t>
        </is>
      </c>
      <c r="D31" t="inlineStr">
        <is>
          <t>Hospital Medicine</t>
        </is>
      </c>
      <c r="E31" t="inlineStr">
        <is>
          <t>Bluestone Memorial Hospital</t>
        </is>
      </c>
      <c r="F31" t="inlineStr">
        <is>
          <t>Medical-Surgical 4 West</t>
        </is>
      </c>
      <c r="G31" s="42" t="n">
        <v>40199</v>
      </c>
      <c r="H31" s="43" t="n">
        <v>1</v>
      </c>
    </row>
    <row r="32">
      <c r="A32" t="inlineStr">
        <is>
          <t>PRV1031</t>
        </is>
      </c>
      <c r="B32" t="inlineStr">
        <is>
          <t>Alvarado, Tyler</t>
        </is>
      </c>
      <c r="C32" t="inlineStr">
        <is>
          <t>MD</t>
        </is>
      </c>
      <c r="D32" t="inlineStr">
        <is>
          <t>Hospital Medicine</t>
        </is>
      </c>
      <c r="E32" t="inlineStr">
        <is>
          <t>Bluestone Memorial Hospital</t>
        </is>
      </c>
      <c r="F32" t="inlineStr">
        <is>
          <t>Medical-Surgical 4 West</t>
        </is>
      </c>
      <c r="G32" s="42" t="n">
        <v>39926</v>
      </c>
      <c r="H32" s="43" t="n">
        <v>1</v>
      </c>
    </row>
    <row r="33">
      <c r="A33" t="inlineStr">
        <is>
          <t>PRV1032</t>
        </is>
      </c>
      <c r="B33" t="inlineStr">
        <is>
          <t>Cruz, Roger</t>
        </is>
      </c>
      <c r="C33" t="inlineStr">
        <is>
          <t>MD</t>
        </is>
      </c>
      <c r="D33" t="inlineStr">
        <is>
          <t>Hospital Medicine</t>
        </is>
      </c>
      <c r="E33" t="inlineStr">
        <is>
          <t>Bluestone Memorial Hospital</t>
        </is>
      </c>
      <c r="F33" t="inlineStr">
        <is>
          <t>Medical-Surgical 4 West</t>
        </is>
      </c>
      <c r="G33" s="42" t="n">
        <v>39108</v>
      </c>
      <c r="H33" s="43" t="n">
        <v>1</v>
      </c>
    </row>
    <row r="34">
      <c r="A34" t="inlineStr">
        <is>
          <t>PRV1033</t>
        </is>
      </c>
      <c r="B34" t="inlineStr">
        <is>
          <t>Abdi, Hassan</t>
        </is>
      </c>
      <c r="C34" t="inlineStr">
        <is>
          <t>DO</t>
        </is>
      </c>
      <c r="D34" t="inlineStr">
        <is>
          <t>Hospital Medicine</t>
        </is>
      </c>
      <c r="E34" t="inlineStr">
        <is>
          <t>Bluestone Memorial Hospital</t>
        </is>
      </c>
      <c r="F34" t="inlineStr">
        <is>
          <t>Medical-Surgical 4 West</t>
        </is>
      </c>
      <c r="G34" s="42" t="n">
        <v>38548</v>
      </c>
      <c r="H34" s="43" t="n">
        <v>0.5</v>
      </c>
    </row>
    <row r="35">
      <c r="A35" t="inlineStr">
        <is>
          <t>PRV1034</t>
        </is>
      </c>
      <c r="B35" t="inlineStr">
        <is>
          <t>Wallace, Alan</t>
        </is>
      </c>
      <c r="C35" t="inlineStr">
        <is>
          <t>MD</t>
        </is>
      </c>
      <c r="D35" t="inlineStr">
        <is>
          <t>Hospital Medicine</t>
        </is>
      </c>
      <c r="E35" t="inlineStr">
        <is>
          <t>Bluestone Memorial Hospital</t>
        </is>
      </c>
      <c r="F35" t="inlineStr">
        <is>
          <t>Medical-Surgical 4 West</t>
        </is>
      </c>
      <c r="G35" s="42" t="n">
        <v>38113</v>
      </c>
      <c r="H35" s="43" t="n">
        <v>1</v>
      </c>
    </row>
    <row r="36">
      <c r="A36" t="inlineStr">
        <is>
          <t>PRV1035</t>
        </is>
      </c>
      <c r="B36" t="inlineStr">
        <is>
          <t>Price, Juan</t>
        </is>
      </c>
      <c r="C36" t="inlineStr">
        <is>
          <t>MD</t>
        </is>
      </c>
      <c r="D36" t="inlineStr">
        <is>
          <t>Hospital Medicine</t>
        </is>
      </c>
      <c r="E36" t="inlineStr">
        <is>
          <t>Bluestone Memorial Hospital</t>
        </is>
      </c>
      <c r="F36" t="inlineStr">
        <is>
          <t>Medical-Surgical 4 West</t>
        </is>
      </c>
      <c r="G36" s="42" t="n">
        <v>42269</v>
      </c>
      <c r="H36" s="43" t="n">
        <v>0.8</v>
      </c>
    </row>
    <row r="37">
      <c r="A37" t="inlineStr">
        <is>
          <t>PRV1036</t>
        </is>
      </c>
      <c r="B37" t="inlineStr">
        <is>
          <t>Ramirez, Emma</t>
        </is>
      </c>
      <c r="C37" t="inlineStr">
        <is>
          <t>MD</t>
        </is>
      </c>
      <c r="D37" t="inlineStr">
        <is>
          <t>Hospital Medicine</t>
        </is>
      </c>
      <c r="E37" t="inlineStr">
        <is>
          <t>Bluestone Memorial Hospital</t>
        </is>
      </c>
      <c r="F37" t="inlineStr">
        <is>
          <t>Medical-Surgical 5 East</t>
        </is>
      </c>
      <c r="G37" s="42" t="n">
        <v>44334</v>
      </c>
      <c r="H37" s="43" t="n">
        <v>0.9</v>
      </c>
    </row>
    <row r="38">
      <c r="A38" t="inlineStr">
        <is>
          <t>PRV1037</t>
        </is>
      </c>
      <c r="B38" t="inlineStr">
        <is>
          <t>Yilmaz, Joe</t>
        </is>
      </c>
      <c r="C38" t="inlineStr">
        <is>
          <t>MD</t>
        </is>
      </c>
      <c r="D38" t="inlineStr">
        <is>
          <t>Hospital Medicine</t>
        </is>
      </c>
      <c r="E38" t="inlineStr">
        <is>
          <t>Bluestone Memorial Hospital</t>
        </is>
      </c>
      <c r="F38" t="inlineStr">
        <is>
          <t>Medical-Surgical 5 East</t>
        </is>
      </c>
      <c r="G38" s="42" t="n">
        <v>43242</v>
      </c>
      <c r="H38" s="43" t="n">
        <v>1</v>
      </c>
    </row>
    <row r="39">
      <c r="A39" t="inlineStr">
        <is>
          <t>PRV1038</t>
        </is>
      </c>
      <c r="B39" t="inlineStr">
        <is>
          <t>Vasquez, Jose</t>
        </is>
      </c>
      <c r="C39" t="inlineStr">
        <is>
          <t>MD</t>
        </is>
      </c>
      <c r="D39" t="inlineStr">
        <is>
          <t>Hospital Medicine</t>
        </is>
      </c>
      <c r="E39" t="inlineStr">
        <is>
          <t>Bluestone Memorial Hospital</t>
        </is>
      </c>
      <c r="F39" t="inlineStr">
        <is>
          <t>Medical-Surgical 5 East</t>
        </is>
      </c>
      <c r="G39" s="42" t="n">
        <v>41446</v>
      </c>
      <c r="H39" s="43" t="n">
        <v>1</v>
      </c>
    </row>
    <row r="40">
      <c r="A40" t="inlineStr">
        <is>
          <t>PRV1039</t>
        </is>
      </c>
      <c r="B40" t="inlineStr">
        <is>
          <t>Hunt, Richard</t>
        </is>
      </c>
      <c r="C40" t="inlineStr">
        <is>
          <t>MD</t>
        </is>
      </c>
      <c r="D40" t="inlineStr">
        <is>
          <t>Hospital Medicine</t>
        </is>
      </c>
      <c r="E40" t="inlineStr">
        <is>
          <t>Bluestone Memorial Hospital</t>
        </is>
      </c>
      <c r="F40" t="inlineStr">
        <is>
          <t>Medical-Surgical 5 East</t>
        </is>
      </c>
      <c r="G40" s="42" t="n">
        <v>37484</v>
      </c>
      <c r="H40" s="43" t="n">
        <v>0.9</v>
      </c>
    </row>
    <row r="41">
      <c r="A41" t="inlineStr">
        <is>
          <t>PRV1040</t>
        </is>
      </c>
      <c r="B41" t="inlineStr">
        <is>
          <t>Allen, Jean</t>
        </is>
      </c>
      <c r="C41" t="inlineStr">
        <is>
          <t>DO</t>
        </is>
      </c>
      <c r="D41" t="inlineStr">
        <is>
          <t>Hospital Medicine</t>
        </is>
      </c>
      <c r="E41" t="inlineStr">
        <is>
          <t>Bluestone Memorial Hospital</t>
        </is>
      </c>
      <c r="F41" t="inlineStr">
        <is>
          <t>Medical-Surgical 5 East</t>
        </is>
      </c>
      <c r="G41" s="42" t="n">
        <v>44391</v>
      </c>
      <c r="H41" s="43" t="n">
        <v>0.8</v>
      </c>
    </row>
    <row r="42">
      <c r="A42" t="inlineStr">
        <is>
          <t>PRV1041</t>
        </is>
      </c>
      <c r="B42" t="inlineStr">
        <is>
          <t>Russell, Larry</t>
        </is>
      </c>
      <c r="C42" t="inlineStr">
        <is>
          <t>MD</t>
        </is>
      </c>
      <c r="D42" t="inlineStr">
        <is>
          <t>Hospital Medicine</t>
        </is>
      </c>
      <c r="E42" t="inlineStr">
        <is>
          <t>Bluestone Memorial Hospital</t>
        </is>
      </c>
      <c r="F42" t="inlineStr">
        <is>
          <t>Medical-Surgical 5 East</t>
        </is>
      </c>
      <c r="G42" s="42" t="n">
        <v>41480</v>
      </c>
      <c r="H42" s="43" t="n">
        <v>1</v>
      </c>
    </row>
    <row r="43">
      <c r="A43" t="inlineStr">
        <is>
          <t>PRV1042</t>
        </is>
      </c>
      <c r="B43" t="inlineStr">
        <is>
          <t>Abbott, Kathleen</t>
        </is>
      </c>
      <c r="C43" t="inlineStr">
        <is>
          <t>NP</t>
        </is>
      </c>
      <c r="D43" t="inlineStr">
        <is>
          <t>Hospital Medicine</t>
        </is>
      </c>
      <c r="E43" t="inlineStr">
        <is>
          <t>Bluestone Memorial Hospital</t>
        </is>
      </c>
      <c r="F43" t="inlineStr">
        <is>
          <t>Observation Unit</t>
        </is>
      </c>
      <c r="G43" s="42" t="n">
        <v>35965</v>
      </c>
      <c r="H43" s="43" t="n">
        <v>1</v>
      </c>
    </row>
    <row r="44">
      <c r="A44" t="inlineStr">
        <is>
          <t>PRV1043</t>
        </is>
      </c>
      <c r="B44" t="inlineStr">
        <is>
          <t>Watson, Ashley</t>
        </is>
      </c>
      <c r="C44" t="inlineStr">
        <is>
          <t>NP</t>
        </is>
      </c>
      <c r="D44" t="inlineStr">
        <is>
          <t>Hospital Medicine</t>
        </is>
      </c>
      <c r="E44" t="inlineStr">
        <is>
          <t>Bluestone Memorial Hospital</t>
        </is>
      </c>
      <c r="F44" t="inlineStr">
        <is>
          <t>Observation Unit</t>
        </is>
      </c>
      <c r="G44" s="42" t="n">
        <v>36196</v>
      </c>
      <c r="H44" s="43" t="n">
        <v>1</v>
      </c>
    </row>
    <row r="45">
      <c r="A45" t="inlineStr">
        <is>
          <t>PRV1044</t>
        </is>
      </c>
      <c r="B45" t="inlineStr">
        <is>
          <t>Moreno, Melissa</t>
        </is>
      </c>
      <c r="C45" t="inlineStr">
        <is>
          <t>MD</t>
        </is>
      </c>
      <c r="D45" t="inlineStr">
        <is>
          <t>Hospital Medicine</t>
        </is>
      </c>
      <c r="E45" t="inlineStr">
        <is>
          <t>Ashby Falls Community Hospital</t>
        </is>
      </c>
      <c r="F45" t="inlineStr">
        <is>
          <t>Medical-Surgical</t>
        </is>
      </c>
      <c r="G45" s="42" t="n">
        <v>45141</v>
      </c>
      <c r="H45" s="43" t="n">
        <v>1</v>
      </c>
    </row>
    <row r="46">
      <c r="A46" t="inlineStr">
        <is>
          <t>PRV1045</t>
        </is>
      </c>
      <c r="B46" t="inlineStr">
        <is>
          <t>Carroll, Philip</t>
        </is>
      </c>
      <c r="C46" t="inlineStr">
        <is>
          <t>DO</t>
        </is>
      </c>
      <c r="D46" t="inlineStr">
        <is>
          <t>Hospital Medicine</t>
        </is>
      </c>
      <c r="E46" t="inlineStr">
        <is>
          <t>Ashby Falls Community Hospital</t>
        </is>
      </c>
      <c r="F46" t="inlineStr">
        <is>
          <t>Medical-Surgical</t>
        </is>
      </c>
      <c r="G46" s="42" t="n">
        <v>38492</v>
      </c>
      <c r="H46" s="43" t="n">
        <v>1</v>
      </c>
    </row>
    <row r="47">
      <c r="A47" t="inlineStr">
        <is>
          <t>PRV1046</t>
        </is>
      </c>
      <c r="B47" t="inlineStr">
        <is>
          <t>Murray, Stephanie</t>
        </is>
      </c>
      <c r="C47" t="inlineStr">
        <is>
          <t>DO</t>
        </is>
      </c>
      <c r="D47" t="inlineStr">
        <is>
          <t>Hospital Medicine</t>
        </is>
      </c>
      <c r="E47" t="inlineStr">
        <is>
          <t>Ashby Falls Community Hospital</t>
        </is>
      </c>
      <c r="F47" t="inlineStr">
        <is>
          <t>Medical-Surgical</t>
        </is>
      </c>
      <c r="G47" s="42" t="n">
        <v>41584</v>
      </c>
      <c r="H47" s="43" t="n">
        <v>0.8</v>
      </c>
    </row>
    <row r="48">
      <c r="A48" t="inlineStr">
        <is>
          <t>PRV1047</t>
        </is>
      </c>
      <c r="B48" t="inlineStr">
        <is>
          <t>Carter, Karen</t>
        </is>
      </c>
      <c r="C48" t="inlineStr">
        <is>
          <t>MD</t>
        </is>
      </c>
      <c r="D48" t="inlineStr">
        <is>
          <t>Hospital Medicine</t>
        </is>
      </c>
      <c r="E48" t="inlineStr">
        <is>
          <t>Ashby Falls Community Hospital</t>
        </is>
      </c>
      <c r="F48" t="inlineStr">
        <is>
          <t>Medical-Surgical</t>
        </is>
      </c>
      <c r="G48" s="42" t="n">
        <v>42594</v>
      </c>
      <c r="H48" s="43" t="n">
        <v>0.6</v>
      </c>
    </row>
    <row r="49">
      <c r="A49" t="inlineStr">
        <is>
          <t>PRV1048</t>
        </is>
      </c>
      <c r="B49" t="inlineStr">
        <is>
          <t>Hall, Doris</t>
        </is>
      </c>
      <c r="C49" t="inlineStr">
        <is>
          <t>DO</t>
        </is>
      </c>
      <c r="D49" t="inlineStr">
        <is>
          <t>Hospital Medicine</t>
        </is>
      </c>
      <c r="E49" t="inlineStr">
        <is>
          <t>Cedar Ridge Medical Center</t>
        </is>
      </c>
      <c r="F49" t="inlineStr">
        <is>
          <t>Medical-Surgical</t>
        </is>
      </c>
      <c r="G49" s="42" t="n">
        <v>41315</v>
      </c>
      <c r="H49" s="43" t="n">
        <v>1</v>
      </c>
    </row>
    <row r="50">
      <c r="A50" t="inlineStr">
        <is>
          <t>PRV1049</t>
        </is>
      </c>
      <c r="B50" t="inlineStr">
        <is>
          <t>Berry, Minh</t>
        </is>
      </c>
      <c r="C50" t="inlineStr">
        <is>
          <t>MD</t>
        </is>
      </c>
      <c r="D50" t="inlineStr">
        <is>
          <t>Hospital Medicine</t>
        </is>
      </c>
      <c r="E50" t="inlineStr">
        <is>
          <t>Cedar Ridge Medical Center</t>
        </is>
      </c>
      <c r="F50" t="inlineStr">
        <is>
          <t>Medical-Surgical</t>
        </is>
      </c>
      <c r="G50" s="42" t="n">
        <v>38147</v>
      </c>
      <c r="H50" s="43" t="n">
        <v>1</v>
      </c>
    </row>
    <row r="51">
      <c r="A51" t="inlineStr">
        <is>
          <t>PRV1050</t>
        </is>
      </c>
      <c r="B51" t="inlineStr">
        <is>
          <t>Hansen, Wei</t>
        </is>
      </c>
      <c r="C51" t="inlineStr">
        <is>
          <t>MD</t>
        </is>
      </c>
      <c r="D51" t="inlineStr">
        <is>
          <t>Hospital Medicine</t>
        </is>
      </c>
      <c r="E51" t="inlineStr">
        <is>
          <t>Cedar Ridge Medical Center</t>
        </is>
      </c>
      <c r="F51" t="inlineStr">
        <is>
          <t>Medical-Surgical</t>
        </is>
      </c>
      <c r="G51" s="42" t="n">
        <v>39883</v>
      </c>
      <c r="H51" s="43" t="n">
        <v>1</v>
      </c>
    </row>
    <row r="52">
      <c r="A52" t="inlineStr">
        <is>
          <t>PRV1051</t>
        </is>
      </c>
      <c r="B52" t="inlineStr">
        <is>
          <t>Peters, Frank</t>
        </is>
      </c>
      <c r="C52" t="inlineStr">
        <is>
          <t>MD</t>
        </is>
      </c>
      <c r="D52" t="inlineStr">
        <is>
          <t>Hospital Medicine</t>
        </is>
      </c>
      <c r="E52" t="inlineStr">
        <is>
          <t>Cedar Ridge Medical Center</t>
        </is>
      </c>
      <c r="F52" t="inlineStr">
        <is>
          <t>Medical-Surgical</t>
        </is>
      </c>
      <c r="G52" s="42" t="n">
        <v>42932</v>
      </c>
      <c r="H52" s="43" t="n">
        <v>1</v>
      </c>
    </row>
    <row r="53">
      <c r="A53" t="inlineStr">
        <is>
          <t>PRV1052</t>
        </is>
      </c>
      <c r="B53" t="inlineStr">
        <is>
          <t>Reyes, Harper</t>
        </is>
      </c>
      <c r="C53" t="inlineStr">
        <is>
          <t>MD</t>
        </is>
      </c>
      <c r="D53" t="inlineStr">
        <is>
          <t>Hospital Medicine</t>
        </is>
      </c>
      <c r="E53" t="inlineStr">
        <is>
          <t>Cedar Ridge Medical Center</t>
        </is>
      </c>
      <c r="F53" t="inlineStr">
        <is>
          <t>Medical-Surgical</t>
        </is>
      </c>
      <c r="G53" s="42" t="n">
        <v>43749</v>
      </c>
      <c r="H53" s="43" t="n">
        <v>1</v>
      </c>
    </row>
    <row r="54">
      <c r="A54" t="inlineStr">
        <is>
          <t>PRV1053</t>
        </is>
      </c>
      <c r="B54" t="inlineStr">
        <is>
          <t>Payne, Tyler</t>
        </is>
      </c>
      <c r="C54" t="inlineStr">
        <is>
          <t>MD</t>
        </is>
      </c>
      <c r="D54" t="inlineStr">
        <is>
          <t>Hospital Medicine</t>
        </is>
      </c>
      <c r="E54" t="inlineStr">
        <is>
          <t>Cedar Ridge Medical Center</t>
        </is>
      </c>
      <c r="F54" t="inlineStr">
        <is>
          <t>Medical-Surgical</t>
        </is>
      </c>
      <c r="G54" s="42" t="n">
        <v>39137</v>
      </c>
      <c r="H54" s="43" t="n">
        <v>0.6</v>
      </c>
    </row>
    <row r="55">
      <c r="A55" t="inlineStr">
        <is>
          <t>PRV1054</t>
        </is>
      </c>
      <c r="B55" t="inlineStr">
        <is>
          <t>Taylor, Jonathan</t>
        </is>
      </c>
      <c r="C55" t="inlineStr">
        <is>
          <t>MD</t>
        </is>
      </c>
      <c r="D55" t="inlineStr">
        <is>
          <t>Cardiology</t>
        </is>
      </c>
      <c r="E55" t="inlineStr">
        <is>
          <t>Bluestone Memorial Hospital</t>
        </is>
      </c>
      <c r="F55" t="inlineStr">
        <is>
          <t>Cardiac Step-Down</t>
        </is>
      </c>
      <c r="G55" s="42" t="n">
        <v>37731</v>
      </c>
      <c r="H55" s="43" t="n">
        <v>1</v>
      </c>
    </row>
    <row r="56">
      <c r="A56" t="inlineStr">
        <is>
          <t>PRV1055</t>
        </is>
      </c>
      <c r="B56" t="inlineStr">
        <is>
          <t>Guzman, Michelle</t>
        </is>
      </c>
      <c r="C56" t="inlineStr">
        <is>
          <t>MD</t>
        </is>
      </c>
      <c r="D56" t="inlineStr">
        <is>
          <t>Cardiology</t>
        </is>
      </c>
      <c r="E56" t="inlineStr">
        <is>
          <t>Bluestone Memorial Hospital</t>
        </is>
      </c>
      <c r="F56" t="inlineStr">
        <is>
          <t>Cardiac Step-Down</t>
        </is>
      </c>
      <c r="G56" s="42" t="n">
        <v>42761</v>
      </c>
      <c r="H56" s="43" t="n">
        <v>1</v>
      </c>
    </row>
    <row r="57">
      <c r="A57" t="inlineStr">
        <is>
          <t>PRV1056</t>
        </is>
      </c>
      <c r="B57" t="inlineStr">
        <is>
          <t>Boyd, Shirley</t>
        </is>
      </c>
      <c r="C57" t="inlineStr">
        <is>
          <t>MD</t>
        </is>
      </c>
      <c r="D57" t="inlineStr">
        <is>
          <t>Cardiology</t>
        </is>
      </c>
      <c r="E57" t="inlineStr">
        <is>
          <t>Bluestone Memorial Hospital</t>
        </is>
      </c>
      <c r="F57" t="inlineStr">
        <is>
          <t>Cardiac Step-Down</t>
        </is>
      </c>
      <c r="G57" s="42" t="n">
        <v>36079</v>
      </c>
      <c r="H57" s="43" t="n">
        <v>1</v>
      </c>
    </row>
    <row r="58">
      <c r="A58" t="inlineStr">
        <is>
          <t>PRV1057</t>
        </is>
      </c>
      <c r="B58" t="inlineStr">
        <is>
          <t>Evans, Charles</t>
        </is>
      </c>
      <c r="C58" t="inlineStr">
        <is>
          <t>MD</t>
        </is>
      </c>
      <c r="D58" t="inlineStr">
        <is>
          <t>Cardiology</t>
        </is>
      </c>
      <c r="E58" t="inlineStr">
        <is>
          <t>Bluestone Memorial Hospital</t>
        </is>
      </c>
      <c r="F58" t="inlineStr">
        <is>
          <t>Cardiac Step-Down</t>
        </is>
      </c>
      <c r="G58" s="42" t="n">
        <v>36941</v>
      </c>
      <c r="H58" s="43" t="n">
        <v>1</v>
      </c>
    </row>
    <row r="59">
      <c r="A59" t="inlineStr">
        <is>
          <t>PRV1058</t>
        </is>
      </c>
      <c r="B59" t="inlineStr">
        <is>
          <t>Gonzales, Edward</t>
        </is>
      </c>
      <c r="C59" t="inlineStr">
        <is>
          <t>MD</t>
        </is>
      </c>
      <c r="D59" t="inlineStr">
        <is>
          <t>Cardiology</t>
        </is>
      </c>
      <c r="E59" t="inlineStr">
        <is>
          <t>Cedar Ridge Medical Center</t>
        </is>
      </c>
      <c r="F59" t="inlineStr">
        <is>
          <t>Cardiac Step-Down</t>
        </is>
      </c>
      <c r="G59" s="42" t="n">
        <v>37477</v>
      </c>
      <c r="H59" s="43" t="n">
        <v>1</v>
      </c>
    </row>
    <row r="60">
      <c r="A60" t="inlineStr">
        <is>
          <t>PRV1059</t>
        </is>
      </c>
      <c r="B60" t="inlineStr">
        <is>
          <t>Vazquez, Leila</t>
        </is>
      </c>
      <c r="C60" t="inlineStr">
        <is>
          <t>MD</t>
        </is>
      </c>
      <c r="D60" t="inlineStr">
        <is>
          <t>Cardiology</t>
        </is>
      </c>
      <c r="E60" t="inlineStr">
        <is>
          <t>Cedar Ridge Medical Center</t>
        </is>
      </c>
      <c r="F60" t="inlineStr">
        <is>
          <t>Cardiac Step-Down</t>
        </is>
      </c>
      <c r="G60" s="42" t="n">
        <v>45287</v>
      </c>
      <c r="H60" s="43" t="n">
        <v>0.6</v>
      </c>
    </row>
    <row r="61">
      <c r="A61" t="inlineStr">
        <is>
          <t>PRV1060</t>
        </is>
      </c>
      <c r="B61" t="inlineStr">
        <is>
          <t>Brooks, Edward</t>
        </is>
      </c>
      <c r="C61" t="inlineStr">
        <is>
          <t>MD</t>
        </is>
      </c>
      <c r="D61" t="inlineStr">
        <is>
          <t>Cardiology</t>
        </is>
      </c>
      <c r="E61" t="inlineStr">
        <is>
          <t>Bluestone Outpatient Pavilion</t>
        </is>
      </c>
      <c r="F61" t="inlineStr">
        <is>
          <t>Cardiology Clinic</t>
        </is>
      </c>
      <c r="G61" s="42" t="n">
        <v>36280</v>
      </c>
      <c r="H61" s="43" t="n">
        <v>1</v>
      </c>
    </row>
    <row r="62">
      <c r="A62" t="inlineStr">
        <is>
          <t>PRV1061</t>
        </is>
      </c>
      <c r="B62" t="inlineStr">
        <is>
          <t>Gomez, Mateo</t>
        </is>
      </c>
      <c r="C62" t="inlineStr">
        <is>
          <t>MD</t>
        </is>
      </c>
      <c r="D62" t="inlineStr">
        <is>
          <t>Cardiology</t>
        </is>
      </c>
      <c r="E62" t="inlineStr">
        <is>
          <t>Bluestone Outpatient Pavilion</t>
        </is>
      </c>
      <c r="F62" t="inlineStr">
        <is>
          <t>Cardiology Clinic</t>
        </is>
      </c>
      <c r="G62" s="42" t="n">
        <v>39266</v>
      </c>
      <c r="H62" s="43" t="n">
        <v>1</v>
      </c>
    </row>
    <row r="63">
      <c r="A63" t="inlineStr">
        <is>
          <t>PRV1062</t>
        </is>
      </c>
      <c r="B63" t="inlineStr">
        <is>
          <t>Jenkins, Brittany</t>
        </is>
      </c>
      <c r="C63" t="inlineStr">
        <is>
          <t>DO</t>
        </is>
      </c>
      <c r="D63" t="inlineStr">
        <is>
          <t>Cardiology</t>
        </is>
      </c>
      <c r="E63" t="inlineStr">
        <is>
          <t>Bluestone Outpatient Pavilion</t>
        </is>
      </c>
      <c r="F63" t="inlineStr">
        <is>
          <t>Cardiology Clinic</t>
        </is>
      </c>
      <c r="G63" s="42" t="n">
        <v>37011</v>
      </c>
      <c r="H63" s="43" t="n">
        <v>1</v>
      </c>
    </row>
    <row r="64">
      <c r="A64" t="inlineStr">
        <is>
          <t>PRV1063</t>
        </is>
      </c>
      <c r="B64" t="inlineStr">
        <is>
          <t>Allen, Grace</t>
        </is>
      </c>
      <c r="C64" t="inlineStr">
        <is>
          <t>MD</t>
        </is>
      </c>
      <c r="D64" t="inlineStr">
        <is>
          <t>Pulmonary &amp; Critical Care</t>
        </is>
      </c>
      <c r="E64" t="inlineStr">
        <is>
          <t>Bluestone Memorial Hospital</t>
        </is>
      </c>
      <c r="F64" t="inlineStr">
        <is>
          <t>Intensive Care Unit</t>
        </is>
      </c>
      <c r="G64" s="42" t="n">
        <v>38771</v>
      </c>
      <c r="H64" s="43" t="n">
        <v>1</v>
      </c>
    </row>
    <row r="65">
      <c r="A65" t="inlineStr">
        <is>
          <t>PRV1064</t>
        </is>
      </c>
      <c r="B65" t="inlineStr">
        <is>
          <t>Hawkins, Bruce</t>
        </is>
      </c>
      <c r="C65" t="inlineStr">
        <is>
          <t>MD</t>
        </is>
      </c>
      <c r="D65" t="inlineStr">
        <is>
          <t>Pulmonary &amp; Critical Care</t>
        </is>
      </c>
      <c r="E65" t="inlineStr">
        <is>
          <t>Bluestone Memorial Hospital</t>
        </is>
      </c>
      <c r="F65" t="inlineStr">
        <is>
          <t>Intensive Care Unit</t>
        </is>
      </c>
      <c r="G65" s="42" t="n">
        <v>44353</v>
      </c>
      <c r="H65" s="43" t="n">
        <v>1</v>
      </c>
    </row>
    <row r="66">
      <c r="A66" t="inlineStr">
        <is>
          <t>PRV1065</t>
        </is>
      </c>
      <c r="B66" t="inlineStr">
        <is>
          <t>Bryant, Janet</t>
        </is>
      </c>
      <c r="C66" t="inlineStr">
        <is>
          <t>DO</t>
        </is>
      </c>
      <c r="D66" t="inlineStr">
        <is>
          <t>Pulmonary &amp; Critical Care</t>
        </is>
      </c>
      <c r="E66" t="inlineStr">
        <is>
          <t>Bluestone Memorial Hospital</t>
        </is>
      </c>
      <c r="F66" t="inlineStr">
        <is>
          <t>Intensive Care Unit</t>
        </is>
      </c>
      <c r="G66" s="42" t="n">
        <v>40342</v>
      </c>
      <c r="H66" s="43" t="n">
        <v>1</v>
      </c>
    </row>
    <row r="67">
      <c r="A67" t="inlineStr">
        <is>
          <t>PRV1066</t>
        </is>
      </c>
      <c r="B67" t="inlineStr">
        <is>
          <t>Diaz, Adam</t>
        </is>
      </c>
      <c r="C67" t="inlineStr">
        <is>
          <t>MD</t>
        </is>
      </c>
      <c r="D67" t="inlineStr">
        <is>
          <t>Pulmonary &amp; Critical Care</t>
        </is>
      </c>
      <c r="E67" t="inlineStr">
        <is>
          <t>Bluestone Memorial Hospital</t>
        </is>
      </c>
      <c r="F67" t="inlineStr">
        <is>
          <t>Intensive Care Unit</t>
        </is>
      </c>
      <c r="G67" s="42" t="n">
        <v>35848</v>
      </c>
      <c r="H67" s="43" t="n">
        <v>0.8</v>
      </c>
    </row>
    <row r="68">
      <c r="A68" t="inlineStr">
        <is>
          <t>PRV1067</t>
        </is>
      </c>
      <c r="B68" t="inlineStr">
        <is>
          <t>Hamilton, Leila</t>
        </is>
      </c>
      <c r="C68" t="inlineStr">
        <is>
          <t>DO</t>
        </is>
      </c>
      <c r="D68" t="inlineStr">
        <is>
          <t>Pulmonary &amp; Critical Care</t>
        </is>
      </c>
      <c r="E68" t="inlineStr">
        <is>
          <t>Bluestone Memorial Hospital</t>
        </is>
      </c>
      <c r="F68" t="inlineStr">
        <is>
          <t>Intensive Care Unit</t>
        </is>
      </c>
      <c r="G68" s="42" t="n">
        <v>37839</v>
      </c>
      <c r="H68" s="43" t="n">
        <v>1</v>
      </c>
    </row>
    <row r="69">
      <c r="A69" t="inlineStr">
        <is>
          <t>PRV1068</t>
        </is>
      </c>
      <c r="B69" t="inlineStr">
        <is>
          <t>Gutierrez, Donald</t>
        </is>
      </c>
      <c r="C69" t="inlineStr">
        <is>
          <t>MD</t>
        </is>
      </c>
      <c r="D69" t="inlineStr">
        <is>
          <t>Pulmonary &amp; Critical Care</t>
        </is>
      </c>
      <c r="E69" t="inlineStr">
        <is>
          <t>Ashby Falls Community Hospital</t>
        </is>
      </c>
      <c r="F69" t="inlineStr">
        <is>
          <t>Intensive Care Unit</t>
        </is>
      </c>
      <c r="G69" s="42" t="n">
        <v>38941</v>
      </c>
      <c r="H69" s="43" t="n">
        <v>1</v>
      </c>
    </row>
    <row r="70">
      <c r="A70" t="inlineStr">
        <is>
          <t>PRV1069</t>
        </is>
      </c>
      <c r="B70" t="inlineStr">
        <is>
          <t>Wallace, Frank</t>
        </is>
      </c>
      <c r="C70" t="inlineStr">
        <is>
          <t>DO</t>
        </is>
      </c>
      <c r="D70" t="inlineStr">
        <is>
          <t>Pulmonary &amp; Critical Care</t>
        </is>
      </c>
      <c r="E70" t="inlineStr">
        <is>
          <t>Ashby Falls Community Hospital</t>
        </is>
      </c>
      <c r="F70" t="inlineStr">
        <is>
          <t>Intensive Care Unit</t>
        </is>
      </c>
      <c r="G70" s="42" t="n">
        <v>40502</v>
      </c>
      <c r="H70" s="43" t="n">
        <v>1</v>
      </c>
    </row>
    <row r="71">
      <c r="A71" t="inlineStr">
        <is>
          <t>PRV1070</t>
        </is>
      </c>
      <c r="B71" t="inlineStr">
        <is>
          <t>Abbott, Leila</t>
        </is>
      </c>
      <c r="C71" t="inlineStr">
        <is>
          <t>MD</t>
        </is>
      </c>
      <c r="D71" t="inlineStr">
        <is>
          <t>Pulmonary &amp; Critical Care</t>
        </is>
      </c>
      <c r="E71" t="inlineStr">
        <is>
          <t>Cedar Ridge Medical Center</t>
        </is>
      </c>
      <c r="F71" t="inlineStr">
        <is>
          <t>Intensive Care Unit</t>
        </is>
      </c>
      <c r="G71" s="42" t="n">
        <v>36354</v>
      </c>
      <c r="H71" s="43" t="n">
        <v>1</v>
      </c>
    </row>
    <row r="72">
      <c r="A72" t="inlineStr">
        <is>
          <t>PRV1071</t>
        </is>
      </c>
      <c r="B72" t="inlineStr">
        <is>
          <t>White, Danielle</t>
        </is>
      </c>
      <c r="C72" t="inlineStr">
        <is>
          <t>MD</t>
        </is>
      </c>
      <c r="D72" t="inlineStr">
        <is>
          <t>Pulmonary &amp; Critical Care</t>
        </is>
      </c>
      <c r="E72" t="inlineStr">
        <is>
          <t>Cedar Ridge Medical Center</t>
        </is>
      </c>
      <c r="F72" t="inlineStr">
        <is>
          <t>Intensive Care Unit</t>
        </is>
      </c>
      <c r="G72" s="42" t="n">
        <v>36485</v>
      </c>
      <c r="H72" s="43" t="n">
        <v>1</v>
      </c>
    </row>
    <row r="73">
      <c r="A73" t="inlineStr">
        <is>
          <t>PRV1072</t>
        </is>
      </c>
      <c r="B73" t="inlineStr">
        <is>
          <t>Guzman, Beverly</t>
        </is>
      </c>
      <c r="C73" t="inlineStr">
        <is>
          <t>DO</t>
        </is>
      </c>
      <c r="D73" t="inlineStr">
        <is>
          <t>Pulmonary &amp; Critical Care</t>
        </is>
      </c>
      <c r="E73" t="inlineStr">
        <is>
          <t>Cedar Ridge Medical Center</t>
        </is>
      </c>
      <c r="F73" t="inlineStr">
        <is>
          <t>Intensive Care Unit</t>
        </is>
      </c>
      <c r="G73" s="42" t="n">
        <v>44252</v>
      </c>
      <c r="H73" s="43" t="n">
        <v>1</v>
      </c>
    </row>
    <row r="74">
      <c r="A74" t="inlineStr">
        <is>
          <t>PRV1073</t>
        </is>
      </c>
      <c r="B74" t="inlineStr">
        <is>
          <t>Woods, Pamela</t>
        </is>
      </c>
      <c r="C74" t="inlineStr">
        <is>
          <t>DO</t>
        </is>
      </c>
      <c r="D74" t="inlineStr">
        <is>
          <t>Orthopedic Surgery</t>
        </is>
      </c>
      <c r="E74" t="inlineStr">
        <is>
          <t>Bluestone Memorial Hospital</t>
        </is>
      </c>
      <c r="F74" t="inlineStr">
        <is>
          <t>Orthopedics &amp; Spine</t>
        </is>
      </c>
      <c r="G74" s="42" t="n">
        <v>40252</v>
      </c>
      <c r="H74" s="43" t="n">
        <v>1</v>
      </c>
    </row>
    <row r="75">
      <c r="A75" t="inlineStr">
        <is>
          <t>PRV1074</t>
        </is>
      </c>
      <c r="B75" t="inlineStr">
        <is>
          <t>Santos, Grace</t>
        </is>
      </c>
      <c r="C75" t="inlineStr">
        <is>
          <t>DO</t>
        </is>
      </c>
      <c r="D75" t="inlineStr">
        <is>
          <t>Orthopedic Surgery</t>
        </is>
      </c>
      <c r="E75" t="inlineStr">
        <is>
          <t>Bluestone Memorial Hospital</t>
        </is>
      </c>
      <c r="F75" t="inlineStr">
        <is>
          <t>Orthopedics &amp; Spine</t>
        </is>
      </c>
      <c r="G75" s="42" t="n">
        <v>39583</v>
      </c>
      <c r="H75" s="43" t="n">
        <v>0.8</v>
      </c>
    </row>
    <row r="76">
      <c r="A76" t="inlineStr">
        <is>
          <t>PRV1075</t>
        </is>
      </c>
      <c r="B76" t="inlineStr">
        <is>
          <t>King, Leila</t>
        </is>
      </c>
      <c r="C76" t="inlineStr">
        <is>
          <t>DO</t>
        </is>
      </c>
      <c r="D76" t="inlineStr">
        <is>
          <t>Orthopedic Surgery</t>
        </is>
      </c>
      <c r="E76" t="inlineStr">
        <is>
          <t>Bluestone Memorial Hospital</t>
        </is>
      </c>
      <c r="F76" t="inlineStr">
        <is>
          <t>Orthopedics &amp; Spine</t>
        </is>
      </c>
      <c r="G76" s="42" t="n">
        <v>43203</v>
      </c>
      <c r="H76" s="43" t="n">
        <v>1</v>
      </c>
    </row>
    <row r="77">
      <c r="A77" t="inlineStr">
        <is>
          <t>PRV1076</t>
        </is>
      </c>
      <c r="B77" t="inlineStr">
        <is>
          <t>Richards, Anthony</t>
        </is>
      </c>
      <c r="C77" t="inlineStr">
        <is>
          <t>DO</t>
        </is>
      </c>
      <c r="D77" t="inlineStr">
        <is>
          <t>Orthopedic Surgery</t>
        </is>
      </c>
      <c r="E77" t="inlineStr">
        <is>
          <t>Bluestone Memorial Hospital</t>
        </is>
      </c>
      <c r="F77" t="inlineStr">
        <is>
          <t>Orthopedics &amp; Spine</t>
        </is>
      </c>
      <c r="G77" s="42" t="n">
        <v>41449</v>
      </c>
      <c r="H77" s="43" t="n">
        <v>0.9</v>
      </c>
    </row>
    <row r="78">
      <c r="A78" t="inlineStr">
        <is>
          <t>PRV1077</t>
        </is>
      </c>
      <c r="B78" t="inlineStr">
        <is>
          <t>Yilmaz, Brittany</t>
        </is>
      </c>
      <c r="C78" t="inlineStr">
        <is>
          <t>MD</t>
        </is>
      </c>
      <c r="D78" t="inlineStr">
        <is>
          <t>Orthopedic Surgery</t>
        </is>
      </c>
      <c r="E78" t="inlineStr">
        <is>
          <t>Cedar Ridge Medical Center</t>
        </is>
      </c>
      <c r="F78" t="inlineStr">
        <is>
          <t>Orthopedics</t>
        </is>
      </c>
      <c r="G78" s="42" t="n">
        <v>36812</v>
      </c>
      <c r="H78" s="43" t="n">
        <v>1</v>
      </c>
    </row>
    <row r="79">
      <c r="A79" t="inlineStr">
        <is>
          <t>PRV1078</t>
        </is>
      </c>
      <c r="B79" t="inlineStr">
        <is>
          <t>Hudson, Billy</t>
        </is>
      </c>
      <c r="C79" t="inlineStr">
        <is>
          <t>MD</t>
        </is>
      </c>
      <c r="D79" t="inlineStr">
        <is>
          <t>Orthopedic Surgery</t>
        </is>
      </c>
      <c r="E79" t="inlineStr">
        <is>
          <t>Cedar Ridge Medical Center</t>
        </is>
      </c>
      <c r="F79" t="inlineStr">
        <is>
          <t>Orthopedics</t>
        </is>
      </c>
      <c r="G79" s="42" t="n">
        <v>39766</v>
      </c>
      <c r="H79" s="43" t="n">
        <v>1</v>
      </c>
    </row>
    <row r="80">
      <c r="A80" t="inlineStr">
        <is>
          <t>PRV1079</t>
        </is>
      </c>
      <c r="B80" t="inlineStr">
        <is>
          <t>Wagner, Carlos</t>
        </is>
      </c>
      <c r="C80" t="inlineStr">
        <is>
          <t>MD</t>
        </is>
      </c>
      <c r="D80" t="inlineStr">
        <is>
          <t>Orthopedic Surgery</t>
        </is>
      </c>
      <c r="E80" t="inlineStr">
        <is>
          <t>Bluestone Outpatient Pavilion</t>
        </is>
      </c>
      <c r="F80" t="inlineStr">
        <is>
          <t>Orthopedic Clinic</t>
        </is>
      </c>
      <c r="G80" s="42" t="n">
        <v>42322</v>
      </c>
      <c r="H80" s="43" t="n">
        <v>1</v>
      </c>
    </row>
    <row r="81">
      <c r="A81" t="inlineStr">
        <is>
          <t>PRV1080</t>
        </is>
      </c>
      <c r="B81" t="inlineStr">
        <is>
          <t>Hernandez, Kyle</t>
        </is>
      </c>
      <c r="C81" t="inlineStr">
        <is>
          <t>MD</t>
        </is>
      </c>
      <c r="D81" t="inlineStr">
        <is>
          <t>Orthopedic Surgery</t>
        </is>
      </c>
      <c r="E81" t="inlineStr">
        <is>
          <t>Bluestone Outpatient Pavilion</t>
        </is>
      </c>
      <c r="F81" t="inlineStr">
        <is>
          <t>Orthopedic Clinic</t>
        </is>
      </c>
      <c r="G81" s="42" t="n">
        <v>42699</v>
      </c>
      <c r="H81" s="43" t="n">
        <v>0.9</v>
      </c>
    </row>
    <row r="82">
      <c r="A82" t="inlineStr">
        <is>
          <t>PRV1081</t>
        </is>
      </c>
      <c r="B82" t="inlineStr">
        <is>
          <t>Lewis, Jonathan</t>
        </is>
      </c>
      <c r="C82" t="inlineStr">
        <is>
          <t>PA</t>
        </is>
      </c>
      <c r="D82" t="inlineStr">
        <is>
          <t>Orthopedic Surgery</t>
        </is>
      </c>
      <c r="E82" t="inlineStr">
        <is>
          <t>Bluestone Outpatient Pavilion</t>
        </is>
      </c>
      <c r="F82" t="inlineStr">
        <is>
          <t>Orthopedic Clinic</t>
        </is>
      </c>
      <c r="G82" s="42" t="n">
        <v>39583</v>
      </c>
      <c r="H82" s="43" t="n">
        <v>1</v>
      </c>
    </row>
    <row r="83">
      <c r="A83" t="inlineStr">
        <is>
          <t>PRV1082</t>
        </is>
      </c>
      <c r="B83" t="inlineStr">
        <is>
          <t>Cox, Lori</t>
        </is>
      </c>
      <c r="C83" t="inlineStr">
        <is>
          <t>PA</t>
        </is>
      </c>
      <c r="D83" t="inlineStr">
        <is>
          <t>Orthopedic Surgery</t>
        </is>
      </c>
      <c r="E83" t="inlineStr">
        <is>
          <t>Bluestone Outpatient Pavilion</t>
        </is>
      </c>
      <c r="F83" t="inlineStr">
        <is>
          <t>Orthopedic Clinic</t>
        </is>
      </c>
      <c r="G83" s="42" t="n">
        <v>38504</v>
      </c>
      <c r="H83" s="43" t="n">
        <v>0.6</v>
      </c>
    </row>
    <row r="84">
      <c r="A84" t="inlineStr">
        <is>
          <t>PRV1083</t>
        </is>
      </c>
      <c r="B84" t="inlineStr">
        <is>
          <t>White, Kathleen</t>
        </is>
      </c>
      <c r="C84" t="inlineStr">
        <is>
          <t>MD</t>
        </is>
      </c>
      <c r="D84" t="inlineStr">
        <is>
          <t>General Surgery</t>
        </is>
      </c>
      <c r="E84" t="inlineStr">
        <is>
          <t>Bluestone Memorial Hospital</t>
        </is>
      </c>
      <c r="F84" t="inlineStr">
        <is>
          <t>Perioperative Services</t>
        </is>
      </c>
      <c r="G84" s="42" t="n">
        <v>43849</v>
      </c>
      <c r="H84" s="43" t="n">
        <v>0.5</v>
      </c>
    </row>
    <row r="85">
      <c r="A85" t="inlineStr">
        <is>
          <t>PRV1084</t>
        </is>
      </c>
      <c r="B85" t="inlineStr">
        <is>
          <t>Lopez, Teresa</t>
        </is>
      </c>
      <c r="C85" t="inlineStr">
        <is>
          <t>MD</t>
        </is>
      </c>
      <c r="D85" t="inlineStr">
        <is>
          <t>General Surgery</t>
        </is>
      </c>
      <c r="E85" t="inlineStr">
        <is>
          <t>Bluestone Memorial Hospital</t>
        </is>
      </c>
      <c r="F85" t="inlineStr">
        <is>
          <t>Perioperative Services</t>
        </is>
      </c>
      <c r="G85" s="42" t="n">
        <v>36244</v>
      </c>
      <c r="H85" s="43" t="n">
        <v>0.9</v>
      </c>
    </row>
    <row r="86">
      <c r="A86" t="inlineStr">
        <is>
          <t>PRV1085</t>
        </is>
      </c>
      <c r="B86" t="inlineStr">
        <is>
          <t>Ramirez, Jordan</t>
        </is>
      </c>
      <c r="C86" t="inlineStr">
        <is>
          <t>MD</t>
        </is>
      </c>
      <c r="D86" t="inlineStr">
        <is>
          <t>General Surgery</t>
        </is>
      </c>
      <c r="E86" t="inlineStr">
        <is>
          <t>Bluestone Memorial Hospital</t>
        </is>
      </c>
      <c r="F86" t="inlineStr">
        <is>
          <t>Perioperative Services</t>
        </is>
      </c>
      <c r="G86" s="42" t="n">
        <v>39920</v>
      </c>
      <c r="H86" s="43" t="n">
        <v>1</v>
      </c>
    </row>
    <row r="87">
      <c r="A87" t="inlineStr">
        <is>
          <t>PRV1086</t>
        </is>
      </c>
      <c r="B87" t="inlineStr">
        <is>
          <t>Haddad, David</t>
        </is>
      </c>
      <c r="C87" t="inlineStr">
        <is>
          <t>MD</t>
        </is>
      </c>
      <c r="D87" t="inlineStr">
        <is>
          <t>General Surgery</t>
        </is>
      </c>
      <c r="E87" t="inlineStr">
        <is>
          <t>Bluestone Memorial Hospital</t>
        </is>
      </c>
      <c r="F87" t="inlineStr">
        <is>
          <t>Perioperative Services</t>
        </is>
      </c>
      <c r="G87" s="42" t="n">
        <v>42562</v>
      </c>
      <c r="H87" s="43" t="n">
        <v>1</v>
      </c>
    </row>
    <row r="88">
      <c r="A88" t="inlineStr">
        <is>
          <t>PRV1087</t>
        </is>
      </c>
      <c r="B88" t="inlineStr">
        <is>
          <t>Kim, Jeffrey</t>
        </is>
      </c>
      <c r="C88" t="inlineStr">
        <is>
          <t>DO</t>
        </is>
      </c>
      <c r="D88" t="inlineStr">
        <is>
          <t>General Surgery</t>
        </is>
      </c>
      <c r="E88" t="inlineStr">
        <is>
          <t>Bluestone Memorial Hospital</t>
        </is>
      </c>
      <c r="F88" t="inlineStr">
        <is>
          <t>Perioperative Services</t>
        </is>
      </c>
      <c r="G88" s="42" t="n">
        <v>43915</v>
      </c>
      <c r="H88" s="43" t="n">
        <v>1</v>
      </c>
    </row>
    <row r="89">
      <c r="A89" t="inlineStr">
        <is>
          <t>PRV1088</t>
        </is>
      </c>
      <c r="B89" t="inlineStr">
        <is>
          <t>Perkins, Stephen</t>
        </is>
      </c>
      <c r="C89" t="inlineStr">
        <is>
          <t>MD</t>
        </is>
      </c>
      <c r="D89" t="inlineStr">
        <is>
          <t>General Surgery</t>
        </is>
      </c>
      <c r="E89" t="inlineStr">
        <is>
          <t>Ashby Falls Community Hospital</t>
        </is>
      </c>
      <c r="F89" t="inlineStr">
        <is>
          <t>Medical-Surgical</t>
        </is>
      </c>
      <c r="G89" s="42" t="n">
        <v>42480</v>
      </c>
      <c r="H89" s="43" t="n">
        <v>1</v>
      </c>
    </row>
    <row r="90">
      <c r="A90" t="inlineStr">
        <is>
          <t>PRV1089</t>
        </is>
      </c>
      <c r="B90" t="inlineStr">
        <is>
          <t>Lane, Dylan</t>
        </is>
      </c>
      <c r="C90" t="inlineStr">
        <is>
          <t>DO</t>
        </is>
      </c>
      <c r="D90" t="inlineStr">
        <is>
          <t>General Surgery</t>
        </is>
      </c>
      <c r="E90" t="inlineStr">
        <is>
          <t>Cedar Ridge Medical Center</t>
        </is>
      </c>
      <c r="F90" t="inlineStr">
        <is>
          <t>Medical-Surgical</t>
        </is>
      </c>
      <c r="G90" s="42" t="n">
        <v>37514</v>
      </c>
      <c r="H90" s="43" t="n">
        <v>0.8</v>
      </c>
    </row>
    <row r="91">
      <c r="A91" t="inlineStr">
        <is>
          <t>PRV1090</t>
        </is>
      </c>
      <c r="B91" t="inlineStr">
        <is>
          <t>Price, Carol</t>
        </is>
      </c>
      <c r="C91" t="inlineStr">
        <is>
          <t>MD</t>
        </is>
      </c>
      <c r="D91" t="inlineStr">
        <is>
          <t>General Surgery</t>
        </is>
      </c>
      <c r="E91" t="inlineStr">
        <is>
          <t>Cedar Ridge Medical Center</t>
        </is>
      </c>
      <c r="F91" t="inlineStr">
        <is>
          <t>Medical-Surgical</t>
        </is>
      </c>
      <c r="G91" s="42" t="n">
        <v>39373</v>
      </c>
      <c r="H91" s="43" t="n">
        <v>1</v>
      </c>
    </row>
    <row r="92">
      <c r="A92" t="inlineStr">
        <is>
          <t>PRV1091</t>
        </is>
      </c>
      <c r="B92" t="inlineStr">
        <is>
          <t>Watson, Frank</t>
        </is>
      </c>
      <c r="C92" t="inlineStr">
        <is>
          <t>MD</t>
        </is>
      </c>
      <c r="D92" t="inlineStr">
        <is>
          <t>Obstetrics &amp; Gynecology</t>
        </is>
      </c>
      <c r="E92" t="inlineStr">
        <is>
          <t>Bluestone Memorial Hospital</t>
        </is>
      </c>
      <c r="F92" t="inlineStr">
        <is>
          <t>Labor &amp; Delivery</t>
        </is>
      </c>
      <c r="G92" s="42" t="n">
        <v>38121</v>
      </c>
      <c r="H92" s="43" t="n">
        <v>0.6</v>
      </c>
    </row>
    <row r="93">
      <c r="A93" t="inlineStr">
        <is>
          <t>PRV1092</t>
        </is>
      </c>
      <c r="B93" t="inlineStr">
        <is>
          <t>Bradley, Nicole</t>
        </is>
      </c>
      <c r="C93" t="inlineStr">
        <is>
          <t>MD</t>
        </is>
      </c>
      <c r="D93" t="inlineStr">
        <is>
          <t>Obstetrics &amp; Gynecology</t>
        </is>
      </c>
      <c r="E93" t="inlineStr">
        <is>
          <t>Bluestone Memorial Hospital</t>
        </is>
      </c>
      <c r="F93" t="inlineStr">
        <is>
          <t>Labor &amp; Delivery</t>
        </is>
      </c>
      <c r="G93" s="42" t="n">
        <v>45187</v>
      </c>
      <c r="H93" s="43" t="n">
        <v>1</v>
      </c>
    </row>
    <row r="94">
      <c r="A94" t="inlineStr">
        <is>
          <t>PRV1093</t>
        </is>
      </c>
      <c r="B94" t="inlineStr">
        <is>
          <t>James, Pamela</t>
        </is>
      </c>
      <c r="C94" t="inlineStr">
        <is>
          <t>DO</t>
        </is>
      </c>
      <c r="D94" t="inlineStr">
        <is>
          <t>Obstetrics &amp; Gynecology</t>
        </is>
      </c>
      <c r="E94" t="inlineStr">
        <is>
          <t>Bluestone Memorial Hospital</t>
        </is>
      </c>
      <c r="F94" t="inlineStr">
        <is>
          <t>Labor &amp; Delivery</t>
        </is>
      </c>
      <c r="G94" s="42" t="n">
        <v>41843</v>
      </c>
      <c r="H94" s="43" t="n">
        <v>0.5</v>
      </c>
    </row>
    <row r="95">
      <c r="A95" t="inlineStr">
        <is>
          <t>PRV1094</t>
        </is>
      </c>
      <c r="B95" t="inlineStr">
        <is>
          <t>Hill, Andrea</t>
        </is>
      </c>
      <c r="C95" t="inlineStr">
        <is>
          <t>DO</t>
        </is>
      </c>
      <c r="D95" t="inlineStr">
        <is>
          <t>Obstetrics &amp; Gynecology</t>
        </is>
      </c>
      <c r="E95" t="inlineStr">
        <is>
          <t>Bluestone Memorial Hospital</t>
        </is>
      </c>
      <c r="F95" t="inlineStr">
        <is>
          <t>Labor &amp; Delivery</t>
        </is>
      </c>
      <c r="G95" s="42" t="n">
        <v>41673</v>
      </c>
      <c r="H95" s="43" t="n">
        <v>1</v>
      </c>
    </row>
    <row r="96">
      <c r="A96" t="inlineStr">
        <is>
          <t>PRV1095</t>
        </is>
      </c>
      <c r="B96" t="inlineStr">
        <is>
          <t>Taylor, Lauren</t>
        </is>
      </c>
      <c r="C96" t="inlineStr">
        <is>
          <t>MD</t>
        </is>
      </c>
      <c r="D96" t="inlineStr">
        <is>
          <t>Obstetrics &amp; Gynecology</t>
        </is>
      </c>
      <c r="E96" t="inlineStr">
        <is>
          <t>Bluestone Memorial Hospital</t>
        </is>
      </c>
      <c r="F96" t="inlineStr">
        <is>
          <t>Labor &amp; Delivery</t>
        </is>
      </c>
      <c r="G96" s="42" t="n">
        <v>44361</v>
      </c>
      <c r="H96" s="43" t="n">
        <v>1</v>
      </c>
    </row>
    <row r="97">
      <c r="A97" t="inlineStr">
        <is>
          <t>PRV1096</t>
        </is>
      </c>
      <c r="B97" t="inlineStr">
        <is>
          <t>Arnold, Marie</t>
        </is>
      </c>
      <c r="C97" t="inlineStr">
        <is>
          <t>CNM</t>
        </is>
      </c>
      <c r="D97" t="inlineStr">
        <is>
          <t>Obstetrics &amp; Gynecology</t>
        </is>
      </c>
      <c r="E97" t="inlineStr">
        <is>
          <t>Bluestone Memorial Hospital</t>
        </is>
      </c>
      <c r="F97" t="inlineStr">
        <is>
          <t>Labor &amp; Delivery</t>
        </is>
      </c>
      <c r="G97" s="42" t="n">
        <v>40990</v>
      </c>
      <c r="H97" s="43" t="n">
        <v>1</v>
      </c>
    </row>
    <row r="98">
      <c r="A98" t="inlineStr">
        <is>
          <t>PRV1097</t>
        </is>
      </c>
      <c r="B98" t="inlineStr">
        <is>
          <t>Phillips, Sophia</t>
        </is>
      </c>
      <c r="C98" t="inlineStr">
        <is>
          <t>CNM</t>
        </is>
      </c>
      <c r="D98" t="inlineStr">
        <is>
          <t>Obstetrics &amp; Gynecology</t>
        </is>
      </c>
      <c r="E98" t="inlineStr">
        <is>
          <t>Bluestone Memorial Hospital</t>
        </is>
      </c>
      <c r="F98" t="inlineStr">
        <is>
          <t>Labor &amp; Delivery</t>
        </is>
      </c>
      <c r="G98" s="42" t="n">
        <v>40188</v>
      </c>
      <c r="H98" s="43" t="n">
        <v>0.8</v>
      </c>
    </row>
    <row r="99">
      <c r="A99" t="inlineStr">
        <is>
          <t>PRV1098</t>
        </is>
      </c>
      <c r="B99" t="inlineStr">
        <is>
          <t>Rivera, Frances</t>
        </is>
      </c>
      <c r="C99" t="inlineStr">
        <is>
          <t>MD</t>
        </is>
      </c>
      <c r="D99" t="inlineStr">
        <is>
          <t>Obstetrics &amp; Gynecology</t>
        </is>
      </c>
      <c r="E99" t="inlineStr">
        <is>
          <t>Ashby Falls Community Hospital</t>
        </is>
      </c>
      <c r="F99" t="inlineStr">
        <is>
          <t>Labor &amp; Delivery</t>
        </is>
      </c>
      <c r="G99" s="42" t="n">
        <v>37055</v>
      </c>
      <c r="H99" s="43" t="n">
        <v>1</v>
      </c>
    </row>
    <row r="100">
      <c r="A100" t="inlineStr">
        <is>
          <t>PRV1099</t>
        </is>
      </c>
      <c r="B100" t="inlineStr">
        <is>
          <t>Gardner, Jeremy</t>
        </is>
      </c>
      <c r="C100" t="inlineStr">
        <is>
          <t>MD</t>
        </is>
      </c>
      <c r="D100" t="inlineStr">
        <is>
          <t>Obstetrics &amp; Gynecology</t>
        </is>
      </c>
      <c r="E100" t="inlineStr">
        <is>
          <t>Ashby Falls Community Hospital</t>
        </is>
      </c>
      <c r="F100" t="inlineStr">
        <is>
          <t>Labor &amp; Delivery</t>
        </is>
      </c>
      <c r="G100" s="42" t="n">
        <v>35947</v>
      </c>
      <c r="H100" s="43" t="n">
        <v>1</v>
      </c>
    </row>
    <row r="101">
      <c r="A101" t="inlineStr">
        <is>
          <t>PRV1100</t>
        </is>
      </c>
      <c r="B101" t="inlineStr">
        <is>
          <t>Soto, Michael</t>
        </is>
      </c>
      <c r="C101" t="inlineStr">
        <is>
          <t>MD</t>
        </is>
      </c>
      <c r="D101" t="inlineStr">
        <is>
          <t>Pediatrics</t>
        </is>
      </c>
      <c r="E101" t="inlineStr">
        <is>
          <t>Bluestone Memorial Hospital</t>
        </is>
      </c>
      <c r="F101" t="inlineStr">
        <is>
          <t>Pediatrics</t>
        </is>
      </c>
      <c r="G101" s="42" t="n">
        <v>37387</v>
      </c>
      <c r="H101" s="43" t="n">
        <v>1</v>
      </c>
    </row>
    <row r="102">
      <c r="A102" t="inlineStr">
        <is>
          <t>PRV1101</t>
        </is>
      </c>
      <c r="B102" t="inlineStr">
        <is>
          <t>Soto, Emma</t>
        </is>
      </c>
      <c r="C102" t="inlineStr">
        <is>
          <t>MD</t>
        </is>
      </c>
      <c r="D102" t="inlineStr">
        <is>
          <t>Pediatrics</t>
        </is>
      </c>
      <c r="E102" t="inlineStr">
        <is>
          <t>Bluestone Memorial Hospital</t>
        </is>
      </c>
      <c r="F102" t="inlineStr">
        <is>
          <t>Pediatrics</t>
        </is>
      </c>
      <c r="G102" s="42" t="n">
        <v>42885</v>
      </c>
      <c r="H102" s="43" t="n">
        <v>1</v>
      </c>
    </row>
    <row r="103">
      <c r="A103" t="inlineStr">
        <is>
          <t>PRV1102</t>
        </is>
      </c>
      <c r="B103" t="inlineStr">
        <is>
          <t>Wagner, Sara</t>
        </is>
      </c>
      <c r="C103" t="inlineStr">
        <is>
          <t>MD</t>
        </is>
      </c>
      <c r="D103" t="inlineStr">
        <is>
          <t>Pediatrics</t>
        </is>
      </c>
      <c r="E103" t="inlineStr">
        <is>
          <t>Bluestone Memorial Hospital</t>
        </is>
      </c>
      <c r="F103" t="inlineStr">
        <is>
          <t>Pediatrics</t>
        </is>
      </c>
      <c r="G103" s="42" t="n">
        <v>44637</v>
      </c>
      <c r="H103" s="43" t="n">
        <v>1</v>
      </c>
    </row>
    <row r="104">
      <c r="A104" t="inlineStr">
        <is>
          <t>PRV1103</t>
        </is>
      </c>
      <c r="B104" t="inlineStr">
        <is>
          <t>Osei, Jose</t>
        </is>
      </c>
      <c r="C104" t="inlineStr">
        <is>
          <t>MD</t>
        </is>
      </c>
      <c r="D104" t="inlineStr">
        <is>
          <t>Pediatrics</t>
        </is>
      </c>
      <c r="E104" t="inlineStr">
        <is>
          <t>Bluestone Memorial Hospital</t>
        </is>
      </c>
      <c r="F104" t="inlineStr">
        <is>
          <t>Pediatrics</t>
        </is>
      </c>
      <c r="G104" s="42" t="n">
        <v>36625</v>
      </c>
      <c r="H104" s="43" t="n">
        <v>1</v>
      </c>
    </row>
    <row r="105">
      <c r="A105" t="inlineStr">
        <is>
          <t>PRV1104</t>
        </is>
      </c>
      <c r="B105" t="inlineStr">
        <is>
          <t>Herrera, Christian</t>
        </is>
      </c>
      <c r="C105" t="inlineStr">
        <is>
          <t>MD</t>
        </is>
      </c>
      <c r="D105" t="inlineStr">
        <is>
          <t>Pediatrics</t>
        </is>
      </c>
      <c r="E105" t="inlineStr">
        <is>
          <t>Bluestone Outpatient Pavilion</t>
        </is>
      </c>
      <c r="F105" t="inlineStr">
        <is>
          <t>Pediatric Clinic</t>
        </is>
      </c>
      <c r="G105" s="42" t="n">
        <v>39925</v>
      </c>
      <c r="H105" s="43" t="n">
        <v>1</v>
      </c>
    </row>
    <row r="106">
      <c r="A106" t="inlineStr">
        <is>
          <t>PRV1105</t>
        </is>
      </c>
      <c r="B106" t="inlineStr">
        <is>
          <t>Wallace, Kevin</t>
        </is>
      </c>
      <c r="C106" t="inlineStr">
        <is>
          <t>MD</t>
        </is>
      </c>
      <c r="D106" t="inlineStr">
        <is>
          <t>Pediatrics</t>
        </is>
      </c>
      <c r="E106" t="inlineStr">
        <is>
          <t>Bluestone Outpatient Pavilion</t>
        </is>
      </c>
      <c r="F106" t="inlineStr">
        <is>
          <t>Pediatric Clinic</t>
        </is>
      </c>
      <c r="G106" s="42" t="n">
        <v>39217</v>
      </c>
      <c r="H106" s="43" t="n">
        <v>0.6</v>
      </c>
    </row>
    <row r="107">
      <c r="A107" t="inlineStr">
        <is>
          <t>PRV1106</t>
        </is>
      </c>
      <c r="B107" t="inlineStr">
        <is>
          <t>Alvarez, Susan</t>
        </is>
      </c>
      <c r="C107" t="inlineStr">
        <is>
          <t>DO</t>
        </is>
      </c>
      <c r="D107" t="inlineStr">
        <is>
          <t>Pediatrics</t>
        </is>
      </c>
      <c r="E107" t="inlineStr">
        <is>
          <t>Bluestone Outpatient Pavilion</t>
        </is>
      </c>
      <c r="F107" t="inlineStr">
        <is>
          <t>Pediatric Clinic</t>
        </is>
      </c>
      <c r="G107" s="42" t="n">
        <v>45058</v>
      </c>
      <c r="H107" s="43" t="n">
        <v>0.8</v>
      </c>
    </row>
    <row r="108">
      <c r="A108" t="inlineStr">
        <is>
          <t>PRV1107</t>
        </is>
      </c>
      <c r="B108" t="inlineStr">
        <is>
          <t>Aguilar, Linh</t>
        </is>
      </c>
      <c r="C108" t="inlineStr">
        <is>
          <t>MD</t>
        </is>
      </c>
      <c r="D108" t="inlineStr">
        <is>
          <t>Pediatrics</t>
        </is>
      </c>
      <c r="E108" t="inlineStr">
        <is>
          <t>Bluestone Outpatient Pavilion</t>
        </is>
      </c>
      <c r="F108" t="inlineStr">
        <is>
          <t>Pediatric Clinic</t>
        </is>
      </c>
      <c r="G108" s="42" t="n">
        <v>37334</v>
      </c>
      <c r="H108" s="43" t="n">
        <v>1</v>
      </c>
    </row>
    <row r="109">
      <c r="A109" t="inlineStr">
        <is>
          <t>PRV1108</t>
        </is>
      </c>
      <c r="B109" t="inlineStr">
        <is>
          <t>Brown, Stephanie</t>
        </is>
      </c>
      <c r="C109" t="inlineStr">
        <is>
          <t>NP</t>
        </is>
      </c>
      <c r="D109" t="inlineStr">
        <is>
          <t>Pediatrics</t>
        </is>
      </c>
      <c r="E109" t="inlineStr">
        <is>
          <t>Bluestone Outpatient Pavilion</t>
        </is>
      </c>
      <c r="F109" t="inlineStr">
        <is>
          <t>Pediatric Clinic</t>
        </is>
      </c>
      <c r="G109" s="42" t="n">
        <v>37427</v>
      </c>
      <c r="H109" s="43" t="n">
        <v>1</v>
      </c>
    </row>
    <row r="110">
      <c r="A110" t="inlineStr">
        <is>
          <t>PRV1109</t>
        </is>
      </c>
      <c r="B110" t="inlineStr">
        <is>
          <t>Robertson, Eric</t>
        </is>
      </c>
      <c r="C110" t="inlineStr">
        <is>
          <t>MD</t>
        </is>
      </c>
      <c r="D110" t="inlineStr">
        <is>
          <t>Hematology &amp; Oncology</t>
        </is>
      </c>
      <c r="E110" t="inlineStr">
        <is>
          <t>Bluestone Memorial Hospital</t>
        </is>
      </c>
      <c r="F110" t="inlineStr">
        <is>
          <t>Oncology</t>
        </is>
      </c>
      <c r="G110" s="42" t="n">
        <v>39529</v>
      </c>
      <c r="H110" s="43" t="n">
        <v>1</v>
      </c>
    </row>
    <row r="111">
      <c r="A111" t="inlineStr">
        <is>
          <t>PRV1110</t>
        </is>
      </c>
      <c r="B111" t="inlineStr">
        <is>
          <t>Hughes, Larry</t>
        </is>
      </c>
      <c r="C111" t="inlineStr">
        <is>
          <t>MD</t>
        </is>
      </c>
      <c r="D111" t="inlineStr">
        <is>
          <t>Hematology &amp; Oncology</t>
        </is>
      </c>
      <c r="E111" t="inlineStr">
        <is>
          <t>Bluestone Memorial Hospital</t>
        </is>
      </c>
      <c r="F111" t="inlineStr">
        <is>
          <t>Oncology</t>
        </is>
      </c>
      <c r="G111" s="42" t="n">
        <v>37791</v>
      </c>
      <c r="H111" s="43" t="n">
        <v>1</v>
      </c>
    </row>
    <row r="112">
      <c r="A112" t="inlineStr">
        <is>
          <t>PRV1111</t>
        </is>
      </c>
      <c r="B112" t="inlineStr">
        <is>
          <t>Gray, Fatima</t>
        </is>
      </c>
      <c r="C112" t="inlineStr">
        <is>
          <t>MD</t>
        </is>
      </c>
      <c r="D112" t="inlineStr">
        <is>
          <t>Hematology &amp; Oncology</t>
        </is>
      </c>
      <c r="E112" t="inlineStr">
        <is>
          <t>Bluestone Memorial Hospital</t>
        </is>
      </c>
      <c r="F112" t="inlineStr">
        <is>
          <t>Oncology</t>
        </is>
      </c>
      <c r="G112" s="42" t="n">
        <v>40680</v>
      </c>
      <c r="H112" s="43" t="n">
        <v>0.8</v>
      </c>
    </row>
    <row r="113">
      <c r="A113" t="inlineStr">
        <is>
          <t>PRV1112</t>
        </is>
      </c>
      <c r="B113" t="inlineStr">
        <is>
          <t>Hicks, Zachary</t>
        </is>
      </c>
      <c r="C113" t="inlineStr">
        <is>
          <t>MD</t>
        </is>
      </c>
      <c r="D113" t="inlineStr">
        <is>
          <t>Hematology &amp; Oncology</t>
        </is>
      </c>
      <c r="E113" t="inlineStr">
        <is>
          <t>Bluestone Outpatient Pavilion</t>
        </is>
      </c>
      <c r="F113" t="inlineStr">
        <is>
          <t>Infusion &amp; Oncology Clinic</t>
        </is>
      </c>
      <c r="G113" s="42" t="n">
        <v>40126</v>
      </c>
      <c r="H113" s="43" t="n">
        <v>1</v>
      </c>
    </row>
    <row r="114">
      <c r="A114" t="inlineStr">
        <is>
          <t>PRV1113</t>
        </is>
      </c>
      <c r="B114" t="inlineStr">
        <is>
          <t>Long, Fatima</t>
        </is>
      </c>
      <c r="C114" t="inlineStr">
        <is>
          <t>MD</t>
        </is>
      </c>
      <c r="D114" t="inlineStr">
        <is>
          <t>Hematology &amp; Oncology</t>
        </is>
      </c>
      <c r="E114" t="inlineStr">
        <is>
          <t>Bluestone Outpatient Pavilion</t>
        </is>
      </c>
      <c r="F114" t="inlineStr">
        <is>
          <t>Infusion &amp; Oncology Clinic</t>
        </is>
      </c>
      <c r="G114" s="42" t="n">
        <v>37629</v>
      </c>
      <c r="H114" s="43" t="n">
        <v>1</v>
      </c>
    </row>
    <row r="115">
      <c r="A115" t="inlineStr">
        <is>
          <t>PRV1114</t>
        </is>
      </c>
      <c r="B115" t="inlineStr">
        <is>
          <t>Cooper, Logan</t>
        </is>
      </c>
      <c r="C115" t="inlineStr">
        <is>
          <t>MD</t>
        </is>
      </c>
      <c r="D115" t="inlineStr">
        <is>
          <t>Hematology &amp; Oncology</t>
        </is>
      </c>
      <c r="E115" t="inlineStr">
        <is>
          <t>Bluestone Outpatient Pavilion</t>
        </is>
      </c>
      <c r="F115" t="inlineStr">
        <is>
          <t>Infusion &amp; Oncology Clinic</t>
        </is>
      </c>
      <c r="G115" s="42" t="n">
        <v>38430</v>
      </c>
      <c r="H115" s="43" t="n">
        <v>1</v>
      </c>
    </row>
    <row r="116">
      <c r="A116" t="inlineStr">
        <is>
          <t>PRV1115</t>
        </is>
      </c>
      <c r="B116" t="inlineStr">
        <is>
          <t>Robinson, Bradley</t>
        </is>
      </c>
      <c r="C116" t="inlineStr">
        <is>
          <t>NP</t>
        </is>
      </c>
      <c r="D116" t="inlineStr">
        <is>
          <t>Hematology &amp; Oncology</t>
        </is>
      </c>
      <c r="E116" t="inlineStr">
        <is>
          <t>Bluestone Outpatient Pavilion</t>
        </is>
      </c>
      <c r="F116" t="inlineStr">
        <is>
          <t>Infusion &amp; Oncology Clinic</t>
        </is>
      </c>
      <c r="G116" s="42" t="n">
        <v>40770</v>
      </c>
      <c r="H116" s="43" t="n">
        <v>1</v>
      </c>
    </row>
    <row r="117">
      <c r="A117" t="inlineStr">
        <is>
          <t>PRV1116</t>
        </is>
      </c>
      <c r="B117" t="inlineStr">
        <is>
          <t>Abbott, Isabella</t>
        </is>
      </c>
      <c r="C117" t="inlineStr">
        <is>
          <t>MD</t>
        </is>
      </c>
      <c r="D117" t="inlineStr">
        <is>
          <t>Neurology</t>
        </is>
      </c>
      <c r="E117" t="inlineStr">
        <is>
          <t>Bluestone Memorial Hospital</t>
        </is>
      </c>
      <c r="F117" t="inlineStr">
        <is>
          <t>Neuroscience &amp; Stroke</t>
        </is>
      </c>
      <c r="G117" s="42" t="n">
        <v>44450</v>
      </c>
      <c r="H117" s="43" t="n">
        <v>1</v>
      </c>
    </row>
    <row r="118">
      <c r="A118" t="inlineStr">
        <is>
          <t>PRV1117</t>
        </is>
      </c>
      <c r="B118" t="inlineStr">
        <is>
          <t>Garcia, Alexis</t>
        </is>
      </c>
      <c r="C118" t="inlineStr">
        <is>
          <t>MD</t>
        </is>
      </c>
      <c r="D118" t="inlineStr">
        <is>
          <t>Neurology</t>
        </is>
      </c>
      <c r="E118" t="inlineStr">
        <is>
          <t>Bluestone Memorial Hospital</t>
        </is>
      </c>
      <c r="F118" t="inlineStr">
        <is>
          <t>Neuroscience &amp; Stroke</t>
        </is>
      </c>
      <c r="G118" s="42" t="n">
        <v>37549</v>
      </c>
      <c r="H118" s="43" t="n">
        <v>1</v>
      </c>
    </row>
    <row r="119">
      <c r="A119" t="inlineStr">
        <is>
          <t>PRV1118</t>
        </is>
      </c>
      <c r="B119" t="inlineStr">
        <is>
          <t>Stone, Frank</t>
        </is>
      </c>
      <c r="C119" t="inlineStr">
        <is>
          <t>MD</t>
        </is>
      </c>
      <c r="D119" t="inlineStr">
        <is>
          <t>Neurology</t>
        </is>
      </c>
      <c r="E119" t="inlineStr">
        <is>
          <t>Bluestone Memorial Hospital</t>
        </is>
      </c>
      <c r="F119" t="inlineStr">
        <is>
          <t>Neuroscience &amp; Stroke</t>
        </is>
      </c>
      <c r="G119" s="42" t="n">
        <v>36851</v>
      </c>
      <c r="H119" s="43" t="n">
        <v>0.9</v>
      </c>
    </row>
    <row r="120">
      <c r="A120" t="inlineStr">
        <is>
          <t>PRV1119</t>
        </is>
      </c>
      <c r="B120" t="inlineStr">
        <is>
          <t>Lindqvist, Joe</t>
        </is>
      </c>
      <c r="C120" t="inlineStr">
        <is>
          <t>MD</t>
        </is>
      </c>
      <c r="D120" t="inlineStr">
        <is>
          <t>Psychiatry</t>
        </is>
      </c>
      <c r="E120" t="inlineStr">
        <is>
          <t>Bluestone Memorial Hospital</t>
        </is>
      </c>
      <c r="F120" t="inlineStr">
        <is>
          <t>Behavioral Health</t>
        </is>
      </c>
      <c r="G120" s="42" t="n">
        <v>42364</v>
      </c>
      <c r="H120" s="43" t="n">
        <v>1</v>
      </c>
    </row>
    <row r="121">
      <c r="A121" t="inlineStr">
        <is>
          <t>PRV1120</t>
        </is>
      </c>
      <c r="B121" t="inlineStr">
        <is>
          <t>Elliott, Emma</t>
        </is>
      </c>
      <c r="C121" t="inlineStr">
        <is>
          <t>MD</t>
        </is>
      </c>
      <c r="D121" t="inlineStr">
        <is>
          <t>Psychiatry</t>
        </is>
      </c>
      <c r="E121" t="inlineStr">
        <is>
          <t>Bluestone Memorial Hospital</t>
        </is>
      </c>
      <c r="F121" t="inlineStr">
        <is>
          <t>Behavioral Health</t>
        </is>
      </c>
      <c r="G121" s="42" t="n">
        <v>41179</v>
      </c>
      <c r="H121" s="43" t="n">
        <v>1</v>
      </c>
    </row>
    <row r="122">
      <c r="A122" t="inlineStr">
        <is>
          <t>PRV1121</t>
        </is>
      </c>
      <c r="B122" t="inlineStr">
        <is>
          <t>Herrera, Ivan</t>
        </is>
      </c>
      <c r="C122" t="inlineStr">
        <is>
          <t>MD</t>
        </is>
      </c>
      <c r="D122" t="inlineStr">
        <is>
          <t>Psychiatry</t>
        </is>
      </c>
      <c r="E122" t="inlineStr">
        <is>
          <t>Bluestone Memorial Hospital</t>
        </is>
      </c>
      <c r="F122" t="inlineStr">
        <is>
          <t>Behavioral Health</t>
        </is>
      </c>
      <c r="G122" s="42" t="n">
        <v>44489</v>
      </c>
      <c r="H122" s="43" t="n">
        <v>1</v>
      </c>
    </row>
    <row r="123">
      <c r="A123" t="inlineStr">
        <is>
          <t>PRV1122</t>
        </is>
      </c>
      <c r="B123" t="inlineStr">
        <is>
          <t>Clark, Frank</t>
        </is>
      </c>
      <c r="C123" t="inlineStr">
        <is>
          <t>DO</t>
        </is>
      </c>
      <c r="D123" t="inlineStr">
        <is>
          <t>Psychiatry</t>
        </is>
      </c>
      <c r="E123" t="inlineStr">
        <is>
          <t>Bluestone Memorial Hospital</t>
        </is>
      </c>
      <c r="F123" t="inlineStr">
        <is>
          <t>Behavioral Health</t>
        </is>
      </c>
      <c r="G123" s="42" t="n">
        <v>38752</v>
      </c>
      <c r="H123" s="43" t="n">
        <v>1</v>
      </c>
    </row>
    <row r="124">
      <c r="A124" t="inlineStr">
        <is>
          <t>PRV1123</t>
        </is>
      </c>
      <c r="B124" t="inlineStr">
        <is>
          <t>Delgado, Amina</t>
        </is>
      </c>
      <c r="C124" t="inlineStr">
        <is>
          <t>NP</t>
        </is>
      </c>
      <c r="D124" t="inlineStr">
        <is>
          <t>Psychiatry</t>
        </is>
      </c>
      <c r="E124" t="inlineStr">
        <is>
          <t>Bluestone Memorial Hospital</t>
        </is>
      </c>
      <c r="F124" t="inlineStr">
        <is>
          <t>Behavioral Health</t>
        </is>
      </c>
      <c r="G124" s="42" t="n">
        <v>36854</v>
      </c>
      <c r="H124" s="43" t="n">
        <v>1</v>
      </c>
    </row>
    <row r="125">
      <c r="A125" t="inlineStr">
        <is>
          <t>PRV1124</t>
        </is>
      </c>
      <c r="B125" t="inlineStr">
        <is>
          <t>Torres, Rebecca</t>
        </is>
      </c>
      <c r="C125" t="inlineStr">
        <is>
          <t>MD</t>
        </is>
      </c>
      <c r="D125" t="inlineStr">
        <is>
          <t>Family Medicine</t>
        </is>
      </c>
      <c r="E125" t="inlineStr">
        <is>
          <t>Bluestone Outpatient Pavilion</t>
        </is>
      </c>
      <c r="F125" t="inlineStr">
        <is>
          <t>Primary Care Clinic</t>
        </is>
      </c>
      <c r="G125" s="42" t="n">
        <v>40491</v>
      </c>
      <c r="H125" s="43" t="n">
        <v>0.9</v>
      </c>
    </row>
    <row r="126">
      <c r="A126" t="inlineStr">
        <is>
          <t>PRV1125</t>
        </is>
      </c>
      <c r="B126" t="inlineStr">
        <is>
          <t>Osei, Julie</t>
        </is>
      </c>
      <c r="C126" t="inlineStr">
        <is>
          <t>MD</t>
        </is>
      </c>
      <c r="D126" t="inlineStr">
        <is>
          <t>Family Medicine</t>
        </is>
      </c>
      <c r="E126" t="inlineStr">
        <is>
          <t>Bluestone Outpatient Pavilion</t>
        </is>
      </c>
      <c r="F126" t="inlineStr">
        <is>
          <t>Primary Care Clinic</t>
        </is>
      </c>
      <c r="G126" s="42" t="n">
        <v>40493</v>
      </c>
      <c r="H126" s="43" t="n">
        <v>1</v>
      </c>
    </row>
    <row r="127">
      <c r="A127" t="inlineStr">
        <is>
          <t>PRV1126</t>
        </is>
      </c>
      <c r="B127" t="inlineStr">
        <is>
          <t>Fisher, Brandon</t>
        </is>
      </c>
      <c r="C127" t="inlineStr">
        <is>
          <t>MD</t>
        </is>
      </c>
      <c r="D127" t="inlineStr">
        <is>
          <t>Family Medicine</t>
        </is>
      </c>
      <c r="E127" t="inlineStr">
        <is>
          <t>Bluestone Outpatient Pavilion</t>
        </is>
      </c>
      <c r="F127" t="inlineStr">
        <is>
          <t>Primary Care Clinic</t>
        </is>
      </c>
      <c r="G127" s="42" t="n">
        <v>44027</v>
      </c>
      <c r="H127" s="43" t="n">
        <v>1</v>
      </c>
    </row>
    <row r="128">
      <c r="A128" t="inlineStr">
        <is>
          <t>PRV1127</t>
        </is>
      </c>
      <c r="B128" t="inlineStr">
        <is>
          <t>Chen, Mei</t>
        </is>
      </c>
      <c r="C128" t="inlineStr">
        <is>
          <t>DO</t>
        </is>
      </c>
      <c r="D128" t="inlineStr">
        <is>
          <t>Family Medicine</t>
        </is>
      </c>
      <c r="E128" t="inlineStr">
        <is>
          <t>Bluestone Outpatient Pavilion</t>
        </is>
      </c>
      <c r="F128" t="inlineStr">
        <is>
          <t>Primary Care Clinic</t>
        </is>
      </c>
      <c r="G128" s="42" t="n">
        <v>44682</v>
      </c>
      <c r="H128" s="43" t="n">
        <v>1</v>
      </c>
    </row>
    <row r="129">
      <c r="A129" t="inlineStr">
        <is>
          <t>PRV1128</t>
        </is>
      </c>
      <c r="B129" t="inlineStr">
        <is>
          <t>Arnold, Catherine</t>
        </is>
      </c>
      <c r="C129" t="inlineStr">
        <is>
          <t>DO</t>
        </is>
      </c>
      <c r="D129" t="inlineStr">
        <is>
          <t>Family Medicine</t>
        </is>
      </c>
      <c r="E129" t="inlineStr">
        <is>
          <t>Bluestone Outpatient Pavilion</t>
        </is>
      </c>
      <c r="F129" t="inlineStr">
        <is>
          <t>Primary Care Clinic</t>
        </is>
      </c>
      <c r="G129" s="42" t="n">
        <v>38736</v>
      </c>
      <c r="H129" s="43" t="n">
        <v>1</v>
      </c>
    </row>
    <row r="130">
      <c r="A130" t="inlineStr">
        <is>
          <t>PRV1129</t>
        </is>
      </c>
      <c r="B130" t="inlineStr">
        <is>
          <t>Black, Nancy</t>
        </is>
      </c>
      <c r="C130" t="inlineStr">
        <is>
          <t>MD</t>
        </is>
      </c>
      <c r="D130" t="inlineStr">
        <is>
          <t>Family Medicine</t>
        </is>
      </c>
      <c r="E130" t="inlineStr">
        <is>
          <t>Bluestone Outpatient Pavilion</t>
        </is>
      </c>
      <c r="F130" t="inlineStr">
        <is>
          <t>Primary Care Clinic</t>
        </is>
      </c>
      <c r="G130" s="42" t="n">
        <v>38486</v>
      </c>
      <c r="H130" s="43" t="n">
        <v>0.6</v>
      </c>
    </row>
    <row r="131">
      <c r="A131" t="inlineStr">
        <is>
          <t>PRV1130</t>
        </is>
      </c>
      <c r="B131" t="inlineStr">
        <is>
          <t>Sullivan, Brenda</t>
        </is>
      </c>
      <c r="C131" t="inlineStr">
        <is>
          <t>MD</t>
        </is>
      </c>
      <c r="D131" t="inlineStr">
        <is>
          <t>Family Medicine</t>
        </is>
      </c>
      <c r="E131" t="inlineStr">
        <is>
          <t>Bluestone Outpatient Pavilion</t>
        </is>
      </c>
      <c r="F131" t="inlineStr">
        <is>
          <t>Primary Care Clinic</t>
        </is>
      </c>
      <c r="G131" s="42" t="n">
        <v>42269</v>
      </c>
      <c r="H131" s="43" t="n">
        <v>1</v>
      </c>
    </row>
    <row r="132">
      <c r="A132" t="inlineStr">
        <is>
          <t>PRV1131</t>
        </is>
      </c>
      <c r="B132" t="inlineStr">
        <is>
          <t>Elliott, Douglas</t>
        </is>
      </c>
      <c r="C132" t="inlineStr">
        <is>
          <t>DO</t>
        </is>
      </c>
      <c r="D132" t="inlineStr">
        <is>
          <t>Family Medicine</t>
        </is>
      </c>
      <c r="E132" t="inlineStr">
        <is>
          <t>Bluestone Outpatient Pavilion</t>
        </is>
      </c>
      <c r="F132" t="inlineStr">
        <is>
          <t>Primary Care Clinic</t>
        </is>
      </c>
      <c r="G132" s="42" t="n">
        <v>42180</v>
      </c>
      <c r="H132" s="43" t="n">
        <v>1</v>
      </c>
    </row>
    <row r="133">
      <c r="A133" t="inlineStr">
        <is>
          <t>PRV1132</t>
        </is>
      </c>
      <c r="B133" t="inlineStr">
        <is>
          <t>Alvarado, George</t>
        </is>
      </c>
      <c r="C133" t="inlineStr">
        <is>
          <t>NP</t>
        </is>
      </c>
      <c r="D133" t="inlineStr">
        <is>
          <t>Family Medicine</t>
        </is>
      </c>
      <c r="E133" t="inlineStr">
        <is>
          <t>Bluestone Outpatient Pavilion</t>
        </is>
      </c>
      <c r="F133" t="inlineStr">
        <is>
          <t>Primary Care Clinic</t>
        </is>
      </c>
      <c r="G133" s="42" t="n">
        <v>38734</v>
      </c>
      <c r="H133" s="43" t="n">
        <v>0.5</v>
      </c>
    </row>
    <row r="134">
      <c r="A134" t="inlineStr">
        <is>
          <t>PRV1133</t>
        </is>
      </c>
      <c r="B134" t="inlineStr">
        <is>
          <t>Santos, Edward</t>
        </is>
      </c>
      <c r="C134" t="inlineStr">
        <is>
          <t>NP</t>
        </is>
      </c>
      <c r="D134" t="inlineStr">
        <is>
          <t>Family Medicine</t>
        </is>
      </c>
      <c r="E134" t="inlineStr">
        <is>
          <t>Bluestone Outpatient Pavilion</t>
        </is>
      </c>
      <c r="F134" t="inlineStr">
        <is>
          <t>Primary Care Clinic</t>
        </is>
      </c>
      <c r="G134" s="42" t="n">
        <v>43654</v>
      </c>
      <c r="H134" s="43" t="n">
        <v>1</v>
      </c>
    </row>
    <row r="135">
      <c r="A135" t="inlineStr">
        <is>
          <t>PRV1134</t>
        </is>
      </c>
      <c r="B135" t="inlineStr">
        <is>
          <t>Vazquez, Carolyn</t>
        </is>
      </c>
      <c r="C135" t="inlineStr">
        <is>
          <t>NP</t>
        </is>
      </c>
      <c r="D135" t="inlineStr">
        <is>
          <t>Family Medicine</t>
        </is>
      </c>
      <c r="E135" t="inlineStr">
        <is>
          <t>Bluestone Outpatient Pavilion</t>
        </is>
      </c>
      <c r="F135" t="inlineStr">
        <is>
          <t>Primary Care Clinic</t>
        </is>
      </c>
      <c r="G135" s="42" t="n">
        <v>36051</v>
      </c>
      <c r="H135" s="43" t="n">
        <v>1</v>
      </c>
    </row>
    <row r="136">
      <c r="A136" t="inlineStr">
        <is>
          <t>PRV1135</t>
        </is>
      </c>
      <c r="B136" t="inlineStr">
        <is>
          <t>Petrov, Doris</t>
        </is>
      </c>
      <c r="C136" t="inlineStr">
        <is>
          <t>PA</t>
        </is>
      </c>
      <c r="D136" t="inlineStr">
        <is>
          <t>Family Medicine</t>
        </is>
      </c>
      <c r="E136" t="inlineStr">
        <is>
          <t>Bluestone Outpatient Pavilion</t>
        </is>
      </c>
      <c r="F136" t="inlineStr">
        <is>
          <t>Primary Care Clinic</t>
        </is>
      </c>
      <c r="G136" s="42" t="n">
        <v>44272</v>
      </c>
      <c r="H136" s="43" t="n">
        <v>1</v>
      </c>
    </row>
    <row r="137">
      <c r="A137" t="inlineStr">
        <is>
          <t>PRV1136</t>
        </is>
      </c>
      <c r="B137" t="inlineStr">
        <is>
          <t>Myers, Lucia</t>
        </is>
      </c>
      <c r="C137" t="inlineStr">
        <is>
          <t>PA</t>
        </is>
      </c>
      <c r="D137" t="inlineStr">
        <is>
          <t>Family Medicine</t>
        </is>
      </c>
      <c r="E137" t="inlineStr">
        <is>
          <t>Bluestone Outpatient Pavilion</t>
        </is>
      </c>
      <c r="F137" t="inlineStr">
        <is>
          <t>Primary Care Clinic</t>
        </is>
      </c>
      <c r="G137" s="42" t="n">
        <v>36333</v>
      </c>
      <c r="H137" s="43" t="n">
        <v>0.8</v>
      </c>
    </row>
    <row r="138">
      <c r="A138" t="inlineStr">
        <is>
          <t>PRV1137</t>
        </is>
      </c>
      <c r="B138" t="inlineStr">
        <is>
          <t>Nguyen, Isabella</t>
        </is>
      </c>
      <c r="C138" t="inlineStr">
        <is>
          <t>MD</t>
        </is>
      </c>
      <c r="D138" t="inlineStr">
        <is>
          <t>Internal Medicine</t>
        </is>
      </c>
      <c r="E138" t="inlineStr">
        <is>
          <t>Bluestone Outpatient Pavilion</t>
        </is>
      </c>
      <c r="F138" t="inlineStr">
        <is>
          <t>Primary Care Clinic</t>
        </is>
      </c>
      <c r="G138" s="42" t="n">
        <v>44658</v>
      </c>
      <c r="H138" s="43" t="n">
        <v>1</v>
      </c>
    </row>
    <row r="139">
      <c r="A139" t="inlineStr">
        <is>
          <t>PRV1138</t>
        </is>
      </c>
      <c r="B139" t="inlineStr">
        <is>
          <t>Bennett, Randy</t>
        </is>
      </c>
      <c r="C139" t="inlineStr">
        <is>
          <t>DO</t>
        </is>
      </c>
      <c r="D139" t="inlineStr">
        <is>
          <t>Internal Medicine</t>
        </is>
      </c>
      <c r="E139" t="inlineStr">
        <is>
          <t>Bluestone Outpatient Pavilion</t>
        </is>
      </c>
      <c r="F139" t="inlineStr">
        <is>
          <t>Primary Care Clinic</t>
        </is>
      </c>
      <c r="G139" s="42" t="n">
        <v>39476</v>
      </c>
      <c r="H139" s="43" t="n">
        <v>1</v>
      </c>
    </row>
    <row r="140">
      <c r="A140" t="inlineStr">
        <is>
          <t>PRV1139</t>
        </is>
      </c>
      <c r="B140" t="inlineStr">
        <is>
          <t>Yilmaz, Richard</t>
        </is>
      </c>
      <c r="C140" t="inlineStr">
        <is>
          <t>MD</t>
        </is>
      </c>
      <c r="D140" t="inlineStr">
        <is>
          <t>Internal Medicine</t>
        </is>
      </c>
      <c r="E140" t="inlineStr">
        <is>
          <t>Bluestone Outpatient Pavilion</t>
        </is>
      </c>
      <c r="F140" t="inlineStr">
        <is>
          <t>Primary Care Clinic</t>
        </is>
      </c>
      <c r="G140" s="42" t="n">
        <v>43129</v>
      </c>
      <c r="H140" s="43" t="n">
        <v>1</v>
      </c>
    </row>
    <row r="141">
      <c r="A141" t="inlineStr">
        <is>
          <t>PRV1140</t>
        </is>
      </c>
      <c r="B141" t="inlineStr">
        <is>
          <t>Black, Kelly</t>
        </is>
      </c>
      <c r="C141" t="inlineStr">
        <is>
          <t>MD</t>
        </is>
      </c>
      <c r="D141" t="inlineStr">
        <is>
          <t>Internal Medicine</t>
        </is>
      </c>
      <c r="E141" t="inlineStr">
        <is>
          <t>Bluestone Outpatient Pavilion</t>
        </is>
      </c>
      <c r="F141" t="inlineStr">
        <is>
          <t>Primary Care Clinic</t>
        </is>
      </c>
      <c r="G141" s="42" t="n">
        <v>36560</v>
      </c>
      <c r="H141" s="43" t="n">
        <v>1</v>
      </c>
    </row>
    <row r="142">
      <c r="A142" t="inlineStr">
        <is>
          <t>PRV1141</t>
        </is>
      </c>
      <c r="B142" t="inlineStr">
        <is>
          <t>Rivera, Scott</t>
        </is>
      </c>
      <c r="C142" t="inlineStr">
        <is>
          <t>MD</t>
        </is>
      </c>
      <c r="D142" t="inlineStr">
        <is>
          <t>Endocrinology</t>
        </is>
      </c>
      <c r="E142" t="inlineStr">
        <is>
          <t>Bluestone Outpatient Pavilion</t>
        </is>
      </c>
      <c r="F142" t="inlineStr">
        <is>
          <t>Endocrinology &amp; Diabetes Clinic</t>
        </is>
      </c>
      <c r="G142" s="42" t="n">
        <v>39676</v>
      </c>
      <c r="H142" s="43" t="n">
        <v>0.8</v>
      </c>
    </row>
    <row r="143">
      <c r="A143" t="inlineStr">
        <is>
          <t>PRV1142</t>
        </is>
      </c>
      <c r="B143" t="inlineStr">
        <is>
          <t>Woods, Larry</t>
        </is>
      </c>
      <c r="C143" t="inlineStr">
        <is>
          <t>MD</t>
        </is>
      </c>
      <c r="D143" t="inlineStr">
        <is>
          <t>Endocrinology</t>
        </is>
      </c>
      <c r="E143" t="inlineStr">
        <is>
          <t>Bluestone Outpatient Pavilion</t>
        </is>
      </c>
      <c r="F143" t="inlineStr">
        <is>
          <t>Endocrinology &amp; Diabetes Clinic</t>
        </is>
      </c>
      <c r="G143" s="42" t="n">
        <v>44899</v>
      </c>
      <c r="H143" s="43" t="n">
        <v>1</v>
      </c>
    </row>
    <row r="144">
      <c r="A144" t="inlineStr">
        <is>
          <t>PRV1143</t>
        </is>
      </c>
      <c r="B144" t="inlineStr">
        <is>
          <t>Lee, Amber</t>
        </is>
      </c>
      <c r="C144" t="inlineStr">
        <is>
          <t>NP</t>
        </is>
      </c>
      <c r="D144" t="inlineStr">
        <is>
          <t>Endocrinology</t>
        </is>
      </c>
      <c r="E144" t="inlineStr">
        <is>
          <t>Bluestone Outpatient Pavilion</t>
        </is>
      </c>
      <c r="F144" t="inlineStr">
        <is>
          <t>Endocrinology &amp; Diabetes Clinic</t>
        </is>
      </c>
      <c r="G144" s="42" t="n">
        <v>41271</v>
      </c>
      <c r="H144" s="43" t="n">
        <v>1</v>
      </c>
    </row>
    <row r="145">
      <c r="A145" t="inlineStr">
        <is>
          <t>PRV1144</t>
        </is>
      </c>
      <c r="B145" t="inlineStr">
        <is>
          <t>Hoffman, Helen</t>
        </is>
      </c>
      <c r="C145" t="inlineStr">
        <is>
          <t>MD</t>
        </is>
      </c>
      <c r="D145" t="inlineStr">
        <is>
          <t>Radiology</t>
        </is>
      </c>
      <c r="E145" t="inlineStr">
        <is>
          <t>Bluestone Memorial Hospital</t>
        </is>
      </c>
      <c r="F145" t="inlineStr">
        <is>
          <t>Radiology</t>
        </is>
      </c>
      <c r="G145" s="42" t="n">
        <v>37982</v>
      </c>
      <c r="H145" s="43" t="n">
        <v>1</v>
      </c>
    </row>
    <row r="146">
      <c r="A146" t="inlineStr">
        <is>
          <t>PRV1145</t>
        </is>
      </c>
      <c r="B146" t="inlineStr">
        <is>
          <t>Henry, Roger</t>
        </is>
      </c>
      <c r="C146" t="inlineStr">
        <is>
          <t>MD</t>
        </is>
      </c>
      <c r="D146" t="inlineStr">
        <is>
          <t>Radiology</t>
        </is>
      </c>
      <c r="E146" t="inlineStr">
        <is>
          <t>Bluestone Memorial Hospital</t>
        </is>
      </c>
      <c r="F146" t="inlineStr">
        <is>
          <t>Radiology</t>
        </is>
      </c>
      <c r="G146" s="42" t="n">
        <v>39915</v>
      </c>
      <c r="H146" s="43" t="n">
        <v>0.5</v>
      </c>
    </row>
    <row r="147">
      <c r="A147" t="inlineStr">
        <is>
          <t>PRV1146</t>
        </is>
      </c>
      <c r="B147" t="inlineStr">
        <is>
          <t>Walker, Joan</t>
        </is>
      </c>
      <c r="C147" t="inlineStr">
        <is>
          <t>MD</t>
        </is>
      </c>
      <c r="D147" t="inlineStr">
        <is>
          <t>Radiology</t>
        </is>
      </c>
      <c r="E147" t="inlineStr">
        <is>
          <t>Bluestone Memorial Hospital</t>
        </is>
      </c>
      <c r="F147" t="inlineStr">
        <is>
          <t>Radiology</t>
        </is>
      </c>
      <c r="G147" s="42" t="n">
        <v>45176</v>
      </c>
      <c r="H147" s="43" t="n">
        <v>0.9</v>
      </c>
    </row>
    <row r="148">
      <c r="A148" t="inlineStr">
        <is>
          <t>PRV1147</t>
        </is>
      </c>
      <c r="B148" t="inlineStr">
        <is>
          <t>Wagner, Natalie</t>
        </is>
      </c>
      <c r="C148" t="inlineStr">
        <is>
          <t>MD</t>
        </is>
      </c>
      <c r="D148" t="inlineStr">
        <is>
          <t>Pathology</t>
        </is>
      </c>
      <c r="E148" t="inlineStr">
        <is>
          <t>Bluestone Memorial Hospital</t>
        </is>
      </c>
      <c r="F148" t="inlineStr">
        <is>
          <t>Laboratory</t>
        </is>
      </c>
      <c r="G148" s="42" t="n">
        <v>40655</v>
      </c>
      <c r="H148" s="43" t="n">
        <v>1</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32"/>
  <sheetViews>
    <sheetView tabSelected="0" workbookViewId="0">
      <pane ySplit="1" topLeftCell="A2" activePane="bottomLeft" state="frozen"/>
      <selection pane="bottomLeft" activeCell="A1" sqref="A1"/>
    </sheetView>
  </sheetViews>
  <sheetFormatPr baseColWidth="8" defaultRowHeight="15"/>
  <cols>
    <col width="9" customWidth="1" min="1" max="1"/>
    <col width="32" customWidth="1" min="2" max="2"/>
    <col width="30" customWidth="1" min="3" max="3"/>
    <col width="19" customWidth="1" min="4" max="4"/>
    <col width="15" customWidth="1" min="5" max="5"/>
    <col width="13" customWidth="1" min="6" max="6"/>
  </cols>
  <sheetData>
    <row r="1">
      <c r="A1" s="33" t="inlineStr">
        <is>
          <t>DeptID</t>
        </is>
      </c>
      <c r="B1" s="33" t="inlineStr">
        <is>
          <t>Department</t>
        </is>
      </c>
      <c r="C1" s="33" t="inlineStr">
        <is>
          <t>Facility</t>
        </is>
      </c>
      <c r="D1" s="33" t="inlineStr">
        <is>
          <t>ServiceLine</t>
        </is>
      </c>
      <c r="E1" s="33" t="inlineStr">
        <is>
          <t>UnitType</t>
        </is>
      </c>
      <c r="F1" s="33" t="inlineStr">
        <is>
          <t>StaffedBeds</t>
        </is>
      </c>
    </row>
    <row r="2">
      <c r="A2" t="inlineStr">
        <is>
          <t>D100</t>
        </is>
      </c>
      <c r="B2" t="inlineStr">
        <is>
          <t>Emergency Department</t>
        </is>
      </c>
      <c r="C2" t="inlineStr">
        <is>
          <t>Bluestone Memorial Hospital</t>
        </is>
      </c>
      <c r="D2" t="inlineStr">
        <is>
          <t>Emergency</t>
        </is>
      </c>
      <c r="E2" t="inlineStr">
        <is>
          <t>Emergency</t>
        </is>
      </c>
      <c r="F2" t="n">
        <v>0</v>
      </c>
    </row>
    <row r="3">
      <c r="A3" t="inlineStr">
        <is>
          <t>D110</t>
        </is>
      </c>
      <c r="B3" t="inlineStr">
        <is>
          <t>Medical-Surgical 4 West</t>
        </is>
      </c>
      <c r="C3" t="inlineStr">
        <is>
          <t>Bluestone Memorial Hospital</t>
        </is>
      </c>
      <c r="D3" t="inlineStr">
        <is>
          <t>Medicine</t>
        </is>
      </c>
      <c r="E3" t="inlineStr">
        <is>
          <t>Inpatient</t>
        </is>
      </c>
      <c r="F3" t="n">
        <v>36</v>
      </c>
    </row>
    <row r="4">
      <c r="A4" t="inlineStr">
        <is>
          <t>D111</t>
        </is>
      </c>
      <c r="B4" t="inlineStr">
        <is>
          <t>Medical-Surgical 5 East</t>
        </is>
      </c>
      <c r="C4" t="inlineStr">
        <is>
          <t>Bluestone Memorial Hospital</t>
        </is>
      </c>
      <c r="D4" t="inlineStr">
        <is>
          <t>Medicine</t>
        </is>
      </c>
      <c r="E4" t="inlineStr">
        <is>
          <t>Inpatient</t>
        </is>
      </c>
      <c r="F4" t="n">
        <v>32</v>
      </c>
    </row>
    <row r="5">
      <c r="A5" t="inlineStr">
        <is>
          <t>D120</t>
        </is>
      </c>
      <c r="B5" t="inlineStr">
        <is>
          <t>Cardiac Step-Down</t>
        </is>
      </c>
      <c r="C5" t="inlineStr">
        <is>
          <t>Bluestone Memorial Hospital</t>
        </is>
      </c>
      <c r="D5" t="inlineStr">
        <is>
          <t>Cardiovascular</t>
        </is>
      </c>
      <c r="E5" t="inlineStr">
        <is>
          <t>Inpatient</t>
        </is>
      </c>
      <c r="F5" t="n">
        <v>24</v>
      </c>
    </row>
    <row r="6">
      <c r="A6" t="inlineStr">
        <is>
          <t>D130</t>
        </is>
      </c>
      <c r="B6" t="inlineStr">
        <is>
          <t>Intensive Care Unit</t>
        </is>
      </c>
      <c r="C6" t="inlineStr">
        <is>
          <t>Bluestone Memorial Hospital</t>
        </is>
      </c>
      <c r="D6" t="inlineStr">
        <is>
          <t>Critical Care</t>
        </is>
      </c>
      <c r="E6" t="inlineStr">
        <is>
          <t>Critical Care</t>
        </is>
      </c>
      <c r="F6" t="n">
        <v>20</v>
      </c>
    </row>
    <row r="7">
      <c r="A7" t="inlineStr">
        <is>
          <t>D140</t>
        </is>
      </c>
      <c r="B7" t="inlineStr">
        <is>
          <t>Orthopedics &amp; Spine</t>
        </is>
      </c>
      <c r="C7" t="inlineStr">
        <is>
          <t>Bluestone Memorial Hospital</t>
        </is>
      </c>
      <c r="D7" t="inlineStr">
        <is>
          <t>Orthopedics</t>
        </is>
      </c>
      <c r="E7" t="inlineStr">
        <is>
          <t>Inpatient</t>
        </is>
      </c>
      <c r="F7" t="n">
        <v>22</v>
      </c>
    </row>
    <row r="8">
      <c r="A8" t="inlineStr">
        <is>
          <t>D150</t>
        </is>
      </c>
      <c r="B8" t="inlineStr">
        <is>
          <t>Oncology</t>
        </is>
      </c>
      <c r="C8" t="inlineStr">
        <is>
          <t>Bluestone Memorial Hospital</t>
        </is>
      </c>
      <c r="D8" t="inlineStr">
        <is>
          <t>Oncology</t>
        </is>
      </c>
      <c r="E8" t="inlineStr">
        <is>
          <t>Inpatient</t>
        </is>
      </c>
      <c r="F8" t="n">
        <v>18</v>
      </c>
    </row>
    <row r="9">
      <c r="A9" t="inlineStr">
        <is>
          <t>D160</t>
        </is>
      </c>
      <c r="B9" t="inlineStr">
        <is>
          <t>Neuroscience &amp; Stroke</t>
        </is>
      </c>
      <c r="C9" t="inlineStr">
        <is>
          <t>Bluestone Memorial Hospital</t>
        </is>
      </c>
      <c r="D9" t="inlineStr">
        <is>
          <t>Neuroscience</t>
        </is>
      </c>
      <c r="E9" t="inlineStr">
        <is>
          <t>Inpatient</t>
        </is>
      </c>
      <c r="F9" t="n">
        <v>16</v>
      </c>
    </row>
    <row r="10">
      <c r="A10" t="inlineStr">
        <is>
          <t>D170</t>
        </is>
      </c>
      <c r="B10" t="inlineStr">
        <is>
          <t>Labor &amp; Delivery</t>
        </is>
      </c>
      <c r="C10" t="inlineStr">
        <is>
          <t>Bluestone Memorial Hospital</t>
        </is>
      </c>
      <c r="D10" t="inlineStr">
        <is>
          <t>Women &amp; Children</t>
        </is>
      </c>
      <c r="E10" t="inlineStr">
        <is>
          <t>Inpatient</t>
        </is>
      </c>
      <c r="F10" t="n">
        <v>20</v>
      </c>
    </row>
    <row r="11">
      <c r="A11" t="inlineStr">
        <is>
          <t>D180</t>
        </is>
      </c>
      <c r="B11" t="inlineStr">
        <is>
          <t>Pediatrics</t>
        </is>
      </c>
      <c r="C11" t="inlineStr">
        <is>
          <t>Bluestone Memorial Hospital</t>
        </is>
      </c>
      <c r="D11" t="inlineStr">
        <is>
          <t>Women &amp; Children</t>
        </is>
      </c>
      <c r="E11" t="inlineStr">
        <is>
          <t>Inpatient</t>
        </is>
      </c>
      <c r="F11" t="n">
        <v>14</v>
      </c>
    </row>
    <row r="12">
      <c r="A12" t="inlineStr">
        <is>
          <t>D190</t>
        </is>
      </c>
      <c r="B12" t="inlineStr">
        <is>
          <t>Behavioral Health</t>
        </is>
      </c>
      <c r="C12" t="inlineStr">
        <is>
          <t>Bluestone Memorial Hospital</t>
        </is>
      </c>
      <c r="D12" t="inlineStr">
        <is>
          <t>Behavioral Health</t>
        </is>
      </c>
      <c r="E12" t="inlineStr">
        <is>
          <t>Inpatient</t>
        </is>
      </c>
      <c r="F12" t="n">
        <v>18</v>
      </c>
    </row>
    <row r="13">
      <c r="A13" t="inlineStr">
        <is>
          <t>D195</t>
        </is>
      </c>
      <c r="B13" t="inlineStr">
        <is>
          <t>Observation Unit</t>
        </is>
      </c>
      <c r="C13" t="inlineStr">
        <is>
          <t>Bluestone Memorial Hospital</t>
        </is>
      </c>
      <c r="D13" t="inlineStr">
        <is>
          <t>Medicine</t>
        </is>
      </c>
      <c r="E13" t="inlineStr">
        <is>
          <t>Observation</t>
        </is>
      </c>
      <c r="F13" t="n">
        <v>12</v>
      </c>
    </row>
    <row r="14">
      <c r="A14" t="inlineStr">
        <is>
          <t>D196</t>
        </is>
      </c>
      <c r="B14" t="inlineStr">
        <is>
          <t>Perioperative Services</t>
        </is>
      </c>
      <c r="C14" t="inlineStr">
        <is>
          <t>Bluestone Memorial Hospital</t>
        </is>
      </c>
      <c r="D14" t="inlineStr">
        <is>
          <t>Surgery</t>
        </is>
      </c>
      <c r="E14" t="inlineStr">
        <is>
          <t>Ancillary</t>
        </is>
      </c>
      <c r="F14" t="n">
        <v>0</v>
      </c>
    </row>
    <row r="15">
      <c r="A15" t="inlineStr">
        <is>
          <t>D200</t>
        </is>
      </c>
      <c r="B15" t="inlineStr">
        <is>
          <t>Emergency Department</t>
        </is>
      </c>
      <c r="C15" t="inlineStr">
        <is>
          <t>Ashby Falls Community Hospital</t>
        </is>
      </c>
      <c r="D15" t="inlineStr">
        <is>
          <t>Emergency</t>
        </is>
      </c>
      <c r="E15" t="inlineStr">
        <is>
          <t>Emergency</t>
        </is>
      </c>
      <c r="F15" t="n">
        <v>0</v>
      </c>
    </row>
    <row r="16">
      <c r="A16" t="inlineStr">
        <is>
          <t>D210</t>
        </is>
      </c>
      <c r="B16" t="inlineStr">
        <is>
          <t>Medical-Surgical</t>
        </is>
      </c>
      <c r="C16" t="inlineStr">
        <is>
          <t>Ashby Falls Community Hospital</t>
        </is>
      </c>
      <c r="D16" t="inlineStr">
        <is>
          <t>Medicine</t>
        </is>
      </c>
      <c r="E16" t="inlineStr">
        <is>
          <t>Inpatient</t>
        </is>
      </c>
      <c r="F16" t="n">
        <v>28</v>
      </c>
    </row>
    <row r="17">
      <c r="A17" t="inlineStr">
        <is>
          <t>D230</t>
        </is>
      </c>
      <c r="B17" t="inlineStr">
        <is>
          <t>Intensive Care Unit</t>
        </is>
      </c>
      <c r="C17" t="inlineStr">
        <is>
          <t>Ashby Falls Community Hospital</t>
        </is>
      </c>
      <c r="D17" t="inlineStr">
        <is>
          <t>Critical Care</t>
        </is>
      </c>
      <c r="E17" t="inlineStr">
        <is>
          <t>Critical Care</t>
        </is>
      </c>
      <c r="F17" t="n">
        <v>8</v>
      </c>
    </row>
    <row r="18">
      <c r="A18" t="inlineStr">
        <is>
          <t>D270</t>
        </is>
      </c>
      <c r="B18" t="inlineStr">
        <is>
          <t>Labor &amp; Delivery</t>
        </is>
      </c>
      <c r="C18" t="inlineStr">
        <is>
          <t>Ashby Falls Community Hospital</t>
        </is>
      </c>
      <c r="D18" t="inlineStr">
        <is>
          <t>Women &amp; Children</t>
        </is>
      </c>
      <c r="E18" t="inlineStr">
        <is>
          <t>Inpatient</t>
        </is>
      </c>
      <c r="F18" t="n">
        <v>10</v>
      </c>
    </row>
    <row r="19">
      <c r="A19" t="inlineStr">
        <is>
          <t>D300</t>
        </is>
      </c>
      <c r="B19" t="inlineStr">
        <is>
          <t>Emergency Department</t>
        </is>
      </c>
      <c r="C19" t="inlineStr">
        <is>
          <t>Cedar Ridge Medical Center</t>
        </is>
      </c>
      <c r="D19" t="inlineStr">
        <is>
          <t>Emergency</t>
        </is>
      </c>
      <c r="E19" t="inlineStr">
        <is>
          <t>Emergency</t>
        </is>
      </c>
      <c r="F19" t="n">
        <v>0</v>
      </c>
    </row>
    <row r="20">
      <c r="A20" t="inlineStr">
        <is>
          <t>D310</t>
        </is>
      </c>
      <c r="B20" t="inlineStr">
        <is>
          <t>Medical-Surgical</t>
        </is>
      </c>
      <c r="C20" t="inlineStr">
        <is>
          <t>Cedar Ridge Medical Center</t>
        </is>
      </c>
      <c r="D20" t="inlineStr">
        <is>
          <t>Medicine</t>
        </is>
      </c>
      <c r="E20" t="inlineStr">
        <is>
          <t>Inpatient</t>
        </is>
      </c>
      <c r="F20" t="n">
        <v>30</v>
      </c>
    </row>
    <row r="21">
      <c r="A21" t="inlineStr">
        <is>
          <t>D320</t>
        </is>
      </c>
      <c r="B21" t="inlineStr">
        <is>
          <t>Cardiac Step-Down</t>
        </is>
      </c>
      <c r="C21" t="inlineStr">
        <is>
          <t>Cedar Ridge Medical Center</t>
        </is>
      </c>
      <c r="D21" t="inlineStr">
        <is>
          <t>Cardiovascular</t>
        </is>
      </c>
      <c r="E21" t="inlineStr">
        <is>
          <t>Inpatient</t>
        </is>
      </c>
      <c r="F21" t="n">
        <v>16</v>
      </c>
    </row>
    <row r="22">
      <c r="A22" t="inlineStr">
        <is>
          <t>D330</t>
        </is>
      </c>
      <c r="B22" t="inlineStr">
        <is>
          <t>Intensive Care Unit</t>
        </is>
      </c>
      <c r="C22" t="inlineStr">
        <is>
          <t>Cedar Ridge Medical Center</t>
        </is>
      </c>
      <c r="D22" t="inlineStr">
        <is>
          <t>Critical Care</t>
        </is>
      </c>
      <c r="E22" t="inlineStr">
        <is>
          <t>Critical Care</t>
        </is>
      </c>
      <c r="F22" t="n">
        <v>12</v>
      </c>
    </row>
    <row r="23">
      <c r="A23" t="inlineStr">
        <is>
          <t>D340</t>
        </is>
      </c>
      <c r="B23" t="inlineStr">
        <is>
          <t>Orthopedics</t>
        </is>
      </c>
      <c r="C23" t="inlineStr">
        <is>
          <t>Cedar Ridge Medical Center</t>
        </is>
      </c>
      <c r="D23" t="inlineStr">
        <is>
          <t>Orthopedics</t>
        </is>
      </c>
      <c r="E23" t="inlineStr">
        <is>
          <t>Inpatient</t>
        </is>
      </c>
      <c r="F23" t="n">
        <v>14</v>
      </c>
    </row>
    <row r="24">
      <c r="A24" t="inlineStr">
        <is>
          <t>D400</t>
        </is>
      </c>
      <c r="B24" t="inlineStr">
        <is>
          <t>Primary Care Clinic</t>
        </is>
      </c>
      <c r="C24" t="inlineStr">
        <is>
          <t>Bluestone Outpatient Pavilion</t>
        </is>
      </c>
      <c r="D24" t="inlineStr">
        <is>
          <t>Ambulatory</t>
        </is>
      </c>
      <c r="E24" t="inlineStr">
        <is>
          <t>Outpatient</t>
        </is>
      </c>
      <c r="F24" t="n">
        <v>0</v>
      </c>
    </row>
    <row r="25">
      <c r="A25" t="inlineStr">
        <is>
          <t>D410</t>
        </is>
      </c>
      <c r="B25" t="inlineStr">
        <is>
          <t>Cardiology Clinic</t>
        </is>
      </c>
      <c r="C25" t="inlineStr">
        <is>
          <t>Bluestone Outpatient Pavilion</t>
        </is>
      </c>
      <c r="D25" t="inlineStr">
        <is>
          <t>Cardiovascular</t>
        </is>
      </c>
      <c r="E25" t="inlineStr">
        <is>
          <t>Outpatient</t>
        </is>
      </c>
      <c r="F25" t="n">
        <v>0</v>
      </c>
    </row>
    <row r="26">
      <c r="A26" t="inlineStr">
        <is>
          <t>D420</t>
        </is>
      </c>
      <c r="B26" t="inlineStr">
        <is>
          <t>Orthopedic Clinic</t>
        </is>
      </c>
      <c r="C26" t="inlineStr">
        <is>
          <t>Bluestone Outpatient Pavilion</t>
        </is>
      </c>
      <c r="D26" t="inlineStr">
        <is>
          <t>Orthopedics</t>
        </is>
      </c>
      <c r="E26" t="inlineStr">
        <is>
          <t>Outpatient</t>
        </is>
      </c>
      <c r="F26" t="n">
        <v>0</v>
      </c>
    </row>
    <row r="27">
      <c r="A27" t="inlineStr">
        <is>
          <t>D430</t>
        </is>
      </c>
      <c r="B27" t="inlineStr">
        <is>
          <t>Infusion &amp; Oncology Clinic</t>
        </is>
      </c>
      <c r="C27" t="inlineStr">
        <is>
          <t>Bluestone Outpatient Pavilion</t>
        </is>
      </c>
      <c r="D27" t="inlineStr">
        <is>
          <t>Oncology</t>
        </is>
      </c>
      <c r="E27" t="inlineStr">
        <is>
          <t>Outpatient</t>
        </is>
      </c>
      <c r="F27" t="n">
        <v>0</v>
      </c>
    </row>
    <row r="28">
      <c r="A28" t="inlineStr">
        <is>
          <t>D440</t>
        </is>
      </c>
      <c r="B28" t="inlineStr">
        <is>
          <t>Endocrinology &amp; Diabetes Clinic</t>
        </is>
      </c>
      <c r="C28" t="inlineStr">
        <is>
          <t>Bluestone Outpatient Pavilion</t>
        </is>
      </c>
      <c r="D28" t="inlineStr">
        <is>
          <t>Ambulatory</t>
        </is>
      </c>
      <c r="E28" t="inlineStr">
        <is>
          <t>Outpatient</t>
        </is>
      </c>
      <c r="F28" t="n">
        <v>0</v>
      </c>
    </row>
    <row r="29">
      <c r="A29" t="inlineStr">
        <is>
          <t>D450</t>
        </is>
      </c>
      <c r="B29" t="inlineStr">
        <is>
          <t>Pediatric Clinic</t>
        </is>
      </c>
      <c r="C29" t="inlineStr">
        <is>
          <t>Bluestone Outpatient Pavilion</t>
        </is>
      </c>
      <c r="D29" t="inlineStr">
        <is>
          <t>Women &amp; Children</t>
        </is>
      </c>
      <c r="E29" t="inlineStr">
        <is>
          <t>Outpatient</t>
        </is>
      </c>
      <c r="F29" t="n">
        <v>0</v>
      </c>
    </row>
    <row r="30">
      <c r="A30" t="inlineStr">
        <is>
          <t>D500</t>
        </is>
      </c>
      <c r="B30" t="inlineStr">
        <is>
          <t>Laboratory</t>
        </is>
      </c>
      <c r="C30" t="inlineStr">
        <is>
          <t>Bluestone Memorial Hospital</t>
        </is>
      </c>
      <c r="D30" t="inlineStr">
        <is>
          <t>Ancillary</t>
        </is>
      </c>
      <c r="E30" t="inlineStr">
        <is>
          <t>Ancillary</t>
        </is>
      </c>
      <c r="F30" t="n">
        <v>0</v>
      </c>
    </row>
    <row r="31">
      <c r="A31" t="inlineStr">
        <is>
          <t>D510</t>
        </is>
      </c>
      <c r="B31" t="inlineStr">
        <is>
          <t>Radiology</t>
        </is>
      </c>
      <c r="C31" t="inlineStr">
        <is>
          <t>Bluestone Memorial Hospital</t>
        </is>
      </c>
      <c r="D31" t="inlineStr">
        <is>
          <t>Ancillary</t>
        </is>
      </c>
      <c r="E31" t="inlineStr">
        <is>
          <t>Ancillary</t>
        </is>
      </c>
      <c r="F31" t="n">
        <v>0</v>
      </c>
    </row>
    <row r="32">
      <c r="A32" t="inlineStr">
        <is>
          <t>D520</t>
        </is>
      </c>
      <c r="B32" t="inlineStr">
        <is>
          <t>Pharmacy</t>
        </is>
      </c>
      <c r="C32" t="inlineStr">
        <is>
          <t>Bluestone Memorial Hospital</t>
        </is>
      </c>
      <c r="D32" t="inlineStr">
        <is>
          <t>Ancillary</t>
        </is>
      </c>
      <c r="E32" t="inlineStr">
        <is>
          <t>Ancillary</t>
        </is>
      </c>
      <c r="F32" t="n">
        <v>0</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4.1 · Bonus: A one-formula unit leaderboard</t>
        </is>
      </c>
    </row>
    <row r="2" ht="79" customHeight="1">
      <c r="A2" s="14" t="inlineStr">
        <is>
          <t>The CFO wants a 'unit leaderboard' she can refresh every month: every unit (Facility + Department) with at least 50 encounters in the extract, with four columns (Facility, Department, Encounters, AvgCharge), where Encounters is the unit's number of encounters and AvgCharge is the average TotalCharges of those encounters. Sort it by AvgCharge from highest to lowest and put a header row on top. Build it in Workspace!N6 as ONE formula. Section 12 of the lesson guide shows how to lift COUNTIFS and AVERAGEIFS over a two-column list, and LET (previewed there) keeps the formula readable. Then answer the questions below with formulas that refer to your leaderboard through N6#.</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"&amp;COUNTIF(E6:E9,"✔*")&amp;" of 4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B1</t>
        </is>
      </c>
      <c r="B6" s="19" t="inlineStr">
        <is>
          <t>How many units qualify for the leaderboard? Count data rows only, not the header.</t>
        </is>
      </c>
      <c r="C6" s="20" t="inlineStr">
        <is>
          <t>ROWS of the spill, minus the header row</t>
        </is>
      </c>
      <c r="D6" s="24" t="n"/>
      <c r="E6" s="22">
        <f>IF(IFERROR(D6="",FALSE),"",IF(IFERROR(AND(ISNUMBER(D6),OR(ABS(D6-'Bonus Key'!$C$5)&lt;=0.0001)),FALSE),"✔ Correct","✘ Not yet"))</f>
        <v/>
      </c>
    </row>
    <row r="7" ht="30" customHeight="1">
      <c r="A7" s="18" t="inlineStr">
        <is>
          <t>B2</t>
        </is>
      </c>
      <c r="B7" s="19" t="inlineStr">
        <is>
          <t>Which Department tops the leaderboard?</t>
        </is>
      </c>
      <c r="C7" s="20" t="inlineStr">
        <is>
          <t>Row 2 of the spill is the first data row</t>
        </is>
      </c>
      <c r="D7" s="26" t="n"/>
      <c r="E7" s="22">
        <f>IF(IFERROR(D7="",FALSE),"",IF(IFERROR(OR(LOWER(TRIM(D7&amp;""))=LOWER(TRIM('Bonus Key'!$C$6&amp;""))),FALSE),"✔ Correct","✘ Not yet"))</f>
        <v/>
      </c>
    </row>
    <row r="8" ht="30" customHeight="1">
      <c r="A8" s="18" t="inlineStr">
        <is>
          <t>B3</t>
        </is>
      </c>
      <c r="B8" s="19" t="inlineStr">
        <is>
          <t>What is the top unit's average charge? Enter dollars and cents.</t>
        </is>
      </c>
      <c r="C8" s="20" t="inlineStr">
        <is>
          <t>Same row, fourth column</t>
        </is>
      </c>
      <c r="D8" s="25" t="n"/>
      <c r="E8" s="22">
        <f>IF(IFERROR(D8="",FALSE),"",IF(IFERROR(AND(ISNUMBER(D8),OR(ABS(D8-'Bonus Key'!$C$7)&lt;=0.0051)),FALSE),"✔ Correct","✘ Not yet"))</f>
        <v/>
      </c>
    </row>
    <row r="9" ht="51" customHeight="1">
      <c r="A9" s="18" t="inlineStr">
        <is>
          <t>B4</t>
        </is>
      </c>
      <c r="B9" s="19" t="inlineStr">
        <is>
          <t>What share of all TotalCharges in tblEncounters comes from the units on the leaderboard? Each unit's total is Encounters × AvgCharge. Enter it as a percentage.</t>
        </is>
      </c>
      <c r="C9" s="20" t="inlineStr">
        <is>
          <t>DROP the header row, multiply column 3 by column 4, add up, then divide by all charges</t>
        </is>
      </c>
      <c r="D9" s="44" t="n"/>
      <c r="E9" s="22">
        <f>IF(IFERROR(D9="",FALSE),"",IF(IFERROR(AND(ISNUMBER(D9),OR(ABS(D9-'Bonus Key'!$C$8)&lt;=0.00051,ABS(D9-'Bonus Key'!$C$8*100)&lt;=0.051000000000000004)),FALSE),"✔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5" t="inlineStr">
        <is>
          <t>🔑 Answer Key — Lesson 4.1</t>
        </is>
      </c>
    </row>
    <row r="2" ht="32" customHeight="1">
      <c r="A2" s="46" t="inlineStr">
        <is>
          <t>Spoiler alert — try every task before reading this sheet. Column C is the value the Check column compares against. Column D is a sample solution; column E is that same formula, live, proving it works.</t>
        </is>
      </c>
    </row>
    <row r="4">
      <c r="A4" s="47" t="inlineStr">
        <is>
          <t>#</t>
        </is>
      </c>
      <c r="B4" s="47" t="inlineStr">
        <is>
          <t>Task</t>
        </is>
      </c>
      <c r="C4" s="47" t="inlineStr">
        <is>
          <t>Answer</t>
        </is>
      </c>
      <c r="D4" s="47" t="inlineStr">
        <is>
          <t>Sample solution</t>
        </is>
      </c>
      <c r="E4" s="47" t="inlineStr">
        <is>
          <t>Live result</t>
        </is>
      </c>
      <c r="F4" s="47" t="inlineStr">
        <is>
          <t>Explanation</t>
        </is>
      </c>
    </row>
    <row r="5" ht="81" customHeight="1">
      <c r="A5" s="18" t="inlineStr">
        <is>
          <t>1</t>
        </is>
      </c>
      <c r="B5" s="19" t="inlineStr">
        <is>
          <t>Go to the Workspace sheet. In the yellow cell B6, enter one formula that spills the list of distinct payer names from the Payer column of tblEncounters. The gray cell counts the names in your list.</t>
        </is>
      </c>
      <c r="C5" s="48" t="n">
        <v>8</v>
      </c>
      <c r="D5" s="49" t="inlineStr">
        <is>
          <t>=UNIQUE(tblEncounters[Payer])</t>
        </is>
      </c>
      <c r="E5" cm="1" s="50">
        <f t="array" ref="E5">ROWS(_xlfn.UNIQUE(tblEncounters[Payer]))</f>
        <v/>
      </c>
      <c r="F5" s="19" t="inlineStr">
        <is>
          <t>UNIQUE returns each payer once, in the order it first appears in the table. Only B6 holds the formula, and the other names spill into B7, B8, and so on. Click one of them and the formula bar shows the formula grayed out, and a blue border outlines the whole spill range.</t>
        </is>
      </c>
    </row>
    <row r="6" ht="96" customHeight="1">
      <c r="A6" s="18" t="inlineStr">
        <is>
          <t>2</t>
        </is>
      </c>
      <c r="B6" s="19" t="inlineStr">
        <is>
          <t>In Workspace!D6, enter one formula that spills the distinct ServiceLine values from tblEncounters sorted A to Z. When you press Enter, D6 shows #SPILL!. Find out why and fix the problem without moving your formula. The gray cell then summarizes your list.</t>
        </is>
      </c>
      <c r="C6" s="48" t="inlineStr">
        <is>
          <t>10 service lines · first: Ambulatory · last: Women &amp; Children</t>
        </is>
      </c>
      <c r="D6" s="49" t="inlineStr">
        <is>
          <t>=SORT(UNIQUE(tblEncounters[ServiceLine]))</t>
        </is>
      </c>
      <c r="E6" cm="1" s="19">
        <f t="array" ref="E6">ROWS(_xlfn.UNIQUE(tblEncounters[ServiceLine]))&amp;" service lines · first: "&amp;INDEX(_xlfn._xlws.SORT(_xlfn.UNIQUE(tblEncounters[ServiceLine])),1)&amp;" · last: "&amp;INDEX(_xlfn._xlws.SORT(_xlfn.UNIQUE(tblEncounters[ServiceLine]),,-1),1)</f>
        <v/>
      </c>
      <c r="F6" s="19" t="inlineStr">
        <is>
          <t>A leftover note ('draft') sits in D11, inside the range the list needs. Excel never overwrites data, so it shows #SPILL! in the anchor instead. Click the warning icon, choose Select Obstructing Cells, press Delete, and the list spills at once. SORT puts the UNIQUE results in A to Z order. UNIQUE(SORT(…)) gives the same list.</t>
        </is>
      </c>
    </row>
    <row r="7" ht="126" customHeight="1">
      <c r="A7" s="18" t="inlineStr">
        <is>
          <t>3</t>
        </is>
      </c>
      <c r="B7" s="19" t="inlineStr">
        <is>
          <t>Department names repeat across hospitals (each hospital has its own 'Emergency Department'). How many distinct Facility + Department combinations (units) appear in tblEncounters?</t>
        </is>
      </c>
      <c r="C7" s="48" t="n">
        <v>27</v>
      </c>
      <c r="D7" s="49" t="inlineStr">
        <is>
          <t>=ROWS(UNIQUE(tblEncounters[[Facility]:[Department]]))</t>
        </is>
      </c>
      <c r="E7" cm="1" s="50">
        <f t="array" ref="E7">ROWS(_xlfn.UNIQUE(tblEncounters[[Facility]:[Department]]))</f>
        <v/>
      </c>
      <c r="F7" s="19" t="inlineStr">
        <is>
          <t>Given two columns, UNIQUE compares whole rows, so 'Bluestone Memorial Hospital | Emergency Department' and 'Cedar Ridge Medical Center | Emergency Department' are different units. =ROWS(UNIQUE(tblEncounters[Department])) returns only 20, because it merges the same name across hospitals. ROWS counts the rows of the spilled result and returns one number, so it fits in an answer cell. For columns that aren't next to each other, use UNIQUE(HSTACK(col1, col2)).</t>
        </is>
      </c>
    </row>
    <row r="8" ht="81" customHeight="1">
      <c r="A8" s="18" t="inlineStr">
        <is>
          <t>4</t>
        </is>
      </c>
      <c r="B8" s="19" t="inlineStr">
        <is>
          <t>How many patients (PatientID) have exactly one encounter in this extract?</t>
        </is>
      </c>
      <c r="C8" s="48" t="n">
        <v>1186</v>
      </c>
      <c r="D8" s="49" t="inlineStr">
        <is>
          <t>=ROWS(UNIQUE(tblEncounters[PatientID],,TRUE))</t>
        </is>
      </c>
      <c r="E8" cm="1" s="50">
        <f t="array" ref="E8">ROWS(_xlfn.UNIQUE(tblEncounters[PatientID],,TRUE))</f>
        <v/>
      </c>
      <c r="F8" s="19" t="inlineStr">
        <is>
          <t>The third argument, exactly_once, set to TRUE keeps only values that occur once. The two commas skip the second argument (by_col). Compare =ROWS(UNIQUE(tblEncounters[PatientID])), which counts every distinct patient (1,549). The difference, 363 patients, came back at least twice.</t>
        </is>
      </c>
    </row>
    <row r="9" ht="111" customHeight="1">
      <c r="A9" s="18" t="inlineStr">
        <is>
          <t>5</t>
        </is>
      </c>
      <c r="B9" s="19" t="inlineStr">
        <is>
          <t>This one uses tblDepartments (on the Departments sheet), but the formula still goes in the yellow cell here. Using FILTER, how many departments have UnitType "Inpatient" and 20 or more StaffedBeds?</t>
        </is>
      </c>
      <c r="C9" s="48" t="n">
        <v>7</v>
      </c>
      <c r="D9" s="49" t="inlineStr">
        <is>
          <t>=ROWS(FILTER(tblDepartments[Department],(tblDepartments[UnitType]="Inpatient")*(tblDepartments[StaffedBeds]&gt;=20)))</t>
        </is>
      </c>
      <c r="E9" cm="1" s="50">
        <f t="array" ref="E9">ROWS(_xlfn._xlws.FILTER(tblDepartments[Department],(tblDepartments[UnitType]="Inpatient")*(tblDepartments[StaffedBeds]&gt;=20)))</f>
        <v/>
      </c>
      <c r="F9" s="19" t="inlineStr">
        <is>
          <t>Each condition returns TRUE or FALSE for all 31 rows. Multiplying them turns TRUE/FALSE into 1/0, so only rows where both are 1 pass the filter (AND logic). Bluestone Memorial Hospital's Intensive Care Unit has 20 beds but doesn't count, because its UnitType is 'Critical Care'. COUNTIFS gives the same number here. FILTER is worth learning because the same include argument can also return the rows themselves.</t>
        </is>
      </c>
    </row>
    <row r="10" ht="66" customHeight="1">
      <c r="A10" s="18" t="inlineStr">
        <is>
          <t>6</t>
        </is>
      </c>
      <c r="B10" s="19" t="inlineStr">
        <is>
          <t>How many different attending providers (Attending) treated Emergency encounters?</t>
        </is>
      </c>
      <c r="C10" s="48" t="n">
        <v>28</v>
      </c>
      <c r="D10" s="49" t="inlineStr">
        <is>
          <t>=ROWS(UNIQUE(FILTER(tblEncounters[Attending],tblEncounters[EncounterType]="Emergency")))</t>
        </is>
      </c>
      <c r="E10" cm="1" s="50">
        <f t="array" ref="E10">ROWS(_xlfn.UNIQUE(_xlfn._xlws.FILTER(tblEncounters[Attending],tblEncounters[EncounterType]="Emergency")))</f>
        <v/>
      </c>
      <c r="F10" s="19" t="inlineStr">
        <is>
          <t>Read it from the inside out. FILTER keeps the Attending names of Emergency encounters (with repeats), UNIQUE removes the repeats, and ROWS counts what's left. Nesting functions this way is the core dynamic-array habit.</t>
        </is>
      </c>
    </row>
    <row r="11" ht="111" customHeight="1">
      <c r="A11" s="18" t="inlineStr">
        <is>
          <t>7</t>
        </is>
      </c>
      <c r="B11" s="19" t="inlineStr">
        <is>
          <t>Flu-season review: what were the total charges of Emergency encounters admitted in January or February 2025 whose DxCategory is Respiratory or Infectious? Enter dollars and cents.</t>
        </is>
      </c>
      <c r="C11" s="51" t="n">
        <v>184214.42</v>
      </c>
      <c r="D11" s="49" t="inlineStr">
        <is>
          <t>=SUM(FILTER(tblEncounters[TotalCharges],(tblEncounters[EncounterType]="Emergency")*(tblEncounters[AdmitDate]&lt;DATE(2025,3,1))*((tblEncounters[DxCategory]="Respiratory")+(tblEncounters[DxCategory]="Infectious"))))</t>
        </is>
      </c>
      <c r="E11" cm="1" s="52">
        <f t="array" ref="E11">SUM(_xlfn._xlws.FILTER(tblEncounters[TotalCharges],(tblEncounters[EncounterType]="Emergency")*(tblEncounters[AdmitDate]&lt;DATE(2025,3,1))*((tblEncounters[DxCategory]="Respiratory")+(tblEncounters[DxCategory]="Infectious"))))</f>
        <v/>
      </c>
      <c r="F11" s="19" t="inlineStr">
        <is>
          <t>Three conditions are multiplied (AND), and the last one is itself an OR built by adding two tests. The extra parentheses around the OR matter: without them, multiplication happens first and the formula would add every Infectious encounter of the year regardless of type or date. 64 encounters match. Because the data covers 2025 only, AdmitDate &lt; 3/1/2025 is enough for 'January or February'.</t>
        </is>
      </c>
    </row>
    <row r="12" ht="81" customHeight="1">
      <c r="A12" s="18" t="inlineStr">
        <is>
          <t>8</t>
        </is>
      </c>
      <c r="B12" s="19" t="inlineStr">
        <is>
          <t>What is the combined TotalCharges of the five most expensive Emergency encounters? Enter dollars and cents.</t>
        </is>
      </c>
      <c r="C12" s="51" t="n">
        <v>42030.97</v>
      </c>
      <c r="D12" s="49" t="inlineStr">
        <is>
          <t>=SUM(TAKE(SORT(FILTER(tblEncounters[TotalCharges],tblEncounters[EncounterType]="Emergency"),,-1),5))</t>
        </is>
      </c>
      <c r="E12" cm="1" s="52">
        <f t="array" ref="E12">SUM(_xlfn.TAKE(_xlfn._xlws.SORT(_xlfn._xlws.FILTER(tblEncounters[TotalCharges],tblEncounters[EncounterType]="Emergency"),,-1),5))</f>
        <v/>
      </c>
      <c r="F12" s="19" t="inlineStr">
        <is>
          <t>SORT(…,,-1) sorts descending (the empty second argument keeps the default sort column). TAKE(array, 5) keeps the first five rows, and SUM collapses them to one number. =SUM(LARGE(FILTER(…),{1,2,3,4,5})) works too, but TAKE scales better: change 5 to 50 and nothing else changes.</t>
        </is>
      </c>
    </row>
    <row r="13" ht="96" customHeight="1">
      <c r="A13" s="18" t="inlineStr">
        <is>
          <t>9</t>
        </is>
      </c>
      <c r="B13" s="19" t="inlineStr">
        <is>
          <t>Outliers distort averages. What is the average TotalCharges of Inpatient encounters after dropping the 10 most expensive stays? Enter dollars and cents.</t>
        </is>
      </c>
      <c r="C13" s="51" t="n">
        <v>31772.46</v>
      </c>
      <c r="D13" s="49" t="inlineStr">
        <is>
          <t>=AVERAGE(DROP(SORT(FILTER(tblEncounters[TotalCharges],tblEncounters[EncounterType]="Inpatient"),,-1),10))</t>
        </is>
      </c>
      <c r="E13" cm="1" s="52">
        <f t="array" ref="E13">AVERAGE(_xlfn.DROP(_xlfn._xlws.SORT(_xlfn._xlws.FILTER(tblEncounters[TotalCharges],tblEncounters[EncounterType]="Inpatient"),,-1),10))</f>
        <v/>
      </c>
      <c r="F13" s="19" t="inlineStr">
        <is>
          <t>DROP is the mirror image of TAKE: it removes rows from the start (or, with a negative number, from the end). The full inpatient average is 33,987.43, so ten very expensive stays move the mean by about $2,215. TRIMMEAN (Lesson 2.4) trims a percentage from both ends, while DROP lets you decide exactly what to remove.</t>
        </is>
      </c>
    </row>
    <row r="14" ht="81" customHeight="1">
      <c r="A14" s="18" t="inlineStr">
        <is>
          <t>10</t>
        </is>
      </c>
      <c r="B14" s="19" t="inlineStr">
        <is>
          <t>Which attending provider's encounters add up to the highest TotalCharges? Enter the name exactly as it appears (Last, First).</t>
        </is>
      </c>
      <c r="C14" s="48" t="inlineStr">
        <is>
          <t>Taylor, Jonathan</t>
        </is>
      </c>
      <c r="D14" s="49" t="inlineStr">
        <is>
          <t>=TAKE(SORTBY(UNIQUE(tblEncounters[Attending]),SUMIFS(tblEncounters[TotalCharges],tblEncounters[Attending],UNIQUE(tblEncounters[Attending])),-1),1)</t>
        </is>
      </c>
      <c r="E14" cm="1" s="19">
        <f t="array" ref="E14">_xlfn.TAKE(_xlfn.SORTBY(_xlfn.UNIQUE(tblEncounters[Attending]),SUMIFS(tblEncounters[TotalCharges],tblEncounters[Attending],_xlfn.UNIQUE(tblEncounters[Attending])),-1),1)</f>
        <v/>
      </c>
      <c r="F14" s="19" t="inlineStr">
        <is>
          <t>SUMIFS normally takes one criterion. Hand it the whole UNIQUE list and it returns one total per name (142 totals). SORTBY then orders the names by those totals, even though the totals never appear in the result, and TAKE(…,1) keeps the top name. The runner-up, Hawkins, Bruce, is only $3,146 behind.</t>
        </is>
      </c>
    </row>
    <row r="15" ht="81" customHeight="1">
      <c r="A15" s="18" t="inlineStr">
        <is>
          <t>11</t>
        </is>
      </c>
      <c r="B15" s="19" t="inlineStr">
        <is>
          <t>Look up the specialty of the attending on every Inpatient encounter (tblProviders has a Specialty for each Provider name). How many distinct specialties appear?</t>
        </is>
      </c>
      <c r="C15" s="48" t="n">
        <v>10</v>
      </c>
      <c r="D15" s="49" t="inlineStr">
        <is>
          <t>=ROWS(UNIQUE(XLOOKUP(FILTER(tblEncounters[Attending],tblEncounters[EncounterType]="Inpatient"),tblProviders[Provider],tblProviders[Specialty])))</t>
        </is>
      </c>
      <c r="E15" cm="1" s="50">
        <f t="array" ref="E15">ROWS(_xlfn.UNIQUE(INDEX(tblProviders[Specialty],_xlfn.XMATCH(_xlfn._xlws.FILTER(tblEncounters[Attending],tblEncounters[EncounterType]="Inpatient"),tblProviders[Provider]))))</f>
        <v/>
      </c>
      <c r="F15" s="19" t="inlineStr">
        <is>
          <t>FILTER returns 529 attending names, one per inpatient stay. XLOOKUP looks up each of them and returns an array of the same size, so you get one specialty per stay. UNIQUE and ROWS then count the distinct specialties. In Excel 2019 and earlier you'd need a helper column for this.</t>
        </is>
      </c>
    </row>
    <row r="16" ht="126" customHeight="1">
      <c r="A16" s="18" t="inlineStr">
        <is>
          <t>12</t>
        </is>
      </c>
      <c r="B16" s="19" t="inlineStr">
        <is>
          <t>On the Workspace sheet, make F6 spill the first day of each month of 2025 (01/01/2025 through 12/01/2025) using SEQUENCE. Column F is formatted to show them as Jan 2025, Feb 2025, and so on. Then, in G6, write ONE COUNTIFS formula that refers to your month list with the spill operator (F6#) and spills the number of encounters admitted in each month. The gray cell checks both columns.</t>
        </is>
      </c>
      <c r="C16" s="48" t="inlineStr">
        <is>
          <t>12 months · 2000 encounters</t>
        </is>
      </c>
      <c r="D16" s="49" t="inlineStr">
        <is>
          <t>1. In F6: =DATE(2025,SEQUENCE(12),1)
2. In G6: =COUNTIFS(tblEncounters[AdmitDate],"&gt;="&amp;F6#,tblEncounters[AdmitDate],"&lt;"&amp;DATE(YEAR(F6#),MONTH(F6#)+1,1))</t>
        </is>
      </c>
      <c r="E16" cm="1" s="19">
        <f t="array" ref="E16">_xlfn.LET(_xlpm.starts,DATE(2025,_xlfn.SEQUENCE(12),1),_xlpm.counts,COUNTIFS(tblEncounters[AdmitDate],"&gt;="&amp;_xlpm.starts,tblEncounters[AdmitDate],"&lt;"&amp;DATE(YEAR(_xlpm.starts),MONTH(_xlpm.starts)+1,1)),ROWS(_xlpm.starts)&amp;" months · "&amp;SUM(_xlpm.counts)&amp;" encounters")</f>
        <v/>
      </c>
      <c r="F16" s="19" t="inlineStr">
        <is>
          <t>SEQUENCE(12) spills 1 to 12, and DATE turns each number into that month's first day. In G6, F6# means 'the whole spill that starts in F6', so COUNTIFS receives 12 start dates and returns 12 counts. The upper bound DATE(YEAR(F6#),MONTH(F6#)+1,1) is the next month's first day (month 13 rolls into January 2026). If you change SEQUENCE(12) in F6 to SEQUENCE(24), G6 grows to 24 counts automatically. December is the busiest month (221 encounters).</t>
        </is>
      </c>
    </row>
    <row r="17" ht="111" customHeight="1">
      <c r="A17" s="18" t="inlineStr">
        <is>
          <t>13</t>
        </is>
      </c>
      <c r="B17" s="19" t="inlineStr">
        <is>
          <t>Build a long-stay worklist in Workspace!I6 with ONE formula: a header row (EncounterID, Department, LOSDays, TotalCharges) on top of every Cedar Ridge Medical Center encounter with LOSDays of 7 or more, showing only those four columns, sorted by LOSDays from longest to shortest.</t>
        </is>
      </c>
      <c r="C17" s="48" t="inlineStr">
        <is>
          <t>9 stays · longest: ENC117529 (19 d) · shortest: ENC118758 (7 d)</t>
        </is>
      </c>
      <c r="D17" s="49" t="inlineStr">
        <is>
          <t>=VSTACK({"EncounterID","Department","LOSDays","TotalCharges"},SORT(CHOOSECOLS(FILTER(tblEncounters,(tblEncounters[Facility]="Cedar Ridge Medical Center")*(tblEncounters[LOSDays]&gt;=7)),1,8,5,15),3,-1))</t>
        </is>
      </c>
      <c r="E17" cm="1" s="19">
        <f t="array" ref="E17">_xlfn.LET(_xlpm.keep,(tblEncounters[Facility]="Cedar Ridge Medical Center")*(tblEncounters[LOSDays]&gt;=7),_xlpm.ids,_xlfn._xlws.FILTER(tblEncounters[EncounterID],_xlpm.keep),_xlpm.days,_xlfn._xlws.FILTER(tblEncounters[LOSDays],_xlpm.keep),_xlpm.srt,_xlfn.SORTBY(_xlfn.HSTACK(_xlpm.ids,_xlpm.days),_xlpm.days,-1),_xlpm.nrows,ROWS(_xlpm.srt),_xlpm.nrows&amp;" stays · longest: "&amp;INDEX(_xlpm.srt,1,1)&amp;" ("&amp;INDEX(_xlpm.srt,1,2)&amp;" d) · shortest: "&amp;INDEX(_xlpm.srt,_xlpm.nrows,1)&amp;" ("&amp;INDEX(_xlpm.srt,_xlpm.nrows,2)&amp;" d)")</f>
        <v/>
      </c>
      <c r="F17" s="19" t="inlineStr">
        <is>
          <t>Build it from the inside out. FILTER(tblEncounters, …) returns all 16 columns of the matching rows. CHOOSECOLS keeps columns 1, 8, 5, and 15 in the order you list them. SORT(…, 3, -1) sorts by the third of those columns (LOSDays), largest first. VSTACK puts the header row, an array constant in braces, on top. Two stays tie at 14 days. To break ties by charges, use SORT(…, {3,4}, {-1,-1}).</t>
        </is>
      </c>
    </row>
  </sheetData>
  <mergeCells count="1">
    <mergeCell ref="A2:F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5" t="inlineStr">
        <is>
          <t>🔑 Bonus Key — Lesson 4.1</t>
        </is>
      </c>
    </row>
    <row r="2" ht="32" customHeight="1">
      <c r="A2" s="46" t="inlineStr">
        <is>
          <t>Spoiler alert — try every task before reading this sheet. Column C is the value the Check column compares against. Column D is a sample solution; column E is that same formula, live, proving it works.</t>
        </is>
      </c>
    </row>
    <row r="4">
      <c r="A4" s="47" t="inlineStr">
        <is>
          <t>#</t>
        </is>
      </c>
      <c r="B4" s="47" t="inlineStr">
        <is>
          <t>Task</t>
        </is>
      </c>
      <c r="C4" s="47" t="inlineStr">
        <is>
          <t>Answer</t>
        </is>
      </c>
      <c r="D4" s="47" t="inlineStr">
        <is>
          <t>Sample solution</t>
        </is>
      </c>
      <c r="E4" s="47" t="inlineStr">
        <is>
          <t>Live result</t>
        </is>
      </c>
      <c r="F4" s="47" t="inlineStr">
        <is>
          <t>Explanation</t>
        </is>
      </c>
    </row>
    <row r="5" ht="306" customHeight="1">
      <c r="A5" s="18" t="inlineStr">
        <is>
          <t>B1</t>
        </is>
      </c>
      <c r="B5" s="19" t="inlineStr">
        <is>
          <t>How many units qualify for the leaderboard? Count data rows only, not the header.</t>
        </is>
      </c>
      <c r="C5" s="48" t="n">
        <v>13</v>
      </c>
      <c r="D5" s="49" t="inlineStr">
        <is>
          <t>1. In Workspace!N6:
=LET(units, UNIQUE(tblEncounters[[Facility]:[Department]]),
     fac,   CHOOSECOLS(units, 1),
     dept,  CHOOSECOLS(units, 2),
     n,     COUNTIFS(tblEncounters[Facility], fac, tblEncounters[Department], dept),
     avg,   AVERAGEIFS(tblEncounters[TotalCharges], tblEncounters[Facility], fac, tblEncounters[Department], dept),
     VSTACK({"Facility","Department","Encounters","AvgCharge"},
            SORT(FILTER(HSTACK(units, n, avg), n &gt;= 50), 4, -1)))
2. In the answer cell: =ROWS(Workspace!N6#)-1</t>
        </is>
      </c>
      <c r="E5" cm="1" s="50">
        <f t="array" ref="E5">ROWS(_xlfn.LET(_xlpm.units,_xlfn.UNIQUE(tblEncounters[[Facility]:[Department]]),_xlpm.fac,_xlfn.CHOOSECOLS(_xlpm.units,1),_xlpm.dept,_xlfn.CHOOSECOLS(_xlpm.units,2),_xlpm.n,COUNTIFS(tblEncounters[Facility],_xlpm.fac,tblEncounters[Department],_xlpm.dept),_xlpm.avg,AVERAGEIFS(tblEncounters[TotalCharges],tblEncounters[Facility],_xlpm.fac,tblEncounters[Department],_xlpm.dept),_xlfn.VSTACK({"Facility","Department","Encounters","AvgCharge"},_xlfn._xlws.SORT(_xlfn._xlws.FILTER(_xlfn.HSTACK(_xlpm.units,_xlpm.n,_xlpm.avg),_xlpm.n&gt;=50),4,-1))))-1</f>
        <v/>
      </c>
      <c r="F5" s="19" t="inlineStr">
        <is>
          <t>UNIQUE over Facility:Department lists every unit once. CHOOSECOLS splits that two-column list so COUNTIFS and AVERAGEIFS can use each column as a criteria array, and each returns one value per unit. HSTACK glues the four columns together, FILTER keeps units with n ≥ 50, SORT orders by column 4 descending, and VSTACK adds the header. LET names each piece once, so UNIQUE runs once. Without LET, the same UNIQUE(…) would have to be repeated in every part of the formula that needs it.</t>
        </is>
      </c>
    </row>
    <row r="6" ht="81" customHeight="1">
      <c r="A6" s="18" t="inlineStr">
        <is>
          <t>B2</t>
        </is>
      </c>
      <c r="B6" s="19" t="inlineStr">
        <is>
          <t>Which Department tops the leaderboard?</t>
        </is>
      </c>
      <c r="C6" s="48" t="inlineStr">
        <is>
          <t>Cardiac Step-Down</t>
        </is>
      </c>
      <c r="D6" s="49" t="inlineStr">
        <is>
          <t>=INDEX(Workspace!N6#,2,2)</t>
        </is>
      </c>
      <c r="E6" cm="1" s="19">
        <f t="array" ref="E6">INDEX(_xlfn.LET(_xlpm.units,_xlfn.UNIQUE(tblEncounters[[Facility]:[Department]]),_xlpm.fac,_xlfn.CHOOSECOLS(_xlpm.units,1),_xlpm.dept,_xlfn.CHOOSECOLS(_xlpm.units,2),_xlpm.n,COUNTIFS(tblEncounters[Facility],_xlpm.fac,tblEncounters[Department],_xlpm.dept),_xlpm.avg,AVERAGEIFS(tblEncounters[TotalCharges],tblEncounters[Facility],_xlpm.fac,tblEncounters[Department],_xlpm.dept),_xlfn.VSTACK({"Facility","Department","Encounters","AvgCharge"},_xlfn._xlws.SORT(_xlfn._xlws.FILTER(_xlfn.HSTACK(_xlpm.units,_xlpm.n,_xlpm.avg),_xlpm.n&gt;=50),4,-1))),2,2)</f>
        <v/>
      </c>
      <c r="F6" s="19" t="inlineStr">
        <is>
          <t>INDEX works on a spill like on any range: row 2 (row 1 is the header), column 2. The top unit is Cardiac Step-Down at Bluestone Memorial Hospital. Inpatient units dominate the top of the board because a stay costs far more than a clinic visit.</t>
        </is>
      </c>
    </row>
    <row r="7" ht="66" customHeight="1">
      <c r="A7" s="18" t="inlineStr">
        <is>
          <t>B3</t>
        </is>
      </c>
      <c r="B7" s="19" t="inlineStr">
        <is>
          <t>What is the top unit's average charge? Enter dollars and cents.</t>
        </is>
      </c>
      <c r="C7" s="51" t="n">
        <v>39862.22</v>
      </c>
      <c r="D7" s="49" t="inlineStr">
        <is>
          <t>=INDEX(Workspace!N6#,2,4)</t>
        </is>
      </c>
      <c r="E7" cm="1" s="52">
        <f t="array" ref="E7">INDEX(_xlfn.LET(_xlpm.units,_xlfn.UNIQUE(tblEncounters[[Facility]:[Department]]),_xlpm.fac,_xlfn.CHOOSECOLS(_xlpm.units,1),_xlpm.dept,_xlfn.CHOOSECOLS(_xlpm.units,2),_xlpm.n,COUNTIFS(tblEncounters[Facility],_xlpm.fac,tblEncounters[Department],_xlpm.dept),_xlpm.avg,AVERAGEIFS(tblEncounters[TotalCharges],tblEncounters[Facility],_xlpm.fac,tblEncounters[Department],_xlpm.dept),_xlfn.VSTACK({"Facility","Department","Encounters","AvgCharge"},_xlfn._xlws.SORT(_xlfn._xlws.FILTER(_xlfn.HSTACK(_xlpm.units,_xlpm.n,_xlpm.avg),_xlpm.n&gt;=50),4,-1))),2,4)</f>
        <v/>
      </c>
      <c r="F7" s="19" t="inlineStr">
        <is>
          <t>Column 4 of the leaderboard is AvgCharge. A Cardiac Step-Down stay averages $39,862, about 15 times the average Bluestone Memorial emergency visit. If your answer has many decimals, that's fine: the check accepts the unrounded value.</t>
        </is>
      </c>
    </row>
    <row r="8" ht="111" customHeight="1">
      <c r="A8" s="18" t="inlineStr">
        <is>
          <t>B4</t>
        </is>
      </c>
      <c r="B8" s="19" t="inlineStr">
        <is>
          <t>What share of all TotalCharges in tblEncounters comes from the units on the leaderboard? Each unit's total is Encounters × AvgCharge. Enter it as a percentage.</t>
        </is>
      </c>
      <c r="C8" s="53" t="n">
        <v>0.6238303162394832</v>
      </c>
      <c r="D8" s="49" t="inlineStr">
        <is>
          <t>=SUM(CHOOSECOLS(DROP(Workspace!N6#,1),3)*CHOOSECOLS(DROP(Workspace!N6#,1),4))/SUM(tblEncounters[TotalCharges])</t>
        </is>
      </c>
      <c r="E8" cm="1" s="54">
        <f t="array" ref="E8">SUM(_xlfn.CHOOSECOLS(_xlfn.DROP(_xlfn.LET(_xlpm.units,_xlfn.UNIQUE(tblEncounters[[Facility]:[Department]]),_xlpm.fac,_xlfn.CHOOSECOLS(_xlpm.units,1),_xlpm.dept,_xlfn.CHOOSECOLS(_xlpm.units,2),_xlpm.n,COUNTIFS(tblEncounters[Facility],_xlpm.fac,tblEncounters[Department],_xlpm.dept),_xlpm.avg,AVERAGEIFS(tblEncounters[TotalCharges],tblEncounters[Facility],_xlpm.fac,tblEncounters[Department],_xlpm.dept),_xlfn.VSTACK({"Facility","Department","Encounters","AvgCharge"},_xlfn._xlws.SORT(_xlfn._xlws.FILTER(_xlfn.HSTACK(_xlpm.units,_xlpm.n,_xlpm.avg),_xlpm.n&gt;=50),4,-1))),1),3)*_xlfn.CHOOSECOLS(_xlfn.DROP(_xlfn.LET(_xlpm.units,_xlfn.UNIQUE(tblEncounters[[Facility]:[Department]]),_xlpm.fac,_xlfn.CHOOSECOLS(_xlpm.units,1),_xlpm.dept,_xlfn.CHOOSECOLS(_xlpm.units,2),_xlpm.n,COUNTIFS(tblEncounters[Facility],_xlpm.fac,tblEncounters[Department],_xlpm.dept),_xlpm.avg,AVERAGEIFS(tblEncounters[TotalCharges],tblEncounters[Facility],_xlpm.fac,tblEncounters[Department],_xlpm.dept),_xlfn.VSTACK({"Facility","Department","Encounters","AvgCharge"},_xlfn._xlws.SORT(_xlfn._xlws.FILTER(_xlfn.HSTACK(_xlpm.units,_xlpm.n,_xlpm.avg),_xlpm.n&gt;=50),4,-1))),1),4))/SUM(tblEncounters[TotalCharges])</f>
        <v/>
      </c>
      <c r="F8" s="19" t="inlineStr">
        <is>
          <t>DROP(N6#,1) removes the header so only numbers remain. CHOOSECOLS pulls out the Encounters and AvgCharge columns. Multiplying them row by row rebuilds each unit's total charges, and SUM adds them. The 13 busiest units bring in 62.4% of all charges. The other 14 units see fewer patients, but most of them are ICUs and inpatient floors with high charges per stay, so together they still account for the remaining 37.6%.</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4.1 — Dynamic Arrays: FILTER, SORT, UNIQUE &amp; More</dc:title>
  <dcterms:created xsi:type="dcterms:W3CDTF">2026-10-02T16:53:29Z</dcterms:created>
  <dcterms:modified xsi:type="dcterms:W3CDTF">2026-10-02T16:53:30Z</dcterms:modified>
</cp:coreProperties>
</file>
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Census_Nov" sheetId="3" state="visible" r:id="rId3"/>
    <sheet name="Census_Dec" sheetId="4" state="visible" r:id="rId4"/>
    <sheet name="ED_Nov" sheetId="5" state="visible" r:id="rId5"/>
    <sheet name="ED_Dec" sheetId="6" state="visible" r:id="rId6"/>
    <sheet name="Bonus" sheetId="7" state="visible" r:id="rId7"/>
    <sheet name="Answer Key" sheetId="8" state="hidden" r:id="rId8"/>
    <sheet name="Bonus Key" sheetId="9" state="hidden" r:id="rId9"/>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4">
    <numFmt numFmtId="164" formatCode="yyyy-mm-dd"/>
    <numFmt numFmtId="165" formatCode="yyyy-mm-dd h:mm:ss"/>
    <numFmt numFmtId="166" formatCode="mm/dd/yyyy hh:mm"/>
    <numFmt numFmtId="167" formatCode="0.0%"/>
  </numFmts>
  <fonts count="17">
    <font>
      <name val="Calibri"/>
      <family val="2"/>
      <color theme="1"/>
      <sz val="11"/>
      <scheme val="minor"/>
    </font>
    <font>
      <b val="1"/>
      <color rgb="00FFFFFF"/>
    </font>
    <font>
      <b val="1"/>
      <color rgb="007B2C2C"/>
      <sz val="16"/>
    </font>
    <font>
      <i val="1"/>
      <color rgb="00595959"/>
    </font>
    <font>
      <b val="1"/>
    </font>
    <font>
      <name val="Consolas"/>
      <sz val="10"/>
    </font>
    <font>
      <b val="1"/>
      <color rgb="001F4E79"/>
      <sz val="16"/>
    </font>
    <font>
      <color rgb="00404040"/>
      <sz val="11"/>
    </font>
    <font>
      <i val="1"/>
      <color rgb="00404040"/>
      <sz val="11"/>
    </font>
    <font>
      <i val="1"/>
      <color rgb="007F7F7F"/>
    </font>
    <font>
      <i val="1"/>
      <color rgb="00404040"/>
    </font>
    <font>
      <b val="1"/>
      <color rgb="00375623"/>
      <sz val="12"/>
    </font>
    <font>
      <b val="1"/>
      <color rgb="002E75B6"/>
      <sz val="12"/>
    </font>
    <font>
      <b val="1"/>
      <color rgb="001F4E79"/>
      <sz val="22"/>
    </font>
    <font>
      <b val="1"/>
      <color rgb="00FFFFFF"/>
      <sz val="13"/>
    </font>
    <font/>
    <font>
      <name val="Calibri"/>
      <sz val="11"/>
    </font>
  </fonts>
  <fills count="8">
    <fill>
      <patternFill/>
    </fill>
    <fill>
      <patternFill patternType="gray125"/>
    </fill>
    <fill>
      <patternFill patternType="solid">
        <fgColor rgb="001F4E79"/>
      </patternFill>
    </fill>
    <fill>
      <patternFill patternType="solid">
        <fgColor rgb="007B2C2C"/>
      </patternFill>
    </fill>
    <fill>
      <patternFill patternType="solid">
        <fgColor rgb="00FFF2CC"/>
      </patternFill>
    </fill>
    <fill>
      <patternFill patternType="solid">
        <fgColor rgb="00EDEDED"/>
      </patternFill>
    </fill>
    <fill>
      <patternFill patternType="solid">
        <fgColor rgb="00C6EFCE"/>
      </patternFill>
    </fill>
    <fill>
      <patternFill patternType="solid">
        <fgColor rgb="00FFC7CE"/>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36">
    <xf numFmtId="0" fontId="0" fillId="0" borderId="0" pivotButton="0" quotePrefix="0" xfId="0"/>
    <xf numFmtId="0" fontId="12" fillId="0" borderId="0" pivotButton="0" quotePrefix="0" xfId="0"/>
    <xf numFmtId="0" fontId="13" fillId="0" borderId="0" pivotButton="0" quotePrefix="0" xfId="0"/>
    <xf numFmtId="0" fontId="3" fillId="0" borderId="0" pivotButton="0" quotePrefix="0" xfId="0"/>
    <xf numFmtId="0" fontId="14" fillId="2" borderId="0" pivotButton="0" quotePrefix="0" xfId="0"/>
    <xf numFmtId="0" fontId="0" fillId="2" borderId="0" pivotButton="0" quotePrefix="0" xfId="0"/>
    <xf numFmtId="0" fontId="15"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4" fillId="6" borderId="0" applyAlignment="1" pivotButton="0" quotePrefix="0" xfId="0">
      <alignment vertical="top" wrapText="1"/>
    </xf>
    <xf numFmtId="0" fontId="4" fillId="7"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11" fillId="0" borderId="0" pivotButton="0" quotePrefix="0" xfId="0"/>
    <xf numFmtId="0" fontId="1" fillId="2"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9" fillId="0" borderId="1" applyAlignment="1" pivotButton="0" quotePrefix="0" xfId="0">
      <alignment vertical="top" wrapText="1"/>
    </xf>
    <xf numFmtId="0" fontId="0" fillId="4" borderId="2" applyAlignment="1" pivotButton="0" quotePrefix="0" xfId="0">
      <alignment horizontal="left" vertical="top"/>
    </xf>
    <xf numFmtId="0" fontId="4" fillId="0" borderId="1" applyAlignment="1" pivotButton="0" quotePrefix="0" xfId="0">
      <alignment vertical="top"/>
    </xf>
    <xf numFmtId="0" fontId="10" fillId="5" borderId="1" applyAlignment="1" pivotButton="0" quotePrefix="0" xfId="0">
      <alignment horizontal="right" vertical="top"/>
    </xf>
    <xf numFmtId="167" fontId="10" fillId="5" borderId="1" applyAlignment="1" pivotButton="0" quotePrefix="0" xfId="0">
      <alignment horizontal="right" vertical="top"/>
    </xf>
    <xf numFmtId="0" fontId="0" fillId="0" borderId="1" applyAlignment="1" pivotButton="0" quotePrefix="0" xfId="0">
      <alignment horizontal="left" vertical="top"/>
    </xf>
    <xf numFmtId="0" fontId="16" fillId="0" borderId="0" pivotButton="0" quotePrefix="0" xfId="0"/>
    <xf numFmtId="166" fontId="0" fillId="0" borderId="0" pivotButton="0" quotePrefix="0" xfId="0"/>
    <xf numFmtId="0" fontId="10" fillId="5" borderId="1" applyAlignment="1" pivotButton="0" quotePrefix="0" xfId="0">
      <alignment horizontal="left" vertical="top"/>
    </xf>
    <xf numFmtId="0" fontId="2" fillId="0" borderId="0" pivotButton="0" quotePrefix="0" xfId="0"/>
    <xf numFmtId="0" fontId="3" fillId="0" borderId="0" applyAlignment="1" pivotButton="0" quotePrefix="0" xfId="0">
      <alignment vertical="top" wrapText="1"/>
    </xf>
    <xf numFmtId="0" fontId="1" fillId="3" borderId="1" pivotButton="0" quotePrefix="0" xfId="0"/>
    <xf numFmtId="0" fontId="4" fillId="0" borderId="1" applyAlignment="1" pivotButton="0" quotePrefix="0" xfId="0">
      <alignment vertical="top" wrapText="1"/>
    </xf>
    <xf numFmtId="0" fontId="5" fillId="0" borderId="1" applyAlignment="1" pivotButton="0" quotePrefix="1" xfId="0">
      <alignment vertical="top" wrapText="1"/>
    </xf>
    <xf numFmtId="167" fontId="4" fillId="0" borderId="1" applyAlignment="1" pivotButton="0" quotePrefix="0" xfId="0">
      <alignment vertical="top" wrapText="1"/>
    </xf>
    <xf numFmtId="167" fontId="0" fillId="0" borderId="1" applyAlignment="1" pivotButton="0" quotePrefix="0" xfId="0">
      <alignment vertical="top" wrapText="1"/>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 Id="rIdXlcMeta"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B1:C36"/>
  <sheetViews>
    <sheetView tabSelected="1" workbookViewId="0">
      <selection activeCell="A1" sqref="A1"/>
    </sheetView>
  </sheetViews>
  <sheetFormatPr baseColWidth="8" defaultRowHeight="15"/>
  <cols>
    <col width="3" customWidth="1" min="1" max="1"/>
    <col width="26" customWidth="1" min="2" max="2"/>
    <col width="95" customWidth="1" min="3" max="3"/>
  </cols>
  <sheetData>
    <row r="1"/>
    <row r="2">
      <c r="B2" s="1" t="inlineStr">
        <is>
          <t>Lesson 5.1</t>
        </is>
      </c>
    </row>
    <row r="3">
      <c r="B3" s="2" t="inlineStr">
        <is>
          <t>Recording Your First Macros</t>
        </is>
      </c>
    </row>
    <row r="4">
      <c r="B4" s="3" t="inlineStr">
        <is>
          <t>Expert  ·  about 110 minutes  ·  Bluestone Health System (fictional)</t>
        </is>
      </c>
    </row>
    <row r="5"/>
    <row r="6">
      <c r="B6" s="4" t="inlineStr">
        <is>
          <t>What you'll learn</t>
        </is>
      </c>
      <c r="C6" s="5" t="n"/>
    </row>
    <row r="7" ht="18" customHeight="1">
      <c r="B7" s="6" t="inlineStr">
        <is>
          <t>•</t>
        </is>
      </c>
      <c r="C7" s="7" t="inlineStr">
        <is>
          <t>Show the Developer tab and set macro security safely</t>
        </is>
      </c>
    </row>
    <row r="8" ht="18" customHeight="1">
      <c r="B8" s="6" t="inlineStr">
        <is>
          <t>•</t>
        </is>
      </c>
      <c r="C8" s="7" t="inlineStr">
        <is>
          <t>Record, run, and save macros in a macro-enabled workbook (.xlsm)</t>
        </is>
      </c>
    </row>
    <row r="9" ht="18" customHeight="1">
      <c r="B9" s="6" t="inlineStr">
        <is>
          <t>•</t>
        </is>
      </c>
      <c r="C9" s="7" t="inlineStr">
        <is>
          <t>Choose between absolute and relative recording</t>
        </is>
      </c>
    </row>
    <row r="10" ht="18" customHeight="1">
      <c r="B10" s="6" t="inlineStr">
        <is>
          <t>•</t>
        </is>
      </c>
      <c r="C10" s="7" t="inlineStr">
        <is>
          <t>Run macros from buttons, shortcuts, and the Quick Access Toolbar — and read the recorded code</t>
        </is>
      </c>
    </row>
    <row r="11"/>
    <row r="12">
      <c r="B12" s="4" t="inlineStr">
        <is>
          <t>How to use this workbook</t>
        </is>
      </c>
      <c r="C12" s="5" t="n"/>
    </row>
    <row r="13" ht="33" customHeight="1">
      <c r="B13" s="8" t="inlineStr">
        <is>
          <t>1. Read the guide</t>
        </is>
      </c>
      <c r="C13" s="7" t="inlineStr">
        <is>
          <t>The lesson guide (README) explains each skill with examples: https://github.com/lmansf/learn-excel/tree/main/05-automation-vba/01-recording-macros</t>
        </is>
      </c>
    </row>
    <row r="14" ht="33" customHeight="1">
      <c r="B14" s="8" t="inlineStr">
        <is>
          <t>2. Practice</t>
        </is>
      </c>
      <c r="C14" s="7" t="inlineStr">
        <is>
          <t>Go to the 'Practice' sheet. Type your answers in the yellow cells. The gray cells read the TOTAL rows your macro writes on the census sheets.</t>
        </is>
      </c>
    </row>
    <row r="15" ht="33" customHeight="1">
      <c r="B15" s="8" t="inlineStr">
        <is>
          <t>3. Check yourself</t>
        </is>
      </c>
      <c r="C15" s="7" t="inlineStr">
        <is>
          <t>The Check column shows ✔ Correct (green) or ✘ Not yet (red). Tasks marked 'See key' are checked by comparing your work with the answer key.</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33" customHeight="1">
      <c r="B18" s="8" t="inlineStr">
        <is>
          <t>Note</t>
        </is>
      </c>
      <c r="C18" s="7" t="inlineStr">
        <is>
          <t>This workbook is an .xlsx file, so it can't store macros. Before you record, use File → Save As (F12; Mac: ⌘ + Shift + S) and choose Excel Macro-Enabled Workbook (*.xlsm).</t>
        </is>
      </c>
    </row>
    <row r="19" ht="33" customHeight="1">
      <c r="B19" s="8" t="inlineStr">
        <is>
          <t>Note</t>
        </is>
      </c>
      <c r="C19" s="7" t="inlineStr">
        <is>
          <t>Ctrl + Z can't undo a macro. Save before you run a macro you just recorded, so you can close without saving if it goes wrong.</t>
        </is>
      </c>
    </row>
    <row r="20" ht="33" customHeight="1">
      <c r="B20" s="8" t="inlineStr">
        <is>
          <t>Note</t>
        </is>
      </c>
      <c r="C20" s="7" t="inlineStr">
        <is>
          <t>Reference macros (.bas files) are in the lesson's solutions/ folder on GitHub. They're spoilers, so record your own first.</t>
        </is>
      </c>
    </row>
    <row r="21"/>
    <row r="22">
      <c r="B22" s="4" t="inlineStr">
        <is>
          <t>Color legend</t>
        </is>
      </c>
      <c r="C22" s="5" t="n"/>
    </row>
    <row r="23" ht="18" customHeight="1">
      <c r="B23" s="9" t="inlineStr">
        <is>
          <t>Yellow cell</t>
        </is>
      </c>
      <c r="C23" s="7" t="inlineStr">
        <is>
          <t>Your answer goes here.</t>
        </is>
      </c>
    </row>
    <row r="24" ht="18" customHeight="1">
      <c r="B24" s="10" t="inlineStr">
        <is>
          <t>Gray cell</t>
        </is>
      </c>
      <c r="C24" s="7" t="inlineStr">
        <is>
          <t>Pre-filled summary formula. It reads the work you did on another sheet, so don't type over it.</t>
        </is>
      </c>
    </row>
    <row r="25" ht="18" customHeight="1">
      <c r="B25" s="11" t="inlineStr">
        <is>
          <t>✔ Correct</t>
        </is>
      </c>
      <c r="C25" s="7" t="inlineStr">
        <is>
          <t>Your answer matches the key.</t>
        </is>
      </c>
    </row>
    <row r="26" ht="18" customHeight="1">
      <c r="B26" s="12" t="inlineStr">
        <is>
          <t>✘ Not yet</t>
        </is>
      </c>
      <c r="C26" s="7" t="inlineStr">
        <is>
          <t>Not matching yet. Check the hint and try again.</t>
        </is>
      </c>
    </row>
    <row r="27"/>
    <row r="28">
      <c r="B28" s="4" t="inlineStr">
        <is>
          <t>Sheets in this workbook</t>
        </is>
      </c>
      <c r="C28" s="5" t="n"/>
    </row>
    <row r="29" ht="18" customHeight="1">
      <c r="B29" s="8" t="inlineStr">
        <is>
          <t>Practice</t>
        </is>
      </c>
      <c r="C29" s="7" t="inlineStr">
        <is>
          <t>13 practice tasks, each with a Check cell.</t>
        </is>
      </c>
    </row>
    <row r="30" ht="18" customHeight="1">
      <c r="B30" s="8" t="inlineStr">
        <is>
          <t>Census_Nov</t>
        </is>
      </c>
      <c r="C30" s="7" t="inlineStr">
        <is>
          <t>Data: 30 rows</t>
        </is>
      </c>
    </row>
    <row r="31" ht="18" customHeight="1">
      <c r="B31" s="8" t="inlineStr">
        <is>
          <t>Census_Dec</t>
        </is>
      </c>
      <c r="C31" s="7" t="inlineStr">
        <is>
          <t>Data: 31 rows</t>
        </is>
      </c>
    </row>
    <row r="32" ht="18" customHeight="1">
      <c r="B32" s="8" t="inlineStr">
        <is>
          <t>ED_Nov</t>
        </is>
      </c>
      <c r="C32" s="7" t="inlineStr">
        <is>
          <t>Data: 80 rows</t>
        </is>
      </c>
    </row>
    <row r="33" ht="18" customHeight="1">
      <c r="B33" s="8" t="inlineStr">
        <is>
          <t>ED_Dec</t>
        </is>
      </c>
      <c r="C33" s="7" t="inlineStr">
        <is>
          <t>Data: 93 rows</t>
        </is>
      </c>
    </row>
    <row r="34" ht="18" customHeight="1">
      <c r="B34" s="8" t="inlineStr">
        <is>
          <t>Bonus</t>
        </is>
      </c>
      <c r="C34" s="7" t="inlineStr">
        <is>
          <t>The bonus challenge (5 parts).</t>
        </is>
      </c>
    </row>
    <row r="35" ht="48" customHeight="1">
      <c r="B35" s="8" t="inlineStr">
        <is>
          <t>About the data</t>
        </is>
      </c>
      <c r="C35" s="7" t="inlineStr">
        <is>
          <t>Raw daily census exports for the Medical-Surgical unit at Cedar Ridge Medical Center (November and December 2025), plus the hospital's raw Emergency Department visit exports for the same two months (bonus).</t>
        </is>
      </c>
    </row>
    <row r="36" ht="18" customHeight="1">
      <c r="B36" s="8" t="inlineStr">
        <is>
          <t>Disclaimer</t>
        </is>
      </c>
      <c r="C36"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8"/>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5.1 · Practice</t>
        </is>
      </c>
    </row>
    <row r="2" ht="49" customHeight="1">
      <c r="A2" s="14" t="inlineStr">
        <is>
          <t>Tasks 1–6, 9 and 13 are quick checks: type your answer in the yellow cell. Tasks 7, 8, 11 and 12 have gray cells that read the TOTAL rows your macro writes on Census_Nov and Census_Dec, so you don't type anything there. Task 10 has nothing to check: compare your buttons with the answer key. Save this file as an .xlsm before you record anything (task 1).</t>
        </is>
      </c>
    </row>
    <row r="3" ht="34" customHeight="1">
      <c r="A3" s="15" t="inlineStr">
        <is>
          <t>Type your answer in each yellow cell. The gray cells fill in by themselves once your macro has run. The Check column turns green when your answer matches. Stuck? Read the hint, then the lesson guide. Answers: right-click a sheet tab → Unhide… → 'Answer Key'.</t>
        </is>
      </c>
    </row>
    <row r="4">
      <c r="A4" s="16">
        <f>"Score: "&amp;COUNTIF(E6:E18,"✔*")&amp;" of 12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1</t>
        </is>
      </c>
      <c r="B6" s="19" t="inlineStr">
        <is>
          <t>This workbook is an .xlsx file, which can't store macros. Which file extension does the Excel Macro-Enabled Workbook format use, the format you save it in before you record? Type the extension, like .xlsx</t>
        </is>
      </c>
      <c r="C6" s="20" t="inlineStr">
        <is>
          <t>File → Save As shows each format's extension in the Save as type list</t>
        </is>
      </c>
      <c r="D6" s="21" t="n"/>
      <c r="E6" s="22">
        <f>IF(IFERROR(D6="",FALSE),"",IF(IFERROR(OR(LOWER(TRIM(D6&amp;""))=LOWER(TRIM('Answer Key'!$C$5&amp;"")),LOWER(TRIM(D6&amp;""))="xlsm",LOWER(TRIM(D6&amp;""))="*.xlsm"),FALSE),"✔ Correct","✘ Not yet"))</f>
        <v/>
      </c>
    </row>
    <row r="7" ht="126" customHeight="1">
      <c r="A7" s="18" t="inlineStr">
        <is>
          <t>2</t>
        </is>
      </c>
      <c r="B7" s="19" t="inlineStr">
        <is>
          <t>A colleague emails you Census_Report.xlsm. When you open it, a red bar says Microsoft has blocked macros because the source of this file is untrusted. Which is the safe way to run its macros? Type the letter.
A: Change the Trust Center to Enable VBA macros.
B: Confirm with the colleague that they sent it, save it to your computer, then right-click the file → Properties → tick Unblock.
C: Click Enable Content on the red bar.
D: Rename the file to .xlsx.</t>
        </is>
      </c>
      <c r="C7" s="20" t="inlineStr">
        <is>
          <t>The red bar has no Enable button. Look at the file's Properties</t>
        </is>
      </c>
      <c r="D7" s="21" t="n"/>
      <c r="E7" s="22">
        <f>IF(IFERROR(D7="",FALSE),"",IF(IFERROR(OR(LOWER(TRIM(D7&amp;""))=LOWER(TRIM('Answer Key'!$C$6&amp;""))),FALSE),"✔ Correct","✘ Not yet"))</f>
        <v/>
      </c>
    </row>
    <row r="8" ht="36" customHeight="1">
      <c r="A8" s="18" t="inlineStr">
        <is>
          <t>3</t>
        </is>
      </c>
      <c r="B8" s="19" t="inlineStr">
        <is>
          <t>Which function key do you press with Alt (Mac: Option) to open the Visual Basic Editor? Type just the key, like F5.</t>
        </is>
      </c>
      <c r="C8" s="20" t="inlineStr">
        <is>
          <t>It's also on the Developer tab: Visual Basic</t>
        </is>
      </c>
      <c r="D8" s="21" t="n"/>
      <c r="E8" s="22">
        <f>IF(IFERROR(D8="",FALSE),"",IF(IFERROR(OR(LOWER(TRIM(D8&amp;""))=LOWER(TRIM('Answer Key'!$C$7&amp;"")),LOWER(TRIM(D8&amp;""))="alt+f11",LOWER(TRIM(D8&amp;""))="alt + f11",LOWER(TRIM(D8&amp;""))="option+f11",LOWER(TRIM(D8&amp;""))="option + f11"),FALSE),"✔ Correct","✘ Not yet"))</f>
        <v/>
      </c>
    </row>
    <row r="9" ht="51" customHeight="1">
      <c r="A9" s="18" t="inlineStr">
        <is>
          <t>4</t>
        </is>
      </c>
      <c r="B9" s="19" t="inlineStr">
        <is>
          <t>On Windows, what is the file name (with extension) of the Personal Macro Workbook, the hidden workbook that makes a macro available in every workbook you open?</t>
        </is>
      </c>
      <c r="C9" s="20" t="inlineStr">
        <is>
          <t>It's a binary workbook stored in the XLSTART folder</t>
        </is>
      </c>
      <c r="D9" s="21" t="n"/>
      <c r="E9" s="22">
        <f>IF(IFERROR(D9="",FALSE),"",IF(IFERROR(OR(LOWER(TRIM(D9&amp;""))=LOWER(TRIM('Answer Key'!$C$8&amp;""))),FALSE),"✔ Correct","✘ Not yet"))</f>
        <v/>
      </c>
    </row>
    <row r="10" ht="51" customHeight="1">
      <c r="A10" s="18" t="inlineStr">
        <is>
          <t>5</t>
        </is>
      </c>
      <c r="B10" s="19" t="inlineStr">
        <is>
          <t>With Use Relative References OFF, you click Record Macro, click cell B3, type Verified, press Enter, and stop recording. Later you select H10 and run the macro. Which cell receives Verified? Type the address, like A1.</t>
        </is>
      </c>
      <c r="C10" s="20" t="inlineStr">
        <is>
          <t>Absolute recording stores the address you clicked</t>
        </is>
      </c>
      <c r="D10" s="21" t="n"/>
      <c r="E10" s="22">
        <f>IF(IFERROR(D10="",FALSE),"",IF(IFERROR(OR(LOWER(TRIM(D10&amp;""))=LOWER(TRIM('Answer Key'!$C$9&amp;"")),LOWER(TRIM(D10&amp;""))="$b$3"),FALSE),"✔ Correct","✘ Not yet"))</f>
        <v/>
      </c>
    </row>
    <row r="11" ht="51" customHeight="1">
      <c r="A11" s="18" t="inlineStr">
        <is>
          <t>6</t>
        </is>
      </c>
      <c r="B11" s="19" t="inlineStr">
        <is>
          <t>This time A1 is selected when you click Record Macro. You turn ON Use Relative References, click B3, type Verified, press Enter, and stop. Later you select H10 and run the macro. Which cell receives Verified?</t>
        </is>
      </c>
      <c r="C11" s="20" t="inlineStr">
        <is>
          <t>Count how far you moved from A1 to B3, then make the same move from H10</t>
        </is>
      </c>
      <c r="D11" s="21" t="n"/>
      <c r="E11" s="22">
        <f>IF(IFERROR(D11="",FALSE),"",IF(IFERROR(OR(LOWER(TRIM(D11&amp;""))=LOWER(TRIM('Answer Key'!$C$10&amp;"")),LOWER(TRIM(D11&amp;""))="$i$12"),FALSE),"✔ Correct","✘ Not yet"))</f>
        <v/>
      </c>
    </row>
    <row r="12" ht="66" customHeight="1">
      <c r="A12" s="18" t="inlineStr">
        <is>
          <t>7</t>
        </is>
      </c>
      <c r="B12" s="19" t="inlineStr">
        <is>
          <t>Record the FormatCensusReport macro on the Census_Nov sheet by following the recipe in Guide section 7 (TOTAL row recorded with relative references, shortcut Ctrl + Shift + R). The gray cell finds the row your macro labeled TOTAL and reads its MidnightCensus cell, which should equal November's patient days.</t>
        </is>
      </c>
      <c r="C12" s="20" t="inlineStr">
        <is>
          <t>Guide section 7 has the click-by-click recipe</t>
        </is>
      </c>
      <c r="D12" cm="1" s="23">
        <f t="array" ref="D12">IFERROR(INDEX(Census_Nov!G:G,MATCH("TOTAL",Census_Nov!A:A,0)),"")</f>
        <v/>
      </c>
      <c r="E12" s="22">
        <f>IF(IFERROR(D12="",FALSE),"",IF(IFERROR(AND(ISNUMBER(D12),OR(ABS(D12-'Answer Key'!$C$11)&lt;=0.0001)),FALSE),"✔ Correct","✘ Not yet"))</f>
        <v/>
      </c>
    </row>
    <row r="13" ht="66" customHeight="1">
      <c r="A13" s="18" t="inlineStr">
        <is>
          <t>8</t>
        </is>
      </c>
      <c r="B13" s="19" t="inlineStr">
        <is>
          <t>Step 10 of the recipe in Guide section 7 put the month's occupancy in column H of your TOTAL row on Census_Nov: total patient days divided by total staffed-bed days, formatted as a percentage with 1 decimal place. The gray cell reads that cell.</t>
        </is>
      </c>
      <c r="C13" s="20" t="inlineStr">
        <is>
          <t>Patient days are in column G, staffed-bed days in column D</t>
        </is>
      </c>
      <c r="D13" cm="1" s="24">
        <f t="array" ref="D13">IFERROR(INDEX(Census_Nov!H:H,MATCH("TOTAL",Census_Nov!A:A,0)),"")</f>
        <v/>
      </c>
      <c r="E13" s="22">
        <f>IF(IFERROR(D13="",FALSE),"",IF(IFERROR(AND(ISNUMBER(D13),OR(ABS(D13-'Answer Key'!$C$12)&lt;=0.00051,ABS(D13-'Answer Key'!$C$12*100)&lt;=0.051000000000000004)),FALSE),"✔ Correct","✘ Not yet"))</f>
        <v/>
      </c>
    </row>
    <row r="14" ht="36" customHeight="1">
      <c r="A14" s="18" t="inlineStr">
        <is>
          <t>9</t>
        </is>
      </c>
      <c r="B14" s="19" t="inlineStr">
        <is>
          <t>In the Record Macro dialog you typed an uppercase R in the Shortcut key box. Which key combination runs the macro on Windows? Type it like Ctrl+Alt+X.</t>
        </is>
      </c>
      <c r="C14" s="20" t="inlineStr">
        <is>
          <t>An uppercase letter adds a key</t>
        </is>
      </c>
      <c r="D14" s="21" t="n"/>
      <c r="E14" s="22">
        <f>IF(IFERROR(D14="",FALSE),"",IF(IFERROR(OR(LOWER(TRIM(D14&amp;""))=LOWER(TRIM('Answer Key'!$C$13&amp;"")),LOWER(TRIM(D14&amp;""))="ctrl + shift + r",LOWER(TRIM(D14&amp;""))="shift+ctrl+r",LOWER(TRIM(D14&amp;""))="shift + ctrl + r",LOWER(TRIM(D14&amp;""))="control+shift+r",LOWER(TRIM(D14&amp;""))="ctrl shift r",LOWER(TRIM(D14&amp;""))="ctrl-shift-r"),FALSE),"✔ Correct","✘ Not yet"))</f>
        <v/>
      </c>
    </row>
    <row r="15" ht="51" customHeight="1">
      <c r="A15" s="18" t="inlineStr">
        <is>
          <t>10</t>
        </is>
      </c>
      <c r="B15" s="19" t="inlineStr">
        <is>
          <t>Add two more ways to run FormatCensusReport: (a) a button on the Census_Dec sheet labeled Build report, and (b) a button on the Quick Access Toolbar. Don't click them yet.</t>
        </is>
      </c>
      <c r="C15" s="20" t="inlineStr">
        <is>
          <t>Right-click a shape → Assign Macro</t>
        </is>
      </c>
      <c r="D15" s="25" t="n"/>
      <c r="E15" s="22" t="inlineStr">
        <is>
          <t>See key</t>
        </is>
      </c>
    </row>
    <row r="16" ht="51" customHeight="1">
      <c r="A16" s="18" t="inlineStr">
        <is>
          <t>11</t>
        </is>
      </c>
      <c r="B16" s="19" t="inlineStr">
        <is>
          <t>Go to Census_Dec and run your macro (Ctrl + Shift + R or your button). December has 31 days. The gray cell finds your TOTAL row and counts the daily rows above it. It should show all 31 days.</t>
        </is>
      </c>
      <c r="C16" s="20" t="inlineStr">
        <is>
          <t>If it shows 30, your TOTAL row overwrote a day</t>
        </is>
      </c>
      <c r="D16" cm="1" s="23">
        <f t="array" ref="D16">IFERROR(MATCH("TOTAL",Census_Dec!A:A,0)-2,"")</f>
        <v/>
      </c>
      <c r="E16" s="22">
        <f>IF(IFERROR(D16="",FALSE),"",IF(IFERROR(AND(ISNUMBER(D16),OR(ABS(D16-'Answer Key'!$C$15)&lt;=0.0001)),FALSE),"✔ Correct","✘ Not yet"))</f>
        <v/>
      </c>
    </row>
    <row r="17" ht="36" customHeight="1">
      <c r="A17" s="18" t="inlineStr">
        <is>
          <t>12</t>
        </is>
      </c>
      <c r="B17" s="19" t="inlineStr">
        <is>
          <t>On Census_Dec, the gray cell reads the MidnightCensus total in your TOTAL row. It should equal December's patient days (all 31 days).</t>
        </is>
      </c>
      <c r="C17" s="20" t="inlineStr">
        <is>
          <t>Did you anchor the first row with a $ when you typed the SUM?</t>
        </is>
      </c>
      <c r="D17" cm="1" s="23">
        <f t="array" ref="D17">IFERROR(INDEX(Census_Dec!G:G,MATCH("TOTAL",Census_Dec!A:A,0)),"")</f>
        <v/>
      </c>
      <c r="E17" s="22">
        <f>IF(IFERROR(D17="",FALSE),"",IF(IFERROR(AND(ISNUMBER(D17),OR(ABS(D17-'Answer Key'!$C$16)&lt;=0.0001)),FALSE),"✔ Correct","✘ Not yet"))</f>
        <v/>
      </c>
    </row>
    <row r="18" ht="51" customHeight="1">
      <c r="A18" s="18" t="inlineStr">
        <is>
          <t>13</t>
        </is>
      </c>
      <c r="B18" s="19" t="inlineStr">
        <is>
          <t>Read this recorded line: ActiveCell.FormulaR1C1 = "=SUM(R[-31]C[-1]:R[-1]C[-1])". If it runs while H33 is the active cell, which range does the SUM add up? Type it like A1:A9.</t>
        </is>
      </c>
      <c r="C18" s="20" t="inlineStr">
        <is>
          <t>Square brackets count from the formula's own cell: R for rows, C for columns</t>
        </is>
      </c>
      <c r="D18" s="21" t="n"/>
      <c r="E18" s="22">
        <f>IF(IFERROR(D18="",FALSE),"",IF(IFERROR(OR(LOWER(TRIM(D18&amp;""))=LOWER(TRIM('Answer Key'!$C$17&amp;"")),LOWER(TRIM(D18&amp;""))="$g$2:$g$32"),FALSE),"✔ Correct","✘ Not yet"))</f>
        <v/>
      </c>
    </row>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G31"/>
  <sheetViews>
    <sheetView tabSelected="0" workbookViewId="0">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c r="A1" s="26" t="inlineStr">
        <is>
          <t>CensusDate</t>
        </is>
      </c>
      <c r="B1" s="26" t="inlineStr">
        <is>
          <t>FacilityID</t>
        </is>
      </c>
      <c r="C1" s="26" t="inlineStr">
        <is>
          <t>DeptID</t>
        </is>
      </c>
      <c r="D1" s="26" t="inlineStr">
        <is>
          <t>StaffedBeds</t>
        </is>
      </c>
      <c r="E1" s="26" t="inlineStr">
        <is>
          <t>Admissions</t>
        </is>
      </c>
      <c r="F1" s="26" t="inlineStr">
        <is>
          <t>Discharges</t>
        </is>
      </c>
      <c r="G1" s="26" t="inlineStr">
        <is>
          <t>MidnightCensus</t>
        </is>
      </c>
    </row>
    <row r="2">
      <c r="A2" t="n">
        <v>45962</v>
      </c>
      <c r="B2" t="inlineStr">
        <is>
          <t>F03</t>
        </is>
      </c>
      <c r="C2" t="inlineStr">
        <is>
          <t>D310</t>
        </is>
      </c>
      <c r="D2" t="n">
        <v>30</v>
      </c>
      <c r="E2" t="n">
        <v>8</v>
      </c>
      <c r="F2" t="n">
        <v>5</v>
      </c>
      <c r="G2" t="n">
        <v>28</v>
      </c>
    </row>
    <row r="3">
      <c r="A3" t="n">
        <v>45963</v>
      </c>
      <c r="B3" t="inlineStr">
        <is>
          <t>F03</t>
        </is>
      </c>
      <c r="C3" t="inlineStr">
        <is>
          <t>D310</t>
        </is>
      </c>
      <c r="D3" t="n">
        <v>30</v>
      </c>
      <c r="E3" t="n">
        <v>11</v>
      </c>
      <c r="F3" t="n">
        <v>11</v>
      </c>
      <c r="G3" t="n">
        <v>28</v>
      </c>
    </row>
    <row r="4">
      <c r="A4" t="n">
        <v>45964</v>
      </c>
      <c r="B4" t="inlineStr">
        <is>
          <t>F03</t>
        </is>
      </c>
      <c r="C4" t="inlineStr">
        <is>
          <t>D310</t>
        </is>
      </c>
      <c r="D4" t="n">
        <v>30</v>
      </c>
      <c r="E4" t="n">
        <v>6</v>
      </c>
      <c r="F4" t="n">
        <v>5</v>
      </c>
      <c r="G4" t="n">
        <v>29</v>
      </c>
    </row>
    <row r="5">
      <c r="A5" t="n">
        <v>45965</v>
      </c>
      <c r="B5" t="inlineStr">
        <is>
          <t>F03</t>
        </is>
      </c>
      <c r="C5" t="inlineStr">
        <is>
          <t>D310</t>
        </is>
      </c>
      <c r="D5" t="n">
        <v>30</v>
      </c>
      <c r="E5" t="n">
        <v>9</v>
      </c>
      <c r="F5" t="n">
        <v>9</v>
      </c>
      <c r="G5" t="n">
        <v>29</v>
      </c>
    </row>
    <row r="6">
      <c r="A6" t="n">
        <v>45966</v>
      </c>
      <c r="B6" t="inlineStr">
        <is>
          <t>F03</t>
        </is>
      </c>
      <c r="C6" t="inlineStr">
        <is>
          <t>D310</t>
        </is>
      </c>
      <c r="D6" t="n">
        <v>30</v>
      </c>
      <c r="E6" t="n">
        <v>8</v>
      </c>
      <c r="F6" t="n">
        <v>8</v>
      </c>
      <c r="G6" t="n">
        <v>29</v>
      </c>
    </row>
    <row r="7">
      <c r="A7" t="n">
        <v>45967</v>
      </c>
      <c r="B7" t="inlineStr">
        <is>
          <t>F03</t>
        </is>
      </c>
      <c r="C7" t="inlineStr">
        <is>
          <t>D310</t>
        </is>
      </c>
      <c r="D7" t="n">
        <v>30</v>
      </c>
      <c r="E7" t="n">
        <v>7</v>
      </c>
      <c r="F7" t="n">
        <v>8</v>
      </c>
      <c r="G7" t="n">
        <v>28</v>
      </c>
    </row>
    <row r="8">
      <c r="A8" t="n">
        <v>45968</v>
      </c>
      <c r="B8" t="inlineStr">
        <is>
          <t>F03</t>
        </is>
      </c>
      <c r="C8" t="inlineStr">
        <is>
          <t>D310</t>
        </is>
      </c>
      <c r="D8" t="n">
        <v>30</v>
      </c>
      <c r="E8" t="n">
        <v>6</v>
      </c>
      <c r="F8" t="n">
        <v>6</v>
      </c>
      <c r="G8" t="n">
        <v>28</v>
      </c>
    </row>
    <row r="9">
      <c r="A9" t="n">
        <v>45969</v>
      </c>
      <c r="B9" t="inlineStr">
        <is>
          <t>F03</t>
        </is>
      </c>
      <c r="C9" t="inlineStr">
        <is>
          <t>D310</t>
        </is>
      </c>
      <c r="D9" t="n">
        <v>30</v>
      </c>
      <c r="E9" t="n">
        <v>5</v>
      </c>
      <c r="F9" t="n">
        <v>4</v>
      </c>
      <c r="G9" t="n">
        <v>29</v>
      </c>
    </row>
    <row r="10">
      <c r="A10" t="n">
        <v>45970</v>
      </c>
      <c r="B10" t="inlineStr">
        <is>
          <t>F03</t>
        </is>
      </c>
      <c r="C10" t="inlineStr">
        <is>
          <t>D310</t>
        </is>
      </c>
      <c r="D10" t="n">
        <v>30</v>
      </c>
      <c r="E10" t="n">
        <v>7</v>
      </c>
      <c r="F10" t="n">
        <v>9</v>
      </c>
      <c r="G10" t="n">
        <v>27</v>
      </c>
    </row>
    <row r="11">
      <c r="A11" t="n">
        <v>45971</v>
      </c>
      <c r="B11" t="inlineStr">
        <is>
          <t>F03</t>
        </is>
      </c>
      <c r="C11" t="inlineStr">
        <is>
          <t>D310</t>
        </is>
      </c>
      <c r="D11" t="n">
        <v>30</v>
      </c>
      <c r="E11" t="n">
        <v>9</v>
      </c>
      <c r="F11" t="n">
        <v>10</v>
      </c>
      <c r="G11" t="n">
        <v>26</v>
      </c>
    </row>
    <row r="12">
      <c r="A12" t="n">
        <v>45972</v>
      </c>
      <c r="B12" t="inlineStr">
        <is>
          <t>F03</t>
        </is>
      </c>
      <c r="C12" t="inlineStr">
        <is>
          <t>D310</t>
        </is>
      </c>
      <c r="D12" t="n">
        <v>30</v>
      </c>
      <c r="E12" t="n">
        <v>3</v>
      </c>
      <c r="F12" t="n">
        <v>2</v>
      </c>
      <c r="G12" t="n">
        <v>27</v>
      </c>
    </row>
    <row r="13">
      <c r="A13" t="n">
        <v>45973</v>
      </c>
      <c r="B13" t="inlineStr">
        <is>
          <t>F03</t>
        </is>
      </c>
      <c r="C13" t="inlineStr">
        <is>
          <t>D310</t>
        </is>
      </c>
      <c r="D13" t="n">
        <v>30</v>
      </c>
      <c r="E13" t="n">
        <v>5</v>
      </c>
      <c r="F13" t="n">
        <v>5</v>
      </c>
      <c r="G13" t="n">
        <v>27</v>
      </c>
    </row>
    <row r="14">
      <c r="A14" t="n">
        <v>45974</v>
      </c>
      <c r="B14" t="inlineStr">
        <is>
          <t>F03</t>
        </is>
      </c>
      <c r="C14" t="inlineStr">
        <is>
          <t>D310</t>
        </is>
      </c>
      <c r="D14" t="n">
        <v>30</v>
      </c>
      <c r="E14" t="n">
        <v>8</v>
      </c>
      <c r="F14" t="n">
        <v>8</v>
      </c>
      <c r="G14" t="n">
        <v>27</v>
      </c>
    </row>
    <row r="15">
      <c r="A15" t="n">
        <v>45975</v>
      </c>
      <c r="B15" t="inlineStr">
        <is>
          <t>F03</t>
        </is>
      </c>
      <c r="C15" t="inlineStr">
        <is>
          <t>D310</t>
        </is>
      </c>
      <c r="D15" t="n">
        <v>30</v>
      </c>
      <c r="E15" t="n">
        <v>6</v>
      </c>
      <c r="F15" t="n">
        <v>8</v>
      </c>
      <c r="G15" t="n">
        <v>25</v>
      </c>
    </row>
    <row r="16">
      <c r="A16" t="n">
        <v>45976</v>
      </c>
      <c r="B16" t="inlineStr">
        <is>
          <t>F03</t>
        </is>
      </c>
      <c r="C16" t="inlineStr">
        <is>
          <t>D310</t>
        </is>
      </c>
      <c r="D16" t="n">
        <v>30</v>
      </c>
      <c r="E16" t="n">
        <v>8</v>
      </c>
      <c r="F16" t="n">
        <v>8</v>
      </c>
      <c r="G16" t="n">
        <v>25</v>
      </c>
    </row>
    <row r="17">
      <c r="A17" t="n">
        <v>45977</v>
      </c>
      <c r="B17" t="inlineStr">
        <is>
          <t>F03</t>
        </is>
      </c>
      <c r="C17" t="inlineStr">
        <is>
          <t>D310</t>
        </is>
      </c>
      <c r="D17" t="n">
        <v>30</v>
      </c>
      <c r="E17" t="n">
        <v>4</v>
      </c>
      <c r="F17" t="n">
        <v>3</v>
      </c>
      <c r="G17" t="n">
        <v>26</v>
      </c>
    </row>
    <row r="18">
      <c r="A18" t="n">
        <v>45978</v>
      </c>
      <c r="B18" t="inlineStr">
        <is>
          <t>F03</t>
        </is>
      </c>
      <c r="C18" t="inlineStr">
        <is>
          <t>D310</t>
        </is>
      </c>
      <c r="D18" t="n">
        <v>30</v>
      </c>
      <c r="E18" t="n">
        <v>14</v>
      </c>
      <c r="F18" t="n">
        <v>12</v>
      </c>
      <c r="G18" t="n">
        <v>28</v>
      </c>
    </row>
    <row r="19">
      <c r="A19" t="n">
        <v>45979</v>
      </c>
      <c r="B19" t="inlineStr">
        <is>
          <t>F03</t>
        </is>
      </c>
      <c r="C19" t="inlineStr">
        <is>
          <t>D310</t>
        </is>
      </c>
      <c r="D19" t="n">
        <v>30</v>
      </c>
      <c r="E19" t="n">
        <v>4</v>
      </c>
      <c r="F19" t="n">
        <v>4</v>
      </c>
      <c r="G19" t="n">
        <v>28</v>
      </c>
    </row>
    <row r="20">
      <c r="A20" t="n">
        <v>45980</v>
      </c>
      <c r="B20" t="inlineStr">
        <is>
          <t>F03</t>
        </is>
      </c>
      <c r="C20" t="inlineStr">
        <is>
          <t>D310</t>
        </is>
      </c>
      <c r="D20" t="n">
        <v>30</v>
      </c>
      <c r="E20" t="n">
        <v>8</v>
      </c>
      <c r="F20" t="n">
        <v>8</v>
      </c>
      <c r="G20" t="n">
        <v>28</v>
      </c>
    </row>
    <row r="21">
      <c r="A21" t="n">
        <v>45981</v>
      </c>
      <c r="B21" t="inlineStr">
        <is>
          <t>F03</t>
        </is>
      </c>
      <c r="C21" t="inlineStr">
        <is>
          <t>D310</t>
        </is>
      </c>
      <c r="D21" t="n">
        <v>30</v>
      </c>
      <c r="E21" t="n">
        <v>6</v>
      </c>
      <c r="F21" t="n">
        <v>7</v>
      </c>
      <c r="G21" t="n">
        <v>27</v>
      </c>
    </row>
    <row r="22">
      <c r="A22" t="n">
        <v>45982</v>
      </c>
      <c r="B22" t="inlineStr">
        <is>
          <t>F03</t>
        </is>
      </c>
      <c r="C22" t="inlineStr">
        <is>
          <t>D310</t>
        </is>
      </c>
      <c r="D22" t="n">
        <v>30</v>
      </c>
      <c r="E22" t="n">
        <v>8</v>
      </c>
      <c r="F22" t="n">
        <v>9</v>
      </c>
      <c r="G22" t="n">
        <v>26</v>
      </c>
    </row>
    <row r="23">
      <c r="A23" t="n">
        <v>45983</v>
      </c>
      <c r="B23" t="inlineStr">
        <is>
          <t>F03</t>
        </is>
      </c>
      <c r="C23" t="inlineStr">
        <is>
          <t>D310</t>
        </is>
      </c>
      <c r="D23" t="n">
        <v>30</v>
      </c>
      <c r="E23" t="n">
        <v>6</v>
      </c>
      <c r="F23" t="n">
        <v>8</v>
      </c>
      <c r="G23" t="n">
        <v>24</v>
      </c>
    </row>
    <row r="24">
      <c r="A24" t="n">
        <v>45984</v>
      </c>
      <c r="B24" t="inlineStr">
        <is>
          <t>F03</t>
        </is>
      </c>
      <c r="C24" t="inlineStr">
        <is>
          <t>D310</t>
        </is>
      </c>
      <c r="D24" t="n">
        <v>30</v>
      </c>
      <c r="E24" t="n">
        <v>3</v>
      </c>
      <c r="F24" t="n">
        <v>2</v>
      </c>
      <c r="G24" t="n">
        <v>25</v>
      </c>
    </row>
    <row r="25">
      <c r="A25" t="n">
        <v>45985</v>
      </c>
      <c r="B25" t="inlineStr">
        <is>
          <t>F03</t>
        </is>
      </c>
      <c r="C25" t="inlineStr">
        <is>
          <t>D310</t>
        </is>
      </c>
      <c r="D25" t="n">
        <v>30</v>
      </c>
      <c r="E25" t="n">
        <v>3</v>
      </c>
      <c r="F25" t="n">
        <v>0</v>
      </c>
      <c r="G25" t="n">
        <v>28</v>
      </c>
    </row>
    <row r="26">
      <c r="A26" t="n">
        <v>45986</v>
      </c>
      <c r="B26" t="inlineStr">
        <is>
          <t>F03</t>
        </is>
      </c>
      <c r="C26" t="inlineStr">
        <is>
          <t>D310</t>
        </is>
      </c>
      <c r="D26" t="n">
        <v>30</v>
      </c>
      <c r="E26" t="n">
        <v>5</v>
      </c>
      <c r="F26" t="n">
        <v>6</v>
      </c>
      <c r="G26" t="n">
        <v>27</v>
      </c>
    </row>
    <row r="27">
      <c r="A27" t="n">
        <v>45987</v>
      </c>
      <c r="B27" t="inlineStr">
        <is>
          <t>F03</t>
        </is>
      </c>
      <c r="C27" t="inlineStr">
        <is>
          <t>D310</t>
        </is>
      </c>
      <c r="D27" t="n">
        <v>30</v>
      </c>
      <c r="E27" t="n">
        <v>8</v>
      </c>
      <c r="F27" t="n">
        <v>9</v>
      </c>
      <c r="G27" t="n">
        <v>26</v>
      </c>
    </row>
    <row r="28">
      <c r="A28" t="n">
        <v>45988</v>
      </c>
      <c r="B28" t="inlineStr">
        <is>
          <t>F03</t>
        </is>
      </c>
      <c r="C28" t="inlineStr">
        <is>
          <t>D310</t>
        </is>
      </c>
      <c r="D28" t="n">
        <v>30</v>
      </c>
      <c r="E28" t="n">
        <v>9</v>
      </c>
      <c r="F28" t="n">
        <v>10</v>
      </c>
      <c r="G28" t="n">
        <v>25</v>
      </c>
    </row>
    <row r="29">
      <c r="A29" t="n">
        <v>45989</v>
      </c>
      <c r="B29" t="inlineStr">
        <is>
          <t>F03</t>
        </is>
      </c>
      <c r="C29" t="inlineStr">
        <is>
          <t>D310</t>
        </is>
      </c>
      <c r="D29" t="n">
        <v>30</v>
      </c>
      <c r="E29" t="n">
        <v>6</v>
      </c>
      <c r="F29" t="n">
        <v>5</v>
      </c>
      <c r="G29" t="n">
        <v>26</v>
      </c>
    </row>
    <row r="30">
      <c r="A30" t="n">
        <v>45990</v>
      </c>
      <c r="B30" t="inlineStr">
        <is>
          <t>F03</t>
        </is>
      </c>
      <c r="C30" t="inlineStr">
        <is>
          <t>D310</t>
        </is>
      </c>
      <c r="D30" t="n">
        <v>30</v>
      </c>
      <c r="E30" t="n">
        <v>4</v>
      </c>
      <c r="F30" t="n">
        <v>5</v>
      </c>
      <c r="G30" t="n">
        <v>25</v>
      </c>
    </row>
    <row r="31">
      <c r="A31" t="n">
        <v>45991</v>
      </c>
      <c r="B31" t="inlineStr">
        <is>
          <t>F03</t>
        </is>
      </c>
      <c r="C31" t="inlineStr">
        <is>
          <t>D310</t>
        </is>
      </c>
      <c r="D31" t="n">
        <v>30</v>
      </c>
      <c r="E31" t="n">
        <v>7</v>
      </c>
      <c r="F31" t="n">
        <v>4</v>
      </c>
      <c r="G31" t="n">
        <v>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
  <sheetViews>
    <sheetView tabSelected="0" workbookViewId="0">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c r="A1" s="26" t="inlineStr">
        <is>
          <t>CensusDate</t>
        </is>
      </c>
      <c r="B1" s="26" t="inlineStr">
        <is>
          <t>FacilityID</t>
        </is>
      </c>
      <c r="C1" s="26" t="inlineStr">
        <is>
          <t>DeptID</t>
        </is>
      </c>
      <c r="D1" s="26" t="inlineStr">
        <is>
          <t>StaffedBeds</t>
        </is>
      </c>
      <c r="E1" s="26" t="inlineStr">
        <is>
          <t>Admissions</t>
        </is>
      </c>
      <c r="F1" s="26" t="inlineStr">
        <is>
          <t>Discharges</t>
        </is>
      </c>
      <c r="G1" s="26" t="inlineStr">
        <is>
          <t>MidnightCensus</t>
        </is>
      </c>
    </row>
    <row r="2">
      <c r="A2" t="n">
        <v>45992</v>
      </c>
      <c r="B2" t="inlineStr">
        <is>
          <t>F03</t>
        </is>
      </c>
      <c r="C2" t="inlineStr">
        <is>
          <t>D310</t>
        </is>
      </c>
      <c r="D2" t="n">
        <v>30</v>
      </c>
      <c r="E2" t="n">
        <v>4</v>
      </c>
      <c r="F2" t="n">
        <v>3</v>
      </c>
      <c r="G2" t="n">
        <v>29</v>
      </c>
    </row>
    <row r="3">
      <c r="A3" t="n">
        <v>45993</v>
      </c>
      <c r="B3" t="inlineStr">
        <is>
          <t>F03</t>
        </is>
      </c>
      <c r="C3" t="inlineStr">
        <is>
          <t>D310</t>
        </is>
      </c>
      <c r="D3" t="n">
        <v>30</v>
      </c>
      <c r="E3" t="n">
        <v>6</v>
      </c>
      <c r="F3" t="n">
        <v>6</v>
      </c>
      <c r="G3" t="n">
        <v>29</v>
      </c>
    </row>
    <row r="4">
      <c r="A4" t="n">
        <v>45994</v>
      </c>
      <c r="B4" t="inlineStr">
        <is>
          <t>F03</t>
        </is>
      </c>
      <c r="C4" t="inlineStr">
        <is>
          <t>D310</t>
        </is>
      </c>
      <c r="D4" t="n">
        <v>30</v>
      </c>
      <c r="E4" t="n">
        <v>5</v>
      </c>
      <c r="F4" t="n">
        <v>5</v>
      </c>
      <c r="G4" t="n">
        <v>29</v>
      </c>
    </row>
    <row r="5">
      <c r="A5" t="n">
        <v>45995</v>
      </c>
      <c r="B5" t="inlineStr">
        <is>
          <t>F03</t>
        </is>
      </c>
      <c r="C5" t="inlineStr">
        <is>
          <t>D310</t>
        </is>
      </c>
      <c r="D5" t="n">
        <v>30</v>
      </c>
      <c r="E5" t="n">
        <v>9</v>
      </c>
      <c r="F5" t="n">
        <v>9</v>
      </c>
      <c r="G5" t="n">
        <v>29</v>
      </c>
    </row>
    <row r="6">
      <c r="A6" t="n">
        <v>45996</v>
      </c>
      <c r="B6" t="inlineStr">
        <is>
          <t>F03</t>
        </is>
      </c>
      <c r="C6" t="inlineStr">
        <is>
          <t>D310</t>
        </is>
      </c>
      <c r="D6" t="n">
        <v>30</v>
      </c>
      <c r="E6" t="n">
        <v>10</v>
      </c>
      <c r="F6" t="n">
        <v>12</v>
      </c>
      <c r="G6" t="n">
        <v>27</v>
      </c>
    </row>
    <row r="7">
      <c r="A7" t="n">
        <v>45997</v>
      </c>
      <c r="B7" t="inlineStr">
        <is>
          <t>F03</t>
        </is>
      </c>
      <c r="C7" t="inlineStr">
        <is>
          <t>D310</t>
        </is>
      </c>
      <c r="D7" t="n">
        <v>30</v>
      </c>
      <c r="E7" t="n">
        <v>1</v>
      </c>
      <c r="F7" t="n">
        <v>2</v>
      </c>
      <c r="G7" t="n">
        <v>26</v>
      </c>
    </row>
    <row r="8">
      <c r="A8" t="n">
        <v>45998</v>
      </c>
      <c r="B8" t="inlineStr">
        <is>
          <t>F03</t>
        </is>
      </c>
      <c r="C8" t="inlineStr">
        <is>
          <t>D310</t>
        </is>
      </c>
      <c r="D8" t="n">
        <v>30</v>
      </c>
      <c r="E8" t="n">
        <v>3</v>
      </c>
      <c r="F8" t="n">
        <v>2</v>
      </c>
      <c r="G8" t="n">
        <v>27</v>
      </c>
    </row>
    <row r="9">
      <c r="A9" t="n">
        <v>45999</v>
      </c>
      <c r="B9" t="inlineStr">
        <is>
          <t>F03</t>
        </is>
      </c>
      <c r="C9" t="inlineStr">
        <is>
          <t>D310</t>
        </is>
      </c>
      <c r="D9" t="n">
        <v>30</v>
      </c>
      <c r="E9" t="n">
        <v>10</v>
      </c>
      <c r="F9" t="n">
        <v>8</v>
      </c>
      <c r="G9" t="n">
        <v>29</v>
      </c>
    </row>
    <row r="10">
      <c r="A10" t="n">
        <v>46000</v>
      </c>
      <c r="B10" t="inlineStr">
        <is>
          <t>F03</t>
        </is>
      </c>
      <c r="C10" t="inlineStr">
        <is>
          <t>D310</t>
        </is>
      </c>
      <c r="D10" t="n">
        <v>30</v>
      </c>
      <c r="E10" t="n">
        <v>9</v>
      </c>
      <c r="F10" t="n">
        <v>11</v>
      </c>
      <c r="G10" t="n">
        <v>27</v>
      </c>
    </row>
    <row r="11">
      <c r="A11" t="n">
        <v>46001</v>
      </c>
      <c r="B11" t="inlineStr">
        <is>
          <t>F03</t>
        </is>
      </c>
      <c r="C11" t="inlineStr">
        <is>
          <t>D310</t>
        </is>
      </c>
      <c r="D11" t="n">
        <v>30</v>
      </c>
      <c r="E11" t="n">
        <v>5</v>
      </c>
      <c r="F11" t="n">
        <v>5</v>
      </c>
      <c r="G11" t="n">
        <v>27</v>
      </c>
    </row>
    <row r="12">
      <c r="A12" t="n">
        <v>46002</v>
      </c>
      <c r="B12" t="inlineStr">
        <is>
          <t>F03</t>
        </is>
      </c>
      <c r="C12" t="inlineStr">
        <is>
          <t>D310</t>
        </is>
      </c>
      <c r="D12" t="n">
        <v>30</v>
      </c>
      <c r="E12" t="n">
        <v>5</v>
      </c>
      <c r="F12" t="n">
        <v>4</v>
      </c>
      <c r="G12" t="n">
        <v>28</v>
      </c>
    </row>
    <row r="13">
      <c r="A13" t="n">
        <v>46003</v>
      </c>
      <c r="B13" t="inlineStr">
        <is>
          <t>F03</t>
        </is>
      </c>
      <c r="C13" t="inlineStr">
        <is>
          <t>D310</t>
        </is>
      </c>
      <c r="D13" t="n">
        <v>30</v>
      </c>
      <c r="E13" t="n">
        <v>2</v>
      </c>
      <c r="F13" t="n">
        <v>2</v>
      </c>
      <c r="G13" t="n">
        <v>28</v>
      </c>
    </row>
    <row r="14">
      <c r="A14" t="n">
        <v>46004</v>
      </c>
      <c r="B14" t="inlineStr">
        <is>
          <t>F03</t>
        </is>
      </c>
      <c r="C14" t="inlineStr">
        <is>
          <t>D310</t>
        </is>
      </c>
      <c r="D14" t="n">
        <v>30</v>
      </c>
      <c r="E14" t="n">
        <v>6</v>
      </c>
      <c r="F14" t="n">
        <v>6</v>
      </c>
      <c r="G14" t="n">
        <v>28</v>
      </c>
    </row>
    <row r="15">
      <c r="A15" t="n">
        <v>46005</v>
      </c>
      <c r="B15" t="inlineStr">
        <is>
          <t>F03</t>
        </is>
      </c>
      <c r="C15" t="inlineStr">
        <is>
          <t>D310</t>
        </is>
      </c>
      <c r="D15" t="n">
        <v>30</v>
      </c>
      <c r="E15" t="n">
        <v>6</v>
      </c>
      <c r="F15" t="n">
        <v>7</v>
      </c>
      <c r="G15" t="n">
        <v>27</v>
      </c>
    </row>
    <row r="16">
      <c r="A16" t="n">
        <v>46006</v>
      </c>
      <c r="B16" t="inlineStr">
        <is>
          <t>F03</t>
        </is>
      </c>
      <c r="C16" t="inlineStr">
        <is>
          <t>D310</t>
        </is>
      </c>
      <c r="D16" t="n">
        <v>30</v>
      </c>
      <c r="E16" t="n">
        <v>13</v>
      </c>
      <c r="F16" t="n">
        <v>13</v>
      </c>
      <c r="G16" t="n">
        <v>27</v>
      </c>
    </row>
    <row r="17">
      <c r="A17" t="n">
        <v>46007</v>
      </c>
      <c r="B17" t="inlineStr">
        <is>
          <t>F03</t>
        </is>
      </c>
      <c r="C17" t="inlineStr">
        <is>
          <t>D310</t>
        </is>
      </c>
      <c r="D17" t="n">
        <v>30</v>
      </c>
      <c r="E17" t="n">
        <v>12</v>
      </c>
      <c r="F17" t="n">
        <v>11</v>
      </c>
      <c r="G17" t="n">
        <v>28</v>
      </c>
    </row>
    <row r="18">
      <c r="A18" t="n">
        <v>46008</v>
      </c>
      <c r="B18" t="inlineStr">
        <is>
          <t>F03</t>
        </is>
      </c>
      <c r="C18" t="inlineStr">
        <is>
          <t>D310</t>
        </is>
      </c>
      <c r="D18" t="n">
        <v>30</v>
      </c>
      <c r="E18" t="n">
        <v>9</v>
      </c>
      <c r="F18" t="n">
        <v>8</v>
      </c>
      <c r="G18" t="n">
        <v>29</v>
      </c>
    </row>
    <row r="19">
      <c r="A19" t="n">
        <v>46009</v>
      </c>
      <c r="B19" t="inlineStr">
        <is>
          <t>F03</t>
        </is>
      </c>
      <c r="C19" t="inlineStr">
        <is>
          <t>D310</t>
        </is>
      </c>
      <c r="D19" t="n">
        <v>30</v>
      </c>
      <c r="E19" t="n">
        <v>9</v>
      </c>
      <c r="F19" t="n">
        <v>8</v>
      </c>
      <c r="G19" t="n">
        <v>30</v>
      </c>
    </row>
    <row r="20">
      <c r="A20" t="n">
        <v>46010</v>
      </c>
      <c r="B20" t="inlineStr">
        <is>
          <t>F03</t>
        </is>
      </c>
      <c r="C20" t="inlineStr">
        <is>
          <t>D310</t>
        </is>
      </c>
      <c r="D20" t="n">
        <v>30</v>
      </c>
      <c r="E20" t="n">
        <v>8</v>
      </c>
      <c r="F20" t="n">
        <v>8</v>
      </c>
      <c r="G20" t="n">
        <v>30</v>
      </c>
    </row>
    <row r="21">
      <c r="A21" t="n">
        <v>46011</v>
      </c>
      <c r="B21" t="inlineStr">
        <is>
          <t>F03</t>
        </is>
      </c>
      <c r="C21" t="inlineStr">
        <is>
          <t>D310</t>
        </is>
      </c>
      <c r="D21" t="n">
        <v>30</v>
      </c>
      <c r="E21" t="n">
        <v>5</v>
      </c>
      <c r="F21" t="n">
        <v>6</v>
      </c>
      <c r="G21" t="n">
        <v>29</v>
      </c>
    </row>
    <row r="22">
      <c r="A22" t="n">
        <v>46012</v>
      </c>
      <c r="B22" t="inlineStr">
        <is>
          <t>F03</t>
        </is>
      </c>
      <c r="C22" t="inlineStr">
        <is>
          <t>D310</t>
        </is>
      </c>
      <c r="D22" t="n">
        <v>30</v>
      </c>
      <c r="E22" t="n">
        <v>8</v>
      </c>
      <c r="F22" t="n">
        <v>8</v>
      </c>
      <c r="G22" t="n">
        <v>29</v>
      </c>
    </row>
    <row r="23">
      <c r="A23" t="n">
        <v>46013</v>
      </c>
      <c r="B23" t="inlineStr">
        <is>
          <t>F03</t>
        </is>
      </c>
      <c r="C23" t="inlineStr">
        <is>
          <t>D310</t>
        </is>
      </c>
      <c r="D23" t="n">
        <v>30</v>
      </c>
      <c r="E23" t="n">
        <v>7</v>
      </c>
      <c r="F23" t="n">
        <v>8</v>
      </c>
      <c r="G23" t="n">
        <v>28</v>
      </c>
    </row>
    <row r="24">
      <c r="A24" t="n">
        <v>46014</v>
      </c>
      <c r="B24" t="inlineStr">
        <is>
          <t>F03</t>
        </is>
      </c>
      <c r="C24" t="inlineStr">
        <is>
          <t>D310</t>
        </is>
      </c>
      <c r="D24" t="n">
        <v>30</v>
      </c>
      <c r="E24" t="n">
        <v>7</v>
      </c>
      <c r="F24" t="n">
        <v>6</v>
      </c>
      <c r="G24" t="n">
        <v>29</v>
      </c>
    </row>
    <row r="25">
      <c r="A25" t="n">
        <v>46015</v>
      </c>
      <c r="B25" t="inlineStr">
        <is>
          <t>F03</t>
        </is>
      </c>
      <c r="C25" t="inlineStr">
        <is>
          <t>D310</t>
        </is>
      </c>
      <c r="D25" t="n">
        <v>30</v>
      </c>
      <c r="E25" t="n">
        <v>5</v>
      </c>
      <c r="F25" t="n">
        <v>5</v>
      </c>
      <c r="G25" t="n">
        <v>29</v>
      </c>
    </row>
    <row r="26">
      <c r="A26" t="n">
        <v>46016</v>
      </c>
      <c r="B26" t="inlineStr">
        <is>
          <t>F03</t>
        </is>
      </c>
      <c r="C26" t="inlineStr">
        <is>
          <t>D310</t>
        </is>
      </c>
      <c r="D26" t="n">
        <v>30</v>
      </c>
      <c r="E26" t="n">
        <v>5</v>
      </c>
      <c r="F26" t="n">
        <v>7</v>
      </c>
      <c r="G26" t="n">
        <v>27</v>
      </c>
    </row>
    <row r="27">
      <c r="A27" t="n">
        <v>46017</v>
      </c>
      <c r="B27" t="inlineStr">
        <is>
          <t>F03</t>
        </is>
      </c>
      <c r="C27" t="inlineStr">
        <is>
          <t>D310</t>
        </is>
      </c>
      <c r="D27" t="n">
        <v>30</v>
      </c>
      <c r="E27" t="n">
        <v>11</v>
      </c>
      <c r="F27" t="n">
        <v>13</v>
      </c>
      <c r="G27" t="n">
        <v>25</v>
      </c>
    </row>
    <row r="28">
      <c r="A28" t="n">
        <v>46018</v>
      </c>
      <c r="B28" t="inlineStr">
        <is>
          <t>F03</t>
        </is>
      </c>
      <c r="C28" t="inlineStr">
        <is>
          <t>D310</t>
        </is>
      </c>
      <c r="D28" t="n">
        <v>30</v>
      </c>
      <c r="E28" t="n">
        <v>8</v>
      </c>
      <c r="F28" t="n">
        <v>7</v>
      </c>
      <c r="G28" t="n">
        <v>26</v>
      </c>
    </row>
    <row r="29">
      <c r="A29" t="n">
        <v>46019</v>
      </c>
      <c r="B29" t="inlineStr">
        <is>
          <t>F03</t>
        </is>
      </c>
      <c r="C29" t="inlineStr">
        <is>
          <t>D310</t>
        </is>
      </c>
      <c r="D29" t="n">
        <v>30</v>
      </c>
      <c r="E29" t="n">
        <v>7</v>
      </c>
      <c r="F29" t="n">
        <v>8</v>
      </c>
      <c r="G29" t="n">
        <v>25</v>
      </c>
    </row>
    <row r="30">
      <c r="A30" t="n">
        <v>46020</v>
      </c>
      <c r="B30" t="inlineStr">
        <is>
          <t>F03</t>
        </is>
      </c>
      <c r="C30" t="inlineStr">
        <is>
          <t>D310</t>
        </is>
      </c>
      <c r="D30" t="n">
        <v>30</v>
      </c>
      <c r="E30" t="n">
        <v>8</v>
      </c>
      <c r="F30" t="n">
        <v>6</v>
      </c>
      <c r="G30" t="n">
        <v>27</v>
      </c>
    </row>
    <row r="31">
      <c r="A31" t="n">
        <v>46021</v>
      </c>
      <c r="B31" t="inlineStr">
        <is>
          <t>F03</t>
        </is>
      </c>
      <c r="C31" t="inlineStr">
        <is>
          <t>D310</t>
        </is>
      </c>
      <c r="D31" t="n">
        <v>30</v>
      </c>
      <c r="E31" t="n">
        <v>9</v>
      </c>
      <c r="F31" t="n">
        <v>9</v>
      </c>
      <c r="G31" t="n">
        <v>27</v>
      </c>
    </row>
    <row r="32">
      <c r="A32" t="n">
        <v>46022</v>
      </c>
      <c r="B32" t="inlineStr">
        <is>
          <t>F03</t>
        </is>
      </c>
      <c r="C32" t="inlineStr">
        <is>
          <t>D310</t>
        </is>
      </c>
      <c r="D32" t="n">
        <v>30</v>
      </c>
      <c r="E32" t="n">
        <v>9</v>
      </c>
      <c r="F32" t="n">
        <v>8</v>
      </c>
      <c r="G32" t="n">
        <v>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1"/>
  <sheetViews>
    <sheetView tabSelected="0" workbookViewId="0">
      <selection pane="bottomLeft" activeCell="A1" sqref="A1"/>
    </sheetView>
  </sheetViews>
  <sheetFormatPr baseColWidth="8" defaultRowHeight="15"/>
  <cols>
    <col width="11" customWidth="1" min="1" max="1"/>
    <col width="11" customWidth="1" min="2" max="2"/>
    <col width="18" customWidth="1" min="3" max="3"/>
    <col width="13" customWidth="1" min="4" max="4"/>
    <col width="10" customWidth="1" min="5" max="5"/>
    <col width="31" customWidth="1" min="6" max="6"/>
    <col width="18" customWidth="1" min="7" max="7"/>
    <col width="22" customWidth="1" min="8" max="8"/>
    <col width="19" customWidth="1" min="9" max="9"/>
    <col width="15" customWidth="1" min="10" max="10"/>
  </cols>
  <sheetData>
    <row r="1">
      <c r="A1" s="26" t="inlineStr">
        <is>
          <t>EDVisitID</t>
        </is>
      </c>
      <c r="B1" s="26" t="inlineStr">
        <is>
          <t>PatientID</t>
        </is>
      </c>
      <c r="C1" s="26" t="inlineStr">
        <is>
          <t>ArrivalDateTime</t>
        </is>
      </c>
      <c r="D1" s="26" t="inlineStr">
        <is>
          <t>ArrivalMode</t>
        </is>
      </c>
      <c r="E1" s="26" t="inlineStr">
        <is>
          <t>ESILevel</t>
        </is>
      </c>
      <c r="F1" s="26" t="inlineStr">
        <is>
          <t>ChiefComplaint</t>
        </is>
      </c>
      <c r="G1" s="26" t="inlineStr">
        <is>
          <t>TriageDateTime</t>
        </is>
      </c>
      <c r="H1" s="26" t="inlineStr">
        <is>
          <t>ProviderSeenDateTime</t>
        </is>
      </c>
      <c r="I1" s="26" t="inlineStr">
        <is>
          <t>DepartureDateTime</t>
        </is>
      </c>
      <c r="J1" s="26" t="inlineStr">
        <is>
          <t>EDDisposition</t>
        </is>
      </c>
    </row>
    <row r="2">
      <c r="A2" t="inlineStr">
        <is>
          <t>ED211177</t>
        </is>
      </c>
      <c r="B2" t="inlineStr">
        <is>
          <t>PT10005</t>
        </is>
      </c>
      <c r="C2" s="27" t="n">
        <v>45962.22708333333</v>
      </c>
      <c r="D2" t="inlineStr">
        <is>
          <t>Walk-In</t>
        </is>
      </c>
      <c r="E2" t="n">
        <v>2</v>
      </c>
      <c r="F2" t="inlineStr">
        <is>
          <t>Abdominal Pain / Vomiting</t>
        </is>
      </c>
      <c r="G2" s="27" t="n">
        <v>45962.22986111111</v>
      </c>
      <c r="H2" s="27" t="n">
        <v>45962.23125</v>
      </c>
      <c r="I2" s="27" t="n">
        <v>45962.35902777778</v>
      </c>
      <c r="J2" t="inlineStr">
        <is>
          <t>Admitted</t>
        </is>
      </c>
    </row>
    <row r="3">
      <c r="A3" t="inlineStr">
        <is>
          <t>ED211633</t>
        </is>
      </c>
      <c r="B3" t="inlineStr">
        <is>
          <t>PT10010</t>
        </is>
      </c>
      <c r="C3" s="27" t="n">
        <v>45988.65208333333</v>
      </c>
      <c r="D3" t="inlineStr">
        <is>
          <t>Walk-In</t>
        </is>
      </c>
      <c r="E3" t="n">
        <v>4</v>
      </c>
      <c r="F3" t="inlineStr">
        <is>
          <t>Ankle Injury</t>
        </is>
      </c>
      <c r="G3" s="27" t="n">
        <v>45988.66180555556</v>
      </c>
      <c r="H3" s="27" t="n">
        <v>45988.67152777778</v>
      </c>
      <c r="I3" s="27" t="n">
        <v>45988.74305555555</v>
      </c>
      <c r="J3" t="inlineStr">
        <is>
          <t>Discharged</t>
        </is>
      </c>
    </row>
    <row r="4">
      <c r="A4" t="inlineStr">
        <is>
          <t>ED211414</t>
        </is>
      </c>
      <c r="B4" t="inlineStr">
        <is>
          <t>PT10062</t>
        </is>
      </c>
      <c r="C4" s="27" t="n">
        <v>45976.31527777778</v>
      </c>
      <c r="D4" t="inlineStr">
        <is>
          <t>Walk-In</t>
        </is>
      </c>
      <c r="E4" t="n">
        <v>3</v>
      </c>
      <c r="F4" t="inlineStr">
        <is>
          <t>Abdominal Pain</t>
        </is>
      </c>
      <c r="G4" s="27" t="n">
        <v>45976.32222222222</v>
      </c>
      <c r="H4" s="27" t="n">
        <v>45976.35486111111</v>
      </c>
      <c r="I4" s="27" t="n">
        <v>45976.45208333333</v>
      </c>
      <c r="J4" t="inlineStr">
        <is>
          <t>Discharged</t>
        </is>
      </c>
    </row>
    <row r="5">
      <c r="A5" t="inlineStr">
        <is>
          <t>ED211461</t>
        </is>
      </c>
      <c r="B5" t="inlineStr">
        <is>
          <t>PT10074</t>
        </is>
      </c>
      <c r="C5" s="27" t="n">
        <v>45978.54583333333</v>
      </c>
      <c r="D5" t="inlineStr">
        <is>
          <t>Walk-In</t>
        </is>
      </c>
      <c r="E5" t="n">
        <v>3</v>
      </c>
      <c r="F5" t="inlineStr">
        <is>
          <t>Chest Pain</t>
        </is>
      </c>
      <c r="G5" s="27" t="n">
        <v>45978.55416666667</v>
      </c>
      <c r="H5" s="27" t="n">
        <v>45978.55902777778</v>
      </c>
      <c r="I5" s="27" t="n">
        <v>45978.66597222222</v>
      </c>
      <c r="J5" t="inlineStr">
        <is>
          <t>Discharged</t>
        </is>
      </c>
    </row>
    <row r="6">
      <c r="A6" t="inlineStr">
        <is>
          <t>ED211480</t>
        </is>
      </c>
      <c r="B6" t="inlineStr">
        <is>
          <t>PT10177</t>
        </is>
      </c>
      <c r="C6" s="27" t="n">
        <v>45979.63611111111</v>
      </c>
      <c r="D6" t="inlineStr">
        <is>
          <t>Walk-In</t>
        </is>
      </c>
      <c r="E6" t="n">
        <v>3</v>
      </c>
      <c r="F6" t="inlineStr">
        <is>
          <t>Tremors / Alcohol Withdrawal</t>
        </is>
      </c>
      <c r="G6" s="27" t="n">
        <v>45979.64583333334</v>
      </c>
      <c r="H6" s="27" t="n">
        <v>45979.65347222222</v>
      </c>
      <c r="I6" s="27" t="n">
        <v>45979.77916666667</v>
      </c>
      <c r="J6" t="inlineStr">
        <is>
          <t>Discharged</t>
        </is>
      </c>
    </row>
    <row r="7">
      <c r="A7" t="inlineStr">
        <is>
          <t>ED211597</t>
        </is>
      </c>
      <c r="B7" t="inlineStr">
        <is>
          <t>PT10181</t>
        </is>
      </c>
      <c r="C7" s="27" t="n">
        <v>45985.73125</v>
      </c>
      <c r="D7" t="inlineStr">
        <is>
          <t>Walk-In</t>
        </is>
      </c>
      <c r="E7" t="n">
        <v>4</v>
      </c>
      <c r="F7" t="inlineStr">
        <is>
          <t>Nausea</t>
        </is>
      </c>
      <c r="G7" s="27" t="n">
        <v>45985.73611111111</v>
      </c>
      <c r="H7" s="27" t="n">
        <v>45985.80625</v>
      </c>
      <c r="I7" s="27" t="n">
        <v>45985.88680555556</v>
      </c>
      <c r="J7" t="inlineStr">
        <is>
          <t>Discharged</t>
        </is>
      </c>
    </row>
    <row r="8">
      <c r="A8" t="inlineStr">
        <is>
          <t>ED211590</t>
        </is>
      </c>
      <c r="B8" t="inlineStr">
        <is>
          <t>PT10387</t>
        </is>
      </c>
      <c r="C8" s="27" t="n">
        <v>45985.55</v>
      </c>
      <c r="D8" t="inlineStr">
        <is>
          <t>Ambulance</t>
        </is>
      </c>
      <c r="E8" t="n">
        <v>2</v>
      </c>
      <c r="F8" t="inlineStr">
        <is>
          <t>Fever / Altered Mental Status</t>
        </is>
      </c>
      <c r="G8" s="27" t="n">
        <v>45985.55277777778</v>
      </c>
      <c r="H8" s="27" t="n">
        <v>45985.55555555555</v>
      </c>
      <c r="I8" s="27" t="n">
        <v>45985.83125</v>
      </c>
      <c r="J8" t="inlineStr">
        <is>
          <t>Admitted</t>
        </is>
      </c>
    </row>
    <row r="9">
      <c r="A9" t="inlineStr">
        <is>
          <t>ED211274</t>
        </is>
      </c>
      <c r="B9" t="inlineStr">
        <is>
          <t>PT10398</t>
        </is>
      </c>
      <c r="C9" s="27" t="n">
        <v>45967.71111111111</v>
      </c>
      <c r="D9" t="inlineStr">
        <is>
          <t>Walk-In</t>
        </is>
      </c>
      <c r="E9" t="n">
        <v>3</v>
      </c>
      <c r="F9" t="inlineStr">
        <is>
          <t>Cough / Fever</t>
        </is>
      </c>
      <c r="G9" s="27" t="n">
        <v>45967.71736111111</v>
      </c>
      <c r="H9" s="27" t="n">
        <v>45967.75277777778</v>
      </c>
      <c r="I9" s="27" t="n">
        <v>45967.91458333333</v>
      </c>
      <c r="J9" t="inlineStr">
        <is>
          <t>Discharged</t>
        </is>
      </c>
    </row>
    <row r="10">
      <c r="A10" t="inlineStr">
        <is>
          <t>ED211544</t>
        </is>
      </c>
      <c r="B10" t="inlineStr">
        <is>
          <t>PT10460</t>
        </is>
      </c>
      <c r="C10" s="27" t="n">
        <v>45982.75833333333</v>
      </c>
      <c r="D10" t="inlineStr">
        <is>
          <t>Walk-In</t>
        </is>
      </c>
      <c r="E10" t="n">
        <v>3</v>
      </c>
      <c r="F10" t="inlineStr">
        <is>
          <t>Shortness of Breath</t>
        </is>
      </c>
      <c r="G10" s="27" t="n">
        <v>45982.76041666666</v>
      </c>
      <c r="H10" s="27" t="n">
        <v>45982.78611111111</v>
      </c>
      <c r="I10" s="27" t="n">
        <v>45982.90208333333</v>
      </c>
      <c r="J10" t="inlineStr">
        <is>
          <t>Discharged</t>
        </is>
      </c>
    </row>
    <row r="11">
      <c r="A11" t="inlineStr">
        <is>
          <t>ED211536</t>
        </is>
      </c>
      <c r="B11" t="inlineStr">
        <is>
          <t>PT10463</t>
        </is>
      </c>
      <c r="C11" s="27" t="n">
        <v>45982.24513888889</v>
      </c>
      <c r="D11" t="inlineStr">
        <is>
          <t>Walk-In</t>
        </is>
      </c>
      <c r="E11" t="n">
        <v>3</v>
      </c>
      <c r="F11" t="inlineStr">
        <is>
          <t>Cough / Fever</t>
        </is>
      </c>
      <c r="G11" s="27" t="n">
        <v>45982.24861111111</v>
      </c>
      <c r="H11" s="27" t="n">
        <v>45982.25694444445</v>
      </c>
      <c r="I11" s="27" t="n">
        <v>45982.37361111111</v>
      </c>
      <c r="J11" t="inlineStr">
        <is>
          <t>Discharged</t>
        </is>
      </c>
    </row>
    <row r="12">
      <c r="A12" t="inlineStr">
        <is>
          <t>ED211686</t>
        </is>
      </c>
      <c r="B12" t="inlineStr">
        <is>
          <t>PT10475</t>
        </is>
      </c>
      <c r="C12" s="27" t="n">
        <v>45991.58055555556</v>
      </c>
      <c r="D12" t="inlineStr">
        <is>
          <t>Walk-In</t>
        </is>
      </c>
      <c r="E12" t="n">
        <v>4</v>
      </c>
      <c r="F12" t="inlineStr">
        <is>
          <t>Cough / Fever</t>
        </is>
      </c>
      <c r="G12" s="27" t="n">
        <v>45991.58888888889</v>
      </c>
      <c r="H12" s="27" t="n">
        <v>45991.61388888889</v>
      </c>
      <c r="I12" s="27" t="n">
        <v>45991.65208333333</v>
      </c>
      <c r="J12" t="inlineStr">
        <is>
          <t>Discharged</t>
        </is>
      </c>
    </row>
    <row r="13">
      <c r="A13" t="inlineStr">
        <is>
          <t>ED211509</t>
        </is>
      </c>
      <c r="B13" t="inlineStr">
        <is>
          <t>PT10510</t>
        </is>
      </c>
      <c r="C13" s="27" t="n">
        <v>45980.76944444444</v>
      </c>
      <c r="D13" t="inlineStr">
        <is>
          <t>Walk-In</t>
        </is>
      </c>
      <c r="E13" t="n">
        <v>3</v>
      </c>
      <c r="F13" t="inlineStr">
        <is>
          <t>Cough / Fever</t>
        </is>
      </c>
      <c r="G13" s="27" t="n">
        <v>45980.77986111111</v>
      </c>
      <c r="H13" s="27" t="n">
        <v>45980.79375</v>
      </c>
      <c r="I13" s="27" t="n">
        <v>45981.00902777778</v>
      </c>
      <c r="J13" t="inlineStr">
        <is>
          <t>Admitted</t>
        </is>
      </c>
    </row>
    <row r="14">
      <c r="A14" t="inlineStr">
        <is>
          <t>ED211464</t>
        </is>
      </c>
      <c r="B14" t="inlineStr">
        <is>
          <t>PT10537</t>
        </is>
      </c>
      <c r="C14" s="27" t="n">
        <v>45978.65069444444</v>
      </c>
      <c r="D14" t="inlineStr">
        <is>
          <t>Walk-In</t>
        </is>
      </c>
      <c r="E14" t="n">
        <v>3</v>
      </c>
      <c r="F14" t="inlineStr">
        <is>
          <t>Vomiting / Dizziness</t>
        </is>
      </c>
      <c r="G14" s="27" t="n">
        <v>45978.65486111111</v>
      </c>
      <c r="H14" s="27" t="n">
        <v>45978.72222222222</v>
      </c>
      <c r="I14" s="27" t="n">
        <v>45979.04027777778</v>
      </c>
      <c r="J14" t="inlineStr">
        <is>
          <t>Admitted</t>
        </is>
      </c>
    </row>
    <row r="15">
      <c r="A15" t="inlineStr">
        <is>
          <t>ED211450</t>
        </is>
      </c>
      <c r="B15" t="inlineStr">
        <is>
          <t>PT10568</t>
        </is>
      </c>
      <c r="C15" s="27" t="n">
        <v>45978.12638888889</v>
      </c>
      <c r="D15" t="inlineStr">
        <is>
          <t>Walk-In</t>
        </is>
      </c>
      <c r="E15" t="n">
        <v>3</v>
      </c>
      <c r="F15" t="inlineStr">
        <is>
          <t>Cough / Fever</t>
        </is>
      </c>
      <c r="G15" s="27" t="n">
        <v>45978.13055555556</v>
      </c>
      <c r="H15" s="27" t="n">
        <v>45978.13819444444</v>
      </c>
      <c r="I15" s="27" t="n">
        <v>45978.24583333333</v>
      </c>
      <c r="J15" t="inlineStr">
        <is>
          <t>Discharged</t>
        </is>
      </c>
    </row>
    <row r="16">
      <c r="A16" t="inlineStr">
        <is>
          <t>ED211259</t>
        </is>
      </c>
      <c r="B16" t="inlineStr">
        <is>
          <t>PT10601</t>
        </is>
      </c>
      <c r="C16" s="27" t="n">
        <v>45966.72430555556</v>
      </c>
      <c r="D16" t="inlineStr">
        <is>
          <t>Walk-In</t>
        </is>
      </c>
      <c r="E16" t="n">
        <v>4</v>
      </c>
      <c r="F16" t="inlineStr">
        <is>
          <t>Cough / Fever</t>
        </is>
      </c>
      <c r="G16" s="27" t="n">
        <v>45966.72777777778</v>
      </c>
      <c r="H16" s="27" t="n">
        <v>45966.73472222222</v>
      </c>
      <c r="I16" s="27" t="n">
        <v>45966.79652777778</v>
      </c>
      <c r="J16" t="inlineStr">
        <is>
          <t>Discharged</t>
        </is>
      </c>
    </row>
    <row r="17">
      <c r="A17" t="inlineStr">
        <is>
          <t>ED211290</t>
        </is>
      </c>
      <c r="B17" t="inlineStr">
        <is>
          <t>PT10662</t>
        </is>
      </c>
      <c r="C17" s="27" t="n">
        <v>45968.65</v>
      </c>
      <c r="D17" t="inlineStr">
        <is>
          <t>Ambulance</t>
        </is>
      </c>
      <c r="E17" t="n">
        <v>3</v>
      </c>
      <c r="F17" t="inlineStr">
        <is>
          <t>Painful Urination / Fever</t>
        </is>
      </c>
      <c r="G17" s="27" t="n">
        <v>45968.65416666667</v>
      </c>
      <c r="H17" s="27" t="n">
        <v>45968.69513888889</v>
      </c>
      <c r="I17" s="27" t="n">
        <v>45968.85</v>
      </c>
      <c r="J17" t="inlineStr">
        <is>
          <t>Admitted</t>
        </is>
      </c>
    </row>
    <row r="18">
      <c r="A18" t="inlineStr">
        <is>
          <t>ED211183</t>
        </is>
      </c>
      <c r="B18" t="inlineStr">
        <is>
          <t>PT10749</t>
        </is>
      </c>
      <c r="C18" s="27" t="n">
        <v>45962.53680555556</v>
      </c>
      <c r="D18" t="inlineStr">
        <is>
          <t>Walk-In</t>
        </is>
      </c>
      <c r="E18" t="n">
        <v>2</v>
      </c>
      <c r="F18" t="inlineStr">
        <is>
          <t>Fainting</t>
        </is>
      </c>
      <c r="G18" s="27" t="n">
        <v>45962.54375</v>
      </c>
      <c r="H18" s="27" t="n">
        <v>45962.54513888889</v>
      </c>
      <c r="I18" s="27" t="n">
        <v>45962.74930555555</v>
      </c>
      <c r="J18" t="inlineStr">
        <is>
          <t>Observation</t>
        </is>
      </c>
    </row>
    <row r="19">
      <c r="A19" t="inlineStr">
        <is>
          <t>ED211470</t>
        </is>
      </c>
      <c r="B19" t="inlineStr">
        <is>
          <t>PT10774</t>
        </is>
      </c>
      <c r="C19" s="27" t="n">
        <v>45978.95694444444</v>
      </c>
      <c r="D19" t="inlineStr">
        <is>
          <t>Walk-In</t>
        </is>
      </c>
      <c r="E19" t="n">
        <v>3</v>
      </c>
      <c r="F19" t="inlineStr">
        <is>
          <t>Shortness of Breath</t>
        </is>
      </c>
      <c r="G19" s="27" t="n">
        <v>45978.96111111111</v>
      </c>
      <c r="H19" s="27" t="n">
        <v>45978.97847222222</v>
      </c>
      <c r="I19" s="27" t="n">
        <v>45979.12847222222</v>
      </c>
      <c r="J19" t="inlineStr">
        <is>
          <t>Discharged</t>
        </is>
      </c>
    </row>
    <row r="20">
      <c r="A20" t="inlineStr">
        <is>
          <t>ED211257</t>
        </is>
      </c>
      <c r="B20" t="inlineStr">
        <is>
          <t>PT10786</t>
        </is>
      </c>
      <c r="C20" s="27" t="n">
        <v>45966.63055555556</v>
      </c>
      <c r="D20" t="inlineStr">
        <is>
          <t>Walk-In</t>
        </is>
      </c>
      <c r="E20" t="n">
        <v>5</v>
      </c>
      <c r="F20" t="inlineStr">
        <is>
          <t>Shortness of Breath</t>
        </is>
      </c>
      <c r="G20" s="27" t="n">
        <v>45966.64097222222</v>
      </c>
      <c r="H20" s="27" t="n">
        <v>45966.67569444444</v>
      </c>
      <c r="I20" s="27" t="n">
        <v>45966.73194444444</v>
      </c>
      <c r="J20" t="inlineStr">
        <is>
          <t>Discharged</t>
        </is>
      </c>
    </row>
    <row r="21">
      <c r="A21" t="inlineStr">
        <is>
          <t>ED211558</t>
        </is>
      </c>
      <c r="B21" t="inlineStr">
        <is>
          <t>PT10866</t>
        </is>
      </c>
      <c r="C21" s="27" t="n">
        <v>45983.75902777778</v>
      </c>
      <c r="D21" t="inlineStr">
        <is>
          <t>Ambulance</t>
        </is>
      </c>
      <c r="E21" t="n">
        <v>2</v>
      </c>
      <c r="F21" t="inlineStr">
        <is>
          <t>Abdominal Pain</t>
        </is>
      </c>
      <c r="G21" s="27" t="n">
        <v>45983.775</v>
      </c>
      <c r="H21" s="27" t="n">
        <v>45983.77708333333</v>
      </c>
      <c r="I21" s="27" t="n">
        <v>45984.00416666667</v>
      </c>
      <c r="J21" t="inlineStr">
        <is>
          <t>Admitted</t>
        </is>
      </c>
    </row>
    <row r="22">
      <c r="A22" t="inlineStr">
        <is>
          <t>ED211316</t>
        </is>
      </c>
      <c r="B22" t="inlineStr">
        <is>
          <t>PT10891</t>
        </is>
      </c>
      <c r="C22" s="27" t="n">
        <v>45969.90069444444</v>
      </c>
      <c r="D22" t="inlineStr">
        <is>
          <t>Walk-In</t>
        </is>
      </c>
      <c r="E22" t="n">
        <v>2</v>
      </c>
      <c r="F22" t="inlineStr">
        <is>
          <t>Fever / Altered Mental Status</t>
        </is>
      </c>
      <c r="G22" s="27" t="n">
        <v>45969.90694444445</v>
      </c>
      <c r="H22" s="27" t="n">
        <v>45969.90763888889</v>
      </c>
      <c r="I22" s="27" t="n">
        <v>45970.08541666667</v>
      </c>
      <c r="J22" t="inlineStr">
        <is>
          <t>Admitted</t>
        </is>
      </c>
    </row>
    <row r="23">
      <c r="A23" t="inlineStr">
        <is>
          <t>ED211374</t>
        </is>
      </c>
      <c r="B23" t="inlineStr">
        <is>
          <t>PT10932</t>
        </is>
      </c>
      <c r="C23" s="27" t="n">
        <v>45973.47986111111</v>
      </c>
      <c r="D23" t="inlineStr">
        <is>
          <t>Walk-In</t>
        </is>
      </c>
      <c r="E23" t="n">
        <v>3</v>
      </c>
      <c r="F23" t="inlineStr">
        <is>
          <t>Headache</t>
        </is>
      </c>
      <c r="G23" s="27" t="n">
        <v>45973.48472222222</v>
      </c>
      <c r="H23" s="27" t="n">
        <v>45973.50138888889</v>
      </c>
      <c r="I23" s="27" t="n">
        <v>45973.61319444444</v>
      </c>
      <c r="J23" t="inlineStr">
        <is>
          <t>Discharged</t>
        </is>
      </c>
    </row>
    <row r="24">
      <c r="A24" t="inlineStr">
        <is>
          <t>ED211600</t>
        </is>
      </c>
      <c r="B24" t="inlineStr">
        <is>
          <t>PT10943</t>
        </is>
      </c>
      <c r="C24" s="27" t="n">
        <v>45986.31041666667</v>
      </c>
      <c r="D24" t="inlineStr">
        <is>
          <t>Walk-In</t>
        </is>
      </c>
      <c r="E24" t="n">
        <v>3</v>
      </c>
      <c r="F24" t="inlineStr">
        <is>
          <t>Painful Urination / Fever</t>
        </is>
      </c>
      <c r="G24" s="27" t="n">
        <v>45986.32361111111</v>
      </c>
      <c r="H24" s="27" t="n">
        <v>45986.3375</v>
      </c>
      <c r="I24" s="27" t="n">
        <v>45986.48680555556</v>
      </c>
      <c r="J24" t="inlineStr">
        <is>
          <t>Discharged</t>
        </is>
      </c>
    </row>
    <row r="25">
      <c r="A25" t="inlineStr">
        <is>
          <t>ED211266</t>
        </is>
      </c>
      <c r="B25" t="inlineStr">
        <is>
          <t>PT10956</t>
        </is>
      </c>
      <c r="C25" s="27" t="n">
        <v>45967.41458333333</v>
      </c>
      <c r="D25" t="inlineStr">
        <is>
          <t>Walk-In</t>
        </is>
      </c>
      <c r="E25" t="n">
        <v>3</v>
      </c>
      <c r="F25" t="inlineStr">
        <is>
          <t>Fall / Hip Pain</t>
        </is>
      </c>
      <c r="G25" s="27" t="n">
        <v>45967.42083333333</v>
      </c>
      <c r="H25" s="27" t="n">
        <v>45967.43333333333</v>
      </c>
      <c r="I25" s="27" t="n">
        <v>45967.63680555556</v>
      </c>
      <c r="J25" t="inlineStr">
        <is>
          <t>Admitted</t>
        </is>
      </c>
    </row>
    <row r="26">
      <c r="A26" t="inlineStr">
        <is>
          <t>ED211447</t>
        </is>
      </c>
      <c r="B26" t="inlineStr">
        <is>
          <t>PT11141</t>
        </is>
      </c>
      <c r="C26" s="27" t="n">
        <v>45977.93055555555</v>
      </c>
      <c r="D26" t="inlineStr">
        <is>
          <t>Walk-In</t>
        </is>
      </c>
      <c r="E26" t="n">
        <v>3</v>
      </c>
      <c r="F26" t="inlineStr">
        <is>
          <t>Skin Redness / Swelling</t>
        </is>
      </c>
      <c r="G26" s="27" t="n">
        <v>45977.93333333333</v>
      </c>
      <c r="H26" s="27" t="n">
        <v>45977.98333333333</v>
      </c>
      <c r="I26" s="27" t="n">
        <v>45978.10416666666</v>
      </c>
      <c r="J26" t="inlineStr">
        <is>
          <t>Discharged</t>
        </is>
      </c>
    </row>
    <row r="27">
      <c r="A27" t="inlineStr">
        <is>
          <t>ED211376</t>
        </is>
      </c>
      <c r="B27" t="inlineStr">
        <is>
          <t>PT11188</t>
        </is>
      </c>
      <c r="C27" s="27" t="n">
        <v>45973.53888888889</v>
      </c>
      <c r="D27" t="inlineStr">
        <is>
          <t>Walk-In</t>
        </is>
      </c>
      <c r="E27" t="n">
        <v>3</v>
      </c>
      <c r="F27" t="inlineStr">
        <is>
          <t>Cough / Fever</t>
        </is>
      </c>
      <c r="G27" s="27" t="n">
        <v>45973.54583333333</v>
      </c>
      <c r="H27" s="27" t="n">
        <v>45973.55833333333</v>
      </c>
      <c r="I27" s="27" t="n">
        <v>45973.675</v>
      </c>
      <c r="J27" t="inlineStr">
        <is>
          <t>Discharged</t>
        </is>
      </c>
    </row>
    <row r="28">
      <c r="A28" t="inlineStr">
        <is>
          <t>ED211545</t>
        </is>
      </c>
      <c r="B28" t="inlineStr">
        <is>
          <t>PT11188</t>
        </is>
      </c>
      <c r="C28" s="27" t="n">
        <v>45982.75833333333</v>
      </c>
      <c r="D28" t="inlineStr">
        <is>
          <t>Walk-In</t>
        </is>
      </c>
      <c r="E28" t="n">
        <v>3</v>
      </c>
      <c r="F28" t="inlineStr">
        <is>
          <t>Fainting</t>
        </is>
      </c>
      <c r="G28" s="27" t="n">
        <v>45982.76111111111</v>
      </c>
      <c r="H28" s="27" t="n">
        <v>45982.78333333333</v>
      </c>
      <c r="I28" s="27" t="n">
        <v>45982.95208333333</v>
      </c>
      <c r="J28" t="inlineStr">
        <is>
          <t>Discharged</t>
        </is>
      </c>
    </row>
    <row r="29">
      <c r="A29" t="inlineStr">
        <is>
          <t>ED211191</t>
        </is>
      </c>
      <c r="B29" t="inlineStr">
        <is>
          <t>PT11231</t>
        </is>
      </c>
      <c r="C29" s="27" t="n">
        <v>45963.43402777778</v>
      </c>
      <c r="D29" t="inlineStr">
        <is>
          <t>Walk-In</t>
        </is>
      </c>
      <c r="E29" t="n">
        <v>5</v>
      </c>
      <c r="F29" t="inlineStr">
        <is>
          <t>Ankle Injury</t>
        </is>
      </c>
      <c r="G29" s="27" t="n">
        <v>45963.4375</v>
      </c>
      <c r="H29" s="27" t="n">
        <v>45963.49097222222</v>
      </c>
      <c r="I29" s="27" t="n">
        <v>45963.53819444445</v>
      </c>
      <c r="J29" t="inlineStr">
        <is>
          <t>Discharged</t>
        </is>
      </c>
    </row>
    <row r="30">
      <c r="A30" t="inlineStr">
        <is>
          <t>ED211222</t>
        </is>
      </c>
      <c r="B30" t="inlineStr">
        <is>
          <t>PT11243</t>
        </is>
      </c>
      <c r="C30" s="27" t="n">
        <v>45964.74652777778</v>
      </c>
      <c r="D30" t="inlineStr">
        <is>
          <t>Walk-In</t>
        </is>
      </c>
      <c r="E30" t="n">
        <v>3</v>
      </c>
      <c r="F30" t="inlineStr">
        <is>
          <t>Headache</t>
        </is>
      </c>
      <c r="G30" s="27" t="n">
        <v>45964.75416666667</v>
      </c>
      <c r="H30" s="27" t="n">
        <v>45964.77638888889</v>
      </c>
      <c r="I30" s="27" t="n">
        <v>45964.84791666667</v>
      </c>
      <c r="J30" t="inlineStr">
        <is>
          <t>Discharged</t>
        </is>
      </c>
    </row>
    <row r="31">
      <c r="A31" t="inlineStr">
        <is>
          <t>ED211499</t>
        </is>
      </c>
      <c r="B31" t="inlineStr">
        <is>
          <t>PT11274</t>
        </is>
      </c>
      <c r="C31" s="27" t="n">
        <v>45980.45763888889</v>
      </c>
      <c r="D31" t="inlineStr">
        <is>
          <t>Walk-In</t>
        </is>
      </c>
      <c r="E31" t="n">
        <v>3</v>
      </c>
      <c r="F31" t="inlineStr">
        <is>
          <t>Cough / Fever</t>
        </is>
      </c>
      <c r="G31" s="27" t="n">
        <v>45980.46111111111</v>
      </c>
      <c r="H31" s="27" t="n">
        <v>45980.51875</v>
      </c>
      <c r="I31" s="27" t="n">
        <v>45980.68402777778</v>
      </c>
      <c r="J31" t="inlineStr">
        <is>
          <t>Discharged</t>
        </is>
      </c>
    </row>
    <row r="32">
      <c r="A32" t="inlineStr">
        <is>
          <t>ED211264</t>
        </is>
      </c>
      <c r="B32" t="inlineStr">
        <is>
          <t>PT11381</t>
        </is>
      </c>
      <c r="C32" s="27" t="n">
        <v>45966.8875</v>
      </c>
      <c r="D32" t="inlineStr">
        <is>
          <t>Walk-In</t>
        </is>
      </c>
      <c r="E32" t="n">
        <v>3</v>
      </c>
      <c r="F32" t="inlineStr">
        <is>
          <t>High Blood Sugar</t>
        </is>
      </c>
      <c r="G32" s="27" t="n">
        <v>45966.89375</v>
      </c>
      <c r="H32" s="27" t="n">
        <v>45966.93402777778</v>
      </c>
      <c r="I32" s="27" t="n">
        <v>45967.05625</v>
      </c>
      <c r="J32" t="inlineStr">
        <is>
          <t>Discharged</t>
        </is>
      </c>
    </row>
    <row r="33">
      <c r="A33" t="inlineStr">
        <is>
          <t>ED211375</t>
        </is>
      </c>
      <c r="B33" t="inlineStr">
        <is>
          <t>PT11401</t>
        </is>
      </c>
      <c r="C33" s="27" t="n">
        <v>45973.4875</v>
      </c>
      <c r="D33" t="inlineStr">
        <is>
          <t>Walk-In</t>
        </is>
      </c>
      <c r="E33" t="n">
        <v>5</v>
      </c>
      <c r="F33" t="inlineStr">
        <is>
          <t>Cough / Fever</t>
        </is>
      </c>
      <c r="G33" s="27" t="n">
        <v>45973.49166666667</v>
      </c>
      <c r="H33" s="27" t="n">
        <v>45973.57083333333</v>
      </c>
      <c r="I33" s="27" t="n">
        <v>45973.62430555555</v>
      </c>
      <c r="J33" t="inlineStr">
        <is>
          <t>Discharged</t>
        </is>
      </c>
    </row>
    <row r="34">
      <c r="A34" t="inlineStr">
        <is>
          <t>ED211347</t>
        </is>
      </c>
      <c r="B34" t="inlineStr">
        <is>
          <t>PT11412</t>
        </is>
      </c>
      <c r="C34" s="27" t="n">
        <v>45972.04166666666</v>
      </c>
      <c r="D34" t="inlineStr">
        <is>
          <t>Walk-In</t>
        </is>
      </c>
      <c r="E34" t="n">
        <v>2</v>
      </c>
      <c r="F34" t="inlineStr">
        <is>
          <t>Shortness of Breath</t>
        </is>
      </c>
      <c r="G34" s="27" t="n">
        <v>45972.05555555555</v>
      </c>
      <c r="H34" s="27" t="n">
        <v>45972.05625</v>
      </c>
      <c r="I34" s="27" t="n">
        <v>45972.28263888889</v>
      </c>
      <c r="J34" t="inlineStr">
        <is>
          <t>Admitted</t>
        </is>
      </c>
    </row>
    <row r="35">
      <c r="A35" t="inlineStr">
        <is>
          <t>ED211537</t>
        </is>
      </c>
      <c r="B35" t="inlineStr">
        <is>
          <t>PT11433</t>
        </is>
      </c>
      <c r="C35" s="27" t="n">
        <v>45982.39097222222</v>
      </c>
      <c r="D35" t="inlineStr">
        <is>
          <t>Ambulance</t>
        </is>
      </c>
      <c r="E35" t="n">
        <v>2</v>
      </c>
      <c r="F35" t="inlineStr">
        <is>
          <t>Fainting</t>
        </is>
      </c>
      <c r="G35" s="27" t="n">
        <v>45982.39305555556</v>
      </c>
      <c r="H35" s="27" t="n">
        <v>45982.40416666667</v>
      </c>
      <c r="I35" s="27" t="n">
        <v>45982.54305555556</v>
      </c>
      <c r="J35" t="inlineStr">
        <is>
          <t>Discharged</t>
        </is>
      </c>
    </row>
    <row r="36">
      <c r="A36" t="inlineStr">
        <is>
          <t>ED211454</t>
        </is>
      </c>
      <c r="B36" t="inlineStr">
        <is>
          <t>PT11443</t>
        </is>
      </c>
      <c r="C36" s="27" t="n">
        <v>45978.29791666667</v>
      </c>
      <c r="D36" t="inlineStr">
        <is>
          <t>Walk-In</t>
        </is>
      </c>
      <c r="E36" t="n">
        <v>4</v>
      </c>
      <c r="F36" t="inlineStr">
        <is>
          <t>Anxiety / Palpitations</t>
        </is>
      </c>
      <c r="G36" s="27" t="n">
        <v>45978.31041666667</v>
      </c>
      <c r="H36" s="27" t="n">
        <v>45978.325</v>
      </c>
      <c r="I36" s="27" t="n">
        <v>45978.42152777778</v>
      </c>
      <c r="J36" t="inlineStr">
        <is>
          <t>Discharged</t>
        </is>
      </c>
    </row>
    <row r="37">
      <c r="A37" t="inlineStr">
        <is>
          <t>ED211269</t>
        </is>
      </c>
      <c r="B37" t="inlineStr">
        <is>
          <t>PT11456</t>
        </is>
      </c>
      <c r="C37" s="27" t="n">
        <v>45967.47361111111</v>
      </c>
      <c r="D37" t="inlineStr">
        <is>
          <t>Ambulance</t>
        </is>
      </c>
      <c r="E37" t="n">
        <v>2</v>
      </c>
      <c r="F37" t="inlineStr">
        <is>
          <t>Shortness of Breath</t>
        </is>
      </c>
      <c r="G37" s="27" t="n">
        <v>45967.47638888889</v>
      </c>
      <c r="H37" s="27" t="n">
        <v>45967.48958333334</v>
      </c>
      <c r="I37" s="27" t="n">
        <v>45967.87638888889</v>
      </c>
      <c r="J37" t="inlineStr">
        <is>
          <t>Admitted</t>
        </is>
      </c>
    </row>
    <row r="38">
      <c r="A38" t="inlineStr">
        <is>
          <t>ED211386</t>
        </is>
      </c>
      <c r="B38" t="inlineStr">
        <is>
          <t>PT11485</t>
        </is>
      </c>
      <c r="C38" s="27" t="n">
        <v>45973.91736111111</v>
      </c>
      <c r="D38" t="inlineStr">
        <is>
          <t>Walk-In</t>
        </is>
      </c>
      <c r="E38" t="n">
        <v>2</v>
      </c>
      <c r="F38" t="inlineStr">
        <is>
          <t>Cough / Fever</t>
        </is>
      </c>
      <c r="G38" s="27" t="n">
        <v>45973.92291666667</v>
      </c>
      <c r="H38" s="27" t="n">
        <v>45973.92361111111</v>
      </c>
      <c r="I38" s="27" t="n">
        <v>45974.06041666667</v>
      </c>
      <c r="J38" t="inlineStr">
        <is>
          <t>Discharged</t>
        </is>
      </c>
    </row>
    <row r="39">
      <c r="A39" t="inlineStr">
        <is>
          <t>ED211403</t>
        </is>
      </c>
      <c r="B39" t="inlineStr">
        <is>
          <t>PT11591</t>
        </is>
      </c>
      <c r="C39" s="27" t="n">
        <v>45974.81458333333</v>
      </c>
      <c r="D39" t="inlineStr">
        <is>
          <t>Walk-In</t>
        </is>
      </c>
      <c r="E39" t="n">
        <v>4</v>
      </c>
      <c r="F39" t="inlineStr">
        <is>
          <t>Anxiety / Palpitations</t>
        </is>
      </c>
      <c r="G39" s="27" t="n">
        <v>45974.81944444445</v>
      </c>
      <c r="H39" s="27" t="n">
        <v>45974.82152777778</v>
      </c>
      <c r="I39" s="27" t="n">
        <v>45974.86527777778</v>
      </c>
      <c r="J39" t="inlineStr">
        <is>
          <t>Discharged</t>
        </is>
      </c>
    </row>
    <row r="40">
      <c r="A40" t="inlineStr">
        <is>
          <t>ED211236</t>
        </is>
      </c>
      <c r="B40" t="inlineStr">
        <is>
          <t>PT11783</t>
        </is>
      </c>
      <c r="C40" s="27" t="n">
        <v>45965.52222222222</v>
      </c>
      <c r="D40" t="inlineStr">
        <is>
          <t>Walk-In</t>
        </is>
      </c>
      <c r="E40" t="n">
        <v>2</v>
      </c>
      <c r="F40" t="inlineStr">
        <is>
          <t>Nausea</t>
        </is>
      </c>
      <c r="G40" s="27" t="n">
        <v>45965.52430555555</v>
      </c>
      <c r="H40" s="27" t="n">
        <v>45965.54722222222</v>
      </c>
      <c r="I40" s="27" t="n">
        <v>45965.67361111111</v>
      </c>
      <c r="J40" t="inlineStr">
        <is>
          <t>Discharged</t>
        </is>
      </c>
    </row>
    <row r="41">
      <c r="A41" t="inlineStr">
        <is>
          <t>ED211508</t>
        </is>
      </c>
      <c r="B41" t="inlineStr">
        <is>
          <t>PT11816</t>
        </is>
      </c>
      <c r="C41" s="27" t="n">
        <v>45980.73888888889</v>
      </c>
      <c r="D41" t="inlineStr">
        <is>
          <t>Ambulance</t>
        </is>
      </c>
      <c r="E41" t="n">
        <v>4</v>
      </c>
      <c r="F41" t="inlineStr">
        <is>
          <t>Headache</t>
        </is>
      </c>
      <c r="G41" s="27" t="n">
        <v>45980.74375</v>
      </c>
      <c r="H41" s="27" t="n">
        <v>45980.80972222222</v>
      </c>
      <c r="I41" s="27" t="n">
        <v>45980.83541666667</v>
      </c>
      <c r="J41" t="inlineStr">
        <is>
          <t>Discharged</t>
        </is>
      </c>
    </row>
    <row r="42">
      <c r="A42" t="inlineStr">
        <is>
          <t>ED211612</t>
        </is>
      </c>
      <c r="B42" t="inlineStr">
        <is>
          <t>PT11832</t>
        </is>
      </c>
      <c r="C42" s="27" t="n">
        <v>45986.54097222222</v>
      </c>
      <c r="D42" t="inlineStr">
        <is>
          <t>Walk-In</t>
        </is>
      </c>
      <c r="E42" t="n">
        <v>3</v>
      </c>
      <c r="F42" t="inlineStr">
        <is>
          <t>Chest Pain</t>
        </is>
      </c>
      <c r="G42" s="27" t="n">
        <v>45986.54930555556</v>
      </c>
      <c r="H42" s="27" t="n">
        <v>45986.57013888889</v>
      </c>
      <c r="I42" s="27" t="n">
        <v>45986.73194444444</v>
      </c>
      <c r="J42" t="inlineStr">
        <is>
          <t>Discharged</t>
        </is>
      </c>
    </row>
    <row r="43">
      <c r="A43" t="inlineStr">
        <is>
          <t>ED211445</t>
        </is>
      </c>
      <c r="B43" t="inlineStr">
        <is>
          <t>PT11926</t>
        </is>
      </c>
      <c r="C43" s="27" t="n">
        <v>45977.91319444445</v>
      </c>
      <c r="D43" t="inlineStr">
        <is>
          <t>Ambulance</t>
        </is>
      </c>
      <c r="E43" t="n">
        <v>2</v>
      </c>
      <c r="F43" t="inlineStr">
        <is>
          <t>Fall</t>
        </is>
      </c>
      <c r="G43" s="27" t="n">
        <v>45977.92083333333</v>
      </c>
      <c r="H43" s="27" t="n">
        <v>45977.92152777778</v>
      </c>
      <c r="I43" s="27" t="n">
        <v>45978.11944444444</v>
      </c>
      <c r="J43" t="inlineStr">
        <is>
          <t>Admitted</t>
        </is>
      </c>
    </row>
    <row r="44">
      <c r="A44" t="inlineStr">
        <is>
          <t>ED211310</t>
        </is>
      </c>
      <c r="B44" t="inlineStr">
        <is>
          <t>PT12026</t>
        </is>
      </c>
      <c r="C44" s="27" t="n">
        <v>45969.66875</v>
      </c>
      <c r="D44" t="inlineStr">
        <is>
          <t>Walk-In</t>
        </is>
      </c>
      <c r="E44" t="n">
        <v>5</v>
      </c>
      <c r="F44" t="inlineStr">
        <is>
          <t>Back Pain</t>
        </is>
      </c>
      <c r="G44" s="27" t="n">
        <v>45969.67430555556</v>
      </c>
      <c r="H44" s="27" t="n">
        <v>45969.68888888889</v>
      </c>
      <c r="I44" s="27" t="n">
        <v>45969.75763888889</v>
      </c>
      <c r="J44" t="inlineStr">
        <is>
          <t>Discharged</t>
        </is>
      </c>
    </row>
    <row r="45">
      <c r="A45" t="inlineStr">
        <is>
          <t>ED211301</t>
        </is>
      </c>
      <c r="B45" t="inlineStr">
        <is>
          <t>PT12081</t>
        </is>
      </c>
      <c r="C45" s="27" t="n">
        <v>45969.28888888889</v>
      </c>
      <c r="D45" t="inlineStr">
        <is>
          <t>Walk-In</t>
        </is>
      </c>
      <c r="E45" t="n">
        <v>2</v>
      </c>
      <c r="F45" t="inlineStr">
        <is>
          <t>Fainting</t>
        </is>
      </c>
      <c r="G45" s="27" t="n">
        <v>45969.29444444444</v>
      </c>
      <c r="H45" s="27" t="n">
        <v>45969.30694444444</v>
      </c>
      <c r="I45" s="27" t="n">
        <v>45969.38055555556</v>
      </c>
      <c r="J45" t="inlineStr">
        <is>
          <t>Discharged</t>
        </is>
      </c>
    </row>
    <row r="46">
      <c r="A46" t="inlineStr">
        <is>
          <t>ED211602</t>
        </is>
      </c>
      <c r="B46" t="inlineStr">
        <is>
          <t>PT12105</t>
        </is>
      </c>
      <c r="C46" s="27" t="n">
        <v>45986.35</v>
      </c>
      <c r="D46" t="inlineStr">
        <is>
          <t>Walk-In</t>
        </is>
      </c>
      <c r="E46" t="n">
        <v>4</v>
      </c>
      <c r="F46" t="inlineStr">
        <is>
          <t>Abdominal Pain</t>
        </is>
      </c>
      <c r="G46" s="27" t="n">
        <v>45986.35277777778</v>
      </c>
      <c r="H46" s="27" t="n">
        <v>45986.37152777778</v>
      </c>
      <c r="I46" s="27" t="n">
        <v>45986.41111111111</v>
      </c>
      <c r="J46" t="inlineStr">
        <is>
          <t>Discharged</t>
        </is>
      </c>
    </row>
    <row r="47">
      <c r="A47" t="inlineStr">
        <is>
          <t>ED211519</t>
        </is>
      </c>
      <c r="B47" t="inlineStr">
        <is>
          <t>PT12123</t>
        </is>
      </c>
      <c r="C47" s="27" t="n">
        <v>45981.42222222222</v>
      </c>
      <c r="D47" t="inlineStr">
        <is>
          <t>Walk-In</t>
        </is>
      </c>
      <c r="E47" t="n">
        <v>5</v>
      </c>
      <c r="F47" t="inlineStr">
        <is>
          <t>Ankle Injury</t>
        </is>
      </c>
      <c r="G47" s="27" t="n">
        <v>45981.42708333334</v>
      </c>
      <c r="H47" s="27" t="n">
        <v>45981.45</v>
      </c>
      <c r="I47" s="27" t="n">
        <v>45981.49583333333</v>
      </c>
      <c r="J47" t="inlineStr">
        <is>
          <t>Discharged</t>
        </is>
      </c>
    </row>
    <row r="48">
      <c r="A48" t="inlineStr">
        <is>
          <t>ED211179</t>
        </is>
      </c>
      <c r="B48" t="inlineStr">
        <is>
          <t>PT12166</t>
        </is>
      </c>
      <c r="C48" s="27" t="n">
        <v>45962.35902777778</v>
      </c>
      <c r="D48" t="inlineStr">
        <is>
          <t>Walk-In</t>
        </is>
      </c>
      <c r="E48" t="n">
        <v>4</v>
      </c>
      <c r="F48" t="inlineStr">
        <is>
          <t>Headache</t>
        </is>
      </c>
      <c r="G48" s="27" t="n">
        <v>45962.36458333334</v>
      </c>
      <c r="H48" s="27" t="n">
        <v>45962.42847222222</v>
      </c>
      <c r="I48" s="27" t="n">
        <v>45962.49166666667</v>
      </c>
      <c r="J48" t="inlineStr">
        <is>
          <t>Discharged</t>
        </is>
      </c>
    </row>
    <row r="49">
      <c r="A49" t="inlineStr">
        <is>
          <t>ED211385</t>
        </is>
      </c>
      <c r="B49" t="inlineStr">
        <is>
          <t>PT12166</t>
        </is>
      </c>
      <c r="C49" s="27" t="n">
        <v>45973.89791666667</v>
      </c>
      <c r="D49" t="inlineStr">
        <is>
          <t>Ambulance</t>
        </is>
      </c>
      <c r="E49" t="n">
        <v>2</v>
      </c>
      <c r="F49" t="inlineStr">
        <is>
          <t>Bloody Stool / Vomiting Blood</t>
        </is>
      </c>
      <c r="G49" s="27" t="n">
        <v>45973.90486111111</v>
      </c>
      <c r="H49" s="27" t="n">
        <v>45973.90555555555</v>
      </c>
      <c r="I49" s="27" t="n">
        <v>45974.27430555555</v>
      </c>
      <c r="J49" t="inlineStr">
        <is>
          <t>Admitted</t>
        </is>
      </c>
    </row>
    <row r="50">
      <c r="A50" t="inlineStr">
        <is>
          <t>ED211350</t>
        </is>
      </c>
      <c r="B50" t="inlineStr">
        <is>
          <t>PT12206</t>
        </is>
      </c>
      <c r="C50" s="27" t="n">
        <v>45972.43958333333</v>
      </c>
      <c r="D50" t="inlineStr">
        <is>
          <t>Ambulance</t>
        </is>
      </c>
      <c r="E50" t="n">
        <v>2</v>
      </c>
      <c r="F50" t="inlineStr">
        <is>
          <t>Fever / Altered Mental Status</t>
        </is>
      </c>
      <c r="G50" s="27" t="n">
        <v>45972.45625</v>
      </c>
      <c r="H50" s="27" t="n">
        <v>45972.45694444444</v>
      </c>
      <c r="I50" s="27" t="n">
        <v>45972.90972222222</v>
      </c>
      <c r="J50" t="inlineStr">
        <is>
          <t>Admitted</t>
        </is>
      </c>
    </row>
    <row r="51">
      <c r="A51" t="inlineStr">
        <is>
          <t>ED211273</t>
        </is>
      </c>
      <c r="B51" t="inlineStr">
        <is>
          <t>PT12242</t>
        </is>
      </c>
      <c r="C51" s="27" t="n">
        <v>45967.6375</v>
      </c>
      <c r="D51" t="inlineStr">
        <is>
          <t>Walk-In</t>
        </is>
      </c>
      <c r="E51" t="n">
        <v>2</v>
      </c>
      <c r="F51" t="inlineStr">
        <is>
          <t>Shortness of Breath</t>
        </is>
      </c>
      <c r="G51" s="27" t="n">
        <v>45967.64097222222</v>
      </c>
      <c r="H51" s="27" t="n">
        <v>45967.65763888889</v>
      </c>
      <c r="I51" s="27" t="n">
        <v>45967.80277777778</v>
      </c>
      <c r="J51" t="inlineStr">
        <is>
          <t>Discharged</t>
        </is>
      </c>
    </row>
    <row r="52">
      <c r="A52" t="inlineStr">
        <is>
          <t>ED211591</t>
        </is>
      </c>
      <c r="B52" t="inlineStr">
        <is>
          <t>PT12285</t>
        </is>
      </c>
      <c r="C52" s="27" t="n">
        <v>45985.57569444444</v>
      </c>
      <c r="D52" t="inlineStr">
        <is>
          <t>Walk-In</t>
        </is>
      </c>
      <c r="E52" t="n">
        <v>4</v>
      </c>
      <c r="F52" t="inlineStr">
        <is>
          <t>Laceration</t>
        </is>
      </c>
      <c r="G52" s="27" t="n">
        <v>45985.58125</v>
      </c>
      <c r="H52" s="27" t="n">
        <v>45985.65625</v>
      </c>
      <c r="I52" s="27" t="n">
        <v>45985.79791666667</v>
      </c>
      <c r="J52" t="inlineStr">
        <is>
          <t>Observation</t>
        </is>
      </c>
    </row>
    <row r="53">
      <c r="A53" t="inlineStr">
        <is>
          <t>ED211391</t>
        </is>
      </c>
      <c r="B53" t="inlineStr">
        <is>
          <t>PT12299</t>
        </is>
      </c>
      <c r="C53" s="27" t="n">
        <v>45974.40555555555</v>
      </c>
      <c r="D53" t="inlineStr">
        <is>
          <t>Walk-In</t>
        </is>
      </c>
      <c r="E53" t="n">
        <v>4</v>
      </c>
      <c r="F53" t="inlineStr">
        <is>
          <t>Dizziness</t>
        </is>
      </c>
      <c r="G53" s="27" t="n">
        <v>45974.41180555556</v>
      </c>
      <c r="H53" s="27" t="n">
        <v>45974.47013888889</v>
      </c>
      <c r="I53" s="27" t="n">
        <v>45974.69236111111</v>
      </c>
      <c r="J53" t="inlineStr">
        <is>
          <t>Observation</t>
        </is>
      </c>
    </row>
    <row r="54">
      <c r="A54" t="inlineStr">
        <is>
          <t>ED211616</t>
        </is>
      </c>
      <c r="B54" t="inlineStr">
        <is>
          <t>PT12314</t>
        </is>
      </c>
      <c r="C54" s="27" t="n">
        <v>45987.23402777778</v>
      </c>
      <c r="D54" t="inlineStr">
        <is>
          <t>Walk-In</t>
        </is>
      </c>
      <c r="E54" t="n">
        <v>3</v>
      </c>
      <c r="F54" t="inlineStr">
        <is>
          <t>Anxiety / Palpitations</t>
        </is>
      </c>
      <c r="G54" s="27" t="n">
        <v>45987.23958333334</v>
      </c>
      <c r="H54" s="27" t="n">
        <v>45987.26458333333</v>
      </c>
      <c r="I54" s="27" t="n">
        <v>45987.37361111111</v>
      </c>
      <c r="J54" t="inlineStr">
        <is>
          <t>Discharged</t>
        </is>
      </c>
    </row>
    <row r="55">
      <c r="A55" t="inlineStr">
        <is>
          <t>ED211331</t>
        </is>
      </c>
      <c r="B55" t="inlineStr">
        <is>
          <t>PT12519</t>
        </is>
      </c>
      <c r="C55" s="27" t="n">
        <v>45971.49513888889</v>
      </c>
      <c r="D55" t="inlineStr">
        <is>
          <t>Ambulance</t>
        </is>
      </c>
      <c r="E55" t="n">
        <v>2</v>
      </c>
      <c r="F55" t="inlineStr">
        <is>
          <t>Weakness / Fatigue</t>
        </is>
      </c>
      <c r="G55" s="27" t="n">
        <v>45971.50486111111</v>
      </c>
      <c r="H55" s="27" t="n">
        <v>45971.51111111111</v>
      </c>
      <c r="I55" s="27" t="n">
        <v>45971.77361111111</v>
      </c>
      <c r="J55" t="inlineStr">
        <is>
          <t>Admitted</t>
        </is>
      </c>
    </row>
    <row r="56">
      <c r="A56" t="inlineStr">
        <is>
          <t>ED211680</t>
        </is>
      </c>
      <c r="B56" t="inlineStr">
        <is>
          <t>PT12563</t>
        </is>
      </c>
      <c r="C56" s="27" t="n">
        <v>45991.15972222222</v>
      </c>
      <c r="D56" t="inlineStr">
        <is>
          <t>Walk-In</t>
        </is>
      </c>
      <c r="E56" t="n">
        <v>3</v>
      </c>
      <c r="F56" t="inlineStr">
        <is>
          <t>Abdominal Pain</t>
        </is>
      </c>
      <c r="G56" s="27" t="n">
        <v>45991.16527777778</v>
      </c>
      <c r="H56" s="27" t="n">
        <v>45991.16597222222</v>
      </c>
      <c r="I56" s="27" t="n">
        <v>45991.33888888889</v>
      </c>
      <c r="J56" t="inlineStr">
        <is>
          <t>Admitted</t>
        </is>
      </c>
    </row>
    <row r="57">
      <c r="A57" t="inlineStr">
        <is>
          <t>ED211539</t>
        </is>
      </c>
      <c r="B57" t="inlineStr">
        <is>
          <t>PT12641</t>
        </is>
      </c>
      <c r="C57" s="27" t="n">
        <v>45982.55347222222</v>
      </c>
      <c r="D57" t="inlineStr">
        <is>
          <t>Walk-In</t>
        </is>
      </c>
      <c r="E57" t="n">
        <v>4</v>
      </c>
      <c r="F57" t="inlineStr">
        <is>
          <t>Vomiting / Diarrhea</t>
        </is>
      </c>
      <c r="G57" s="27" t="n">
        <v>45982.56041666667</v>
      </c>
      <c r="H57" s="27" t="n">
        <v>45982.62708333333</v>
      </c>
      <c r="I57" s="27" t="n">
        <v>45982.70555555556</v>
      </c>
      <c r="J57" t="inlineStr">
        <is>
          <t>Discharged</t>
        </is>
      </c>
    </row>
    <row r="58">
      <c r="A58" t="inlineStr">
        <is>
          <t>ED211662</t>
        </is>
      </c>
      <c r="B58" t="inlineStr">
        <is>
          <t>PT12695</t>
        </is>
      </c>
      <c r="C58" s="27" t="n">
        <v>45989.82986111111</v>
      </c>
      <c r="D58" t="inlineStr">
        <is>
          <t>Walk-In</t>
        </is>
      </c>
      <c r="E58" t="n">
        <v>3</v>
      </c>
      <c r="F58" t="inlineStr">
        <is>
          <t>Painful Urination / Fever</t>
        </is>
      </c>
      <c r="G58" s="27" t="n">
        <v>45989.83472222222</v>
      </c>
      <c r="H58" s="27" t="n">
        <v>45989.89861111111</v>
      </c>
      <c r="I58" s="27" t="n">
        <v>45989.98541666667</v>
      </c>
      <c r="J58" t="inlineStr">
        <is>
          <t>Discharged</t>
        </is>
      </c>
    </row>
    <row r="59">
      <c r="A59" t="inlineStr">
        <is>
          <t>ED211223</t>
        </is>
      </c>
      <c r="B59" t="inlineStr">
        <is>
          <t>PT12735</t>
        </is>
      </c>
      <c r="C59" s="27" t="n">
        <v>45964.76944444444</v>
      </c>
      <c r="D59" t="inlineStr">
        <is>
          <t>Walk-In</t>
        </is>
      </c>
      <c r="E59" t="n">
        <v>3</v>
      </c>
      <c r="F59" t="inlineStr">
        <is>
          <t>Shortness of Breath</t>
        </is>
      </c>
      <c r="G59" s="27" t="n">
        <v>45964.77291666667</v>
      </c>
      <c r="H59" s="27" t="n">
        <v>45964.78888888889</v>
      </c>
      <c r="I59" s="27" t="n">
        <v>45964.88958333333</v>
      </c>
      <c r="J59" t="inlineStr">
        <is>
          <t>Observation</t>
        </is>
      </c>
    </row>
    <row r="60">
      <c r="A60" t="inlineStr">
        <is>
          <t>ED211428</t>
        </is>
      </c>
      <c r="B60" t="inlineStr">
        <is>
          <t>PT12735</t>
        </is>
      </c>
      <c r="C60" s="27" t="n">
        <v>45977.00694444445</v>
      </c>
      <c r="D60" t="inlineStr">
        <is>
          <t>Walk-In</t>
        </is>
      </c>
      <c r="E60" t="n">
        <v>3</v>
      </c>
      <c r="F60" t="inlineStr">
        <is>
          <t>Chest Pain</t>
        </is>
      </c>
      <c r="G60" s="27" t="n">
        <v>45977.01180555556</v>
      </c>
      <c r="H60" s="27" t="n">
        <v>45977.03611111111</v>
      </c>
      <c r="I60" s="27" t="n">
        <v>45977.14652777778</v>
      </c>
      <c r="J60" t="inlineStr">
        <is>
          <t>Discharged</t>
        </is>
      </c>
    </row>
    <row r="61">
      <c r="A61" t="inlineStr">
        <is>
          <t>ED211198</t>
        </is>
      </c>
      <c r="B61" t="inlineStr">
        <is>
          <t>PT12749</t>
        </is>
      </c>
      <c r="C61" s="27" t="n">
        <v>45963.88263888889</v>
      </c>
      <c r="D61" t="inlineStr">
        <is>
          <t>Walk-In</t>
        </is>
      </c>
      <c r="E61" t="n">
        <v>3</v>
      </c>
      <c r="F61" t="inlineStr">
        <is>
          <t>Rash</t>
        </is>
      </c>
      <c r="G61" s="27" t="n">
        <v>45963.8875</v>
      </c>
      <c r="H61" s="27" t="n">
        <v>45963.89861111111</v>
      </c>
      <c r="I61" s="27" t="n">
        <v>45964.10347222222</v>
      </c>
      <c r="J61" t="inlineStr">
        <is>
          <t>Admitted</t>
        </is>
      </c>
    </row>
    <row r="62">
      <c r="A62" t="inlineStr">
        <is>
          <t>ED211576</t>
        </is>
      </c>
      <c r="B62" t="inlineStr">
        <is>
          <t>PT12774</t>
        </is>
      </c>
      <c r="C62" s="27" t="n">
        <v>45984.73333333333</v>
      </c>
      <c r="D62" t="inlineStr">
        <is>
          <t>Walk-In</t>
        </is>
      </c>
      <c r="E62" t="n">
        <v>4</v>
      </c>
      <c r="F62" t="inlineStr">
        <is>
          <t>Cough / Fever</t>
        </is>
      </c>
      <c r="G62" s="27" t="n">
        <v>45984.73888888889</v>
      </c>
      <c r="I62" s="27" t="n">
        <v>45984.78333333333</v>
      </c>
      <c r="J62" t="inlineStr">
        <is>
          <t>LWBS</t>
        </is>
      </c>
    </row>
    <row r="63">
      <c r="A63" t="inlineStr">
        <is>
          <t>ED211238</t>
        </is>
      </c>
      <c r="B63" t="inlineStr">
        <is>
          <t>PT12802</t>
        </is>
      </c>
      <c r="C63" s="27" t="n">
        <v>45965.56875</v>
      </c>
      <c r="D63" t="inlineStr">
        <is>
          <t>Walk-In</t>
        </is>
      </c>
      <c r="E63" t="n">
        <v>3</v>
      </c>
      <c r="F63" t="inlineStr">
        <is>
          <t>Abdominal Pain</t>
        </is>
      </c>
      <c r="G63" s="27" t="n">
        <v>45965.57638888889</v>
      </c>
      <c r="H63" s="27" t="n">
        <v>45965.6125</v>
      </c>
      <c r="I63" s="27" t="n">
        <v>45965.72569444445</v>
      </c>
      <c r="J63" t="inlineStr">
        <is>
          <t>Discharged</t>
        </is>
      </c>
    </row>
    <row r="64">
      <c r="A64" t="inlineStr">
        <is>
          <t>ED211429</t>
        </is>
      </c>
      <c r="B64" t="inlineStr">
        <is>
          <t>PT12851</t>
        </is>
      </c>
      <c r="C64" s="27" t="n">
        <v>45977.26041666666</v>
      </c>
      <c r="D64" t="inlineStr">
        <is>
          <t>Walk-In</t>
        </is>
      </c>
      <c r="E64" t="n">
        <v>3</v>
      </c>
      <c r="F64" t="inlineStr">
        <is>
          <t>Shortness of Breath</t>
        </is>
      </c>
      <c r="G64" s="27" t="n">
        <v>45977.26458333333</v>
      </c>
      <c r="H64" s="27" t="n">
        <v>45977.27083333334</v>
      </c>
      <c r="I64" s="27" t="n">
        <v>45977.43680555555</v>
      </c>
      <c r="J64" t="inlineStr">
        <is>
          <t>Admitted</t>
        </is>
      </c>
    </row>
    <row r="65">
      <c r="A65" t="inlineStr">
        <is>
          <t>ED211631</t>
        </is>
      </c>
      <c r="B65" t="inlineStr">
        <is>
          <t>PT12893</t>
        </is>
      </c>
      <c r="C65" s="27" t="n">
        <v>45988.59583333333</v>
      </c>
      <c r="D65" t="inlineStr">
        <is>
          <t>Walk-In</t>
        </is>
      </c>
      <c r="E65" t="n">
        <v>4</v>
      </c>
      <c r="F65" t="inlineStr">
        <is>
          <t>Cough / Fever</t>
        </is>
      </c>
      <c r="G65" s="27" t="n">
        <v>45988.60208333333</v>
      </c>
      <c r="H65" s="27" t="n">
        <v>45988.65138888889</v>
      </c>
      <c r="I65" s="27" t="n">
        <v>45988.71319444444</v>
      </c>
      <c r="J65" t="inlineStr">
        <is>
          <t>Discharged</t>
        </is>
      </c>
    </row>
    <row r="66">
      <c r="A66" t="inlineStr">
        <is>
          <t>ED211194</t>
        </is>
      </c>
      <c r="B66" t="inlineStr">
        <is>
          <t>PT12896</t>
        </is>
      </c>
      <c r="C66" s="27" t="n">
        <v>45963.58194444444</v>
      </c>
      <c r="D66" t="inlineStr">
        <is>
          <t>Ambulance</t>
        </is>
      </c>
      <c r="E66" t="n">
        <v>3</v>
      </c>
      <c r="F66" t="inlineStr">
        <is>
          <t>Skin Redness / Swelling</t>
        </is>
      </c>
      <c r="G66" s="27" t="n">
        <v>45963.58958333333</v>
      </c>
      <c r="H66" s="27" t="n">
        <v>45963.59861111111</v>
      </c>
      <c r="I66" s="27" t="n">
        <v>45963.80138888889</v>
      </c>
      <c r="J66" t="inlineStr">
        <is>
          <t>Admitted</t>
        </is>
      </c>
    </row>
    <row r="67">
      <c r="A67" t="inlineStr">
        <is>
          <t>ED211535</t>
        </is>
      </c>
      <c r="B67" t="inlineStr">
        <is>
          <t>PT12929</t>
        </is>
      </c>
      <c r="C67" s="27" t="n">
        <v>45982.09166666667</v>
      </c>
      <c r="D67" t="inlineStr">
        <is>
          <t>Walk-In</t>
        </is>
      </c>
      <c r="E67" t="n">
        <v>4</v>
      </c>
      <c r="F67" t="inlineStr">
        <is>
          <t>Painful Urination / Fever</t>
        </is>
      </c>
      <c r="G67" s="27" t="n">
        <v>45982.09652777778</v>
      </c>
      <c r="H67" s="27" t="n">
        <v>45982.11111111111</v>
      </c>
      <c r="I67" s="27" t="n">
        <v>45982.14722222222</v>
      </c>
      <c r="J67" t="inlineStr">
        <is>
          <t>Discharged</t>
        </is>
      </c>
    </row>
    <row r="68">
      <c r="A68" t="inlineStr">
        <is>
          <t>ED211212</t>
        </is>
      </c>
      <c r="B68" t="inlineStr">
        <is>
          <t>PT12938</t>
        </is>
      </c>
      <c r="C68" s="27" t="n">
        <v>45964.40972222222</v>
      </c>
      <c r="D68" t="inlineStr">
        <is>
          <t>Walk-In</t>
        </is>
      </c>
      <c r="E68" t="n">
        <v>2</v>
      </c>
      <c r="F68" t="inlineStr">
        <is>
          <t>High Blood Sugar</t>
        </is>
      </c>
      <c r="G68" s="27" t="n">
        <v>45964.41527777778</v>
      </c>
      <c r="H68" s="27" t="n">
        <v>45964.43125</v>
      </c>
      <c r="I68" s="27" t="n">
        <v>45964.59791666667</v>
      </c>
      <c r="J68" t="inlineStr">
        <is>
          <t>Discharged</t>
        </is>
      </c>
    </row>
    <row r="69">
      <c r="A69" t="inlineStr">
        <is>
          <t>ED211595</t>
        </is>
      </c>
      <c r="B69" t="inlineStr">
        <is>
          <t>PT12989</t>
        </is>
      </c>
      <c r="C69" s="27" t="n">
        <v>45985.6875</v>
      </c>
      <c r="D69" t="inlineStr">
        <is>
          <t>Walk-In</t>
        </is>
      </c>
      <c r="E69" t="n">
        <v>3</v>
      </c>
      <c r="F69" t="inlineStr">
        <is>
          <t>Vomiting / Dizziness</t>
        </is>
      </c>
      <c r="G69" s="27" t="n">
        <v>45985.68958333333</v>
      </c>
      <c r="I69" s="27" t="n">
        <v>45985.79652777778</v>
      </c>
      <c r="J69" t="inlineStr">
        <is>
          <t>LWBS</t>
        </is>
      </c>
    </row>
    <row r="70">
      <c r="A70" t="inlineStr">
        <is>
          <t>ED211318</t>
        </is>
      </c>
      <c r="B70" t="inlineStr">
        <is>
          <t>PT13110</t>
        </is>
      </c>
      <c r="C70" s="27" t="n">
        <v>45970.00972222222</v>
      </c>
      <c r="D70" t="inlineStr">
        <is>
          <t>Walk-In</t>
        </is>
      </c>
      <c r="E70" t="n">
        <v>2</v>
      </c>
      <c r="F70" t="inlineStr">
        <is>
          <t>Palpitations</t>
        </is>
      </c>
      <c r="G70" s="27" t="n">
        <v>45970.01319444444</v>
      </c>
      <c r="H70" s="27" t="n">
        <v>45970.01388888889</v>
      </c>
      <c r="I70" s="27" t="n">
        <v>45970.11736111111</v>
      </c>
      <c r="J70" t="inlineStr">
        <is>
          <t>Discharged</t>
        </is>
      </c>
    </row>
    <row r="71">
      <c r="A71" t="inlineStr">
        <is>
          <t>ED211348</t>
        </is>
      </c>
      <c r="B71" t="inlineStr">
        <is>
          <t>PT13179</t>
        </is>
      </c>
      <c r="C71" s="27" t="n">
        <v>45972.275</v>
      </c>
      <c r="D71" t="inlineStr">
        <is>
          <t>Walk-In</t>
        </is>
      </c>
      <c r="E71" t="n">
        <v>3</v>
      </c>
      <c r="F71" t="inlineStr">
        <is>
          <t>Ankle Injury</t>
        </is>
      </c>
      <c r="G71" s="27" t="n">
        <v>45972.27916666667</v>
      </c>
      <c r="H71" s="27" t="n">
        <v>45972.28680555556</v>
      </c>
      <c r="I71" s="27" t="n">
        <v>45972.36666666667</v>
      </c>
      <c r="J71" t="inlineStr">
        <is>
          <t>Discharged</t>
        </is>
      </c>
    </row>
    <row r="72">
      <c r="A72" t="inlineStr">
        <is>
          <t>ED211575</t>
        </is>
      </c>
      <c r="B72" t="inlineStr">
        <is>
          <t>PT13217</t>
        </is>
      </c>
      <c r="C72" s="27" t="n">
        <v>45984.72847222222</v>
      </c>
      <c r="D72" t="inlineStr">
        <is>
          <t>Walk-In</t>
        </is>
      </c>
      <c r="E72" t="n">
        <v>3</v>
      </c>
      <c r="F72" t="inlineStr">
        <is>
          <t>Painful Urination / Fever</t>
        </is>
      </c>
      <c r="G72" s="27" t="n">
        <v>45984.73194444444</v>
      </c>
      <c r="H72" s="27" t="n">
        <v>45984.75972222222</v>
      </c>
      <c r="I72" s="27" t="n">
        <v>45984.99305555555</v>
      </c>
      <c r="J72" t="inlineStr">
        <is>
          <t>Observation</t>
        </is>
      </c>
    </row>
    <row r="73">
      <c r="A73" t="inlineStr">
        <is>
          <t>ED211669</t>
        </is>
      </c>
      <c r="B73" t="inlineStr">
        <is>
          <t>PT13427</t>
        </is>
      </c>
      <c r="C73" s="27" t="n">
        <v>45990.44930555556</v>
      </c>
      <c r="D73" t="inlineStr">
        <is>
          <t>Walk-In</t>
        </is>
      </c>
      <c r="E73" t="n">
        <v>3</v>
      </c>
      <c r="F73" t="inlineStr">
        <is>
          <t>Abdominal Pain</t>
        </is>
      </c>
      <c r="G73" s="27" t="n">
        <v>45990.45833333334</v>
      </c>
      <c r="H73" s="27" t="n">
        <v>45990.47777777778</v>
      </c>
      <c r="I73" s="27" t="n">
        <v>45990.60902777778</v>
      </c>
      <c r="J73" t="inlineStr">
        <is>
          <t>Discharged</t>
        </is>
      </c>
    </row>
    <row r="74">
      <c r="A74" t="inlineStr">
        <is>
          <t>ED211693</t>
        </is>
      </c>
      <c r="B74" t="inlineStr">
        <is>
          <t>PT13519</t>
        </is>
      </c>
      <c r="C74" s="27" t="n">
        <v>45991.72430555556</v>
      </c>
      <c r="D74" t="inlineStr">
        <is>
          <t>Walk-In</t>
        </is>
      </c>
      <c r="E74" t="n">
        <v>4</v>
      </c>
      <c r="F74" t="inlineStr">
        <is>
          <t>Skin Redness / Swelling</t>
        </is>
      </c>
      <c r="G74" s="27" t="n">
        <v>45991.72708333333</v>
      </c>
      <c r="H74" s="27" t="n">
        <v>45991.74652777778</v>
      </c>
      <c r="I74" s="27" t="n">
        <v>45992.02361111111</v>
      </c>
      <c r="J74" t="inlineStr">
        <is>
          <t>Admitted</t>
        </is>
      </c>
    </row>
    <row r="75">
      <c r="A75" t="inlineStr">
        <is>
          <t>ED211467</t>
        </is>
      </c>
      <c r="B75" t="inlineStr">
        <is>
          <t>PT13560</t>
        </is>
      </c>
      <c r="C75" s="27" t="n">
        <v>45978.92708333334</v>
      </c>
      <c r="D75" t="inlineStr">
        <is>
          <t>Walk-In</t>
        </is>
      </c>
      <c r="E75" t="n">
        <v>3</v>
      </c>
      <c r="F75" t="inlineStr">
        <is>
          <t>Shortness of Breath</t>
        </is>
      </c>
      <c r="G75" s="27" t="n">
        <v>45978.93125</v>
      </c>
      <c r="I75" s="27" t="n">
        <v>45978.97638888889</v>
      </c>
      <c r="J75" t="inlineStr">
        <is>
          <t>LWBS</t>
        </is>
      </c>
    </row>
    <row r="76">
      <c r="A76" t="inlineStr">
        <is>
          <t>ED211580</t>
        </is>
      </c>
      <c r="B76" t="inlineStr">
        <is>
          <t>PT13575</t>
        </is>
      </c>
      <c r="C76" s="27" t="n">
        <v>45984.97152777778</v>
      </c>
      <c r="D76" t="inlineStr">
        <is>
          <t>Ambulance</t>
        </is>
      </c>
      <c r="E76" t="n">
        <v>5</v>
      </c>
      <c r="F76" t="inlineStr">
        <is>
          <t>Nausea</t>
        </is>
      </c>
      <c r="G76" s="27" t="n">
        <v>45984.97916666666</v>
      </c>
      <c r="H76" s="27" t="n">
        <v>45984.98125</v>
      </c>
      <c r="I76" s="27" t="n">
        <v>45985.04722222222</v>
      </c>
      <c r="J76" t="inlineStr">
        <is>
          <t>Discharged</t>
        </is>
      </c>
    </row>
    <row r="77">
      <c r="A77" t="inlineStr">
        <is>
          <t>ED211294</t>
        </is>
      </c>
      <c r="B77" t="inlineStr">
        <is>
          <t>PT13601</t>
        </is>
      </c>
      <c r="C77" s="27" t="n">
        <v>45968.84861111111</v>
      </c>
      <c r="D77" t="inlineStr">
        <is>
          <t>Walk-In</t>
        </is>
      </c>
      <c r="E77" t="n">
        <v>4</v>
      </c>
      <c r="F77" t="inlineStr">
        <is>
          <t>Fall</t>
        </is>
      </c>
      <c r="G77" s="27" t="n">
        <v>45968.85902777778</v>
      </c>
      <c r="H77" s="27" t="n">
        <v>45968.88611111111</v>
      </c>
      <c r="I77" s="27" t="n">
        <v>45968.91527777778</v>
      </c>
      <c r="J77" t="inlineStr">
        <is>
          <t>Discharged</t>
        </is>
      </c>
    </row>
    <row r="78">
      <c r="A78" t="inlineStr">
        <is>
          <t>ED211547</t>
        </is>
      </c>
      <c r="B78" t="inlineStr">
        <is>
          <t>PT13628</t>
        </is>
      </c>
      <c r="C78" s="27" t="n">
        <v>45982.79513888889</v>
      </c>
      <c r="D78" t="inlineStr">
        <is>
          <t>Walk-In</t>
        </is>
      </c>
      <c r="E78" t="n">
        <v>4</v>
      </c>
      <c r="F78" t="inlineStr">
        <is>
          <t>Abdominal Pain</t>
        </is>
      </c>
      <c r="G78" s="27" t="n">
        <v>45982.80486111111</v>
      </c>
      <c r="H78" s="27" t="n">
        <v>45982.84375</v>
      </c>
      <c r="I78" s="27" t="n">
        <v>45982.91527777778</v>
      </c>
      <c r="J78" t="inlineStr">
        <is>
          <t>Discharged</t>
        </is>
      </c>
    </row>
    <row r="79">
      <c r="A79" t="inlineStr">
        <is>
          <t>ED211684</t>
        </is>
      </c>
      <c r="B79" t="inlineStr">
        <is>
          <t>PT13702</t>
        </is>
      </c>
      <c r="C79" s="27" t="n">
        <v>45991.50069444445</v>
      </c>
      <c r="D79" t="inlineStr">
        <is>
          <t>Walk-In</t>
        </is>
      </c>
      <c r="E79" t="n">
        <v>2</v>
      </c>
      <c r="F79" t="inlineStr">
        <is>
          <t>Fainting</t>
        </is>
      </c>
      <c r="G79" s="27" t="n">
        <v>45991.50833333333</v>
      </c>
      <c r="H79" s="27" t="n">
        <v>45991.50972222222</v>
      </c>
      <c r="I79" s="27" t="n">
        <v>45991.60555555556</v>
      </c>
      <c r="J79" t="inlineStr">
        <is>
          <t>Discharged</t>
        </is>
      </c>
    </row>
    <row r="80">
      <c r="A80" t="inlineStr">
        <is>
          <t>ED211673</t>
        </is>
      </c>
      <c r="B80" t="inlineStr">
        <is>
          <t>PT13869</t>
        </is>
      </c>
      <c r="C80" s="27" t="n">
        <v>45990.72847222222</v>
      </c>
      <c r="D80" t="inlineStr">
        <is>
          <t>Walk-In</t>
        </is>
      </c>
      <c r="E80" t="n">
        <v>3</v>
      </c>
      <c r="F80" t="inlineStr">
        <is>
          <t>Cough / Fever</t>
        </is>
      </c>
      <c r="G80" s="27" t="n">
        <v>45990.73194444444</v>
      </c>
      <c r="H80" s="27" t="n">
        <v>45990.74027777778</v>
      </c>
      <c r="I80" s="27" t="n">
        <v>45990.82638888889</v>
      </c>
      <c r="J80" t="inlineStr">
        <is>
          <t>Discharged</t>
        </is>
      </c>
    </row>
    <row r="81">
      <c r="A81" t="inlineStr">
        <is>
          <t>ED211193</t>
        </is>
      </c>
      <c r="B81" t="inlineStr">
        <is>
          <t>PT13940</t>
        </is>
      </c>
      <c r="C81" s="27" t="n">
        <v>45963.57361111111</v>
      </c>
      <c r="D81" t="inlineStr">
        <is>
          <t>Ambulance</t>
        </is>
      </c>
      <c r="E81" t="n">
        <v>2</v>
      </c>
      <c r="F81" t="inlineStr">
        <is>
          <t>Skin Redness / Swelling</t>
        </is>
      </c>
      <c r="G81" s="27" t="n">
        <v>45963.57847222222</v>
      </c>
      <c r="H81" s="27" t="n">
        <v>45963.58194444444</v>
      </c>
      <c r="I81" s="27" t="n">
        <v>45963.72986111111</v>
      </c>
      <c r="J81" t="inlineStr">
        <is>
          <t>Observation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4"/>
  <sheetViews>
    <sheetView tabSelected="0" workbookViewId="0">
      <selection pane="bottomLeft" activeCell="A1" sqref="A1"/>
    </sheetView>
  </sheetViews>
  <sheetFormatPr baseColWidth="8" defaultRowHeight="15"/>
  <cols>
    <col width="11" customWidth="1" min="1" max="1"/>
    <col width="11" customWidth="1" min="2" max="2"/>
    <col width="18" customWidth="1" min="3" max="3"/>
    <col width="13" customWidth="1" min="4" max="4"/>
    <col width="10" customWidth="1" min="5" max="5"/>
    <col width="31" customWidth="1" min="6" max="6"/>
    <col width="18" customWidth="1" min="7" max="7"/>
    <col width="22" customWidth="1" min="8" max="8"/>
    <col width="19" customWidth="1" min="9" max="9"/>
    <col width="15" customWidth="1" min="10" max="10"/>
  </cols>
  <sheetData>
    <row r="1">
      <c r="A1" s="26" t="inlineStr">
        <is>
          <t>EDVisitID</t>
        </is>
      </c>
      <c r="B1" s="26" t="inlineStr">
        <is>
          <t>PatientID</t>
        </is>
      </c>
      <c r="C1" s="26" t="inlineStr">
        <is>
          <t>ArrivalDateTime</t>
        </is>
      </c>
      <c r="D1" s="26" t="inlineStr">
        <is>
          <t>ArrivalMode</t>
        </is>
      </c>
      <c r="E1" s="26" t="inlineStr">
        <is>
          <t>ESILevel</t>
        </is>
      </c>
      <c r="F1" s="26" t="inlineStr">
        <is>
          <t>ChiefComplaint</t>
        </is>
      </c>
      <c r="G1" s="26" t="inlineStr">
        <is>
          <t>TriageDateTime</t>
        </is>
      </c>
      <c r="H1" s="26" t="inlineStr">
        <is>
          <t>ProviderSeenDateTime</t>
        </is>
      </c>
      <c r="I1" s="26" t="inlineStr">
        <is>
          <t>DepartureDateTime</t>
        </is>
      </c>
      <c r="J1" s="26" t="inlineStr">
        <is>
          <t>EDDisposition</t>
        </is>
      </c>
    </row>
    <row r="2">
      <c r="A2" t="inlineStr">
        <is>
          <t>ED211764</t>
        </is>
      </c>
      <c r="B2" t="inlineStr">
        <is>
          <t>PT10032</t>
        </is>
      </c>
      <c r="C2" s="27" t="n">
        <v>45995.46180555555</v>
      </c>
      <c r="D2" t="inlineStr">
        <is>
          <t>Walk-In</t>
        </is>
      </c>
      <c r="E2" t="n">
        <v>5</v>
      </c>
      <c r="F2" t="inlineStr">
        <is>
          <t>Ankle Injury</t>
        </is>
      </c>
      <c r="G2" s="27" t="n">
        <v>45995.46597222222</v>
      </c>
      <c r="H2" s="27" t="n">
        <v>45995.57847222222</v>
      </c>
      <c r="I2" s="27" t="n">
        <v>45995.63055555556</v>
      </c>
      <c r="J2" t="inlineStr">
        <is>
          <t>Discharged</t>
        </is>
      </c>
    </row>
    <row r="3">
      <c r="A3" t="inlineStr">
        <is>
          <t>ED212107</t>
        </is>
      </c>
      <c r="B3" t="inlineStr">
        <is>
          <t>PT10032</t>
        </is>
      </c>
      <c r="C3" s="27" t="n">
        <v>46012.51111111111</v>
      </c>
      <c r="D3" t="inlineStr">
        <is>
          <t>Walk-In</t>
        </is>
      </c>
      <c r="E3" t="n">
        <v>4</v>
      </c>
      <c r="F3" t="inlineStr">
        <is>
          <t>Cough / Fever</t>
        </is>
      </c>
      <c r="G3" s="27" t="n">
        <v>46012.51597222222</v>
      </c>
      <c r="I3" s="27" t="n">
        <v>46012.60763888889</v>
      </c>
      <c r="J3" t="inlineStr">
        <is>
          <t>LWBS</t>
        </is>
      </c>
    </row>
    <row r="4">
      <c r="A4" t="inlineStr">
        <is>
          <t>ED212086</t>
        </is>
      </c>
      <c r="B4" t="inlineStr">
        <is>
          <t>PT10052</t>
        </is>
      </c>
      <c r="C4" s="27" t="n">
        <v>46011.26805555556</v>
      </c>
      <c r="D4" t="inlineStr">
        <is>
          <t>Ambulance</t>
        </is>
      </c>
      <c r="E4" t="n">
        <v>2</v>
      </c>
      <c r="F4" t="inlineStr">
        <is>
          <t>Chest Pain</t>
        </is>
      </c>
      <c r="G4" s="27" t="n">
        <v>46011.27291666667</v>
      </c>
      <c r="H4" s="27" t="n">
        <v>46011.27361111111</v>
      </c>
      <c r="I4" s="27" t="n">
        <v>46011.32708333333</v>
      </c>
      <c r="J4" t="inlineStr">
        <is>
          <t>Left AMA</t>
        </is>
      </c>
    </row>
    <row r="5">
      <c r="A5" t="inlineStr">
        <is>
          <t>ED211831</t>
        </is>
      </c>
      <c r="B5" t="inlineStr">
        <is>
          <t>PT10299</t>
        </is>
      </c>
      <c r="C5" s="27" t="n">
        <v>45999.15555555555</v>
      </c>
      <c r="D5" t="inlineStr">
        <is>
          <t>Walk-In</t>
        </is>
      </c>
      <c r="E5" t="n">
        <v>3</v>
      </c>
      <c r="F5" t="inlineStr">
        <is>
          <t>Abdominal Pain</t>
        </is>
      </c>
      <c r="G5" s="27" t="n">
        <v>45999.15763888889</v>
      </c>
      <c r="H5" s="27" t="n">
        <v>45999.175</v>
      </c>
      <c r="I5" s="27" t="n">
        <v>45999.27916666667</v>
      </c>
      <c r="J5" t="inlineStr">
        <is>
          <t>Discharged</t>
        </is>
      </c>
    </row>
    <row r="6">
      <c r="A6" t="inlineStr">
        <is>
          <t>ED212014</t>
        </is>
      </c>
      <c r="B6" t="inlineStr">
        <is>
          <t>PT10337</t>
        </is>
      </c>
      <c r="C6" s="27" t="n">
        <v>46007.88819444444</v>
      </c>
      <c r="D6" t="inlineStr">
        <is>
          <t>Walk-In</t>
        </is>
      </c>
      <c r="E6" t="n">
        <v>3</v>
      </c>
      <c r="F6" t="inlineStr">
        <is>
          <t>Fainting</t>
        </is>
      </c>
      <c r="G6" s="27" t="n">
        <v>46007.89027777778</v>
      </c>
      <c r="H6" s="27" t="n">
        <v>46007.96041666667</v>
      </c>
      <c r="I6" s="27" t="n">
        <v>46008.12569444445</v>
      </c>
      <c r="J6" t="inlineStr">
        <is>
          <t>Observation</t>
        </is>
      </c>
    </row>
    <row r="7">
      <c r="A7" t="inlineStr">
        <is>
          <t>ED212080</t>
        </is>
      </c>
      <c r="B7" t="inlineStr">
        <is>
          <t>PT10384</t>
        </is>
      </c>
      <c r="C7" s="27" t="n">
        <v>46010.8125</v>
      </c>
      <c r="D7" t="inlineStr">
        <is>
          <t>Walk-In</t>
        </is>
      </c>
      <c r="E7" t="n">
        <v>4</v>
      </c>
      <c r="F7" t="inlineStr">
        <is>
          <t>Vomiting / Diarrhea</t>
        </is>
      </c>
      <c r="G7" s="27" t="n">
        <v>46010.81736111111</v>
      </c>
      <c r="H7" s="27" t="n">
        <v>46010.85763888889</v>
      </c>
      <c r="I7" s="27" t="n">
        <v>46010.92013888889</v>
      </c>
      <c r="J7" t="inlineStr">
        <is>
          <t>Discharged</t>
        </is>
      </c>
    </row>
    <row r="8">
      <c r="A8" t="inlineStr">
        <is>
          <t>ED212242</t>
        </is>
      </c>
      <c r="B8" t="inlineStr">
        <is>
          <t>PT10422</t>
        </is>
      </c>
      <c r="C8" s="27" t="n">
        <v>46019.59027777778</v>
      </c>
      <c r="D8" t="inlineStr">
        <is>
          <t>Walk-In</t>
        </is>
      </c>
      <c r="E8" t="n">
        <v>4</v>
      </c>
      <c r="F8" t="inlineStr">
        <is>
          <t>Headache</t>
        </is>
      </c>
      <c r="G8" s="27" t="n">
        <v>46019.60069444445</v>
      </c>
      <c r="H8" s="27" t="n">
        <v>46019.61875</v>
      </c>
      <c r="I8" s="27" t="n">
        <v>46019.67638888889</v>
      </c>
      <c r="J8" t="inlineStr">
        <is>
          <t>Discharged</t>
        </is>
      </c>
    </row>
    <row r="9">
      <c r="A9" t="inlineStr">
        <is>
          <t>ED211981</t>
        </is>
      </c>
      <c r="B9" t="inlineStr">
        <is>
          <t>PT10495</t>
        </is>
      </c>
      <c r="C9" s="27" t="n">
        <v>46006.52083333334</v>
      </c>
      <c r="D9" t="inlineStr">
        <is>
          <t>Walk-In</t>
        </is>
      </c>
      <c r="E9" t="n">
        <v>4</v>
      </c>
      <c r="F9" t="inlineStr">
        <is>
          <t>Cough / Fever</t>
        </is>
      </c>
      <c r="G9" s="27" t="n">
        <v>46006.52638888889</v>
      </c>
      <c r="H9" s="27" t="n">
        <v>46006.54652777778</v>
      </c>
      <c r="I9" s="27" t="n">
        <v>46006.6375</v>
      </c>
      <c r="J9" t="inlineStr">
        <is>
          <t>Discharged</t>
        </is>
      </c>
    </row>
    <row r="10">
      <c r="A10" t="inlineStr">
        <is>
          <t>ED211739</t>
        </is>
      </c>
      <c r="B10" t="inlineStr">
        <is>
          <t>PT10523</t>
        </is>
      </c>
      <c r="C10" s="27" t="n">
        <v>45994.00208333333</v>
      </c>
      <c r="D10" t="inlineStr">
        <is>
          <t>Ambulance</t>
        </is>
      </c>
      <c r="E10" t="n">
        <v>2</v>
      </c>
      <c r="F10" t="inlineStr">
        <is>
          <t>Shortness of Breath</t>
        </is>
      </c>
      <c r="G10" s="27" t="n">
        <v>45994.00555555556</v>
      </c>
      <c r="H10" s="27" t="n">
        <v>45994.00694444445</v>
      </c>
      <c r="I10" s="27" t="n">
        <v>45994.15277777778</v>
      </c>
      <c r="J10" t="inlineStr">
        <is>
          <t>Discharged</t>
        </is>
      </c>
    </row>
    <row r="11">
      <c r="A11" t="inlineStr">
        <is>
          <t>ED212276</t>
        </is>
      </c>
      <c r="B11" t="inlineStr">
        <is>
          <t>PT10591</t>
        </is>
      </c>
      <c r="C11" s="27" t="n">
        <v>46021.76666666667</v>
      </c>
      <c r="D11" t="inlineStr">
        <is>
          <t>Walk-In</t>
        </is>
      </c>
      <c r="E11" t="n">
        <v>3</v>
      </c>
      <c r="F11" t="inlineStr">
        <is>
          <t>Painful Urination / Fever</t>
        </is>
      </c>
      <c r="G11" s="27" t="n">
        <v>46021.77083333334</v>
      </c>
      <c r="H11" s="27" t="n">
        <v>46021.78819444445</v>
      </c>
      <c r="I11" s="27" t="n">
        <v>46021.90763888889</v>
      </c>
      <c r="J11" t="inlineStr">
        <is>
          <t>Discharged</t>
        </is>
      </c>
    </row>
    <row r="12">
      <c r="A12" t="inlineStr">
        <is>
          <t>ED212183</t>
        </is>
      </c>
      <c r="B12" t="inlineStr">
        <is>
          <t>PT10611</t>
        </is>
      </c>
      <c r="C12" s="27" t="n">
        <v>46016.1</v>
      </c>
      <c r="D12" t="inlineStr">
        <is>
          <t>Ambulance</t>
        </is>
      </c>
      <c r="E12" t="n">
        <v>2</v>
      </c>
      <c r="F12" t="inlineStr">
        <is>
          <t>Cough / Fever</t>
        </is>
      </c>
      <c r="G12" s="27" t="n">
        <v>46016.10555555556</v>
      </c>
      <c r="H12" s="27" t="n">
        <v>46016.10694444444</v>
      </c>
      <c r="I12" s="27" t="n">
        <v>46016.35486111111</v>
      </c>
      <c r="J12" t="inlineStr">
        <is>
          <t>Admitted</t>
        </is>
      </c>
    </row>
    <row r="13">
      <c r="A13" t="inlineStr">
        <is>
          <t>ED211749</t>
        </is>
      </c>
      <c r="B13" t="inlineStr">
        <is>
          <t>PT10668</t>
        </is>
      </c>
      <c r="C13" s="27" t="n">
        <v>45994.56319444445</v>
      </c>
      <c r="D13" t="inlineStr">
        <is>
          <t>Ambulance</t>
        </is>
      </c>
      <c r="E13" t="n">
        <v>1</v>
      </c>
      <c r="F13" t="inlineStr">
        <is>
          <t>Fever / Altered Mental Status</t>
        </is>
      </c>
      <c r="G13" s="27" t="n">
        <v>45994.56458333333</v>
      </c>
      <c r="H13" s="27" t="n">
        <v>45994.56527777778</v>
      </c>
      <c r="I13" s="27" t="n">
        <v>45994.77291666667</v>
      </c>
      <c r="J13" t="inlineStr">
        <is>
          <t>Admitted</t>
        </is>
      </c>
    </row>
    <row r="14">
      <c r="A14" t="inlineStr">
        <is>
          <t>ED211812</t>
        </is>
      </c>
      <c r="B14" t="inlineStr">
        <is>
          <t>PT10721</t>
        </is>
      </c>
      <c r="C14" s="27" t="n">
        <v>45997.6875</v>
      </c>
      <c r="D14" t="inlineStr">
        <is>
          <t>Ambulance</t>
        </is>
      </c>
      <c r="E14" t="n">
        <v>3</v>
      </c>
      <c r="F14" t="inlineStr">
        <is>
          <t>Shortness of Breath</t>
        </is>
      </c>
      <c r="G14" s="27" t="n">
        <v>45997.69861111111</v>
      </c>
      <c r="H14" s="27" t="n">
        <v>45997.71736111111</v>
      </c>
      <c r="I14" s="27" t="n">
        <v>45998.27847222222</v>
      </c>
      <c r="J14" t="inlineStr">
        <is>
          <t>Observation</t>
        </is>
      </c>
    </row>
    <row r="15">
      <c r="A15" t="inlineStr">
        <is>
          <t>ED212089</t>
        </is>
      </c>
      <c r="B15" t="inlineStr">
        <is>
          <t>PT10786</t>
        </is>
      </c>
      <c r="C15" s="27" t="n">
        <v>46011.51041666666</v>
      </c>
      <c r="D15" t="inlineStr">
        <is>
          <t>Walk-In</t>
        </is>
      </c>
      <c r="E15" t="n">
        <v>2</v>
      </c>
      <c r="F15" t="inlineStr">
        <is>
          <t>Painful Urination / Fever</t>
        </is>
      </c>
      <c r="G15" s="27" t="n">
        <v>46011.51527777778</v>
      </c>
      <c r="H15" s="27" t="n">
        <v>46011.51597222222</v>
      </c>
      <c r="I15" s="27" t="n">
        <v>46011.81388888889</v>
      </c>
      <c r="J15" t="inlineStr">
        <is>
          <t>Observation</t>
        </is>
      </c>
    </row>
    <row r="16">
      <c r="A16" t="inlineStr">
        <is>
          <t>ED212195</t>
        </is>
      </c>
      <c r="B16" t="inlineStr">
        <is>
          <t>PT10786</t>
        </is>
      </c>
      <c r="C16" s="27" t="n">
        <v>46016.525</v>
      </c>
      <c r="D16" t="inlineStr">
        <is>
          <t>Walk-In</t>
        </is>
      </c>
      <c r="E16" t="n">
        <v>4</v>
      </c>
      <c r="F16" t="inlineStr">
        <is>
          <t>Anxiety / Palpitations</t>
        </is>
      </c>
      <c r="G16" s="27" t="n">
        <v>46016.53125</v>
      </c>
      <c r="H16" s="27" t="n">
        <v>46016.54375</v>
      </c>
      <c r="I16" s="27" t="n">
        <v>46016.58472222222</v>
      </c>
      <c r="J16" t="inlineStr">
        <is>
          <t>Discharged</t>
        </is>
      </c>
    </row>
    <row r="17">
      <c r="A17" t="inlineStr">
        <is>
          <t>ED211856</t>
        </is>
      </c>
      <c r="B17" t="inlineStr">
        <is>
          <t>PT10815</t>
        </is>
      </c>
      <c r="C17" s="27" t="n">
        <v>45999.85347222222</v>
      </c>
      <c r="D17" t="inlineStr">
        <is>
          <t>Ambulance</t>
        </is>
      </c>
      <c r="E17" t="n">
        <v>1</v>
      </c>
      <c r="F17" t="inlineStr">
        <is>
          <t>Shortness of Breath</t>
        </is>
      </c>
      <c r="G17" s="27" t="n">
        <v>45999.85347222222</v>
      </c>
      <c r="H17" s="27" t="n">
        <v>45999.85486111111</v>
      </c>
      <c r="I17" s="27" t="n">
        <v>46000.03055555555</v>
      </c>
      <c r="J17" t="inlineStr">
        <is>
          <t>Admitted</t>
        </is>
      </c>
    </row>
    <row r="18">
      <c r="A18" t="inlineStr">
        <is>
          <t>ED212264</t>
        </is>
      </c>
      <c r="B18" t="inlineStr">
        <is>
          <t>PT10855</t>
        </is>
      </c>
      <c r="C18" s="27" t="n">
        <v>46020.88541666666</v>
      </c>
      <c r="D18" t="inlineStr">
        <is>
          <t>Walk-In</t>
        </is>
      </c>
      <c r="E18" t="n">
        <v>5</v>
      </c>
      <c r="F18" t="inlineStr">
        <is>
          <t>Cough / Fever</t>
        </is>
      </c>
      <c r="G18" s="27" t="n">
        <v>46020.89027777778</v>
      </c>
      <c r="H18" s="27" t="n">
        <v>46020.93680555555</v>
      </c>
      <c r="I18" s="27" t="n">
        <v>46020.99513888889</v>
      </c>
      <c r="J18" t="inlineStr">
        <is>
          <t>Discharged</t>
        </is>
      </c>
    </row>
    <row r="19">
      <c r="A19" t="inlineStr">
        <is>
          <t>ED211864</t>
        </is>
      </c>
      <c r="B19" t="inlineStr">
        <is>
          <t>PT10886</t>
        </is>
      </c>
      <c r="C19" s="27" t="n">
        <v>46000.38263888889</v>
      </c>
      <c r="D19" t="inlineStr">
        <is>
          <t>Walk-In</t>
        </is>
      </c>
      <c r="E19" t="n">
        <v>2</v>
      </c>
      <c r="F19" t="inlineStr">
        <is>
          <t>Cough / Fever</t>
        </is>
      </c>
      <c r="G19" s="27" t="n">
        <v>46000.38541666666</v>
      </c>
      <c r="H19" s="27" t="n">
        <v>46000.41388888889</v>
      </c>
      <c r="I19" s="27" t="n">
        <v>46000.49583333333</v>
      </c>
      <c r="J19" t="inlineStr">
        <is>
          <t>Discharged</t>
        </is>
      </c>
    </row>
    <row r="20">
      <c r="A20" t="inlineStr">
        <is>
          <t>ED211722</t>
        </is>
      </c>
      <c r="B20" t="inlineStr">
        <is>
          <t>PT10969</t>
        </is>
      </c>
      <c r="C20" s="27" t="n">
        <v>45993.33888888889</v>
      </c>
      <c r="D20" t="inlineStr">
        <is>
          <t>Walk-In</t>
        </is>
      </c>
      <c r="E20" t="n">
        <v>3</v>
      </c>
      <c r="F20" t="inlineStr">
        <is>
          <t>Weakness / Fatigue</t>
        </is>
      </c>
      <c r="G20" s="27" t="n">
        <v>45993.34097222222</v>
      </c>
      <c r="H20" s="27" t="n">
        <v>45993.38958333333</v>
      </c>
      <c r="I20" s="27" t="n">
        <v>45993.63958333333</v>
      </c>
      <c r="J20" t="inlineStr">
        <is>
          <t>Observation</t>
        </is>
      </c>
    </row>
    <row r="21">
      <c r="A21" t="inlineStr">
        <is>
          <t>ED211826</t>
        </is>
      </c>
      <c r="B21" t="inlineStr">
        <is>
          <t>PT10971</t>
        </is>
      </c>
      <c r="C21" s="27" t="n">
        <v>45998.72013888889</v>
      </c>
      <c r="D21" t="inlineStr">
        <is>
          <t>Walk-In</t>
        </is>
      </c>
      <c r="E21" t="n">
        <v>3</v>
      </c>
      <c r="F21" t="inlineStr">
        <is>
          <t>Painful Urination / Fever</t>
        </is>
      </c>
      <c r="G21" s="27" t="n">
        <v>45998.725</v>
      </c>
      <c r="H21" s="27" t="n">
        <v>45998.79236111111</v>
      </c>
      <c r="I21" s="27" t="n">
        <v>45998.92986111111</v>
      </c>
      <c r="J21" t="inlineStr">
        <is>
          <t>Discharged</t>
        </is>
      </c>
    </row>
    <row r="22">
      <c r="A22" t="inlineStr">
        <is>
          <t>ED211922</t>
        </is>
      </c>
      <c r="B22" t="inlineStr">
        <is>
          <t>PT11034</t>
        </is>
      </c>
      <c r="C22" s="27" t="n">
        <v>46003.49722222222</v>
      </c>
      <c r="D22" t="inlineStr">
        <is>
          <t>Ambulance</t>
        </is>
      </c>
      <c r="E22" t="n">
        <v>2</v>
      </c>
      <c r="F22" t="inlineStr">
        <is>
          <t>Cough / Fever</t>
        </is>
      </c>
      <c r="G22" s="27" t="n">
        <v>46003.50069444445</v>
      </c>
      <c r="H22" s="27" t="n">
        <v>46003.53055555555</v>
      </c>
      <c r="I22" s="27" t="n">
        <v>46003.84652777778</v>
      </c>
      <c r="J22" t="inlineStr">
        <is>
          <t>Admitted</t>
        </is>
      </c>
    </row>
    <row r="23">
      <c r="A23" t="inlineStr">
        <is>
          <t>ED212199</t>
        </is>
      </c>
      <c r="B23" t="inlineStr">
        <is>
          <t>PT11068</t>
        </is>
      </c>
      <c r="C23" s="27" t="n">
        <v>46016.62013888889</v>
      </c>
      <c r="D23" t="inlineStr">
        <is>
          <t>Walk-In</t>
        </is>
      </c>
      <c r="E23" t="n">
        <v>5</v>
      </c>
      <c r="F23" t="inlineStr">
        <is>
          <t>Ankle Injury</t>
        </is>
      </c>
      <c r="G23" s="27" t="n">
        <v>46016.63125</v>
      </c>
      <c r="H23" s="27" t="n">
        <v>46016.67013888889</v>
      </c>
      <c r="I23" s="27" t="n">
        <v>46016.72083333333</v>
      </c>
      <c r="J23" t="inlineStr">
        <is>
          <t>Discharged</t>
        </is>
      </c>
    </row>
    <row r="24">
      <c r="A24" t="inlineStr">
        <is>
          <t>ED211988</t>
        </is>
      </c>
      <c r="B24" t="inlineStr">
        <is>
          <t>PT11101</t>
        </is>
      </c>
      <c r="C24" s="27" t="n">
        <v>46006.94791666666</v>
      </c>
      <c r="D24" t="inlineStr">
        <is>
          <t>Ambulance</t>
        </is>
      </c>
      <c r="E24" t="n">
        <v>2</v>
      </c>
      <c r="F24" t="inlineStr">
        <is>
          <t>Shortness of Breath</t>
        </is>
      </c>
      <c r="G24" s="27" t="n">
        <v>46006.95277777778</v>
      </c>
      <c r="H24" s="27" t="n">
        <v>46006.95486111111</v>
      </c>
      <c r="I24" s="27" t="n">
        <v>46007.25416666667</v>
      </c>
      <c r="J24" t="inlineStr">
        <is>
          <t>Observation</t>
        </is>
      </c>
    </row>
    <row r="25">
      <c r="A25" t="inlineStr">
        <is>
          <t>ED211937</t>
        </is>
      </c>
      <c r="B25" t="inlineStr">
        <is>
          <t>PT11115</t>
        </is>
      </c>
      <c r="C25" s="27" t="n">
        <v>46004.24375</v>
      </c>
      <c r="D25" t="inlineStr">
        <is>
          <t>Ambulance</t>
        </is>
      </c>
      <c r="E25" t="n">
        <v>2</v>
      </c>
      <c r="F25" t="inlineStr">
        <is>
          <t>Shortness of Breath</t>
        </is>
      </c>
      <c r="G25" s="27" t="n">
        <v>46004.25347222222</v>
      </c>
      <c r="H25" s="27" t="n">
        <v>46004.25416666667</v>
      </c>
      <c r="I25" s="27" t="n">
        <v>46004.40902777778</v>
      </c>
      <c r="J25" t="inlineStr">
        <is>
          <t>Admitted</t>
        </is>
      </c>
    </row>
    <row r="26">
      <c r="A26" t="inlineStr">
        <is>
          <t>ED211822</t>
        </is>
      </c>
      <c r="B26" t="inlineStr">
        <is>
          <t>PT11122</t>
        </is>
      </c>
      <c r="C26" s="27" t="n">
        <v>45998.40277777778</v>
      </c>
      <c r="D26" t="inlineStr">
        <is>
          <t>Ambulance</t>
        </is>
      </c>
      <c r="E26" t="n">
        <v>2</v>
      </c>
      <c r="F26" t="inlineStr">
        <is>
          <t>Fever / Altered Mental Status</t>
        </is>
      </c>
      <c r="G26" s="27" t="n">
        <v>45998.41388888889</v>
      </c>
      <c r="H26" s="27" t="n">
        <v>45998.41527777778</v>
      </c>
      <c r="I26" s="27" t="n">
        <v>45998.75277777778</v>
      </c>
      <c r="J26" t="inlineStr">
        <is>
          <t>Admitted</t>
        </is>
      </c>
    </row>
    <row r="27">
      <c r="A27" t="inlineStr">
        <is>
          <t>ED211817</t>
        </is>
      </c>
      <c r="B27" t="inlineStr">
        <is>
          <t>PT11149</t>
        </is>
      </c>
      <c r="C27" s="27" t="n">
        <v>45998.05208333334</v>
      </c>
      <c r="D27" t="inlineStr">
        <is>
          <t>Ambulance</t>
        </is>
      </c>
      <c r="E27" t="n">
        <v>2</v>
      </c>
      <c r="F27" t="inlineStr">
        <is>
          <t>Cough / Fever</t>
        </is>
      </c>
      <c r="G27" s="27" t="n">
        <v>45998.05625</v>
      </c>
      <c r="H27" s="27" t="n">
        <v>45998.05694444444</v>
      </c>
      <c r="I27" s="27" t="n">
        <v>45998.21736111111</v>
      </c>
      <c r="J27" t="inlineStr">
        <is>
          <t>Admitted</t>
        </is>
      </c>
    </row>
    <row r="28">
      <c r="A28" t="inlineStr">
        <is>
          <t>ED211708</t>
        </is>
      </c>
      <c r="B28" t="inlineStr">
        <is>
          <t>PT11168</t>
        </is>
      </c>
      <c r="C28" s="27" t="n">
        <v>45992.59166666667</v>
      </c>
      <c r="D28" t="inlineStr">
        <is>
          <t>Walk-In</t>
        </is>
      </c>
      <c r="E28" t="n">
        <v>4</v>
      </c>
      <c r="F28" t="inlineStr">
        <is>
          <t>Cough / Fever</t>
        </is>
      </c>
      <c r="G28" s="27" t="n">
        <v>45992.59583333333</v>
      </c>
      <c r="H28" s="27" t="n">
        <v>45992.62777777778</v>
      </c>
      <c r="I28" s="27" t="n">
        <v>45992.6625</v>
      </c>
      <c r="J28" t="inlineStr">
        <is>
          <t>Discharged</t>
        </is>
      </c>
    </row>
    <row r="29">
      <c r="A29" t="inlineStr">
        <is>
          <t>ED211929</t>
        </is>
      </c>
      <c r="B29" t="inlineStr">
        <is>
          <t>PT11214</t>
        </is>
      </c>
      <c r="C29" s="27" t="n">
        <v>46003.74444444444</v>
      </c>
      <c r="D29" t="inlineStr">
        <is>
          <t>Ambulance</t>
        </is>
      </c>
      <c r="E29" t="n">
        <v>2</v>
      </c>
      <c r="F29" t="inlineStr">
        <is>
          <t>Chest Pain</t>
        </is>
      </c>
      <c r="G29" s="27" t="n">
        <v>46003.74652777778</v>
      </c>
      <c r="H29" s="27" t="n">
        <v>46003.76388888889</v>
      </c>
      <c r="I29" s="27" t="n">
        <v>46004.13958333333</v>
      </c>
      <c r="J29" t="inlineStr">
        <is>
          <t>Admitted</t>
        </is>
      </c>
    </row>
    <row r="30">
      <c r="A30" t="inlineStr">
        <is>
          <t>ED212175</t>
        </is>
      </c>
      <c r="B30" t="inlineStr">
        <is>
          <t>PT11240</t>
        </is>
      </c>
      <c r="C30" s="27" t="n">
        <v>46015.57847222222</v>
      </c>
      <c r="D30" t="inlineStr">
        <is>
          <t>Walk-In</t>
        </is>
      </c>
      <c r="E30" t="n">
        <v>3</v>
      </c>
      <c r="F30" t="inlineStr">
        <is>
          <t>Painful Urination / Fever</t>
        </is>
      </c>
      <c r="G30" s="27" t="n">
        <v>46015.58125</v>
      </c>
      <c r="H30" s="27" t="n">
        <v>46015.64444444444</v>
      </c>
      <c r="I30" s="27" t="n">
        <v>46015.99027777778</v>
      </c>
      <c r="J30" t="inlineStr">
        <is>
          <t>Admitted</t>
        </is>
      </c>
    </row>
    <row r="31">
      <c r="A31" t="inlineStr">
        <is>
          <t>ED212201</t>
        </is>
      </c>
      <c r="B31" t="inlineStr">
        <is>
          <t>PT11246</t>
        </is>
      </c>
      <c r="C31" s="27" t="n">
        <v>46016.66527777778</v>
      </c>
      <c r="D31" t="inlineStr">
        <is>
          <t>Walk-In</t>
        </is>
      </c>
      <c r="E31" t="n">
        <v>3</v>
      </c>
      <c r="F31" t="inlineStr">
        <is>
          <t>Shortness of Breath</t>
        </is>
      </c>
      <c r="G31" s="27" t="n">
        <v>46016.67013888889</v>
      </c>
      <c r="H31" s="27" t="n">
        <v>46016.72013888889</v>
      </c>
      <c r="I31" s="27" t="n">
        <v>46017.02361111111</v>
      </c>
      <c r="J31" t="inlineStr">
        <is>
          <t>Observation</t>
        </is>
      </c>
    </row>
    <row r="32">
      <c r="A32" t="inlineStr">
        <is>
          <t>ED211715</t>
        </is>
      </c>
      <c r="B32" t="inlineStr">
        <is>
          <t>PT11247</t>
        </is>
      </c>
      <c r="C32" s="27" t="n">
        <v>45992.84583333333</v>
      </c>
      <c r="D32" t="inlineStr">
        <is>
          <t>Ambulance</t>
        </is>
      </c>
      <c r="E32" t="n">
        <v>2</v>
      </c>
      <c r="F32" t="inlineStr">
        <is>
          <t>Cough / Fever</t>
        </is>
      </c>
      <c r="G32" s="27" t="n">
        <v>45992.85625</v>
      </c>
      <c r="H32" s="27" t="n">
        <v>45992.86597222222</v>
      </c>
      <c r="I32" s="27" t="n">
        <v>45993.11319444444</v>
      </c>
      <c r="J32" t="inlineStr">
        <is>
          <t>Observation</t>
        </is>
      </c>
    </row>
    <row r="33">
      <c r="A33" t="inlineStr">
        <is>
          <t>ED212233</t>
        </is>
      </c>
      <c r="B33" t="inlineStr">
        <is>
          <t>PT11427</t>
        </is>
      </c>
      <c r="C33" s="27" t="n">
        <v>46018.62361111111</v>
      </c>
      <c r="D33" t="inlineStr">
        <is>
          <t>Walk-In</t>
        </is>
      </c>
      <c r="E33" t="n">
        <v>3</v>
      </c>
      <c r="F33" t="inlineStr">
        <is>
          <t>Back Pain</t>
        </is>
      </c>
      <c r="G33" s="27" t="n">
        <v>46018.62916666667</v>
      </c>
      <c r="H33" s="27" t="n">
        <v>46018.65208333333</v>
      </c>
      <c r="I33" s="27" t="n">
        <v>46018.77986111111</v>
      </c>
      <c r="J33" t="inlineStr">
        <is>
          <t>Observation</t>
        </is>
      </c>
    </row>
    <row r="34">
      <c r="A34" t="inlineStr">
        <is>
          <t>ED212275</t>
        </is>
      </c>
      <c r="B34" t="inlineStr">
        <is>
          <t>PT11452</t>
        </is>
      </c>
      <c r="C34" s="27" t="n">
        <v>46021.72222222222</v>
      </c>
      <c r="D34" t="inlineStr">
        <is>
          <t>Walk-In</t>
        </is>
      </c>
      <c r="E34" t="n">
        <v>3</v>
      </c>
      <c r="F34" t="inlineStr">
        <is>
          <t>Rash</t>
        </is>
      </c>
      <c r="G34" s="27" t="n">
        <v>46021.72638888889</v>
      </c>
      <c r="H34" s="27" t="n">
        <v>46021.76041666666</v>
      </c>
      <c r="I34" s="27" t="n">
        <v>46021.88958333333</v>
      </c>
      <c r="J34" t="inlineStr">
        <is>
          <t>Discharged</t>
        </is>
      </c>
    </row>
    <row r="35">
      <c r="A35" t="inlineStr">
        <is>
          <t>ED211945</t>
        </is>
      </c>
      <c r="B35" t="inlineStr">
        <is>
          <t>PT11518</t>
        </is>
      </c>
      <c r="C35" s="27" t="n">
        <v>46004.63194444445</v>
      </c>
      <c r="D35" t="inlineStr">
        <is>
          <t>Walk-In</t>
        </is>
      </c>
      <c r="E35" t="n">
        <v>3</v>
      </c>
      <c r="F35" t="inlineStr">
        <is>
          <t>Vomiting / Diarrhea</t>
        </is>
      </c>
      <c r="G35" s="27" t="n">
        <v>46004.63472222222</v>
      </c>
      <c r="H35" s="27" t="n">
        <v>46004.67916666667</v>
      </c>
      <c r="I35" s="27" t="n">
        <v>46004.80555555555</v>
      </c>
      <c r="J35" t="inlineStr">
        <is>
          <t>Discharged</t>
        </is>
      </c>
    </row>
    <row r="36">
      <c r="A36" t="inlineStr">
        <is>
          <t>ED212118</t>
        </is>
      </c>
      <c r="B36" t="inlineStr">
        <is>
          <t>PT11542</t>
        </is>
      </c>
      <c r="C36" s="27" t="n">
        <v>46013.27569444444</v>
      </c>
      <c r="D36" t="inlineStr">
        <is>
          <t>Walk-In</t>
        </is>
      </c>
      <c r="E36" t="n">
        <v>4</v>
      </c>
      <c r="F36" t="inlineStr">
        <is>
          <t>Painful Urination / Fever</t>
        </is>
      </c>
      <c r="G36" s="27" t="n">
        <v>46013.28402777778</v>
      </c>
      <c r="H36" s="27" t="n">
        <v>46013.35</v>
      </c>
      <c r="I36" s="27" t="n">
        <v>46013.43263888889</v>
      </c>
      <c r="J36" t="inlineStr">
        <is>
          <t>Discharged</t>
        </is>
      </c>
    </row>
    <row r="37">
      <c r="A37" t="inlineStr">
        <is>
          <t>ED211943</t>
        </is>
      </c>
      <c r="B37" t="inlineStr">
        <is>
          <t>PT11548</t>
        </is>
      </c>
      <c r="C37" s="27" t="n">
        <v>46004.5375</v>
      </c>
      <c r="D37" t="inlineStr">
        <is>
          <t>Walk-In</t>
        </is>
      </c>
      <c r="E37" t="n">
        <v>3</v>
      </c>
      <c r="F37" t="inlineStr">
        <is>
          <t>Headache</t>
        </is>
      </c>
      <c r="G37" s="27" t="n">
        <v>46004.54236111111</v>
      </c>
      <c r="H37" s="27" t="n">
        <v>46004.56111111111</v>
      </c>
      <c r="I37" s="27" t="n">
        <v>46004.70694444444</v>
      </c>
      <c r="J37" t="inlineStr">
        <is>
          <t>Discharged</t>
        </is>
      </c>
    </row>
    <row r="38">
      <c r="A38" t="inlineStr">
        <is>
          <t>ED211735</t>
        </is>
      </c>
      <c r="B38" t="inlineStr">
        <is>
          <t>PT11673</t>
        </is>
      </c>
      <c r="C38" s="27" t="n">
        <v>45993.775</v>
      </c>
      <c r="D38" t="inlineStr">
        <is>
          <t>Walk-In</t>
        </is>
      </c>
      <c r="E38" t="n">
        <v>5</v>
      </c>
      <c r="F38" t="inlineStr">
        <is>
          <t>Cough / Fever</t>
        </is>
      </c>
      <c r="G38" s="27" t="n">
        <v>45993.78333333333</v>
      </c>
      <c r="H38" s="27" t="n">
        <v>45993.81527777778</v>
      </c>
      <c r="I38" s="27" t="n">
        <v>45993.88055555556</v>
      </c>
      <c r="J38" t="inlineStr">
        <is>
          <t>Left AMA</t>
        </is>
      </c>
    </row>
    <row r="39">
      <c r="A39" t="inlineStr">
        <is>
          <t>ED212122</t>
        </is>
      </c>
      <c r="B39" t="inlineStr">
        <is>
          <t>PT11720</t>
        </is>
      </c>
      <c r="C39" s="27" t="n">
        <v>46013.49513888889</v>
      </c>
      <c r="D39" t="inlineStr">
        <is>
          <t>Ambulance</t>
        </is>
      </c>
      <c r="E39" t="n">
        <v>2</v>
      </c>
      <c r="F39" t="inlineStr">
        <is>
          <t>Fall / Hip Pain</t>
        </is>
      </c>
      <c r="G39" s="27" t="n">
        <v>46013.49722222222</v>
      </c>
      <c r="H39" s="27" t="n">
        <v>46013.51597222222</v>
      </c>
      <c r="I39" s="27" t="n">
        <v>46013.78680555556</v>
      </c>
      <c r="J39" t="inlineStr">
        <is>
          <t>Admitted</t>
        </is>
      </c>
    </row>
    <row r="40">
      <c r="A40" t="inlineStr">
        <is>
          <t>ED211972</t>
        </is>
      </c>
      <c r="B40" t="inlineStr">
        <is>
          <t>PT11727</t>
        </is>
      </c>
      <c r="C40" s="27" t="n">
        <v>46006.34444444445</v>
      </c>
      <c r="D40" t="inlineStr">
        <is>
          <t>Ambulance</t>
        </is>
      </c>
      <c r="E40" t="n">
        <v>2</v>
      </c>
      <c r="F40" t="inlineStr">
        <is>
          <t>Cough / Fever</t>
        </is>
      </c>
      <c r="G40" s="27" t="n">
        <v>46006.34722222222</v>
      </c>
      <c r="H40" s="27" t="n">
        <v>46006.35208333333</v>
      </c>
      <c r="I40" s="27" t="n">
        <v>46006.51875</v>
      </c>
      <c r="J40" t="inlineStr">
        <is>
          <t>Discharged</t>
        </is>
      </c>
    </row>
    <row r="41">
      <c r="A41" t="inlineStr">
        <is>
          <t>ED212214</t>
        </is>
      </c>
      <c r="B41" t="inlineStr">
        <is>
          <t>PT11783</t>
        </is>
      </c>
      <c r="C41" s="27" t="n">
        <v>46017.37569444445</v>
      </c>
      <c r="D41" t="inlineStr">
        <is>
          <t>Walk-In</t>
        </is>
      </c>
      <c r="E41" t="n">
        <v>4</v>
      </c>
      <c r="F41" t="inlineStr">
        <is>
          <t>Cough / Fever</t>
        </is>
      </c>
      <c r="G41" s="27" t="n">
        <v>46017.38194444445</v>
      </c>
      <c r="H41" s="27" t="n">
        <v>46017.40972222222</v>
      </c>
      <c r="I41" s="27" t="n">
        <v>46017.47777777778</v>
      </c>
      <c r="J41" t="inlineStr">
        <is>
          <t>Discharged</t>
        </is>
      </c>
    </row>
    <row r="42">
      <c r="A42" t="inlineStr">
        <is>
          <t>ED211886</t>
        </is>
      </c>
      <c r="B42" t="inlineStr">
        <is>
          <t>PT11816</t>
        </is>
      </c>
      <c r="C42" s="27" t="n">
        <v>46001.32847222222</v>
      </c>
      <c r="D42" t="inlineStr">
        <is>
          <t>Ambulance</t>
        </is>
      </c>
      <c r="E42" t="n">
        <v>2</v>
      </c>
      <c r="F42" t="inlineStr">
        <is>
          <t>Shortness of Breath</t>
        </is>
      </c>
      <c r="G42" s="27" t="n">
        <v>46001.33333333334</v>
      </c>
      <c r="H42" s="27" t="n">
        <v>46001.33402777778</v>
      </c>
      <c r="I42" s="27" t="n">
        <v>46001.59375</v>
      </c>
      <c r="J42" t="inlineStr">
        <is>
          <t>Admitted</t>
        </is>
      </c>
    </row>
    <row r="43">
      <c r="A43" t="inlineStr">
        <is>
          <t>ED211827</t>
        </is>
      </c>
      <c r="B43" t="inlineStr">
        <is>
          <t>PT11968</t>
        </is>
      </c>
      <c r="C43" s="27" t="n">
        <v>45998.75555555556</v>
      </c>
      <c r="D43" t="inlineStr">
        <is>
          <t>Walk-In</t>
        </is>
      </c>
      <c r="E43" t="n">
        <v>3</v>
      </c>
      <c r="F43" t="inlineStr">
        <is>
          <t>Cough / Fever</t>
        </is>
      </c>
      <c r="G43" s="27" t="n">
        <v>45998.76527777778</v>
      </c>
      <c r="H43" s="27" t="n">
        <v>45998.76597222222</v>
      </c>
      <c r="I43" s="27" t="n">
        <v>45998.88472222222</v>
      </c>
      <c r="J43" t="inlineStr">
        <is>
          <t>Admitted</t>
        </is>
      </c>
    </row>
    <row r="44">
      <c r="A44" t="inlineStr">
        <is>
          <t>ED211919</t>
        </is>
      </c>
      <c r="B44" t="inlineStr">
        <is>
          <t>PT11968</t>
        </is>
      </c>
      <c r="C44" s="27" t="n">
        <v>46003.28333333333</v>
      </c>
      <c r="D44" t="inlineStr">
        <is>
          <t>Walk-In</t>
        </is>
      </c>
      <c r="E44" t="n">
        <v>3</v>
      </c>
      <c r="F44" t="inlineStr">
        <is>
          <t>Painful Urination / Fever</t>
        </is>
      </c>
      <c r="G44" s="27" t="n">
        <v>46003.29027777778</v>
      </c>
      <c r="H44" s="27" t="n">
        <v>46003.30625</v>
      </c>
      <c r="I44" s="27" t="n">
        <v>46003.46527777778</v>
      </c>
      <c r="J44" t="inlineStr">
        <is>
          <t>Admitted</t>
        </is>
      </c>
    </row>
    <row r="45">
      <c r="A45" t="inlineStr">
        <is>
          <t>ED212010</t>
        </is>
      </c>
      <c r="B45" t="inlineStr">
        <is>
          <t>PT11977</t>
        </is>
      </c>
      <c r="C45" s="27" t="n">
        <v>46007.77708333333</v>
      </c>
      <c r="D45" t="inlineStr">
        <is>
          <t>Ambulance</t>
        </is>
      </c>
      <c r="E45" t="n">
        <v>2</v>
      </c>
      <c r="F45" t="inlineStr">
        <is>
          <t>Bloody Stool / Vomiting Blood</t>
        </is>
      </c>
      <c r="G45" s="27" t="n">
        <v>46007.79444444444</v>
      </c>
      <c r="H45" s="27" t="n">
        <v>46007.81180555555</v>
      </c>
      <c r="I45" s="27" t="n">
        <v>46007.98888888889</v>
      </c>
      <c r="J45" t="inlineStr">
        <is>
          <t>Admitted</t>
        </is>
      </c>
    </row>
    <row r="46">
      <c r="A46" t="inlineStr">
        <is>
          <t>ED211897</t>
        </is>
      </c>
      <c r="B46" t="inlineStr">
        <is>
          <t>PT12024</t>
        </is>
      </c>
      <c r="C46" s="27" t="n">
        <v>46001.67569444444</v>
      </c>
      <c r="D46" t="inlineStr">
        <is>
          <t>Walk-In</t>
        </is>
      </c>
      <c r="E46" t="n">
        <v>2</v>
      </c>
      <c r="F46" t="inlineStr">
        <is>
          <t>Laceration</t>
        </is>
      </c>
      <c r="G46" s="27" t="n">
        <v>46001.68263888889</v>
      </c>
      <c r="H46" s="27" t="n">
        <v>46001.70277777778</v>
      </c>
      <c r="I46" s="27" t="n">
        <v>46001.88541666666</v>
      </c>
      <c r="J46" t="inlineStr">
        <is>
          <t>Observation</t>
        </is>
      </c>
    </row>
    <row r="47">
      <c r="A47" t="inlineStr">
        <is>
          <t>ED212029</t>
        </is>
      </c>
      <c r="B47" t="inlineStr">
        <is>
          <t>PT12026</t>
        </is>
      </c>
      <c r="C47" s="27" t="n">
        <v>46008.67013888889</v>
      </c>
      <c r="D47" t="inlineStr">
        <is>
          <t>Walk-In</t>
        </is>
      </c>
      <c r="E47" t="n">
        <v>3</v>
      </c>
      <c r="F47" t="inlineStr">
        <is>
          <t>Skin Redness / Swelling</t>
        </is>
      </c>
      <c r="G47" s="27" t="n">
        <v>46008.67361111111</v>
      </c>
      <c r="H47" s="27" t="n">
        <v>46008.73194444444</v>
      </c>
      <c r="I47" s="27" t="n">
        <v>46008.83819444444</v>
      </c>
      <c r="J47" t="inlineStr">
        <is>
          <t>Observation</t>
        </is>
      </c>
    </row>
    <row r="48">
      <c r="A48" t="inlineStr">
        <is>
          <t>ED212272</t>
        </is>
      </c>
      <c r="B48" t="inlineStr">
        <is>
          <t>PT12054</t>
        </is>
      </c>
      <c r="C48" s="27" t="n">
        <v>46021.48055555556</v>
      </c>
      <c r="D48" t="inlineStr">
        <is>
          <t>Walk-In</t>
        </is>
      </c>
      <c r="E48" t="n">
        <v>3</v>
      </c>
      <c r="F48" t="inlineStr">
        <is>
          <t>Cough / Fever</t>
        </is>
      </c>
      <c r="G48" s="27" t="n">
        <v>46021.48472222222</v>
      </c>
      <c r="H48" s="27" t="n">
        <v>46021.53263888889</v>
      </c>
      <c r="I48" s="27" t="n">
        <v>46021.61527777778</v>
      </c>
      <c r="J48" t="inlineStr">
        <is>
          <t>Discharged</t>
        </is>
      </c>
    </row>
    <row r="49">
      <c r="A49" t="inlineStr">
        <is>
          <t>ED212009</t>
        </is>
      </c>
      <c r="B49" t="inlineStr">
        <is>
          <t>PT12159</t>
        </is>
      </c>
      <c r="C49" s="27" t="n">
        <v>46007.76736111111</v>
      </c>
      <c r="D49" t="inlineStr">
        <is>
          <t>Walk-In</t>
        </is>
      </c>
      <c r="E49" t="n">
        <v>3</v>
      </c>
      <c r="F49" t="inlineStr">
        <is>
          <t>Shortness of Breath</t>
        </is>
      </c>
      <c r="G49" s="27" t="n">
        <v>46007.76875</v>
      </c>
      <c r="H49" s="27" t="n">
        <v>46007.78819444445</v>
      </c>
      <c r="I49" s="27" t="n">
        <v>46007.94097222222</v>
      </c>
      <c r="J49" t="inlineStr">
        <is>
          <t>Admitted</t>
        </is>
      </c>
    </row>
    <row r="50">
      <c r="A50" t="inlineStr">
        <is>
          <t>ED212257</t>
        </is>
      </c>
      <c r="B50" t="inlineStr">
        <is>
          <t>PT12166</t>
        </is>
      </c>
      <c r="C50" s="27" t="n">
        <v>46020.66388888889</v>
      </c>
      <c r="D50" t="inlineStr">
        <is>
          <t>Walk-In</t>
        </is>
      </c>
      <c r="E50" t="n">
        <v>4</v>
      </c>
      <c r="F50" t="inlineStr">
        <is>
          <t>Headache</t>
        </is>
      </c>
      <c r="G50" s="27" t="n">
        <v>46020.67013888889</v>
      </c>
      <c r="H50" s="27" t="n">
        <v>46020.71180555555</v>
      </c>
      <c r="I50" s="27" t="n">
        <v>46020.79861111111</v>
      </c>
      <c r="J50" t="inlineStr">
        <is>
          <t>Discharged</t>
        </is>
      </c>
    </row>
    <row r="51">
      <c r="A51" t="inlineStr">
        <is>
          <t>ED211711</t>
        </is>
      </c>
      <c r="B51" t="inlineStr">
        <is>
          <t>PT12187</t>
        </is>
      </c>
      <c r="C51" s="27" t="n">
        <v>45992.74791666667</v>
      </c>
      <c r="D51" t="inlineStr">
        <is>
          <t>Walk-In</t>
        </is>
      </c>
      <c r="E51" t="n">
        <v>3</v>
      </c>
      <c r="F51" t="inlineStr">
        <is>
          <t>Headache</t>
        </is>
      </c>
      <c r="G51" s="27" t="n">
        <v>45992.75625</v>
      </c>
      <c r="H51" s="27" t="n">
        <v>45992.82083333333</v>
      </c>
      <c r="I51" s="27" t="n">
        <v>45992.90625</v>
      </c>
      <c r="J51" t="inlineStr">
        <is>
          <t>Discharged</t>
        </is>
      </c>
    </row>
    <row r="52">
      <c r="A52" t="inlineStr">
        <is>
          <t>ED212041</t>
        </is>
      </c>
      <c r="B52" t="inlineStr">
        <is>
          <t>PT12210</t>
        </is>
      </c>
      <c r="C52" s="27" t="n">
        <v>46009.04722222222</v>
      </c>
      <c r="D52" t="inlineStr">
        <is>
          <t>Ambulance</t>
        </is>
      </c>
      <c r="E52" t="n">
        <v>2</v>
      </c>
      <c r="F52" t="inlineStr">
        <is>
          <t>Abdominal Pain</t>
        </is>
      </c>
      <c r="G52" s="27" t="n">
        <v>46009.05763888889</v>
      </c>
      <c r="H52" s="27" t="n">
        <v>46009.06180555555</v>
      </c>
      <c r="I52" s="27" t="n">
        <v>46009.18819444445</v>
      </c>
      <c r="J52" t="inlineStr">
        <is>
          <t>Discharged</t>
        </is>
      </c>
    </row>
    <row r="53">
      <c r="A53" t="inlineStr">
        <is>
          <t>ED212131</t>
        </is>
      </c>
      <c r="B53" t="inlineStr">
        <is>
          <t>PT12274</t>
        </is>
      </c>
      <c r="C53" s="27" t="n">
        <v>46013.71180555555</v>
      </c>
      <c r="D53" t="inlineStr">
        <is>
          <t>Walk-In</t>
        </is>
      </c>
      <c r="E53" t="n">
        <v>3</v>
      </c>
      <c r="F53" t="inlineStr">
        <is>
          <t>Chest Pain</t>
        </is>
      </c>
      <c r="G53" s="27" t="n">
        <v>46013.72430555556</v>
      </c>
      <c r="H53" s="27" t="n">
        <v>46013.75972222222</v>
      </c>
      <c r="I53" s="27" t="n">
        <v>46013.84652777778</v>
      </c>
      <c r="J53" t="inlineStr">
        <is>
          <t>Discharged</t>
        </is>
      </c>
    </row>
    <row r="54">
      <c r="A54" t="inlineStr">
        <is>
          <t>ED211730</t>
        </is>
      </c>
      <c r="B54" t="inlineStr">
        <is>
          <t>PT12307</t>
        </is>
      </c>
      <c r="C54" s="27" t="n">
        <v>45993.67083333333</v>
      </c>
      <c r="D54" t="inlineStr">
        <is>
          <t>Walk-In</t>
        </is>
      </c>
      <c r="E54" t="n">
        <v>5</v>
      </c>
      <c r="F54" t="inlineStr">
        <is>
          <t>Cough / Fever</t>
        </is>
      </c>
      <c r="G54" s="27" t="n">
        <v>45993.68402777778</v>
      </c>
      <c r="H54" s="27" t="n">
        <v>45993.74236111111</v>
      </c>
      <c r="I54" s="27" t="n">
        <v>45993.78055555555</v>
      </c>
      <c r="J54" t="inlineStr">
        <is>
          <t>Discharged</t>
        </is>
      </c>
    </row>
    <row r="55">
      <c r="A55" t="inlineStr">
        <is>
          <t>ED212079</t>
        </is>
      </c>
      <c r="B55" t="inlineStr">
        <is>
          <t>PT12325</t>
        </is>
      </c>
      <c r="C55" s="27" t="n">
        <v>46010.80902777778</v>
      </c>
      <c r="D55" t="inlineStr">
        <is>
          <t>Walk-In</t>
        </is>
      </c>
      <c r="E55" t="n">
        <v>3</v>
      </c>
      <c r="F55" t="inlineStr">
        <is>
          <t>Fall / Hip Pain</t>
        </is>
      </c>
      <c r="G55" s="27" t="n">
        <v>46010.8125</v>
      </c>
      <c r="H55" s="27" t="n">
        <v>46010.87361111111</v>
      </c>
      <c r="I55" s="27" t="n">
        <v>46011.19652777778</v>
      </c>
      <c r="J55" t="inlineStr">
        <is>
          <t>Admitted</t>
        </is>
      </c>
    </row>
    <row r="56">
      <c r="A56" t="inlineStr">
        <is>
          <t>ED212185</t>
        </is>
      </c>
      <c r="B56" t="inlineStr">
        <is>
          <t>PT12362</t>
        </is>
      </c>
      <c r="C56" s="27" t="n">
        <v>46016.23888888889</v>
      </c>
      <c r="D56" t="inlineStr">
        <is>
          <t>Walk-In</t>
        </is>
      </c>
      <c r="E56" t="n">
        <v>5</v>
      </c>
      <c r="F56" t="inlineStr">
        <is>
          <t>Nausea</t>
        </is>
      </c>
      <c r="G56" s="27" t="n">
        <v>46016.24444444444</v>
      </c>
      <c r="H56" s="27" t="n">
        <v>46016.26805555556</v>
      </c>
      <c r="I56" s="27" t="n">
        <v>46016.29652777778</v>
      </c>
      <c r="J56" t="inlineStr">
        <is>
          <t>Discharged</t>
        </is>
      </c>
    </row>
    <row r="57">
      <c r="A57" t="inlineStr">
        <is>
          <t>ED212164</t>
        </is>
      </c>
      <c r="B57" t="inlineStr">
        <is>
          <t>PT12399</t>
        </is>
      </c>
      <c r="C57" s="27" t="n">
        <v>46014.87638888889</v>
      </c>
      <c r="D57" t="inlineStr">
        <is>
          <t>Walk-In</t>
        </is>
      </c>
      <c r="E57" t="n">
        <v>3</v>
      </c>
      <c r="F57" t="inlineStr">
        <is>
          <t>Painful Urination / Fever</t>
        </is>
      </c>
      <c r="G57" s="27" t="n">
        <v>46014.88263888889</v>
      </c>
      <c r="H57" s="27" t="n">
        <v>46014.92430555556</v>
      </c>
      <c r="I57" s="27" t="n">
        <v>46015.19097222222</v>
      </c>
      <c r="J57" t="inlineStr">
        <is>
          <t>Admitted</t>
        </is>
      </c>
    </row>
    <row r="58">
      <c r="A58" t="inlineStr">
        <is>
          <t>ED211949</t>
        </is>
      </c>
      <c r="B58" t="inlineStr">
        <is>
          <t>PT12426</t>
        </is>
      </c>
      <c r="C58" s="27" t="n">
        <v>46004.79097222222</v>
      </c>
      <c r="D58" t="inlineStr">
        <is>
          <t>Walk-In</t>
        </is>
      </c>
      <c r="E58" t="n">
        <v>4</v>
      </c>
      <c r="F58" t="inlineStr">
        <is>
          <t>Cough / Fever</t>
        </is>
      </c>
      <c r="G58" s="27" t="n">
        <v>46004.79583333333</v>
      </c>
      <c r="H58" s="27" t="n">
        <v>46004.8125</v>
      </c>
      <c r="I58" s="27" t="n">
        <v>46004.86736111111</v>
      </c>
      <c r="J58" t="inlineStr">
        <is>
          <t>Discharged</t>
        </is>
      </c>
    </row>
    <row r="59">
      <c r="A59" t="inlineStr">
        <is>
          <t>ED211866</t>
        </is>
      </c>
      <c r="B59" t="inlineStr">
        <is>
          <t>PT12454</t>
        </is>
      </c>
      <c r="C59" s="27" t="n">
        <v>46000.40277777778</v>
      </c>
      <c r="D59" t="inlineStr">
        <is>
          <t>Walk-In</t>
        </is>
      </c>
      <c r="E59" t="n">
        <v>3</v>
      </c>
      <c r="F59" t="inlineStr">
        <is>
          <t>Abdominal Pain</t>
        </is>
      </c>
      <c r="G59" s="27" t="n">
        <v>46000.41805555556</v>
      </c>
      <c r="H59" s="27" t="n">
        <v>46000.42986111111</v>
      </c>
      <c r="I59" s="27" t="n">
        <v>46000.70347222222</v>
      </c>
      <c r="J59" t="inlineStr">
        <is>
          <t>Admitted</t>
        </is>
      </c>
    </row>
    <row r="60">
      <c r="A60" t="inlineStr">
        <is>
          <t>ED212105</t>
        </is>
      </c>
      <c r="B60" t="inlineStr">
        <is>
          <t>PT12464</t>
        </is>
      </c>
      <c r="C60" s="27" t="n">
        <v>46012.48888888889</v>
      </c>
      <c r="D60" t="inlineStr">
        <is>
          <t>Walk-In</t>
        </is>
      </c>
      <c r="E60" t="n">
        <v>4</v>
      </c>
      <c r="F60" t="inlineStr">
        <is>
          <t>Skin Redness / Swelling</t>
        </is>
      </c>
      <c r="G60" s="27" t="n">
        <v>46012.49861111111</v>
      </c>
      <c r="H60" s="27" t="n">
        <v>46012.55416666667</v>
      </c>
      <c r="I60" s="27" t="n">
        <v>46012.78888888889</v>
      </c>
      <c r="J60" t="inlineStr">
        <is>
          <t>Admitted</t>
        </is>
      </c>
    </row>
    <row r="61">
      <c r="A61" t="inlineStr">
        <is>
          <t>ED211825</t>
        </is>
      </c>
      <c r="B61" t="inlineStr">
        <is>
          <t>PT12485</t>
        </is>
      </c>
      <c r="C61" s="27" t="n">
        <v>45998.61875</v>
      </c>
      <c r="D61" t="inlineStr">
        <is>
          <t>Walk-In</t>
        </is>
      </c>
      <c r="E61" t="n">
        <v>5</v>
      </c>
      <c r="F61" t="inlineStr">
        <is>
          <t>Head Injury</t>
        </is>
      </c>
      <c r="G61" s="27" t="n">
        <v>45998.62222222222</v>
      </c>
      <c r="H61" s="27" t="n">
        <v>45998.66597222222</v>
      </c>
      <c r="I61" s="27" t="n">
        <v>45998.70138888889</v>
      </c>
      <c r="J61" t="inlineStr">
        <is>
          <t>Discharged</t>
        </is>
      </c>
    </row>
    <row r="62">
      <c r="A62" t="inlineStr">
        <is>
          <t>ED212239</t>
        </is>
      </c>
      <c r="B62" t="inlineStr">
        <is>
          <t>PT12485</t>
        </is>
      </c>
      <c r="C62" s="27" t="n">
        <v>46019.37430555555</v>
      </c>
      <c r="D62" t="inlineStr">
        <is>
          <t>Walk-In</t>
        </is>
      </c>
      <c r="E62" t="n">
        <v>4</v>
      </c>
      <c r="F62" t="inlineStr">
        <is>
          <t>Fall</t>
        </is>
      </c>
      <c r="G62" s="27" t="n">
        <v>46019.38611111111</v>
      </c>
      <c r="H62" s="27" t="n">
        <v>46019.43819444445</v>
      </c>
      <c r="I62" s="27" t="n">
        <v>46019.59027777778</v>
      </c>
      <c r="J62" t="inlineStr">
        <is>
          <t>Observation</t>
        </is>
      </c>
    </row>
    <row r="63">
      <c r="A63" t="inlineStr">
        <is>
          <t>ED211960</t>
        </is>
      </c>
      <c r="B63" t="inlineStr">
        <is>
          <t>PT12544</t>
        </is>
      </c>
      <c r="C63" s="27" t="n">
        <v>46005.71666666667</v>
      </c>
      <c r="D63" t="inlineStr">
        <is>
          <t>Walk-In</t>
        </is>
      </c>
      <c r="E63" t="n">
        <v>3</v>
      </c>
      <c r="F63" t="inlineStr">
        <is>
          <t>Chest Pain</t>
        </is>
      </c>
      <c r="G63" s="27" t="n">
        <v>46005.72638888889</v>
      </c>
      <c r="H63" s="27" t="n">
        <v>46005.78541666667</v>
      </c>
      <c r="I63" s="27" t="n">
        <v>46005.94791666666</v>
      </c>
      <c r="J63" t="inlineStr">
        <is>
          <t>Discharged</t>
        </is>
      </c>
    </row>
    <row r="64">
      <c r="A64" t="inlineStr">
        <is>
          <t>ED212198</t>
        </is>
      </c>
      <c r="B64" t="inlineStr">
        <is>
          <t>PT12586</t>
        </is>
      </c>
      <c r="C64" s="27" t="n">
        <v>46016.61944444444</v>
      </c>
      <c r="D64" t="inlineStr">
        <is>
          <t>Walk-In</t>
        </is>
      </c>
      <c r="E64" t="n">
        <v>4</v>
      </c>
      <c r="F64" t="inlineStr">
        <is>
          <t>Vomiting / Dizziness</t>
        </is>
      </c>
      <c r="G64" s="27" t="n">
        <v>46016.62291666667</v>
      </c>
      <c r="H64" s="27" t="n">
        <v>46016.73055555556</v>
      </c>
      <c r="I64" s="27" t="n">
        <v>46017.02083333334</v>
      </c>
      <c r="J64" t="inlineStr">
        <is>
          <t>Observation</t>
        </is>
      </c>
    </row>
    <row r="65">
      <c r="A65" t="inlineStr">
        <is>
          <t>ED212161</t>
        </is>
      </c>
      <c r="B65" t="inlineStr">
        <is>
          <t>PT12635</t>
        </is>
      </c>
      <c r="C65" s="27" t="n">
        <v>46014.85347222222</v>
      </c>
      <c r="D65" t="inlineStr">
        <is>
          <t>Walk-In</t>
        </is>
      </c>
      <c r="E65" t="n">
        <v>4</v>
      </c>
      <c r="F65" t="inlineStr">
        <is>
          <t>Rash</t>
        </is>
      </c>
      <c r="G65" s="27" t="n">
        <v>46014.85833333333</v>
      </c>
      <c r="H65" s="27" t="n">
        <v>46014.96944444445</v>
      </c>
      <c r="I65" s="27" t="n">
        <v>46015.05972222222</v>
      </c>
      <c r="J65" t="inlineStr">
        <is>
          <t>Discharged</t>
        </is>
      </c>
    </row>
    <row r="66">
      <c r="A66" t="inlineStr">
        <is>
          <t>ED212103</t>
        </is>
      </c>
      <c r="B66" t="inlineStr">
        <is>
          <t>PT12649</t>
        </is>
      </c>
      <c r="C66" s="27" t="n">
        <v>46012.3875</v>
      </c>
      <c r="D66" t="inlineStr">
        <is>
          <t>Walk-In</t>
        </is>
      </c>
      <c r="E66" t="n">
        <v>4</v>
      </c>
      <c r="F66" t="inlineStr">
        <is>
          <t>Headache</t>
        </is>
      </c>
      <c r="G66" s="27" t="n">
        <v>46012.39166666667</v>
      </c>
      <c r="H66" s="27" t="n">
        <v>46012.42916666667</v>
      </c>
      <c r="I66" s="27" t="n">
        <v>46012.47291666667</v>
      </c>
      <c r="J66" t="inlineStr">
        <is>
          <t>Discharged</t>
        </is>
      </c>
    </row>
    <row r="67">
      <c r="A67" t="inlineStr">
        <is>
          <t>ED211759</t>
        </is>
      </c>
      <c r="B67" t="inlineStr">
        <is>
          <t>PT12677</t>
        </is>
      </c>
      <c r="C67" s="27" t="n">
        <v>45995.16388888889</v>
      </c>
      <c r="D67" t="inlineStr">
        <is>
          <t>Ambulance</t>
        </is>
      </c>
      <c r="E67" t="n">
        <v>3</v>
      </c>
      <c r="F67" t="inlineStr">
        <is>
          <t>Abdominal Pain</t>
        </is>
      </c>
      <c r="G67" s="27" t="n">
        <v>45995.16666666666</v>
      </c>
      <c r="H67" s="27" t="n">
        <v>45995.17430555556</v>
      </c>
      <c r="I67" s="27" t="n">
        <v>45995.43333333333</v>
      </c>
      <c r="J67" t="inlineStr">
        <is>
          <t>Observation</t>
        </is>
      </c>
    </row>
    <row r="68">
      <c r="A68" t="inlineStr">
        <is>
          <t>ED212256</t>
        </is>
      </c>
      <c r="B68" t="inlineStr">
        <is>
          <t>PT12687</t>
        </is>
      </c>
      <c r="C68" s="27" t="n">
        <v>46020.64444444444</v>
      </c>
      <c r="D68" t="inlineStr">
        <is>
          <t>Walk-In</t>
        </is>
      </c>
      <c r="E68" t="n">
        <v>4</v>
      </c>
      <c r="F68" t="inlineStr">
        <is>
          <t>Cough / Fever</t>
        </is>
      </c>
      <c r="G68" s="27" t="n">
        <v>46020.64791666667</v>
      </c>
      <c r="H68" s="27" t="n">
        <v>46020.69652777778</v>
      </c>
      <c r="I68" s="27" t="n">
        <v>46020.74861111111</v>
      </c>
      <c r="J68" t="inlineStr">
        <is>
          <t>Discharged</t>
        </is>
      </c>
    </row>
    <row r="69">
      <c r="A69" t="inlineStr">
        <is>
          <t>ED212132</t>
        </is>
      </c>
      <c r="B69" t="inlineStr">
        <is>
          <t>PT12732</t>
        </is>
      </c>
      <c r="C69" s="27" t="n">
        <v>46013.72777777778</v>
      </c>
      <c r="D69" t="inlineStr">
        <is>
          <t>Ambulance</t>
        </is>
      </c>
      <c r="E69" t="n">
        <v>3</v>
      </c>
      <c r="F69" t="inlineStr">
        <is>
          <t>Laceration</t>
        </is>
      </c>
      <c r="G69" s="27" t="n">
        <v>46013.73333333333</v>
      </c>
      <c r="H69" s="27" t="n">
        <v>46013.73958333334</v>
      </c>
      <c r="I69" s="27" t="n">
        <v>46013.9125</v>
      </c>
      <c r="J69" t="inlineStr">
        <is>
          <t>Discharged</t>
        </is>
      </c>
    </row>
    <row r="70">
      <c r="A70" t="inlineStr">
        <is>
          <t>ED211818</t>
        </is>
      </c>
      <c r="B70" t="inlineStr">
        <is>
          <t>PT12770</t>
        </is>
      </c>
      <c r="C70" s="27" t="n">
        <v>45998.23958333334</v>
      </c>
      <c r="D70" t="inlineStr">
        <is>
          <t>Walk-In</t>
        </is>
      </c>
      <c r="E70" t="n">
        <v>4</v>
      </c>
      <c r="F70" t="inlineStr">
        <is>
          <t>Anxiety / Palpitations</t>
        </is>
      </c>
      <c r="G70" s="27" t="n">
        <v>45998.24791666667</v>
      </c>
      <c r="H70" s="27" t="n">
        <v>45998.24861111111</v>
      </c>
      <c r="I70" s="27" t="n">
        <v>45998.30763888889</v>
      </c>
      <c r="J70" t="inlineStr">
        <is>
          <t>Discharged</t>
        </is>
      </c>
    </row>
    <row r="71">
      <c r="A71" t="inlineStr">
        <is>
          <t>ED211789</t>
        </is>
      </c>
      <c r="B71" t="inlineStr">
        <is>
          <t>PT12826</t>
        </is>
      </c>
      <c r="C71" s="27" t="n">
        <v>45996.64097222222</v>
      </c>
      <c r="D71" t="inlineStr">
        <is>
          <t>Walk-In</t>
        </is>
      </c>
      <c r="E71" t="n">
        <v>5</v>
      </c>
      <c r="F71" t="inlineStr">
        <is>
          <t>Ankle Injury</t>
        </is>
      </c>
      <c r="G71" s="27" t="n">
        <v>45996.64861111111</v>
      </c>
      <c r="H71" s="27" t="n">
        <v>45996.69236111111</v>
      </c>
      <c r="I71" s="27" t="n">
        <v>45996.76111111111</v>
      </c>
      <c r="J71" t="inlineStr">
        <is>
          <t>Discharged</t>
        </is>
      </c>
    </row>
    <row r="72">
      <c r="A72" t="inlineStr">
        <is>
          <t>ED212066</t>
        </is>
      </c>
      <c r="B72" t="inlineStr">
        <is>
          <t>PT12829</t>
        </is>
      </c>
      <c r="C72" s="27" t="n">
        <v>46010.43055555555</v>
      </c>
      <c r="D72" t="inlineStr">
        <is>
          <t>Walk-In</t>
        </is>
      </c>
      <c r="E72" t="n">
        <v>4</v>
      </c>
      <c r="F72" t="inlineStr">
        <is>
          <t>Headache</t>
        </is>
      </c>
      <c r="G72" s="27" t="n">
        <v>46010.43541666667</v>
      </c>
      <c r="H72" s="27" t="n">
        <v>46010.48402777778</v>
      </c>
      <c r="I72" s="27" t="n">
        <v>46010.54791666667</v>
      </c>
      <c r="J72" t="inlineStr">
        <is>
          <t>Discharged</t>
        </is>
      </c>
    </row>
    <row r="73">
      <c r="A73" t="inlineStr">
        <is>
          <t>ED212043</t>
        </is>
      </c>
      <c r="B73" t="inlineStr">
        <is>
          <t>PT12851</t>
        </is>
      </c>
      <c r="C73" s="27" t="n">
        <v>46009.11180555556</v>
      </c>
      <c r="D73" t="inlineStr">
        <is>
          <t>Walk-In</t>
        </is>
      </c>
      <c r="E73" t="n">
        <v>3</v>
      </c>
      <c r="F73" t="inlineStr">
        <is>
          <t>Head Injury</t>
        </is>
      </c>
      <c r="G73" s="27" t="n">
        <v>46009.12569444445</v>
      </c>
      <c r="H73" s="27" t="n">
        <v>46009.12638888889</v>
      </c>
      <c r="I73" s="27" t="n">
        <v>46009.21736111111</v>
      </c>
      <c r="J73" t="inlineStr">
        <is>
          <t>Discharged</t>
        </is>
      </c>
    </row>
    <row r="74">
      <c r="A74" t="inlineStr">
        <is>
          <t>ED212209</t>
        </is>
      </c>
      <c r="B74" t="inlineStr">
        <is>
          <t>PT12860</t>
        </is>
      </c>
      <c r="C74" s="27" t="n">
        <v>46017.00208333333</v>
      </c>
      <c r="D74" t="inlineStr">
        <is>
          <t>Walk-In</t>
        </is>
      </c>
      <c r="E74" t="n">
        <v>2</v>
      </c>
      <c r="F74" t="inlineStr">
        <is>
          <t>Palpitations</t>
        </is>
      </c>
      <c r="G74" s="27" t="n">
        <v>46017.01041666666</v>
      </c>
      <c r="H74" s="27" t="n">
        <v>46017.01111111111</v>
      </c>
      <c r="I74" s="27" t="n">
        <v>46017.17361111111</v>
      </c>
      <c r="J74" t="inlineStr">
        <is>
          <t>Admitted</t>
        </is>
      </c>
    </row>
    <row r="75">
      <c r="A75" t="inlineStr">
        <is>
          <t>ED211803</t>
        </is>
      </c>
      <c r="B75" t="inlineStr">
        <is>
          <t>PT12890</t>
        </is>
      </c>
      <c r="C75" s="27" t="n">
        <v>45997.28680555556</v>
      </c>
      <c r="D75" t="inlineStr">
        <is>
          <t>Ambulance</t>
        </is>
      </c>
      <c r="E75" t="n">
        <v>2</v>
      </c>
      <c r="F75" t="inlineStr">
        <is>
          <t>Shortness of Breath</t>
        </is>
      </c>
      <c r="G75" s="27" t="n">
        <v>45997.29097222222</v>
      </c>
      <c r="H75" s="27" t="n">
        <v>45997.30277777778</v>
      </c>
      <c r="I75" s="27" t="n">
        <v>45997.4625</v>
      </c>
      <c r="J75" t="inlineStr">
        <is>
          <t>Admitted</t>
        </is>
      </c>
    </row>
    <row r="76">
      <c r="A76" t="inlineStr">
        <is>
          <t>ED211985</t>
        </is>
      </c>
      <c r="B76" t="inlineStr">
        <is>
          <t>PT12893</t>
        </is>
      </c>
      <c r="C76" s="27" t="n">
        <v>46006.75902777778</v>
      </c>
      <c r="D76" t="inlineStr">
        <is>
          <t>Walk-In</t>
        </is>
      </c>
      <c r="E76" t="n">
        <v>4</v>
      </c>
      <c r="F76" t="inlineStr">
        <is>
          <t>Cough / Fever</t>
        </is>
      </c>
      <c r="G76" s="27" t="n">
        <v>46006.76041666666</v>
      </c>
      <c r="H76" s="27" t="n">
        <v>46006.84513888889</v>
      </c>
      <c r="I76" s="27" t="n">
        <v>46006.91111111111</v>
      </c>
      <c r="J76" t="inlineStr">
        <is>
          <t>Discharged</t>
        </is>
      </c>
    </row>
    <row r="77">
      <c r="A77" t="inlineStr">
        <is>
          <t>ED212101</t>
        </is>
      </c>
      <c r="B77" t="inlineStr">
        <is>
          <t>PT12945</t>
        </is>
      </c>
      <c r="C77" s="27" t="n">
        <v>46012.37083333333</v>
      </c>
      <c r="D77" t="inlineStr">
        <is>
          <t>Ambulance</t>
        </is>
      </c>
      <c r="E77" t="n">
        <v>3</v>
      </c>
      <c r="F77" t="inlineStr">
        <is>
          <t>Shortness of Breath</t>
        </is>
      </c>
      <c r="G77" s="27" t="n">
        <v>46012.37569444445</v>
      </c>
      <c r="H77" s="27" t="n">
        <v>46012.39375</v>
      </c>
      <c r="I77" s="27" t="n">
        <v>46012.60902777778</v>
      </c>
      <c r="J77" t="inlineStr">
        <is>
          <t>Admitted</t>
        </is>
      </c>
    </row>
    <row r="78">
      <c r="A78" t="inlineStr">
        <is>
          <t>ED211837</t>
        </is>
      </c>
      <c r="B78" t="inlineStr">
        <is>
          <t>PT12963</t>
        </is>
      </c>
      <c r="C78" s="27" t="n">
        <v>45999.46319444444</v>
      </c>
      <c r="D78" t="inlineStr">
        <is>
          <t>Walk-In</t>
        </is>
      </c>
      <c r="E78" t="n">
        <v>2</v>
      </c>
      <c r="F78" t="inlineStr">
        <is>
          <t>Cough / Fever</t>
        </is>
      </c>
      <c r="G78" s="27" t="n">
        <v>45999.47013888889</v>
      </c>
      <c r="H78" s="27" t="n">
        <v>45999.48125</v>
      </c>
      <c r="I78" s="27" t="n">
        <v>45999.58125</v>
      </c>
      <c r="J78" t="inlineStr">
        <is>
          <t>Discharged</t>
        </is>
      </c>
    </row>
    <row r="79">
      <c r="A79" t="inlineStr">
        <is>
          <t>ED212012</t>
        </is>
      </c>
      <c r="B79" t="inlineStr">
        <is>
          <t>PT12983</t>
        </is>
      </c>
      <c r="C79" s="27" t="n">
        <v>46007.86041666667</v>
      </c>
      <c r="D79" t="inlineStr">
        <is>
          <t>Walk-In</t>
        </is>
      </c>
      <c r="E79" t="n">
        <v>4</v>
      </c>
      <c r="F79" t="inlineStr">
        <is>
          <t>Skin Redness / Swelling</t>
        </is>
      </c>
      <c r="G79" s="27" t="n">
        <v>46007.86319444444</v>
      </c>
      <c r="H79" s="27" t="n">
        <v>46007.88263888889</v>
      </c>
      <c r="I79" s="27" t="n">
        <v>46007.94166666667</v>
      </c>
      <c r="J79" t="inlineStr">
        <is>
          <t>Discharged</t>
        </is>
      </c>
    </row>
    <row r="80">
      <c r="A80" t="inlineStr">
        <is>
          <t>ED211706</t>
        </is>
      </c>
      <c r="B80" t="inlineStr">
        <is>
          <t>PT12989</t>
        </is>
      </c>
      <c r="C80" s="27" t="n">
        <v>45992.5125</v>
      </c>
      <c r="D80" t="inlineStr">
        <is>
          <t>Ambulance</t>
        </is>
      </c>
      <c r="E80" t="n">
        <v>1</v>
      </c>
      <c r="F80" t="inlineStr">
        <is>
          <t>Shortness of Breath</t>
        </is>
      </c>
      <c r="G80" s="27" t="n">
        <v>45992.51319444444</v>
      </c>
      <c r="H80" s="27" t="n">
        <v>45992.51388888889</v>
      </c>
      <c r="I80" s="27" t="n">
        <v>45992.82152777778</v>
      </c>
      <c r="J80" t="inlineStr">
        <is>
          <t>Admitted</t>
        </is>
      </c>
    </row>
    <row r="81">
      <c r="A81" t="inlineStr">
        <is>
          <t>ED212222</t>
        </is>
      </c>
      <c r="B81" t="inlineStr">
        <is>
          <t>PT13031</t>
        </is>
      </c>
      <c r="C81" s="27" t="n">
        <v>46018.11597222222</v>
      </c>
      <c r="D81" t="inlineStr">
        <is>
          <t>Walk-In</t>
        </is>
      </c>
      <c r="E81" t="n">
        <v>3</v>
      </c>
      <c r="F81" t="inlineStr">
        <is>
          <t>Abdominal Pain</t>
        </is>
      </c>
      <c r="G81" s="27" t="n">
        <v>46018.11875</v>
      </c>
      <c r="H81" s="27" t="n">
        <v>46018.12986111111</v>
      </c>
      <c r="I81" s="27" t="n">
        <v>46018.29513888889</v>
      </c>
      <c r="J81" t="inlineStr">
        <is>
          <t>Discharged</t>
        </is>
      </c>
    </row>
    <row r="82">
      <c r="A82" t="inlineStr">
        <is>
          <t>ED212254</t>
        </is>
      </c>
      <c r="B82" t="inlineStr">
        <is>
          <t>PT13107</t>
        </is>
      </c>
      <c r="C82" s="27" t="n">
        <v>46020.52083333334</v>
      </c>
      <c r="D82" t="inlineStr">
        <is>
          <t>Walk-In</t>
        </is>
      </c>
      <c r="E82" t="n">
        <v>3</v>
      </c>
      <c r="F82" t="inlineStr">
        <is>
          <t>Painful Urination / Fever</t>
        </is>
      </c>
      <c r="G82" s="27" t="n">
        <v>46020.52430555555</v>
      </c>
      <c r="H82" s="27" t="n">
        <v>46020.64236111111</v>
      </c>
      <c r="I82" s="27" t="n">
        <v>46020.78888888889</v>
      </c>
      <c r="J82" t="inlineStr">
        <is>
          <t>Discharged</t>
        </is>
      </c>
    </row>
    <row r="83">
      <c r="A83" t="inlineStr">
        <is>
          <t>ED211977</t>
        </is>
      </c>
      <c r="B83" t="inlineStr">
        <is>
          <t>PT13158</t>
        </is>
      </c>
      <c r="C83" s="27" t="n">
        <v>46006.4375</v>
      </c>
      <c r="D83" t="inlineStr">
        <is>
          <t>Walk-In</t>
        </is>
      </c>
      <c r="E83" t="n">
        <v>4</v>
      </c>
      <c r="F83" t="inlineStr">
        <is>
          <t>Cough / Fever</t>
        </is>
      </c>
      <c r="G83" s="27" t="n">
        <v>46006.43888888889</v>
      </c>
      <c r="H83" s="27" t="n">
        <v>46006.45902777778</v>
      </c>
      <c r="I83" s="27" t="n">
        <v>46006.53888888889</v>
      </c>
      <c r="J83" t="inlineStr">
        <is>
          <t>Discharged</t>
        </is>
      </c>
    </row>
    <row r="84">
      <c r="A84" t="inlineStr">
        <is>
          <t>ED211824</t>
        </is>
      </c>
      <c r="B84" t="inlineStr">
        <is>
          <t>PT13305</t>
        </is>
      </c>
      <c r="C84" s="27" t="n">
        <v>45998.60486111111</v>
      </c>
      <c r="D84" t="inlineStr">
        <is>
          <t>Walk-In</t>
        </is>
      </c>
      <c r="E84" t="n">
        <v>3</v>
      </c>
      <c r="F84" t="inlineStr">
        <is>
          <t>Vomiting / Dizziness</t>
        </is>
      </c>
      <c r="G84" s="27" t="n">
        <v>45998.61041666667</v>
      </c>
      <c r="H84" s="27" t="n">
        <v>45998.61666666667</v>
      </c>
      <c r="I84" s="27" t="n">
        <v>45998.77291666667</v>
      </c>
      <c r="J84" t="inlineStr">
        <is>
          <t>Observation</t>
        </is>
      </c>
    </row>
    <row r="85">
      <c r="A85" t="inlineStr">
        <is>
          <t>ED211928</t>
        </is>
      </c>
      <c r="B85" t="inlineStr">
        <is>
          <t>PT13330</t>
        </is>
      </c>
      <c r="C85" s="27" t="n">
        <v>46003.71527777778</v>
      </c>
      <c r="D85" t="inlineStr">
        <is>
          <t>Walk-In</t>
        </is>
      </c>
      <c r="E85" t="n">
        <v>4</v>
      </c>
      <c r="F85" t="inlineStr">
        <is>
          <t>Cough / Fever</t>
        </is>
      </c>
      <c r="G85" s="27" t="n">
        <v>46003.71805555555</v>
      </c>
      <c r="H85" s="27" t="n">
        <v>46003.75555555556</v>
      </c>
      <c r="I85" s="27" t="n">
        <v>46003.78888888889</v>
      </c>
      <c r="J85" t="inlineStr">
        <is>
          <t>Discharged</t>
        </is>
      </c>
    </row>
    <row r="86">
      <c r="A86" t="inlineStr">
        <is>
          <t>ED212289</t>
        </is>
      </c>
      <c r="B86" t="inlineStr">
        <is>
          <t>PT13353</t>
        </is>
      </c>
      <c r="C86" s="27" t="n">
        <v>46022.65</v>
      </c>
      <c r="D86" t="inlineStr">
        <is>
          <t>Walk-In</t>
        </is>
      </c>
      <c r="E86" t="n">
        <v>3</v>
      </c>
      <c r="F86" t="inlineStr">
        <is>
          <t>Cough / Fever</t>
        </is>
      </c>
      <c r="G86" s="27" t="n">
        <v>46022.65694444445</v>
      </c>
      <c r="H86" s="27" t="n">
        <v>46022.68958333333</v>
      </c>
      <c r="I86" s="27" t="n">
        <v>46022.82916666667</v>
      </c>
      <c r="J86" t="inlineStr">
        <is>
          <t>Discharged</t>
        </is>
      </c>
    </row>
    <row r="87">
      <c r="A87" t="inlineStr">
        <is>
          <t>ED212081</t>
        </is>
      </c>
      <c r="B87" t="inlineStr">
        <is>
          <t>PT13473</t>
        </is>
      </c>
      <c r="C87" s="27" t="n">
        <v>46010.82361111111</v>
      </c>
      <c r="D87" t="inlineStr">
        <is>
          <t>Walk-In</t>
        </is>
      </c>
      <c r="E87" t="n">
        <v>3</v>
      </c>
      <c r="F87" t="inlineStr">
        <is>
          <t>Cough / Fever</t>
        </is>
      </c>
      <c r="G87" s="27" t="n">
        <v>46010.83194444444</v>
      </c>
      <c r="H87" s="27" t="n">
        <v>46010.94722222222</v>
      </c>
      <c r="I87" s="27" t="n">
        <v>46011.04861111111</v>
      </c>
      <c r="J87" t="inlineStr">
        <is>
          <t>Discharged</t>
        </is>
      </c>
    </row>
    <row r="88">
      <c r="A88" t="inlineStr">
        <is>
          <t>ED211712</t>
        </is>
      </c>
      <c r="B88" t="inlineStr">
        <is>
          <t>PT13601</t>
        </is>
      </c>
      <c r="C88" s="27" t="n">
        <v>45992.75555555556</v>
      </c>
      <c r="D88" t="inlineStr">
        <is>
          <t>Walk-In</t>
        </is>
      </c>
      <c r="E88" t="n">
        <v>4</v>
      </c>
      <c r="F88" t="inlineStr">
        <is>
          <t>Skin Redness / Swelling</t>
        </is>
      </c>
      <c r="G88" s="27" t="n">
        <v>45992.75972222222</v>
      </c>
      <c r="H88" s="27" t="n">
        <v>45992.76944444444</v>
      </c>
      <c r="I88" s="27" t="n">
        <v>45992.84305555555</v>
      </c>
      <c r="J88" t="inlineStr">
        <is>
          <t>Discharged</t>
        </is>
      </c>
    </row>
    <row r="89">
      <c r="A89" t="inlineStr">
        <is>
          <t>ED211742</t>
        </is>
      </c>
      <c r="B89" t="inlineStr">
        <is>
          <t>PT13632</t>
        </is>
      </c>
      <c r="C89" s="27" t="n">
        <v>45994.4</v>
      </c>
      <c r="D89" t="inlineStr">
        <is>
          <t>Ambulance</t>
        </is>
      </c>
      <c r="E89" t="n">
        <v>2</v>
      </c>
      <c r="F89" t="inlineStr">
        <is>
          <t>Dizziness</t>
        </is>
      </c>
      <c r="G89" s="27" t="n">
        <v>45994.40555555555</v>
      </c>
      <c r="H89" s="27" t="n">
        <v>45994.43680555555</v>
      </c>
      <c r="I89" s="27" t="n">
        <v>45994.70416666667</v>
      </c>
      <c r="J89" t="inlineStr">
        <is>
          <t>Admitted</t>
        </is>
      </c>
    </row>
    <row r="90">
      <c r="A90" t="inlineStr">
        <is>
          <t>ED211744</t>
        </is>
      </c>
      <c r="B90" t="inlineStr">
        <is>
          <t>PT13672</t>
        </is>
      </c>
      <c r="C90" s="27" t="n">
        <v>45994.45208333333</v>
      </c>
      <c r="D90" t="inlineStr">
        <is>
          <t>Walk-In</t>
        </is>
      </c>
      <c r="E90" t="n">
        <v>3</v>
      </c>
      <c r="F90" t="inlineStr">
        <is>
          <t>Shortness of Breath</t>
        </is>
      </c>
      <c r="G90" s="27" t="n">
        <v>45994.45833333334</v>
      </c>
      <c r="H90" s="27" t="n">
        <v>45994.48472222222</v>
      </c>
      <c r="I90" s="27" t="n">
        <v>45994.70277777778</v>
      </c>
      <c r="J90" t="inlineStr">
        <is>
          <t>Admitted</t>
        </is>
      </c>
    </row>
    <row r="91">
      <c r="A91" t="inlineStr">
        <is>
          <t>ED211958</t>
        </is>
      </c>
      <c r="B91" t="inlineStr">
        <is>
          <t>PT13682</t>
        </is>
      </c>
      <c r="C91" s="27" t="n">
        <v>46005.61458333334</v>
      </c>
      <c r="D91" t="inlineStr">
        <is>
          <t>Walk-In</t>
        </is>
      </c>
      <c r="E91" t="n">
        <v>4</v>
      </c>
      <c r="F91" t="inlineStr">
        <is>
          <t>Headache</t>
        </is>
      </c>
      <c r="G91" s="27" t="n">
        <v>46005.61666666667</v>
      </c>
      <c r="H91" s="27" t="n">
        <v>46005.64861111111</v>
      </c>
      <c r="I91" s="27" t="n">
        <v>46005.72986111111</v>
      </c>
      <c r="J91" t="inlineStr">
        <is>
          <t>Discharged</t>
        </is>
      </c>
    </row>
    <row r="92">
      <c r="A92" t="inlineStr">
        <is>
          <t>ED211905</t>
        </is>
      </c>
      <c r="B92" t="inlineStr">
        <is>
          <t>PT13806</t>
        </is>
      </c>
      <c r="C92" s="27" t="n">
        <v>46002.34930555556</v>
      </c>
      <c r="D92" t="inlineStr">
        <is>
          <t>Ambulance</t>
        </is>
      </c>
      <c r="E92" t="n">
        <v>2</v>
      </c>
      <c r="F92" t="inlineStr">
        <is>
          <t>Head Injury</t>
        </is>
      </c>
      <c r="G92" s="27" t="n">
        <v>46002.35347222222</v>
      </c>
      <c r="H92" s="27" t="n">
        <v>46002.35416666666</v>
      </c>
      <c r="I92" s="27" t="n">
        <v>46002.52152777778</v>
      </c>
      <c r="J92" t="inlineStr">
        <is>
          <t>Discharged</t>
        </is>
      </c>
    </row>
    <row r="93">
      <c r="A93" t="inlineStr">
        <is>
          <t>ED211894</t>
        </is>
      </c>
      <c r="B93" t="inlineStr">
        <is>
          <t>PT13869</t>
        </is>
      </c>
      <c r="C93" s="27" t="n">
        <v>46001.64791666667</v>
      </c>
      <c r="D93" t="inlineStr">
        <is>
          <t>Walk-In</t>
        </is>
      </c>
      <c r="E93" t="n">
        <v>4</v>
      </c>
      <c r="F93" t="inlineStr">
        <is>
          <t>Cough / Fever</t>
        </is>
      </c>
      <c r="G93" s="27" t="n">
        <v>46001.65138888889</v>
      </c>
      <c r="H93" s="27" t="n">
        <v>46001.73680555556</v>
      </c>
      <c r="I93" s="27" t="n">
        <v>46001.78333333333</v>
      </c>
      <c r="J93" t="inlineStr">
        <is>
          <t>Discharged</t>
        </is>
      </c>
    </row>
    <row r="94">
      <c r="A94" t="inlineStr">
        <is>
          <t>ED212065</t>
        </is>
      </c>
      <c r="B94" t="inlineStr">
        <is>
          <t>PT13940</t>
        </is>
      </c>
      <c r="C94" s="27" t="n">
        <v>46010.40694444445</v>
      </c>
      <c r="D94" t="inlineStr">
        <is>
          <t>Walk-In</t>
        </is>
      </c>
      <c r="E94" t="n">
        <v>4</v>
      </c>
      <c r="F94" t="inlineStr">
        <is>
          <t>Fainting</t>
        </is>
      </c>
      <c r="G94" s="27" t="n">
        <v>46010.41180555556</v>
      </c>
      <c r="H94" s="27" t="n">
        <v>46010.49236111111</v>
      </c>
      <c r="I94" s="27" t="n">
        <v>46010.52569444444</v>
      </c>
      <c r="J94" t="inlineStr">
        <is>
          <t>Discharged</t>
        </is>
      </c>
    </row>
  </sheetData>
  <pageMargins left="0.75" right="0.75" top="1" bottom="1" header="0.5" footer="0.5"/>
</worksheet>
</file>

<file path=xl/worksheets/sheet7.xml><?xml version="1.0" encoding="utf-8"?>
<worksheet xmlns="http://schemas.openxmlformats.org/spreadsheetml/2006/main">
  <sheetPr>
    <tabColor rgb="00BF9000"/>
    <outlinePr summaryBelow="1" summaryRight="1"/>
    <pageSetUpPr fitToPage="1"/>
  </sheetPr>
  <dimension ref="A1:E1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5.1 · Bonus: The high-acuity ED list</t>
        </is>
      </c>
    </row>
    <row r="2" ht="259" customHeight="1">
      <c r="A2" s="14" t="inlineStr">
        <is>
          <t>Cedar Ridge's ED medical director reviews every high-acuity visit (ESI 1 or 2) each month. The tracking system exports the month's visits sorted by PatientID, and someone spends 20 minutes turning that export into a list. Automate it. The macro must:
1. Filter the export's ESILevel column to values less than or equal to 2.
2. Copy the visible rows, with the header, to a new sheet named HighAcuity.
3. Sort that sheet by ESILevel (smallest first), then ArrivalDateTime (oldest first), and AutoFit the columns.
4. Go back to the export and turn its filter off.
Recording tips: Check that Use Relative References is off. Click A1 and turn the filter on with Data → Filter, then use the ESILevel filter arrow → Number Filters → Less Than Or Equal To → 2 → OK. Select the data with Ctrl + Shift + → and then Ctrl + Shift + ↓ (Mac: ⌘ + Shift + arrows), and copy it with Ctrl + C (Mac: ⌘ + C). Add a sheet with the + (New sheet) button next to the sheet tabs, paste with Ctrl + V (Mac: ⌘ + V), and rename the sheet by double-clicking its tab. In Data → Sort (Lesson 1.6), sort by ESILevel (Smallest to Largest), then click Add Level and pick ArrivalDateTime (Oldest to Newest). AutoFit every column: click the Select All button (the triangle where the row and column headings meet), then double-click any column boundary. Finish by clicking the ED_Nov tab, then A1, then Data → Filter again.
Record it on ED_Nov (80 visits) as ExtractHighAcuity (shortcut Ctrl + Shift + H). Then delete the HighAcuity sheet it made (right-click its tab → Delete), open the VBE, and edit the code so it works on ED_Dec (93 visits). Guide section 9 lists the edits recorded code usually needs and what to do if the macro stops with a run-time error. Run it on ED_Dec. The gray cells read the HighAcuity sheet your macro builds from December, so they stay blank until it exists. While the sheet from your November recording is still there, they show ✘ Not yet or stay blank.</t>
        </is>
      </c>
    </row>
    <row r="3" ht="34" customHeight="1">
      <c r="A3" s="15" t="inlineStr">
        <is>
          <t>There's nothing to type on this sheet. The gray cells read the HighAcuity sheet your macro builds from ED_Dec, and the Check column turns green when they match. Stuck? Read the hint, then Guide section 9. Answers: right-click a sheet tab → Unhide… → 'Bonus Key'.</t>
        </is>
      </c>
    </row>
    <row r="4">
      <c r="A4" s="16">
        <f>"Score: "&amp;COUNTIF(E6:E10,"✔*")&amp;" of 5 auto-checked tasks correct"</f>
        <v/>
      </c>
    </row>
    <row r="5">
      <c r="A5" s="17" t="inlineStr">
        <is>
          <t>#</t>
        </is>
      </c>
      <c r="B5" s="17" t="inlineStr">
        <is>
          <t>Task</t>
        </is>
      </c>
      <c r="C5" s="17" t="inlineStr">
        <is>
          <t>Hint</t>
        </is>
      </c>
      <c r="D5" s="17" t="inlineStr">
        <is>
          <t>Your Answer</t>
        </is>
      </c>
      <c r="E5" s="17" t="inlineStr">
        <is>
          <t>Check</t>
        </is>
      </c>
    </row>
    <row r="6" ht="36" customHeight="1">
      <c r="A6" s="18" t="inlineStr">
        <is>
          <t>B1</t>
        </is>
      </c>
      <c r="B6" s="19" t="inlineStr">
        <is>
          <t>How many visits (data rows, not counting the header) are on the HighAcuity sheet built from ED_Dec?</t>
        </is>
      </c>
      <c r="C6" s="20" t="inlineStr">
        <is>
          <t>COUNTIF on ED_Dec's ESILevel column gives you a target to compare with</t>
        </is>
      </c>
      <c r="D6" cm="1" s="23">
        <f t="array" ref="D6">IF(ISREF(INDIRECT("'HighAcuity'!A1")),COUNTA(INDIRECT("'HighAcuity'!A:A"))-1,"")</f>
        <v/>
      </c>
      <c r="E6" s="22">
        <f>IF(IFERROR(D6="",FALSE),"",IF(IFERROR(AND(ISNUMBER(D6),OR(ABS(D6-'Bonus Key'!$C$5)&lt;=0.0001)),FALSE),"✔ Correct","✘ Not yet"))</f>
        <v/>
      </c>
    </row>
    <row r="7" ht="36" customHeight="1">
      <c r="A7" s="18" t="inlineStr">
        <is>
          <t>B2</t>
        </is>
      </c>
      <c r="B7" s="19" t="inlineStr">
        <is>
          <t>Which EDVisitID is in the first data row (A2) of HighAcuity?</t>
        </is>
      </c>
      <c r="C7" s="20" t="inlineStr">
        <is>
          <t>It should be the earliest ESI 1 arrival in December</t>
        </is>
      </c>
      <c r="D7" cm="1" s="28">
        <f t="array" ref="D7">IFERROR(INDIRECT("'HighAcuity'!A2")&amp;"","")</f>
        <v/>
      </c>
      <c r="E7" s="22">
        <f>IF(IFERROR(D7="",FALSE),"",IF(IFERROR(OR(LOWER(TRIM(D7&amp;""))=LOWER(TRIM('Bonus Key'!$C$6&amp;""))),FALSE),"✔ Correct","✘ Not yet"))</f>
        <v/>
      </c>
    </row>
    <row r="8" ht="30" customHeight="1">
      <c r="A8" s="18" t="inlineStr">
        <is>
          <t>B3</t>
        </is>
      </c>
      <c r="B8" s="19" t="inlineStr">
        <is>
          <t>Which EDVisitID is in cell A5 of HighAcuity?</t>
        </is>
      </c>
      <c r="C8" s="20" t="inlineStr">
        <is>
          <t>This cell depends on both sort levels</t>
        </is>
      </c>
      <c r="D8" cm="1" s="28">
        <f t="array" ref="D8">IFERROR(INDIRECT("'HighAcuity'!A5")&amp;"","")</f>
        <v/>
      </c>
      <c r="E8" s="22">
        <f>IF(IFERROR(D8="",FALSE),"",IF(IFERROR(OR(LOWER(TRIM(D8&amp;""))=LOWER(TRIM('Bonus Key'!$C$7&amp;""))),FALSE),"✔ Correct","✘ Not yet"))</f>
        <v/>
      </c>
    </row>
    <row r="9" ht="36" customHeight="1">
      <c r="A9" s="18" t="inlineStr">
        <is>
          <t>B4</t>
        </is>
      </c>
      <c r="B9" s="19" t="inlineStr">
        <is>
          <t>Which EDVisitID is in the last data row of HighAcuity?</t>
        </is>
      </c>
      <c r="C9" s="20" t="inlineStr">
        <is>
          <t>Rows below row 21 are only sorted if the sort range adapts</t>
        </is>
      </c>
      <c r="D9" cm="1" s="28">
        <f t="array" ref="D9">IFERROR(IF(ISREF(INDIRECT("'HighAcuity'!A1")),INDEX(INDIRECT("'HighAcuity'!A:A"),MAX(1,COUNTA(INDIRECT("'HighAcuity'!A:A"))))&amp;"",""),"")</f>
        <v/>
      </c>
      <c r="E9" s="22">
        <f>IF(IFERROR(D9="",FALSE),"",IF(IFERROR(OR(LOWER(TRIM(D9&amp;""))=LOWER(TRIM('Bonus Key'!$C$8&amp;""))),FALSE),"✔ Correct","✘ Not yet"))</f>
        <v/>
      </c>
    </row>
    <row r="10" ht="66" customHeight="1">
      <c r="A10" s="18" t="inlineStr">
        <is>
          <t>B5</t>
        </is>
      </c>
      <c r="B10" s="19" t="inlineStr">
        <is>
          <t>After your macro finishes, how many rows of ED_Dec are visible? The gray cell counts them with SUBTOTAL(103, …), which skips rows a filter hides. It should be every December visit. It stays blank until HighAcuity holds December visits.</t>
        </is>
      </c>
      <c r="C10" s="20" t="inlineStr">
        <is>
          <t>Which sheet does the end of your recorded code go back to?</t>
        </is>
      </c>
      <c r="D10" cm="1" s="23">
        <f t="array" ref="D10">IFERROR(IF(ISREF(INDIRECT("'HighAcuity'!A1")),IF(COUNTIF(ED_Dec!A2:A94,INDIRECT("'HighAcuity'!A2")&amp;"")&gt;0,SUBTOTAL(103,ED_Dec!A2:A94),""),""),"")</f>
        <v/>
      </c>
      <c r="E10" s="22">
        <f>IF(IFERROR(D10="",FALSE),"",IF(IFERROR(AND(ISNUMBER(D10),OR(ABS(D10-'Bonus Key'!$C$9)&lt;=0.0001)),FALSE),"✔ Correct","✘ Not yet"))</f>
        <v/>
      </c>
    </row>
  </sheetData>
  <mergeCells count="3">
    <mergeCell ref="A2:E2"/>
    <mergeCell ref="A4:C4"/>
    <mergeCell ref="A3:E3"/>
  </mergeCells>
  <conditionalFormatting sqref="E6:E10">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8.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29" t="inlineStr">
        <is>
          <t>🔑 Answer Key — Lesson 5.1</t>
        </is>
      </c>
    </row>
    <row r="2" ht="32" customHeight="1">
      <c r="A2" s="30" t="inlineStr">
        <is>
          <t>Spoiler alert: try every task before reading this sheet. Column C is the value the Check column compares against. Column D is a sample solution, and column E recalculates a formula for it live, proving the answer.</t>
        </is>
      </c>
    </row>
    <row r="4">
      <c r="A4" s="31" t="inlineStr">
        <is>
          <t>#</t>
        </is>
      </c>
      <c r="B4" s="31" t="inlineStr">
        <is>
          <t>Task</t>
        </is>
      </c>
      <c r="C4" s="31" t="inlineStr">
        <is>
          <t>Answer</t>
        </is>
      </c>
      <c r="D4" s="31" t="inlineStr">
        <is>
          <t>Sample solution</t>
        </is>
      </c>
      <c r="E4" s="31" t="inlineStr">
        <is>
          <t>Live result</t>
        </is>
      </c>
      <c r="F4" s="31" t="inlineStr">
        <is>
          <t>Explanation</t>
        </is>
      </c>
    </row>
    <row r="5" ht="111" customHeight="1">
      <c r="A5" s="18" t="inlineStr">
        <is>
          <t>1</t>
        </is>
      </c>
      <c r="B5" s="19" t="inlineStr">
        <is>
          <t>This workbook is an .xlsx file, which can't store macros. Which file extension does the Excel Macro-Enabled Workbook format use, the format you save it in before you record? Type the extension, like .xlsx</t>
        </is>
      </c>
      <c r="C5" s="32" t="inlineStr">
        <is>
          <t>.xlsm</t>
        </is>
      </c>
      <c r="D5" s="33" t="inlineStr">
        <is>
          <t>.xlsm: File → Save As (F12; Mac: ⌘ + Shift + S) → Save as type: Excel Macro-Enabled Workbook (*.xlsm).</t>
        </is>
      </c>
      <c r="E5" s="18" t="inlineStr">
        <is>
          <t>—</t>
        </is>
      </c>
      <c r="F5" s="19" t="inlineStr">
        <is>
          <t>An .xlsx file can't contain VBA code. If you save a workbook that has macros as .xlsx, Excel warns you that the VB project can't be saved, and if you click Yes it throws the code away. .xlsb, .xltm, .xlam and the old .xls can hold macros too, but .xlsm is the everyday format for a workbook with macros. Save as .xlsm now, before you record, so nothing gets lost.</t>
        </is>
      </c>
    </row>
    <row r="6" ht="156" customHeight="1">
      <c r="A6" s="18" t="inlineStr">
        <is>
          <t>2</t>
        </is>
      </c>
      <c r="B6" s="19" t="inlineStr">
        <is>
          <t>A colleague emails you Census_Report.xlsm. When you open it, a red bar says Microsoft has blocked macros because the source of this file is untrusted. Which is the safe way to run its macros? Type the letter.
A: Change the Trust Center to Enable VBA macros.
B: Confirm with the colleague that they sent it, save it to your computer, then right-click the file → Properties → tick Unblock.
C: Click Enable Content on the red bar.
D: Rename the file to .xlsx.</t>
        </is>
      </c>
      <c r="C6" s="32" t="inlineStr">
        <is>
          <t>B</t>
        </is>
      </c>
      <c r="D6" s="33" t="inlineStr">
        <is>
          <t>B. Confirm the sender, save the file, then File Explorer → right-click → Properties → General → tick Unblock → OK. Reopen it and click Enable Content on the yellow bar.</t>
        </is>
      </c>
      <c r="E6" s="18" t="inlineStr">
        <is>
          <t>—</t>
        </is>
      </c>
      <c r="F6" s="19" t="inlineStr">
        <is>
          <t>Email attachments and downloads carry the Mark of the Web, so Excel blocks their macros outright and the red bar has no Enable Content button (C is impossible). Enabling every macro (A) would let any file run code, and renaming to .xlsx (D) doesn't run anything because .xlsx can't hold macros. Unblocking one file you've verified is the targeted, safe fix.</t>
        </is>
      </c>
    </row>
    <row r="7" ht="51" customHeight="1">
      <c r="A7" s="18" t="inlineStr">
        <is>
          <t>3</t>
        </is>
      </c>
      <c r="B7" s="19" t="inlineStr">
        <is>
          <t>Which function key do you press with Alt (Mac: Option) to open the Visual Basic Editor? Type just the key, like F5.</t>
        </is>
      </c>
      <c r="C7" s="32" t="inlineStr">
        <is>
          <t>F11</t>
        </is>
      </c>
      <c r="D7" s="33" t="inlineStr">
        <is>
          <t>F11: Alt + F11 on Windows, Option + F11 on a Mac (add Fn if your top-row keys control brightness and volume).</t>
        </is>
      </c>
      <c r="E7" s="18" t="inlineStr">
        <is>
          <t>—</t>
        </is>
      </c>
      <c r="F7" s="19" t="inlineStr">
        <is>
          <t>Alt + F11 opens the Visual Basic Editor (VBE), where the recorder puts your code. Pressing it again flips back to Excel. Alt + F8 (Mac: Option + F8) opens the Macro dialog instead.</t>
        </is>
      </c>
    </row>
    <row r="8" ht="66" customHeight="1">
      <c r="A8" s="18" t="inlineStr">
        <is>
          <t>4</t>
        </is>
      </c>
      <c r="B8" s="19" t="inlineStr">
        <is>
          <t>On Windows, what is the file name (with extension) of the Personal Macro Workbook, the hidden workbook that makes a macro available in every workbook you open?</t>
        </is>
      </c>
      <c r="C8" s="32" t="inlineStr">
        <is>
          <t>PERSONAL.XLSB</t>
        </is>
      </c>
      <c r="D8" s="33" t="inlineStr">
        <is>
          <t>PERSONAL.XLSB, stored in %APPDATA%\Microsoft\Excel\XLSTART.</t>
        </is>
      </c>
      <c r="E8" s="18" t="inlineStr">
        <is>
          <t>—</t>
        </is>
      </c>
      <c r="F8" s="19" t="inlineStr">
        <is>
          <t>Choosing Store macro in: Personal Macro Workbook creates PERSONAL.XLSB the first time. Excel opens every file in XLSTART automatically and hides this one, so its macros are always available on your computer (but not on anyone else's).</t>
        </is>
      </c>
    </row>
    <row r="9" ht="66" customHeight="1">
      <c r="A9" s="18" t="inlineStr">
        <is>
          <t>5</t>
        </is>
      </c>
      <c r="B9" s="19" t="inlineStr">
        <is>
          <t>With Use Relative References OFF, you click Record Macro, click cell B3, type Verified, press Enter, and stop recording. Later you select H10 and run the macro. Which cell receives Verified? Type the address, like A1.</t>
        </is>
      </c>
      <c r="C9" s="32" t="inlineStr">
        <is>
          <t>B3</t>
        </is>
      </c>
      <c r="D9" s="33" t="inlineStr">
        <is>
          <t>The recorder wrote Range("B3").Select, so the macro always goes to B3.</t>
        </is>
      </c>
      <c r="E9" s="18" t="inlineStr">
        <is>
          <t>—</t>
        </is>
      </c>
      <c r="F9" s="19" t="inlineStr">
        <is>
          <t>Absolute recording (the default) stores exact addresses: Range("B3").Select, then ActiveCell.FormulaR1C1 = "Verified", then Range("B4").Select for the Enter key. The cell you had selected before running (H10) doesn't matter.</t>
        </is>
      </c>
    </row>
    <row r="10" ht="81" customHeight="1">
      <c r="A10" s="18" t="inlineStr">
        <is>
          <t>6</t>
        </is>
      </c>
      <c r="B10" s="19" t="inlineStr">
        <is>
          <t>This time A1 is selected when you click Record Macro. You turn ON Use Relative References, click B3, type Verified, press Enter, and stop. Later you select H10 and run the macro. Which cell receives Verified?</t>
        </is>
      </c>
      <c r="C10" s="32" t="inlineStr">
        <is>
          <t>I12</t>
        </is>
      </c>
      <c r="D10" s="33" t="inlineStr">
        <is>
          <t>The recorder wrote ActiveCell.Offset(2, 1).Range("A1").Select: 2 rows down and 1 column right of the active cell. From H10 that is I12.</t>
        </is>
      </c>
      <c r="E10" s="18" t="inlineStr">
        <is>
          <t>—</t>
        </is>
      </c>
      <c r="F10" s="19" t="inlineStr">
        <is>
          <t>Relative recording stores moves, not addresses. From A1 to B3 is 2 rows down and 1 column right, so the macro makes that same move from wherever it starts. From H10 that lands on I12. The Enter key is stored as another move, ActiveCell.Offset(1, 0).</t>
        </is>
      </c>
    </row>
    <row r="11" ht="409" customHeight="1">
      <c r="A11" s="18" t="inlineStr">
        <is>
          <t>7</t>
        </is>
      </c>
      <c r="B11" s="19" t="inlineStr">
        <is>
          <t>Record the FormatCensusReport macro on the Census_Nov sheet by following the recipe in Guide section 7 (TOTAL row recorded with relative references, shortcut Ctrl + Shift + R). The gray cell finds the row your macro labeled TOTAL and reads its MidnightCensus cell, which should equal November's patient days.</t>
        </is>
      </c>
      <c r="C11" s="32" t="n">
        <v>809</v>
      </c>
      <c r="D11" s="33" t="inlineStr">
        <is>
          <t>Sub FormatCensusReport()
'
' FormatCensusReport Macro
' Formats the raw daily census export and adds a TOTAL row.
'
' Keyboard Shortcut: Ctrl+Shift+R
'
    ' --- Use Relative References is OFF: these lines name exact cells ---
    Range("A1:H1").Select
    Selection.Font.Bold = True
    With Selection.Interior
        .Pattern = xlSolid
        .PatternColorIndex = xlAutomatic
        .ThemeColor = xlThemeColorAccent1
        .TintAndShade = 0.799981688894314
        .PatternTintAndShade = 0
    End With
    Range("H1").Select
    ActiveCell.FormulaR1C1 = "Occupancy"
    Range("H2").Select
    Columns("A:A").Select
    Selection.NumberFormat = "mm/dd/yyyy"
    Range("A1").Select
    Selection.End(xlDown).Select
    ' --- Use Relative References turned ON: moves are stored as offsets ---
    ActiveCell.Offset(1, 0).Range("A1").Select
    ActiveCell.FormulaR1C1 = "TOTAL"
    ActiveCell.Offset(0, 1).Range("A1").Select
    ActiveCell.Offset(0, 2).Range("A1:D1").Select
    Selection.FormulaR1C1 = "=SUM(R2C:R[-1]C)"
    ActiveCell.Offset(0, 4).Range("A1").Select
    Selection.FormulaR1C1 = "=RC[-1]/RC[-4]"
    Selection.Style = "Percent"
    Selection.NumberFormat = "0.0%"
    ActiveCell.Rows("1:1").EntireRow.Select
    Selection.Font.Bold = True
    ' --- Use Relative References turned OFF again ---
    Columns("A:H").Select
    Columns("A:H").EntireColumn.AutoFit
    Range("A1").Select
    With ActiveWindow
        .SplitColumn = 0
        .SplitRow = 1
    End With
    ActiveWindow.FreezePanes = True
End Sub</t>
        </is>
      </c>
      <c r="E11" cm="1" s="19">
        <f t="array" ref="E11">SUM(Census_Nov!G2:G31)</f>
        <v/>
      </c>
      <c r="F11" s="19" t="inlineStr">
        <is>
          <t>This is what the recorder writes for the recipe. Your code may differ in small ways, such as an extra Offset line for each Tab you pressed. The lines that matter are Range("A1").Select and Selection.End(xlDown).Select (recorded with relative references off, so they always start at A1 and jump to the last date), then the relative ActiveCell.Offset(1, 0) that steps into the empty row below. November has 30 days in rows 2–31, so TOTAL lands in row 32. The second Range("A1").Select, near the end, is the Ctrl + Home step. It scrolls back to the top, so .SplitRow = 1 freezes the header row and not whichever row happens to be at the top of the screen.</t>
        </is>
      </c>
    </row>
    <row r="12" ht="81" customHeight="1">
      <c r="A12" s="18" t="inlineStr">
        <is>
          <t>8</t>
        </is>
      </c>
      <c r="B12" s="19" t="inlineStr">
        <is>
          <t>Step 10 of the recipe in Guide section 7 put the month's occupancy in column H of your TOTAL row on Census_Nov: total patient days divided by total staffed-bed days, formatted as a percentage with 1 decimal place. The gray cell reads that cell.</t>
        </is>
      </c>
      <c r="C12" s="34" t="n">
        <v>0.8988888888888888</v>
      </c>
      <c r="D12" s="33" t="inlineStr">
        <is>
          <t>In H32 type =G32/D32, then Percent Style and Increase Decimal once. The recorder stores it as "=RC[-1]/RC[-4]": same row, 1 and 4 columns to the left.</t>
        </is>
      </c>
      <c r="E12" cm="1" s="35">
        <f t="array" ref="E12">SUM(Census_Nov!G2:G31)/SUM(Census_Nov!D2:D31)</f>
        <v/>
      </c>
      <c r="F12" s="19" t="inlineStr">
        <is>
          <t>Total patient days ÷ total staffed-bed days is the unit's occupancy for the month. The formula only refers to cells in its own row, so in R1C1 notation it is the same on every sheet and works on December too.</t>
        </is>
      </c>
    </row>
    <row r="13" ht="81" customHeight="1">
      <c r="A13" s="18" t="inlineStr">
        <is>
          <t>9</t>
        </is>
      </c>
      <c r="B13" s="19" t="inlineStr">
        <is>
          <t>In the Record Macro dialog you typed an uppercase R in the Shortcut key box. Which key combination runs the macro on Windows? Type it like Ctrl+Alt+X.</t>
        </is>
      </c>
      <c r="C13" s="32" t="inlineStr">
        <is>
          <t>Ctrl+Shift+R</t>
        </is>
      </c>
      <c r="D13" s="33" t="inlineStr">
        <is>
          <t>Ctrl + Shift + R (Mac: Option + ⌘ + Shift + R).</t>
        </is>
      </c>
      <c r="E13" s="18" t="inlineStr">
        <is>
          <t>—</t>
        </is>
      </c>
      <c r="F13" s="19" t="inlineStr">
        <is>
          <t>A lowercase letter gives Ctrl + letter, which replaces Excel's own shortcut while this workbook is open (Ctrl + r would stop doing Fill Right). An uppercase letter adds Shift, which collides with far fewer built-in shortcuts. Change it later in Alt + F8 → select the macro → Options…</t>
        </is>
      </c>
    </row>
    <row r="14" ht="366" customHeight="1">
      <c r="A14" s="18" t="inlineStr">
        <is>
          <t>10</t>
        </is>
      </c>
      <c r="B14" s="19" t="inlineStr">
        <is>
          <t>Add two more ways to run FormatCensusReport: (a) a button on the Census_Dec sheet labeled Build report, and (b) a button on the Quick Access Toolbar. Don't click them yet.</t>
        </is>
      </c>
      <c r="C14" s="32" t="n"/>
      <c r="D14" s="33" t="inlineStr">
        <is>
          <t>Sheet button
1. On Census_Dec, choose Insert → Shapes → Rectangle: Rounded Corners and draw it to the right of the data (for example over columns J:K).
2. Type Build report while the shape is selected.
3. Right-click the shape's border → Assign Macro… → pick FormatCensusReport → OK.
4. Click a cell to deselect. The pointer becomes a hand over the shape, and one click runs the macro.
Quick Access Toolbar (Windows)
1. File → Options → Quick Access Toolbar.
2. Choose commands from: Macros → select FormatCensusReport → Add &gt;&gt;.
3. Click Modify…, pick an icon, set the display name to Build census report → OK → OK.
If you can't see the toolbar, right-click the ribbon → Show Quick Access Toolbar.</t>
        </is>
      </c>
      <c r="E14" s="18" t="inlineStr">
        <is>
          <t>—</t>
        </is>
      </c>
      <c r="F14" s="19" t="inlineStr">
        <is>
          <t>A shape button belongs to one sheet and travels with the workbook. A Quick Access Toolbar button belongs to your copy of Excel and remembers which workbook holds the macro, so it opens that workbook if needed. To edit a shape later without running the macro, Ctrl + click it (Mac: ⌘ + click) or right-click it.</t>
        </is>
      </c>
    </row>
    <row r="15" ht="111" customHeight="1">
      <c r="A15" s="18" t="inlineStr">
        <is>
          <t>11</t>
        </is>
      </c>
      <c r="B15" s="19" t="inlineStr">
        <is>
          <t>Go to Census_Dec and run your macro (Ctrl + Shift + R or your button). December has 31 days. The gray cell finds your TOTAL row and counts the daily rows above it. It should show all 31 days.</t>
        </is>
      </c>
      <c r="C15" s="32" t="n">
        <v>31</v>
      </c>
      <c r="D15" s="33" t="inlineStr">
        <is>
          <t>Click the Census_Dec tab and press Ctrl + Shift + R. Selection.End(xlDown) finds the last date (row 32) and ActiveCell.Offset(1, 0) steps to row 33.</t>
        </is>
      </c>
      <c r="E15" cm="1" s="19">
        <f t="array" ref="E15">COUNT(Census_Dec!A2:A32)</f>
        <v/>
      </c>
      <c r="F15" s="19" t="inlineStr">
        <is>
          <t>If you recorded the TOTAL steps with relative references off, the code says Range("A32").Select, so on December it types TOTAL over 12/31/2025 in row 32 and the gray cell shows 30. Ctrl + Down plus a relative one-row move finds the first empty row on any month. Macros can't be undone, so close without saving (or reopen your saved copy), fix the recording, and run it again.</t>
        </is>
      </c>
    </row>
    <row r="16" ht="96" customHeight="1">
      <c r="A16" s="18" t="inlineStr">
        <is>
          <t>12</t>
        </is>
      </c>
      <c r="B16" s="19" t="inlineStr">
        <is>
          <t>On Census_Dec, the gray cell reads the MidnightCensus total in your TOTAL row. It should equal December's patient days (all 31 days).</t>
        </is>
      </c>
      <c r="C16" s="32" t="n">
        <v>863</v>
      </c>
      <c r="D16" s="33" t="inlineStr">
        <is>
          <t>The recorded formula =SUM(R2C:R[-1]C) becomes =SUM(G$2:G32) in row 33.</t>
        </is>
      </c>
      <c r="E16" cm="1" s="19">
        <f t="array" ref="E16">SUM(Census_Dec!G2:G32)</f>
        <v/>
      </c>
      <c r="F16" s="19" t="inlineStr">
        <is>
          <t>The recorder stores formulas in R1C1 notation. With =SUM(D$2:D31) the $ makes the top row absolute (R2C) and the bottom row relative (R[-1]C, the row above), so the range grows with the month. With AutoSum or =SUM(D2:D31) the recorder stores =SUM(R[-30]C:R[-1]C), which always adds exactly 30 rows. On December that skips 12/01 and the total comes out low.</t>
        </is>
      </c>
    </row>
    <row r="17" ht="111" customHeight="1">
      <c r="A17" s="18" t="inlineStr">
        <is>
          <t>13</t>
        </is>
      </c>
      <c r="B17" s="19" t="inlineStr">
        <is>
          <t>Read this recorded line: ActiveCell.FormulaR1C1 = "=SUM(R[-31]C[-1]:R[-1]C[-1])". If it runs while H33 is the active cell, which range does the SUM add up? Type it like A1:A9.</t>
        </is>
      </c>
      <c r="C17" s="32" t="inlineStr">
        <is>
          <t>G2:G32</t>
        </is>
      </c>
      <c r="D17" s="33" t="inlineStr">
        <is>
          <t>G2:G32: R[-31] is 31 rows above row 33 (row 2), R[-1] is the row above (row 32), and C[-1] is one column left of H, which is G.</t>
        </is>
      </c>
      <c r="E17" s="18" t="inlineStr">
        <is>
          <t>—</t>
        </is>
      </c>
      <c r="F17" s="19" t="inlineStr">
        <is>
          <t>It's the R1C1 form of =SUM(G2:G32) typed in H33. Square brackets mean relative to the formula's own cell. A number without brackets is a fixed row or column, so R2C means row 2 of this column. Every part of this formula is relative, so in H34 it would add G3:G33. Reading R1C1 like this tells you whether a recorded formula will still be right when the data has a different number of rows.</t>
        </is>
      </c>
    </row>
  </sheetData>
  <mergeCells count="1">
    <mergeCell ref="A2:F2"/>
  </mergeCells>
  <pageMargins left="0.75" right="0.75" top="1" bottom="1" header="0.5" footer="0.5"/>
  <pageSetup orientation="landscape" fitToHeight="0" fitToWidth="1"/>
</worksheet>
</file>

<file path=xl/worksheets/sheet9.xml><?xml version="1.0" encoding="utf-8"?>
<worksheet xmlns="http://schemas.openxmlformats.org/spreadsheetml/2006/main">
  <sheetPr>
    <tabColor rgb="00C00000"/>
    <outlinePr summaryBelow="1" summaryRight="1"/>
    <pageSetUpPr fitToPage="1"/>
  </sheetPr>
  <dimension ref="A1:F9"/>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29" t="inlineStr">
        <is>
          <t>🔑 Bonus Key — Lesson 5.1</t>
        </is>
      </c>
    </row>
    <row r="2" ht="32" customHeight="1">
      <c r="A2" s="30" t="inlineStr">
        <is>
          <t>Spoiler alert: try every task before reading this sheet. Column C is the value the Check column compares against. Column D is a sample solution, and column E recalculates a formula for it live, proving the answer.</t>
        </is>
      </c>
    </row>
    <row r="4">
      <c r="A4" s="31" t="inlineStr">
        <is>
          <t>#</t>
        </is>
      </c>
      <c r="B4" s="31" t="inlineStr">
        <is>
          <t>Task</t>
        </is>
      </c>
      <c r="C4" s="31" t="inlineStr">
        <is>
          <t>Answer</t>
        </is>
      </c>
      <c r="D4" s="31" t="inlineStr">
        <is>
          <t>Sample solution</t>
        </is>
      </c>
      <c r="E4" s="31" t="inlineStr">
        <is>
          <t>Live result</t>
        </is>
      </c>
      <c r="F4" s="31" t="inlineStr">
        <is>
          <t>Explanation</t>
        </is>
      </c>
    </row>
    <row r="5" ht="409" customHeight="1">
      <c r="A5" s="18" t="inlineStr">
        <is>
          <t>B1</t>
        </is>
      </c>
      <c r="B5" s="19" t="inlineStr">
        <is>
          <t>How many visits (data rows, not counting the header) are on the HighAcuity sheet built from ED_Dec?</t>
        </is>
      </c>
      <c r="C5" s="32" t="n">
        <v>26</v>
      </c>
      <c r="D5" s="33" t="inlineStr">
        <is>
          <t>Sub ExtractHighAcuity()
'
' ExtractHighAcuity Macro
' Copies ESI 1-2 visits to a new HighAcuity sheet, sorted by ESI level and arrival.
'
' Keyboard Shortcut: Ctrl+Shift+H
'
'   Recorded on ED_Nov, then edited to run on ED_Dec. Each EDIT comment marks a change.
'   Delete any old HighAcuity sheet before you run it: a second sheet with that
'   name is not allowed (run-time error 1004).
    Sheets("ED_Dec").Select                             ' EDIT: added, start on December
    Range("A1").Select
    Selection.AutoFilter
    Range("A1").CurrentRegion.AutoFilter Field:=5, Criteria1:="&lt;=2", _
        Operator:=xlAnd                                 ' EDIT: was ActiveSheet.Range("$A$1:$J$81")
    Range(Selection, Selection.End(xlToRight)).Select
    Range(Selection, Selection.End(xlDown)).Select
    Selection.Copy
    Sheets.Add After:=ActiveSheet
    ActiveSheet.Paste
    Application.CutCopyMode = False
    ActiveSheet.Name = "HighAcuity"                     ' EDIT: was Sheets("Sheet1").Select / .Name
    ActiveWorkbook.Worksheets("HighAcuity").Sort.SortFields.Clear
    ' EDIT: keys were Range("E2:E21") and Range("C2:C21"). One cell is enough
    ' to name the key column. (.Add works in Excel 2007 and later; Excel 365 records .Add2.)
    ActiveWorkbook.Worksheets("HighAcuity").Sort.SortFields.Add Key:=Range("E1"), _
        SortOn:=xlSortOnValues, Order:=xlAscending, DataOption:=xlSortNormal
    ActiveWorkbook.Worksheets("HighAcuity").Sort.SortFields.Add Key:=Range("C1"), _
        SortOn:=xlSortOnValues, Order:=xlAscending, DataOption:=xlSortNormal
    With ActiveWorkbook.Worksheets("HighAcuity").Sort
        .SetRange Range("A1").CurrentRegion             ' EDIT: was Range("A1:J21")
        .Header = xlYes
        .MatchCase = False
        .Orientation = xlTopToBottom
        .SortMethod = xlPinYin
        .Apply
    End With
    Cells.EntireColumn.AutoFit
    Range("A1").Select
    Sheets("ED_Dec").Select                             ' EDIT: was Sheets("ED_Nov")
    Range("A1").Select
    Selection.AutoFilter
End Sub</t>
        </is>
      </c>
      <c r="E5" cm="1" s="19">
        <f t="array" ref="E5">COUNTIF(ED_Dec!E2:E94,"&lt;=2")</f>
        <v/>
      </c>
      <c r="F5" s="19" t="inlineStr">
        <is>
          <t>Recording on ED_Nov bakes November into the code in four places. Edit each one:
1. The filter range. ActiveSheet.Range("$A$1:$J$81").AutoFilter names November's exact block, but December runs to row 94. Change it to Range("A1").CurrentRegion, the whole block around A1, which grows and shrinks with the export. The unedited line may still work here, but only because the line above it already switched the filter on for the whole block. Had the filter been on before you started recording, the recorder would have skipped Selection.AutoFilter, and on December the hard-coded line would filter rows 1–81 only.
2. The rename. Sheets("Sheet1").Select and Sheets("Sheet1").Name = "HighAcuity" use the new sheet's temporary name. The next new sheet may be Sheet2, and then the macro stops with run-time error 9 (Subscript out of range). The new sheet is active right after it's added, so use ActiveSheet.Name = "HighAcuity".
3. The sort ranges. Key:=Range("E2:E21"), Key:=Range("C2:C21") and .SetRange Range("A1:J21") fit November's 20 visits. Use Range("E1"), Range("C1") and Range("A1").CurrentRegion. One cell is enough to name a sort key's column.
4. The last sheet. Sheets("ED_Nov").Select sends the macro back to November, where Selection.AutoFilter switches a filter on, and ED_Dec stays filtered. Change it to Sheets("ED_Dec").
Adding Sheets("ED_Dec").Select as the first line makes the macro start on the right sheet whichever sheet is active. Both versions, as recorded and as edited, are in solutions/modHighAcuity.bas. Lesson 5.3 replaces the remaining Select lines and hard-coded sheet names with variables.</t>
        </is>
      </c>
    </row>
    <row r="6" ht="111" customHeight="1">
      <c r="A6" s="18" t="inlineStr">
        <is>
          <t>B2</t>
        </is>
      </c>
      <c r="B6" s="19" t="inlineStr">
        <is>
          <t>Which EDVisitID is in the first data row (A2) of HighAcuity?</t>
        </is>
      </c>
      <c r="C6" s="32" t="inlineStr">
        <is>
          <t>ED211706</t>
        </is>
      </c>
      <c r="D6" s="33" t="inlineStr">
        <is>
          <t>ED211706, the earliest-arriving ESI 1 visit (12/01/2025 12:18).</t>
        </is>
      </c>
      <c r="E6" cm="1" s="19">
        <f t="array" ref="E6">INDEX(ED_Dec!A2:A94,MATCH(_xlfn.MINIFS(ED_Dec!C2:C94,ED_Dec!E2:E94,1),ED_Dec!C2:C94,0))</f>
        <v/>
      </c>
      <c r="F6" s="19" t="inlineStr">
        <is>
          <t>Sorting by ESILevel first puts the 3 ESI 1 visits on top. The second sort level, ArrivalDateTime, orders visits within each level. If you see a different ID, the sort range probably stopped at row 21 (November's size), so only part of the list was sorted. In that case A2 shows ED211749. The live formula in the key finds the right visit with MINIFS: the earliest arrival among ESI 1 visits.</t>
        </is>
      </c>
    </row>
    <row r="7" ht="96" customHeight="1">
      <c r="A7" s="18" t="inlineStr">
        <is>
          <t>B3</t>
        </is>
      </c>
      <c r="B7" s="19" t="inlineStr">
        <is>
          <t>Which EDVisitID is in cell A5 of HighAcuity?</t>
        </is>
      </c>
      <c r="C7" s="32" t="inlineStr">
        <is>
          <t>ED211715</t>
        </is>
      </c>
      <c r="D7" s="33" t="inlineStr">
        <is>
          <t>ED211715, the earliest-arriving ESI 2 visit (12/01/2025 20:18).</t>
        </is>
      </c>
      <c r="E7" cm="1" s="19">
        <f t="array" ref="E7">INDEX(ED_Dec!A2:A94,MATCH(_xlfn.MINIFS(ED_Dec!C2:C94,ED_Dec!E2:E94,2),ED_Dec!C2:C94,0))</f>
        <v/>
      </c>
      <c r="F7" s="19" t="inlineStr">
        <is>
          <t>The 3 ESI 1 visits fill rows 2–4, so row 5 holds the first ESI 2 visit, which is the earliest ESI 2 arrival. This cell shows whether both sort levels worked. Sorted by ArrivalDateTime alone, the first and last rows happen to be the same as the correct list, but A5 shows ED211742. With the sort range stuck at row 21, it shows ED211739.</t>
        </is>
      </c>
    </row>
    <row r="8" ht="66" customHeight="1">
      <c r="A8" s="18" t="inlineStr">
        <is>
          <t>B4</t>
        </is>
      </c>
      <c r="B8" s="19" t="inlineStr">
        <is>
          <t>Which EDVisitID is in the last data row of HighAcuity?</t>
        </is>
      </c>
      <c r="C8" s="32" t="inlineStr">
        <is>
          <t>ED212209</t>
        </is>
      </c>
      <c r="D8" s="33" t="inlineStr">
        <is>
          <t>ED212209, the latest-arriving ESI 2 visit (12/26/2025 00:03).</t>
        </is>
      </c>
      <c r="E8" cm="1" s="19">
        <f t="array" ref="E8">INDEX(ED_Dec!A2:A94,MATCH(_xlfn.MAXIFS(ED_Dec!C2:C94,ED_Dec!E2:E94,2),ED_Dec!C2:C94,0))</f>
        <v/>
      </c>
      <c r="F8" s="19" t="inlineStr">
        <is>
          <t>December has 26 high-acuity visits, so the list ends in row 27. A sort range recorded as A1:J21 leaves the last 6 rows in export (PatientID) order, so the last row shows ED211905 instead. Range("A1").CurrentRegion always covers every row.</t>
        </is>
      </c>
    </row>
    <row r="9" ht="81" customHeight="1">
      <c r="A9" s="18" t="inlineStr">
        <is>
          <t>B5</t>
        </is>
      </c>
      <c r="B9" s="19" t="inlineStr">
        <is>
          <t>After your macro finishes, how many rows of ED_Dec are visible? The gray cell counts them with SUBTOTAL(103, …), which skips rows a filter hides. It should be every December visit. It stays blank until HighAcuity holds December visits.</t>
        </is>
      </c>
      <c r="C9" s="32" t="n">
        <v>93</v>
      </c>
      <c r="D9" s="33" t="inlineStr">
        <is>
          <t>End the macro with Sheets("ED_Dec").Select, Range("A1").Select, Selection.AutoFilter. That toggles the filter off, so all 93 visits show again.</t>
        </is>
      </c>
      <c r="E9" cm="1" s="19">
        <f t="array" ref="E9">COUNTA(ED_Dec!A2:A94)</f>
        <v/>
      </c>
      <c r="F9" s="19" t="inlineStr">
        <is>
          <t>The recording ends with Sheets("ED_Nov").Select, so on December it toggles a filter ON on ED_Nov and leaves ED_Dec showing only 26 rows. A good macro leaves the source data the way it found it. Selection.AutoFilter is a toggle (like Data → Filter), so it turns the filter off only when one is on.</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5.1 — Recording Your First Macros</dc:title>
  <dcterms:created xsi:type="dcterms:W3CDTF">2026-10-02T18:51:31Z</dcterms:created>
  <dcterms:modified xsi:type="dcterms:W3CDTF">2026-10-02T18:51:31Z</dcterms:modified>
</cp:coreProperties>
</file>